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45787</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45787</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45787</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45787</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45787</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45787</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45787</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45787</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45787</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45787</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45787</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45787</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45787</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45787</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45787</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45787</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45787</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45787</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45787</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45787</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45787</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45787</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45787</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45787</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45787</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45787</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45787</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45787</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45787</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45787</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45787</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45787</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45787</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45787</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45787</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45787</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45787</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45787</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45787</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45787</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45787</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45787</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45787</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45787</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45787</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45787</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45787</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45787</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45787</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45787</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18116-2025</t>
        </is>
      </c>
      <c r="B72" s="1" t="n">
        <v>45761</v>
      </c>
      <c r="C72" s="1" t="n">
        <v>45787</v>
      </c>
      <c r="D72" t="inlineStr">
        <is>
          <t>JÄMTLANDS LÄN</t>
        </is>
      </c>
      <c r="E72" t="inlineStr">
        <is>
          <t>HÄRJEDALEN</t>
        </is>
      </c>
      <c r="G72" t="n">
        <v>17.8</v>
      </c>
      <c r="H72" t="n">
        <v>0</v>
      </c>
      <c r="I72" t="n">
        <v>2</v>
      </c>
      <c r="J72" t="n">
        <v>7</v>
      </c>
      <c r="K72" t="n">
        <v>0</v>
      </c>
      <c r="L72" t="n">
        <v>0</v>
      </c>
      <c r="M72" t="n">
        <v>0</v>
      </c>
      <c r="N72" t="n">
        <v>0</v>
      </c>
      <c r="O72" t="n">
        <v>7</v>
      </c>
      <c r="P72" t="n">
        <v>0</v>
      </c>
      <c r="Q72" t="n">
        <v>9</v>
      </c>
      <c r="R72" s="2" t="inlineStr">
        <is>
          <t>Blanksvart spiklav
Blågrå svartspik
Dvärgbägarlav
Kolflarnlav
Lunglav
Mörk kolflarnlav
Vedflamlav
Bårdlav
Luddlav</t>
        </is>
      </c>
      <c r="S72">
        <f>HYPERLINK("https://klasma.github.io/Logging_232361/artfynd/A 18116-2025 artfynd.xlsx", "A 18116-2025")</f>
        <v/>
      </c>
      <c r="T72">
        <f>HYPERLINK("https://klasma.github.io/Logging_232361/kartor/A 18116-2025 karta.png", "A 18116-2025")</f>
        <v/>
      </c>
      <c r="V72">
        <f>HYPERLINK("https://klasma.github.io/Logging_232361/klagomål/A 18116-2025 FSC-klagomål.docx", "A 18116-2025")</f>
        <v/>
      </c>
      <c r="W72">
        <f>HYPERLINK("https://klasma.github.io/Logging_232361/klagomålsmail/A 18116-2025 FSC-klagomål mail.docx", "A 18116-2025")</f>
        <v/>
      </c>
      <c r="X72">
        <f>HYPERLINK("https://klasma.github.io/Logging_232361/tillsyn/A 18116-2025 tillsynsbegäran.docx", "A 18116-2025")</f>
        <v/>
      </c>
      <c r="Y72">
        <f>HYPERLINK("https://klasma.github.io/Logging_232361/tillsynsmail/A 18116-2025 tillsynsbegäran mail.docx", "A 18116-2025")</f>
        <v/>
      </c>
    </row>
    <row r="73" ht="15" customHeight="1">
      <c r="A73" t="inlineStr">
        <is>
          <t>A 32501-2019</t>
        </is>
      </c>
      <c r="B73" s="1" t="n">
        <v>43644</v>
      </c>
      <c r="C73" s="1" t="n">
        <v>45787</v>
      </c>
      <c r="D73" t="inlineStr">
        <is>
          <t>JÄMTLANDS LÄN</t>
        </is>
      </c>
      <c r="E73" t="inlineStr">
        <is>
          <t>HÄRJEDALEN</t>
        </is>
      </c>
      <c r="F73" t="inlineStr">
        <is>
          <t>SCA</t>
        </is>
      </c>
      <c r="G73" t="n">
        <v>1</v>
      </c>
      <c r="H73" t="n">
        <v>3</v>
      </c>
      <c r="I73" t="n">
        <v>3</v>
      </c>
      <c r="J73" t="n">
        <v>4</v>
      </c>
      <c r="K73" t="n">
        <v>0</v>
      </c>
      <c r="L73" t="n">
        <v>0</v>
      </c>
      <c r="M73" t="n">
        <v>0</v>
      </c>
      <c r="N73" t="n">
        <v>0</v>
      </c>
      <c r="O73" t="n">
        <v>4</v>
      </c>
      <c r="P73" t="n">
        <v>0</v>
      </c>
      <c r="Q73" t="n">
        <v>8</v>
      </c>
      <c r="R73" s="2" t="inlineStr">
        <is>
          <t>Garnlav
Lunglav
Talltita
Vitgrynig nållav
Skinnlav
Spindelblomster
Stuplav
Tjäder</t>
        </is>
      </c>
      <c r="S73">
        <f>HYPERLINK("https://klasma.github.io/Logging_2361/artfynd/A 32501-2019 artfynd.xlsx", "A 32501-2019")</f>
        <v/>
      </c>
      <c r="T73">
        <f>HYPERLINK("https://klasma.github.io/Logging_2361/kartor/A 32501-2019 karta.png", "A 32501-2019")</f>
        <v/>
      </c>
      <c r="V73">
        <f>HYPERLINK("https://klasma.github.io/Logging_2361/klagomål/A 32501-2019 FSC-klagomål.docx", "A 32501-2019")</f>
        <v/>
      </c>
      <c r="W73">
        <f>HYPERLINK("https://klasma.github.io/Logging_2361/klagomålsmail/A 32501-2019 FSC-klagomål mail.docx", "A 32501-2019")</f>
        <v/>
      </c>
      <c r="X73">
        <f>HYPERLINK("https://klasma.github.io/Logging_2361/tillsyn/A 32501-2019 tillsynsbegäran.docx", "A 32501-2019")</f>
        <v/>
      </c>
      <c r="Y73">
        <f>HYPERLINK("https://klasma.github.io/Logging_2361/tillsynsmail/A 32501-2019 tillsynsbegäran mail.docx", "A 32501-2019")</f>
        <v/>
      </c>
      <c r="Z73">
        <f>HYPERLINK("https://klasma.github.io/Logging_2361/fåglar/A 32501-2019 prioriterade fågelarter.docx", "A 32501-2019")</f>
        <v/>
      </c>
    </row>
    <row r="74" ht="15" customHeight="1">
      <c r="A74" t="inlineStr">
        <is>
          <t>A 33422-2021</t>
        </is>
      </c>
      <c r="B74" s="1" t="n">
        <v>44377</v>
      </c>
      <c r="C74" s="1" t="n">
        <v>45787</v>
      </c>
      <c r="D74" t="inlineStr">
        <is>
          <t>JÄMTLANDS LÄN</t>
        </is>
      </c>
      <c r="E74" t="inlineStr">
        <is>
          <t>HÄRJEDALEN</t>
        </is>
      </c>
      <c r="G74" t="n">
        <v>13.3</v>
      </c>
      <c r="H74" t="n">
        <v>2</v>
      </c>
      <c r="I74" t="n">
        <v>1</v>
      </c>
      <c r="J74" t="n">
        <v>7</v>
      </c>
      <c r="K74" t="n">
        <v>0</v>
      </c>
      <c r="L74" t="n">
        <v>0</v>
      </c>
      <c r="M74" t="n">
        <v>0</v>
      </c>
      <c r="N74" t="n">
        <v>0</v>
      </c>
      <c r="O74" t="n">
        <v>7</v>
      </c>
      <c r="P74" t="n">
        <v>0</v>
      </c>
      <c r="Q74" t="n">
        <v>8</v>
      </c>
      <c r="R74" s="2" t="inlineStr">
        <is>
          <t>Blanksvart spiklav
Garnlav
Knottrig blåslav
Parknål
Skrovellav
Spillkråka
Vitgrynig nållav
Plattlummer</t>
        </is>
      </c>
      <c r="S74">
        <f>HYPERLINK("https://klasma.github.io/Logging_2361/artfynd/A 33422-2021 artfynd.xlsx", "A 33422-2021")</f>
        <v/>
      </c>
      <c r="T74">
        <f>HYPERLINK("https://klasma.github.io/Logging_2361/kartor/A 33422-2021 karta.png", "A 33422-2021")</f>
        <v/>
      </c>
      <c r="V74">
        <f>HYPERLINK("https://klasma.github.io/Logging_2361/klagomål/A 33422-2021 FSC-klagomål.docx", "A 33422-2021")</f>
        <v/>
      </c>
      <c r="W74">
        <f>HYPERLINK("https://klasma.github.io/Logging_2361/klagomålsmail/A 33422-2021 FSC-klagomål mail.docx", "A 33422-2021")</f>
        <v/>
      </c>
      <c r="X74">
        <f>HYPERLINK("https://klasma.github.io/Logging_2361/tillsyn/A 33422-2021 tillsynsbegäran.docx", "A 33422-2021")</f>
        <v/>
      </c>
      <c r="Y74">
        <f>HYPERLINK("https://klasma.github.io/Logging_2361/tillsynsmail/A 33422-2021 tillsynsbegäran mail.docx", "A 33422-2021")</f>
        <v/>
      </c>
      <c r="Z74">
        <f>HYPERLINK("https://klasma.github.io/Logging_2361/fåglar/A 33422-2021 prioriterade fågelarter.docx", "A 33422-2021")</f>
        <v/>
      </c>
    </row>
    <row r="75" ht="15" customHeight="1">
      <c r="A75" t="inlineStr">
        <is>
          <t>A 74075-2021</t>
        </is>
      </c>
      <c r="B75" s="1" t="n">
        <v>44553</v>
      </c>
      <c r="C75" s="1" t="n">
        <v>45787</v>
      </c>
      <c r="D75" t="inlineStr">
        <is>
          <t>JÄMTLANDS LÄN</t>
        </is>
      </c>
      <c r="E75" t="inlineStr">
        <is>
          <t>HÄRJEDALEN</t>
        </is>
      </c>
      <c r="F75" t="inlineStr">
        <is>
          <t>Sveaskog</t>
        </is>
      </c>
      <c r="G75" t="n">
        <v>16</v>
      </c>
      <c r="H75" t="n">
        <v>1</v>
      </c>
      <c r="I75" t="n">
        <v>0</v>
      </c>
      <c r="J75" t="n">
        <v>8</v>
      </c>
      <c r="K75" t="n">
        <v>0</v>
      </c>
      <c r="L75" t="n">
        <v>0</v>
      </c>
      <c r="M75" t="n">
        <v>0</v>
      </c>
      <c r="N75" t="n">
        <v>0</v>
      </c>
      <c r="O75" t="n">
        <v>8</v>
      </c>
      <c r="P75" t="n">
        <v>0</v>
      </c>
      <c r="Q75" t="n">
        <v>8</v>
      </c>
      <c r="R75" s="2" t="inlineStr">
        <is>
          <t>Blanksvart spiklav
Garnlav
Kolflarnlav
Kortskaftad ärgspik
Mörk kolflarnlav
Varglav
Vedflamlav
Vedskivlav</t>
        </is>
      </c>
      <c r="S75">
        <f>HYPERLINK("https://klasma.github.io/Logging_2361/artfynd/A 74075-2021 artfynd.xlsx", "A 74075-2021")</f>
        <v/>
      </c>
      <c r="T75">
        <f>HYPERLINK("https://klasma.github.io/Logging_2361/kartor/A 74075-2021 karta.png", "A 74075-2021")</f>
        <v/>
      </c>
      <c r="V75">
        <f>HYPERLINK("https://klasma.github.io/Logging_2361/klagomål/A 74075-2021 FSC-klagomål.docx", "A 74075-2021")</f>
        <v/>
      </c>
      <c r="W75">
        <f>HYPERLINK("https://klasma.github.io/Logging_2361/klagomålsmail/A 74075-2021 FSC-klagomål mail.docx", "A 74075-2021")</f>
        <v/>
      </c>
      <c r="X75">
        <f>HYPERLINK("https://klasma.github.io/Logging_2361/tillsyn/A 74075-2021 tillsynsbegäran.docx", "A 74075-2021")</f>
        <v/>
      </c>
      <c r="Y75">
        <f>HYPERLINK("https://klasma.github.io/Logging_2361/tillsynsmail/A 74075-2021 tillsynsbegäran mail.docx", "A 74075-2021")</f>
        <v/>
      </c>
    </row>
    <row r="76" ht="15" customHeight="1">
      <c r="A76" t="inlineStr">
        <is>
          <t>A 41555-2023</t>
        </is>
      </c>
      <c r="B76" s="1" t="n">
        <v>45175</v>
      </c>
      <c r="C76" s="1" t="n">
        <v>45787</v>
      </c>
      <c r="D76" t="inlineStr">
        <is>
          <t>JÄMTLANDS LÄN</t>
        </is>
      </c>
      <c r="E76" t="inlineStr">
        <is>
          <t>HÄRJEDALEN</t>
        </is>
      </c>
      <c r="F76" t="inlineStr">
        <is>
          <t>Bergvik skog väst AB</t>
        </is>
      </c>
      <c r="G76" t="n">
        <v>10.2</v>
      </c>
      <c r="H76" t="n">
        <v>1</v>
      </c>
      <c r="I76" t="n">
        <v>0</v>
      </c>
      <c r="J76" t="n">
        <v>7</v>
      </c>
      <c r="K76" t="n">
        <v>1</v>
      </c>
      <c r="L76" t="n">
        <v>0</v>
      </c>
      <c r="M76" t="n">
        <v>0</v>
      </c>
      <c r="N76" t="n">
        <v>0</v>
      </c>
      <c r="O76" t="n">
        <v>8</v>
      </c>
      <c r="P76" t="n">
        <v>1</v>
      </c>
      <c r="Q76" t="n">
        <v>8</v>
      </c>
      <c r="R76" s="2" t="inlineStr">
        <is>
          <t>Knärot
Dvärgbägarlav
Garnlav
Kolflarnlav
Mörk kolflarnlav
Vedflamlav
Vedskivlav
Violettgrå tagellav</t>
        </is>
      </c>
      <c r="S76">
        <f>HYPERLINK("https://klasma.github.io/Logging_2361/artfynd/A 41555-2023 artfynd.xlsx", "A 41555-2023")</f>
        <v/>
      </c>
      <c r="T76">
        <f>HYPERLINK("https://klasma.github.io/Logging_2361/kartor/A 41555-2023 karta.png", "A 41555-2023")</f>
        <v/>
      </c>
      <c r="U76">
        <f>HYPERLINK("https://klasma.github.io/Logging_2361/knärot/A 41555-2023 karta knärot.png", "A 41555-2023")</f>
        <v/>
      </c>
      <c r="V76">
        <f>HYPERLINK("https://klasma.github.io/Logging_2361/klagomål/A 41555-2023 FSC-klagomål.docx", "A 41555-2023")</f>
        <v/>
      </c>
      <c r="W76">
        <f>HYPERLINK("https://klasma.github.io/Logging_2361/klagomålsmail/A 41555-2023 FSC-klagomål mail.docx", "A 41555-2023")</f>
        <v/>
      </c>
      <c r="X76">
        <f>HYPERLINK("https://klasma.github.io/Logging_2361/tillsyn/A 41555-2023 tillsynsbegäran.docx", "A 41555-2023")</f>
        <v/>
      </c>
      <c r="Y76">
        <f>HYPERLINK("https://klasma.github.io/Logging_2361/tillsynsmail/A 41555-2023 tillsynsbegäran mail.docx", "A 41555-2023")</f>
        <v/>
      </c>
    </row>
    <row r="77" ht="15" customHeight="1">
      <c r="A77" t="inlineStr">
        <is>
          <t>A 18885-2024</t>
        </is>
      </c>
      <c r="B77" s="1" t="n">
        <v>45426</v>
      </c>
      <c r="C77" s="1" t="n">
        <v>45787</v>
      </c>
      <c r="D77" t="inlineStr">
        <is>
          <t>JÄMTLANDS LÄN</t>
        </is>
      </c>
      <c r="E77" t="inlineStr">
        <is>
          <t>HÄRJEDALEN</t>
        </is>
      </c>
      <c r="G77" t="n">
        <v>9.4</v>
      </c>
      <c r="H77" t="n">
        <v>8</v>
      </c>
      <c r="I77" t="n">
        <v>3</v>
      </c>
      <c r="J77" t="n">
        <v>0</v>
      </c>
      <c r="K77" t="n">
        <v>0</v>
      </c>
      <c r="L77" t="n">
        <v>0</v>
      </c>
      <c r="M77" t="n">
        <v>0</v>
      </c>
      <c r="N77" t="n">
        <v>0</v>
      </c>
      <c r="O77" t="n">
        <v>0</v>
      </c>
      <c r="P77" t="n">
        <v>0</v>
      </c>
      <c r="Q77" t="n">
        <v>8</v>
      </c>
      <c r="R77" s="2" t="inlineStr">
        <is>
          <t>Korallrot
Spindelblomster
Tvåblad
Vanlig groda
Brudsporre
Fläcknycklar
Ängsnycklar
Revlummer</t>
        </is>
      </c>
      <c r="S77">
        <f>HYPERLINK("https://klasma.github.io/Logging_2361/artfynd/A 18885-2024 artfynd.xlsx", "A 18885-2024")</f>
        <v/>
      </c>
      <c r="T77">
        <f>HYPERLINK("https://klasma.github.io/Logging_2361/kartor/A 18885-2024 karta.png", "A 18885-2024")</f>
        <v/>
      </c>
      <c r="V77">
        <f>HYPERLINK("https://klasma.github.io/Logging_2361/klagomål/A 18885-2024 FSC-klagomål.docx", "A 18885-2024")</f>
        <v/>
      </c>
      <c r="W77">
        <f>HYPERLINK("https://klasma.github.io/Logging_2361/klagomålsmail/A 18885-2024 FSC-klagomål mail.docx", "A 18885-2024")</f>
        <v/>
      </c>
      <c r="X77">
        <f>HYPERLINK("https://klasma.github.io/Logging_2361/tillsyn/A 18885-2024 tillsynsbegäran.docx", "A 18885-2024")</f>
        <v/>
      </c>
      <c r="Y77">
        <f>HYPERLINK("https://klasma.github.io/Logging_2361/tillsynsmail/A 18885-2024 tillsynsbegäran mail.docx", "A 18885-2024")</f>
        <v/>
      </c>
    </row>
    <row r="78" ht="15" customHeight="1">
      <c r="A78" t="inlineStr">
        <is>
          <t>A 53354-2024</t>
        </is>
      </c>
      <c r="B78" s="1" t="n">
        <v>45614</v>
      </c>
      <c r="C78" s="1" t="n">
        <v>45787</v>
      </c>
      <c r="D78" t="inlineStr">
        <is>
          <t>JÄMTLANDS LÄN</t>
        </is>
      </c>
      <c r="E78" t="inlineStr">
        <is>
          <t>HÄRJEDALEN</t>
        </is>
      </c>
      <c r="F78" t="inlineStr">
        <is>
          <t>Sveaskog</t>
        </is>
      </c>
      <c r="G78" t="n">
        <v>15.3</v>
      </c>
      <c r="H78" t="n">
        <v>5</v>
      </c>
      <c r="I78" t="n">
        <v>0</v>
      </c>
      <c r="J78" t="n">
        <v>5</v>
      </c>
      <c r="K78" t="n">
        <v>1</v>
      </c>
      <c r="L78" t="n">
        <v>0</v>
      </c>
      <c r="M78" t="n">
        <v>0</v>
      </c>
      <c r="N78" t="n">
        <v>0</v>
      </c>
      <c r="O78" t="n">
        <v>6</v>
      </c>
      <c r="P78" t="n">
        <v>1</v>
      </c>
      <c r="Q78" t="n">
        <v>8</v>
      </c>
      <c r="R78" s="2" t="inlineStr">
        <is>
          <t>Knärot
Kolflarnlav
Mörk kolflarnlav
Talltita
Varglav
Vedskivlav
Orre
Tjäder</t>
        </is>
      </c>
      <c r="S78">
        <f>HYPERLINK("https://klasma.github.io/Logging_2361/artfynd/A 53354-2024 artfynd.xlsx", "A 53354-2024")</f>
        <v/>
      </c>
      <c r="T78">
        <f>HYPERLINK("https://klasma.github.io/Logging_2361/kartor/A 53354-2024 karta.png", "A 53354-2024")</f>
        <v/>
      </c>
      <c r="U78">
        <f>HYPERLINK("https://klasma.github.io/Logging_2361/knärot/A 53354-2024 karta knärot.png", "A 53354-2024")</f>
        <v/>
      </c>
      <c r="V78">
        <f>HYPERLINK("https://klasma.github.io/Logging_2361/klagomål/A 53354-2024 FSC-klagomål.docx", "A 53354-2024")</f>
        <v/>
      </c>
      <c r="W78">
        <f>HYPERLINK("https://klasma.github.io/Logging_2361/klagomålsmail/A 53354-2024 FSC-klagomål mail.docx", "A 53354-2024")</f>
        <v/>
      </c>
      <c r="X78">
        <f>HYPERLINK("https://klasma.github.io/Logging_2361/tillsyn/A 53354-2024 tillsynsbegäran.docx", "A 53354-2024")</f>
        <v/>
      </c>
      <c r="Y78">
        <f>HYPERLINK("https://klasma.github.io/Logging_2361/tillsynsmail/A 53354-2024 tillsynsbegäran mail.docx", "A 53354-2024")</f>
        <v/>
      </c>
      <c r="Z78">
        <f>HYPERLINK("https://klasma.github.io/Logging_2361/fåglar/A 53354-2024 prioriterade fågelarter.docx", "A 53354-2024")</f>
        <v/>
      </c>
    </row>
    <row r="79" ht="15" customHeight="1">
      <c r="A79" t="inlineStr">
        <is>
          <t>A 14565-2025</t>
        </is>
      </c>
      <c r="B79" s="1" t="n">
        <v>45741</v>
      </c>
      <c r="C79" s="1" t="n">
        <v>45787</v>
      </c>
      <c r="D79" t="inlineStr">
        <is>
          <t>JÄMTLANDS LÄN</t>
        </is>
      </c>
      <c r="E79" t="inlineStr">
        <is>
          <t>HÄRJEDALEN</t>
        </is>
      </c>
      <c r="G79" t="n">
        <v>7.3</v>
      </c>
      <c r="H79" t="n">
        <v>0</v>
      </c>
      <c r="I79" t="n">
        <v>0</v>
      </c>
      <c r="J79" t="n">
        <v>4</v>
      </c>
      <c r="K79" t="n">
        <v>4</v>
      </c>
      <c r="L79" t="n">
        <v>0</v>
      </c>
      <c r="M79" t="n">
        <v>0</v>
      </c>
      <c r="N79" t="n">
        <v>0</v>
      </c>
      <c r="O79" t="n">
        <v>8</v>
      </c>
      <c r="P79" t="n">
        <v>4</v>
      </c>
      <c r="Q79" t="n">
        <v>8</v>
      </c>
      <c r="R79" s="2" t="inlineStr">
        <is>
          <t>Goliatmusseron
Smalfotad taggsvamp
Spadskinn
Tallgråticka
Blå taggsvamp
Skrovlig taggsvamp
Svart taggsvamp
Talltaggsvamp</t>
        </is>
      </c>
      <c r="S79">
        <f>HYPERLINK("https://klasma.github.io/Logging_232361/artfynd/A 14565-2025 artfynd.xlsx", "A 14565-2025")</f>
        <v/>
      </c>
      <c r="T79">
        <f>HYPERLINK("https://klasma.github.io/Logging_232361/kartor/A 14565-2025 karta.png", "A 14565-2025")</f>
        <v/>
      </c>
      <c r="V79">
        <f>HYPERLINK("https://klasma.github.io/Logging_232361/klagomål/A 14565-2025 FSC-klagomål.docx", "A 14565-2025")</f>
        <v/>
      </c>
      <c r="W79">
        <f>HYPERLINK("https://klasma.github.io/Logging_232361/klagomålsmail/A 14565-2025 FSC-klagomål mail.docx", "A 14565-2025")</f>
        <v/>
      </c>
      <c r="X79">
        <f>HYPERLINK("https://klasma.github.io/Logging_232361/tillsyn/A 14565-2025 tillsynsbegäran.docx", "A 14565-2025")</f>
        <v/>
      </c>
      <c r="Y79">
        <f>HYPERLINK("https://klasma.github.io/Logging_232361/tillsynsmail/A 14565-2025 tillsynsbegäran mail.docx", "A 14565-2025")</f>
        <v/>
      </c>
    </row>
    <row r="80" ht="15" customHeight="1">
      <c r="A80" t="inlineStr">
        <is>
          <t>A 42828-2021</t>
        </is>
      </c>
      <c r="B80" s="1" t="n">
        <v>44430</v>
      </c>
      <c r="C80" s="1" t="n">
        <v>45787</v>
      </c>
      <c r="D80" t="inlineStr">
        <is>
          <t>JÄMTLANDS LÄN</t>
        </is>
      </c>
      <c r="E80" t="inlineStr">
        <is>
          <t>HÄRJEDALEN</t>
        </is>
      </c>
      <c r="F80" t="inlineStr">
        <is>
          <t>Sveaskog</t>
        </is>
      </c>
      <c r="G80" t="n">
        <v>1.7</v>
      </c>
      <c r="H80" t="n">
        <v>0</v>
      </c>
      <c r="I80" t="n">
        <v>1</v>
      </c>
      <c r="J80" t="n">
        <v>3</v>
      </c>
      <c r="K80" t="n">
        <v>3</v>
      </c>
      <c r="L80" t="n">
        <v>0</v>
      </c>
      <c r="M80" t="n">
        <v>0</v>
      </c>
      <c r="N80" t="n">
        <v>0</v>
      </c>
      <c r="O80" t="n">
        <v>6</v>
      </c>
      <c r="P80" t="n">
        <v>3</v>
      </c>
      <c r="Q80" t="n">
        <v>7</v>
      </c>
      <c r="R80" s="2" t="inlineStr">
        <is>
          <t>Fläckporing
Gräddporing
Smalfotad taggsvamp
Dvärgbägarlav
Nordtagging
Vaddporing
Dropptaggsvamp</t>
        </is>
      </c>
      <c r="S80">
        <f>HYPERLINK("https://klasma.github.io/Logging_2361/artfynd/A 42828-2021 artfynd.xlsx", "A 42828-2021")</f>
        <v/>
      </c>
      <c r="T80">
        <f>HYPERLINK("https://klasma.github.io/Logging_2361/kartor/A 42828-2021 karta.png", "A 42828-2021")</f>
        <v/>
      </c>
      <c r="V80">
        <f>HYPERLINK("https://klasma.github.io/Logging_2361/klagomål/A 42828-2021 FSC-klagomål.docx", "A 42828-2021")</f>
        <v/>
      </c>
      <c r="W80">
        <f>HYPERLINK("https://klasma.github.io/Logging_2361/klagomålsmail/A 42828-2021 FSC-klagomål mail.docx", "A 42828-2021")</f>
        <v/>
      </c>
      <c r="X80">
        <f>HYPERLINK("https://klasma.github.io/Logging_2361/tillsyn/A 42828-2021 tillsynsbegäran.docx", "A 42828-2021")</f>
        <v/>
      </c>
      <c r="Y80">
        <f>HYPERLINK("https://klasma.github.io/Logging_2361/tillsynsmail/A 42828-2021 tillsynsbegäran mail.docx", "A 42828-2021")</f>
        <v/>
      </c>
    </row>
    <row r="81" ht="15" customHeight="1">
      <c r="A81" t="inlineStr">
        <is>
          <t>A 74070-2021</t>
        </is>
      </c>
      <c r="B81" s="1" t="n">
        <v>44553</v>
      </c>
      <c r="C81" s="1" t="n">
        <v>45787</v>
      </c>
      <c r="D81" t="inlineStr">
        <is>
          <t>JÄMTLANDS LÄN</t>
        </is>
      </c>
      <c r="E81" t="inlineStr">
        <is>
          <t>HÄRJEDALEN</t>
        </is>
      </c>
      <c r="F81" t="inlineStr">
        <is>
          <t>Sveaskog</t>
        </is>
      </c>
      <c r="G81" t="n">
        <v>20</v>
      </c>
      <c r="H81" t="n">
        <v>1</v>
      </c>
      <c r="I81" t="n">
        <v>0</v>
      </c>
      <c r="J81" t="n">
        <v>6</v>
      </c>
      <c r="K81" t="n">
        <v>1</v>
      </c>
      <c r="L81" t="n">
        <v>0</v>
      </c>
      <c r="M81" t="n">
        <v>0</v>
      </c>
      <c r="N81" t="n">
        <v>0</v>
      </c>
      <c r="O81" t="n">
        <v>7</v>
      </c>
      <c r="P81" t="n">
        <v>1</v>
      </c>
      <c r="Q81" t="n">
        <v>7</v>
      </c>
      <c r="R81" s="2" t="inlineStr">
        <is>
          <t>Varglavsknöl
Blanksvart spiklav
Garnlav
Kolflarnlav
Mörk kolflarnlav
Varglav
Vedflamlav</t>
        </is>
      </c>
      <c r="S81">
        <f>HYPERLINK("https://klasma.github.io/Logging_2361/artfynd/A 74070-2021 artfynd.xlsx", "A 74070-2021")</f>
        <v/>
      </c>
      <c r="T81">
        <f>HYPERLINK("https://klasma.github.io/Logging_2361/kartor/A 74070-2021 karta.png", "A 74070-2021")</f>
        <v/>
      </c>
      <c r="V81">
        <f>HYPERLINK("https://klasma.github.io/Logging_2361/klagomål/A 74070-2021 FSC-klagomål.docx", "A 74070-2021")</f>
        <v/>
      </c>
      <c r="W81">
        <f>HYPERLINK("https://klasma.github.io/Logging_2361/klagomålsmail/A 74070-2021 FSC-klagomål mail.docx", "A 74070-2021")</f>
        <v/>
      </c>
      <c r="X81">
        <f>HYPERLINK("https://klasma.github.io/Logging_2361/tillsyn/A 74070-2021 tillsynsbegäran.docx", "A 74070-2021")</f>
        <v/>
      </c>
      <c r="Y81">
        <f>HYPERLINK("https://klasma.github.io/Logging_2361/tillsynsmail/A 74070-2021 tillsynsbegäran mail.docx", "A 74070-2021")</f>
        <v/>
      </c>
    </row>
    <row r="82" ht="15" customHeight="1">
      <c r="A82" t="inlineStr">
        <is>
          <t>A 14058-2023</t>
        </is>
      </c>
      <c r="B82" s="1" t="n">
        <v>45007</v>
      </c>
      <c r="C82" s="1" t="n">
        <v>45787</v>
      </c>
      <c r="D82" t="inlineStr">
        <is>
          <t>JÄMTLANDS LÄN</t>
        </is>
      </c>
      <c r="E82" t="inlineStr">
        <is>
          <t>HÄRJEDALEN</t>
        </is>
      </c>
      <c r="F82" t="inlineStr">
        <is>
          <t>Bergvik skog väst AB</t>
        </is>
      </c>
      <c r="G82" t="n">
        <v>33.9</v>
      </c>
      <c r="H82" t="n">
        <v>1</v>
      </c>
      <c r="I82" t="n">
        <v>1</v>
      </c>
      <c r="J82" t="n">
        <v>5</v>
      </c>
      <c r="K82" t="n">
        <v>1</v>
      </c>
      <c r="L82" t="n">
        <v>0</v>
      </c>
      <c r="M82" t="n">
        <v>0</v>
      </c>
      <c r="N82" t="n">
        <v>0</v>
      </c>
      <c r="O82" t="n">
        <v>6</v>
      </c>
      <c r="P82" t="n">
        <v>1</v>
      </c>
      <c r="Q82" t="n">
        <v>7</v>
      </c>
      <c r="R82" s="2" t="inlineStr">
        <is>
          <t>Gräddporing
Björktrast
Kolflarnlav
Mörk kolflarnlav
Nordtagging
Vedflamlav
Skarp dropptaggsvamp</t>
        </is>
      </c>
      <c r="S82">
        <f>HYPERLINK("https://klasma.github.io/Logging_2361/artfynd/A 14058-2023 artfynd.xlsx", "A 14058-2023")</f>
        <v/>
      </c>
      <c r="T82">
        <f>HYPERLINK("https://klasma.github.io/Logging_2361/kartor/A 14058-2023 karta.png", "A 14058-2023")</f>
        <v/>
      </c>
      <c r="V82">
        <f>HYPERLINK("https://klasma.github.io/Logging_2361/klagomål/A 14058-2023 FSC-klagomål.docx", "A 14058-2023")</f>
        <v/>
      </c>
      <c r="W82">
        <f>HYPERLINK("https://klasma.github.io/Logging_2361/klagomålsmail/A 14058-2023 FSC-klagomål mail.docx", "A 14058-2023")</f>
        <v/>
      </c>
      <c r="X82">
        <f>HYPERLINK("https://klasma.github.io/Logging_2361/tillsyn/A 14058-2023 tillsynsbegäran.docx", "A 14058-2023")</f>
        <v/>
      </c>
      <c r="Y82">
        <f>HYPERLINK("https://klasma.github.io/Logging_2361/tillsynsmail/A 14058-2023 tillsynsbegäran mail.docx", "A 14058-2023")</f>
        <v/>
      </c>
      <c r="Z82">
        <f>HYPERLINK("https://klasma.github.io/Logging_2361/fåglar/A 14058-2023 prioriterade fågelarter.docx", "A 14058-2023")</f>
        <v/>
      </c>
    </row>
    <row r="83" ht="15" customHeight="1">
      <c r="A83" t="inlineStr">
        <is>
          <t>A 29760-2023</t>
        </is>
      </c>
      <c r="B83" s="1" t="n">
        <v>45107</v>
      </c>
      <c r="C83" s="1" t="n">
        <v>45787</v>
      </c>
      <c r="D83" t="inlineStr">
        <is>
          <t>JÄMTLANDS LÄN</t>
        </is>
      </c>
      <c r="E83" t="inlineStr">
        <is>
          <t>HÄRJEDALEN</t>
        </is>
      </c>
      <c r="G83" t="n">
        <v>24.9</v>
      </c>
      <c r="H83" t="n">
        <v>1</v>
      </c>
      <c r="I83" t="n">
        <v>0</v>
      </c>
      <c r="J83" t="n">
        <v>6</v>
      </c>
      <c r="K83" t="n">
        <v>1</v>
      </c>
      <c r="L83" t="n">
        <v>0</v>
      </c>
      <c r="M83" t="n">
        <v>0</v>
      </c>
      <c r="N83" t="n">
        <v>0</v>
      </c>
      <c r="O83" t="n">
        <v>7</v>
      </c>
      <c r="P83" t="n">
        <v>1</v>
      </c>
      <c r="Q83" t="n">
        <v>7</v>
      </c>
      <c r="R83" s="2" t="inlineStr">
        <is>
          <t>Knärot
Garnlav
Kolflarnlav
Lunglav
Mörk kolflarnlav
Vedskivlav
Violettgrå tagellav</t>
        </is>
      </c>
      <c r="S83">
        <f>HYPERLINK("https://klasma.github.io/Logging_2361/artfynd/A 29760-2023 artfynd.xlsx", "A 29760-2023")</f>
        <v/>
      </c>
      <c r="T83">
        <f>HYPERLINK("https://klasma.github.io/Logging_2361/kartor/A 29760-2023 karta.png", "A 29760-2023")</f>
        <v/>
      </c>
      <c r="U83">
        <f>HYPERLINK("https://klasma.github.io/Logging_2361/knärot/A 29760-2023 karta knärot.png", "A 29760-2023")</f>
        <v/>
      </c>
      <c r="V83">
        <f>HYPERLINK("https://klasma.github.io/Logging_2361/klagomål/A 29760-2023 FSC-klagomål.docx", "A 29760-2023")</f>
        <v/>
      </c>
      <c r="W83">
        <f>HYPERLINK("https://klasma.github.io/Logging_2361/klagomålsmail/A 29760-2023 FSC-klagomål mail.docx", "A 29760-2023")</f>
        <v/>
      </c>
      <c r="X83">
        <f>HYPERLINK("https://klasma.github.io/Logging_2361/tillsyn/A 29760-2023 tillsynsbegäran.docx", "A 29760-2023")</f>
        <v/>
      </c>
      <c r="Y83">
        <f>HYPERLINK("https://klasma.github.io/Logging_2361/tillsynsmail/A 29760-2023 tillsynsbegäran mail.docx", "A 29760-2023")</f>
        <v/>
      </c>
    </row>
    <row r="84" ht="15" customHeight="1">
      <c r="A84" t="inlineStr">
        <is>
          <t>A 42719-2023</t>
        </is>
      </c>
      <c r="B84" s="1" t="n">
        <v>45181</v>
      </c>
      <c r="C84" s="1" t="n">
        <v>45787</v>
      </c>
      <c r="D84" t="inlineStr">
        <is>
          <t>JÄMTLANDS LÄN</t>
        </is>
      </c>
      <c r="E84" t="inlineStr">
        <is>
          <t>HÄRJEDALEN</t>
        </is>
      </c>
      <c r="F84" t="inlineStr">
        <is>
          <t>Sveaskog</t>
        </is>
      </c>
      <c r="G84" t="n">
        <v>11.3</v>
      </c>
      <c r="H84" t="n">
        <v>0</v>
      </c>
      <c r="I84" t="n">
        <v>2</v>
      </c>
      <c r="J84" t="n">
        <v>5</v>
      </c>
      <c r="K84" t="n">
        <v>0</v>
      </c>
      <c r="L84" t="n">
        <v>0</v>
      </c>
      <c r="M84" t="n">
        <v>0</v>
      </c>
      <c r="N84" t="n">
        <v>0</v>
      </c>
      <c r="O84" t="n">
        <v>5</v>
      </c>
      <c r="P84" t="n">
        <v>0</v>
      </c>
      <c r="Q84" t="n">
        <v>7</v>
      </c>
      <c r="R84" s="2" t="inlineStr">
        <is>
          <t>Blå taggsvamp
Dvärgbägarlav
Kolflarnlav
Mörk kolflarnlav
Vedflamlav
Dropptaggsvamp
Skarp dropptaggsvamp</t>
        </is>
      </c>
      <c r="S84">
        <f>HYPERLINK("https://klasma.github.io/Logging_2361/artfynd/A 42719-2023 artfynd.xlsx", "A 42719-2023")</f>
        <v/>
      </c>
      <c r="T84">
        <f>HYPERLINK("https://klasma.github.io/Logging_2361/kartor/A 42719-2023 karta.png", "A 42719-2023")</f>
        <v/>
      </c>
      <c r="V84">
        <f>HYPERLINK("https://klasma.github.io/Logging_2361/klagomål/A 42719-2023 FSC-klagomål.docx", "A 42719-2023")</f>
        <v/>
      </c>
      <c r="W84">
        <f>HYPERLINK("https://klasma.github.io/Logging_2361/klagomålsmail/A 42719-2023 FSC-klagomål mail.docx", "A 42719-2023")</f>
        <v/>
      </c>
      <c r="X84">
        <f>HYPERLINK("https://klasma.github.io/Logging_2361/tillsyn/A 42719-2023 tillsynsbegäran.docx", "A 42719-2023")</f>
        <v/>
      </c>
      <c r="Y84">
        <f>HYPERLINK("https://klasma.github.io/Logging_2361/tillsynsmail/A 42719-2023 tillsynsbegäran mail.docx", "A 42719-2023")</f>
        <v/>
      </c>
    </row>
    <row r="85" ht="15" customHeight="1">
      <c r="A85" t="inlineStr">
        <is>
          <t>A 33404-2024</t>
        </is>
      </c>
      <c r="B85" s="1" t="n">
        <v>45519</v>
      </c>
      <c r="C85" s="1" t="n">
        <v>45787</v>
      </c>
      <c r="D85" t="inlineStr">
        <is>
          <t>JÄMTLANDS LÄN</t>
        </is>
      </c>
      <c r="E85" t="inlineStr">
        <is>
          <t>HÄRJEDALEN</t>
        </is>
      </c>
      <c r="F85" t="inlineStr">
        <is>
          <t>SCA</t>
        </is>
      </c>
      <c r="G85" t="n">
        <v>8.1</v>
      </c>
      <c r="H85" t="n">
        <v>0</v>
      </c>
      <c r="I85" t="n">
        <v>0</v>
      </c>
      <c r="J85" t="n">
        <v>6</v>
      </c>
      <c r="K85" t="n">
        <v>1</v>
      </c>
      <c r="L85" t="n">
        <v>0</v>
      </c>
      <c r="M85" t="n">
        <v>0</v>
      </c>
      <c r="N85" t="n">
        <v>0</v>
      </c>
      <c r="O85" t="n">
        <v>7</v>
      </c>
      <c r="P85" t="n">
        <v>1</v>
      </c>
      <c r="Q85" t="n">
        <v>7</v>
      </c>
      <c r="R85" s="2" t="inlineStr">
        <is>
          <t>Rynkskinn
Gammelgransskål
Garnlav
Granticka
Gränsticka
Knottrig blåslav
Ullticka</t>
        </is>
      </c>
      <c r="S85">
        <f>HYPERLINK("https://klasma.github.io/Logging_2361/artfynd/A 33404-2024 artfynd.xlsx", "A 33404-2024")</f>
        <v/>
      </c>
      <c r="T85">
        <f>HYPERLINK("https://klasma.github.io/Logging_2361/kartor/A 33404-2024 karta.png", "A 33404-2024")</f>
        <v/>
      </c>
      <c r="V85">
        <f>HYPERLINK("https://klasma.github.io/Logging_2361/klagomål/A 33404-2024 FSC-klagomål.docx", "A 33404-2024")</f>
        <v/>
      </c>
      <c r="W85">
        <f>HYPERLINK("https://klasma.github.io/Logging_2361/klagomålsmail/A 33404-2024 FSC-klagomål mail.docx", "A 33404-2024")</f>
        <v/>
      </c>
      <c r="X85">
        <f>HYPERLINK("https://klasma.github.io/Logging_2361/tillsyn/A 33404-2024 tillsynsbegäran.docx", "A 33404-2024")</f>
        <v/>
      </c>
      <c r="Y85">
        <f>HYPERLINK("https://klasma.github.io/Logging_2361/tillsynsmail/A 33404-2024 tillsynsbegäran mail.docx", "A 33404-2024")</f>
        <v/>
      </c>
    </row>
    <row r="86" ht="15" customHeight="1">
      <c r="A86" t="inlineStr">
        <is>
          <t>A 9618-2025</t>
        </is>
      </c>
      <c r="B86" s="1" t="n">
        <v>45715</v>
      </c>
      <c r="C86" s="1" t="n">
        <v>45787</v>
      </c>
      <c r="D86" t="inlineStr">
        <is>
          <t>JÄMTLANDS LÄN</t>
        </is>
      </c>
      <c r="E86" t="inlineStr">
        <is>
          <t>HÄRJEDALEN</t>
        </is>
      </c>
      <c r="F86" t="inlineStr">
        <is>
          <t>Bergvik skog väst AB</t>
        </is>
      </c>
      <c r="G86" t="n">
        <v>11.5</v>
      </c>
      <c r="H86" t="n">
        <v>1</v>
      </c>
      <c r="I86" t="n">
        <v>0</v>
      </c>
      <c r="J86" t="n">
        <v>7</v>
      </c>
      <c r="K86" t="n">
        <v>0</v>
      </c>
      <c r="L86" t="n">
        <v>0</v>
      </c>
      <c r="M86" t="n">
        <v>0</v>
      </c>
      <c r="N86" t="n">
        <v>0</v>
      </c>
      <c r="O86" t="n">
        <v>7</v>
      </c>
      <c r="P86" t="n">
        <v>0</v>
      </c>
      <c r="Q86" t="n">
        <v>7</v>
      </c>
      <c r="R86" s="2" t="inlineStr">
        <is>
          <t>Doftskinn
Garnlav
Granticka
Harticka
Tretåig hackspett
Ullticka
Vitgrynig nållav</t>
        </is>
      </c>
      <c r="S86">
        <f>HYPERLINK("https://klasma.github.io/Logging_232361/artfynd/A 9618-2025 artfynd.xlsx", "A 9618-2025")</f>
        <v/>
      </c>
      <c r="T86">
        <f>HYPERLINK("https://klasma.github.io/Logging_232361/kartor/A 9618-2025 karta.png", "A 9618-2025")</f>
        <v/>
      </c>
      <c r="V86">
        <f>HYPERLINK("https://klasma.github.io/Logging_232361/klagomål/A 9618-2025 FSC-klagomål.docx", "A 9618-2025")</f>
        <v/>
      </c>
      <c r="W86">
        <f>HYPERLINK("https://klasma.github.io/Logging_232361/klagomålsmail/A 9618-2025 FSC-klagomål mail.docx", "A 9618-2025")</f>
        <v/>
      </c>
      <c r="X86">
        <f>HYPERLINK("https://klasma.github.io/Logging_232361/tillsyn/A 9618-2025 tillsynsbegäran.docx", "A 9618-2025")</f>
        <v/>
      </c>
      <c r="Y86">
        <f>HYPERLINK("https://klasma.github.io/Logging_232361/tillsynsmail/A 9618-2025 tillsynsbegäran mail.docx", "A 9618-2025")</f>
        <v/>
      </c>
      <c r="Z86">
        <f>HYPERLINK("https://klasma.github.io/Logging_232361/fåglar/A 9618-2025 prioriterade fågelarter.docx", "A 9618-2025")</f>
        <v/>
      </c>
    </row>
    <row r="87" ht="15" customHeight="1">
      <c r="A87" t="inlineStr">
        <is>
          <t>A 18557-2025</t>
        </is>
      </c>
      <c r="B87" s="1" t="n">
        <v>45763</v>
      </c>
      <c r="C87" s="1" t="n">
        <v>45787</v>
      </c>
      <c r="D87" t="inlineStr">
        <is>
          <t>JÄMTLANDS LÄN</t>
        </is>
      </c>
      <c r="E87" t="inlineStr">
        <is>
          <t>HÄRJEDALEN</t>
        </is>
      </c>
      <c r="G87" t="n">
        <v>46.9</v>
      </c>
      <c r="H87" t="n">
        <v>0</v>
      </c>
      <c r="I87" t="n">
        <v>0</v>
      </c>
      <c r="J87" t="n">
        <v>7</v>
      </c>
      <c r="K87" t="n">
        <v>0</v>
      </c>
      <c r="L87" t="n">
        <v>0</v>
      </c>
      <c r="M87" t="n">
        <v>0</v>
      </c>
      <c r="N87" t="n">
        <v>0</v>
      </c>
      <c r="O87" t="n">
        <v>7</v>
      </c>
      <c r="P87" t="n">
        <v>0</v>
      </c>
      <c r="Q87" t="n">
        <v>7</v>
      </c>
      <c r="R87" s="2" t="inlineStr">
        <is>
          <t>Blanksvart spiklav
Doftskinn
Gammelgransskål
Garnlav
Knottrig blåslav
Kolflarnlav
Mörk kolflarnlav</t>
        </is>
      </c>
      <c r="S87">
        <f>HYPERLINK("https://klasma.github.io/Logging_232361/artfynd/A 18557-2025 artfynd.xlsx", "A 18557-2025")</f>
        <v/>
      </c>
      <c r="T87">
        <f>HYPERLINK("https://klasma.github.io/Logging_232361/kartor/A 18557-2025 karta.png", "A 18557-2025")</f>
        <v/>
      </c>
      <c r="V87">
        <f>HYPERLINK("https://klasma.github.io/Logging_232361/klagomål/A 18557-2025 FSC-klagomål.docx", "A 18557-2025")</f>
        <v/>
      </c>
      <c r="W87">
        <f>HYPERLINK("https://klasma.github.io/Logging_232361/klagomålsmail/A 18557-2025 FSC-klagomål mail.docx", "A 18557-2025")</f>
        <v/>
      </c>
      <c r="X87">
        <f>HYPERLINK("https://klasma.github.io/Logging_232361/tillsyn/A 18557-2025 tillsynsbegäran.docx", "A 18557-2025")</f>
        <v/>
      </c>
      <c r="Y87">
        <f>HYPERLINK("https://klasma.github.io/Logging_232361/tillsynsmail/A 18557-2025 tillsynsbegäran mail.docx", "A 18557-2025")</f>
        <v/>
      </c>
    </row>
    <row r="88" ht="15" customHeight="1">
      <c r="A88" t="inlineStr">
        <is>
          <t>A 38530-2019</t>
        </is>
      </c>
      <c r="B88" s="1" t="n">
        <v>43685</v>
      </c>
      <c r="C88" s="1" t="n">
        <v>45787</v>
      </c>
      <c r="D88" t="inlineStr">
        <is>
          <t>JÄMTLANDS LÄN</t>
        </is>
      </c>
      <c r="E88" t="inlineStr">
        <is>
          <t>HÄRJEDALEN</t>
        </is>
      </c>
      <c r="F88" t="inlineStr">
        <is>
          <t>Sveaskog</t>
        </is>
      </c>
      <c r="G88" t="n">
        <v>67.8</v>
      </c>
      <c r="H88" t="n">
        <v>0</v>
      </c>
      <c r="I88" t="n">
        <v>1</v>
      </c>
      <c r="J88" t="n">
        <v>5</v>
      </c>
      <c r="K88" t="n">
        <v>0</v>
      </c>
      <c r="L88" t="n">
        <v>0</v>
      </c>
      <c r="M88" t="n">
        <v>0</v>
      </c>
      <c r="N88" t="n">
        <v>0</v>
      </c>
      <c r="O88" t="n">
        <v>5</v>
      </c>
      <c r="P88" t="n">
        <v>0</v>
      </c>
      <c r="Q88" t="n">
        <v>6</v>
      </c>
      <c r="R88" s="2" t="inlineStr">
        <is>
          <t>Garnlav
Kolflarnlav
Mörk kolflarnlav
Skrovellav
Violettgrå tagellav
Skuggblåslav</t>
        </is>
      </c>
      <c r="S88">
        <f>HYPERLINK("https://klasma.github.io/Logging_2361/artfynd/A 38530-2019 artfynd.xlsx", "A 38530-2019")</f>
        <v/>
      </c>
      <c r="T88">
        <f>HYPERLINK("https://klasma.github.io/Logging_2361/kartor/A 38530-2019 karta.png", "A 38530-2019")</f>
        <v/>
      </c>
      <c r="V88">
        <f>HYPERLINK("https://klasma.github.io/Logging_2361/klagomål/A 38530-2019 FSC-klagomål.docx", "A 38530-2019")</f>
        <v/>
      </c>
      <c r="W88">
        <f>HYPERLINK("https://klasma.github.io/Logging_2361/klagomålsmail/A 38530-2019 FSC-klagomål mail.docx", "A 38530-2019")</f>
        <v/>
      </c>
      <c r="X88">
        <f>HYPERLINK("https://klasma.github.io/Logging_2361/tillsyn/A 38530-2019 tillsynsbegäran.docx", "A 38530-2019")</f>
        <v/>
      </c>
      <c r="Y88">
        <f>HYPERLINK("https://klasma.github.io/Logging_2361/tillsynsmail/A 38530-2019 tillsynsbegäran mail.docx", "A 38530-2019")</f>
        <v/>
      </c>
    </row>
    <row r="89" ht="15" customHeight="1">
      <c r="A89" t="inlineStr">
        <is>
          <t>A 60213-2019</t>
        </is>
      </c>
      <c r="B89" s="1" t="n">
        <v>43780</v>
      </c>
      <c r="C89" s="1" t="n">
        <v>45787</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45787</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45787</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45787</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45787</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45787</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45787</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45787</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45787</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45787</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45787</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45787</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14285-2021</t>
        </is>
      </c>
      <c r="B101" s="1" t="n">
        <v>44278</v>
      </c>
      <c r="C101" s="1" t="n">
        <v>45787</v>
      </c>
      <c r="D101" t="inlineStr">
        <is>
          <t>JÄMTLANDS LÄN</t>
        </is>
      </c>
      <c r="E101" t="inlineStr">
        <is>
          <t>HÄRJEDALEN</t>
        </is>
      </c>
      <c r="F101" t="inlineStr">
        <is>
          <t>Bergvik skog väst AB</t>
        </is>
      </c>
      <c r="G101" t="n">
        <v>31</v>
      </c>
      <c r="H101" t="n">
        <v>3</v>
      </c>
      <c r="I101" t="n">
        <v>0</v>
      </c>
      <c r="J101" t="n">
        <v>4</v>
      </c>
      <c r="K101" t="n">
        <v>0</v>
      </c>
      <c r="L101" t="n">
        <v>0</v>
      </c>
      <c r="M101" t="n">
        <v>0</v>
      </c>
      <c r="N101" t="n">
        <v>0</v>
      </c>
      <c r="O101" t="n">
        <v>4</v>
      </c>
      <c r="P101" t="n">
        <v>0</v>
      </c>
      <c r="Q101" t="n">
        <v>5</v>
      </c>
      <c r="R101" s="2" t="inlineStr">
        <is>
          <t>Garnlav
Granticka
Talltita
Tretåig hackspett
Lavskrika</t>
        </is>
      </c>
      <c r="S101">
        <f>HYPERLINK("https://klasma.github.io/Logging_2361/artfynd/A 14285-2021 artfynd.xlsx", "A 14285-2021")</f>
        <v/>
      </c>
      <c r="T101">
        <f>HYPERLINK("https://klasma.github.io/Logging_2361/kartor/A 14285-2021 karta.png", "A 14285-2021")</f>
        <v/>
      </c>
      <c r="V101">
        <f>HYPERLINK("https://klasma.github.io/Logging_2361/klagomål/A 14285-2021 FSC-klagomål.docx", "A 14285-2021")</f>
        <v/>
      </c>
      <c r="W101">
        <f>HYPERLINK("https://klasma.github.io/Logging_2361/klagomålsmail/A 14285-2021 FSC-klagomål mail.docx", "A 14285-2021")</f>
        <v/>
      </c>
      <c r="X101">
        <f>HYPERLINK("https://klasma.github.io/Logging_2361/tillsyn/A 14285-2021 tillsynsbegäran.docx", "A 14285-2021")</f>
        <v/>
      </c>
      <c r="Y101">
        <f>HYPERLINK("https://klasma.github.io/Logging_2361/tillsynsmail/A 14285-2021 tillsynsbegäran mail.docx", "A 14285-2021")</f>
        <v/>
      </c>
      <c r="Z101">
        <f>HYPERLINK("https://klasma.github.io/Logging_2361/fåglar/A 14285-2021 prioriterade fågelarter.docx", "A 14285-2021")</f>
        <v/>
      </c>
    </row>
    <row r="102" ht="15" customHeight="1">
      <c r="A102" t="inlineStr">
        <is>
          <t>A 65899-2021</t>
        </is>
      </c>
      <c r="B102" s="1" t="n">
        <v>44517</v>
      </c>
      <c r="C102" s="1" t="n">
        <v>45787</v>
      </c>
      <c r="D102" t="inlineStr">
        <is>
          <t>JÄMTLANDS LÄN</t>
        </is>
      </c>
      <c r="E102" t="inlineStr">
        <is>
          <t>HÄRJEDALEN</t>
        </is>
      </c>
      <c r="G102" t="n">
        <v>25</v>
      </c>
      <c r="H102" t="n">
        <v>0</v>
      </c>
      <c r="I102" t="n">
        <v>0</v>
      </c>
      <c r="J102" t="n">
        <v>5</v>
      </c>
      <c r="K102" t="n">
        <v>0</v>
      </c>
      <c r="L102" t="n">
        <v>0</v>
      </c>
      <c r="M102" t="n">
        <v>0</v>
      </c>
      <c r="N102" t="n">
        <v>0</v>
      </c>
      <c r="O102" t="n">
        <v>5</v>
      </c>
      <c r="P102" t="n">
        <v>0</v>
      </c>
      <c r="Q102" t="n">
        <v>5</v>
      </c>
      <c r="R102" s="2" t="inlineStr">
        <is>
          <t>Gammelgransskål
Garnlav
Granticka
Harticka
Vedskivlav</t>
        </is>
      </c>
      <c r="S102">
        <f>HYPERLINK("https://klasma.github.io/Logging_2361/artfynd/A 65899-2021 artfynd.xlsx", "A 65899-2021")</f>
        <v/>
      </c>
      <c r="T102">
        <f>HYPERLINK("https://klasma.github.io/Logging_2361/kartor/A 65899-2021 karta.png", "A 65899-2021")</f>
        <v/>
      </c>
      <c r="V102">
        <f>HYPERLINK("https://klasma.github.io/Logging_2361/klagomål/A 65899-2021 FSC-klagomål.docx", "A 65899-2021")</f>
        <v/>
      </c>
      <c r="W102">
        <f>HYPERLINK("https://klasma.github.io/Logging_2361/klagomålsmail/A 65899-2021 FSC-klagomål mail.docx", "A 65899-2021")</f>
        <v/>
      </c>
      <c r="X102">
        <f>HYPERLINK("https://klasma.github.io/Logging_2361/tillsyn/A 65899-2021 tillsynsbegäran.docx", "A 65899-2021")</f>
        <v/>
      </c>
      <c r="Y102">
        <f>HYPERLINK("https://klasma.github.io/Logging_2361/tillsynsmail/A 65899-2021 tillsynsbegäran mail.docx", "A 65899-2021")</f>
        <v/>
      </c>
    </row>
    <row r="103" ht="15" customHeight="1">
      <c r="A103" t="inlineStr">
        <is>
          <t>A 55383-2022</t>
        </is>
      </c>
      <c r="B103" s="1" t="n">
        <v>44882</v>
      </c>
      <c r="C103" s="1" t="n">
        <v>45787</v>
      </c>
      <c r="D103" t="inlineStr">
        <is>
          <t>JÄMTLANDS LÄN</t>
        </is>
      </c>
      <c r="E103" t="inlineStr">
        <is>
          <t>HÄRJEDALEN</t>
        </is>
      </c>
      <c r="G103" t="n">
        <v>11</v>
      </c>
      <c r="H103" t="n">
        <v>1</v>
      </c>
      <c r="I103" t="n">
        <v>1</v>
      </c>
      <c r="J103" t="n">
        <v>3</v>
      </c>
      <c r="K103" t="n">
        <v>1</v>
      </c>
      <c r="L103" t="n">
        <v>0</v>
      </c>
      <c r="M103" t="n">
        <v>0</v>
      </c>
      <c r="N103" t="n">
        <v>0</v>
      </c>
      <c r="O103" t="n">
        <v>4</v>
      </c>
      <c r="P103" t="n">
        <v>1</v>
      </c>
      <c r="Q103" t="n">
        <v>5</v>
      </c>
      <c r="R103" s="2" t="inlineStr">
        <is>
          <t>Grantickeporing
Garnlav
Granticka
Tretåig hackspett
Svavelriska</t>
        </is>
      </c>
      <c r="S103">
        <f>HYPERLINK("https://klasma.github.io/Logging_2361/artfynd/A 55383-2022 artfynd.xlsx", "A 55383-2022")</f>
        <v/>
      </c>
      <c r="T103">
        <f>HYPERLINK("https://klasma.github.io/Logging_2361/kartor/A 55383-2022 karta.png", "A 55383-2022")</f>
        <v/>
      </c>
      <c r="V103">
        <f>HYPERLINK("https://klasma.github.io/Logging_2361/klagomål/A 55383-2022 FSC-klagomål.docx", "A 55383-2022")</f>
        <v/>
      </c>
      <c r="W103">
        <f>HYPERLINK("https://klasma.github.io/Logging_2361/klagomålsmail/A 55383-2022 FSC-klagomål mail.docx", "A 55383-2022")</f>
        <v/>
      </c>
      <c r="X103">
        <f>HYPERLINK("https://klasma.github.io/Logging_2361/tillsyn/A 55383-2022 tillsynsbegäran.docx", "A 55383-2022")</f>
        <v/>
      </c>
      <c r="Y103">
        <f>HYPERLINK("https://klasma.github.io/Logging_2361/tillsynsmail/A 55383-2022 tillsynsbegäran mail.docx", "A 55383-2022")</f>
        <v/>
      </c>
      <c r="Z103">
        <f>HYPERLINK("https://klasma.github.io/Logging_2361/fåglar/A 55383-2022 prioriterade fågelarter.docx", "A 55383-2022")</f>
        <v/>
      </c>
    </row>
    <row r="104" ht="15" customHeight="1">
      <c r="A104" t="inlineStr">
        <is>
          <t>A 62717-2022</t>
        </is>
      </c>
      <c r="B104" s="1" t="n">
        <v>44925</v>
      </c>
      <c r="C104" s="1" t="n">
        <v>45787</v>
      </c>
      <c r="D104" t="inlineStr">
        <is>
          <t>JÄMTLANDS LÄN</t>
        </is>
      </c>
      <c r="E104" t="inlineStr">
        <is>
          <t>HÄRJEDALEN</t>
        </is>
      </c>
      <c r="F104" t="inlineStr">
        <is>
          <t>Holmen skog AB</t>
        </is>
      </c>
      <c r="G104" t="n">
        <v>3.2</v>
      </c>
      <c r="H104" t="n">
        <v>1</v>
      </c>
      <c r="I104" t="n">
        <v>0</v>
      </c>
      <c r="J104" t="n">
        <v>4</v>
      </c>
      <c r="K104" t="n">
        <v>1</v>
      </c>
      <c r="L104" t="n">
        <v>0</v>
      </c>
      <c r="M104" t="n">
        <v>0</v>
      </c>
      <c r="N104" t="n">
        <v>0</v>
      </c>
      <c r="O104" t="n">
        <v>5</v>
      </c>
      <c r="P104" t="n">
        <v>1</v>
      </c>
      <c r="Q104" t="n">
        <v>5</v>
      </c>
      <c r="R104" s="2" t="inlineStr">
        <is>
          <t>Knärot
Garnlav
Kolflarnlav
Lunglav
Skrovellav</t>
        </is>
      </c>
      <c r="S104">
        <f>HYPERLINK("https://klasma.github.io/Logging_2361/artfynd/A 62717-2022 artfynd.xlsx", "A 62717-2022")</f>
        <v/>
      </c>
      <c r="T104">
        <f>HYPERLINK("https://klasma.github.io/Logging_2361/kartor/A 62717-2022 karta.png", "A 62717-2022")</f>
        <v/>
      </c>
      <c r="U104">
        <f>HYPERLINK("https://klasma.github.io/Logging_2361/knärot/A 62717-2022 karta knärot.png", "A 62717-2022")</f>
        <v/>
      </c>
      <c r="V104">
        <f>HYPERLINK("https://klasma.github.io/Logging_2361/klagomål/A 62717-2022 FSC-klagomål.docx", "A 62717-2022")</f>
        <v/>
      </c>
      <c r="W104">
        <f>HYPERLINK("https://klasma.github.io/Logging_2361/klagomålsmail/A 62717-2022 FSC-klagomål mail.docx", "A 62717-2022")</f>
        <v/>
      </c>
      <c r="X104">
        <f>HYPERLINK("https://klasma.github.io/Logging_2361/tillsyn/A 62717-2022 tillsynsbegäran.docx", "A 62717-2022")</f>
        <v/>
      </c>
      <c r="Y104">
        <f>HYPERLINK("https://klasma.github.io/Logging_2361/tillsynsmail/A 62717-2022 tillsynsbegäran mail.docx", "A 62717-2022")</f>
        <v/>
      </c>
    </row>
    <row r="105" ht="15" customHeight="1">
      <c r="A105" t="inlineStr">
        <is>
          <t>A 10023-2023</t>
        </is>
      </c>
      <c r="B105" s="1" t="n">
        <v>44979</v>
      </c>
      <c r="C105" s="1" t="n">
        <v>45787</v>
      </c>
      <c r="D105" t="inlineStr">
        <is>
          <t>JÄMTLANDS LÄN</t>
        </is>
      </c>
      <c r="E105" t="inlineStr">
        <is>
          <t>HÄRJEDALEN</t>
        </is>
      </c>
      <c r="G105" t="n">
        <v>12.6</v>
      </c>
      <c r="H105" t="n">
        <v>5</v>
      </c>
      <c r="I105" t="n">
        <v>1</v>
      </c>
      <c r="J105" t="n">
        <v>0</v>
      </c>
      <c r="K105" t="n">
        <v>0</v>
      </c>
      <c r="L105" t="n">
        <v>0</v>
      </c>
      <c r="M105" t="n">
        <v>0</v>
      </c>
      <c r="N105" t="n">
        <v>0</v>
      </c>
      <c r="O105" t="n">
        <v>0</v>
      </c>
      <c r="P105" t="n">
        <v>0</v>
      </c>
      <c r="Q105" t="n">
        <v>5</v>
      </c>
      <c r="R105" s="2" t="inlineStr">
        <is>
          <t>Spindelblomster
Vanlig groda
Fläcknycklar
Mattlummer
Revlummer</t>
        </is>
      </c>
      <c r="S105">
        <f>HYPERLINK("https://klasma.github.io/Logging_2361/artfynd/A 10023-2023 artfynd.xlsx", "A 10023-2023")</f>
        <v/>
      </c>
      <c r="T105">
        <f>HYPERLINK("https://klasma.github.io/Logging_2361/kartor/A 10023-2023 karta.png", "A 10023-2023")</f>
        <v/>
      </c>
      <c r="V105">
        <f>HYPERLINK("https://klasma.github.io/Logging_2361/klagomål/A 10023-2023 FSC-klagomål.docx", "A 10023-2023")</f>
        <v/>
      </c>
      <c r="W105">
        <f>HYPERLINK("https://klasma.github.io/Logging_2361/klagomålsmail/A 10023-2023 FSC-klagomål mail.docx", "A 10023-2023")</f>
        <v/>
      </c>
      <c r="X105">
        <f>HYPERLINK("https://klasma.github.io/Logging_2361/tillsyn/A 10023-2023 tillsynsbegäran.docx", "A 10023-2023")</f>
        <v/>
      </c>
      <c r="Y105">
        <f>HYPERLINK("https://klasma.github.io/Logging_2361/tillsynsmail/A 10023-2023 tillsynsbegäran mail.docx", "A 10023-2023")</f>
        <v/>
      </c>
    </row>
    <row r="106" ht="15" customHeight="1">
      <c r="A106" t="inlineStr">
        <is>
          <t>A 19623-2024</t>
        </is>
      </c>
      <c r="B106" s="1" t="n">
        <v>45432</v>
      </c>
      <c r="C106" s="1" t="n">
        <v>45787</v>
      </c>
      <c r="D106" t="inlineStr">
        <is>
          <t>JÄMTLANDS LÄN</t>
        </is>
      </c>
      <c r="E106" t="inlineStr">
        <is>
          <t>HÄRJEDALEN</t>
        </is>
      </c>
      <c r="G106" t="n">
        <v>11.7</v>
      </c>
      <c r="H106" t="n">
        <v>1</v>
      </c>
      <c r="I106" t="n">
        <v>1</v>
      </c>
      <c r="J106" t="n">
        <v>2</v>
      </c>
      <c r="K106" t="n">
        <v>2</v>
      </c>
      <c r="L106" t="n">
        <v>0</v>
      </c>
      <c r="M106" t="n">
        <v>0</v>
      </c>
      <c r="N106" t="n">
        <v>0</v>
      </c>
      <c r="O106" t="n">
        <v>4</v>
      </c>
      <c r="P106" t="n">
        <v>2</v>
      </c>
      <c r="Q106" t="n">
        <v>5</v>
      </c>
      <c r="R106" s="2" t="inlineStr">
        <is>
          <t>Gräddporing
Knärot
Blå taggsvamp
Slåtterfibbla
Mörk husmossa</t>
        </is>
      </c>
      <c r="S106">
        <f>HYPERLINK("https://klasma.github.io/Logging_2361/artfynd/A 19623-2024 artfynd.xlsx", "A 19623-2024")</f>
        <v/>
      </c>
      <c r="T106">
        <f>HYPERLINK("https://klasma.github.io/Logging_2361/kartor/A 19623-2024 karta.png", "A 19623-2024")</f>
        <v/>
      </c>
      <c r="U106">
        <f>HYPERLINK("https://klasma.github.io/Logging_2361/knärot/A 19623-2024 karta knärot.png", "A 19623-2024")</f>
        <v/>
      </c>
      <c r="V106">
        <f>HYPERLINK("https://klasma.github.io/Logging_2361/klagomål/A 19623-2024 FSC-klagomål.docx", "A 19623-2024")</f>
        <v/>
      </c>
      <c r="W106">
        <f>HYPERLINK("https://klasma.github.io/Logging_2361/klagomålsmail/A 19623-2024 FSC-klagomål mail.docx", "A 19623-2024")</f>
        <v/>
      </c>
      <c r="X106">
        <f>HYPERLINK("https://klasma.github.io/Logging_2361/tillsyn/A 19623-2024 tillsynsbegäran.docx", "A 19623-2024")</f>
        <v/>
      </c>
      <c r="Y106">
        <f>HYPERLINK("https://klasma.github.io/Logging_2361/tillsynsmail/A 19623-2024 tillsynsbegäran mail.docx", "A 19623-2024")</f>
        <v/>
      </c>
    </row>
    <row r="107" ht="15" customHeight="1">
      <c r="A107" t="inlineStr">
        <is>
          <t>A 19799-2024</t>
        </is>
      </c>
      <c r="B107" s="1" t="n">
        <v>45433</v>
      </c>
      <c r="C107" s="1" t="n">
        <v>45787</v>
      </c>
      <c r="D107" t="inlineStr">
        <is>
          <t>JÄMTLANDS LÄN</t>
        </is>
      </c>
      <c r="E107" t="inlineStr">
        <is>
          <t>HÄRJEDALEN</t>
        </is>
      </c>
      <c r="F107" t="inlineStr">
        <is>
          <t>SCA</t>
        </is>
      </c>
      <c r="G107" t="n">
        <v>2</v>
      </c>
      <c r="H107" t="n">
        <v>1</v>
      </c>
      <c r="I107" t="n">
        <v>1</v>
      </c>
      <c r="J107" t="n">
        <v>3</v>
      </c>
      <c r="K107" t="n">
        <v>1</v>
      </c>
      <c r="L107" t="n">
        <v>0</v>
      </c>
      <c r="M107" t="n">
        <v>0</v>
      </c>
      <c r="N107" t="n">
        <v>0</v>
      </c>
      <c r="O107" t="n">
        <v>4</v>
      </c>
      <c r="P107" t="n">
        <v>1</v>
      </c>
      <c r="Q107" t="n">
        <v>5</v>
      </c>
      <c r="R107" s="2" t="inlineStr">
        <is>
          <t>Knärot
Garnlav
Lunglav
Mörk kolflarnlav
Stuplav</t>
        </is>
      </c>
      <c r="S107">
        <f>HYPERLINK("https://klasma.github.io/Logging_2361/artfynd/A 19799-2024 artfynd.xlsx", "A 19799-2024")</f>
        <v/>
      </c>
      <c r="T107">
        <f>HYPERLINK("https://klasma.github.io/Logging_2361/kartor/A 19799-2024 karta.png", "A 19799-2024")</f>
        <v/>
      </c>
      <c r="U107">
        <f>HYPERLINK("https://klasma.github.io/Logging_2361/knärot/A 19799-2024 karta knärot.png", "A 19799-2024")</f>
        <v/>
      </c>
      <c r="V107">
        <f>HYPERLINK("https://klasma.github.io/Logging_2361/klagomål/A 19799-2024 FSC-klagomål.docx", "A 19799-2024")</f>
        <v/>
      </c>
      <c r="W107">
        <f>HYPERLINK("https://klasma.github.io/Logging_2361/klagomålsmail/A 19799-2024 FSC-klagomål mail.docx", "A 19799-2024")</f>
        <v/>
      </c>
      <c r="X107">
        <f>HYPERLINK("https://klasma.github.io/Logging_2361/tillsyn/A 19799-2024 tillsynsbegäran.docx", "A 19799-2024")</f>
        <v/>
      </c>
      <c r="Y107">
        <f>HYPERLINK("https://klasma.github.io/Logging_2361/tillsynsmail/A 19799-2024 tillsynsbegäran mail.docx", "A 19799-2024")</f>
        <v/>
      </c>
    </row>
    <row r="108" ht="15" customHeight="1">
      <c r="A108" t="inlineStr">
        <is>
          <t>A 36053-2024</t>
        </is>
      </c>
      <c r="B108" s="1" t="n">
        <v>45533</v>
      </c>
      <c r="C108" s="1" t="n">
        <v>45787</v>
      </c>
      <c r="D108" t="inlineStr">
        <is>
          <t>JÄMTLANDS LÄN</t>
        </is>
      </c>
      <c r="E108" t="inlineStr">
        <is>
          <t>HÄRJEDALEN</t>
        </is>
      </c>
      <c r="F108" t="inlineStr">
        <is>
          <t>Sveaskog</t>
        </is>
      </c>
      <c r="G108" t="n">
        <v>7.3</v>
      </c>
      <c r="H108" t="n">
        <v>0</v>
      </c>
      <c r="I108" t="n">
        <v>1</v>
      </c>
      <c r="J108" t="n">
        <v>4</v>
      </c>
      <c r="K108" t="n">
        <v>0</v>
      </c>
      <c r="L108" t="n">
        <v>0</v>
      </c>
      <c r="M108" t="n">
        <v>0</v>
      </c>
      <c r="N108" t="n">
        <v>0</v>
      </c>
      <c r="O108" t="n">
        <v>4</v>
      </c>
      <c r="P108" t="n">
        <v>0</v>
      </c>
      <c r="Q108" t="n">
        <v>5</v>
      </c>
      <c r="R108" s="2" t="inlineStr">
        <is>
          <t>Dvärgbägarlav
Kolflarnlav
Motaggsvamp
Mörk kolflarnlav
Dropptaggsvamp</t>
        </is>
      </c>
      <c r="S108">
        <f>HYPERLINK("https://klasma.github.io/Logging_2361/artfynd/A 36053-2024 artfynd.xlsx", "A 36053-2024")</f>
        <v/>
      </c>
      <c r="T108">
        <f>HYPERLINK("https://klasma.github.io/Logging_2361/kartor/A 36053-2024 karta.png", "A 36053-2024")</f>
        <v/>
      </c>
      <c r="V108">
        <f>HYPERLINK("https://klasma.github.io/Logging_2361/klagomål/A 36053-2024 FSC-klagomål.docx", "A 36053-2024")</f>
        <v/>
      </c>
      <c r="W108">
        <f>HYPERLINK("https://klasma.github.io/Logging_2361/klagomålsmail/A 36053-2024 FSC-klagomål mail.docx", "A 36053-2024")</f>
        <v/>
      </c>
      <c r="X108">
        <f>HYPERLINK("https://klasma.github.io/Logging_2361/tillsyn/A 36053-2024 tillsynsbegäran.docx", "A 36053-2024")</f>
        <v/>
      </c>
      <c r="Y108">
        <f>HYPERLINK("https://klasma.github.io/Logging_2361/tillsynsmail/A 36053-2024 tillsynsbegäran mail.docx", "A 36053-2024")</f>
        <v/>
      </c>
    </row>
    <row r="109" ht="15" customHeight="1">
      <c r="A109" t="inlineStr">
        <is>
          <t>A 49333-2024</t>
        </is>
      </c>
      <c r="B109" s="1" t="n">
        <v>45595</v>
      </c>
      <c r="C109" s="1" t="n">
        <v>45787</v>
      </c>
      <c r="D109" t="inlineStr">
        <is>
          <t>JÄMTLANDS LÄN</t>
        </is>
      </c>
      <c r="E109" t="inlineStr">
        <is>
          <t>HÄRJEDALEN</t>
        </is>
      </c>
      <c r="G109" t="n">
        <v>8.800000000000001</v>
      </c>
      <c r="H109" t="n">
        <v>0</v>
      </c>
      <c r="I109" t="n">
        <v>0</v>
      </c>
      <c r="J109" t="n">
        <v>5</v>
      </c>
      <c r="K109" t="n">
        <v>0</v>
      </c>
      <c r="L109" t="n">
        <v>0</v>
      </c>
      <c r="M109" t="n">
        <v>0</v>
      </c>
      <c r="N109" t="n">
        <v>0</v>
      </c>
      <c r="O109" t="n">
        <v>5</v>
      </c>
      <c r="P109" t="n">
        <v>0</v>
      </c>
      <c r="Q109" t="n">
        <v>5</v>
      </c>
      <c r="R109" s="2" t="inlineStr">
        <is>
          <t>Blågrå svartspik
Garnlav
Kolflarnlav
Mörk kolflarnlav
Vedflamlav</t>
        </is>
      </c>
      <c r="S109">
        <f>HYPERLINK("https://klasma.github.io/Logging_2361/artfynd/A 49333-2024 artfynd.xlsx", "A 49333-2024")</f>
        <v/>
      </c>
      <c r="T109">
        <f>HYPERLINK("https://klasma.github.io/Logging_2361/kartor/A 49333-2024 karta.png", "A 49333-2024")</f>
        <v/>
      </c>
      <c r="V109">
        <f>HYPERLINK("https://klasma.github.io/Logging_2361/klagomål/A 49333-2024 FSC-klagomål.docx", "A 49333-2024")</f>
        <v/>
      </c>
      <c r="W109">
        <f>HYPERLINK("https://klasma.github.io/Logging_2361/klagomålsmail/A 49333-2024 FSC-klagomål mail.docx", "A 49333-2024")</f>
        <v/>
      </c>
      <c r="X109">
        <f>HYPERLINK("https://klasma.github.io/Logging_2361/tillsyn/A 49333-2024 tillsynsbegäran.docx", "A 49333-2024")</f>
        <v/>
      </c>
      <c r="Y109">
        <f>HYPERLINK("https://klasma.github.io/Logging_2361/tillsynsmail/A 49333-2024 tillsynsbegäran mail.docx", "A 49333-2024")</f>
        <v/>
      </c>
    </row>
    <row r="110" ht="15" customHeight="1">
      <c r="A110" t="inlineStr">
        <is>
          <t>A 56468-2024</t>
        </is>
      </c>
      <c r="B110" s="1" t="n">
        <v>45625</v>
      </c>
      <c r="C110" s="1" t="n">
        <v>45787</v>
      </c>
      <c r="D110" t="inlineStr">
        <is>
          <t>JÄMTLANDS LÄN</t>
        </is>
      </c>
      <c r="E110" t="inlineStr">
        <is>
          <t>HÄRJEDALEN</t>
        </is>
      </c>
      <c r="F110" t="inlineStr">
        <is>
          <t>Bergvik skog väst AB</t>
        </is>
      </c>
      <c r="G110" t="n">
        <v>20.5</v>
      </c>
      <c r="H110" t="n">
        <v>1</v>
      </c>
      <c r="I110" t="n">
        <v>0</v>
      </c>
      <c r="J110" t="n">
        <v>4</v>
      </c>
      <c r="K110" t="n">
        <v>1</v>
      </c>
      <c r="L110" t="n">
        <v>0</v>
      </c>
      <c r="M110" t="n">
        <v>0</v>
      </c>
      <c r="N110" t="n">
        <v>0</v>
      </c>
      <c r="O110" t="n">
        <v>5</v>
      </c>
      <c r="P110" t="n">
        <v>1</v>
      </c>
      <c r="Q110" t="n">
        <v>5</v>
      </c>
      <c r="R110" s="2" t="inlineStr">
        <is>
          <t>Knärot
Knottrig blåslav
Kolflarnlav
Lunglav
Violettgrå tagellav</t>
        </is>
      </c>
      <c r="S110">
        <f>HYPERLINK("https://klasma.github.io/Logging_2361/artfynd/A 56468-2024 artfynd.xlsx", "A 56468-2024")</f>
        <v/>
      </c>
      <c r="T110">
        <f>HYPERLINK("https://klasma.github.io/Logging_2361/kartor/A 56468-2024 karta.png", "A 56468-2024")</f>
        <v/>
      </c>
      <c r="U110">
        <f>HYPERLINK("https://klasma.github.io/Logging_2361/knärot/A 56468-2024 karta knärot.png", "A 56468-2024")</f>
        <v/>
      </c>
      <c r="V110">
        <f>HYPERLINK("https://klasma.github.io/Logging_2361/klagomål/A 56468-2024 FSC-klagomål.docx", "A 56468-2024")</f>
        <v/>
      </c>
      <c r="W110">
        <f>HYPERLINK("https://klasma.github.io/Logging_2361/klagomålsmail/A 56468-2024 FSC-klagomål mail.docx", "A 56468-2024")</f>
        <v/>
      </c>
      <c r="X110">
        <f>HYPERLINK("https://klasma.github.io/Logging_2361/tillsyn/A 56468-2024 tillsynsbegäran.docx", "A 56468-2024")</f>
        <v/>
      </c>
      <c r="Y110">
        <f>HYPERLINK("https://klasma.github.io/Logging_2361/tillsynsmail/A 56468-2024 tillsynsbegäran mail.docx", "A 56468-2024")</f>
        <v/>
      </c>
    </row>
    <row r="111" ht="15" customHeight="1">
      <c r="A111" t="inlineStr">
        <is>
          <t>A 63750-2019</t>
        </is>
      </c>
      <c r="B111" s="1" t="n">
        <v>43795</v>
      </c>
      <c r="C111" s="1" t="n">
        <v>45787</v>
      </c>
      <c r="D111" t="inlineStr">
        <is>
          <t>JÄMTLANDS LÄN</t>
        </is>
      </c>
      <c r="E111" t="inlineStr">
        <is>
          <t>HÄRJEDALEN</t>
        </is>
      </c>
      <c r="F111" t="inlineStr">
        <is>
          <t>Sveaskog</t>
        </is>
      </c>
      <c r="G111" t="n">
        <v>5.6</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HYPERLINK("https://klasma.github.io/Logging_2361/artfynd/A 63750-2019 artfynd.xlsx", "A 63750-2019")</f>
        <v/>
      </c>
      <c r="T111">
        <f>HYPERLINK("https://klasma.github.io/Logging_2361/kartor/A 63750-2019 karta.png", "A 63750-2019")</f>
        <v/>
      </c>
      <c r="V111">
        <f>HYPERLINK("https://klasma.github.io/Logging_2361/klagomål/A 63750-2019 FSC-klagomål.docx", "A 63750-2019")</f>
        <v/>
      </c>
      <c r="W111">
        <f>HYPERLINK("https://klasma.github.io/Logging_2361/klagomålsmail/A 63750-2019 FSC-klagomål mail.docx", "A 63750-2019")</f>
        <v/>
      </c>
      <c r="X111">
        <f>HYPERLINK("https://klasma.github.io/Logging_2361/tillsyn/A 63750-2019 tillsynsbegäran.docx", "A 63750-2019")</f>
        <v/>
      </c>
      <c r="Y111">
        <f>HYPERLINK("https://klasma.github.io/Logging_2361/tillsynsmail/A 63750-2019 tillsynsbegäran mail.docx", "A 63750-2019")</f>
        <v/>
      </c>
    </row>
    <row r="112" ht="15" customHeight="1">
      <c r="A112" t="inlineStr">
        <is>
          <t>A 16680-2021</t>
        </is>
      </c>
      <c r="B112" s="1" t="n">
        <v>44294</v>
      </c>
      <c r="C112" s="1" t="n">
        <v>45787</v>
      </c>
      <c r="D112" t="inlineStr">
        <is>
          <t>JÄMTLANDS LÄN</t>
        </is>
      </c>
      <c r="E112" t="inlineStr">
        <is>
          <t>HÄRJEDALEN</t>
        </is>
      </c>
      <c r="G112" t="n">
        <v>5.7</v>
      </c>
      <c r="H112" t="n">
        <v>0</v>
      </c>
      <c r="I112" t="n">
        <v>3</v>
      </c>
      <c r="J112" t="n">
        <v>1</v>
      </c>
      <c r="K112" t="n">
        <v>0</v>
      </c>
      <c r="L112" t="n">
        <v>0</v>
      </c>
      <c r="M112" t="n">
        <v>0</v>
      </c>
      <c r="N112" t="n">
        <v>0</v>
      </c>
      <c r="O112" t="n">
        <v>1</v>
      </c>
      <c r="P112" t="n">
        <v>0</v>
      </c>
      <c r="Q112" t="n">
        <v>4</v>
      </c>
      <c r="R112" s="2" t="inlineStr">
        <is>
          <t>Vitgrynig nållav
Bronshjon
Bårdlav
Stuplav</t>
        </is>
      </c>
      <c r="S112">
        <f>HYPERLINK("https://klasma.github.io/Logging_2361/artfynd/A 16680-2021 artfynd.xlsx", "A 16680-2021")</f>
        <v/>
      </c>
      <c r="T112">
        <f>HYPERLINK("https://klasma.github.io/Logging_2361/kartor/A 16680-2021 karta.png", "A 16680-2021")</f>
        <v/>
      </c>
      <c r="V112">
        <f>HYPERLINK("https://klasma.github.io/Logging_2361/klagomål/A 16680-2021 FSC-klagomål.docx", "A 16680-2021")</f>
        <v/>
      </c>
      <c r="W112">
        <f>HYPERLINK("https://klasma.github.io/Logging_2361/klagomålsmail/A 16680-2021 FSC-klagomål mail.docx", "A 16680-2021")</f>
        <v/>
      </c>
      <c r="X112">
        <f>HYPERLINK("https://klasma.github.io/Logging_2361/tillsyn/A 16680-2021 tillsynsbegäran.docx", "A 16680-2021")</f>
        <v/>
      </c>
      <c r="Y112">
        <f>HYPERLINK("https://klasma.github.io/Logging_2361/tillsynsmail/A 16680-2021 tillsynsbegäran mail.docx", "A 16680-2021")</f>
        <v/>
      </c>
    </row>
    <row r="113" ht="15" customHeight="1">
      <c r="A113" t="inlineStr">
        <is>
          <t>A 16691-2021</t>
        </is>
      </c>
      <c r="B113" s="1" t="n">
        <v>44294</v>
      </c>
      <c r="C113" s="1" t="n">
        <v>45787</v>
      </c>
      <c r="D113" t="inlineStr">
        <is>
          <t>JÄMTLANDS LÄN</t>
        </is>
      </c>
      <c r="E113" t="inlineStr">
        <is>
          <t>HÄRJEDALEN</t>
        </is>
      </c>
      <c r="G113" t="n">
        <v>4.2</v>
      </c>
      <c r="H113" t="n">
        <v>0</v>
      </c>
      <c r="I113" t="n">
        <v>1</v>
      </c>
      <c r="J113" t="n">
        <v>3</v>
      </c>
      <c r="K113" t="n">
        <v>0</v>
      </c>
      <c r="L113" t="n">
        <v>0</v>
      </c>
      <c r="M113" t="n">
        <v>0</v>
      </c>
      <c r="N113" t="n">
        <v>0</v>
      </c>
      <c r="O113" t="n">
        <v>3</v>
      </c>
      <c r="P113" t="n">
        <v>0</v>
      </c>
      <c r="Q113" t="n">
        <v>4</v>
      </c>
      <c r="R113" s="2" t="inlineStr">
        <is>
          <t>Granticka
Knottrig blåslav
Vitgrynig nållav
Kornig nållav</t>
        </is>
      </c>
      <c r="S113">
        <f>HYPERLINK("https://klasma.github.io/Logging_2361/artfynd/A 16691-2021 artfynd.xlsx", "A 16691-2021")</f>
        <v/>
      </c>
      <c r="T113">
        <f>HYPERLINK("https://klasma.github.io/Logging_2361/kartor/A 16691-2021 karta.png", "A 16691-2021")</f>
        <v/>
      </c>
      <c r="V113">
        <f>HYPERLINK("https://klasma.github.io/Logging_2361/klagomål/A 16691-2021 FSC-klagomål.docx", "A 16691-2021")</f>
        <v/>
      </c>
      <c r="W113">
        <f>HYPERLINK("https://klasma.github.io/Logging_2361/klagomålsmail/A 16691-2021 FSC-klagomål mail.docx", "A 16691-2021")</f>
        <v/>
      </c>
      <c r="X113">
        <f>HYPERLINK("https://klasma.github.io/Logging_2361/tillsyn/A 16691-2021 tillsynsbegäran.docx", "A 16691-2021")</f>
        <v/>
      </c>
      <c r="Y113">
        <f>HYPERLINK("https://klasma.github.io/Logging_2361/tillsynsmail/A 16691-2021 tillsynsbegäran mail.docx", "A 16691-2021")</f>
        <v/>
      </c>
    </row>
    <row r="114" ht="15" customHeight="1">
      <c r="A114" t="inlineStr">
        <is>
          <t>A 42826-2021</t>
        </is>
      </c>
      <c r="B114" s="1" t="n">
        <v>44430</v>
      </c>
      <c r="C114" s="1" t="n">
        <v>45787</v>
      </c>
      <c r="D114" t="inlineStr">
        <is>
          <t>JÄMTLANDS LÄN</t>
        </is>
      </c>
      <c r="E114" t="inlineStr">
        <is>
          <t>HÄRJEDALEN</t>
        </is>
      </c>
      <c r="F114" t="inlineStr">
        <is>
          <t>Sveaskog</t>
        </is>
      </c>
      <c r="G114" t="n">
        <v>8.1</v>
      </c>
      <c r="H114" t="n">
        <v>2</v>
      </c>
      <c r="I114" t="n">
        <v>0</v>
      </c>
      <c r="J114" t="n">
        <v>3</v>
      </c>
      <c r="K114" t="n">
        <v>1</v>
      </c>
      <c r="L114" t="n">
        <v>0</v>
      </c>
      <c r="M114" t="n">
        <v>0</v>
      </c>
      <c r="N114" t="n">
        <v>0</v>
      </c>
      <c r="O114" t="n">
        <v>4</v>
      </c>
      <c r="P114" t="n">
        <v>1</v>
      </c>
      <c r="Q114" t="n">
        <v>4</v>
      </c>
      <c r="R114" s="2" t="inlineStr">
        <is>
          <t>Knärot
Garnlav
Kungsörn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c r="Z114">
        <f>HYPERLINK("https://klasma.github.io/Logging_2361/fåglar/A 42826-2021 prioriterade fågelarter.docx", "A 42826-2021")</f>
        <v/>
      </c>
    </row>
    <row r="115" ht="15" customHeight="1">
      <c r="A115" t="inlineStr">
        <is>
          <t>A 54420-2021</t>
        </is>
      </c>
      <c r="B115" s="1" t="n">
        <v>44473</v>
      </c>
      <c r="C115" s="1" t="n">
        <v>45787</v>
      </c>
      <c r="D115" t="inlineStr">
        <is>
          <t>JÄMTLANDS LÄN</t>
        </is>
      </c>
      <c r="E115" t="inlineStr">
        <is>
          <t>HÄRJEDALEN</t>
        </is>
      </c>
      <c r="F115" t="inlineStr">
        <is>
          <t>Bergvik skog väst AB</t>
        </is>
      </c>
      <c r="G115" t="n">
        <v>18.5</v>
      </c>
      <c r="H115" t="n">
        <v>2</v>
      </c>
      <c r="I115" t="n">
        <v>0</v>
      </c>
      <c r="J115" t="n">
        <v>2</v>
      </c>
      <c r="K115" t="n">
        <v>1</v>
      </c>
      <c r="L115" t="n">
        <v>0</v>
      </c>
      <c r="M115" t="n">
        <v>0</v>
      </c>
      <c r="N115" t="n">
        <v>0</v>
      </c>
      <c r="O115" t="n">
        <v>3</v>
      </c>
      <c r="P115" t="n">
        <v>1</v>
      </c>
      <c r="Q115" t="n">
        <v>4</v>
      </c>
      <c r="R115" s="2" t="inlineStr">
        <is>
          <t>Knärot
Lunglav
Skrovellav
Fläcknycklar</t>
        </is>
      </c>
      <c r="S115">
        <f>HYPERLINK("https://klasma.github.io/Logging_2361/artfynd/A 54420-2021 artfynd.xlsx", "A 54420-2021")</f>
        <v/>
      </c>
      <c r="T115">
        <f>HYPERLINK("https://klasma.github.io/Logging_2361/kartor/A 54420-2021 karta.png", "A 54420-2021")</f>
        <v/>
      </c>
      <c r="U115">
        <f>HYPERLINK("https://klasma.github.io/Logging_2361/knärot/A 54420-2021 karta knärot.png", "A 54420-2021")</f>
        <v/>
      </c>
      <c r="V115">
        <f>HYPERLINK("https://klasma.github.io/Logging_2361/klagomål/A 54420-2021 FSC-klagomål.docx", "A 54420-2021")</f>
        <v/>
      </c>
      <c r="W115">
        <f>HYPERLINK("https://klasma.github.io/Logging_2361/klagomålsmail/A 54420-2021 FSC-klagomål mail.docx", "A 54420-2021")</f>
        <v/>
      </c>
      <c r="X115">
        <f>HYPERLINK("https://klasma.github.io/Logging_2361/tillsyn/A 54420-2021 tillsynsbegäran.docx", "A 54420-2021")</f>
        <v/>
      </c>
      <c r="Y115">
        <f>HYPERLINK("https://klasma.github.io/Logging_2361/tillsynsmail/A 54420-2021 tillsynsbegäran mail.docx", "A 54420-2021")</f>
        <v/>
      </c>
    </row>
    <row r="116" ht="15" customHeight="1">
      <c r="A116" t="inlineStr">
        <is>
          <t>A 55641-2021</t>
        </is>
      </c>
      <c r="B116" s="1" t="n">
        <v>44476</v>
      </c>
      <c r="C116" s="1" t="n">
        <v>45787</v>
      </c>
      <c r="D116" t="inlineStr">
        <is>
          <t>JÄMTLANDS LÄN</t>
        </is>
      </c>
      <c r="E116" t="inlineStr">
        <is>
          <t>HÄRJEDALEN</t>
        </is>
      </c>
      <c r="G116" t="n">
        <v>7.6</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55641-2021 artfynd.xlsx", "A 55641-2021")</f>
        <v/>
      </c>
      <c r="T116">
        <f>HYPERLINK("https://klasma.github.io/Logging_2361/kartor/A 55641-2021 karta.png", "A 55641-2021")</f>
        <v/>
      </c>
      <c r="V116">
        <f>HYPERLINK("https://klasma.github.io/Logging_2361/klagomål/A 55641-2021 FSC-klagomål.docx", "A 55641-2021")</f>
        <v/>
      </c>
      <c r="W116">
        <f>HYPERLINK("https://klasma.github.io/Logging_2361/klagomålsmail/A 55641-2021 FSC-klagomål mail.docx", "A 55641-2021")</f>
        <v/>
      </c>
      <c r="X116">
        <f>HYPERLINK("https://klasma.github.io/Logging_2361/tillsyn/A 55641-2021 tillsynsbegäran.docx", "A 55641-2021")</f>
        <v/>
      </c>
      <c r="Y116">
        <f>HYPERLINK("https://klasma.github.io/Logging_2361/tillsynsmail/A 55641-2021 tillsynsbegäran mail.docx", "A 55641-2021")</f>
        <v/>
      </c>
      <c r="Z116">
        <f>HYPERLINK("https://klasma.github.io/Logging_2361/fåglar/A 55641-2021 prioriterade fågelarter.docx", "A 55641-2021")</f>
        <v/>
      </c>
    </row>
    <row r="117" ht="15" customHeight="1">
      <c r="A117" t="inlineStr">
        <is>
          <t>A 42576-2022</t>
        </is>
      </c>
      <c r="B117" s="1" t="n">
        <v>44831</v>
      </c>
      <c r="C117" s="1" t="n">
        <v>45787</v>
      </c>
      <c r="D117" t="inlineStr">
        <is>
          <t>JÄMTLANDS LÄN</t>
        </is>
      </c>
      <c r="E117" t="inlineStr">
        <is>
          <t>HÄRJEDALEN</t>
        </is>
      </c>
      <c r="F117" t="inlineStr">
        <is>
          <t>Sveaskog</t>
        </is>
      </c>
      <c r="G117" t="n">
        <v>24.4</v>
      </c>
      <c r="H117" t="n">
        <v>3</v>
      </c>
      <c r="I117" t="n">
        <v>3</v>
      </c>
      <c r="J117" t="n">
        <v>0</v>
      </c>
      <c r="K117" t="n">
        <v>1</v>
      </c>
      <c r="L117" t="n">
        <v>0</v>
      </c>
      <c r="M117" t="n">
        <v>0</v>
      </c>
      <c r="N117" t="n">
        <v>0</v>
      </c>
      <c r="O117" t="n">
        <v>1</v>
      </c>
      <c r="P117" t="n">
        <v>1</v>
      </c>
      <c r="Q117" t="n">
        <v>4</v>
      </c>
      <c r="R117" s="2" t="inlineStr">
        <is>
          <t>Knärot
Skarp dropptaggsvamp
Spindelblomster
Tvåblad</t>
        </is>
      </c>
      <c r="S117">
        <f>HYPERLINK("https://klasma.github.io/Logging_2361/artfynd/A 42576-2022 artfynd.xlsx", "A 42576-2022")</f>
        <v/>
      </c>
      <c r="T117">
        <f>HYPERLINK("https://klasma.github.io/Logging_2361/kartor/A 42576-2022 karta.png", "A 42576-2022")</f>
        <v/>
      </c>
      <c r="U117">
        <f>HYPERLINK("https://klasma.github.io/Logging_2361/knärot/A 42576-2022 karta knärot.png", "A 42576-2022")</f>
        <v/>
      </c>
      <c r="V117">
        <f>HYPERLINK("https://klasma.github.io/Logging_2361/klagomål/A 42576-2022 FSC-klagomål.docx", "A 42576-2022")</f>
        <v/>
      </c>
      <c r="W117">
        <f>HYPERLINK("https://klasma.github.io/Logging_2361/klagomålsmail/A 42576-2022 FSC-klagomål mail.docx", "A 42576-2022")</f>
        <v/>
      </c>
      <c r="X117">
        <f>HYPERLINK("https://klasma.github.io/Logging_2361/tillsyn/A 42576-2022 tillsynsbegäran.docx", "A 42576-2022")</f>
        <v/>
      </c>
      <c r="Y117">
        <f>HYPERLINK("https://klasma.github.io/Logging_2361/tillsynsmail/A 42576-2022 tillsynsbegäran mail.docx", "A 42576-2022")</f>
        <v/>
      </c>
    </row>
    <row r="118" ht="15" customHeight="1">
      <c r="A118" t="inlineStr">
        <is>
          <t>A 4757-2023</t>
        </is>
      </c>
      <c r="B118" s="1" t="n">
        <v>44957</v>
      </c>
      <c r="C118" s="1" t="n">
        <v>45787</v>
      </c>
      <c r="D118" t="inlineStr">
        <is>
          <t>JÄMTLANDS LÄN</t>
        </is>
      </c>
      <c r="E118" t="inlineStr">
        <is>
          <t>HÄRJEDALEN</t>
        </is>
      </c>
      <c r="G118" t="n">
        <v>21.3</v>
      </c>
      <c r="H118" t="n">
        <v>1</v>
      </c>
      <c r="I118" t="n">
        <v>0</v>
      </c>
      <c r="J118" t="n">
        <v>3</v>
      </c>
      <c r="K118" t="n">
        <v>1</v>
      </c>
      <c r="L118" t="n">
        <v>0</v>
      </c>
      <c r="M118" t="n">
        <v>0</v>
      </c>
      <c r="N118" t="n">
        <v>0</v>
      </c>
      <c r="O118" t="n">
        <v>4</v>
      </c>
      <c r="P118" t="n">
        <v>1</v>
      </c>
      <c r="Q118" t="n">
        <v>4</v>
      </c>
      <c r="R118" s="2" t="inlineStr">
        <is>
          <t>Sprickporing
Garnlav
Granticka
Tretåig hackspett</t>
        </is>
      </c>
      <c r="S118">
        <f>HYPERLINK("https://klasma.github.io/Logging_2361/artfynd/A 4757-2023 artfynd.xlsx", "A 4757-2023")</f>
        <v/>
      </c>
      <c r="T118">
        <f>HYPERLINK("https://klasma.github.io/Logging_2361/kartor/A 4757-2023 karta.png", "A 4757-2023")</f>
        <v/>
      </c>
      <c r="V118">
        <f>HYPERLINK("https://klasma.github.io/Logging_2361/klagomål/A 4757-2023 FSC-klagomål.docx", "A 4757-2023")</f>
        <v/>
      </c>
      <c r="W118">
        <f>HYPERLINK("https://klasma.github.io/Logging_2361/klagomålsmail/A 4757-2023 FSC-klagomål mail.docx", "A 4757-2023")</f>
        <v/>
      </c>
      <c r="X118">
        <f>HYPERLINK("https://klasma.github.io/Logging_2361/tillsyn/A 4757-2023 tillsynsbegäran.docx", "A 4757-2023")</f>
        <v/>
      </c>
      <c r="Y118">
        <f>HYPERLINK("https://klasma.github.io/Logging_2361/tillsynsmail/A 4757-2023 tillsynsbegäran mail.docx", "A 4757-2023")</f>
        <v/>
      </c>
      <c r="Z118">
        <f>HYPERLINK("https://klasma.github.io/Logging_2361/fåglar/A 4757-2023 prioriterade fågelarter.docx", "A 4757-2023")</f>
        <v/>
      </c>
    </row>
    <row r="119" ht="15" customHeight="1">
      <c r="A119" t="inlineStr">
        <is>
          <t>A 8587-2023</t>
        </is>
      </c>
      <c r="B119" s="1" t="n">
        <v>44977</v>
      </c>
      <c r="C119" s="1" t="n">
        <v>45787</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8587-2023 artfynd.xlsx", "A 8587-2023")</f>
        <v/>
      </c>
      <c r="T119">
        <f>HYPERLINK("https://klasma.github.io/Logging_2361/kartor/A 8587-2023 karta.png", "A 8587-2023")</f>
        <v/>
      </c>
      <c r="U119">
        <f>HYPERLINK("https://klasma.github.io/Logging_2361/knärot/A 8587-2023 karta knärot.png", "A 8587-2023")</f>
        <v/>
      </c>
      <c r="V119">
        <f>HYPERLINK("https://klasma.github.io/Logging_2361/klagomål/A 8587-2023 FSC-klagomål.docx", "A 8587-2023")</f>
        <v/>
      </c>
      <c r="W119">
        <f>HYPERLINK("https://klasma.github.io/Logging_2361/klagomålsmail/A 8587-2023 FSC-klagomål mail.docx", "A 8587-2023")</f>
        <v/>
      </c>
      <c r="X119">
        <f>HYPERLINK("https://klasma.github.io/Logging_2361/tillsyn/A 8587-2023 tillsynsbegäran.docx", "A 8587-2023")</f>
        <v/>
      </c>
      <c r="Y119">
        <f>HYPERLINK("https://klasma.github.io/Logging_2361/tillsynsmail/A 8587-2023 tillsynsbegäran mail.docx", "A 8587-2023")</f>
        <v/>
      </c>
    </row>
    <row r="120" ht="15" customHeight="1">
      <c r="A120" t="inlineStr">
        <is>
          <t>A 14059-2023</t>
        </is>
      </c>
      <c r="B120" s="1" t="n">
        <v>45007</v>
      </c>
      <c r="C120" s="1" t="n">
        <v>45787</v>
      </c>
      <c r="D120" t="inlineStr">
        <is>
          <t>JÄMTLANDS LÄN</t>
        </is>
      </c>
      <c r="E120" t="inlineStr">
        <is>
          <t>HÄRJEDALEN</t>
        </is>
      </c>
      <c r="F120" t="inlineStr">
        <is>
          <t>Bergvik skog väst AB</t>
        </is>
      </c>
      <c r="G120" t="n">
        <v>21.1</v>
      </c>
      <c r="H120" t="n">
        <v>0</v>
      </c>
      <c r="I120" t="n">
        <v>0</v>
      </c>
      <c r="J120" t="n">
        <v>2</v>
      </c>
      <c r="K120" t="n">
        <v>2</v>
      </c>
      <c r="L120" t="n">
        <v>0</v>
      </c>
      <c r="M120" t="n">
        <v>0</v>
      </c>
      <c r="N120" t="n">
        <v>0</v>
      </c>
      <c r="O120" t="n">
        <v>4</v>
      </c>
      <c r="P120" t="n">
        <v>2</v>
      </c>
      <c r="Q120" t="n">
        <v>4</v>
      </c>
      <c r="R120" s="2" t="inlineStr">
        <is>
          <t>Fläckporing
Gräddporing
Nordtagging
Skrovellav</t>
        </is>
      </c>
      <c r="S120">
        <f>HYPERLINK("https://klasma.github.io/Logging_2361/artfynd/A 14059-2023 artfynd.xlsx", "A 14059-2023")</f>
        <v/>
      </c>
      <c r="T120">
        <f>HYPERLINK("https://klasma.github.io/Logging_2361/kartor/A 14059-2023 karta.png", "A 14059-2023")</f>
        <v/>
      </c>
      <c r="V120">
        <f>HYPERLINK("https://klasma.github.io/Logging_2361/klagomål/A 14059-2023 FSC-klagomål.docx", "A 14059-2023")</f>
        <v/>
      </c>
      <c r="W120">
        <f>HYPERLINK("https://klasma.github.io/Logging_2361/klagomålsmail/A 14059-2023 FSC-klagomål mail.docx", "A 14059-2023")</f>
        <v/>
      </c>
      <c r="X120">
        <f>HYPERLINK("https://klasma.github.io/Logging_2361/tillsyn/A 14059-2023 tillsynsbegäran.docx", "A 14059-2023")</f>
        <v/>
      </c>
      <c r="Y120">
        <f>HYPERLINK("https://klasma.github.io/Logging_2361/tillsynsmail/A 14059-2023 tillsynsbegäran mail.docx", "A 14059-2023")</f>
        <v/>
      </c>
    </row>
    <row r="121" ht="15" customHeight="1">
      <c r="A121" t="inlineStr">
        <is>
          <t>A 24955-2023</t>
        </is>
      </c>
      <c r="B121" s="1" t="n">
        <v>45085</v>
      </c>
      <c r="C121" s="1" t="n">
        <v>45787</v>
      </c>
      <c r="D121" t="inlineStr">
        <is>
          <t>JÄMTLANDS LÄN</t>
        </is>
      </c>
      <c r="E121" t="inlineStr">
        <is>
          <t>HÄRJEDALEN</t>
        </is>
      </c>
      <c r="G121" t="n">
        <v>7.7</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24955-2023 artfynd.xlsx", "A 24955-2023")</f>
        <v/>
      </c>
      <c r="T121">
        <f>HYPERLINK("https://klasma.github.io/Logging_2361/kartor/A 24955-2023 karta.png", "A 24955-2023")</f>
        <v/>
      </c>
      <c r="V121">
        <f>HYPERLINK("https://klasma.github.io/Logging_2361/klagomål/A 24955-2023 FSC-klagomål.docx", "A 24955-2023")</f>
        <v/>
      </c>
      <c r="W121">
        <f>HYPERLINK("https://klasma.github.io/Logging_2361/klagomålsmail/A 24955-2023 FSC-klagomål mail.docx", "A 24955-2023")</f>
        <v/>
      </c>
      <c r="X121">
        <f>HYPERLINK("https://klasma.github.io/Logging_2361/tillsyn/A 24955-2023 tillsynsbegäran.docx", "A 24955-2023")</f>
        <v/>
      </c>
      <c r="Y121">
        <f>HYPERLINK("https://klasma.github.io/Logging_2361/tillsynsmail/A 24955-2023 tillsynsbegäran mail.docx", "A 24955-2023")</f>
        <v/>
      </c>
      <c r="Z121">
        <f>HYPERLINK("https://klasma.github.io/Logging_2361/fåglar/A 24955-2023 prioriterade fågelarter.docx", "A 24955-2023")</f>
        <v/>
      </c>
    </row>
    <row r="122" ht="15" customHeight="1">
      <c r="A122" t="inlineStr">
        <is>
          <t>A 29829-2023</t>
        </is>
      </c>
      <c r="B122" s="1" t="n">
        <v>45107</v>
      </c>
      <c r="C122" s="1" t="n">
        <v>45787</v>
      </c>
      <c r="D122" t="inlineStr">
        <is>
          <t>JÄMTLANDS LÄN</t>
        </is>
      </c>
      <c r="E122" t="inlineStr">
        <is>
          <t>HÄRJEDALEN</t>
        </is>
      </c>
      <c r="G122" t="n">
        <v>29.4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HYPERLINK("https://klasma.github.io/Logging_2361/artfynd/A 29829-2023 artfynd.xlsx", "A 29829-2023")</f>
        <v/>
      </c>
      <c r="T122">
        <f>HYPERLINK("https://klasma.github.io/Logging_2361/kartor/A 29829-2023 karta.png", "A 29829-2023")</f>
        <v/>
      </c>
      <c r="V122">
        <f>HYPERLINK("https://klasma.github.io/Logging_2361/klagomål/A 29829-2023 FSC-klagomål.docx", "A 29829-2023")</f>
        <v/>
      </c>
      <c r="W122">
        <f>HYPERLINK("https://klasma.github.io/Logging_2361/klagomålsmail/A 29829-2023 FSC-klagomål mail.docx", "A 29829-2023")</f>
        <v/>
      </c>
      <c r="X122">
        <f>HYPERLINK("https://klasma.github.io/Logging_2361/tillsyn/A 29829-2023 tillsynsbegäran.docx", "A 29829-2023")</f>
        <v/>
      </c>
      <c r="Y122">
        <f>HYPERLINK("https://klasma.github.io/Logging_2361/tillsynsmail/A 29829-2023 tillsynsbegäran mail.docx", "A 29829-2023")</f>
        <v/>
      </c>
      <c r="Z122">
        <f>HYPERLINK("https://klasma.github.io/Logging_2361/fåglar/A 29829-2023 prioriterade fågelarter.docx", "A 29829-2023")</f>
        <v/>
      </c>
    </row>
    <row r="123" ht="15" customHeight="1">
      <c r="A123" t="inlineStr">
        <is>
          <t>A 39925-2023</t>
        </is>
      </c>
      <c r="B123" s="1" t="n">
        <v>45168</v>
      </c>
      <c r="C123" s="1" t="n">
        <v>45787</v>
      </c>
      <c r="D123" t="inlineStr">
        <is>
          <t>JÄMTLANDS LÄN</t>
        </is>
      </c>
      <c r="E123" t="inlineStr">
        <is>
          <t>HÄRJEDALEN</t>
        </is>
      </c>
      <c r="F123" t="inlineStr">
        <is>
          <t>Sveaskog</t>
        </is>
      </c>
      <c r="G123" t="n">
        <v>25.6</v>
      </c>
      <c r="H123" t="n">
        <v>0</v>
      </c>
      <c r="I123" t="n">
        <v>1</v>
      </c>
      <c r="J123" t="n">
        <v>3</v>
      </c>
      <c r="K123" t="n">
        <v>0</v>
      </c>
      <c r="L123" t="n">
        <v>0</v>
      </c>
      <c r="M123" t="n">
        <v>0</v>
      </c>
      <c r="N123" t="n">
        <v>0</v>
      </c>
      <c r="O123" t="n">
        <v>3</v>
      </c>
      <c r="P123" t="n">
        <v>0</v>
      </c>
      <c r="Q123" t="n">
        <v>4</v>
      </c>
      <c r="R123" s="2" t="inlineStr">
        <is>
          <t>Kolflarnlav
Mörk kolflarnlav
Vedflamlav
Dropptaggsvamp</t>
        </is>
      </c>
      <c r="S123">
        <f>HYPERLINK("https://klasma.github.io/Logging_2361/artfynd/A 39925-2023 artfynd.xlsx", "A 39925-2023")</f>
        <v/>
      </c>
      <c r="T123">
        <f>HYPERLINK("https://klasma.github.io/Logging_2361/kartor/A 39925-2023 karta.png", "A 39925-2023")</f>
        <v/>
      </c>
      <c r="V123">
        <f>HYPERLINK("https://klasma.github.io/Logging_2361/klagomål/A 39925-2023 FSC-klagomål.docx", "A 39925-2023")</f>
        <v/>
      </c>
      <c r="W123">
        <f>HYPERLINK("https://klasma.github.io/Logging_2361/klagomålsmail/A 39925-2023 FSC-klagomål mail.docx", "A 39925-2023")</f>
        <v/>
      </c>
      <c r="X123">
        <f>HYPERLINK("https://klasma.github.io/Logging_2361/tillsyn/A 39925-2023 tillsynsbegäran.docx", "A 39925-2023")</f>
        <v/>
      </c>
      <c r="Y123">
        <f>HYPERLINK("https://klasma.github.io/Logging_2361/tillsynsmail/A 39925-2023 tillsynsbegäran mail.docx", "A 39925-2023")</f>
        <v/>
      </c>
    </row>
    <row r="124" ht="15" customHeight="1">
      <c r="A124" t="inlineStr">
        <is>
          <t>A 46228-2023</t>
        </is>
      </c>
      <c r="B124" s="1" t="n">
        <v>45196</v>
      </c>
      <c r="C124" s="1" t="n">
        <v>45787</v>
      </c>
      <c r="D124" t="inlineStr">
        <is>
          <t>JÄMTLANDS LÄN</t>
        </is>
      </c>
      <c r="E124" t="inlineStr">
        <is>
          <t>HÄRJEDALEN</t>
        </is>
      </c>
      <c r="F124" t="inlineStr">
        <is>
          <t>Sveaskog</t>
        </is>
      </c>
      <c r="G124" t="n">
        <v>9.4</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46228-2023 artfynd.xlsx", "A 46228-2023")</f>
        <v/>
      </c>
      <c r="T124">
        <f>HYPERLINK("https://klasma.github.io/Logging_2361/kartor/A 46228-2023 karta.png", "A 46228-2023")</f>
        <v/>
      </c>
      <c r="V124">
        <f>HYPERLINK("https://klasma.github.io/Logging_2361/klagomål/A 46228-2023 FSC-klagomål.docx", "A 46228-2023")</f>
        <v/>
      </c>
      <c r="W124">
        <f>HYPERLINK("https://klasma.github.io/Logging_2361/klagomålsmail/A 46228-2023 FSC-klagomål mail.docx", "A 46228-2023")</f>
        <v/>
      </c>
      <c r="X124">
        <f>HYPERLINK("https://klasma.github.io/Logging_2361/tillsyn/A 46228-2023 tillsynsbegäran.docx", "A 46228-2023")</f>
        <v/>
      </c>
      <c r="Y124">
        <f>HYPERLINK("https://klasma.github.io/Logging_2361/tillsynsmail/A 46228-2023 tillsynsbegäran mail.docx", "A 46228-2023")</f>
        <v/>
      </c>
    </row>
    <row r="125" ht="15" customHeight="1">
      <c r="A125" t="inlineStr">
        <is>
          <t>A 46230-2023</t>
        </is>
      </c>
      <c r="B125" s="1" t="n">
        <v>45196</v>
      </c>
      <c r="C125" s="1" t="n">
        <v>45787</v>
      </c>
      <c r="D125" t="inlineStr">
        <is>
          <t>JÄMTLANDS LÄN</t>
        </is>
      </c>
      <c r="E125" t="inlineStr">
        <is>
          <t>HÄRJEDALEN</t>
        </is>
      </c>
      <c r="F125" t="inlineStr">
        <is>
          <t>Sveaskog</t>
        </is>
      </c>
      <c r="G125" t="n">
        <v>3.8</v>
      </c>
      <c r="H125" t="n">
        <v>0</v>
      </c>
      <c r="I125" t="n">
        <v>0</v>
      </c>
      <c r="J125" t="n">
        <v>4</v>
      </c>
      <c r="K125" t="n">
        <v>0</v>
      </c>
      <c r="L125" t="n">
        <v>0</v>
      </c>
      <c r="M125" t="n">
        <v>0</v>
      </c>
      <c r="N125" t="n">
        <v>0</v>
      </c>
      <c r="O125" t="n">
        <v>4</v>
      </c>
      <c r="P125" t="n">
        <v>0</v>
      </c>
      <c r="Q125" t="n">
        <v>4</v>
      </c>
      <c r="R125" s="2" t="inlineStr">
        <is>
          <t>Dvärgbägarlav
Kolflarnlav
Mörk kolflarnlav
Vedflamlav</t>
        </is>
      </c>
      <c r="S125">
        <f>HYPERLINK("https://klasma.github.io/Logging_2361/artfynd/A 46230-2023 artfynd.xlsx", "A 46230-2023")</f>
        <v/>
      </c>
      <c r="T125">
        <f>HYPERLINK("https://klasma.github.io/Logging_2361/kartor/A 46230-2023 karta.png", "A 46230-2023")</f>
        <v/>
      </c>
      <c r="V125">
        <f>HYPERLINK("https://klasma.github.io/Logging_2361/klagomål/A 46230-2023 FSC-klagomål.docx", "A 46230-2023")</f>
        <v/>
      </c>
      <c r="W125">
        <f>HYPERLINK("https://klasma.github.io/Logging_2361/klagomålsmail/A 46230-2023 FSC-klagomål mail.docx", "A 46230-2023")</f>
        <v/>
      </c>
      <c r="X125">
        <f>HYPERLINK("https://klasma.github.io/Logging_2361/tillsyn/A 46230-2023 tillsynsbegäran.docx", "A 46230-2023")</f>
        <v/>
      </c>
      <c r="Y125">
        <f>HYPERLINK("https://klasma.github.io/Logging_2361/tillsynsmail/A 46230-2023 tillsynsbegäran mail.docx", "A 46230-2023")</f>
        <v/>
      </c>
    </row>
    <row r="126" ht="15" customHeight="1">
      <c r="A126" t="inlineStr">
        <is>
          <t>A 16549-2024</t>
        </is>
      </c>
      <c r="B126" s="1" t="n">
        <v>45408</v>
      </c>
      <c r="C126" s="1" t="n">
        <v>45787</v>
      </c>
      <c r="D126" t="inlineStr">
        <is>
          <t>JÄMTLANDS LÄN</t>
        </is>
      </c>
      <c r="E126" t="inlineStr">
        <is>
          <t>HÄRJEDALEN</t>
        </is>
      </c>
      <c r="G126" t="n">
        <v>3.5</v>
      </c>
      <c r="H126" t="n">
        <v>0</v>
      </c>
      <c r="I126" t="n">
        <v>1</v>
      </c>
      <c r="J126" t="n">
        <v>3</v>
      </c>
      <c r="K126" t="n">
        <v>0</v>
      </c>
      <c r="L126" t="n">
        <v>0</v>
      </c>
      <c r="M126" t="n">
        <v>0</v>
      </c>
      <c r="N126" t="n">
        <v>0</v>
      </c>
      <c r="O126" t="n">
        <v>3</v>
      </c>
      <c r="P126" t="n">
        <v>0</v>
      </c>
      <c r="Q126" t="n">
        <v>4</v>
      </c>
      <c r="R126" s="2" t="inlineStr">
        <is>
          <t>Dvärgbägarlav
Mörk kolflarnlav
Vedskivlav
Skarp dropptaggsvamp</t>
        </is>
      </c>
      <c r="S126">
        <f>HYPERLINK("https://klasma.github.io/Logging_2361/artfynd/A 16549-2024 artfynd.xlsx", "A 16549-2024")</f>
        <v/>
      </c>
      <c r="T126">
        <f>HYPERLINK("https://klasma.github.io/Logging_2361/kartor/A 16549-2024 karta.png", "A 16549-2024")</f>
        <v/>
      </c>
      <c r="V126">
        <f>HYPERLINK("https://klasma.github.io/Logging_2361/klagomål/A 16549-2024 FSC-klagomål.docx", "A 16549-2024")</f>
        <v/>
      </c>
      <c r="W126">
        <f>HYPERLINK("https://klasma.github.io/Logging_2361/klagomålsmail/A 16549-2024 FSC-klagomål mail.docx", "A 16549-2024")</f>
        <v/>
      </c>
      <c r="X126">
        <f>HYPERLINK("https://klasma.github.io/Logging_2361/tillsyn/A 16549-2024 tillsynsbegäran.docx", "A 16549-2024")</f>
        <v/>
      </c>
      <c r="Y126">
        <f>HYPERLINK("https://klasma.github.io/Logging_2361/tillsynsmail/A 16549-2024 tillsynsbegäran mail.docx", "A 16549-2024")</f>
        <v/>
      </c>
    </row>
    <row r="127" ht="15" customHeight="1">
      <c r="A127" t="inlineStr">
        <is>
          <t>A 19965-2024</t>
        </is>
      </c>
      <c r="B127" s="1" t="n">
        <v>45433</v>
      </c>
      <c r="C127" s="1" t="n">
        <v>45787</v>
      </c>
      <c r="D127" t="inlineStr">
        <is>
          <t>JÄMTLANDS LÄN</t>
        </is>
      </c>
      <c r="E127" t="inlineStr">
        <is>
          <t>HÄRJEDALEN</t>
        </is>
      </c>
      <c r="F127" t="inlineStr">
        <is>
          <t>Sveaskog</t>
        </is>
      </c>
      <c r="G127" t="n">
        <v>15</v>
      </c>
      <c r="H127" t="n">
        <v>0</v>
      </c>
      <c r="I127" t="n">
        <v>1</v>
      </c>
      <c r="J127" t="n">
        <v>3</v>
      </c>
      <c r="K127" t="n">
        <v>0</v>
      </c>
      <c r="L127" t="n">
        <v>0</v>
      </c>
      <c r="M127" t="n">
        <v>0</v>
      </c>
      <c r="N127" t="n">
        <v>0</v>
      </c>
      <c r="O127" t="n">
        <v>3</v>
      </c>
      <c r="P127" t="n">
        <v>0</v>
      </c>
      <c r="Q127" t="n">
        <v>4</v>
      </c>
      <c r="R127" s="2" t="inlineStr">
        <is>
          <t>Kolflarnlav
Motaggsvamp
Vedflamlav
Dropptaggsvamp</t>
        </is>
      </c>
      <c r="S127">
        <f>HYPERLINK("https://klasma.github.io/Logging_2361/artfynd/A 19965-2024 artfynd.xlsx", "A 19965-2024")</f>
        <v/>
      </c>
      <c r="T127">
        <f>HYPERLINK("https://klasma.github.io/Logging_2361/kartor/A 19965-2024 karta.png", "A 19965-2024")</f>
        <v/>
      </c>
      <c r="V127">
        <f>HYPERLINK("https://klasma.github.io/Logging_2361/klagomål/A 19965-2024 FSC-klagomål.docx", "A 19965-2024")</f>
        <v/>
      </c>
      <c r="W127">
        <f>HYPERLINK("https://klasma.github.io/Logging_2361/klagomålsmail/A 19965-2024 FSC-klagomål mail.docx", "A 19965-2024")</f>
        <v/>
      </c>
      <c r="X127">
        <f>HYPERLINK("https://klasma.github.io/Logging_2361/tillsyn/A 19965-2024 tillsynsbegäran.docx", "A 19965-2024")</f>
        <v/>
      </c>
      <c r="Y127">
        <f>HYPERLINK("https://klasma.github.io/Logging_2361/tillsynsmail/A 19965-2024 tillsynsbegäran mail.docx", "A 19965-2024")</f>
        <v/>
      </c>
    </row>
    <row r="128" ht="15" customHeight="1">
      <c r="A128" t="inlineStr">
        <is>
          <t>A 25864-2024</t>
        </is>
      </c>
      <c r="B128" s="1" t="n">
        <v>45467</v>
      </c>
      <c r="C128" s="1" t="n">
        <v>45787</v>
      </c>
      <c r="D128" t="inlineStr">
        <is>
          <t>JÄMTLANDS LÄN</t>
        </is>
      </c>
      <c r="E128" t="inlineStr">
        <is>
          <t>HÄRJEDALEN</t>
        </is>
      </c>
      <c r="F128" t="inlineStr">
        <is>
          <t>Sveaskog</t>
        </is>
      </c>
      <c r="G128" t="n">
        <v>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HYPERLINK("https://klasma.github.io/Logging_2361/artfynd/A 25864-2024 artfynd.xlsx", "A 25864-2024")</f>
        <v/>
      </c>
      <c r="T128">
        <f>HYPERLINK("https://klasma.github.io/Logging_2361/kartor/A 25864-2024 karta.png", "A 25864-2024")</f>
        <v/>
      </c>
      <c r="V128">
        <f>HYPERLINK("https://klasma.github.io/Logging_2361/klagomål/A 25864-2024 FSC-klagomål.docx", "A 25864-2024")</f>
        <v/>
      </c>
      <c r="W128">
        <f>HYPERLINK("https://klasma.github.io/Logging_2361/klagomålsmail/A 25864-2024 FSC-klagomål mail.docx", "A 25864-2024")</f>
        <v/>
      </c>
      <c r="X128">
        <f>HYPERLINK("https://klasma.github.io/Logging_2361/tillsyn/A 25864-2024 tillsynsbegäran.docx", "A 25864-2024")</f>
        <v/>
      </c>
      <c r="Y128">
        <f>HYPERLINK("https://klasma.github.io/Logging_2361/tillsynsmail/A 25864-2024 tillsynsbegäran mail.docx", "A 25864-2024")</f>
        <v/>
      </c>
    </row>
    <row r="129" ht="15" customHeight="1">
      <c r="A129" t="inlineStr">
        <is>
          <t>A 31012-2024</t>
        </is>
      </c>
      <c r="B129" s="1" t="n">
        <v>45499</v>
      </c>
      <c r="C129" s="1" t="n">
        <v>45787</v>
      </c>
      <c r="D129" t="inlineStr">
        <is>
          <t>JÄMTLANDS LÄN</t>
        </is>
      </c>
      <c r="E129" t="inlineStr">
        <is>
          <t>HÄRJEDALEN</t>
        </is>
      </c>
      <c r="F129" t="inlineStr">
        <is>
          <t>Sveaskog</t>
        </is>
      </c>
      <c r="G129" t="n">
        <v>11.7</v>
      </c>
      <c r="H129" t="n">
        <v>1</v>
      </c>
      <c r="I129" t="n">
        <v>1</v>
      </c>
      <c r="J129" t="n">
        <v>3</v>
      </c>
      <c r="K129" t="n">
        <v>0</v>
      </c>
      <c r="L129" t="n">
        <v>0</v>
      </c>
      <c r="M129" t="n">
        <v>0</v>
      </c>
      <c r="N129" t="n">
        <v>0</v>
      </c>
      <c r="O129" t="n">
        <v>3</v>
      </c>
      <c r="P129" t="n">
        <v>0</v>
      </c>
      <c r="Q129" t="n">
        <v>4</v>
      </c>
      <c r="R129" s="2" t="inlineStr">
        <is>
          <t>Kolflarnlav
Mörk kolflarnlav
Tretåig hackspett
Dropptaggsvamp</t>
        </is>
      </c>
      <c r="S129">
        <f>HYPERLINK("https://klasma.github.io/Logging_2361/artfynd/A 31012-2024 artfynd.xlsx", "A 31012-2024")</f>
        <v/>
      </c>
      <c r="T129">
        <f>HYPERLINK("https://klasma.github.io/Logging_2361/kartor/A 31012-2024 karta.png", "A 31012-2024")</f>
        <v/>
      </c>
      <c r="V129">
        <f>HYPERLINK("https://klasma.github.io/Logging_2361/klagomål/A 31012-2024 FSC-klagomål.docx", "A 31012-2024")</f>
        <v/>
      </c>
      <c r="W129">
        <f>HYPERLINK("https://klasma.github.io/Logging_2361/klagomålsmail/A 31012-2024 FSC-klagomål mail.docx", "A 31012-2024")</f>
        <v/>
      </c>
      <c r="X129">
        <f>HYPERLINK("https://klasma.github.io/Logging_2361/tillsyn/A 31012-2024 tillsynsbegäran.docx", "A 31012-2024")</f>
        <v/>
      </c>
      <c r="Y129">
        <f>HYPERLINK("https://klasma.github.io/Logging_2361/tillsynsmail/A 31012-2024 tillsynsbegäran mail.docx", "A 31012-2024")</f>
        <v/>
      </c>
      <c r="Z129">
        <f>HYPERLINK("https://klasma.github.io/Logging_2361/fåglar/A 31012-2024 prioriterade fågelarter.docx", "A 31012-2024")</f>
        <v/>
      </c>
    </row>
    <row r="130" ht="15" customHeight="1">
      <c r="A130" t="inlineStr">
        <is>
          <t>A 31148-2024</t>
        </is>
      </c>
      <c r="B130" s="1" t="n">
        <v>45502</v>
      </c>
      <c r="C130" s="1" t="n">
        <v>45787</v>
      </c>
      <c r="D130" t="inlineStr">
        <is>
          <t>JÄMTLANDS LÄN</t>
        </is>
      </c>
      <c r="E130" t="inlineStr">
        <is>
          <t>HÄRJEDALEN</t>
        </is>
      </c>
      <c r="F130" t="inlineStr">
        <is>
          <t>Sveaskog</t>
        </is>
      </c>
      <c r="G130" t="n">
        <v>8.199999999999999</v>
      </c>
      <c r="H130" t="n">
        <v>0</v>
      </c>
      <c r="I130" t="n">
        <v>1</v>
      </c>
      <c r="J130" t="n">
        <v>3</v>
      </c>
      <c r="K130" t="n">
        <v>0</v>
      </c>
      <c r="L130" t="n">
        <v>0</v>
      </c>
      <c r="M130" t="n">
        <v>0</v>
      </c>
      <c r="N130" t="n">
        <v>0</v>
      </c>
      <c r="O130" t="n">
        <v>3</v>
      </c>
      <c r="P130" t="n">
        <v>0</v>
      </c>
      <c r="Q130" t="n">
        <v>4</v>
      </c>
      <c r="R130" s="2" t="inlineStr">
        <is>
          <t>Dvärgbägarlav
Kolflarnlav
Mörk kolflarnlav
Dropptaggsvamp</t>
        </is>
      </c>
      <c r="S130">
        <f>HYPERLINK("https://klasma.github.io/Logging_2361/artfynd/A 31148-2024 artfynd.xlsx", "A 31148-2024")</f>
        <v/>
      </c>
      <c r="T130">
        <f>HYPERLINK("https://klasma.github.io/Logging_2361/kartor/A 31148-2024 karta.png", "A 31148-2024")</f>
        <v/>
      </c>
      <c r="V130">
        <f>HYPERLINK("https://klasma.github.io/Logging_2361/klagomål/A 31148-2024 FSC-klagomål.docx", "A 31148-2024")</f>
        <v/>
      </c>
      <c r="W130">
        <f>HYPERLINK("https://klasma.github.io/Logging_2361/klagomålsmail/A 31148-2024 FSC-klagomål mail.docx", "A 31148-2024")</f>
        <v/>
      </c>
      <c r="X130">
        <f>HYPERLINK("https://klasma.github.io/Logging_2361/tillsyn/A 31148-2024 tillsynsbegäran.docx", "A 31148-2024")</f>
        <v/>
      </c>
      <c r="Y130">
        <f>HYPERLINK("https://klasma.github.io/Logging_2361/tillsynsmail/A 31148-2024 tillsynsbegäran mail.docx", "A 31148-2024")</f>
        <v/>
      </c>
    </row>
    <row r="131" ht="15" customHeight="1">
      <c r="A131" t="inlineStr">
        <is>
          <t>A 31288-2024</t>
        </is>
      </c>
      <c r="B131" s="1" t="n">
        <v>45504</v>
      </c>
      <c r="C131" s="1" t="n">
        <v>45787</v>
      </c>
      <c r="D131" t="inlineStr">
        <is>
          <t>JÄMTLANDS LÄN</t>
        </is>
      </c>
      <c r="E131" t="inlineStr">
        <is>
          <t>HÄRJEDALEN</t>
        </is>
      </c>
      <c r="F131" t="inlineStr">
        <is>
          <t>Sveaskog</t>
        </is>
      </c>
      <c r="G131" t="n">
        <v>10.4</v>
      </c>
      <c r="H131" t="n">
        <v>0</v>
      </c>
      <c r="I131" t="n">
        <v>0</v>
      </c>
      <c r="J131" t="n">
        <v>4</v>
      </c>
      <c r="K131" t="n">
        <v>0</v>
      </c>
      <c r="L131" t="n">
        <v>0</v>
      </c>
      <c r="M131" t="n">
        <v>0</v>
      </c>
      <c r="N131" t="n">
        <v>0</v>
      </c>
      <c r="O131" t="n">
        <v>4</v>
      </c>
      <c r="P131" t="n">
        <v>0</v>
      </c>
      <c r="Q131" t="n">
        <v>4</v>
      </c>
      <c r="R131" s="2" t="inlineStr">
        <is>
          <t>Blå taggsvamp
Kolflarnlav
Mörk kolflarnlav
Vedflamlav</t>
        </is>
      </c>
      <c r="S131">
        <f>HYPERLINK("https://klasma.github.io/Logging_2361/artfynd/A 31288-2024 artfynd.xlsx", "A 31288-2024")</f>
        <v/>
      </c>
      <c r="T131">
        <f>HYPERLINK("https://klasma.github.io/Logging_2361/kartor/A 31288-2024 karta.png", "A 31288-2024")</f>
        <v/>
      </c>
      <c r="V131">
        <f>HYPERLINK("https://klasma.github.io/Logging_2361/klagomål/A 31288-2024 FSC-klagomål.docx", "A 31288-2024")</f>
        <v/>
      </c>
      <c r="W131">
        <f>HYPERLINK("https://klasma.github.io/Logging_2361/klagomålsmail/A 31288-2024 FSC-klagomål mail.docx", "A 31288-2024")</f>
        <v/>
      </c>
      <c r="X131">
        <f>HYPERLINK("https://klasma.github.io/Logging_2361/tillsyn/A 31288-2024 tillsynsbegäran.docx", "A 31288-2024")</f>
        <v/>
      </c>
      <c r="Y131">
        <f>HYPERLINK("https://klasma.github.io/Logging_2361/tillsynsmail/A 31288-2024 tillsynsbegäran mail.docx", "A 31288-2024")</f>
        <v/>
      </c>
    </row>
    <row r="132" ht="15" customHeight="1">
      <c r="A132" t="inlineStr">
        <is>
          <t>A 31584-2024</t>
        </is>
      </c>
      <c r="B132" s="1" t="n">
        <v>45506</v>
      </c>
      <c r="C132" s="1" t="n">
        <v>45787</v>
      </c>
      <c r="D132" t="inlineStr">
        <is>
          <t>JÄMTLANDS LÄN</t>
        </is>
      </c>
      <c r="E132" t="inlineStr">
        <is>
          <t>HÄRJEDALEN</t>
        </is>
      </c>
      <c r="G132" t="n">
        <v>9.699999999999999</v>
      </c>
      <c r="H132" t="n">
        <v>1</v>
      </c>
      <c r="I132" t="n">
        <v>0</v>
      </c>
      <c r="J132" t="n">
        <v>3</v>
      </c>
      <c r="K132" t="n">
        <v>1</v>
      </c>
      <c r="L132" t="n">
        <v>0</v>
      </c>
      <c r="M132" t="n">
        <v>0</v>
      </c>
      <c r="N132" t="n">
        <v>0</v>
      </c>
      <c r="O132" t="n">
        <v>4</v>
      </c>
      <c r="P132" t="n">
        <v>1</v>
      </c>
      <c r="Q132" t="n">
        <v>4</v>
      </c>
      <c r="R132" s="2" t="inlineStr">
        <is>
          <t>Knärot
Dvärgbägarlav
Garnlav
Mörk kolflarnlav</t>
        </is>
      </c>
      <c r="S132">
        <f>HYPERLINK("https://klasma.github.io/Logging_2361/artfynd/A 31584-2024 artfynd.xlsx", "A 31584-2024")</f>
        <v/>
      </c>
      <c r="T132">
        <f>HYPERLINK("https://klasma.github.io/Logging_2361/kartor/A 31584-2024 karta.png", "A 31584-2024")</f>
        <v/>
      </c>
      <c r="U132">
        <f>HYPERLINK("https://klasma.github.io/Logging_2361/knärot/A 31584-2024 karta knärot.png", "A 31584-2024")</f>
        <v/>
      </c>
      <c r="V132">
        <f>HYPERLINK("https://klasma.github.io/Logging_2361/klagomål/A 31584-2024 FSC-klagomål.docx", "A 31584-2024")</f>
        <v/>
      </c>
      <c r="W132">
        <f>HYPERLINK("https://klasma.github.io/Logging_2361/klagomålsmail/A 31584-2024 FSC-klagomål mail.docx", "A 31584-2024")</f>
        <v/>
      </c>
      <c r="X132">
        <f>HYPERLINK("https://klasma.github.io/Logging_2361/tillsyn/A 31584-2024 tillsynsbegäran.docx", "A 31584-2024")</f>
        <v/>
      </c>
      <c r="Y132">
        <f>HYPERLINK("https://klasma.github.io/Logging_2361/tillsynsmail/A 31584-2024 tillsynsbegäran mail.docx", "A 31584-2024")</f>
        <v/>
      </c>
    </row>
    <row r="133" ht="15" customHeight="1">
      <c r="A133" t="inlineStr">
        <is>
          <t>A 36538-2024</t>
        </is>
      </c>
      <c r="B133" s="1" t="n">
        <v>45537</v>
      </c>
      <c r="C133" s="1" t="n">
        <v>45787</v>
      </c>
      <c r="D133" t="inlineStr">
        <is>
          <t>JÄMTLANDS LÄN</t>
        </is>
      </c>
      <c r="E133" t="inlineStr">
        <is>
          <t>HÄRJEDALEN</t>
        </is>
      </c>
      <c r="F133" t="inlineStr">
        <is>
          <t>Holmen skog AB</t>
        </is>
      </c>
      <c r="G133" t="n">
        <v>7.4</v>
      </c>
      <c r="H133" t="n">
        <v>2</v>
      </c>
      <c r="I133" t="n">
        <v>0</v>
      </c>
      <c r="J133" t="n">
        <v>2</v>
      </c>
      <c r="K133" t="n">
        <v>1</v>
      </c>
      <c r="L133" t="n">
        <v>0</v>
      </c>
      <c r="M133" t="n">
        <v>0</v>
      </c>
      <c r="N133" t="n">
        <v>0</v>
      </c>
      <c r="O133" t="n">
        <v>3</v>
      </c>
      <c r="P133" t="n">
        <v>1</v>
      </c>
      <c r="Q133" t="n">
        <v>4</v>
      </c>
      <c r="R133" s="2" t="inlineStr">
        <is>
          <t>Knärot
Knottrig blåslav
Violettgrå tagellav
Fläcknycklar</t>
        </is>
      </c>
      <c r="S133">
        <f>HYPERLINK("https://klasma.github.io/Logging_2361/artfynd/A 36538-2024 artfynd.xlsx", "A 36538-2024")</f>
        <v/>
      </c>
      <c r="T133">
        <f>HYPERLINK("https://klasma.github.io/Logging_2361/kartor/A 36538-2024 karta.png", "A 36538-2024")</f>
        <v/>
      </c>
      <c r="U133">
        <f>HYPERLINK("https://klasma.github.io/Logging_2361/knärot/A 36538-2024 karta knärot.png", "A 36538-2024")</f>
        <v/>
      </c>
      <c r="V133">
        <f>HYPERLINK("https://klasma.github.io/Logging_2361/klagomål/A 36538-2024 FSC-klagomål.docx", "A 36538-2024")</f>
        <v/>
      </c>
      <c r="W133">
        <f>HYPERLINK("https://klasma.github.io/Logging_2361/klagomålsmail/A 36538-2024 FSC-klagomål mail.docx", "A 36538-2024")</f>
        <v/>
      </c>
      <c r="X133">
        <f>HYPERLINK("https://klasma.github.io/Logging_2361/tillsyn/A 36538-2024 tillsynsbegäran.docx", "A 36538-2024")</f>
        <v/>
      </c>
      <c r="Y133">
        <f>HYPERLINK("https://klasma.github.io/Logging_2361/tillsynsmail/A 36538-2024 tillsynsbegäran mail.docx", "A 36538-2024")</f>
        <v/>
      </c>
    </row>
    <row r="134" ht="15" customHeight="1">
      <c r="A134" t="inlineStr">
        <is>
          <t>A 39687-2024</t>
        </is>
      </c>
      <c r="B134" s="1" t="n">
        <v>45552</v>
      </c>
      <c r="C134" s="1" t="n">
        <v>45787</v>
      </c>
      <c r="D134" t="inlineStr">
        <is>
          <t>JÄMTLANDS LÄN</t>
        </is>
      </c>
      <c r="E134" t="inlineStr">
        <is>
          <t>HÄRJEDALEN</t>
        </is>
      </c>
      <c r="G134" t="n">
        <v>2.4</v>
      </c>
      <c r="H134" t="n">
        <v>0</v>
      </c>
      <c r="I134" t="n">
        <v>1</v>
      </c>
      <c r="J134" t="n">
        <v>3</v>
      </c>
      <c r="K134" t="n">
        <v>0</v>
      </c>
      <c r="L134" t="n">
        <v>0</v>
      </c>
      <c r="M134" t="n">
        <v>0</v>
      </c>
      <c r="N134" t="n">
        <v>0</v>
      </c>
      <c r="O134" t="n">
        <v>3</v>
      </c>
      <c r="P134" t="n">
        <v>0</v>
      </c>
      <c r="Q134" t="n">
        <v>4</v>
      </c>
      <c r="R134" s="2" t="inlineStr">
        <is>
          <t>Dvärgbägarlav
Mörk kolflarnlav
Vedskivlav
Skarp dropptaggsvamp</t>
        </is>
      </c>
      <c r="S134">
        <f>HYPERLINK("https://klasma.github.io/Logging_2361/artfynd/A 39687-2024 artfynd.xlsx", "A 39687-2024")</f>
        <v/>
      </c>
      <c r="T134">
        <f>HYPERLINK("https://klasma.github.io/Logging_2361/kartor/A 39687-2024 karta.png", "A 39687-2024")</f>
        <v/>
      </c>
      <c r="V134">
        <f>HYPERLINK("https://klasma.github.io/Logging_2361/klagomål/A 39687-2024 FSC-klagomål.docx", "A 39687-2024")</f>
        <v/>
      </c>
      <c r="W134">
        <f>HYPERLINK("https://klasma.github.io/Logging_2361/klagomålsmail/A 39687-2024 FSC-klagomål mail.docx", "A 39687-2024")</f>
        <v/>
      </c>
      <c r="X134">
        <f>HYPERLINK("https://klasma.github.io/Logging_2361/tillsyn/A 39687-2024 tillsynsbegäran.docx", "A 39687-2024")</f>
        <v/>
      </c>
      <c r="Y134">
        <f>HYPERLINK("https://klasma.github.io/Logging_2361/tillsynsmail/A 39687-2024 tillsynsbegäran mail.docx", "A 39687-2024")</f>
        <v/>
      </c>
    </row>
    <row r="135" ht="15" customHeight="1">
      <c r="A135" t="inlineStr">
        <is>
          <t>A 41068-2024</t>
        </is>
      </c>
      <c r="B135" s="1" t="n">
        <v>45559</v>
      </c>
      <c r="C135" s="1" t="n">
        <v>45787</v>
      </c>
      <c r="D135" t="inlineStr">
        <is>
          <t>JÄMTLANDS LÄN</t>
        </is>
      </c>
      <c r="E135" t="inlineStr">
        <is>
          <t>HÄRJEDALEN</t>
        </is>
      </c>
      <c r="F135" t="inlineStr">
        <is>
          <t>Bergvik skog väst AB</t>
        </is>
      </c>
      <c r="G135" t="n">
        <v>51.1</v>
      </c>
      <c r="H135" t="n">
        <v>2</v>
      </c>
      <c r="I135" t="n">
        <v>0</v>
      </c>
      <c r="J135" t="n">
        <v>4</v>
      </c>
      <c r="K135" t="n">
        <v>0</v>
      </c>
      <c r="L135" t="n">
        <v>0</v>
      </c>
      <c r="M135" t="n">
        <v>0</v>
      </c>
      <c r="N135" t="n">
        <v>0</v>
      </c>
      <c r="O135" t="n">
        <v>4</v>
      </c>
      <c r="P135" t="n">
        <v>0</v>
      </c>
      <c r="Q135" t="n">
        <v>4</v>
      </c>
      <c r="R135" s="2" t="inlineStr">
        <is>
          <t>Granticka
Spillkråka
Tretåig hackspett
Ullticka</t>
        </is>
      </c>
      <c r="S135">
        <f>HYPERLINK("https://klasma.github.io/Logging_2361/artfynd/A 41068-2024 artfynd.xlsx", "A 41068-2024")</f>
        <v/>
      </c>
      <c r="T135">
        <f>HYPERLINK("https://klasma.github.io/Logging_2361/kartor/A 41068-2024 karta.png", "A 41068-2024")</f>
        <v/>
      </c>
      <c r="V135">
        <f>HYPERLINK("https://klasma.github.io/Logging_2361/klagomål/A 41068-2024 FSC-klagomål.docx", "A 41068-2024")</f>
        <v/>
      </c>
      <c r="W135">
        <f>HYPERLINK("https://klasma.github.io/Logging_2361/klagomålsmail/A 41068-2024 FSC-klagomål mail.docx", "A 41068-2024")</f>
        <v/>
      </c>
      <c r="X135">
        <f>HYPERLINK("https://klasma.github.io/Logging_2361/tillsyn/A 41068-2024 tillsynsbegäran.docx", "A 41068-2024")</f>
        <v/>
      </c>
      <c r="Y135">
        <f>HYPERLINK("https://klasma.github.io/Logging_2361/tillsynsmail/A 41068-2024 tillsynsbegäran mail.docx", "A 41068-2024")</f>
        <v/>
      </c>
      <c r="Z135">
        <f>HYPERLINK("https://klasma.github.io/Logging_2361/fåglar/A 41068-2024 prioriterade fågelarter.docx", "A 41068-2024")</f>
        <v/>
      </c>
    </row>
    <row r="136" ht="15" customHeight="1">
      <c r="A136" t="inlineStr">
        <is>
          <t>A 5795-2025</t>
        </is>
      </c>
      <c r="B136" s="1" t="n">
        <v>45694</v>
      </c>
      <c r="C136" s="1" t="n">
        <v>45787</v>
      </c>
      <c r="D136" t="inlineStr">
        <is>
          <t>JÄMTLANDS LÄN</t>
        </is>
      </c>
      <c r="E136" t="inlineStr">
        <is>
          <t>HÄRJEDALEN</t>
        </is>
      </c>
      <c r="G136" t="n">
        <v>8.4</v>
      </c>
      <c r="H136" t="n">
        <v>0</v>
      </c>
      <c r="I136" t="n">
        <v>1</v>
      </c>
      <c r="J136" t="n">
        <v>3</v>
      </c>
      <c r="K136" t="n">
        <v>0</v>
      </c>
      <c r="L136" t="n">
        <v>0</v>
      </c>
      <c r="M136" t="n">
        <v>0</v>
      </c>
      <c r="N136" t="n">
        <v>0</v>
      </c>
      <c r="O136" t="n">
        <v>3</v>
      </c>
      <c r="P136" t="n">
        <v>0</v>
      </c>
      <c r="Q136" t="n">
        <v>4</v>
      </c>
      <c r="R136" s="2" t="inlineStr">
        <is>
          <t>Garnlav
Granticka
Ullticka
Vedticka</t>
        </is>
      </c>
      <c r="S136">
        <f>HYPERLINK("https://klasma.github.io/Logging_2361/artfynd/A 5795-2025 artfynd.xlsx", "A 5795-2025")</f>
        <v/>
      </c>
      <c r="T136">
        <f>HYPERLINK("https://klasma.github.io/Logging_2361/kartor/A 5795-2025 karta.png", "A 5795-2025")</f>
        <v/>
      </c>
      <c r="V136">
        <f>HYPERLINK("https://klasma.github.io/Logging_2361/klagomål/A 5795-2025 FSC-klagomål.docx", "A 5795-2025")</f>
        <v/>
      </c>
      <c r="W136">
        <f>HYPERLINK("https://klasma.github.io/Logging_2361/klagomålsmail/A 5795-2025 FSC-klagomål mail.docx", "A 5795-2025")</f>
        <v/>
      </c>
      <c r="X136">
        <f>HYPERLINK("https://klasma.github.io/Logging_2361/tillsyn/A 5795-2025 tillsynsbegäran.docx", "A 5795-2025")</f>
        <v/>
      </c>
      <c r="Y136">
        <f>HYPERLINK("https://klasma.github.io/Logging_2361/tillsynsmail/A 5795-2025 tillsynsbegäran mail.docx", "A 5795-2025")</f>
        <v/>
      </c>
    </row>
    <row r="137" ht="15" customHeight="1">
      <c r="A137" t="inlineStr">
        <is>
          <t>A 18156-2019</t>
        </is>
      </c>
      <c r="B137" s="1" t="n">
        <v>43558</v>
      </c>
      <c r="C137" s="1" t="n">
        <v>45787</v>
      </c>
      <c r="D137" t="inlineStr">
        <is>
          <t>JÄMTLANDS LÄN</t>
        </is>
      </c>
      <c r="E137" t="inlineStr">
        <is>
          <t>HÄRJEDALEN</t>
        </is>
      </c>
      <c r="F137" t="inlineStr">
        <is>
          <t>Bergvik skog väst AB</t>
        </is>
      </c>
      <c r="G137" t="n">
        <v>102.9</v>
      </c>
      <c r="H137" t="n">
        <v>0</v>
      </c>
      <c r="I137" t="n">
        <v>0</v>
      </c>
      <c r="J137" t="n">
        <v>1</v>
      </c>
      <c r="K137" t="n">
        <v>2</v>
      </c>
      <c r="L137" t="n">
        <v>0</v>
      </c>
      <c r="M137" t="n">
        <v>0</v>
      </c>
      <c r="N137" t="n">
        <v>0</v>
      </c>
      <c r="O137" t="n">
        <v>3</v>
      </c>
      <c r="P137" t="n">
        <v>2</v>
      </c>
      <c r="Q137" t="n">
        <v>3</v>
      </c>
      <c r="R137" s="2" t="inlineStr">
        <is>
          <t>Fläckporing
Laxporing
Stiftgelélav</t>
        </is>
      </c>
      <c r="S137">
        <f>HYPERLINK("https://klasma.github.io/Logging_2361/artfynd/A 18156-2019 artfynd.xlsx", "A 18156-2019")</f>
        <v/>
      </c>
      <c r="T137">
        <f>HYPERLINK("https://klasma.github.io/Logging_2361/kartor/A 18156-2019 karta.png", "A 18156-2019")</f>
        <v/>
      </c>
      <c r="V137">
        <f>HYPERLINK("https://klasma.github.io/Logging_2361/klagomål/A 18156-2019 FSC-klagomål.docx", "A 18156-2019")</f>
        <v/>
      </c>
      <c r="W137">
        <f>HYPERLINK("https://klasma.github.io/Logging_2361/klagomålsmail/A 18156-2019 FSC-klagomål mail.docx", "A 18156-2019")</f>
        <v/>
      </c>
      <c r="X137">
        <f>HYPERLINK("https://klasma.github.io/Logging_2361/tillsyn/A 18156-2019 tillsynsbegäran.docx", "A 18156-2019")</f>
        <v/>
      </c>
      <c r="Y137">
        <f>HYPERLINK("https://klasma.github.io/Logging_2361/tillsynsmail/A 18156-2019 tillsynsbegäran mail.docx", "A 18156-2019")</f>
        <v/>
      </c>
    </row>
    <row r="138" ht="15" customHeight="1">
      <c r="A138" t="inlineStr">
        <is>
          <t>A 35719-2019</t>
        </is>
      </c>
      <c r="B138" s="1" t="n">
        <v>43664</v>
      </c>
      <c r="C138" s="1" t="n">
        <v>45787</v>
      </c>
      <c r="D138" t="inlineStr">
        <is>
          <t>JÄMTLANDS LÄN</t>
        </is>
      </c>
      <c r="E138" t="inlineStr">
        <is>
          <t>HÄRJEDALEN</t>
        </is>
      </c>
      <c r="F138" t="inlineStr">
        <is>
          <t>SCA</t>
        </is>
      </c>
      <c r="G138" t="n">
        <v>17.7</v>
      </c>
      <c r="H138" t="n">
        <v>0</v>
      </c>
      <c r="I138" t="n">
        <v>1</v>
      </c>
      <c r="J138" t="n">
        <v>2</v>
      </c>
      <c r="K138" t="n">
        <v>0</v>
      </c>
      <c r="L138" t="n">
        <v>0</v>
      </c>
      <c r="M138" t="n">
        <v>0</v>
      </c>
      <c r="N138" t="n">
        <v>0</v>
      </c>
      <c r="O138" t="n">
        <v>2</v>
      </c>
      <c r="P138" t="n">
        <v>0</v>
      </c>
      <c r="Q138" t="n">
        <v>3</v>
      </c>
      <c r="R138" s="2" t="inlineStr">
        <is>
          <t>Kolflarnlav
Tallticka
Dropptaggsvamp</t>
        </is>
      </c>
      <c r="S138">
        <f>HYPERLINK("https://klasma.github.io/Logging_2361/artfynd/A 35719-2019 artfynd.xlsx", "A 35719-2019")</f>
        <v/>
      </c>
      <c r="T138">
        <f>HYPERLINK("https://klasma.github.io/Logging_2361/kartor/A 35719-2019 karta.png", "A 35719-2019")</f>
        <v/>
      </c>
      <c r="V138">
        <f>HYPERLINK("https://klasma.github.io/Logging_2361/klagomål/A 35719-2019 FSC-klagomål.docx", "A 35719-2019")</f>
        <v/>
      </c>
      <c r="W138">
        <f>HYPERLINK("https://klasma.github.io/Logging_2361/klagomålsmail/A 35719-2019 FSC-klagomål mail.docx", "A 35719-2019")</f>
        <v/>
      </c>
      <c r="X138">
        <f>HYPERLINK("https://klasma.github.io/Logging_2361/tillsyn/A 35719-2019 tillsynsbegäran.docx", "A 35719-2019")</f>
        <v/>
      </c>
      <c r="Y138">
        <f>HYPERLINK("https://klasma.github.io/Logging_2361/tillsynsmail/A 35719-2019 tillsynsbegäran mail.docx", "A 35719-2019")</f>
        <v/>
      </c>
    </row>
    <row r="139" ht="15" customHeight="1">
      <c r="A139" t="inlineStr">
        <is>
          <t>A 41873-2020</t>
        </is>
      </c>
      <c r="B139" s="1" t="n">
        <v>44074</v>
      </c>
      <c r="C139" s="1" t="n">
        <v>45787</v>
      </c>
      <c r="D139" t="inlineStr">
        <is>
          <t>JÄMTLANDS LÄN</t>
        </is>
      </c>
      <c r="E139" t="inlineStr">
        <is>
          <t>HÄRJEDALEN</t>
        </is>
      </c>
      <c r="F139" t="inlineStr">
        <is>
          <t>SCA</t>
        </is>
      </c>
      <c r="G139" t="n">
        <v>2.4</v>
      </c>
      <c r="H139" t="n">
        <v>2</v>
      </c>
      <c r="I139" t="n">
        <v>1</v>
      </c>
      <c r="J139" t="n">
        <v>1</v>
      </c>
      <c r="K139" t="n">
        <v>1</v>
      </c>
      <c r="L139" t="n">
        <v>0</v>
      </c>
      <c r="M139" t="n">
        <v>0</v>
      </c>
      <c r="N139" t="n">
        <v>0</v>
      </c>
      <c r="O139" t="n">
        <v>2</v>
      </c>
      <c r="P139" t="n">
        <v>1</v>
      </c>
      <c r="Q139" t="n">
        <v>3</v>
      </c>
      <c r="R139" s="2" t="inlineStr">
        <is>
          <t>Knärot
Garnlav
Korallrot</t>
        </is>
      </c>
      <c r="S139">
        <f>HYPERLINK("https://klasma.github.io/Logging_2361/artfynd/A 41873-2020 artfynd.xlsx", "A 41873-2020")</f>
        <v/>
      </c>
      <c r="T139">
        <f>HYPERLINK("https://klasma.github.io/Logging_2361/kartor/A 41873-2020 karta.png", "A 41873-2020")</f>
        <v/>
      </c>
      <c r="U139">
        <f>HYPERLINK("https://klasma.github.io/Logging_2361/knärot/A 41873-2020 karta knärot.png", "A 41873-2020")</f>
        <v/>
      </c>
      <c r="V139">
        <f>HYPERLINK("https://klasma.github.io/Logging_2361/klagomål/A 41873-2020 FSC-klagomål.docx", "A 41873-2020")</f>
        <v/>
      </c>
      <c r="W139">
        <f>HYPERLINK("https://klasma.github.io/Logging_2361/klagomålsmail/A 41873-2020 FSC-klagomål mail.docx", "A 41873-2020")</f>
        <v/>
      </c>
      <c r="X139">
        <f>HYPERLINK("https://klasma.github.io/Logging_2361/tillsyn/A 41873-2020 tillsynsbegäran.docx", "A 41873-2020")</f>
        <v/>
      </c>
      <c r="Y139">
        <f>HYPERLINK("https://klasma.github.io/Logging_2361/tillsynsmail/A 41873-2020 tillsynsbegäran mail.docx", "A 41873-2020")</f>
        <v/>
      </c>
    </row>
    <row r="140" ht="15" customHeight="1">
      <c r="A140" t="inlineStr">
        <is>
          <t>A 49864-2020</t>
        </is>
      </c>
      <c r="B140" s="1" t="n">
        <v>44107</v>
      </c>
      <c r="C140" s="1" t="n">
        <v>45787</v>
      </c>
      <c r="D140" t="inlineStr">
        <is>
          <t>JÄMTLANDS LÄN</t>
        </is>
      </c>
      <c r="E140" t="inlineStr">
        <is>
          <t>HÄRJEDALEN</t>
        </is>
      </c>
      <c r="F140" t="inlineStr">
        <is>
          <t>Bergvik skog väst AB</t>
        </is>
      </c>
      <c r="G140" t="n">
        <v>3.2</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HYPERLINK("https://klasma.github.io/Logging_2361/artfynd/A 49864-2020 artfynd.xlsx", "A 49864-2020")</f>
        <v/>
      </c>
      <c r="T140">
        <f>HYPERLINK("https://klasma.github.io/Logging_2361/kartor/A 49864-2020 karta.png", "A 49864-2020")</f>
        <v/>
      </c>
      <c r="V140">
        <f>HYPERLINK("https://klasma.github.io/Logging_2361/klagomål/A 49864-2020 FSC-klagomål.docx", "A 49864-2020")</f>
        <v/>
      </c>
      <c r="W140">
        <f>HYPERLINK("https://klasma.github.io/Logging_2361/klagomålsmail/A 49864-2020 FSC-klagomål mail.docx", "A 49864-2020")</f>
        <v/>
      </c>
      <c r="X140">
        <f>HYPERLINK("https://klasma.github.io/Logging_2361/tillsyn/A 49864-2020 tillsynsbegäran.docx", "A 49864-2020")</f>
        <v/>
      </c>
      <c r="Y140">
        <f>HYPERLINK("https://klasma.github.io/Logging_2361/tillsynsmail/A 49864-2020 tillsynsbegäran mail.docx", "A 49864-2020")</f>
        <v/>
      </c>
      <c r="Z140">
        <f>HYPERLINK("https://klasma.github.io/Logging_2361/fåglar/A 49864-2020 prioriterade fågelarter.docx", "A 49864-2020")</f>
        <v/>
      </c>
    </row>
    <row r="141" ht="15" customHeight="1">
      <c r="A141" t="inlineStr">
        <is>
          <t>A 49863-2020</t>
        </is>
      </c>
      <c r="B141" s="1" t="n">
        <v>44107</v>
      </c>
      <c r="C141" s="1" t="n">
        <v>45787</v>
      </c>
      <c r="D141" t="inlineStr">
        <is>
          <t>JÄMTLANDS LÄN</t>
        </is>
      </c>
      <c r="E141" t="inlineStr">
        <is>
          <t>HÄRJEDALEN</t>
        </is>
      </c>
      <c r="F141" t="inlineStr">
        <is>
          <t>Bergvik skog väst AB</t>
        </is>
      </c>
      <c r="G141" t="n">
        <v>12.8</v>
      </c>
      <c r="H141" t="n">
        <v>1</v>
      </c>
      <c r="I141" t="n">
        <v>1</v>
      </c>
      <c r="J141" t="n">
        <v>2</v>
      </c>
      <c r="K141" t="n">
        <v>0</v>
      </c>
      <c r="L141" t="n">
        <v>0</v>
      </c>
      <c r="M141" t="n">
        <v>0</v>
      </c>
      <c r="N141" t="n">
        <v>0</v>
      </c>
      <c r="O141" t="n">
        <v>2</v>
      </c>
      <c r="P141" t="n">
        <v>0</v>
      </c>
      <c r="Q141" t="n">
        <v>3</v>
      </c>
      <c r="R141" s="2" t="inlineStr">
        <is>
          <t>Garnlav
Tretåig hackspett
Trådticka</t>
        </is>
      </c>
      <c r="S141">
        <f>HYPERLINK("https://klasma.github.io/Logging_2361/artfynd/A 49863-2020 artfynd.xlsx", "A 49863-2020")</f>
        <v/>
      </c>
      <c r="T141">
        <f>HYPERLINK("https://klasma.github.io/Logging_2361/kartor/A 49863-2020 karta.png", "A 49863-2020")</f>
        <v/>
      </c>
      <c r="V141">
        <f>HYPERLINK("https://klasma.github.io/Logging_2361/klagomål/A 49863-2020 FSC-klagomål.docx", "A 49863-2020")</f>
        <v/>
      </c>
      <c r="W141">
        <f>HYPERLINK("https://klasma.github.io/Logging_2361/klagomålsmail/A 49863-2020 FSC-klagomål mail.docx", "A 49863-2020")</f>
        <v/>
      </c>
      <c r="X141">
        <f>HYPERLINK("https://klasma.github.io/Logging_2361/tillsyn/A 49863-2020 tillsynsbegäran.docx", "A 49863-2020")</f>
        <v/>
      </c>
      <c r="Y141">
        <f>HYPERLINK("https://klasma.github.io/Logging_2361/tillsynsmail/A 49863-2020 tillsynsbegäran mail.docx", "A 49863-2020")</f>
        <v/>
      </c>
      <c r="Z141">
        <f>HYPERLINK("https://klasma.github.io/Logging_2361/fåglar/A 49863-2020 prioriterade fågelarter.docx", "A 49863-2020")</f>
        <v/>
      </c>
    </row>
    <row r="142" ht="15" customHeight="1">
      <c r="A142" t="inlineStr">
        <is>
          <t>A 65147-2020</t>
        </is>
      </c>
      <c r="B142" s="1" t="n">
        <v>44172</v>
      </c>
      <c r="C142" s="1" t="n">
        <v>45787</v>
      </c>
      <c r="D142" t="inlineStr">
        <is>
          <t>JÄMTLANDS LÄN</t>
        </is>
      </c>
      <c r="E142" t="inlineStr">
        <is>
          <t>HÄRJEDALEN</t>
        </is>
      </c>
      <c r="G142" t="n">
        <v>5.9</v>
      </c>
      <c r="H142" t="n">
        <v>1</v>
      </c>
      <c r="I142" t="n">
        <v>0</v>
      </c>
      <c r="J142" t="n">
        <v>3</v>
      </c>
      <c r="K142" t="n">
        <v>0</v>
      </c>
      <c r="L142" t="n">
        <v>0</v>
      </c>
      <c r="M142" t="n">
        <v>0</v>
      </c>
      <c r="N142" t="n">
        <v>0</v>
      </c>
      <c r="O142" t="n">
        <v>3</v>
      </c>
      <c r="P142" t="n">
        <v>0</v>
      </c>
      <c r="Q142" t="n">
        <v>3</v>
      </c>
      <c r="R142" s="2" t="inlineStr">
        <is>
          <t>Blanksvart spiklav
Garnlav
Varglav</t>
        </is>
      </c>
      <c r="S142">
        <f>HYPERLINK("https://klasma.github.io/Logging_2361/artfynd/A 65147-2020 artfynd.xlsx", "A 65147-2020")</f>
        <v/>
      </c>
      <c r="T142">
        <f>HYPERLINK("https://klasma.github.io/Logging_2361/kartor/A 65147-2020 karta.png", "A 65147-2020")</f>
        <v/>
      </c>
      <c r="V142">
        <f>HYPERLINK("https://klasma.github.io/Logging_2361/klagomål/A 65147-2020 FSC-klagomål.docx", "A 65147-2020")</f>
        <v/>
      </c>
      <c r="W142">
        <f>HYPERLINK("https://klasma.github.io/Logging_2361/klagomålsmail/A 65147-2020 FSC-klagomål mail.docx", "A 65147-2020")</f>
        <v/>
      </c>
      <c r="X142">
        <f>HYPERLINK("https://klasma.github.io/Logging_2361/tillsyn/A 65147-2020 tillsynsbegäran.docx", "A 65147-2020")</f>
        <v/>
      </c>
      <c r="Y142">
        <f>HYPERLINK("https://klasma.github.io/Logging_2361/tillsynsmail/A 65147-2020 tillsynsbegäran mail.docx", "A 65147-2020")</f>
        <v/>
      </c>
    </row>
    <row r="143" ht="15" customHeight="1">
      <c r="A143" t="inlineStr">
        <is>
          <t>A 67126-2020</t>
        </is>
      </c>
      <c r="B143" s="1" t="n">
        <v>44180</v>
      </c>
      <c r="C143" s="1" t="n">
        <v>45787</v>
      </c>
      <c r="D143" t="inlineStr">
        <is>
          <t>JÄMTLANDS LÄN</t>
        </is>
      </c>
      <c r="E143" t="inlineStr">
        <is>
          <t>HÄRJEDALEN</t>
        </is>
      </c>
      <c r="F143" t="inlineStr">
        <is>
          <t>Holmen skog AB</t>
        </is>
      </c>
      <c r="G143" t="n">
        <v>0.2</v>
      </c>
      <c r="H143" t="n">
        <v>0</v>
      </c>
      <c r="I143" t="n">
        <v>0</v>
      </c>
      <c r="J143" t="n">
        <v>3</v>
      </c>
      <c r="K143" t="n">
        <v>0</v>
      </c>
      <c r="L143" t="n">
        <v>0</v>
      </c>
      <c r="M143" t="n">
        <v>0</v>
      </c>
      <c r="N143" t="n">
        <v>0</v>
      </c>
      <c r="O143" t="n">
        <v>3</v>
      </c>
      <c r="P143" t="n">
        <v>0</v>
      </c>
      <c r="Q143" t="n">
        <v>3</v>
      </c>
      <c r="R143" s="2" t="inlineStr">
        <is>
          <t>Granticka
Mörk kolflarnlav
Ullticka</t>
        </is>
      </c>
      <c r="S143">
        <f>HYPERLINK("https://klasma.github.io/Logging_2361/artfynd/A 67126-2020 artfynd.xlsx", "A 67126-2020")</f>
        <v/>
      </c>
      <c r="T143">
        <f>HYPERLINK("https://klasma.github.io/Logging_2361/kartor/A 67126-2020 karta.png", "A 67126-2020")</f>
        <v/>
      </c>
      <c r="V143">
        <f>HYPERLINK("https://klasma.github.io/Logging_2361/klagomål/A 67126-2020 FSC-klagomål.docx", "A 67126-2020")</f>
        <v/>
      </c>
      <c r="W143">
        <f>HYPERLINK("https://klasma.github.io/Logging_2361/klagomålsmail/A 67126-2020 FSC-klagomål mail.docx", "A 67126-2020")</f>
        <v/>
      </c>
      <c r="X143">
        <f>HYPERLINK("https://klasma.github.io/Logging_2361/tillsyn/A 67126-2020 tillsynsbegäran.docx", "A 67126-2020")</f>
        <v/>
      </c>
      <c r="Y143">
        <f>HYPERLINK("https://klasma.github.io/Logging_2361/tillsynsmail/A 67126-2020 tillsynsbegäran mail.docx", "A 67126-2020")</f>
        <v/>
      </c>
    </row>
    <row r="144" ht="15" customHeight="1">
      <c r="A144" t="inlineStr">
        <is>
          <t>A 45717-2021</t>
        </is>
      </c>
      <c r="B144" s="1" t="n">
        <v>44441</v>
      </c>
      <c r="C144" s="1" t="n">
        <v>45787</v>
      </c>
      <c r="D144" t="inlineStr">
        <is>
          <t>JÄMTLANDS LÄN</t>
        </is>
      </c>
      <c r="E144" t="inlineStr">
        <is>
          <t>HÄRJEDALEN</t>
        </is>
      </c>
      <c r="G144" t="n">
        <v>1</v>
      </c>
      <c r="H144" t="n">
        <v>1</v>
      </c>
      <c r="I144" t="n">
        <v>2</v>
      </c>
      <c r="J144" t="n">
        <v>1</v>
      </c>
      <c r="K144" t="n">
        <v>0</v>
      </c>
      <c r="L144" t="n">
        <v>0</v>
      </c>
      <c r="M144" t="n">
        <v>0</v>
      </c>
      <c r="N144" t="n">
        <v>0</v>
      </c>
      <c r="O144" t="n">
        <v>1</v>
      </c>
      <c r="P144" t="n">
        <v>0</v>
      </c>
      <c r="Q144" t="n">
        <v>3</v>
      </c>
      <c r="R144" s="2" t="inlineStr">
        <is>
          <t>Granticka
Spindelblomster
Ögonpyrola</t>
        </is>
      </c>
      <c r="S144">
        <f>HYPERLINK("https://klasma.github.io/Logging_2361/artfynd/A 45717-2021 artfynd.xlsx", "A 45717-2021")</f>
        <v/>
      </c>
      <c r="T144">
        <f>HYPERLINK("https://klasma.github.io/Logging_2361/kartor/A 45717-2021 karta.png", "A 45717-2021")</f>
        <v/>
      </c>
      <c r="V144">
        <f>HYPERLINK("https://klasma.github.io/Logging_2361/klagomål/A 45717-2021 FSC-klagomål.docx", "A 45717-2021")</f>
        <v/>
      </c>
      <c r="W144">
        <f>HYPERLINK("https://klasma.github.io/Logging_2361/klagomålsmail/A 45717-2021 FSC-klagomål mail.docx", "A 45717-2021")</f>
        <v/>
      </c>
      <c r="X144">
        <f>HYPERLINK("https://klasma.github.io/Logging_2361/tillsyn/A 45717-2021 tillsynsbegäran.docx", "A 45717-2021")</f>
        <v/>
      </c>
      <c r="Y144">
        <f>HYPERLINK("https://klasma.github.io/Logging_2361/tillsynsmail/A 45717-2021 tillsynsbegäran mail.docx", "A 45717-2021")</f>
        <v/>
      </c>
    </row>
    <row r="145" ht="15" customHeight="1">
      <c r="A145" t="inlineStr">
        <is>
          <t>A 55244-2021</t>
        </is>
      </c>
      <c r="B145" s="1" t="n">
        <v>44475</v>
      </c>
      <c r="C145" s="1" t="n">
        <v>45787</v>
      </c>
      <c r="D145" t="inlineStr">
        <is>
          <t>JÄMTLANDS LÄN</t>
        </is>
      </c>
      <c r="E145" t="inlineStr">
        <is>
          <t>HÄRJEDALEN</t>
        </is>
      </c>
      <c r="G145" t="n">
        <v>1.6</v>
      </c>
      <c r="H145" t="n">
        <v>1</v>
      </c>
      <c r="I145" t="n">
        <v>0</v>
      </c>
      <c r="J145" t="n">
        <v>3</v>
      </c>
      <c r="K145" t="n">
        <v>0</v>
      </c>
      <c r="L145" t="n">
        <v>0</v>
      </c>
      <c r="M145" t="n">
        <v>0</v>
      </c>
      <c r="N145" t="n">
        <v>0</v>
      </c>
      <c r="O145" t="n">
        <v>3</v>
      </c>
      <c r="P145" t="n">
        <v>0</v>
      </c>
      <c r="Q145" t="n">
        <v>3</v>
      </c>
      <c r="R145" s="2" t="inlineStr">
        <is>
          <t>Tallticka
Varglav
Vedflamlav</t>
        </is>
      </c>
      <c r="S145">
        <f>HYPERLINK("https://klasma.github.io/Logging_2361/artfynd/A 55244-2021 artfynd.xlsx", "A 55244-2021")</f>
        <v/>
      </c>
      <c r="T145">
        <f>HYPERLINK("https://klasma.github.io/Logging_2361/kartor/A 55244-2021 karta.png", "A 55244-2021")</f>
        <v/>
      </c>
      <c r="V145">
        <f>HYPERLINK("https://klasma.github.io/Logging_2361/klagomål/A 55244-2021 FSC-klagomål.docx", "A 55244-2021")</f>
        <v/>
      </c>
      <c r="W145">
        <f>HYPERLINK("https://klasma.github.io/Logging_2361/klagomålsmail/A 55244-2021 FSC-klagomål mail.docx", "A 55244-2021")</f>
        <v/>
      </c>
      <c r="X145">
        <f>HYPERLINK("https://klasma.github.io/Logging_2361/tillsyn/A 55244-2021 tillsynsbegäran.docx", "A 55244-2021")</f>
        <v/>
      </c>
      <c r="Y145">
        <f>HYPERLINK("https://klasma.github.io/Logging_2361/tillsynsmail/A 55244-2021 tillsynsbegäran mail.docx", "A 55244-2021")</f>
        <v/>
      </c>
    </row>
    <row r="146" ht="15" customHeight="1">
      <c r="A146" t="inlineStr">
        <is>
          <t>A 55233-2021</t>
        </is>
      </c>
      <c r="B146" s="1" t="n">
        <v>44475</v>
      </c>
      <c r="C146" s="1" t="n">
        <v>45787</v>
      </c>
      <c r="D146" t="inlineStr">
        <is>
          <t>JÄMTLANDS LÄN</t>
        </is>
      </c>
      <c r="E146" t="inlineStr">
        <is>
          <t>HÄRJEDALEN</t>
        </is>
      </c>
      <c r="G146" t="n">
        <v>15.3</v>
      </c>
      <c r="H146" t="n">
        <v>1</v>
      </c>
      <c r="I146" t="n">
        <v>0</v>
      </c>
      <c r="J146" t="n">
        <v>3</v>
      </c>
      <c r="K146" t="n">
        <v>0</v>
      </c>
      <c r="L146" t="n">
        <v>0</v>
      </c>
      <c r="M146" t="n">
        <v>0</v>
      </c>
      <c r="N146" t="n">
        <v>0</v>
      </c>
      <c r="O146" t="n">
        <v>3</v>
      </c>
      <c r="P146" t="n">
        <v>0</v>
      </c>
      <c r="Q146" t="n">
        <v>3</v>
      </c>
      <c r="R146" s="2" t="inlineStr">
        <is>
          <t>Reliktbock
Varglav
Vedflamlav</t>
        </is>
      </c>
      <c r="S146">
        <f>HYPERLINK("https://klasma.github.io/Logging_2361/artfynd/A 55233-2021 artfynd.xlsx", "A 55233-2021")</f>
        <v/>
      </c>
      <c r="T146">
        <f>HYPERLINK("https://klasma.github.io/Logging_2361/kartor/A 55233-2021 karta.png", "A 55233-2021")</f>
        <v/>
      </c>
      <c r="V146">
        <f>HYPERLINK("https://klasma.github.io/Logging_2361/klagomål/A 55233-2021 FSC-klagomål.docx", "A 55233-2021")</f>
        <v/>
      </c>
      <c r="W146">
        <f>HYPERLINK("https://klasma.github.io/Logging_2361/klagomålsmail/A 55233-2021 FSC-klagomål mail.docx", "A 55233-2021")</f>
        <v/>
      </c>
      <c r="X146">
        <f>HYPERLINK("https://klasma.github.io/Logging_2361/tillsyn/A 55233-2021 tillsynsbegäran.docx", "A 55233-2021")</f>
        <v/>
      </c>
      <c r="Y146">
        <f>HYPERLINK("https://klasma.github.io/Logging_2361/tillsynsmail/A 55233-2021 tillsynsbegäran mail.docx", "A 55233-2021")</f>
        <v/>
      </c>
    </row>
    <row r="147" ht="15" customHeight="1">
      <c r="A147" t="inlineStr">
        <is>
          <t>A 55394-2021</t>
        </is>
      </c>
      <c r="B147" s="1" t="n">
        <v>44475</v>
      </c>
      <c r="C147" s="1" t="n">
        <v>45787</v>
      </c>
      <c r="D147" t="inlineStr">
        <is>
          <t>JÄMTLANDS LÄN</t>
        </is>
      </c>
      <c r="E147" t="inlineStr">
        <is>
          <t>HÄRJEDALEN</t>
        </is>
      </c>
      <c r="G147" t="n">
        <v>2.7</v>
      </c>
      <c r="H147" t="n">
        <v>1</v>
      </c>
      <c r="I147" t="n">
        <v>0</v>
      </c>
      <c r="J147" t="n">
        <v>3</v>
      </c>
      <c r="K147" t="n">
        <v>0</v>
      </c>
      <c r="L147" t="n">
        <v>0</v>
      </c>
      <c r="M147" t="n">
        <v>0</v>
      </c>
      <c r="N147" t="n">
        <v>0</v>
      </c>
      <c r="O147" t="n">
        <v>3</v>
      </c>
      <c r="P147" t="n">
        <v>0</v>
      </c>
      <c r="Q147" t="n">
        <v>3</v>
      </c>
      <c r="R147" s="2" t="inlineStr">
        <is>
          <t>Blanksvart spiklav
Varglav
Vedflamlav</t>
        </is>
      </c>
      <c r="S147">
        <f>HYPERLINK("https://klasma.github.io/Logging_2361/artfynd/A 55394-2021 artfynd.xlsx", "A 55394-2021")</f>
        <v/>
      </c>
      <c r="T147">
        <f>HYPERLINK("https://klasma.github.io/Logging_2361/kartor/A 55394-2021 karta.png", "A 55394-2021")</f>
        <v/>
      </c>
      <c r="V147">
        <f>HYPERLINK("https://klasma.github.io/Logging_2361/klagomål/A 55394-2021 FSC-klagomål.docx", "A 55394-2021")</f>
        <v/>
      </c>
      <c r="W147">
        <f>HYPERLINK("https://klasma.github.io/Logging_2361/klagomålsmail/A 55394-2021 FSC-klagomål mail.docx", "A 55394-2021")</f>
        <v/>
      </c>
      <c r="X147">
        <f>HYPERLINK("https://klasma.github.io/Logging_2361/tillsyn/A 55394-2021 tillsynsbegäran.docx", "A 55394-2021")</f>
        <v/>
      </c>
      <c r="Y147">
        <f>HYPERLINK("https://klasma.github.io/Logging_2361/tillsynsmail/A 55394-2021 tillsynsbegäran mail.docx", "A 55394-2021")</f>
        <v/>
      </c>
    </row>
    <row r="148" ht="15" customHeight="1">
      <c r="A148" t="inlineStr">
        <is>
          <t>A 33914-2022</t>
        </is>
      </c>
      <c r="B148" s="1" t="n">
        <v>44790</v>
      </c>
      <c r="C148" s="1" t="n">
        <v>45787</v>
      </c>
      <c r="D148" t="inlineStr">
        <is>
          <t>JÄMTLANDS LÄN</t>
        </is>
      </c>
      <c r="E148" t="inlineStr">
        <is>
          <t>HÄRJEDALEN</t>
        </is>
      </c>
      <c r="F148" t="inlineStr">
        <is>
          <t>Bergvik skog väst AB</t>
        </is>
      </c>
      <c r="G148" t="n">
        <v>38.1</v>
      </c>
      <c r="H148" t="n">
        <v>3</v>
      </c>
      <c r="I148" t="n">
        <v>0</v>
      </c>
      <c r="J148" t="n">
        <v>2</v>
      </c>
      <c r="K148" t="n">
        <v>0</v>
      </c>
      <c r="L148" t="n">
        <v>0</v>
      </c>
      <c r="M148" t="n">
        <v>0</v>
      </c>
      <c r="N148" t="n">
        <v>0</v>
      </c>
      <c r="O148" t="n">
        <v>2</v>
      </c>
      <c r="P148" t="n">
        <v>0</v>
      </c>
      <c r="Q148" t="n">
        <v>3</v>
      </c>
      <c r="R148" s="2" t="inlineStr">
        <is>
          <t>Spillkråka
Tretåig hackspett
Lavskrika</t>
        </is>
      </c>
      <c r="S148">
        <f>HYPERLINK("https://klasma.github.io/Logging_2361/artfynd/A 33914-2022 artfynd.xlsx", "A 33914-2022")</f>
        <v/>
      </c>
      <c r="T148">
        <f>HYPERLINK("https://klasma.github.io/Logging_2361/kartor/A 33914-2022 karta.png", "A 33914-2022")</f>
        <v/>
      </c>
      <c r="V148">
        <f>HYPERLINK("https://klasma.github.io/Logging_2361/klagomål/A 33914-2022 FSC-klagomål.docx", "A 33914-2022")</f>
        <v/>
      </c>
      <c r="W148">
        <f>HYPERLINK("https://klasma.github.io/Logging_2361/klagomålsmail/A 33914-2022 FSC-klagomål mail.docx", "A 33914-2022")</f>
        <v/>
      </c>
      <c r="X148">
        <f>HYPERLINK("https://klasma.github.io/Logging_2361/tillsyn/A 33914-2022 tillsynsbegäran.docx", "A 33914-2022")</f>
        <v/>
      </c>
      <c r="Y148">
        <f>HYPERLINK("https://klasma.github.io/Logging_2361/tillsynsmail/A 33914-2022 tillsynsbegäran mail.docx", "A 33914-2022")</f>
        <v/>
      </c>
      <c r="Z148">
        <f>HYPERLINK("https://klasma.github.io/Logging_2361/fåglar/A 33914-2022 prioriterade fågelarter.docx", "A 33914-2022")</f>
        <v/>
      </c>
    </row>
    <row r="149" ht="15" customHeight="1">
      <c r="A149" t="inlineStr">
        <is>
          <t>A 34035-2022</t>
        </is>
      </c>
      <c r="B149" s="1" t="n">
        <v>44791</v>
      </c>
      <c r="C149" s="1" t="n">
        <v>45787</v>
      </c>
      <c r="D149" t="inlineStr">
        <is>
          <t>JÄMTLANDS LÄN</t>
        </is>
      </c>
      <c r="E149" t="inlineStr">
        <is>
          <t>HÄRJEDALEN</t>
        </is>
      </c>
      <c r="F149" t="inlineStr">
        <is>
          <t>Naturvårdsverket</t>
        </is>
      </c>
      <c r="G149" t="n">
        <v>27.4</v>
      </c>
      <c r="H149" t="n">
        <v>0</v>
      </c>
      <c r="I149" t="n">
        <v>0</v>
      </c>
      <c r="J149" t="n">
        <v>3</v>
      </c>
      <c r="K149" t="n">
        <v>0</v>
      </c>
      <c r="L149" t="n">
        <v>0</v>
      </c>
      <c r="M149" t="n">
        <v>0</v>
      </c>
      <c r="N149" t="n">
        <v>0</v>
      </c>
      <c r="O149" t="n">
        <v>3</v>
      </c>
      <c r="P149" t="n">
        <v>0</v>
      </c>
      <c r="Q149" t="n">
        <v>3</v>
      </c>
      <c r="R149" s="2" t="inlineStr">
        <is>
          <t>Gammelgransskål
Garnlav
Gränsticka</t>
        </is>
      </c>
      <c r="S149">
        <f>HYPERLINK("https://klasma.github.io/Logging_2361/artfynd/A 34035-2022 artfynd.xlsx", "A 34035-2022")</f>
        <v/>
      </c>
      <c r="T149">
        <f>HYPERLINK("https://klasma.github.io/Logging_2361/kartor/A 34035-2022 karta.png", "A 34035-2022")</f>
        <v/>
      </c>
      <c r="V149">
        <f>HYPERLINK("https://klasma.github.io/Logging_2361/klagomål/A 34035-2022 FSC-klagomål.docx", "A 34035-2022")</f>
        <v/>
      </c>
      <c r="W149">
        <f>HYPERLINK("https://klasma.github.io/Logging_2361/klagomålsmail/A 34035-2022 FSC-klagomål mail.docx", "A 34035-2022")</f>
        <v/>
      </c>
      <c r="X149">
        <f>HYPERLINK("https://klasma.github.io/Logging_2361/tillsyn/A 34035-2022 tillsynsbegäran.docx", "A 34035-2022")</f>
        <v/>
      </c>
      <c r="Y149">
        <f>HYPERLINK("https://klasma.github.io/Logging_2361/tillsynsmail/A 34035-2022 tillsynsbegäran mail.docx", "A 34035-2022")</f>
        <v/>
      </c>
    </row>
    <row r="150" ht="15" customHeight="1">
      <c r="A150" t="inlineStr">
        <is>
          <t>A 14060-2023</t>
        </is>
      </c>
      <c r="B150" s="1" t="n">
        <v>45007</v>
      </c>
      <c r="C150" s="1" t="n">
        <v>45787</v>
      </c>
      <c r="D150" t="inlineStr">
        <is>
          <t>JÄMTLANDS LÄN</t>
        </is>
      </c>
      <c r="E150" t="inlineStr">
        <is>
          <t>HÄRJEDALEN</t>
        </is>
      </c>
      <c r="F150" t="inlineStr">
        <is>
          <t>Bergvik skog väst AB</t>
        </is>
      </c>
      <c r="G150" t="n">
        <v>6.7</v>
      </c>
      <c r="H150" t="n">
        <v>0</v>
      </c>
      <c r="I150" t="n">
        <v>0</v>
      </c>
      <c r="J150" t="n">
        <v>0</v>
      </c>
      <c r="K150" t="n">
        <v>2</v>
      </c>
      <c r="L150" t="n">
        <v>1</v>
      </c>
      <c r="M150" t="n">
        <v>0</v>
      </c>
      <c r="N150" t="n">
        <v>0</v>
      </c>
      <c r="O150" t="n">
        <v>3</v>
      </c>
      <c r="P150" t="n">
        <v>3</v>
      </c>
      <c r="Q150" t="n">
        <v>3</v>
      </c>
      <c r="R150" s="2" t="inlineStr">
        <is>
          <t>Urskogsporing
Fläckporing
Gräddporing</t>
        </is>
      </c>
      <c r="S150">
        <f>HYPERLINK("https://klasma.github.io/Logging_2361/artfynd/A 14060-2023 artfynd.xlsx", "A 14060-2023")</f>
        <v/>
      </c>
      <c r="T150">
        <f>HYPERLINK("https://klasma.github.io/Logging_2361/kartor/A 14060-2023 karta.png", "A 14060-2023")</f>
        <v/>
      </c>
      <c r="V150">
        <f>HYPERLINK("https://klasma.github.io/Logging_2361/klagomål/A 14060-2023 FSC-klagomål.docx", "A 14060-2023")</f>
        <v/>
      </c>
      <c r="W150">
        <f>HYPERLINK("https://klasma.github.io/Logging_2361/klagomålsmail/A 14060-2023 FSC-klagomål mail.docx", "A 14060-2023")</f>
        <v/>
      </c>
      <c r="X150">
        <f>HYPERLINK("https://klasma.github.io/Logging_2361/tillsyn/A 14060-2023 tillsynsbegäran.docx", "A 14060-2023")</f>
        <v/>
      </c>
      <c r="Y150">
        <f>HYPERLINK("https://klasma.github.io/Logging_2361/tillsynsmail/A 14060-2023 tillsynsbegäran mail.docx", "A 14060-2023")</f>
        <v/>
      </c>
    </row>
    <row r="151" ht="15" customHeight="1">
      <c r="A151" t="inlineStr">
        <is>
          <t>A 19659-2023</t>
        </is>
      </c>
      <c r="B151" s="1" t="n">
        <v>45050</v>
      </c>
      <c r="C151" s="1" t="n">
        <v>45787</v>
      </c>
      <c r="D151" t="inlineStr">
        <is>
          <t>JÄMTLANDS LÄN</t>
        </is>
      </c>
      <c r="E151" t="inlineStr">
        <is>
          <t>HÄRJEDALEN</t>
        </is>
      </c>
      <c r="F151" t="inlineStr">
        <is>
          <t>Bergvik skog väst AB</t>
        </is>
      </c>
      <c r="G151" t="n">
        <v>2.8</v>
      </c>
      <c r="H151" t="n">
        <v>0</v>
      </c>
      <c r="I151" t="n">
        <v>0</v>
      </c>
      <c r="J151" t="n">
        <v>3</v>
      </c>
      <c r="K151" t="n">
        <v>0</v>
      </c>
      <c r="L151" t="n">
        <v>0</v>
      </c>
      <c r="M151" t="n">
        <v>0</v>
      </c>
      <c r="N151" t="n">
        <v>0</v>
      </c>
      <c r="O151" t="n">
        <v>3</v>
      </c>
      <c r="P151" t="n">
        <v>0</v>
      </c>
      <c r="Q151" t="n">
        <v>3</v>
      </c>
      <c r="R151" s="2" t="inlineStr">
        <is>
          <t>Gäckporing
Nordtagging
Vedskivlav</t>
        </is>
      </c>
      <c r="S151">
        <f>HYPERLINK("https://klasma.github.io/Logging_2361/artfynd/A 19659-2023 artfynd.xlsx", "A 19659-2023")</f>
        <v/>
      </c>
      <c r="T151">
        <f>HYPERLINK("https://klasma.github.io/Logging_2361/kartor/A 19659-2023 karta.png", "A 19659-2023")</f>
        <v/>
      </c>
      <c r="V151">
        <f>HYPERLINK("https://klasma.github.io/Logging_2361/klagomål/A 19659-2023 FSC-klagomål.docx", "A 19659-2023")</f>
        <v/>
      </c>
      <c r="W151">
        <f>HYPERLINK("https://klasma.github.io/Logging_2361/klagomålsmail/A 19659-2023 FSC-klagomål mail.docx", "A 19659-2023")</f>
        <v/>
      </c>
      <c r="X151">
        <f>HYPERLINK("https://klasma.github.io/Logging_2361/tillsyn/A 19659-2023 tillsynsbegäran.docx", "A 19659-2023")</f>
        <v/>
      </c>
      <c r="Y151">
        <f>HYPERLINK("https://klasma.github.io/Logging_2361/tillsynsmail/A 19659-2023 tillsynsbegäran mail.docx", "A 19659-2023")</f>
        <v/>
      </c>
    </row>
    <row r="152" ht="15" customHeight="1">
      <c r="A152" t="inlineStr">
        <is>
          <t>A 57572-2023</t>
        </is>
      </c>
      <c r="B152" s="1" t="n">
        <v>45246</v>
      </c>
      <c r="C152" s="1" t="n">
        <v>45787</v>
      </c>
      <c r="D152" t="inlineStr">
        <is>
          <t>JÄMTLANDS LÄN</t>
        </is>
      </c>
      <c r="E152" t="inlineStr">
        <is>
          <t>HÄRJEDALEN</t>
        </is>
      </c>
      <c r="G152" t="n">
        <v>40.5</v>
      </c>
      <c r="H152" t="n">
        <v>0</v>
      </c>
      <c r="I152" t="n">
        <v>0</v>
      </c>
      <c r="J152" t="n">
        <v>2</v>
      </c>
      <c r="K152" t="n">
        <v>1</v>
      </c>
      <c r="L152" t="n">
        <v>0</v>
      </c>
      <c r="M152" t="n">
        <v>0</v>
      </c>
      <c r="N152" t="n">
        <v>0</v>
      </c>
      <c r="O152" t="n">
        <v>3</v>
      </c>
      <c r="P152" t="n">
        <v>1</v>
      </c>
      <c r="Q152" t="n">
        <v>3</v>
      </c>
      <c r="R152" s="2" t="inlineStr">
        <is>
          <t>Gräddporing
Nordtagging
Skrovellav</t>
        </is>
      </c>
      <c r="S152">
        <f>HYPERLINK("https://klasma.github.io/Logging_2361/artfynd/A 57572-2023 artfynd.xlsx", "A 57572-2023")</f>
        <v/>
      </c>
      <c r="T152">
        <f>HYPERLINK("https://klasma.github.io/Logging_2361/kartor/A 57572-2023 karta.png", "A 57572-2023")</f>
        <v/>
      </c>
      <c r="V152">
        <f>HYPERLINK("https://klasma.github.io/Logging_2361/klagomål/A 57572-2023 FSC-klagomål.docx", "A 57572-2023")</f>
        <v/>
      </c>
      <c r="W152">
        <f>HYPERLINK("https://klasma.github.io/Logging_2361/klagomålsmail/A 57572-2023 FSC-klagomål mail.docx", "A 57572-2023")</f>
        <v/>
      </c>
      <c r="X152">
        <f>HYPERLINK("https://klasma.github.io/Logging_2361/tillsyn/A 57572-2023 tillsynsbegäran.docx", "A 57572-2023")</f>
        <v/>
      </c>
      <c r="Y152">
        <f>HYPERLINK("https://klasma.github.io/Logging_2361/tillsynsmail/A 57572-2023 tillsynsbegäran mail.docx", "A 57572-2023")</f>
        <v/>
      </c>
    </row>
    <row r="153" ht="15" customHeight="1">
      <c r="A153" t="inlineStr">
        <is>
          <t>A 22781-2024</t>
        </is>
      </c>
      <c r="B153" s="1" t="n">
        <v>45448</v>
      </c>
      <c r="C153" s="1" t="n">
        <v>45787</v>
      </c>
      <c r="D153" t="inlineStr">
        <is>
          <t>JÄMTLANDS LÄN</t>
        </is>
      </c>
      <c r="E153" t="inlineStr">
        <is>
          <t>HÄRJEDALEN</t>
        </is>
      </c>
      <c r="F153" t="inlineStr">
        <is>
          <t>Holmen skog AB</t>
        </is>
      </c>
      <c r="G153" t="n">
        <v>5.8</v>
      </c>
      <c r="H153" t="n">
        <v>2</v>
      </c>
      <c r="I153" t="n">
        <v>0</v>
      </c>
      <c r="J153" t="n">
        <v>1</v>
      </c>
      <c r="K153" t="n">
        <v>1</v>
      </c>
      <c r="L153" t="n">
        <v>0</v>
      </c>
      <c r="M153" t="n">
        <v>0</v>
      </c>
      <c r="N153" t="n">
        <v>0</v>
      </c>
      <c r="O153" t="n">
        <v>2</v>
      </c>
      <c r="P153" t="n">
        <v>1</v>
      </c>
      <c r="Q153" t="n">
        <v>3</v>
      </c>
      <c r="R153" s="2" t="inlineStr">
        <is>
          <t>Knärot
Knottrig blåslav
Huggorm</t>
        </is>
      </c>
      <c r="S153">
        <f>HYPERLINK("https://klasma.github.io/Logging_2361/artfynd/A 22781-2024 artfynd.xlsx", "A 22781-2024")</f>
        <v/>
      </c>
      <c r="T153">
        <f>HYPERLINK("https://klasma.github.io/Logging_2361/kartor/A 22781-2024 karta.png", "A 22781-2024")</f>
        <v/>
      </c>
      <c r="U153">
        <f>HYPERLINK("https://klasma.github.io/Logging_2361/knärot/A 22781-2024 karta knärot.png", "A 22781-2024")</f>
        <v/>
      </c>
      <c r="V153">
        <f>HYPERLINK("https://klasma.github.io/Logging_2361/klagomål/A 22781-2024 FSC-klagomål.docx", "A 22781-2024")</f>
        <v/>
      </c>
      <c r="W153">
        <f>HYPERLINK("https://klasma.github.io/Logging_2361/klagomålsmail/A 22781-2024 FSC-klagomål mail.docx", "A 22781-2024")</f>
        <v/>
      </c>
      <c r="X153">
        <f>HYPERLINK("https://klasma.github.io/Logging_2361/tillsyn/A 22781-2024 tillsynsbegäran.docx", "A 22781-2024")</f>
        <v/>
      </c>
      <c r="Y153">
        <f>HYPERLINK("https://klasma.github.io/Logging_2361/tillsynsmail/A 22781-2024 tillsynsbegäran mail.docx", "A 22781-2024")</f>
        <v/>
      </c>
    </row>
    <row r="154" ht="15" customHeight="1">
      <c r="A154" t="inlineStr">
        <is>
          <t>A 26225-2024</t>
        </is>
      </c>
      <c r="B154" s="1" t="n">
        <v>45468</v>
      </c>
      <c r="C154" s="1" t="n">
        <v>45787</v>
      </c>
      <c r="D154" t="inlineStr">
        <is>
          <t>JÄMTLANDS LÄN</t>
        </is>
      </c>
      <c r="E154" t="inlineStr">
        <is>
          <t>HÄRJEDALEN</t>
        </is>
      </c>
      <c r="G154" t="n">
        <v>21.2</v>
      </c>
      <c r="H154" t="n">
        <v>1</v>
      </c>
      <c r="I154" t="n">
        <v>3</v>
      </c>
      <c r="J154" t="n">
        <v>0</v>
      </c>
      <c r="K154" t="n">
        <v>0</v>
      </c>
      <c r="L154" t="n">
        <v>0</v>
      </c>
      <c r="M154" t="n">
        <v>0</v>
      </c>
      <c r="N154" t="n">
        <v>0</v>
      </c>
      <c r="O154" t="n">
        <v>0</v>
      </c>
      <c r="P154" t="n">
        <v>0</v>
      </c>
      <c r="Q154" t="n">
        <v>3</v>
      </c>
      <c r="R154" s="2" t="inlineStr">
        <is>
          <t>Gräsull
Tibast
Tvåblad</t>
        </is>
      </c>
      <c r="S154">
        <f>HYPERLINK("https://klasma.github.io/Logging_2361/artfynd/A 26225-2024 artfynd.xlsx", "A 26225-2024")</f>
        <v/>
      </c>
      <c r="T154">
        <f>HYPERLINK("https://klasma.github.io/Logging_2361/kartor/A 26225-2024 karta.png", "A 26225-2024")</f>
        <v/>
      </c>
      <c r="V154">
        <f>HYPERLINK("https://klasma.github.io/Logging_2361/klagomål/A 26225-2024 FSC-klagomål.docx", "A 26225-2024")</f>
        <v/>
      </c>
      <c r="W154">
        <f>HYPERLINK("https://klasma.github.io/Logging_2361/klagomålsmail/A 26225-2024 FSC-klagomål mail.docx", "A 26225-2024")</f>
        <v/>
      </c>
      <c r="X154">
        <f>HYPERLINK("https://klasma.github.io/Logging_2361/tillsyn/A 26225-2024 tillsynsbegäran.docx", "A 26225-2024")</f>
        <v/>
      </c>
      <c r="Y154">
        <f>HYPERLINK("https://klasma.github.io/Logging_2361/tillsynsmail/A 26225-2024 tillsynsbegäran mail.docx", "A 26225-2024")</f>
        <v/>
      </c>
    </row>
    <row r="155" ht="15" customHeight="1">
      <c r="A155" t="inlineStr">
        <is>
          <t>A 54545-2024</t>
        </is>
      </c>
      <c r="B155" s="1" t="n">
        <v>45617</v>
      </c>
      <c r="C155" s="1" t="n">
        <v>45787</v>
      </c>
      <c r="D155" t="inlineStr">
        <is>
          <t>JÄMTLANDS LÄN</t>
        </is>
      </c>
      <c r="E155" t="inlineStr">
        <is>
          <t>HÄRJEDALEN</t>
        </is>
      </c>
      <c r="F155" t="inlineStr">
        <is>
          <t>Holmen skog AB</t>
        </is>
      </c>
      <c r="G155" t="n">
        <v>6.5</v>
      </c>
      <c r="H155" t="n">
        <v>1</v>
      </c>
      <c r="I155" t="n">
        <v>0</v>
      </c>
      <c r="J155" t="n">
        <v>3</v>
      </c>
      <c r="K155" t="n">
        <v>0</v>
      </c>
      <c r="L155" t="n">
        <v>0</v>
      </c>
      <c r="M155" t="n">
        <v>0</v>
      </c>
      <c r="N155" t="n">
        <v>0</v>
      </c>
      <c r="O155" t="n">
        <v>3</v>
      </c>
      <c r="P155" t="n">
        <v>0</v>
      </c>
      <c r="Q155" t="n">
        <v>3</v>
      </c>
      <c r="R155" s="2" t="inlineStr">
        <is>
          <t>Garnlav
Kolflarnlav
Talltita</t>
        </is>
      </c>
      <c r="S155">
        <f>HYPERLINK("https://klasma.github.io/Logging_2361/artfynd/A 54545-2024 artfynd.xlsx", "A 54545-2024")</f>
        <v/>
      </c>
      <c r="T155">
        <f>HYPERLINK("https://klasma.github.io/Logging_2361/kartor/A 54545-2024 karta.png", "A 54545-2024")</f>
        <v/>
      </c>
      <c r="V155">
        <f>HYPERLINK("https://klasma.github.io/Logging_2361/klagomål/A 54545-2024 FSC-klagomål.docx", "A 54545-2024")</f>
        <v/>
      </c>
      <c r="W155">
        <f>HYPERLINK("https://klasma.github.io/Logging_2361/klagomålsmail/A 54545-2024 FSC-klagomål mail.docx", "A 54545-2024")</f>
        <v/>
      </c>
      <c r="X155">
        <f>HYPERLINK("https://klasma.github.io/Logging_2361/tillsyn/A 54545-2024 tillsynsbegäran.docx", "A 54545-2024")</f>
        <v/>
      </c>
      <c r="Y155">
        <f>HYPERLINK("https://klasma.github.io/Logging_2361/tillsynsmail/A 54545-2024 tillsynsbegäran mail.docx", "A 54545-2024")</f>
        <v/>
      </c>
      <c r="Z155">
        <f>HYPERLINK("https://klasma.github.io/Logging_2361/fåglar/A 54545-2024 prioriterade fågelarter.docx", "A 54545-2024")</f>
        <v/>
      </c>
    </row>
    <row r="156" ht="15" customHeight="1">
      <c r="A156" t="inlineStr">
        <is>
          <t>A 28321-2019</t>
        </is>
      </c>
      <c r="B156" s="1" t="n">
        <v>43623</v>
      </c>
      <c r="C156" s="1" t="n">
        <v>45787</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45787</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45787</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45787</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45787</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45787</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45787</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45787</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45787</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45787</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45787</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45787</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45787</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45787</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45787</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45787</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45787</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45787</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45787</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45787</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45787</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45787</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45787</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45787</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45787</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45787</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45787</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45787</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45787</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45787</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45787</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45787</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45787</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45787</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45787</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45787</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45787</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45787</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45787</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45787</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20035-2025</t>
        </is>
      </c>
      <c r="B196" s="1" t="n">
        <v>45772</v>
      </c>
      <c r="C196" s="1" t="n">
        <v>45787</v>
      </c>
      <c r="D196" t="inlineStr">
        <is>
          <t>JÄMTLANDS LÄN</t>
        </is>
      </c>
      <c r="E196" t="inlineStr">
        <is>
          <t>HÄRJEDALEN</t>
        </is>
      </c>
      <c r="F196" t="inlineStr">
        <is>
          <t>Sveaskog</t>
        </is>
      </c>
      <c r="G196" t="n">
        <v>11.7</v>
      </c>
      <c r="H196" t="n">
        <v>1</v>
      </c>
      <c r="I196" t="n">
        <v>0</v>
      </c>
      <c r="J196" t="n">
        <v>2</v>
      </c>
      <c r="K196" t="n">
        <v>0</v>
      </c>
      <c r="L196" t="n">
        <v>0</v>
      </c>
      <c r="M196" t="n">
        <v>0</v>
      </c>
      <c r="N196" t="n">
        <v>0</v>
      </c>
      <c r="O196" t="n">
        <v>2</v>
      </c>
      <c r="P196" t="n">
        <v>0</v>
      </c>
      <c r="Q196" t="n">
        <v>2</v>
      </c>
      <c r="R196" s="2" t="inlineStr">
        <is>
          <t>Lunglav
Talltita</t>
        </is>
      </c>
      <c r="S196">
        <f>HYPERLINK("https://klasma.github.io/Logging_232361/artfynd/A 20035-2025 artfynd.xlsx", "A 20035-2025")</f>
        <v/>
      </c>
      <c r="T196">
        <f>HYPERLINK("https://klasma.github.io/Logging_232361/kartor/A 20035-2025 karta.png", "A 20035-2025")</f>
        <v/>
      </c>
      <c r="V196">
        <f>HYPERLINK("https://klasma.github.io/Logging_232361/klagomål/A 20035-2025 FSC-klagomål.docx", "A 20035-2025")</f>
        <v/>
      </c>
      <c r="W196">
        <f>HYPERLINK("https://klasma.github.io/Logging_232361/klagomålsmail/A 20035-2025 FSC-klagomål mail.docx", "A 20035-2025")</f>
        <v/>
      </c>
      <c r="X196">
        <f>HYPERLINK("https://klasma.github.io/Logging_232361/tillsyn/A 20035-2025 tillsynsbegäran.docx", "A 20035-2025")</f>
        <v/>
      </c>
      <c r="Y196">
        <f>HYPERLINK("https://klasma.github.io/Logging_232361/tillsynsmail/A 20035-2025 tillsynsbegäran mail.docx", "A 20035-2025")</f>
        <v/>
      </c>
      <c r="Z196">
        <f>HYPERLINK("https://klasma.github.io/Logging_232361/fåglar/A 20035-2025 prioriterade fågelarter.docx", "A 20035-2025")</f>
        <v/>
      </c>
    </row>
    <row r="197" ht="15" customHeight="1">
      <c r="A197" t="inlineStr">
        <is>
          <t>A 20132-2025</t>
        </is>
      </c>
      <c r="B197" s="1" t="n">
        <v>45772</v>
      </c>
      <c r="C197" s="1" t="n">
        <v>45787</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22511-2025</t>
        </is>
      </c>
      <c r="B198" s="1" t="n">
        <v>45786</v>
      </c>
      <c r="C198" s="1" t="n">
        <v>45787</v>
      </c>
      <c r="D198" t="inlineStr">
        <is>
          <t>JÄMTLANDS LÄN</t>
        </is>
      </c>
      <c r="E198" t="inlineStr">
        <is>
          <t>HÄRJEDALEN</t>
        </is>
      </c>
      <c r="F198" t="inlineStr">
        <is>
          <t>Sveaskog</t>
        </is>
      </c>
      <c r="G198" t="n">
        <v>27.9</v>
      </c>
      <c r="H198" t="n">
        <v>0</v>
      </c>
      <c r="I198" t="n">
        <v>0</v>
      </c>
      <c r="J198" t="n">
        <v>2</v>
      </c>
      <c r="K198" t="n">
        <v>0</v>
      </c>
      <c r="L198" t="n">
        <v>0</v>
      </c>
      <c r="M198" t="n">
        <v>0</v>
      </c>
      <c r="N198" t="n">
        <v>0</v>
      </c>
      <c r="O198" t="n">
        <v>2</v>
      </c>
      <c r="P198" t="n">
        <v>0</v>
      </c>
      <c r="Q198" t="n">
        <v>2</v>
      </c>
      <c r="R198" s="2" t="inlineStr">
        <is>
          <t>Kolflarnlav
Vedflamlav</t>
        </is>
      </c>
      <c r="S198">
        <f>HYPERLINK("https://klasma.github.io/Logging_232361/artfynd/A 22511-2025 artfynd.xlsx", "A 22511-2025")</f>
        <v/>
      </c>
      <c r="T198">
        <f>HYPERLINK("https://klasma.github.io/Logging_232361/kartor/A 22511-2025 karta.png", "A 22511-2025")</f>
        <v/>
      </c>
      <c r="V198">
        <f>HYPERLINK("https://klasma.github.io/Logging_232361/klagomål/A 22511-2025 FSC-klagomål.docx", "A 22511-2025")</f>
        <v/>
      </c>
      <c r="W198">
        <f>HYPERLINK("https://klasma.github.io/Logging_232361/klagomålsmail/A 22511-2025 FSC-klagomål mail.docx", "A 22511-2025")</f>
        <v/>
      </c>
      <c r="X198">
        <f>HYPERLINK("https://klasma.github.io/Logging_232361/tillsyn/A 22511-2025 tillsynsbegäran.docx", "A 22511-2025")</f>
        <v/>
      </c>
      <c r="Y198">
        <f>HYPERLINK("https://klasma.github.io/Logging_232361/tillsynsmail/A 22511-2025 tillsynsbegäran mail.docx", "A 22511-2025")</f>
        <v/>
      </c>
    </row>
    <row r="199" ht="15" customHeight="1">
      <c r="A199" t="inlineStr">
        <is>
          <t>A 22513-2025</t>
        </is>
      </c>
      <c r="B199" s="1" t="n">
        <v>45786</v>
      </c>
      <c r="C199" s="1" t="n">
        <v>45787</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22513-2025 artfynd.xlsx", "A 22513-2025")</f>
        <v/>
      </c>
      <c r="T199">
        <f>HYPERLINK("https://klasma.github.io/Logging_232361/kartor/A 22513-2025 karta.png", "A 22513-2025")</f>
        <v/>
      </c>
      <c r="V199">
        <f>HYPERLINK("https://klasma.github.io/Logging_232361/klagomål/A 22513-2025 FSC-klagomål.docx", "A 22513-2025")</f>
        <v/>
      </c>
      <c r="W199">
        <f>HYPERLINK("https://klasma.github.io/Logging_232361/klagomålsmail/A 22513-2025 FSC-klagomål mail.docx", "A 22513-2025")</f>
        <v/>
      </c>
      <c r="X199">
        <f>HYPERLINK("https://klasma.github.io/Logging_232361/tillsyn/A 22513-2025 tillsynsbegäran.docx", "A 22513-2025")</f>
        <v/>
      </c>
      <c r="Y199">
        <f>HYPERLINK("https://klasma.github.io/Logging_232361/tillsynsmail/A 22513-2025 tillsynsbegäran mail.docx", "A 22513-2025")</f>
        <v/>
      </c>
    </row>
    <row r="200" ht="15" customHeight="1">
      <c r="A200" t="inlineStr">
        <is>
          <t>A 22508-2025</t>
        </is>
      </c>
      <c r="B200" s="1" t="n">
        <v>45786</v>
      </c>
      <c r="C200" s="1" t="n">
        <v>45787</v>
      </c>
      <c r="D200" t="inlineStr">
        <is>
          <t>JÄMTLANDS LÄN</t>
        </is>
      </c>
      <c r="E200" t="inlineStr">
        <is>
          <t>HÄRJEDALEN</t>
        </is>
      </c>
      <c r="F200" t="inlineStr">
        <is>
          <t>Sveaskog</t>
        </is>
      </c>
      <c r="G200" t="n">
        <v>27.9</v>
      </c>
      <c r="H200" t="n">
        <v>0</v>
      </c>
      <c r="I200" t="n">
        <v>0</v>
      </c>
      <c r="J200" t="n">
        <v>2</v>
      </c>
      <c r="K200" t="n">
        <v>0</v>
      </c>
      <c r="L200" t="n">
        <v>0</v>
      </c>
      <c r="M200" t="n">
        <v>0</v>
      </c>
      <c r="N200" t="n">
        <v>0</v>
      </c>
      <c r="O200" t="n">
        <v>2</v>
      </c>
      <c r="P200" t="n">
        <v>0</v>
      </c>
      <c r="Q200" t="n">
        <v>2</v>
      </c>
      <c r="R200" s="2" t="inlineStr">
        <is>
          <t>Kolflarnlav
Vedflamlav</t>
        </is>
      </c>
      <c r="S200">
        <f>HYPERLINK("https://klasma.github.io/Logging_232361/artfynd/A 22508-2025 artfynd.xlsx", "A 22508-2025")</f>
        <v/>
      </c>
      <c r="T200">
        <f>HYPERLINK("https://klasma.github.io/Logging_232361/kartor/A 22508-2025 karta.png", "A 22508-2025")</f>
        <v/>
      </c>
      <c r="V200">
        <f>HYPERLINK("https://klasma.github.io/Logging_232361/klagomål/A 22508-2025 FSC-klagomål.docx", "A 22508-2025")</f>
        <v/>
      </c>
      <c r="W200">
        <f>HYPERLINK("https://klasma.github.io/Logging_232361/klagomålsmail/A 22508-2025 FSC-klagomål mail.docx", "A 22508-2025")</f>
        <v/>
      </c>
      <c r="X200">
        <f>HYPERLINK("https://klasma.github.io/Logging_232361/tillsyn/A 22508-2025 tillsynsbegäran.docx", "A 22508-2025")</f>
        <v/>
      </c>
      <c r="Y200">
        <f>HYPERLINK("https://klasma.github.io/Logging_232361/tillsynsmail/A 22508-2025 tillsynsbegäran mail.docx", "A 22508-2025")</f>
        <v/>
      </c>
    </row>
    <row r="201" ht="15" customHeight="1">
      <c r="A201" t="inlineStr">
        <is>
          <t>A 22512-2025</t>
        </is>
      </c>
      <c r="B201" s="1" t="n">
        <v>45786</v>
      </c>
      <c r="C201" s="1" t="n">
        <v>45787</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22512-2025 artfynd.xlsx", "A 22512-2025")</f>
        <v/>
      </c>
      <c r="T201">
        <f>HYPERLINK("https://klasma.github.io/Logging_232361/kartor/A 22512-2025 karta.png", "A 22512-2025")</f>
        <v/>
      </c>
      <c r="V201">
        <f>HYPERLINK("https://klasma.github.io/Logging_232361/klagomål/A 22512-2025 FSC-klagomål.docx", "A 22512-2025")</f>
        <v/>
      </c>
      <c r="W201">
        <f>HYPERLINK("https://klasma.github.io/Logging_232361/klagomålsmail/A 22512-2025 FSC-klagomål mail.docx", "A 22512-2025")</f>
        <v/>
      </c>
      <c r="X201">
        <f>HYPERLINK("https://klasma.github.io/Logging_232361/tillsyn/A 22512-2025 tillsynsbegäran.docx", "A 22512-2025")</f>
        <v/>
      </c>
      <c r="Y201">
        <f>HYPERLINK("https://klasma.github.io/Logging_232361/tillsynsmail/A 22512-2025 tillsynsbegäran mail.docx", "A 22512-2025")</f>
        <v/>
      </c>
    </row>
    <row r="202" ht="15" customHeight="1">
      <c r="A202" t="inlineStr">
        <is>
          <t>A 22494-2025</t>
        </is>
      </c>
      <c r="B202" s="1" t="n">
        <v>45786</v>
      </c>
      <c r="C202" s="1" t="n">
        <v>45787</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22494-2025 artfynd.xlsx", "A 22494-2025")</f>
        <v/>
      </c>
      <c r="T202">
        <f>HYPERLINK("https://klasma.github.io/Logging_232361/kartor/A 22494-2025 karta.png", "A 22494-2025")</f>
        <v/>
      </c>
      <c r="V202">
        <f>HYPERLINK("https://klasma.github.io/Logging_232361/klagomål/A 22494-2025 FSC-klagomål.docx", "A 22494-2025")</f>
        <v/>
      </c>
      <c r="W202">
        <f>HYPERLINK("https://klasma.github.io/Logging_232361/klagomålsmail/A 22494-2025 FSC-klagomål mail.docx", "A 22494-2025")</f>
        <v/>
      </c>
      <c r="X202">
        <f>HYPERLINK("https://klasma.github.io/Logging_232361/tillsyn/A 22494-2025 tillsynsbegäran.docx", "A 22494-2025")</f>
        <v/>
      </c>
      <c r="Y202">
        <f>HYPERLINK("https://klasma.github.io/Logging_232361/tillsynsmail/A 22494-2025 tillsynsbegäran mail.docx", "A 22494-2025")</f>
        <v/>
      </c>
    </row>
    <row r="203" ht="15" customHeight="1">
      <c r="A203" t="inlineStr">
        <is>
          <t>A 22501-2025</t>
        </is>
      </c>
      <c r="B203" s="1" t="n">
        <v>45786</v>
      </c>
      <c r="C203" s="1" t="n">
        <v>45787</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22501-2025 artfynd.xlsx", "A 22501-2025")</f>
        <v/>
      </c>
      <c r="T203">
        <f>HYPERLINK("https://klasma.github.io/Logging_232361/kartor/A 22501-2025 karta.png", "A 22501-2025")</f>
        <v/>
      </c>
      <c r="V203">
        <f>HYPERLINK("https://klasma.github.io/Logging_232361/klagomål/A 22501-2025 FSC-klagomål.docx", "A 22501-2025")</f>
        <v/>
      </c>
      <c r="W203">
        <f>HYPERLINK("https://klasma.github.io/Logging_232361/klagomålsmail/A 22501-2025 FSC-klagomål mail.docx", "A 22501-2025")</f>
        <v/>
      </c>
      <c r="X203">
        <f>HYPERLINK("https://klasma.github.io/Logging_232361/tillsyn/A 22501-2025 tillsynsbegäran.docx", "A 22501-2025")</f>
        <v/>
      </c>
      <c r="Y203">
        <f>HYPERLINK("https://klasma.github.io/Logging_232361/tillsynsmail/A 22501-2025 tillsynsbegäran mail.docx", "A 22501-2025")</f>
        <v/>
      </c>
    </row>
    <row r="204" ht="15" customHeight="1">
      <c r="A204" t="inlineStr">
        <is>
          <t>A 45781-2019</t>
        </is>
      </c>
      <c r="B204" s="1" t="n">
        <v>43717</v>
      </c>
      <c r="C204" s="1" t="n">
        <v>45787</v>
      </c>
      <c r="D204" t="inlineStr">
        <is>
          <t>JÄMTLANDS LÄN</t>
        </is>
      </c>
      <c r="E204" t="inlineStr">
        <is>
          <t>HÄRJEDALEN</t>
        </is>
      </c>
      <c r="F204" t="inlineStr">
        <is>
          <t>Holmen skog AB</t>
        </is>
      </c>
      <c r="G204" t="n">
        <v>13.8</v>
      </c>
      <c r="H204" t="n">
        <v>0</v>
      </c>
      <c r="I204" t="n">
        <v>0</v>
      </c>
      <c r="J204" t="n">
        <v>1</v>
      </c>
      <c r="K204" t="n">
        <v>0</v>
      </c>
      <c r="L204" t="n">
        <v>0</v>
      </c>
      <c r="M204" t="n">
        <v>0</v>
      </c>
      <c r="N204" t="n">
        <v>0</v>
      </c>
      <c r="O204" t="n">
        <v>1</v>
      </c>
      <c r="P204" t="n">
        <v>0</v>
      </c>
      <c r="Q204" t="n">
        <v>1</v>
      </c>
      <c r="R204" s="2" t="inlineStr">
        <is>
          <t>Kolflarnlav</t>
        </is>
      </c>
      <c r="S204">
        <f>HYPERLINK("https://klasma.github.io/Logging_2361/artfynd/A 45781-2019 artfynd.xlsx", "A 45781-2019")</f>
        <v/>
      </c>
      <c r="T204">
        <f>HYPERLINK("https://klasma.github.io/Logging_2361/kartor/A 45781-2019 karta.png", "A 45781-2019")</f>
        <v/>
      </c>
      <c r="V204">
        <f>HYPERLINK("https://klasma.github.io/Logging_2361/klagomål/A 45781-2019 FSC-klagomål.docx", "A 45781-2019")</f>
        <v/>
      </c>
      <c r="W204">
        <f>HYPERLINK("https://klasma.github.io/Logging_2361/klagomålsmail/A 45781-2019 FSC-klagomål mail.docx", "A 45781-2019")</f>
        <v/>
      </c>
      <c r="X204">
        <f>HYPERLINK("https://klasma.github.io/Logging_2361/tillsyn/A 45781-2019 tillsynsbegäran.docx", "A 45781-2019")</f>
        <v/>
      </c>
      <c r="Y204">
        <f>HYPERLINK("https://klasma.github.io/Logging_2361/tillsynsmail/A 45781-2019 tillsynsbegäran mail.docx", "A 45781-2019")</f>
        <v/>
      </c>
    </row>
    <row r="205" ht="15" customHeight="1">
      <c r="A205" t="inlineStr">
        <is>
          <t>A 24898-2020</t>
        </is>
      </c>
      <c r="B205" s="1" t="n">
        <v>43979</v>
      </c>
      <c r="C205" s="1" t="n">
        <v>45787</v>
      </c>
      <c r="D205" t="inlineStr">
        <is>
          <t>JÄMTLANDS LÄN</t>
        </is>
      </c>
      <c r="E205" t="inlineStr">
        <is>
          <t>HÄRJEDALEN</t>
        </is>
      </c>
      <c r="F205" t="inlineStr">
        <is>
          <t>Sveaskog</t>
        </is>
      </c>
      <c r="G205" t="n">
        <v>2.9</v>
      </c>
      <c r="H205" t="n">
        <v>0</v>
      </c>
      <c r="I205" t="n">
        <v>0</v>
      </c>
      <c r="J205" t="n">
        <v>1</v>
      </c>
      <c r="K205" t="n">
        <v>0</v>
      </c>
      <c r="L205" t="n">
        <v>0</v>
      </c>
      <c r="M205" t="n">
        <v>0</v>
      </c>
      <c r="N205" t="n">
        <v>0</v>
      </c>
      <c r="O205" t="n">
        <v>1</v>
      </c>
      <c r="P205" t="n">
        <v>0</v>
      </c>
      <c r="Q205" t="n">
        <v>1</v>
      </c>
      <c r="R205" s="2" t="inlineStr">
        <is>
          <t>Brunklöver</t>
        </is>
      </c>
      <c r="S205">
        <f>HYPERLINK("https://klasma.github.io/Logging_2361/artfynd/A 24898-2020 artfynd.xlsx", "A 24898-2020")</f>
        <v/>
      </c>
      <c r="T205">
        <f>HYPERLINK("https://klasma.github.io/Logging_2361/kartor/A 24898-2020 karta.png", "A 24898-2020")</f>
        <v/>
      </c>
      <c r="V205">
        <f>HYPERLINK("https://klasma.github.io/Logging_2361/klagomål/A 24898-2020 FSC-klagomål.docx", "A 24898-2020")</f>
        <v/>
      </c>
      <c r="W205">
        <f>HYPERLINK("https://klasma.github.io/Logging_2361/klagomålsmail/A 24898-2020 FSC-klagomål mail.docx", "A 24898-2020")</f>
        <v/>
      </c>
      <c r="X205">
        <f>HYPERLINK("https://klasma.github.io/Logging_2361/tillsyn/A 24898-2020 tillsynsbegäran.docx", "A 24898-2020")</f>
        <v/>
      </c>
      <c r="Y205">
        <f>HYPERLINK("https://klasma.github.io/Logging_2361/tillsynsmail/A 24898-2020 tillsynsbegäran mail.docx", "A 24898-2020")</f>
        <v/>
      </c>
    </row>
    <row r="206" ht="15" customHeight="1">
      <c r="A206" t="inlineStr">
        <is>
          <t>A 36954-2020</t>
        </is>
      </c>
      <c r="B206" s="1" t="n">
        <v>44053</v>
      </c>
      <c r="C206" s="1" t="n">
        <v>45787</v>
      </c>
      <c r="D206" t="inlineStr">
        <is>
          <t>JÄMTLANDS LÄN</t>
        </is>
      </c>
      <c r="E206" t="inlineStr">
        <is>
          <t>HÄRJEDALEN</t>
        </is>
      </c>
      <c r="F206" t="inlineStr">
        <is>
          <t>SCA</t>
        </is>
      </c>
      <c r="G206" t="n">
        <v>38.7</v>
      </c>
      <c r="H206" t="n">
        <v>0</v>
      </c>
      <c r="I206" t="n">
        <v>0</v>
      </c>
      <c r="J206" t="n">
        <v>1</v>
      </c>
      <c r="K206" t="n">
        <v>0</v>
      </c>
      <c r="L206" t="n">
        <v>0</v>
      </c>
      <c r="M206" t="n">
        <v>0</v>
      </c>
      <c r="N206" t="n">
        <v>0</v>
      </c>
      <c r="O206" t="n">
        <v>1</v>
      </c>
      <c r="P206" t="n">
        <v>0</v>
      </c>
      <c r="Q206" t="n">
        <v>1</v>
      </c>
      <c r="R206" s="2" t="inlineStr">
        <is>
          <t>Reliktbock</t>
        </is>
      </c>
      <c r="S206">
        <f>HYPERLINK("https://klasma.github.io/Logging_2361/artfynd/A 36954-2020 artfynd.xlsx", "A 36954-2020")</f>
        <v/>
      </c>
      <c r="T206">
        <f>HYPERLINK("https://klasma.github.io/Logging_2361/kartor/A 36954-2020 karta.png", "A 36954-2020")</f>
        <v/>
      </c>
      <c r="V206">
        <f>HYPERLINK("https://klasma.github.io/Logging_2361/klagomål/A 36954-2020 FSC-klagomål.docx", "A 36954-2020")</f>
        <v/>
      </c>
      <c r="W206">
        <f>HYPERLINK("https://klasma.github.io/Logging_2361/klagomålsmail/A 36954-2020 FSC-klagomål mail.docx", "A 36954-2020")</f>
        <v/>
      </c>
      <c r="X206">
        <f>HYPERLINK("https://klasma.github.io/Logging_2361/tillsyn/A 36954-2020 tillsynsbegäran.docx", "A 36954-2020")</f>
        <v/>
      </c>
      <c r="Y206">
        <f>HYPERLINK("https://klasma.github.io/Logging_2361/tillsynsmail/A 36954-2020 tillsynsbegäran mail.docx", "A 36954-2020")</f>
        <v/>
      </c>
    </row>
    <row r="207" ht="15" customHeight="1">
      <c r="A207" t="inlineStr">
        <is>
          <t>A 47685-2020</t>
        </is>
      </c>
      <c r="B207" s="1" t="n">
        <v>44096</v>
      </c>
      <c r="C207" s="1" t="n">
        <v>45787</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45787</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45787</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45787</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45787</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45787</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45787</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45787</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45787</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45787</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45787</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45787</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45787</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45787</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45787</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45787</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45787</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45787</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45787</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45787</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45787</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45787</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45787</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45787</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45787</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45787</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45787</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45787</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45787</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45787</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45787</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45787</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45787</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45787</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51234-2024</t>
        </is>
      </c>
      <c r="B241" s="1" t="n">
        <v>45603</v>
      </c>
      <c r="C241" s="1" t="n">
        <v>45787</v>
      </c>
      <c r="D241" t="inlineStr">
        <is>
          <t>JÄMTLANDS LÄN</t>
        </is>
      </c>
      <c r="E241" t="inlineStr">
        <is>
          <t>HÄRJEDALEN</t>
        </is>
      </c>
      <c r="F241" t="inlineStr">
        <is>
          <t>Holmen skog AB</t>
        </is>
      </c>
      <c r="G241" t="n">
        <v>2.6</v>
      </c>
      <c r="H241" t="n">
        <v>0</v>
      </c>
      <c r="I241" t="n">
        <v>0</v>
      </c>
      <c r="J241" t="n">
        <v>1</v>
      </c>
      <c r="K241" t="n">
        <v>0</v>
      </c>
      <c r="L241" t="n">
        <v>0</v>
      </c>
      <c r="M241" t="n">
        <v>0</v>
      </c>
      <c r="N241" t="n">
        <v>0</v>
      </c>
      <c r="O241" t="n">
        <v>1</v>
      </c>
      <c r="P241" t="n">
        <v>0</v>
      </c>
      <c r="Q241" t="n">
        <v>1</v>
      </c>
      <c r="R241" s="2" t="inlineStr">
        <is>
          <t>Blågrå svartspik</t>
        </is>
      </c>
      <c r="S241">
        <f>HYPERLINK("https://klasma.github.io/Logging_2361/artfynd/A 51234-2024 artfynd.xlsx", "A 51234-2024")</f>
        <v/>
      </c>
      <c r="T241">
        <f>HYPERLINK("https://klasma.github.io/Logging_2361/kartor/A 51234-2024 karta.png", "A 51234-2024")</f>
        <v/>
      </c>
      <c r="V241">
        <f>HYPERLINK("https://klasma.github.io/Logging_2361/klagomål/A 51234-2024 FSC-klagomål.docx", "A 51234-2024")</f>
        <v/>
      </c>
      <c r="W241">
        <f>HYPERLINK("https://klasma.github.io/Logging_2361/klagomålsmail/A 51234-2024 FSC-klagomål mail.docx", "A 51234-2024")</f>
        <v/>
      </c>
      <c r="X241">
        <f>HYPERLINK("https://klasma.github.io/Logging_2361/tillsyn/A 51234-2024 tillsynsbegäran.docx", "A 51234-2024")</f>
        <v/>
      </c>
      <c r="Y241">
        <f>HYPERLINK("https://klasma.github.io/Logging_2361/tillsynsmail/A 51234-2024 tillsynsbegäran mail.docx", "A 51234-2024")</f>
        <v/>
      </c>
    </row>
    <row r="242" ht="15" customHeight="1">
      <c r="A242" t="inlineStr">
        <is>
          <t>A 54520-2024</t>
        </is>
      </c>
      <c r="B242" s="1" t="n">
        <v>45617</v>
      </c>
      <c r="C242" s="1" t="n">
        <v>45787</v>
      </c>
      <c r="D242" t="inlineStr">
        <is>
          <t>JÄMTLANDS LÄN</t>
        </is>
      </c>
      <c r="E242" t="inlineStr">
        <is>
          <t>HÄRJEDALEN</t>
        </is>
      </c>
      <c r="F242" t="inlineStr">
        <is>
          <t>Holmen skog AB</t>
        </is>
      </c>
      <c r="G242" t="n">
        <v>4.6</v>
      </c>
      <c r="H242" t="n">
        <v>1</v>
      </c>
      <c r="I242" t="n">
        <v>0</v>
      </c>
      <c r="J242" t="n">
        <v>1</v>
      </c>
      <c r="K242" t="n">
        <v>0</v>
      </c>
      <c r="L242" t="n">
        <v>0</v>
      </c>
      <c r="M242" t="n">
        <v>0</v>
      </c>
      <c r="N242" t="n">
        <v>0</v>
      </c>
      <c r="O242" t="n">
        <v>1</v>
      </c>
      <c r="P242" t="n">
        <v>0</v>
      </c>
      <c r="Q242" t="n">
        <v>1</v>
      </c>
      <c r="R242" s="2" t="inlineStr">
        <is>
          <t>Talltita</t>
        </is>
      </c>
      <c r="S242">
        <f>HYPERLINK("https://klasma.github.io/Logging_2361/artfynd/A 54520-2024 artfynd.xlsx", "A 54520-2024")</f>
        <v/>
      </c>
      <c r="T242">
        <f>HYPERLINK("https://klasma.github.io/Logging_2361/kartor/A 54520-2024 karta.png", "A 54520-2024")</f>
        <v/>
      </c>
      <c r="V242">
        <f>HYPERLINK("https://klasma.github.io/Logging_2361/klagomål/A 54520-2024 FSC-klagomål.docx", "A 54520-2024")</f>
        <v/>
      </c>
      <c r="W242">
        <f>HYPERLINK("https://klasma.github.io/Logging_2361/klagomålsmail/A 54520-2024 FSC-klagomål mail.docx", "A 54520-2024")</f>
        <v/>
      </c>
      <c r="X242">
        <f>HYPERLINK("https://klasma.github.io/Logging_2361/tillsyn/A 54520-2024 tillsynsbegäran.docx", "A 54520-2024")</f>
        <v/>
      </c>
      <c r="Y242">
        <f>HYPERLINK("https://klasma.github.io/Logging_2361/tillsynsmail/A 54520-2024 tillsynsbegäran mail.docx", "A 54520-2024")</f>
        <v/>
      </c>
      <c r="Z242">
        <f>HYPERLINK("https://klasma.github.io/Logging_2361/fåglar/A 54520-2024 prioriterade fågelarter.docx", "A 54520-2024")</f>
        <v/>
      </c>
    </row>
    <row r="243" ht="15" customHeight="1">
      <c r="A243" t="inlineStr">
        <is>
          <t>A 55135-2024</t>
        </is>
      </c>
      <c r="B243" s="1" t="n">
        <v>45621</v>
      </c>
      <c r="C243" s="1" t="n">
        <v>45787</v>
      </c>
      <c r="D243" t="inlineStr">
        <is>
          <t>JÄMTLANDS LÄN</t>
        </is>
      </c>
      <c r="E243" t="inlineStr">
        <is>
          <t>HÄRJEDALEN</t>
        </is>
      </c>
      <c r="F243" t="inlineStr">
        <is>
          <t>Sveaskog</t>
        </is>
      </c>
      <c r="G243" t="n">
        <v>12.6</v>
      </c>
      <c r="H243" t="n">
        <v>0</v>
      </c>
      <c r="I243" t="n">
        <v>1</v>
      </c>
      <c r="J243" t="n">
        <v>0</v>
      </c>
      <c r="K243" t="n">
        <v>0</v>
      </c>
      <c r="L243" t="n">
        <v>0</v>
      </c>
      <c r="M243" t="n">
        <v>0</v>
      </c>
      <c r="N243" t="n">
        <v>0</v>
      </c>
      <c r="O243" t="n">
        <v>0</v>
      </c>
      <c r="P243" t="n">
        <v>0</v>
      </c>
      <c r="Q243" t="n">
        <v>1</v>
      </c>
      <c r="R243" s="2" t="inlineStr">
        <is>
          <t>Skarp dropptaggsvamp</t>
        </is>
      </c>
      <c r="S243">
        <f>HYPERLINK("https://klasma.github.io/Logging_2361/artfynd/A 55135-2024 artfynd.xlsx", "A 55135-2024")</f>
        <v/>
      </c>
      <c r="T243">
        <f>HYPERLINK("https://klasma.github.io/Logging_2361/kartor/A 55135-2024 karta.png", "A 55135-2024")</f>
        <v/>
      </c>
      <c r="V243">
        <f>HYPERLINK("https://klasma.github.io/Logging_2361/klagomål/A 55135-2024 FSC-klagomål.docx", "A 55135-2024")</f>
        <v/>
      </c>
      <c r="W243">
        <f>HYPERLINK("https://klasma.github.io/Logging_2361/klagomålsmail/A 55135-2024 FSC-klagomål mail.docx", "A 55135-2024")</f>
        <v/>
      </c>
      <c r="X243">
        <f>HYPERLINK("https://klasma.github.io/Logging_2361/tillsyn/A 55135-2024 tillsynsbegäran.docx", "A 55135-2024")</f>
        <v/>
      </c>
      <c r="Y243">
        <f>HYPERLINK("https://klasma.github.io/Logging_2361/tillsynsmail/A 55135-2024 tillsynsbegäran mail.docx", "A 55135-2024")</f>
        <v/>
      </c>
    </row>
    <row r="244" ht="15" customHeight="1">
      <c r="A244" t="inlineStr">
        <is>
          <t>A 55214-2024</t>
        </is>
      </c>
      <c r="B244" s="1" t="n">
        <v>45621</v>
      </c>
      <c r="C244" s="1" t="n">
        <v>45787</v>
      </c>
      <c r="D244" t="inlineStr">
        <is>
          <t>JÄMTLANDS LÄN</t>
        </is>
      </c>
      <c r="E244" t="inlineStr">
        <is>
          <t>HÄRJEDALEN</t>
        </is>
      </c>
      <c r="F244" t="inlineStr">
        <is>
          <t>Sveaskog</t>
        </is>
      </c>
      <c r="G244" t="n">
        <v>1.1</v>
      </c>
      <c r="H244" t="n">
        <v>0</v>
      </c>
      <c r="I244" t="n">
        <v>0</v>
      </c>
      <c r="J244" t="n">
        <v>1</v>
      </c>
      <c r="K244" t="n">
        <v>0</v>
      </c>
      <c r="L244" t="n">
        <v>0</v>
      </c>
      <c r="M244" t="n">
        <v>0</v>
      </c>
      <c r="N244" t="n">
        <v>0</v>
      </c>
      <c r="O244" t="n">
        <v>1</v>
      </c>
      <c r="P244" t="n">
        <v>0</v>
      </c>
      <c r="Q244" t="n">
        <v>1</v>
      </c>
      <c r="R244" s="2" t="inlineStr">
        <is>
          <t>Kolflarnlav</t>
        </is>
      </c>
      <c r="S244">
        <f>HYPERLINK("https://klasma.github.io/Logging_2361/artfynd/A 55214-2024 artfynd.xlsx", "A 55214-2024")</f>
        <v/>
      </c>
      <c r="T244">
        <f>HYPERLINK("https://klasma.github.io/Logging_2361/kartor/A 55214-2024 karta.png", "A 55214-2024")</f>
        <v/>
      </c>
      <c r="V244">
        <f>HYPERLINK("https://klasma.github.io/Logging_2361/klagomål/A 55214-2024 FSC-klagomål.docx", "A 55214-2024")</f>
        <v/>
      </c>
      <c r="W244">
        <f>HYPERLINK("https://klasma.github.io/Logging_2361/klagomålsmail/A 55214-2024 FSC-klagomål mail.docx", "A 55214-2024")</f>
        <v/>
      </c>
      <c r="X244">
        <f>HYPERLINK("https://klasma.github.io/Logging_2361/tillsyn/A 55214-2024 tillsynsbegäran.docx", "A 55214-2024")</f>
        <v/>
      </c>
      <c r="Y244">
        <f>HYPERLINK("https://klasma.github.io/Logging_2361/tillsynsmail/A 55214-2024 tillsynsbegäran mail.docx", "A 55214-2024")</f>
        <v/>
      </c>
    </row>
    <row r="245" ht="15" customHeight="1">
      <c r="A245" t="inlineStr">
        <is>
          <t>A 59367-2024</t>
        </is>
      </c>
      <c r="B245" s="1" t="n">
        <v>45638</v>
      </c>
      <c r="C245" s="1" t="n">
        <v>45787</v>
      </c>
      <c r="D245" t="inlineStr">
        <is>
          <t>JÄMTLANDS LÄN</t>
        </is>
      </c>
      <c r="E245" t="inlineStr">
        <is>
          <t>HÄRJEDALEN</t>
        </is>
      </c>
      <c r="F245" t="inlineStr">
        <is>
          <t>Holmen skog AB</t>
        </is>
      </c>
      <c r="G245" t="n">
        <v>5.9</v>
      </c>
      <c r="H245" t="n">
        <v>0</v>
      </c>
      <c r="I245" t="n">
        <v>0</v>
      </c>
      <c r="J245" t="n">
        <v>1</v>
      </c>
      <c r="K245" t="n">
        <v>0</v>
      </c>
      <c r="L245" t="n">
        <v>0</v>
      </c>
      <c r="M245" t="n">
        <v>0</v>
      </c>
      <c r="N245" t="n">
        <v>0</v>
      </c>
      <c r="O245" t="n">
        <v>1</v>
      </c>
      <c r="P245" t="n">
        <v>0</v>
      </c>
      <c r="Q245" t="n">
        <v>1</v>
      </c>
      <c r="R245" s="2" t="inlineStr">
        <is>
          <t>Vedflamlav</t>
        </is>
      </c>
      <c r="S245">
        <f>HYPERLINK("https://klasma.github.io/Logging_2361/artfynd/A 59367-2024 artfynd.xlsx", "A 59367-2024")</f>
        <v/>
      </c>
      <c r="T245">
        <f>HYPERLINK("https://klasma.github.io/Logging_2361/kartor/A 59367-2024 karta.png", "A 59367-2024")</f>
        <v/>
      </c>
      <c r="V245">
        <f>HYPERLINK("https://klasma.github.io/Logging_2361/klagomål/A 59367-2024 FSC-klagomål.docx", "A 59367-2024")</f>
        <v/>
      </c>
      <c r="W245">
        <f>HYPERLINK("https://klasma.github.io/Logging_2361/klagomålsmail/A 59367-2024 FSC-klagomål mail.docx", "A 59367-2024")</f>
        <v/>
      </c>
      <c r="X245">
        <f>HYPERLINK("https://klasma.github.io/Logging_2361/tillsyn/A 59367-2024 tillsynsbegäran.docx", "A 59367-2024")</f>
        <v/>
      </c>
      <c r="Y245">
        <f>HYPERLINK("https://klasma.github.io/Logging_2361/tillsynsmail/A 59367-2024 tillsynsbegäran mail.docx", "A 59367-2024")</f>
        <v/>
      </c>
    </row>
    <row r="246" ht="15" customHeight="1">
      <c r="A246" t="inlineStr">
        <is>
          <t>A 2041-2025</t>
        </is>
      </c>
      <c r="B246" s="1" t="n">
        <v>45672</v>
      </c>
      <c r="C246" s="1" t="n">
        <v>45787</v>
      </c>
      <c r="D246" t="inlineStr">
        <is>
          <t>JÄMTLANDS LÄN</t>
        </is>
      </c>
      <c r="E246" t="inlineStr">
        <is>
          <t>HÄRJEDALEN</t>
        </is>
      </c>
      <c r="G246" t="n">
        <v>10</v>
      </c>
      <c r="H246" t="n">
        <v>0</v>
      </c>
      <c r="I246" t="n">
        <v>0</v>
      </c>
      <c r="J246" t="n">
        <v>1</v>
      </c>
      <c r="K246" t="n">
        <v>0</v>
      </c>
      <c r="L246" t="n">
        <v>0</v>
      </c>
      <c r="M246" t="n">
        <v>0</v>
      </c>
      <c r="N246" t="n">
        <v>0</v>
      </c>
      <c r="O246" t="n">
        <v>1</v>
      </c>
      <c r="P246" t="n">
        <v>0</v>
      </c>
      <c r="Q246" t="n">
        <v>1</v>
      </c>
      <c r="R246" s="2" t="inlineStr">
        <is>
          <t>Gränsticka</t>
        </is>
      </c>
      <c r="S246">
        <f>HYPERLINK("https://klasma.github.io/Logging_2361/artfynd/A 2041-2025 artfynd.xlsx", "A 2041-2025")</f>
        <v/>
      </c>
      <c r="T246">
        <f>HYPERLINK("https://klasma.github.io/Logging_2361/kartor/A 2041-2025 karta.png", "A 2041-2025")</f>
        <v/>
      </c>
      <c r="V246">
        <f>HYPERLINK("https://klasma.github.io/Logging_2361/klagomål/A 2041-2025 FSC-klagomål.docx", "A 2041-2025")</f>
        <v/>
      </c>
      <c r="W246">
        <f>HYPERLINK("https://klasma.github.io/Logging_2361/klagomålsmail/A 2041-2025 FSC-klagomål mail.docx", "A 2041-2025")</f>
        <v/>
      </c>
      <c r="X246">
        <f>HYPERLINK("https://klasma.github.io/Logging_2361/tillsyn/A 2041-2025 tillsynsbegäran.docx", "A 2041-2025")</f>
        <v/>
      </c>
      <c r="Y246">
        <f>HYPERLINK("https://klasma.github.io/Logging_2361/tillsynsmail/A 2041-2025 tillsynsbegäran mail.docx", "A 2041-2025")</f>
        <v/>
      </c>
    </row>
    <row r="247" ht="15" customHeight="1">
      <c r="A247" t="inlineStr">
        <is>
          <t>A 9233-2025</t>
        </is>
      </c>
      <c r="B247" s="1" t="n">
        <v>45714</v>
      </c>
      <c r="C247" s="1" t="n">
        <v>45787</v>
      </c>
      <c r="D247" t="inlineStr">
        <is>
          <t>JÄMTLANDS LÄN</t>
        </is>
      </c>
      <c r="E247" t="inlineStr">
        <is>
          <t>HÄRJEDALEN</t>
        </is>
      </c>
      <c r="F247" t="inlineStr">
        <is>
          <t>SCA</t>
        </is>
      </c>
      <c r="G247" t="n">
        <v>16.8</v>
      </c>
      <c r="H247" t="n">
        <v>1</v>
      </c>
      <c r="I247" t="n">
        <v>0</v>
      </c>
      <c r="J247" t="n">
        <v>1</v>
      </c>
      <c r="K247" t="n">
        <v>0</v>
      </c>
      <c r="L247" t="n">
        <v>0</v>
      </c>
      <c r="M247" t="n">
        <v>0</v>
      </c>
      <c r="N247" t="n">
        <v>0</v>
      </c>
      <c r="O247" t="n">
        <v>1</v>
      </c>
      <c r="P247" t="n">
        <v>0</v>
      </c>
      <c r="Q247" t="n">
        <v>1</v>
      </c>
      <c r="R247" s="2" t="inlineStr">
        <is>
          <t>Järpe</t>
        </is>
      </c>
      <c r="S247">
        <f>HYPERLINK("https://klasma.github.io/Logging_2361/artfynd/A 9233-2025 artfynd.xlsx", "A 9233-2025")</f>
        <v/>
      </c>
      <c r="T247">
        <f>HYPERLINK("https://klasma.github.io/Logging_2361/kartor/A 9233-2025 karta.png", "A 9233-2025")</f>
        <v/>
      </c>
      <c r="V247">
        <f>HYPERLINK("https://klasma.github.io/Logging_2361/klagomål/A 9233-2025 FSC-klagomål.docx", "A 9233-2025")</f>
        <v/>
      </c>
      <c r="W247">
        <f>HYPERLINK("https://klasma.github.io/Logging_2361/klagomålsmail/A 9233-2025 FSC-klagomål mail.docx", "A 9233-2025")</f>
        <v/>
      </c>
      <c r="X247">
        <f>HYPERLINK("https://klasma.github.io/Logging_2361/tillsyn/A 9233-2025 tillsynsbegäran.docx", "A 9233-2025")</f>
        <v/>
      </c>
      <c r="Y247">
        <f>HYPERLINK("https://klasma.github.io/Logging_2361/tillsynsmail/A 9233-2025 tillsynsbegäran mail.docx", "A 9233-2025")</f>
        <v/>
      </c>
      <c r="Z247">
        <f>HYPERLINK("https://klasma.github.io/Logging_2361/fåglar/A 9233-2025 prioriterade fågelarter.docx", "A 9233-2025")</f>
        <v/>
      </c>
    </row>
    <row r="248" ht="15" customHeight="1">
      <c r="A248" t="inlineStr">
        <is>
          <t>A 12274-2025</t>
        </is>
      </c>
      <c r="B248" s="1" t="n">
        <v>45729</v>
      </c>
      <c r="C248" s="1" t="n">
        <v>45787</v>
      </c>
      <c r="D248" t="inlineStr">
        <is>
          <t>JÄMTLANDS LÄN</t>
        </is>
      </c>
      <c r="E248" t="inlineStr">
        <is>
          <t>HÄRJEDALEN</t>
        </is>
      </c>
      <c r="F248" t="inlineStr">
        <is>
          <t>Holmen skog AB</t>
        </is>
      </c>
      <c r="G248" t="n">
        <v>1</v>
      </c>
      <c r="H248" t="n">
        <v>0</v>
      </c>
      <c r="I248" t="n">
        <v>0</v>
      </c>
      <c r="J248" t="n">
        <v>1</v>
      </c>
      <c r="K248" t="n">
        <v>0</v>
      </c>
      <c r="L248" t="n">
        <v>0</v>
      </c>
      <c r="M248" t="n">
        <v>0</v>
      </c>
      <c r="N248" t="n">
        <v>0</v>
      </c>
      <c r="O248" t="n">
        <v>1</v>
      </c>
      <c r="P248" t="n">
        <v>0</v>
      </c>
      <c r="Q248" t="n">
        <v>1</v>
      </c>
      <c r="R248" s="2" t="inlineStr">
        <is>
          <t>Garnlav</t>
        </is>
      </c>
      <c r="S248">
        <f>HYPERLINK("https://klasma.github.io/Logging_232361/artfynd/A 12274-2025 artfynd.xlsx", "A 12274-2025")</f>
        <v/>
      </c>
      <c r="T248">
        <f>HYPERLINK("https://klasma.github.io/Logging_232361/kartor/A 12274-2025 karta.png", "A 12274-2025")</f>
        <v/>
      </c>
      <c r="V248">
        <f>HYPERLINK("https://klasma.github.io/Logging_232361/klagomål/A 12274-2025 FSC-klagomål.docx", "A 12274-2025")</f>
        <v/>
      </c>
      <c r="W248">
        <f>HYPERLINK("https://klasma.github.io/Logging_232361/klagomålsmail/A 12274-2025 FSC-klagomål mail.docx", "A 12274-2025")</f>
        <v/>
      </c>
      <c r="X248">
        <f>HYPERLINK("https://klasma.github.io/Logging_232361/tillsyn/A 12274-2025 tillsynsbegäran.docx", "A 12274-2025")</f>
        <v/>
      </c>
      <c r="Y248">
        <f>HYPERLINK("https://klasma.github.io/Logging_232361/tillsynsmail/A 12274-2025 tillsynsbegäran mail.docx", "A 12274-2025")</f>
        <v/>
      </c>
    </row>
    <row r="249" ht="15" customHeight="1">
      <c r="A249" t="inlineStr">
        <is>
          <t>A 17902-2025</t>
        </is>
      </c>
      <c r="B249" s="1" t="n">
        <v>45758</v>
      </c>
      <c r="C249" s="1" t="n">
        <v>45787</v>
      </c>
      <c r="D249" t="inlineStr">
        <is>
          <t>JÄMTLANDS LÄN</t>
        </is>
      </c>
      <c r="E249" t="inlineStr">
        <is>
          <t>HÄRJEDALEN</t>
        </is>
      </c>
      <c r="G249" t="n">
        <v>2.4</v>
      </c>
      <c r="H249" t="n">
        <v>0</v>
      </c>
      <c r="I249" t="n">
        <v>0</v>
      </c>
      <c r="J249" t="n">
        <v>1</v>
      </c>
      <c r="K249" t="n">
        <v>0</v>
      </c>
      <c r="L249" t="n">
        <v>0</v>
      </c>
      <c r="M249" t="n">
        <v>0</v>
      </c>
      <c r="N249" t="n">
        <v>0</v>
      </c>
      <c r="O249" t="n">
        <v>1</v>
      </c>
      <c r="P249" t="n">
        <v>0</v>
      </c>
      <c r="Q249" t="n">
        <v>1</v>
      </c>
      <c r="R249" s="2" t="inlineStr">
        <is>
          <t>Motaggsvamp</t>
        </is>
      </c>
      <c r="S249">
        <f>HYPERLINK("https://klasma.github.io/Logging_232361/artfynd/A 17902-2025 artfynd.xlsx", "A 17902-2025")</f>
        <v/>
      </c>
      <c r="T249">
        <f>HYPERLINK("https://klasma.github.io/Logging_232361/kartor/A 17902-2025 karta.png", "A 17902-2025")</f>
        <v/>
      </c>
      <c r="V249">
        <f>HYPERLINK("https://klasma.github.io/Logging_232361/klagomål/A 17902-2025 FSC-klagomål.docx", "A 17902-2025")</f>
        <v/>
      </c>
      <c r="W249">
        <f>HYPERLINK("https://klasma.github.io/Logging_232361/klagomålsmail/A 17902-2025 FSC-klagomål mail.docx", "A 17902-2025")</f>
        <v/>
      </c>
      <c r="X249">
        <f>HYPERLINK("https://klasma.github.io/Logging_232361/tillsyn/A 17902-2025 tillsynsbegäran.docx", "A 17902-2025")</f>
        <v/>
      </c>
      <c r="Y249">
        <f>HYPERLINK("https://klasma.github.io/Logging_232361/tillsynsmail/A 17902-2025 tillsynsbegäran mail.docx", "A 17902-2025")</f>
        <v/>
      </c>
    </row>
    <row r="250" ht="15" customHeight="1">
      <c r="A250" t="inlineStr">
        <is>
          <t>A 17811-2019</t>
        </is>
      </c>
      <c r="B250" s="1" t="n">
        <v>43556</v>
      </c>
      <c r="C250" s="1" t="n">
        <v>45787</v>
      </c>
      <c r="D250" t="inlineStr">
        <is>
          <t>JÄMTLANDS LÄN</t>
        </is>
      </c>
      <c r="E250" t="inlineStr">
        <is>
          <t>HÄRJEDALEN</t>
        </is>
      </c>
      <c r="G250" t="n">
        <v>10.3</v>
      </c>
      <c r="H250" t="n">
        <v>0</v>
      </c>
      <c r="I250" t="n">
        <v>0</v>
      </c>
      <c r="J250" t="n">
        <v>0</v>
      </c>
      <c r="K250" t="n">
        <v>0</v>
      </c>
      <c r="L250" t="n">
        <v>0</v>
      </c>
      <c r="M250" t="n">
        <v>0</v>
      </c>
      <c r="N250" t="n">
        <v>0</v>
      </c>
      <c r="O250" t="n">
        <v>0</v>
      </c>
      <c r="P250" t="n">
        <v>0</v>
      </c>
      <c r="Q250" t="n">
        <v>0</v>
      </c>
      <c r="R250" s="2" t="inlineStr"/>
    </row>
    <row r="251" ht="15" customHeight="1">
      <c r="A251" t="inlineStr">
        <is>
          <t>A 17986-2019</t>
        </is>
      </c>
      <c r="B251" s="1" t="n">
        <v>43557</v>
      </c>
      <c r="C251" s="1" t="n">
        <v>45787</v>
      </c>
      <c r="D251" t="inlineStr">
        <is>
          <t>JÄMTLANDS LÄN</t>
        </is>
      </c>
      <c r="E251" t="inlineStr">
        <is>
          <t>HÄRJEDALEN</t>
        </is>
      </c>
      <c r="F251" t="inlineStr">
        <is>
          <t>Kyrkan</t>
        </is>
      </c>
      <c r="G251" t="n">
        <v>17.5</v>
      </c>
      <c r="H251" t="n">
        <v>0</v>
      </c>
      <c r="I251" t="n">
        <v>0</v>
      </c>
      <c r="J251" t="n">
        <v>0</v>
      </c>
      <c r="K251" t="n">
        <v>0</v>
      </c>
      <c r="L251" t="n">
        <v>0</v>
      </c>
      <c r="M251" t="n">
        <v>0</v>
      </c>
      <c r="N251" t="n">
        <v>0</v>
      </c>
      <c r="O251" t="n">
        <v>0</v>
      </c>
      <c r="P251" t="n">
        <v>0</v>
      </c>
      <c r="Q251" t="n">
        <v>0</v>
      </c>
      <c r="R251" s="2" t="inlineStr"/>
    </row>
    <row r="252" ht="15" customHeight="1">
      <c r="A252" t="inlineStr">
        <is>
          <t>A 17917-2019</t>
        </is>
      </c>
      <c r="B252" s="1" t="n">
        <v>43557</v>
      </c>
      <c r="C252" s="1" t="n">
        <v>45787</v>
      </c>
      <c r="D252" t="inlineStr">
        <is>
          <t>JÄMTLANDS LÄN</t>
        </is>
      </c>
      <c r="E252" t="inlineStr">
        <is>
          <t>HÄRJEDALEN</t>
        </is>
      </c>
      <c r="F252" t="inlineStr">
        <is>
          <t>Bergvik skog väst AB</t>
        </is>
      </c>
      <c r="G252" t="n">
        <v>166.3</v>
      </c>
      <c r="H252" t="n">
        <v>0</v>
      </c>
      <c r="I252" t="n">
        <v>0</v>
      </c>
      <c r="J252" t="n">
        <v>0</v>
      </c>
      <c r="K252" t="n">
        <v>0</v>
      </c>
      <c r="L252" t="n">
        <v>0</v>
      </c>
      <c r="M252" t="n">
        <v>0</v>
      </c>
      <c r="N252" t="n">
        <v>0</v>
      </c>
      <c r="O252" t="n">
        <v>0</v>
      </c>
      <c r="P252" t="n">
        <v>0</v>
      </c>
      <c r="Q252" t="n">
        <v>0</v>
      </c>
      <c r="R252" s="2" t="inlineStr"/>
    </row>
    <row r="253" ht="15" customHeight="1">
      <c r="A253" t="inlineStr">
        <is>
          <t>A 18539-2019</t>
        </is>
      </c>
      <c r="B253" s="1" t="n">
        <v>43559</v>
      </c>
      <c r="C253" s="1" t="n">
        <v>45787</v>
      </c>
      <c r="D253" t="inlineStr">
        <is>
          <t>JÄMTLANDS LÄN</t>
        </is>
      </c>
      <c r="E253" t="inlineStr">
        <is>
          <t>HÄRJEDALEN</t>
        </is>
      </c>
      <c r="G253" t="n">
        <v>1.7</v>
      </c>
      <c r="H253" t="n">
        <v>0</v>
      </c>
      <c r="I253" t="n">
        <v>0</v>
      </c>
      <c r="J253" t="n">
        <v>0</v>
      </c>
      <c r="K253" t="n">
        <v>0</v>
      </c>
      <c r="L253" t="n">
        <v>0</v>
      </c>
      <c r="M253" t="n">
        <v>0</v>
      </c>
      <c r="N253" t="n">
        <v>0</v>
      </c>
      <c r="O253" t="n">
        <v>0</v>
      </c>
      <c r="P253" t="n">
        <v>0</v>
      </c>
      <c r="Q253" t="n">
        <v>0</v>
      </c>
      <c r="R253" s="2" t="inlineStr"/>
    </row>
    <row r="254" ht="15" customHeight="1">
      <c r="A254" t="inlineStr">
        <is>
          <t>A 18648-2019</t>
        </is>
      </c>
      <c r="B254" s="1" t="n">
        <v>43560</v>
      </c>
      <c r="C254" s="1" t="n">
        <v>45787</v>
      </c>
      <c r="D254" t="inlineStr">
        <is>
          <t>JÄMTLANDS LÄN</t>
        </is>
      </c>
      <c r="E254" t="inlineStr">
        <is>
          <t>HÄRJEDALEN</t>
        </is>
      </c>
      <c r="G254" t="n">
        <v>5.5</v>
      </c>
      <c r="H254" t="n">
        <v>0</v>
      </c>
      <c r="I254" t="n">
        <v>0</v>
      </c>
      <c r="J254" t="n">
        <v>0</v>
      </c>
      <c r="K254" t="n">
        <v>0</v>
      </c>
      <c r="L254" t="n">
        <v>0</v>
      </c>
      <c r="M254" t="n">
        <v>0</v>
      </c>
      <c r="N254" t="n">
        <v>0</v>
      </c>
      <c r="O254" t="n">
        <v>0</v>
      </c>
      <c r="P254" t="n">
        <v>0</v>
      </c>
      <c r="Q254" t="n">
        <v>0</v>
      </c>
      <c r="R254" s="2" t="inlineStr"/>
    </row>
    <row r="255" ht="15" customHeight="1">
      <c r="A255" t="inlineStr">
        <is>
          <t>A 19114-2019</t>
        </is>
      </c>
      <c r="B255" s="1" t="n">
        <v>43563</v>
      </c>
      <c r="C255" s="1" t="n">
        <v>45787</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20063-2019</t>
        </is>
      </c>
      <c r="B256" s="1" t="n">
        <v>43567</v>
      </c>
      <c r="C256" s="1" t="n">
        <v>45787</v>
      </c>
      <c r="D256" t="inlineStr">
        <is>
          <t>JÄMTLANDS LÄN</t>
        </is>
      </c>
      <c r="E256" t="inlineStr">
        <is>
          <t>HÄRJEDALEN</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19864-2019</t>
        </is>
      </c>
      <c r="B257" s="1" t="n">
        <v>43567</v>
      </c>
      <c r="C257" s="1" t="n">
        <v>45787</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20403-2019</t>
        </is>
      </c>
      <c r="B258" s="1" t="n">
        <v>43571</v>
      </c>
      <c r="C258" s="1" t="n">
        <v>45787</v>
      </c>
      <c r="D258" t="inlineStr">
        <is>
          <t>JÄMTLANDS LÄN</t>
        </is>
      </c>
      <c r="E258" t="inlineStr">
        <is>
          <t>HÄRJEDALEN</t>
        </is>
      </c>
      <c r="F258" t="inlineStr">
        <is>
          <t>Bergvik skog väst AB</t>
        </is>
      </c>
      <c r="G258" t="n">
        <v>7.8</v>
      </c>
      <c r="H258" t="n">
        <v>0</v>
      </c>
      <c r="I258" t="n">
        <v>0</v>
      </c>
      <c r="J258" t="n">
        <v>0</v>
      </c>
      <c r="K258" t="n">
        <v>0</v>
      </c>
      <c r="L258" t="n">
        <v>0</v>
      </c>
      <c r="M258" t="n">
        <v>0</v>
      </c>
      <c r="N258" t="n">
        <v>0</v>
      </c>
      <c r="O258" t="n">
        <v>0</v>
      </c>
      <c r="P258" t="n">
        <v>0</v>
      </c>
      <c r="Q258" t="n">
        <v>0</v>
      </c>
      <c r="R258" s="2" t="inlineStr"/>
    </row>
    <row r="259" ht="15" customHeight="1">
      <c r="A259" t="inlineStr">
        <is>
          <t>A 20373-2019</t>
        </is>
      </c>
      <c r="B259" s="1" t="n">
        <v>43571</v>
      </c>
      <c r="C259" s="1" t="n">
        <v>45787</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20851-2019</t>
        </is>
      </c>
      <c r="B260" s="1" t="n">
        <v>43577</v>
      </c>
      <c r="C260" s="1" t="n">
        <v>45787</v>
      </c>
      <c r="D260" t="inlineStr">
        <is>
          <t>JÄMTLANDS LÄN</t>
        </is>
      </c>
      <c r="E260" t="inlineStr">
        <is>
          <t>HÄRJEDALEN</t>
        </is>
      </c>
      <c r="F260" t="inlineStr">
        <is>
          <t>Övriga Aktiebolag</t>
        </is>
      </c>
      <c r="G260" t="n">
        <v>7.5</v>
      </c>
      <c r="H260" t="n">
        <v>0</v>
      </c>
      <c r="I260" t="n">
        <v>0</v>
      </c>
      <c r="J260" t="n">
        <v>0</v>
      </c>
      <c r="K260" t="n">
        <v>0</v>
      </c>
      <c r="L260" t="n">
        <v>0</v>
      </c>
      <c r="M260" t="n">
        <v>0</v>
      </c>
      <c r="N260" t="n">
        <v>0</v>
      </c>
      <c r="O260" t="n">
        <v>0</v>
      </c>
      <c r="P260" t="n">
        <v>0</v>
      </c>
      <c r="Q260" t="n">
        <v>0</v>
      </c>
      <c r="R260" s="2" t="inlineStr"/>
    </row>
    <row r="261" ht="15" customHeight="1">
      <c r="A261" t="inlineStr">
        <is>
          <t>A 21040-2019</t>
        </is>
      </c>
      <c r="B261" s="1" t="n">
        <v>43578</v>
      </c>
      <c r="C261" s="1" t="n">
        <v>45787</v>
      </c>
      <c r="D261" t="inlineStr">
        <is>
          <t>JÄMTLANDS LÄN</t>
        </is>
      </c>
      <c r="E261" t="inlineStr">
        <is>
          <t>HÄRJEDALEN</t>
        </is>
      </c>
      <c r="G261" t="n">
        <v>0.8</v>
      </c>
      <c r="H261" t="n">
        <v>0</v>
      </c>
      <c r="I261" t="n">
        <v>0</v>
      </c>
      <c r="J261" t="n">
        <v>0</v>
      </c>
      <c r="K261" t="n">
        <v>0</v>
      </c>
      <c r="L261" t="n">
        <v>0</v>
      </c>
      <c r="M261" t="n">
        <v>0</v>
      </c>
      <c r="N261" t="n">
        <v>0</v>
      </c>
      <c r="O261" t="n">
        <v>0</v>
      </c>
      <c r="P261" t="n">
        <v>0</v>
      </c>
      <c r="Q261" t="n">
        <v>0</v>
      </c>
      <c r="R261" s="2" t="inlineStr"/>
    </row>
    <row r="262" ht="15" customHeight="1">
      <c r="A262" t="inlineStr">
        <is>
          <t>A 21189-2019</t>
        </is>
      </c>
      <c r="B262" s="1" t="n">
        <v>43579</v>
      </c>
      <c r="C262" s="1" t="n">
        <v>45787</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22622-2019</t>
        </is>
      </c>
      <c r="B263" s="1" t="n">
        <v>43588</v>
      </c>
      <c r="C263" s="1" t="n">
        <v>45787</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24030-2019</t>
        </is>
      </c>
      <c r="B264" s="1" t="n">
        <v>43598</v>
      </c>
      <c r="C264" s="1" t="n">
        <v>45787</v>
      </c>
      <c r="D264" t="inlineStr">
        <is>
          <t>JÄMTLANDS LÄN</t>
        </is>
      </c>
      <c r="E264" t="inlineStr">
        <is>
          <t>HÄRJEDALEN</t>
        </is>
      </c>
      <c r="F264" t="inlineStr">
        <is>
          <t>Sveaskog</t>
        </is>
      </c>
      <c r="G264" t="n">
        <v>39.9</v>
      </c>
      <c r="H264" t="n">
        <v>0</v>
      </c>
      <c r="I264" t="n">
        <v>0</v>
      </c>
      <c r="J264" t="n">
        <v>0</v>
      </c>
      <c r="K264" t="n">
        <v>0</v>
      </c>
      <c r="L264" t="n">
        <v>0</v>
      </c>
      <c r="M264" t="n">
        <v>0</v>
      </c>
      <c r="N264" t="n">
        <v>0</v>
      </c>
      <c r="O264" t="n">
        <v>0</v>
      </c>
      <c r="P264" t="n">
        <v>0</v>
      </c>
      <c r="Q264" t="n">
        <v>0</v>
      </c>
      <c r="R264" s="2" t="inlineStr"/>
    </row>
    <row r="265" ht="15" customHeight="1">
      <c r="A265" t="inlineStr">
        <is>
          <t>A 24760-2019</t>
        </is>
      </c>
      <c r="B265" s="1" t="n">
        <v>43601</v>
      </c>
      <c r="C265" s="1" t="n">
        <v>45787</v>
      </c>
      <c r="D265" t="inlineStr">
        <is>
          <t>JÄMTLANDS LÄN</t>
        </is>
      </c>
      <c r="E265" t="inlineStr">
        <is>
          <t>HÄRJEDALEN</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25309-2019</t>
        </is>
      </c>
      <c r="B266" s="1" t="n">
        <v>43605</v>
      </c>
      <c r="C266" s="1" t="n">
        <v>45787</v>
      </c>
      <c r="D266" t="inlineStr">
        <is>
          <t>JÄMTLANDS LÄN</t>
        </is>
      </c>
      <c r="E266" t="inlineStr">
        <is>
          <t>HÄRJEDALEN</t>
        </is>
      </c>
      <c r="G266" t="n">
        <v>0.1</v>
      </c>
      <c r="H266" t="n">
        <v>0</v>
      </c>
      <c r="I266" t="n">
        <v>0</v>
      </c>
      <c r="J266" t="n">
        <v>0</v>
      </c>
      <c r="K266" t="n">
        <v>0</v>
      </c>
      <c r="L266" t="n">
        <v>0</v>
      </c>
      <c r="M266" t="n">
        <v>0</v>
      </c>
      <c r="N266" t="n">
        <v>0</v>
      </c>
      <c r="O266" t="n">
        <v>0</v>
      </c>
      <c r="P266" t="n">
        <v>0</v>
      </c>
      <c r="Q266" t="n">
        <v>0</v>
      </c>
      <c r="R266" s="2" t="inlineStr"/>
    </row>
    <row r="267" ht="15" customHeight="1">
      <c r="A267" t="inlineStr">
        <is>
          <t>A 25470-2019</t>
        </is>
      </c>
      <c r="B267" s="1" t="n">
        <v>43606</v>
      </c>
      <c r="C267" s="1" t="n">
        <v>45787</v>
      </c>
      <c r="D267" t="inlineStr">
        <is>
          <t>JÄMTLANDS LÄN</t>
        </is>
      </c>
      <c r="E267" t="inlineStr">
        <is>
          <t>HÄRJEDALEN</t>
        </is>
      </c>
      <c r="G267" t="n">
        <v>36.8</v>
      </c>
      <c r="H267" t="n">
        <v>0</v>
      </c>
      <c r="I267" t="n">
        <v>0</v>
      </c>
      <c r="J267" t="n">
        <v>0</v>
      </c>
      <c r="K267" t="n">
        <v>0</v>
      </c>
      <c r="L267" t="n">
        <v>0</v>
      </c>
      <c r="M267" t="n">
        <v>0</v>
      </c>
      <c r="N267" t="n">
        <v>0</v>
      </c>
      <c r="O267" t="n">
        <v>0</v>
      </c>
      <c r="P267" t="n">
        <v>0</v>
      </c>
      <c r="Q267" t="n">
        <v>0</v>
      </c>
      <c r="R267" s="2" t="inlineStr"/>
    </row>
    <row r="268" ht="15" customHeight="1">
      <c r="A268" t="inlineStr">
        <is>
          <t>A 26166-2019</t>
        </is>
      </c>
      <c r="B268" s="1" t="n">
        <v>43609</v>
      </c>
      <c r="C268" s="1" t="n">
        <v>45787</v>
      </c>
      <c r="D268" t="inlineStr">
        <is>
          <t>JÄMTLANDS LÄN</t>
        </is>
      </c>
      <c r="E268" t="inlineStr">
        <is>
          <t>HÄRJEDALEN</t>
        </is>
      </c>
      <c r="G268" t="n">
        <v>85.2</v>
      </c>
      <c r="H268" t="n">
        <v>0</v>
      </c>
      <c r="I268" t="n">
        <v>0</v>
      </c>
      <c r="J268" t="n">
        <v>0</v>
      </c>
      <c r="K268" t="n">
        <v>0</v>
      </c>
      <c r="L268" t="n">
        <v>0</v>
      </c>
      <c r="M268" t="n">
        <v>0</v>
      </c>
      <c r="N268" t="n">
        <v>0</v>
      </c>
      <c r="O268" t="n">
        <v>0</v>
      </c>
      <c r="P268" t="n">
        <v>0</v>
      </c>
      <c r="Q268" t="n">
        <v>0</v>
      </c>
      <c r="R268" s="2" t="inlineStr"/>
    </row>
    <row r="269" ht="15" customHeight="1">
      <c r="A269" t="inlineStr">
        <is>
          <t>A 26310-2019</t>
        </is>
      </c>
      <c r="B269" s="1" t="n">
        <v>43612</v>
      </c>
      <c r="C269" s="1" t="n">
        <v>45787</v>
      </c>
      <c r="D269" t="inlineStr">
        <is>
          <t>JÄMTLANDS LÄN</t>
        </is>
      </c>
      <c r="E269" t="inlineStr">
        <is>
          <t>HÄRJEDALEN</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26423-2019</t>
        </is>
      </c>
      <c r="B270" s="1" t="n">
        <v>43612</v>
      </c>
      <c r="C270" s="1" t="n">
        <v>45787</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27683-2019</t>
        </is>
      </c>
      <c r="B271" s="1" t="n">
        <v>43619</v>
      </c>
      <c r="C271" s="1" t="n">
        <v>45787</v>
      </c>
      <c r="D271" t="inlineStr">
        <is>
          <t>JÄMTLANDS LÄN</t>
        </is>
      </c>
      <c r="E271" t="inlineStr">
        <is>
          <t>HÄRJEDALEN</t>
        </is>
      </c>
      <c r="G271" t="n">
        <v>5.4</v>
      </c>
      <c r="H271" t="n">
        <v>0</v>
      </c>
      <c r="I271" t="n">
        <v>0</v>
      </c>
      <c r="J271" t="n">
        <v>0</v>
      </c>
      <c r="K271" t="n">
        <v>0</v>
      </c>
      <c r="L271" t="n">
        <v>0</v>
      </c>
      <c r="M271" t="n">
        <v>0</v>
      </c>
      <c r="N271" t="n">
        <v>0</v>
      </c>
      <c r="O271" t="n">
        <v>0</v>
      </c>
      <c r="P271" t="n">
        <v>0</v>
      </c>
      <c r="Q271" t="n">
        <v>0</v>
      </c>
      <c r="R271" s="2" t="inlineStr"/>
    </row>
    <row r="272" ht="15" customHeight="1">
      <c r="A272" t="inlineStr">
        <is>
          <t>A 27903-2019</t>
        </is>
      </c>
      <c r="B272" s="1" t="n">
        <v>43620</v>
      </c>
      <c r="C272" s="1" t="n">
        <v>45787</v>
      </c>
      <c r="D272" t="inlineStr">
        <is>
          <t>JÄMTLANDS LÄN</t>
        </is>
      </c>
      <c r="E272" t="inlineStr">
        <is>
          <t>HÄRJEDALEN</t>
        </is>
      </c>
      <c r="G272" t="n">
        <v>22</v>
      </c>
      <c r="H272" t="n">
        <v>0</v>
      </c>
      <c r="I272" t="n">
        <v>0</v>
      </c>
      <c r="J272" t="n">
        <v>0</v>
      </c>
      <c r="K272" t="n">
        <v>0</v>
      </c>
      <c r="L272" t="n">
        <v>0</v>
      </c>
      <c r="M272" t="n">
        <v>0</v>
      </c>
      <c r="N272" t="n">
        <v>0</v>
      </c>
      <c r="O272" t="n">
        <v>0</v>
      </c>
      <c r="P272" t="n">
        <v>0</v>
      </c>
      <c r="Q272" t="n">
        <v>0</v>
      </c>
      <c r="R272" s="2" t="inlineStr"/>
    </row>
    <row r="273" ht="15" customHeight="1">
      <c r="A273" t="inlineStr">
        <is>
          <t>A 28312-2019</t>
        </is>
      </c>
      <c r="B273" s="1" t="n">
        <v>43623</v>
      </c>
      <c r="C273" s="1" t="n">
        <v>45787</v>
      </c>
      <c r="D273" t="inlineStr">
        <is>
          <t>JÄMTLANDS LÄN</t>
        </is>
      </c>
      <c r="E273" t="inlineStr">
        <is>
          <t>HÄRJEDALEN</t>
        </is>
      </c>
      <c r="G273" t="n">
        <v>6.5</v>
      </c>
      <c r="H273" t="n">
        <v>0</v>
      </c>
      <c r="I273" t="n">
        <v>0</v>
      </c>
      <c r="J273" t="n">
        <v>0</v>
      </c>
      <c r="K273" t="n">
        <v>0</v>
      </c>
      <c r="L273" t="n">
        <v>0</v>
      </c>
      <c r="M273" t="n">
        <v>0</v>
      </c>
      <c r="N273" t="n">
        <v>0</v>
      </c>
      <c r="O273" t="n">
        <v>0</v>
      </c>
      <c r="P273" t="n">
        <v>0</v>
      </c>
      <c r="Q273" t="n">
        <v>0</v>
      </c>
      <c r="R273" s="2" t="inlineStr"/>
    </row>
    <row r="274" ht="15" customHeight="1">
      <c r="A274" t="inlineStr">
        <is>
          <t>A 28326-2019</t>
        </is>
      </c>
      <c r="B274" s="1" t="n">
        <v>43623</v>
      </c>
      <c r="C274" s="1" t="n">
        <v>45787</v>
      </c>
      <c r="D274" t="inlineStr">
        <is>
          <t>JÄMTLANDS LÄN</t>
        </is>
      </c>
      <c r="E274" t="inlineStr">
        <is>
          <t>HÄRJEDALEN</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28513-2019</t>
        </is>
      </c>
      <c r="B275" s="1" t="n">
        <v>43626</v>
      </c>
      <c r="C275" s="1" t="n">
        <v>45787</v>
      </c>
      <c r="D275" t="inlineStr">
        <is>
          <t>JÄMTLANDS LÄN</t>
        </is>
      </c>
      <c r="E275" t="inlineStr">
        <is>
          <t>HÄRJEDALEN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29263-2019</t>
        </is>
      </c>
      <c r="B276" s="1" t="n">
        <v>43629</v>
      </c>
      <c r="C276" s="1" t="n">
        <v>45787</v>
      </c>
      <c r="D276" t="inlineStr">
        <is>
          <t>JÄMTLANDS LÄN</t>
        </is>
      </c>
      <c r="E276" t="inlineStr">
        <is>
          <t>HÄRJEDALEN</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29822-2019</t>
        </is>
      </c>
      <c r="B277" s="1" t="n">
        <v>43633</v>
      </c>
      <c r="C277" s="1" t="n">
        <v>45787</v>
      </c>
      <c r="D277" t="inlineStr">
        <is>
          <t>JÄMTLANDS LÄN</t>
        </is>
      </c>
      <c r="E277" t="inlineStr">
        <is>
          <t>HÄRJEDALEN</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34618-2019</t>
        </is>
      </c>
      <c r="B278" s="1" t="n">
        <v>43647</v>
      </c>
      <c r="C278" s="1" t="n">
        <v>45787</v>
      </c>
      <c r="D278" t="inlineStr">
        <is>
          <t>JÄMTLANDS LÄN</t>
        </is>
      </c>
      <c r="E278" t="inlineStr">
        <is>
          <t>HÄRJEDALEN</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32878-2019</t>
        </is>
      </c>
      <c r="B279" s="1" t="n">
        <v>43648</v>
      </c>
      <c r="C279" s="1" t="n">
        <v>45787</v>
      </c>
      <c r="D279" t="inlineStr">
        <is>
          <t>JÄMTLANDS LÄN</t>
        </is>
      </c>
      <c r="E279" t="inlineStr">
        <is>
          <t>HÄRJEDALEN</t>
        </is>
      </c>
      <c r="F279" t="inlineStr">
        <is>
          <t>Övriga Aktiebolag</t>
        </is>
      </c>
      <c r="G279" t="n">
        <v>91.8</v>
      </c>
      <c r="H279" t="n">
        <v>0</v>
      </c>
      <c r="I279" t="n">
        <v>0</v>
      </c>
      <c r="J279" t="n">
        <v>0</v>
      </c>
      <c r="K279" t="n">
        <v>0</v>
      </c>
      <c r="L279" t="n">
        <v>0</v>
      </c>
      <c r="M279" t="n">
        <v>0</v>
      </c>
      <c r="N279" t="n">
        <v>0</v>
      </c>
      <c r="O279" t="n">
        <v>0</v>
      </c>
      <c r="P279" t="n">
        <v>0</v>
      </c>
      <c r="Q279" t="n">
        <v>0</v>
      </c>
      <c r="R279" s="2" t="inlineStr"/>
    </row>
    <row r="280" ht="15" customHeight="1">
      <c r="A280" t="inlineStr">
        <is>
          <t>A 33496-2019</t>
        </is>
      </c>
      <c r="B280" s="1" t="n">
        <v>43651</v>
      </c>
      <c r="C280" s="1" t="n">
        <v>45787</v>
      </c>
      <c r="D280" t="inlineStr">
        <is>
          <t>JÄMTLANDS LÄN</t>
        </is>
      </c>
      <c r="E280" t="inlineStr">
        <is>
          <t>HÄRJEDALEN</t>
        </is>
      </c>
      <c r="G280" t="n">
        <v>3.6</v>
      </c>
      <c r="H280" t="n">
        <v>0</v>
      </c>
      <c r="I280" t="n">
        <v>0</v>
      </c>
      <c r="J280" t="n">
        <v>0</v>
      </c>
      <c r="K280" t="n">
        <v>0</v>
      </c>
      <c r="L280" t="n">
        <v>0</v>
      </c>
      <c r="M280" t="n">
        <v>0</v>
      </c>
      <c r="N280" t="n">
        <v>0</v>
      </c>
      <c r="O280" t="n">
        <v>0</v>
      </c>
      <c r="P280" t="n">
        <v>0</v>
      </c>
      <c r="Q280" t="n">
        <v>0</v>
      </c>
      <c r="R280" s="2" t="inlineStr"/>
    </row>
    <row r="281" ht="15" customHeight="1">
      <c r="A281" t="inlineStr">
        <is>
          <t>A 33497-2019</t>
        </is>
      </c>
      <c r="B281" s="1" t="n">
        <v>43651</v>
      </c>
      <c r="C281" s="1" t="n">
        <v>45787</v>
      </c>
      <c r="D281" t="inlineStr">
        <is>
          <t>JÄMTLANDS LÄN</t>
        </is>
      </c>
      <c r="E281" t="inlineStr">
        <is>
          <t>HÄRJEDALEN</t>
        </is>
      </c>
      <c r="G281" t="n">
        <v>1.9</v>
      </c>
      <c r="H281" t="n">
        <v>0</v>
      </c>
      <c r="I281" t="n">
        <v>0</v>
      </c>
      <c r="J281" t="n">
        <v>0</v>
      </c>
      <c r="K281" t="n">
        <v>0</v>
      </c>
      <c r="L281" t="n">
        <v>0</v>
      </c>
      <c r="M281" t="n">
        <v>0</v>
      </c>
      <c r="N281" t="n">
        <v>0</v>
      </c>
      <c r="O281" t="n">
        <v>0</v>
      </c>
      <c r="P281" t="n">
        <v>0</v>
      </c>
      <c r="Q281" t="n">
        <v>0</v>
      </c>
      <c r="R281" s="2" t="inlineStr"/>
    </row>
    <row r="282" ht="15" customHeight="1">
      <c r="A282" t="inlineStr">
        <is>
          <t>A 34688-2019</t>
        </is>
      </c>
      <c r="B282" s="1" t="n">
        <v>43657</v>
      </c>
      <c r="C282" s="1" t="n">
        <v>45787</v>
      </c>
      <c r="D282" t="inlineStr">
        <is>
          <t>JÄMTLANDS LÄN</t>
        </is>
      </c>
      <c r="E282" t="inlineStr">
        <is>
          <t>HÄRJEDALEN</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34805-2019</t>
        </is>
      </c>
      <c r="B283" s="1" t="n">
        <v>43658</v>
      </c>
      <c r="C283" s="1" t="n">
        <v>45787</v>
      </c>
      <c r="D283" t="inlineStr">
        <is>
          <t>JÄMTLANDS LÄN</t>
        </is>
      </c>
      <c r="E283" t="inlineStr">
        <is>
          <t>HÄRJEDALEN</t>
        </is>
      </c>
      <c r="F283" t="inlineStr">
        <is>
          <t>Sveaskog</t>
        </is>
      </c>
      <c r="G283" t="n">
        <v>0.2</v>
      </c>
      <c r="H283" t="n">
        <v>0</v>
      </c>
      <c r="I283" t="n">
        <v>0</v>
      </c>
      <c r="J283" t="n">
        <v>0</v>
      </c>
      <c r="K283" t="n">
        <v>0</v>
      </c>
      <c r="L283" t="n">
        <v>0</v>
      </c>
      <c r="M283" t="n">
        <v>0</v>
      </c>
      <c r="N283" t="n">
        <v>0</v>
      </c>
      <c r="O283" t="n">
        <v>0</v>
      </c>
      <c r="P283" t="n">
        <v>0</v>
      </c>
      <c r="Q283" t="n">
        <v>0</v>
      </c>
      <c r="R283" s="2" t="inlineStr"/>
    </row>
    <row r="284" ht="15" customHeight="1">
      <c r="A284" t="inlineStr">
        <is>
          <t>A 35160-2019</t>
        </is>
      </c>
      <c r="B284" s="1" t="n">
        <v>43661</v>
      </c>
      <c r="C284" s="1" t="n">
        <v>45787</v>
      </c>
      <c r="D284" t="inlineStr">
        <is>
          <t>JÄMTLANDS LÄN</t>
        </is>
      </c>
      <c r="E284" t="inlineStr">
        <is>
          <t>HÄRJEDALEN</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36343-2019</t>
        </is>
      </c>
      <c r="B285" s="1" t="n">
        <v>43662</v>
      </c>
      <c r="C285" s="1" t="n">
        <v>45787</v>
      </c>
      <c r="D285" t="inlineStr">
        <is>
          <t>JÄMTLANDS LÄN</t>
        </is>
      </c>
      <c r="E285" t="inlineStr">
        <is>
          <t>HÄRJEDALEN</t>
        </is>
      </c>
      <c r="G285" t="n">
        <v>8</v>
      </c>
      <c r="H285" t="n">
        <v>0</v>
      </c>
      <c r="I285" t="n">
        <v>0</v>
      </c>
      <c r="J285" t="n">
        <v>0</v>
      </c>
      <c r="K285" t="n">
        <v>0</v>
      </c>
      <c r="L285" t="n">
        <v>0</v>
      </c>
      <c r="M285" t="n">
        <v>0</v>
      </c>
      <c r="N285" t="n">
        <v>0</v>
      </c>
      <c r="O285" t="n">
        <v>0</v>
      </c>
      <c r="P285" t="n">
        <v>0</v>
      </c>
      <c r="Q285" t="n">
        <v>0</v>
      </c>
      <c r="R285" s="2" t="inlineStr"/>
    </row>
    <row r="286" ht="15" customHeight="1">
      <c r="A286" t="inlineStr">
        <is>
          <t>A 38283-2019</t>
        </is>
      </c>
      <c r="B286" s="1" t="n">
        <v>43684</v>
      </c>
      <c r="C286" s="1" t="n">
        <v>45787</v>
      </c>
      <c r="D286" t="inlineStr">
        <is>
          <t>JÄMTLANDS LÄN</t>
        </is>
      </c>
      <c r="E286" t="inlineStr">
        <is>
          <t>HÄRJEDALEN</t>
        </is>
      </c>
      <c r="F286" t="inlineStr">
        <is>
          <t>Bergvik skog väst AB</t>
        </is>
      </c>
      <c r="G286" t="n">
        <v>29.5</v>
      </c>
      <c r="H286" t="n">
        <v>0</v>
      </c>
      <c r="I286" t="n">
        <v>0</v>
      </c>
      <c r="J286" t="n">
        <v>0</v>
      </c>
      <c r="K286" t="n">
        <v>0</v>
      </c>
      <c r="L286" t="n">
        <v>0</v>
      </c>
      <c r="M286" t="n">
        <v>0</v>
      </c>
      <c r="N286" t="n">
        <v>0</v>
      </c>
      <c r="O286" t="n">
        <v>0</v>
      </c>
      <c r="P286" t="n">
        <v>0</v>
      </c>
      <c r="Q286" t="n">
        <v>0</v>
      </c>
      <c r="R286" s="2" t="inlineStr"/>
    </row>
    <row r="287" ht="15" customHeight="1">
      <c r="A287" t="inlineStr">
        <is>
          <t>A 38859-2019</t>
        </is>
      </c>
      <c r="B287" s="1" t="n">
        <v>43689</v>
      </c>
      <c r="C287" s="1" t="n">
        <v>45787</v>
      </c>
      <c r="D287" t="inlineStr">
        <is>
          <t>JÄMTLANDS LÄN</t>
        </is>
      </c>
      <c r="E287" t="inlineStr">
        <is>
          <t>HÄRJEDALEN</t>
        </is>
      </c>
      <c r="G287" t="n">
        <v>0.9</v>
      </c>
      <c r="H287" t="n">
        <v>0</v>
      </c>
      <c r="I287" t="n">
        <v>0</v>
      </c>
      <c r="J287" t="n">
        <v>0</v>
      </c>
      <c r="K287" t="n">
        <v>0</v>
      </c>
      <c r="L287" t="n">
        <v>0</v>
      </c>
      <c r="M287" t="n">
        <v>0</v>
      </c>
      <c r="N287" t="n">
        <v>0</v>
      </c>
      <c r="O287" t="n">
        <v>0</v>
      </c>
      <c r="P287" t="n">
        <v>0</v>
      </c>
      <c r="Q287" t="n">
        <v>0</v>
      </c>
      <c r="R287" s="2" t="inlineStr"/>
    </row>
    <row r="288" ht="15" customHeight="1">
      <c r="A288" t="inlineStr">
        <is>
          <t>A 38884-2019</t>
        </is>
      </c>
      <c r="B288" s="1" t="n">
        <v>43689</v>
      </c>
      <c r="C288" s="1" t="n">
        <v>45787</v>
      </c>
      <c r="D288" t="inlineStr">
        <is>
          <t>JÄMTLANDS LÄN</t>
        </is>
      </c>
      <c r="E288" t="inlineStr">
        <is>
          <t>HÄRJEDALEN</t>
        </is>
      </c>
      <c r="G288" t="n">
        <v>2.5</v>
      </c>
      <c r="H288" t="n">
        <v>0</v>
      </c>
      <c r="I288" t="n">
        <v>0</v>
      </c>
      <c r="J288" t="n">
        <v>0</v>
      </c>
      <c r="K288" t="n">
        <v>0</v>
      </c>
      <c r="L288" t="n">
        <v>0</v>
      </c>
      <c r="M288" t="n">
        <v>0</v>
      </c>
      <c r="N288" t="n">
        <v>0</v>
      </c>
      <c r="O288" t="n">
        <v>0</v>
      </c>
      <c r="P288" t="n">
        <v>0</v>
      </c>
      <c r="Q288" t="n">
        <v>0</v>
      </c>
      <c r="R288" s="2" t="inlineStr"/>
    </row>
    <row r="289" ht="15" customHeight="1">
      <c r="A289" t="inlineStr">
        <is>
          <t>A 40244-2019</t>
        </is>
      </c>
      <c r="B289" s="1" t="n">
        <v>43694</v>
      </c>
      <c r="C289" s="1" t="n">
        <v>45787</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42123-2019</t>
        </is>
      </c>
      <c r="B290" s="1" t="n">
        <v>43703</v>
      </c>
      <c r="C290" s="1" t="n">
        <v>45787</v>
      </c>
      <c r="D290" t="inlineStr">
        <is>
          <t>JÄMTLANDS LÄN</t>
        </is>
      </c>
      <c r="E290" t="inlineStr">
        <is>
          <t>HÄRJEDALEN</t>
        </is>
      </c>
      <c r="G290" t="n">
        <v>1.8</v>
      </c>
      <c r="H290" t="n">
        <v>0</v>
      </c>
      <c r="I290" t="n">
        <v>0</v>
      </c>
      <c r="J290" t="n">
        <v>0</v>
      </c>
      <c r="K290" t="n">
        <v>0</v>
      </c>
      <c r="L290" t="n">
        <v>0</v>
      </c>
      <c r="M290" t="n">
        <v>0</v>
      </c>
      <c r="N290" t="n">
        <v>0</v>
      </c>
      <c r="O290" t="n">
        <v>0</v>
      </c>
      <c r="P290" t="n">
        <v>0</v>
      </c>
      <c r="Q290" t="n">
        <v>0</v>
      </c>
      <c r="R290" s="2" t="inlineStr"/>
    </row>
    <row r="291" ht="15" customHeight="1">
      <c r="A291" t="inlineStr">
        <is>
          <t>A 43103-2019</t>
        </is>
      </c>
      <c r="B291" s="1" t="n">
        <v>43705</v>
      </c>
      <c r="C291" s="1" t="n">
        <v>45787</v>
      </c>
      <c r="D291" t="inlineStr">
        <is>
          <t>JÄMTLANDS LÄN</t>
        </is>
      </c>
      <c r="E291" t="inlineStr">
        <is>
          <t>HÄRJEDALEN</t>
        </is>
      </c>
      <c r="G291" t="n">
        <v>38.6</v>
      </c>
      <c r="H291" t="n">
        <v>0</v>
      </c>
      <c r="I291" t="n">
        <v>0</v>
      </c>
      <c r="J291" t="n">
        <v>0</v>
      </c>
      <c r="K291" t="n">
        <v>0</v>
      </c>
      <c r="L291" t="n">
        <v>0</v>
      </c>
      <c r="M291" t="n">
        <v>0</v>
      </c>
      <c r="N291" t="n">
        <v>0</v>
      </c>
      <c r="O291" t="n">
        <v>0</v>
      </c>
      <c r="P291" t="n">
        <v>0</v>
      </c>
      <c r="Q291" t="n">
        <v>0</v>
      </c>
      <c r="R291" s="2" t="inlineStr"/>
    </row>
    <row r="292" ht="15" customHeight="1">
      <c r="A292" t="inlineStr">
        <is>
          <t>A 43142-2019</t>
        </is>
      </c>
      <c r="B292" s="1" t="n">
        <v>43705</v>
      </c>
      <c r="C292" s="1" t="n">
        <v>45787</v>
      </c>
      <c r="D292" t="inlineStr">
        <is>
          <t>JÄMTLANDS LÄN</t>
        </is>
      </c>
      <c r="E292" t="inlineStr">
        <is>
          <t>HÄRJEDALEN</t>
        </is>
      </c>
      <c r="G292" t="n">
        <v>3.2</v>
      </c>
      <c r="H292" t="n">
        <v>0</v>
      </c>
      <c r="I292" t="n">
        <v>0</v>
      </c>
      <c r="J292" t="n">
        <v>0</v>
      </c>
      <c r="K292" t="n">
        <v>0</v>
      </c>
      <c r="L292" t="n">
        <v>0</v>
      </c>
      <c r="M292" t="n">
        <v>0</v>
      </c>
      <c r="N292" t="n">
        <v>0</v>
      </c>
      <c r="O292" t="n">
        <v>0</v>
      </c>
      <c r="P292" t="n">
        <v>0</v>
      </c>
      <c r="Q292" t="n">
        <v>0</v>
      </c>
      <c r="R292" s="2" t="inlineStr"/>
    </row>
    <row r="293" ht="15" customHeight="1">
      <c r="A293" t="inlineStr">
        <is>
          <t>A 43649-2019</t>
        </is>
      </c>
      <c r="B293" s="1" t="n">
        <v>43707</v>
      </c>
      <c r="C293" s="1" t="n">
        <v>45787</v>
      </c>
      <c r="D293" t="inlineStr">
        <is>
          <t>JÄMTLANDS LÄN</t>
        </is>
      </c>
      <c r="E293" t="inlineStr">
        <is>
          <t>HÄRJEDALEN</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43896-2019</t>
        </is>
      </c>
      <c r="B294" s="1" t="n">
        <v>43707</v>
      </c>
      <c r="C294" s="1" t="n">
        <v>45787</v>
      </c>
      <c r="D294" t="inlineStr">
        <is>
          <t>JÄMTLANDS LÄN</t>
        </is>
      </c>
      <c r="E294" t="inlineStr">
        <is>
          <t>HÄRJEDALEN</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45167-2019</t>
        </is>
      </c>
      <c r="B295" s="1" t="n">
        <v>43713</v>
      </c>
      <c r="C295" s="1" t="n">
        <v>45787</v>
      </c>
      <c r="D295" t="inlineStr">
        <is>
          <t>JÄMTLANDS LÄN</t>
        </is>
      </c>
      <c r="E295" t="inlineStr">
        <is>
          <t>HÄRJEDALEN</t>
        </is>
      </c>
      <c r="F295" t="inlineStr">
        <is>
          <t>Holmen skog AB</t>
        </is>
      </c>
      <c r="G295" t="n">
        <v>15.9</v>
      </c>
      <c r="H295" t="n">
        <v>0</v>
      </c>
      <c r="I295" t="n">
        <v>0</v>
      </c>
      <c r="J295" t="n">
        <v>0</v>
      </c>
      <c r="K295" t="n">
        <v>0</v>
      </c>
      <c r="L295" t="n">
        <v>0</v>
      </c>
      <c r="M295" t="n">
        <v>0</v>
      </c>
      <c r="N295" t="n">
        <v>0</v>
      </c>
      <c r="O295" t="n">
        <v>0</v>
      </c>
      <c r="P295" t="n">
        <v>0</v>
      </c>
      <c r="Q295" t="n">
        <v>0</v>
      </c>
      <c r="R295" s="2" t="inlineStr"/>
    </row>
    <row r="296" ht="15" customHeight="1">
      <c r="A296" t="inlineStr">
        <is>
          <t>A 44939-2019</t>
        </is>
      </c>
      <c r="B296" s="1" t="n">
        <v>43713</v>
      </c>
      <c r="C296" s="1" t="n">
        <v>45787</v>
      </c>
      <c r="D296" t="inlineStr">
        <is>
          <t>JÄMTLANDS LÄN</t>
        </is>
      </c>
      <c r="E296" t="inlineStr">
        <is>
          <t>HÄRJEDALEN</t>
        </is>
      </c>
      <c r="G296" t="n">
        <v>1.2</v>
      </c>
      <c r="H296" t="n">
        <v>0</v>
      </c>
      <c r="I296" t="n">
        <v>0</v>
      </c>
      <c r="J296" t="n">
        <v>0</v>
      </c>
      <c r="K296" t="n">
        <v>0</v>
      </c>
      <c r="L296" t="n">
        <v>0</v>
      </c>
      <c r="M296" t="n">
        <v>0</v>
      </c>
      <c r="N296" t="n">
        <v>0</v>
      </c>
      <c r="O296" t="n">
        <v>0</v>
      </c>
      <c r="P296" t="n">
        <v>0</v>
      </c>
      <c r="Q296" t="n">
        <v>0</v>
      </c>
      <c r="R296" s="2" t="inlineStr"/>
    </row>
    <row r="297" ht="15" customHeight="1">
      <c r="A297" t="inlineStr">
        <is>
          <t>A 45858-2019</t>
        </is>
      </c>
      <c r="B297" s="1" t="n">
        <v>43717</v>
      </c>
      <c r="C297" s="1" t="n">
        <v>45787</v>
      </c>
      <c r="D297" t="inlineStr">
        <is>
          <t>JÄMTLANDS LÄN</t>
        </is>
      </c>
      <c r="E297" t="inlineStr">
        <is>
          <t>HÄRJEDALEN</t>
        </is>
      </c>
      <c r="F297" t="inlineStr">
        <is>
          <t>Holmen skog AB</t>
        </is>
      </c>
      <c r="G297" t="n">
        <v>3.9</v>
      </c>
      <c r="H297" t="n">
        <v>0</v>
      </c>
      <c r="I297" t="n">
        <v>0</v>
      </c>
      <c r="J297" t="n">
        <v>0</v>
      </c>
      <c r="K297" t="n">
        <v>0</v>
      </c>
      <c r="L297" t="n">
        <v>0</v>
      </c>
      <c r="M297" t="n">
        <v>0</v>
      </c>
      <c r="N297" t="n">
        <v>0</v>
      </c>
      <c r="O297" t="n">
        <v>0</v>
      </c>
      <c r="P297" t="n">
        <v>0</v>
      </c>
      <c r="Q297" t="n">
        <v>0</v>
      </c>
      <c r="R297" s="2" t="inlineStr"/>
    </row>
    <row r="298" ht="15" customHeight="1">
      <c r="A298" t="inlineStr">
        <is>
          <t>A 46156-2019</t>
        </is>
      </c>
      <c r="B298" s="1" t="n">
        <v>43718</v>
      </c>
      <c r="C298" s="1" t="n">
        <v>45787</v>
      </c>
      <c r="D298" t="inlineStr">
        <is>
          <t>JÄMTLANDS LÄN</t>
        </is>
      </c>
      <c r="E298" t="inlineStr">
        <is>
          <t>HÄRJEDALEN</t>
        </is>
      </c>
      <c r="G298" t="n">
        <v>3.9</v>
      </c>
      <c r="H298" t="n">
        <v>0</v>
      </c>
      <c r="I298" t="n">
        <v>0</v>
      </c>
      <c r="J298" t="n">
        <v>0</v>
      </c>
      <c r="K298" t="n">
        <v>0</v>
      </c>
      <c r="L298" t="n">
        <v>0</v>
      </c>
      <c r="M298" t="n">
        <v>0</v>
      </c>
      <c r="N298" t="n">
        <v>0</v>
      </c>
      <c r="O298" t="n">
        <v>0</v>
      </c>
      <c r="P298" t="n">
        <v>0</v>
      </c>
      <c r="Q298" t="n">
        <v>0</v>
      </c>
      <c r="R298" s="2" t="inlineStr"/>
    </row>
    <row r="299" ht="15" customHeight="1">
      <c r="A299" t="inlineStr">
        <is>
          <t>A 46133-2019</t>
        </is>
      </c>
      <c r="B299" s="1" t="n">
        <v>43718</v>
      </c>
      <c r="C299" s="1" t="n">
        <v>45787</v>
      </c>
      <c r="D299" t="inlineStr">
        <is>
          <t>JÄMTLANDS LÄN</t>
        </is>
      </c>
      <c r="E299" t="inlineStr">
        <is>
          <t>HÄRJEDALEN</t>
        </is>
      </c>
      <c r="G299" t="n">
        <v>17.6</v>
      </c>
      <c r="H299" t="n">
        <v>0</v>
      </c>
      <c r="I299" t="n">
        <v>0</v>
      </c>
      <c r="J299" t="n">
        <v>0</v>
      </c>
      <c r="K299" t="n">
        <v>0</v>
      </c>
      <c r="L299" t="n">
        <v>0</v>
      </c>
      <c r="M299" t="n">
        <v>0</v>
      </c>
      <c r="N299" t="n">
        <v>0</v>
      </c>
      <c r="O299" t="n">
        <v>0</v>
      </c>
      <c r="P299" t="n">
        <v>0</v>
      </c>
      <c r="Q299" t="n">
        <v>0</v>
      </c>
      <c r="R299" s="2" t="inlineStr"/>
    </row>
    <row r="300" ht="15" customHeight="1">
      <c r="A300" t="inlineStr">
        <is>
          <t>A 46163-2019</t>
        </is>
      </c>
      <c r="B300" s="1" t="n">
        <v>43718</v>
      </c>
      <c r="C300" s="1" t="n">
        <v>45787</v>
      </c>
      <c r="D300" t="inlineStr">
        <is>
          <t>JÄMTLANDS LÄN</t>
        </is>
      </c>
      <c r="E300" t="inlineStr">
        <is>
          <t>HÄRJEDALEN</t>
        </is>
      </c>
      <c r="G300" t="n">
        <v>28.9</v>
      </c>
      <c r="H300" t="n">
        <v>0</v>
      </c>
      <c r="I300" t="n">
        <v>0</v>
      </c>
      <c r="J300" t="n">
        <v>0</v>
      </c>
      <c r="K300" t="n">
        <v>0</v>
      </c>
      <c r="L300" t="n">
        <v>0</v>
      </c>
      <c r="M300" t="n">
        <v>0</v>
      </c>
      <c r="N300" t="n">
        <v>0</v>
      </c>
      <c r="O300" t="n">
        <v>0</v>
      </c>
      <c r="P300" t="n">
        <v>0</v>
      </c>
      <c r="Q300" t="n">
        <v>0</v>
      </c>
      <c r="R300" s="2" t="inlineStr"/>
    </row>
    <row r="301" ht="15" customHeight="1">
      <c r="A301" t="inlineStr">
        <is>
          <t>A 47004-2019</t>
        </is>
      </c>
      <c r="B301" s="1" t="n">
        <v>43720</v>
      </c>
      <c r="C301" s="1" t="n">
        <v>45787</v>
      </c>
      <c r="D301" t="inlineStr">
        <is>
          <t>JÄMTLANDS LÄN</t>
        </is>
      </c>
      <c r="E301" t="inlineStr">
        <is>
          <t>HÄRJEDALEN</t>
        </is>
      </c>
      <c r="F301" t="inlineStr">
        <is>
          <t>Bergvik skog väst AB</t>
        </is>
      </c>
      <c r="G301" t="n">
        <v>13.7</v>
      </c>
      <c r="H301" t="n">
        <v>0</v>
      </c>
      <c r="I301" t="n">
        <v>0</v>
      </c>
      <c r="J301" t="n">
        <v>0</v>
      </c>
      <c r="K301" t="n">
        <v>0</v>
      </c>
      <c r="L301" t="n">
        <v>0</v>
      </c>
      <c r="M301" t="n">
        <v>0</v>
      </c>
      <c r="N301" t="n">
        <v>0</v>
      </c>
      <c r="O301" t="n">
        <v>0</v>
      </c>
      <c r="P301" t="n">
        <v>0</v>
      </c>
      <c r="Q301" t="n">
        <v>0</v>
      </c>
      <c r="R301" s="2" t="inlineStr"/>
    </row>
    <row r="302" ht="15" customHeight="1">
      <c r="A302" t="inlineStr">
        <is>
          <t>A 49328-2019</t>
        </is>
      </c>
      <c r="B302" s="1" t="n">
        <v>43731</v>
      </c>
      <c r="C302" s="1" t="n">
        <v>45787</v>
      </c>
      <c r="D302" t="inlineStr">
        <is>
          <t>JÄMTLANDS LÄN</t>
        </is>
      </c>
      <c r="E302" t="inlineStr">
        <is>
          <t>HÄRJEDALEN</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49336-2019</t>
        </is>
      </c>
      <c r="B303" s="1" t="n">
        <v>43731</v>
      </c>
      <c r="C303" s="1" t="n">
        <v>45787</v>
      </c>
      <c r="D303" t="inlineStr">
        <is>
          <t>JÄMTLANDS LÄN</t>
        </is>
      </c>
      <c r="E303" t="inlineStr">
        <is>
          <t>HÄRJEDALEN</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50310-2019</t>
        </is>
      </c>
      <c r="B304" s="1" t="n">
        <v>43735</v>
      </c>
      <c r="C304" s="1" t="n">
        <v>45787</v>
      </c>
      <c r="D304" t="inlineStr">
        <is>
          <t>JÄMTLANDS LÄN</t>
        </is>
      </c>
      <c r="E304" t="inlineStr">
        <is>
          <t>HÄRJEDALEN</t>
        </is>
      </c>
      <c r="G304" t="n">
        <v>9.1</v>
      </c>
      <c r="H304" t="n">
        <v>0</v>
      </c>
      <c r="I304" t="n">
        <v>0</v>
      </c>
      <c r="J304" t="n">
        <v>0</v>
      </c>
      <c r="K304" t="n">
        <v>0</v>
      </c>
      <c r="L304" t="n">
        <v>0</v>
      </c>
      <c r="M304" t="n">
        <v>0</v>
      </c>
      <c r="N304" t="n">
        <v>0</v>
      </c>
      <c r="O304" t="n">
        <v>0</v>
      </c>
      <c r="P304" t="n">
        <v>0</v>
      </c>
      <c r="Q304" t="n">
        <v>0</v>
      </c>
      <c r="R304" s="2" t="inlineStr"/>
    </row>
    <row r="305" ht="15" customHeight="1">
      <c r="A305" t="inlineStr">
        <is>
          <t>A 50411-2019</t>
        </is>
      </c>
      <c r="B305" s="1" t="n">
        <v>43735</v>
      </c>
      <c r="C305" s="1" t="n">
        <v>45787</v>
      </c>
      <c r="D305" t="inlineStr">
        <is>
          <t>JÄMTLANDS LÄN</t>
        </is>
      </c>
      <c r="E305" t="inlineStr">
        <is>
          <t>HÄRJEDALEN</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50519-2019</t>
        </is>
      </c>
      <c r="B306" s="1" t="n">
        <v>43735</v>
      </c>
      <c r="C306" s="1" t="n">
        <v>45787</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50624-2019</t>
        </is>
      </c>
      <c r="B307" s="1" t="n">
        <v>43736</v>
      </c>
      <c r="C307" s="1" t="n">
        <v>45787</v>
      </c>
      <c r="D307" t="inlineStr">
        <is>
          <t>JÄMTLANDS LÄN</t>
        </is>
      </c>
      <c r="E307" t="inlineStr">
        <is>
          <t>HÄRJEDALEN</t>
        </is>
      </c>
      <c r="G307" t="n">
        <v>2.4</v>
      </c>
      <c r="H307" t="n">
        <v>0</v>
      </c>
      <c r="I307" t="n">
        <v>0</v>
      </c>
      <c r="J307" t="n">
        <v>0</v>
      </c>
      <c r="K307" t="n">
        <v>0</v>
      </c>
      <c r="L307" t="n">
        <v>0</v>
      </c>
      <c r="M307" t="n">
        <v>0</v>
      </c>
      <c r="N307" t="n">
        <v>0</v>
      </c>
      <c r="O307" t="n">
        <v>0</v>
      </c>
      <c r="P307" t="n">
        <v>0</v>
      </c>
      <c r="Q307" t="n">
        <v>0</v>
      </c>
      <c r="R307" s="2" t="inlineStr"/>
    </row>
    <row r="308" ht="15" customHeight="1">
      <c r="A308" t="inlineStr">
        <is>
          <t>A 51108-2019</t>
        </is>
      </c>
      <c r="B308" s="1" t="n">
        <v>43739</v>
      </c>
      <c r="C308" s="1" t="n">
        <v>45787</v>
      </c>
      <c r="D308" t="inlineStr">
        <is>
          <t>JÄMTLANDS LÄN</t>
        </is>
      </c>
      <c r="E308" t="inlineStr">
        <is>
          <t>HÄRJEDALEN</t>
        </is>
      </c>
      <c r="G308" t="n">
        <v>4.2</v>
      </c>
      <c r="H308" t="n">
        <v>0</v>
      </c>
      <c r="I308" t="n">
        <v>0</v>
      </c>
      <c r="J308" t="n">
        <v>0</v>
      </c>
      <c r="K308" t="n">
        <v>0</v>
      </c>
      <c r="L308" t="n">
        <v>0</v>
      </c>
      <c r="M308" t="n">
        <v>0</v>
      </c>
      <c r="N308" t="n">
        <v>0</v>
      </c>
      <c r="O308" t="n">
        <v>0</v>
      </c>
      <c r="P308" t="n">
        <v>0</v>
      </c>
      <c r="Q308" t="n">
        <v>0</v>
      </c>
      <c r="R308" s="2" t="inlineStr"/>
    </row>
    <row r="309" ht="15" customHeight="1">
      <c r="A309" t="inlineStr">
        <is>
          <t>A 51118-2019</t>
        </is>
      </c>
      <c r="B309" s="1" t="n">
        <v>43739</v>
      </c>
      <c r="C309" s="1" t="n">
        <v>45787</v>
      </c>
      <c r="D309" t="inlineStr">
        <is>
          <t>JÄMTLANDS LÄN</t>
        </is>
      </c>
      <c r="E309" t="inlineStr">
        <is>
          <t>HÄRJEDALEN</t>
        </is>
      </c>
      <c r="G309" t="n">
        <v>12.5</v>
      </c>
      <c r="H309" t="n">
        <v>0</v>
      </c>
      <c r="I309" t="n">
        <v>0</v>
      </c>
      <c r="J309" t="n">
        <v>0</v>
      </c>
      <c r="K309" t="n">
        <v>0</v>
      </c>
      <c r="L309" t="n">
        <v>0</v>
      </c>
      <c r="M309" t="n">
        <v>0</v>
      </c>
      <c r="N309" t="n">
        <v>0</v>
      </c>
      <c r="O309" t="n">
        <v>0</v>
      </c>
      <c r="P309" t="n">
        <v>0</v>
      </c>
      <c r="Q309" t="n">
        <v>0</v>
      </c>
      <c r="R309" s="2" t="inlineStr"/>
    </row>
    <row r="310" ht="15" customHeight="1">
      <c r="A310" t="inlineStr">
        <is>
          <t>A 51123-2019</t>
        </is>
      </c>
      <c r="B310" s="1" t="n">
        <v>43739</v>
      </c>
      <c r="C310" s="1" t="n">
        <v>45787</v>
      </c>
      <c r="D310" t="inlineStr">
        <is>
          <t>JÄMTLANDS LÄN</t>
        </is>
      </c>
      <c r="E310" t="inlineStr">
        <is>
          <t>HÄRJEDALEN</t>
        </is>
      </c>
      <c r="G310" t="n">
        <v>1.6</v>
      </c>
      <c r="H310" t="n">
        <v>0</v>
      </c>
      <c r="I310" t="n">
        <v>0</v>
      </c>
      <c r="J310" t="n">
        <v>0</v>
      </c>
      <c r="K310" t="n">
        <v>0</v>
      </c>
      <c r="L310" t="n">
        <v>0</v>
      </c>
      <c r="M310" t="n">
        <v>0</v>
      </c>
      <c r="N310" t="n">
        <v>0</v>
      </c>
      <c r="O310" t="n">
        <v>0</v>
      </c>
      <c r="P310" t="n">
        <v>0</v>
      </c>
      <c r="Q310" t="n">
        <v>0</v>
      </c>
      <c r="R310" s="2" t="inlineStr"/>
    </row>
    <row r="311" ht="15" customHeight="1">
      <c r="A311" t="inlineStr">
        <is>
          <t>A 51105-2019</t>
        </is>
      </c>
      <c r="B311" s="1" t="n">
        <v>43739</v>
      </c>
      <c r="C311" s="1" t="n">
        <v>45787</v>
      </c>
      <c r="D311" t="inlineStr">
        <is>
          <t>JÄMTLANDS LÄN</t>
        </is>
      </c>
      <c r="E311" t="inlineStr">
        <is>
          <t>HÄRJEDALEN</t>
        </is>
      </c>
      <c r="G311" t="n">
        <v>2</v>
      </c>
      <c r="H311" t="n">
        <v>0</v>
      </c>
      <c r="I311" t="n">
        <v>0</v>
      </c>
      <c r="J311" t="n">
        <v>0</v>
      </c>
      <c r="K311" t="n">
        <v>0</v>
      </c>
      <c r="L311" t="n">
        <v>0</v>
      </c>
      <c r="M311" t="n">
        <v>0</v>
      </c>
      <c r="N311" t="n">
        <v>0</v>
      </c>
      <c r="O311" t="n">
        <v>0</v>
      </c>
      <c r="P311" t="n">
        <v>0</v>
      </c>
      <c r="Q311" t="n">
        <v>0</v>
      </c>
      <c r="R311" s="2" t="inlineStr"/>
    </row>
    <row r="312" ht="15" customHeight="1">
      <c r="A312" t="inlineStr">
        <is>
          <t>A 51111-2019</t>
        </is>
      </c>
      <c r="B312" s="1" t="n">
        <v>43739</v>
      </c>
      <c r="C312" s="1" t="n">
        <v>45787</v>
      </c>
      <c r="D312" t="inlineStr">
        <is>
          <t>JÄMTLANDS LÄN</t>
        </is>
      </c>
      <c r="E312" t="inlineStr">
        <is>
          <t>HÄRJEDALEN</t>
        </is>
      </c>
      <c r="G312" t="n">
        <v>3.7</v>
      </c>
      <c r="H312" t="n">
        <v>0</v>
      </c>
      <c r="I312" t="n">
        <v>0</v>
      </c>
      <c r="J312" t="n">
        <v>0</v>
      </c>
      <c r="K312" t="n">
        <v>0</v>
      </c>
      <c r="L312" t="n">
        <v>0</v>
      </c>
      <c r="M312" t="n">
        <v>0</v>
      </c>
      <c r="N312" t="n">
        <v>0</v>
      </c>
      <c r="O312" t="n">
        <v>0</v>
      </c>
      <c r="P312" t="n">
        <v>0</v>
      </c>
      <c r="Q312" t="n">
        <v>0</v>
      </c>
      <c r="R312" s="2" t="inlineStr"/>
    </row>
    <row r="313" ht="15" customHeight="1">
      <c r="A313" t="inlineStr">
        <is>
          <t>A 52304-2019</t>
        </is>
      </c>
      <c r="B313" s="1" t="n">
        <v>43745</v>
      </c>
      <c r="C313" s="1" t="n">
        <v>45787</v>
      </c>
      <c r="D313" t="inlineStr">
        <is>
          <t>JÄMTLANDS LÄN</t>
        </is>
      </c>
      <c r="E313" t="inlineStr">
        <is>
          <t>HÄRJEDALEN</t>
        </is>
      </c>
      <c r="G313" t="n">
        <v>4.8</v>
      </c>
      <c r="H313" t="n">
        <v>0</v>
      </c>
      <c r="I313" t="n">
        <v>0</v>
      </c>
      <c r="J313" t="n">
        <v>0</v>
      </c>
      <c r="K313" t="n">
        <v>0</v>
      </c>
      <c r="L313" t="n">
        <v>0</v>
      </c>
      <c r="M313" t="n">
        <v>0</v>
      </c>
      <c r="N313" t="n">
        <v>0</v>
      </c>
      <c r="O313" t="n">
        <v>0</v>
      </c>
      <c r="P313" t="n">
        <v>0</v>
      </c>
      <c r="Q313" t="n">
        <v>0</v>
      </c>
      <c r="R313" s="2" t="inlineStr"/>
    </row>
    <row r="314" ht="15" customHeight="1">
      <c r="A314" t="inlineStr">
        <is>
          <t>A 52709-2019</t>
        </is>
      </c>
      <c r="B314" s="1" t="n">
        <v>43746</v>
      </c>
      <c r="C314" s="1" t="n">
        <v>45787</v>
      </c>
      <c r="D314" t="inlineStr">
        <is>
          <t>JÄMTLANDS LÄN</t>
        </is>
      </c>
      <c r="E314" t="inlineStr">
        <is>
          <t>HÄRJEDALEN</t>
        </is>
      </c>
      <c r="G314" t="n">
        <v>10.6</v>
      </c>
      <c r="H314" t="n">
        <v>0</v>
      </c>
      <c r="I314" t="n">
        <v>0</v>
      </c>
      <c r="J314" t="n">
        <v>0</v>
      </c>
      <c r="K314" t="n">
        <v>0</v>
      </c>
      <c r="L314" t="n">
        <v>0</v>
      </c>
      <c r="M314" t="n">
        <v>0</v>
      </c>
      <c r="N314" t="n">
        <v>0</v>
      </c>
      <c r="O314" t="n">
        <v>0</v>
      </c>
      <c r="P314" t="n">
        <v>0</v>
      </c>
      <c r="Q314" t="n">
        <v>0</v>
      </c>
      <c r="R314" s="2" t="inlineStr"/>
    </row>
    <row r="315" ht="15" customHeight="1">
      <c r="A315" t="inlineStr">
        <is>
          <t>A 52992-2019</t>
        </is>
      </c>
      <c r="B315" s="1" t="n">
        <v>43747</v>
      </c>
      <c r="C315" s="1" t="n">
        <v>45787</v>
      </c>
      <c r="D315" t="inlineStr">
        <is>
          <t>JÄMTLANDS LÄN</t>
        </is>
      </c>
      <c r="E315" t="inlineStr">
        <is>
          <t>HÄRJEDALEN</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52991-2019</t>
        </is>
      </c>
      <c r="B316" s="1" t="n">
        <v>43747</v>
      </c>
      <c r="C316" s="1" t="n">
        <v>45787</v>
      </c>
      <c r="D316" t="inlineStr">
        <is>
          <t>JÄMTLANDS LÄN</t>
        </is>
      </c>
      <c r="E316" t="inlineStr">
        <is>
          <t>HÄRJEDALEN</t>
        </is>
      </c>
      <c r="F316" t="inlineStr">
        <is>
          <t>Sveaskog</t>
        </is>
      </c>
      <c r="G316" t="n">
        <v>13.6</v>
      </c>
      <c r="H316" t="n">
        <v>0</v>
      </c>
      <c r="I316" t="n">
        <v>0</v>
      </c>
      <c r="J316" t="n">
        <v>0</v>
      </c>
      <c r="K316" t="n">
        <v>0</v>
      </c>
      <c r="L316" t="n">
        <v>0</v>
      </c>
      <c r="M316" t="n">
        <v>0</v>
      </c>
      <c r="N316" t="n">
        <v>0</v>
      </c>
      <c r="O316" t="n">
        <v>0</v>
      </c>
      <c r="P316" t="n">
        <v>0</v>
      </c>
      <c r="Q316" t="n">
        <v>0</v>
      </c>
      <c r="R316" s="2" t="inlineStr"/>
    </row>
    <row r="317" ht="15" customHeight="1">
      <c r="A317" t="inlineStr">
        <is>
          <t>A 53418-2019</t>
        </is>
      </c>
      <c r="B317" s="1" t="n">
        <v>43748</v>
      </c>
      <c r="C317" s="1" t="n">
        <v>45787</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53952-2019</t>
        </is>
      </c>
      <c r="B318" s="1" t="n">
        <v>43752</v>
      </c>
      <c r="C318" s="1" t="n">
        <v>45787</v>
      </c>
      <c r="D318" t="inlineStr">
        <is>
          <t>JÄMTLANDS LÄN</t>
        </is>
      </c>
      <c r="E318" t="inlineStr">
        <is>
          <t>HÄRJEDALEN</t>
        </is>
      </c>
      <c r="G318" t="n">
        <v>8.6</v>
      </c>
      <c r="H318" t="n">
        <v>0</v>
      </c>
      <c r="I318" t="n">
        <v>0</v>
      </c>
      <c r="J318" t="n">
        <v>0</v>
      </c>
      <c r="K318" t="n">
        <v>0</v>
      </c>
      <c r="L318" t="n">
        <v>0</v>
      </c>
      <c r="M318" t="n">
        <v>0</v>
      </c>
      <c r="N318" t="n">
        <v>0</v>
      </c>
      <c r="O318" t="n">
        <v>0</v>
      </c>
      <c r="P318" t="n">
        <v>0</v>
      </c>
      <c r="Q318" t="n">
        <v>0</v>
      </c>
      <c r="R318" s="2" t="inlineStr"/>
    </row>
    <row r="319" ht="15" customHeight="1">
      <c r="A319" t="inlineStr">
        <is>
          <t>A 53962-2019</t>
        </is>
      </c>
      <c r="B319" s="1" t="n">
        <v>43752</v>
      </c>
      <c r="C319" s="1" t="n">
        <v>45787</v>
      </c>
      <c r="D319" t="inlineStr">
        <is>
          <t>JÄMTLANDS LÄN</t>
        </is>
      </c>
      <c r="E319" t="inlineStr">
        <is>
          <t>HÄRJEDALEN</t>
        </is>
      </c>
      <c r="G319" t="n">
        <v>19.4</v>
      </c>
      <c r="H319" t="n">
        <v>0</v>
      </c>
      <c r="I319" t="n">
        <v>0</v>
      </c>
      <c r="J319" t="n">
        <v>0</v>
      </c>
      <c r="K319" t="n">
        <v>0</v>
      </c>
      <c r="L319" t="n">
        <v>0</v>
      </c>
      <c r="M319" t="n">
        <v>0</v>
      </c>
      <c r="N319" t="n">
        <v>0</v>
      </c>
      <c r="O319" t="n">
        <v>0</v>
      </c>
      <c r="P319" t="n">
        <v>0</v>
      </c>
      <c r="Q319" t="n">
        <v>0</v>
      </c>
      <c r="R319" s="2" t="inlineStr"/>
    </row>
    <row r="320" ht="15" customHeight="1">
      <c r="A320" t="inlineStr">
        <is>
          <t>A 54905-2019</t>
        </is>
      </c>
      <c r="B320" s="1" t="n">
        <v>43755</v>
      </c>
      <c r="C320" s="1" t="n">
        <v>45787</v>
      </c>
      <c r="D320" t="inlineStr">
        <is>
          <t>JÄMTLANDS LÄN</t>
        </is>
      </c>
      <c r="E320" t="inlineStr">
        <is>
          <t>HÄRJEDALEN</t>
        </is>
      </c>
      <c r="G320" t="n">
        <v>2</v>
      </c>
      <c r="H320" t="n">
        <v>0</v>
      </c>
      <c r="I320" t="n">
        <v>0</v>
      </c>
      <c r="J320" t="n">
        <v>0</v>
      </c>
      <c r="K320" t="n">
        <v>0</v>
      </c>
      <c r="L320" t="n">
        <v>0</v>
      </c>
      <c r="M320" t="n">
        <v>0</v>
      </c>
      <c r="N320" t="n">
        <v>0</v>
      </c>
      <c r="O320" t="n">
        <v>0</v>
      </c>
      <c r="P320" t="n">
        <v>0</v>
      </c>
      <c r="Q320" t="n">
        <v>0</v>
      </c>
      <c r="R320" s="2" t="inlineStr"/>
    </row>
    <row r="321" ht="15" customHeight="1">
      <c r="A321" t="inlineStr">
        <is>
          <t>A 55197-2019</t>
        </is>
      </c>
      <c r="B321" s="1" t="n">
        <v>43756</v>
      </c>
      <c r="C321" s="1" t="n">
        <v>45787</v>
      </c>
      <c r="D321" t="inlineStr">
        <is>
          <t>JÄMTLANDS LÄN</t>
        </is>
      </c>
      <c r="E321" t="inlineStr">
        <is>
          <t>HÄRJEDALEN</t>
        </is>
      </c>
      <c r="F321" t="inlineStr">
        <is>
          <t>Sveaskog</t>
        </is>
      </c>
      <c r="G321" t="n">
        <v>9</v>
      </c>
      <c r="H321" t="n">
        <v>0</v>
      </c>
      <c r="I321" t="n">
        <v>0</v>
      </c>
      <c r="J321" t="n">
        <v>0</v>
      </c>
      <c r="K321" t="n">
        <v>0</v>
      </c>
      <c r="L321" t="n">
        <v>0</v>
      </c>
      <c r="M321" t="n">
        <v>0</v>
      </c>
      <c r="N321" t="n">
        <v>0</v>
      </c>
      <c r="O321" t="n">
        <v>0</v>
      </c>
      <c r="P321" t="n">
        <v>0</v>
      </c>
      <c r="Q321" t="n">
        <v>0</v>
      </c>
      <c r="R321" s="2" t="inlineStr"/>
    </row>
    <row r="322" ht="15" customHeight="1">
      <c r="A322" t="inlineStr">
        <is>
          <t>A 55241-2019</t>
        </is>
      </c>
      <c r="B322" s="1" t="n">
        <v>43756</v>
      </c>
      <c r="C322" s="1" t="n">
        <v>45787</v>
      </c>
      <c r="D322" t="inlineStr">
        <is>
          <t>JÄMTLANDS LÄN</t>
        </is>
      </c>
      <c r="E322" t="inlineStr">
        <is>
          <t>HÄRJEDALEN</t>
        </is>
      </c>
      <c r="G322" t="n">
        <v>0.9</v>
      </c>
      <c r="H322" t="n">
        <v>0</v>
      </c>
      <c r="I322" t="n">
        <v>0</v>
      </c>
      <c r="J322" t="n">
        <v>0</v>
      </c>
      <c r="K322" t="n">
        <v>0</v>
      </c>
      <c r="L322" t="n">
        <v>0</v>
      </c>
      <c r="M322" t="n">
        <v>0</v>
      </c>
      <c r="N322" t="n">
        <v>0</v>
      </c>
      <c r="O322" t="n">
        <v>0</v>
      </c>
      <c r="P322" t="n">
        <v>0</v>
      </c>
      <c r="Q322" t="n">
        <v>0</v>
      </c>
      <c r="R322" s="2" t="inlineStr"/>
    </row>
    <row r="323" ht="15" customHeight="1">
      <c r="A323" t="inlineStr">
        <is>
          <t>A 55193-2019</t>
        </is>
      </c>
      <c r="B323" s="1" t="n">
        <v>43756</v>
      </c>
      <c r="C323" s="1" t="n">
        <v>45787</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55238-2019</t>
        </is>
      </c>
      <c r="B324" s="1" t="n">
        <v>43756</v>
      </c>
      <c r="C324" s="1" t="n">
        <v>45787</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55801-2019</t>
        </is>
      </c>
      <c r="B325" s="1" t="n">
        <v>43759</v>
      </c>
      <c r="C325" s="1" t="n">
        <v>45787</v>
      </c>
      <c r="D325" t="inlineStr">
        <is>
          <t>JÄMTLANDS LÄN</t>
        </is>
      </c>
      <c r="E325" t="inlineStr">
        <is>
          <t>HÄRJEDALEN</t>
        </is>
      </c>
      <c r="F325" t="inlineStr">
        <is>
          <t>Bergvik skog väst AB</t>
        </is>
      </c>
      <c r="G325" t="n">
        <v>2.6</v>
      </c>
      <c r="H325" t="n">
        <v>0</v>
      </c>
      <c r="I325" t="n">
        <v>0</v>
      </c>
      <c r="J325" t="n">
        <v>0</v>
      </c>
      <c r="K325" t="n">
        <v>0</v>
      </c>
      <c r="L325" t="n">
        <v>0</v>
      </c>
      <c r="M325" t="n">
        <v>0</v>
      </c>
      <c r="N325" t="n">
        <v>0</v>
      </c>
      <c r="O325" t="n">
        <v>0</v>
      </c>
      <c r="P325" t="n">
        <v>0</v>
      </c>
      <c r="Q325" t="n">
        <v>0</v>
      </c>
      <c r="R325" s="2" t="inlineStr"/>
    </row>
    <row r="326" ht="15" customHeight="1">
      <c r="A326" t="inlineStr">
        <is>
          <t>A 55554-2019</t>
        </is>
      </c>
      <c r="B326" s="1" t="n">
        <v>43759</v>
      </c>
      <c r="C326" s="1" t="n">
        <v>45787</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57281-2019</t>
        </is>
      </c>
      <c r="B327" s="1" t="n">
        <v>43759</v>
      </c>
      <c r="C327" s="1" t="n">
        <v>45787</v>
      </c>
      <c r="D327" t="inlineStr">
        <is>
          <t>JÄMTLANDS LÄN</t>
        </is>
      </c>
      <c r="E327" t="inlineStr">
        <is>
          <t>HÄRJEDALEN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55578-2019</t>
        </is>
      </c>
      <c r="B328" s="1" t="n">
        <v>43760</v>
      </c>
      <c r="C328" s="1" t="n">
        <v>45787</v>
      </c>
      <c r="D328" t="inlineStr">
        <is>
          <t>JÄMTLANDS LÄN</t>
        </is>
      </c>
      <c r="E328" t="inlineStr">
        <is>
          <t>HÄRJEDALEN</t>
        </is>
      </c>
      <c r="G328" t="n">
        <v>3.6</v>
      </c>
      <c r="H328" t="n">
        <v>0</v>
      </c>
      <c r="I328" t="n">
        <v>0</v>
      </c>
      <c r="J328" t="n">
        <v>0</v>
      </c>
      <c r="K328" t="n">
        <v>0</v>
      </c>
      <c r="L328" t="n">
        <v>0</v>
      </c>
      <c r="M328" t="n">
        <v>0</v>
      </c>
      <c r="N328" t="n">
        <v>0</v>
      </c>
      <c r="O328" t="n">
        <v>0</v>
      </c>
      <c r="P328" t="n">
        <v>0</v>
      </c>
      <c r="Q328" t="n">
        <v>0</v>
      </c>
      <c r="R328" s="2" t="inlineStr"/>
    </row>
    <row r="329" ht="15" customHeight="1">
      <c r="A329" t="inlineStr">
        <is>
          <t>A 55607-2019</t>
        </is>
      </c>
      <c r="B329" s="1" t="n">
        <v>43760</v>
      </c>
      <c r="C329" s="1" t="n">
        <v>45787</v>
      </c>
      <c r="D329" t="inlineStr">
        <is>
          <t>JÄMTLANDS LÄN</t>
        </is>
      </c>
      <c r="E329" t="inlineStr">
        <is>
          <t>HÄRJEDALEN</t>
        </is>
      </c>
      <c r="G329" t="n">
        <v>3.7</v>
      </c>
      <c r="H329" t="n">
        <v>0</v>
      </c>
      <c r="I329" t="n">
        <v>0</v>
      </c>
      <c r="J329" t="n">
        <v>0</v>
      </c>
      <c r="K329" t="n">
        <v>0</v>
      </c>
      <c r="L329" t="n">
        <v>0</v>
      </c>
      <c r="M329" t="n">
        <v>0</v>
      </c>
      <c r="N329" t="n">
        <v>0</v>
      </c>
      <c r="O329" t="n">
        <v>0</v>
      </c>
      <c r="P329" t="n">
        <v>0</v>
      </c>
      <c r="Q329" t="n">
        <v>0</v>
      </c>
      <c r="R329" s="2" t="inlineStr"/>
    </row>
    <row r="330" ht="15" customHeight="1">
      <c r="A330" t="inlineStr">
        <is>
          <t>A 56217-2019</t>
        </is>
      </c>
      <c r="B330" s="1" t="n">
        <v>43762</v>
      </c>
      <c r="C330" s="1" t="n">
        <v>45787</v>
      </c>
      <c r="D330" t="inlineStr">
        <is>
          <t>JÄMTLANDS LÄN</t>
        </is>
      </c>
      <c r="E330" t="inlineStr">
        <is>
          <t>HÄRJEDALEN</t>
        </is>
      </c>
      <c r="G330" t="n">
        <v>43.2</v>
      </c>
      <c r="H330" t="n">
        <v>0</v>
      </c>
      <c r="I330" t="n">
        <v>0</v>
      </c>
      <c r="J330" t="n">
        <v>0</v>
      </c>
      <c r="K330" t="n">
        <v>0</v>
      </c>
      <c r="L330" t="n">
        <v>0</v>
      </c>
      <c r="M330" t="n">
        <v>0</v>
      </c>
      <c r="N330" t="n">
        <v>0</v>
      </c>
      <c r="O330" t="n">
        <v>0</v>
      </c>
      <c r="P330" t="n">
        <v>0</v>
      </c>
      <c r="Q330" t="n">
        <v>0</v>
      </c>
      <c r="R330" s="2" t="inlineStr"/>
    </row>
    <row r="331" ht="15" customHeight="1">
      <c r="A331" t="inlineStr">
        <is>
          <t>A 58175-2019</t>
        </is>
      </c>
      <c r="B331" s="1" t="n">
        <v>43769</v>
      </c>
      <c r="C331" s="1" t="n">
        <v>45787</v>
      </c>
      <c r="D331" t="inlineStr">
        <is>
          <t>JÄMTLANDS LÄN</t>
        </is>
      </c>
      <c r="E331" t="inlineStr">
        <is>
          <t>HÄRJEDALEN</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59347-2019</t>
        </is>
      </c>
      <c r="B332" s="1" t="n">
        <v>43770</v>
      </c>
      <c r="C332" s="1" t="n">
        <v>45787</v>
      </c>
      <c r="D332" t="inlineStr">
        <is>
          <t>JÄMTLANDS LÄN</t>
        </is>
      </c>
      <c r="E332" t="inlineStr">
        <is>
          <t>HÄRJEDALEN</t>
        </is>
      </c>
      <c r="G332" t="n">
        <v>2.3</v>
      </c>
      <c r="H332" t="n">
        <v>0</v>
      </c>
      <c r="I332" t="n">
        <v>0</v>
      </c>
      <c r="J332" t="n">
        <v>0</v>
      </c>
      <c r="K332" t="n">
        <v>0</v>
      </c>
      <c r="L332" t="n">
        <v>0</v>
      </c>
      <c r="M332" t="n">
        <v>0</v>
      </c>
      <c r="N332" t="n">
        <v>0</v>
      </c>
      <c r="O332" t="n">
        <v>0</v>
      </c>
      <c r="P332" t="n">
        <v>0</v>
      </c>
      <c r="Q332" t="n">
        <v>0</v>
      </c>
      <c r="R332" s="2" t="inlineStr"/>
    </row>
    <row r="333" ht="15" customHeight="1">
      <c r="A333" t="inlineStr">
        <is>
          <t>A 58742-2019</t>
        </is>
      </c>
      <c r="B333" s="1" t="n">
        <v>43773</v>
      </c>
      <c r="C333" s="1" t="n">
        <v>45787</v>
      </c>
      <c r="D333" t="inlineStr">
        <is>
          <t>JÄMTLANDS LÄN</t>
        </is>
      </c>
      <c r="E333" t="inlineStr">
        <is>
          <t>HÄRJEDALEN</t>
        </is>
      </c>
      <c r="G333" t="n">
        <v>4</v>
      </c>
      <c r="H333" t="n">
        <v>0</v>
      </c>
      <c r="I333" t="n">
        <v>0</v>
      </c>
      <c r="J333" t="n">
        <v>0</v>
      </c>
      <c r="K333" t="n">
        <v>0</v>
      </c>
      <c r="L333" t="n">
        <v>0</v>
      </c>
      <c r="M333" t="n">
        <v>0</v>
      </c>
      <c r="N333" t="n">
        <v>0</v>
      </c>
      <c r="O333" t="n">
        <v>0</v>
      </c>
      <c r="P333" t="n">
        <v>0</v>
      </c>
      <c r="Q333" t="n">
        <v>0</v>
      </c>
      <c r="R333" s="2" t="inlineStr"/>
    </row>
    <row r="334" ht="15" customHeight="1">
      <c r="A334" t="inlineStr">
        <is>
          <t>A 59984-2019</t>
        </is>
      </c>
      <c r="B334" s="1" t="n">
        <v>43775</v>
      </c>
      <c r="C334" s="1" t="n">
        <v>45787</v>
      </c>
      <c r="D334" t="inlineStr">
        <is>
          <t>JÄMTLANDS LÄN</t>
        </is>
      </c>
      <c r="E334" t="inlineStr">
        <is>
          <t>HÄRJEDALEN</t>
        </is>
      </c>
      <c r="G334" t="n">
        <v>20.4</v>
      </c>
      <c r="H334" t="n">
        <v>0</v>
      </c>
      <c r="I334" t="n">
        <v>0</v>
      </c>
      <c r="J334" t="n">
        <v>0</v>
      </c>
      <c r="K334" t="n">
        <v>0</v>
      </c>
      <c r="L334" t="n">
        <v>0</v>
      </c>
      <c r="M334" t="n">
        <v>0</v>
      </c>
      <c r="N334" t="n">
        <v>0</v>
      </c>
      <c r="O334" t="n">
        <v>0</v>
      </c>
      <c r="P334" t="n">
        <v>0</v>
      </c>
      <c r="Q334" t="n">
        <v>0</v>
      </c>
      <c r="R334" s="2" t="inlineStr"/>
    </row>
    <row r="335" ht="15" customHeight="1">
      <c r="A335" t="inlineStr">
        <is>
          <t>A 59733-2019</t>
        </is>
      </c>
      <c r="B335" s="1" t="n">
        <v>43776</v>
      </c>
      <c r="C335" s="1" t="n">
        <v>45787</v>
      </c>
      <c r="D335" t="inlineStr">
        <is>
          <t>JÄMTLANDS LÄN</t>
        </is>
      </c>
      <c r="E335" t="inlineStr">
        <is>
          <t>HÄRJEDALEN</t>
        </is>
      </c>
      <c r="G335" t="n">
        <v>1.9</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45787</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45787</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45787</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45787</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45787</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45787</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45787</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45787</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45787</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45787</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45787</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45787</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45787</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45787</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45787</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45787</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45787</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45787</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45787</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45787</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45787</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45787</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45787</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45787</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45787</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45787</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45787</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45787</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45787</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45787</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45787</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45787</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45787</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45787</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45787</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45787</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45787</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45787</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45787</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45787</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45787</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45787</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45787</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45787</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45787</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45787</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45787</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45787</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45787</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45787</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45787</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45787</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45787</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45787</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45787</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45787</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45787</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45787</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45787</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45787</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45787</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45787</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45787</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45787</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45787</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45787</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45787</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45787</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45787</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45787</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45787</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45787</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45787</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45787</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45787</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45787</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45787</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45787</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45787</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45787</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45787</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45787</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45787</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45787</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45787</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45787</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45787</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45787</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45787</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45787</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45787</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45787</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45787</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45787</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45787</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45787</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45787</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45787</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45787</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45787</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45787</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45787</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45787</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45787</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45787</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45787</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45787</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45787</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45787</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45787</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45787</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45787</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45787</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45787</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49430-2020</t>
        </is>
      </c>
      <c r="B450" s="1" t="n">
        <v>44102</v>
      </c>
      <c r="C450" s="1" t="n">
        <v>45787</v>
      </c>
      <c r="D450" t="inlineStr">
        <is>
          <t>JÄMTLANDS LÄN</t>
        </is>
      </c>
      <c r="E450" t="inlineStr">
        <is>
          <t>HÄRJEDALEN</t>
        </is>
      </c>
      <c r="G450" t="n">
        <v>8</v>
      </c>
      <c r="H450" t="n">
        <v>0</v>
      </c>
      <c r="I450" t="n">
        <v>0</v>
      </c>
      <c r="J450" t="n">
        <v>0</v>
      </c>
      <c r="K450" t="n">
        <v>0</v>
      </c>
      <c r="L450" t="n">
        <v>0</v>
      </c>
      <c r="M450" t="n">
        <v>0</v>
      </c>
      <c r="N450" t="n">
        <v>0</v>
      </c>
      <c r="O450" t="n">
        <v>0</v>
      </c>
      <c r="P450" t="n">
        <v>0</v>
      </c>
      <c r="Q450" t="n">
        <v>0</v>
      </c>
      <c r="R450" s="2" t="inlineStr"/>
    </row>
    <row r="451" ht="15" customHeight="1">
      <c r="A451" t="inlineStr">
        <is>
          <t>A 49447-2020</t>
        </is>
      </c>
      <c r="B451" s="1" t="n">
        <v>44102</v>
      </c>
      <c r="C451" s="1" t="n">
        <v>45787</v>
      </c>
      <c r="D451" t="inlineStr">
        <is>
          <t>JÄMTLANDS LÄN</t>
        </is>
      </c>
      <c r="E451" t="inlineStr">
        <is>
          <t>HÄRJEDALEN</t>
        </is>
      </c>
      <c r="F451" t="inlineStr">
        <is>
          <t>Bergvik skog väst AB</t>
        </is>
      </c>
      <c r="G451" t="n">
        <v>8.4</v>
      </c>
      <c r="H451" t="n">
        <v>0</v>
      </c>
      <c r="I451" t="n">
        <v>0</v>
      </c>
      <c r="J451" t="n">
        <v>0</v>
      </c>
      <c r="K451" t="n">
        <v>0</v>
      </c>
      <c r="L451" t="n">
        <v>0</v>
      </c>
      <c r="M451" t="n">
        <v>0</v>
      </c>
      <c r="N451" t="n">
        <v>0</v>
      </c>
      <c r="O451" t="n">
        <v>0</v>
      </c>
      <c r="P451" t="n">
        <v>0</v>
      </c>
      <c r="Q451" t="n">
        <v>0</v>
      </c>
      <c r="R451" s="2" t="inlineStr"/>
    </row>
    <row r="452" ht="15" customHeight="1">
      <c r="A452" t="inlineStr">
        <is>
          <t>A 49248-2020</t>
        </is>
      </c>
      <c r="B452" s="1" t="n">
        <v>44105</v>
      </c>
      <c r="C452" s="1" t="n">
        <v>45787</v>
      </c>
      <c r="D452" t="inlineStr">
        <is>
          <t>JÄMTLANDS LÄN</t>
        </is>
      </c>
      <c r="E452" t="inlineStr">
        <is>
          <t>HÄRJEDALEN</t>
        </is>
      </c>
      <c r="G452" t="n">
        <v>3.5</v>
      </c>
      <c r="H452" t="n">
        <v>0</v>
      </c>
      <c r="I452" t="n">
        <v>0</v>
      </c>
      <c r="J452" t="n">
        <v>0</v>
      </c>
      <c r="K452" t="n">
        <v>0</v>
      </c>
      <c r="L452" t="n">
        <v>0</v>
      </c>
      <c r="M452" t="n">
        <v>0</v>
      </c>
      <c r="N452" t="n">
        <v>0</v>
      </c>
      <c r="O452" t="n">
        <v>0</v>
      </c>
      <c r="P452" t="n">
        <v>0</v>
      </c>
      <c r="Q452" t="n">
        <v>0</v>
      </c>
      <c r="R452" s="2" t="inlineStr"/>
    </row>
    <row r="453" ht="15" customHeight="1">
      <c r="A453" t="inlineStr">
        <is>
          <t>A 49903-2020</t>
        </is>
      </c>
      <c r="B453" s="1" t="n">
        <v>44108</v>
      </c>
      <c r="C453" s="1" t="n">
        <v>45787</v>
      </c>
      <c r="D453" t="inlineStr">
        <is>
          <t>JÄMTLANDS LÄN</t>
        </is>
      </c>
      <c r="E453" t="inlineStr">
        <is>
          <t>HÄRJEDALEN</t>
        </is>
      </c>
      <c r="G453" t="n">
        <v>1.9</v>
      </c>
      <c r="H453" t="n">
        <v>0</v>
      </c>
      <c r="I453" t="n">
        <v>0</v>
      </c>
      <c r="J453" t="n">
        <v>0</v>
      </c>
      <c r="K453" t="n">
        <v>0</v>
      </c>
      <c r="L453" t="n">
        <v>0</v>
      </c>
      <c r="M453" t="n">
        <v>0</v>
      </c>
      <c r="N453" t="n">
        <v>0</v>
      </c>
      <c r="O453" t="n">
        <v>0</v>
      </c>
      <c r="P453" t="n">
        <v>0</v>
      </c>
      <c r="Q453" t="n">
        <v>0</v>
      </c>
      <c r="R453" s="2" t="inlineStr"/>
    </row>
    <row r="454" ht="15" customHeight="1">
      <c r="A454" t="inlineStr">
        <is>
          <t>A 50018-2020</t>
        </is>
      </c>
      <c r="B454" s="1" t="n">
        <v>44109</v>
      </c>
      <c r="C454" s="1" t="n">
        <v>45787</v>
      </c>
      <c r="D454" t="inlineStr">
        <is>
          <t>JÄMTLANDS LÄN</t>
        </is>
      </c>
      <c r="E454" t="inlineStr">
        <is>
          <t>HÄRJEDALEN</t>
        </is>
      </c>
      <c r="F454" t="inlineStr">
        <is>
          <t>Bergvik skog väst AB</t>
        </is>
      </c>
      <c r="G454" t="n">
        <v>7.1</v>
      </c>
      <c r="H454" t="n">
        <v>0</v>
      </c>
      <c r="I454" t="n">
        <v>0</v>
      </c>
      <c r="J454" t="n">
        <v>0</v>
      </c>
      <c r="K454" t="n">
        <v>0</v>
      </c>
      <c r="L454" t="n">
        <v>0</v>
      </c>
      <c r="M454" t="n">
        <v>0</v>
      </c>
      <c r="N454" t="n">
        <v>0</v>
      </c>
      <c r="O454" t="n">
        <v>0</v>
      </c>
      <c r="P454" t="n">
        <v>0</v>
      </c>
      <c r="Q454" t="n">
        <v>0</v>
      </c>
      <c r="R454" s="2" t="inlineStr"/>
    </row>
    <row r="455" ht="15" customHeight="1">
      <c r="A455" t="inlineStr">
        <is>
          <t>A 54481-2020</t>
        </is>
      </c>
      <c r="B455" s="1" t="n">
        <v>44126</v>
      </c>
      <c r="C455" s="1" t="n">
        <v>45787</v>
      </c>
      <c r="D455" t="inlineStr">
        <is>
          <t>JÄMTLANDS LÄN</t>
        </is>
      </c>
      <c r="E455" t="inlineStr">
        <is>
          <t>HÄRJEDALEN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54537-2020</t>
        </is>
      </c>
      <c r="B456" s="1" t="n">
        <v>44126</v>
      </c>
      <c r="C456" s="1" t="n">
        <v>45787</v>
      </c>
      <c r="D456" t="inlineStr">
        <is>
          <t>JÄMTLANDS LÄN</t>
        </is>
      </c>
      <c r="E456" t="inlineStr">
        <is>
          <t>HÄRJEDALEN</t>
        </is>
      </c>
      <c r="G456" t="n">
        <v>1.1</v>
      </c>
      <c r="H456" t="n">
        <v>0</v>
      </c>
      <c r="I456" t="n">
        <v>0</v>
      </c>
      <c r="J456" t="n">
        <v>0</v>
      </c>
      <c r="K456" t="n">
        <v>0</v>
      </c>
      <c r="L456" t="n">
        <v>0</v>
      </c>
      <c r="M456" t="n">
        <v>0</v>
      </c>
      <c r="N456" t="n">
        <v>0</v>
      </c>
      <c r="O456" t="n">
        <v>0</v>
      </c>
      <c r="P456" t="n">
        <v>0</v>
      </c>
      <c r="Q456" t="n">
        <v>0</v>
      </c>
      <c r="R456" s="2" t="inlineStr"/>
    </row>
    <row r="457" ht="15" customHeight="1">
      <c r="A457" t="inlineStr">
        <is>
          <t>A 54593-2020</t>
        </is>
      </c>
      <c r="B457" s="1" t="n">
        <v>44126</v>
      </c>
      <c r="C457" s="1" t="n">
        <v>45787</v>
      </c>
      <c r="D457" t="inlineStr">
        <is>
          <t>JÄMTLANDS LÄN</t>
        </is>
      </c>
      <c r="E457" t="inlineStr">
        <is>
          <t>HÄRJEDALEN</t>
        </is>
      </c>
      <c r="G457" t="n">
        <v>6.5</v>
      </c>
      <c r="H457" t="n">
        <v>0</v>
      </c>
      <c r="I457" t="n">
        <v>0</v>
      </c>
      <c r="J457" t="n">
        <v>0</v>
      </c>
      <c r="K457" t="n">
        <v>0</v>
      </c>
      <c r="L457" t="n">
        <v>0</v>
      </c>
      <c r="M457" t="n">
        <v>0</v>
      </c>
      <c r="N457" t="n">
        <v>0</v>
      </c>
      <c r="O457" t="n">
        <v>0</v>
      </c>
      <c r="P457" t="n">
        <v>0</v>
      </c>
      <c r="Q457" t="n">
        <v>0</v>
      </c>
      <c r="R457" s="2" t="inlineStr"/>
    </row>
    <row r="458" ht="15" customHeight="1">
      <c r="A458" t="inlineStr">
        <is>
          <t>A 54716-2020</t>
        </is>
      </c>
      <c r="B458" s="1" t="n">
        <v>44127</v>
      </c>
      <c r="C458" s="1" t="n">
        <v>45787</v>
      </c>
      <c r="D458" t="inlineStr">
        <is>
          <t>JÄMTLANDS LÄN</t>
        </is>
      </c>
      <c r="E458" t="inlineStr">
        <is>
          <t>HÄRJEDALEN</t>
        </is>
      </c>
      <c r="F458" t="inlineStr">
        <is>
          <t>Kyrkan</t>
        </is>
      </c>
      <c r="G458" t="n">
        <v>21.3</v>
      </c>
      <c r="H458" t="n">
        <v>0</v>
      </c>
      <c r="I458" t="n">
        <v>0</v>
      </c>
      <c r="J458" t="n">
        <v>0</v>
      </c>
      <c r="K458" t="n">
        <v>0</v>
      </c>
      <c r="L458" t="n">
        <v>0</v>
      </c>
      <c r="M458" t="n">
        <v>0</v>
      </c>
      <c r="N458" t="n">
        <v>0</v>
      </c>
      <c r="O458" t="n">
        <v>0</v>
      </c>
      <c r="P458" t="n">
        <v>0</v>
      </c>
      <c r="Q458" t="n">
        <v>0</v>
      </c>
      <c r="R458" s="2" t="inlineStr"/>
    </row>
    <row r="459" ht="15" customHeight="1">
      <c r="A459" t="inlineStr">
        <is>
          <t>A 55834-2020</t>
        </is>
      </c>
      <c r="B459" s="1" t="n">
        <v>44132</v>
      </c>
      <c r="C459" s="1" t="n">
        <v>45787</v>
      </c>
      <c r="D459" t="inlineStr">
        <is>
          <t>JÄMTLANDS LÄN</t>
        </is>
      </c>
      <c r="E459" t="inlineStr">
        <is>
          <t>HÄRJEDALEN</t>
        </is>
      </c>
      <c r="G459" t="n">
        <v>2.8</v>
      </c>
      <c r="H459" t="n">
        <v>0</v>
      </c>
      <c r="I459" t="n">
        <v>0</v>
      </c>
      <c r="J459" t="n">
        <v>0</v>
      </c>
      <c r="K459" t="n">
        <v>0</v>
      </c>
      <c r="L459" t="n">
        <v>0</v>
      </c>
      <c r="M459" t="n">
        <v>0</v>
      </c>
      <c r="N459" t="n">
        <v>0</v>
      </c>
      <c r="O459" t="n">
        <v>0</v>
      </c>
      <c r="P459" t="n">
        <v>0</v>
      </c>
      <c r="Q459" t="n">
        <v>0</v>
      </c>
      <c r="R459" s="2" t="inlineStr"/>
    </row>
    <row r="460" ht="15" customHeight="1">
      <c r="A460" t="inlineStr">
        <is>
          <t>A 56001-2020</t>
        </is>
      </c>
      <c r="B460" s="1" t="n">
        <v>44133</v>
      </c>
      <c r="C460" s="1" t="n">
        <v>45787</v>
      </c>
      <c r="D460" t="inlineStr">
        <is>
          <t>JÄMTLANDS LÄN</t>
        </is>
      </c>
      <c r="E460" t="inlineStr">
        <is>
          <t>HÄRJEDALEN</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57196-2020</t>
        </is>
      </c>
      <c r="B461" s="1" t="n">
        <v>44139</v>
      </c>
      <c r="C461" s="1" t="n">
        <v>45787</v>
      </c>
      <c r="D461" t="inlineStr">
        <is>
          <t>JÄMTLANDS LÄN</t>
        </is>
      </c>
      <c r="E461" t="inlineStr">
        <is>
          <t>HÄRJEDALEN</t>
        </is>
      </c>
      <c r="G461" t="n">
        <v>15.1</v>
      </c>
      <c r="H461" t="n">
        <v>0</v>
      </c>
      <c r="I461" t="n">
        <v>0</v>
      </c>
      <c r="J461" t="n">
        <v>0</v>
      </c>
      <c r="K461" t="n">
        <v>0</v>
      </c>
      <c r="L461" t="n">
        <v>0</v>
      </c>
      <c r="M461" t="n">
        <v>0</v>
      </c>
      <c r="N461" t="n">
        <v>0</v>
      </c>
      <c r="O461" t="n">
        <v>0</v>
      </c>
      <c r="P461" t="n">
        <v>0</v>
      </c>
      <c r="Q461" t="n">
        <v>0</v>
      </c>
      <c r="R461" s="2" t="inlineStr"/>
    </row>
    <row r="462" ht="15" customHeight="1">
      <c r="A462" t="inlineStr">
        <is>
          <t>A 59533-2020</t>
        </is>
      </c>
      <c r="B462" s="1" t="n">
        <v>44148</v>
      </c>
      <c r="C462" s="1" t="n">
        <v>45787</v>
      </c>
      <c r="D462" t="inlineStr">
        <is>
          <t>JÄMTLANDS LÄN</t>
        </is>
      </c>
      <c r="E462" t="inlineStr">
        <is>
          <t>HÄRJEDALEN</t>
        </is>
      </c>
      <c r="F462" t="inlineStr">
        <is>
          <t>Holmen skog AB</t>
        </is>
      </c>
      <c r="G462" t="n">
        <v>38.3</v>
      </c>
      <c r="H462" t="n">
        <v>0</v>
      </c>
      <c r="I462" t="n">
        <v>0</v>
      </c>
      <c r="J462" t="n">
        <v>0</v>
      </c>
      <c r="K462" t="n">
        <v>0</v>
      </c>
      <c r="L462" t="n">
        <v>0</v>
      </c>
      <c r="M462" t="n">
        <v>0</v>
      </c>
      <c r="N462" t="n">
        <v>0</v>
      </c>
      <c r="O462" t="n">
        <v>0</v>
      </c>
      <c r="P462" t="n">
        <v>0</v>
      </c>
      <c r="Q462" t="n">
        <v>0</v>
      </c>
      <c r="R462" s="2" t="inlineStr"/>
    </row>
    <row r="463" ht="15" customHeight="1">
      <c r="A463" t="inlineStr">
        <is>
          <t>A 60087-2020</t>
        </is>
      </c>
      <c r="B463" s="1" t="n">
        <v>44151</v>
      </c>
      <c r="C463" s="1" t="n">
        <v>45787</v>
      </c>
      <c r="D463" t="inlineStr">
        <is>
          <t>JÄMTLANDS LÄN</t>
        </is>
      </c>
      <c r="E463" t="inlineStr">
        <is>
          <t>HÄRJEDALEN</t>
        </is>
      </c>
      <c r="G463" t="n">
        <v>9.4</v>
      </c>
      <c r="H463" t="n">
        <v>0</v>
      </c>
      <c r="I463" t="n">
        <v>0</v>
      </c>
      <c r="J463" t="n">
        <v>0</v>
      </c>
      <c r="K463" t="n">
        <v>0</v>
      </c>
      <c r="L463" t="n">
        <v>0</v>
      </c>
      <c r="M463" t="n">
        <v>0</v>
      </c>
      <c r="N463" t="n">
        <v>0</v>
      </c>
      <c r="O463" t="n">
        <v>0</v>
      </c>
      <c r="P463" t="n">
        <v>0</v>
      </c>
      <c r="Q463" t="n">
        <v>0</v>
      </c>
      <c r="R463" s="2" t="inlineStr"/>
    </row>
    <row r="464" ht="15" customHeight="1">
      <c r="A464" t="inlineStr">
        <is>
          <t>A 60424-2020</t>
        </is>
      </c>
      <c r="B464" s="1" t="n">
        <v>44153</v>
      </c>
      <c r="C464" s="1" t="n">
        <v>45787</v>
      </c>
      <c r="D464" t="inlineStr">
        <is>
          <t>JÄMTLANDS LÄN</t>
        </is>
      </c>
      <c r="E464" t="inlineStr">
        <is>
          <t>HÄRJEDALEN</t>
        </is>
      </c>
      <c r="F464" t="inlineStr">
        <is>
          <t>Holmen skog AB</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60429-2020</t>
        </is>
      </c>
      <c r="B465" s="1" t="n">
        <v>44153</v>
      </c>
      <c r="C465" s="1" t="n">
        <v>45787</v>
      </c>
      <c r="D465" t="inlineStr">
        <is>
          <t>JÄMTLANDS LÄN</t>
        </is>
      </c>
      <c r="E465" t="inlineStr">
        <is>
          <t>HÄRJEDALEN</t>
        </is>
      </c>
      <c r="G465" t="n">
        <v>1.1</v>
      </c>
      <c r="H465" t="n">
        <v>0</v>
      </c>
      <c r="I465" t="n">
        <v>0</v>
      </c>
      <c r="J465" t="n">
        <v>0</v>
      </c>
      <c r="K465" t="n">
        <v>0</v>
      </c>
      <c r="L465" t="n">
        <v>0</v>
      </c>
      <c r="M465" t="n">
        <v>0</v>
      </c>
      <c r="N465" t="n">
        <v>0</v>
      </c>
      <c r="O465" t="n">
        <v>0</v>
      </c>
      <c r="P465" t="n">
        <v>0</v>
      </c>
      <c r="Q465" t="n">
        <v>0</v>
      </c>
      <c r="R465" s="2" t="inlineStr"/>
    </row>
    <row r="466" ht="15" customHeight="1">
      <c r="A466" t="inlineStr">
        <is>
          <t>A 60606-2020</t>
        </is>
      </c>
      <c r="B466" s="1" t="n">
        <v>44153</v>
      </c>
      <c r="C466" s="1" t="n">
        <v>45787</v>
      </c>
      <c r="D466" t="inlineStr">
        <is>
          <t>JÄMTLANDS LÄN</t>
        </is>
      </c>
      <c r="E466" t="inlineStr">
        <is>
          <t>HÄRJEDALEN</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60422-2020</t>
        </is>
      </c>
      <c r="B467" s="1" t="n">
        <v>44153</v>
      </c>
      <c r="C467" s="1" t="n">
        <v>45787</v>
      </c>
      <c r="D467" t="inlineStr">
        <is>
          <t>JÄMTLANDS LÄN</t>
        </is>
      </c>
      <c r="E467" t="inlineStr">
        <is>
          <t>HÄRJEDALEN</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60836-2020</t>
        </is>
      </c>
      <c r="B468" s="1" t="n">
        <v>44154</v>
      </c>
      <c r="C468" s="1" t="n">
        <v>45787</v>
      </c>
      <c r="D468" t="inlineStr">
        <is>
          <t>JÄMTLANDS LÄN</t>
        </is>
      </c>
      <c r="E468" t="inlineStr">
        <is>
          <t>HÄRJEDALEN</t>
        </is>
      </c>
      <c r="G468" t="n">
        <v>2.5</v>
      </c>
      <c r="H468" t="n">
        <v>0</v>
      </c>
      <c r="I468" t="n">
        <v>0</v>
      </c>
      <c r="J468" t="n">
        <v>0</v>
      </c>
      <c r="K468" t="n">
        <v>0</v>
      </c>
      <c r="L468" t="n">
        <v>0</v>
      </c>
      <c r="M468" t="n">
        <v>0</v>
      </c>
      <c r="N468" t="n">
        <v>0</v>
      </c>
      <c r="O468" t="n">
        <v>0</v>
      </c>
      <c r="P468" t="n">
        <v>0</v>
      </c>
      <c r="Q468" t="n">
        <v>0</v>
      </c>
      <c r="R468" s="2" t="inlineStr"/>
    </row>
    <row r="469" ht="15" customHeight="1">
      <c r="A469" t="inlineStr">
        <is>
          <t>A 60794-2020</t>
        </is>
      </c>
      <c r="B469" s="1" t="n">
        <v>44154</v>
      </c>
      <c r="C469" s="1" t="n">
        <v>45787</v>
      </c>
      <c r="D469" t="inlineStr">
        <is>
          <t>JÄMTLANDS LÄN</t>
        </is>
      </c>
      <c r="E469" t="inlineStr">
        <is>
          <t>HÄRJEDALEN</t>
        </is>
      </c>
      <c r="F469" t="inlineStr">
        <is>
          <t>Holmen skog AB</t>
        </is>
      </c>
      <c r="G469" t="n">
        <v>5.5</v>
      </c>
      <c r="H469" t="n">
        <v>0</v>
      </c>
      <c r="I469" t="n">
        <v>0</v>
      </c>
      <c r="J469" t="n">
        <v>0</v>
      </c>
      <c r="K469" t="n">
        <v>0</v>
      </c>
      <c r="L469" t="n">
        <v>0</v>
      </c>
      <c r="M469" t="n">
        <v>0</v>
      </c>
      <c r="N469" t="n">
        <v>0</v>
      </c>
      <c r="O469" t="n">
        <v>0</v>
      </c>
      <c r="P469" t="n">
        <v>0</v>
      </c>
      <c r="Q469" t="n">
        <v>0</v>
      </c>
      <c r="R469" s="2" t="inlineStr"/>
    </row>
    <row r="470" ht="15" customHeight="1">
      <c r="A470" t="inlineStr">
        <is>
          <t>A 61232-2020</t>
        </is>
      </c>
      <c r="B470" s="1" t="n">
        <v>44155</v>
      </c>
      <c r="C470" s="1" t="n">
        <v>45787</v>
      </c>
      <c r="D470" t="inlineStr">
        <is>
          <t>JÄMTLANDS LÄN</t>
        </is>
      </c>
      <c r="E470" t="inlineStr">
        <is>
          <t>HÄRJEDALEN</t>
        </is>
      </c>
      <c r="G470" t="n">
        <v>8.5</v>
      </c>
      <c r="H470" t="n">
        <v>0</v>
      </c>
      <c r="I470" t="n">
        <v>0</v>
      </c>
      <c r="J470" t="n">
        <v>0</v>
      </c>
      <c r="K470" t="n">
        <v>0</v>
      </c>
      <c r="L470" t="n">
        <v>0</v>
      </c>
      <c r="M470" t="n">
        <v>0</v>
      </c>
      <c r="N470" t="n">
        <v>0</v>
      </c>
      <c r="O470" t="n">
        <v>0</v>
      </c>
      <c r="P470" t="n">
        <v>0</v>
      </c>
      <c r="Q470" t="n">
        <v>0</v>
      </c>
      <c r="R470" s="2" t="inlineStr"/>
    </row>
    <row r="471" ht="15" customHeight="1">
      <c r="A471" t="inlineStr">
        <is>
          <t>A 63133-2020</t>
        </is>
      </c>
      <c r="B471" s="1" t="n">
        <v>44162</v>
      </c>
      <c r="C471" s="1" t="n">
        <v>45787</v>
      </c>
      <c r="D471" t="inlineStr">
        <is>
          <t>JÄMTLANDS LÄN</t>
        </is>
      </c>
      <c r="E471" t="inlineStr">
        <is>
          <t>HÄRJEDALEN</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64281-2020</t>
        </is>
      </c>
      <c r="B472" s="1" t="n">
        <v>44166</v>
      </c>
      <c r="C472" s="1" t="n">
        <v>45787</v>
      </c>
      <c r="D472" t="inlineStr">
        <is>
          <t>JÄMTLANDS LÄN</t>
        </is>
      </c>
      <c r="E472" t="inlineStr">
        <is>
          <t>HÄRJEDALEN</t>
        </is>
      </c>
      <c r="F472" t="inlineStr">
        <is>
          <t>Övriga statliga verk och myndigheter</t>
        </is>
      </c>
      <c r="G472" t="n">
        <v>4.1</v>
      </c>
      <c r="H472" t="n">
        <v>0</v>
      </c>
      <c r="I472" t="n">
        <v>0</v>
      </c>
      <c r="J472" t="n">
        <v>0</v>
      </c>
      <c r="K472" t="n">
        <v>0</v>
      </c>
      <c r="L472" t="n">
        <v>0</v>
      </c>
      <c r="M472" t="n">
        <v>0</v>
      </c>
      <c r="N472" t="n">
        <v>0</v>
      </c>
      <c r="O472" t="n">
        <v>0</v>
      </c>
      <c r="P472" t="n">
        <v>0</v>
      </c>
      <c r="Q472" t="n">
        <v>0</v>
      </c>
      <c r="R472" s="2" t="inlineStr"/>
    </row>
    <row r="473" ht="15" customHeight="1">
      <c r="A473" t="inlineStr">
        <is>
          <t>A 64300-2020</t>
        </is>
      </c>
      <c r="B473" s="1" t="n">
        <v>44166</v>
      </c>
      <c r="C473" s="1" t="n">
        <v>45787</v>
      </c>
      <c r="D473" t="inlineStr">
        <is>
          <t>JÄMTLANDS LÄN</t>
        </is>
      </c>
      <c r="E473" t="inlineStr">
        <is>
          <t>HÄRJEDALEN</t>
        </is>
      </c>
      <c r="F473" t="inlineStr">
        <is>
          <t>Övriga statliga verk och myndigheter</t>
        </is>
      </c>
      <c r="G473" t="n">
        <v>58</v>
      </c>
      <c r="H473" t="n">
        <v>0</v>
      </c>
      <c r="I473" t="n">
        <v>0</v>
      </c>
      <c r="J473" t="n">
        <v>0</v>
      </c>
      <c r="K473" t="n">
        <v>0</v>
      </c>
      <c r="L473" t="n">
        <v>0</v>
      </c>
      <c r="M473" t="n">
        <v>0</v>
      </c>
      <c r="N473" t="n">
        <v>0</v>
      </c>
      <c r="O473" t="n">
        <v>0</v>
      </c>
      <c r="P473" t="n">
        <v>0</v>
      </c>
      <c r="Q473" t="n">
        <v>0</v>
      </c>
      <c r="R473" s="2" t="inlineStr"/>
    </row>
    <row r="474" ht="15" customHeight="1">
      <c r="A474" t="inlineStr">
        <is>
          <t>A 63949-2020</t>
        </is>
      </c>
      <c r="B474" s="1" t="n">
        <v>44167</v>
      </c>
      <c r="C474" s="1" t="n">
        <v>45787</v>
      </c>
      <c r="D474" t="inlineStr">
        <is>
          <t>JÄMTLANDS LÄN</t>
        </is>
      </c>
      <c r="E474" t="inlineStr">
        <is>
          <t>HÄRJEDALEN</t>
        </is>
      </c>
      <c r="F474" t="inlineStr">
        <is>
          <t>Bergvik skog väst AB</t>
        </is>
      </c>
      <c r="G474" t="n">
        <v>10.8</v>
      </c>
      <c r="H474" t="n">
        <v>0</v>
      </c>
      <c r="I474" t="n">
        <v>0</v>
      </c>
      <c r="J474" t="n">
        <v>0</v>
      </c>
      <c r="K474" t="n">
        <v>0</v>
      </c>
      <c r="L474" t="n">
        <v>0</v>
      </c>
      <c r="M474" t="n">
        <v>0</v>
      </c>
      <c r="N474" t="n">
        <v>0</v>
      </c>
      <c r="O474" t="n">
        <v>0</v>
      </c>
      <c r="P474" t="n">
        <v>0</v>
      </c>
      <c r="Q474" t="n">
        <v>0</v>
      </c>
      <c r="R474" s="2" t="inlineStr"/>
    </row>
    <row r="475" ht="15" customHeight="1">
      <c r="A475" t="inlineStr">
        <is>
          <t>A 63979-2020</t>
        </is>
      </c>
      <c r="B475" s="1" t="n">
        <v>44167</v>
      </c>
      <c r="C475" s="1" t="n">
        <v>45787</v>
      </c>
      <c r="D475" t="inlineStr">
        <is>
          <t>JÄMTLANDS LÄN</t>
        </is>
      </c>
      <c r="E475" t="inlineStr">
        <is>
          <t>HÄRJEDALEN</t>
        </is>
      </c>
      <c r="G475" t="n">
        <v>10</v>
      </c>
      <c r="H475" t="n">
        <v>0</v>
      </c>
      <c r="I475" t="n">
        <v>0</v>
      </c>
      <c r="J475" t="n">
        <v>0</v>
      </c>
      <c r="K475" t="n">
        <v>0</v>
      </c>
      <c r="L475" t="n">
        <v>0</v>
      </c>
      <c r="M475" t="n">
        <v>0</v>
      </c>
      <c r="N475" t="n">
        <v>0</v>
      </c>
      <c r="O475" t="n">
        <v>0</v>
      </c>
      <c r="P475" t="n">
        <v>0</v>
      </c>
      <c r="Q475" t="n">
        <v>0</v>
      </c>
      <c r="R475" s="2" t="inlineStr"/>
    </row>
    <row r="476" ht="15" customHeight="1">
      <c r="A476" t="inlineStr">
        <is>
          <t>A 64539-2020</t>
        </is>
      </c>
      <c r="B476" s="1" t="n">
        <v>44169</v>
      </c>
      <c r="C476" s="1" t="n">
        <v>45787</v>
      </c>
      <c r="D476" t="inlineStr">
        <is>
          <t>JÄMTLANDS LÄN</t>
        </is>
      </c>
      <c r="E476" t="inlineStr">
        <is>
          <t>HÄRJEDALEN</t>
        </is>
      </c>
      <c r="G476" t="n">
        <v>5.6</v>
      </c>
      <c r="H476" t="n">
        <v>0</v>
      </c>
      <c r="I476" t="n">
        <v>0</v>
      </c>
      <c r="J476" t="n">
        <v>0</v>
      </c>
      <c r="K476" t="n">
        <v>0</v>
      </c>
      <c r="L476" t="n">
        <v>0</v>
      </c>
      <c r="M476" t="n">
        <v>0</v>
      </c>
      <c r="N476" t="n">
        <v>0</v>
      </c>
      <c r="O476" t="n">
        <v>0</v>
      </c>
      <c r="P476" t="n">
        <v>0</v>
      </c>
      <c r="Q476" t="n">
        <v>0</v>
      </c>
      <c r="R476" s="2" t="inlineStr"/>
    </row>
    <row r="477" ht="15" customHeight="1">
      <c r="A477" t="inlineStr">
        <is>
          <t>A 64579-2020</t>
        </is>
      </c>
      <c r="B477" s="1" t="n">
        <v>44169</v>
      </c>
      <c r="C477" s="1" t="n">
        <v>45787</v>
      </c>
      <c r="D477" t="inlineStr">
        <is>
          <t>JÄMTLANDS LÄN</t>
        </is>
      </c>
      <c r="E477" t="inlineStr">
        <is>
          <t>HÄRJEDALEN</t>
        </is>
      </c>
      <c r="G477" t="n">
        <v>12.4</v>
      </c>
      <c r="H477" t="n">
        <v>0</v>
      </c>
      <c r="I477" t="n">
        <v>0</v>
      </c>
      <c r="J477" t="n">
        <v>0</v>
      </c>
      <c r="K477" t="n">
        <v>0</v>
      </c>
      <c r="L477" t="n">
        <v>0</v>
      </c>
      <c r="M477" t="n">
        <v>0</v>
      </c>
      <c r="N477" t="n">
        <v>0</v>
      </c>
      <c r="O477" t="n">
        <v>0</v>
      </c>
      <c r="P477" t="n">
        <v>0</v>
      </c>
      <c r="Q477" t="n">
        <v>0</v>
      </c>
      <c r="R477" s="2" t="inlineStr"/>
    </row>
    <row r="478" ht="15" customHeight="1">
      <c r="A478" t="inlineStr">
        <is>
          <t>A 65817-2020</t>
        </is>
      </c>
      <c r="B478" s="1" t="n">
        <v>44174</v>
      </c>
      <c r="C478" s="1" t="n">
        <v>45787</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66276-2020</t>
        </is>
      </c>
      <c r="B479" s="1" t="n">
        <v>44174</v>
      </c>
      <c r="C479" s="1" t="n">
        <v>45787</v>
      </c>
      <c r="D479" t="inlineStr">
        <is>
          <t>JÄMTLANDS LÄN</t>
        </is>
      </c>
      <c r="E479" t="inlineStr">
        <is>
          <t>HÄRJEDALEN</t>
        </is>
      </c>
      <c r="G479" t="n">
        <v>4</v>
      </c>
      <c r="H479" t="n">
        <v>0</v>
      </c>
      <c r="I479" t="n">
        <v>0</v>
      </c>
      <c r="J479" t="n">
        <v>0</v>
      </c>
      <c r="K479" t="n">
        <v>0</v>
      </c>
      <c r="L479" t="n">
        <v>0</v>
      </c>
      <c r="M479" t="n">
        <v>0</v>
      </c>
      <c r="N479" t="n">
        <v>0</v>
      </c>
      <c r="O479" t="n">
        <v>0</v>
      </c>
      <c r="P479" t="n">
        <v>0</v>
      </c>
      <c r="Q479" t="n">
        <v>0</v>
      </c>
      <c r="R479" s="2" t="inlineStr"/>
    </row>
    <row r="480" ht="15" customHeight="1">
      <c r="A480" t="inlineStr">
        <is>
          <t>A 66720-2020</t>
        </is>
      </c>
      <c r="B480" s="1" t="n">
        <v>44179</v>
      </c>
      <c r="C480" s="1" t="n">
        <v>45787</v>
      </c>
      <c r="D480" t="inlineStr">
        <is>
          <t>JÄMTLANDS LÄN</t>
        </is>
      </c>
      <c r="E480" t="inlineStr">
        <is>
          <t>HÄRJEDALEN</t>
        </is>
      </c>
      <c r="G480" t="n">
        <v>2.2</v>
      </c>
      <c r="H480" t="n">
        <v>0</v>
      </c>
      <c r="I480" t="n">
        <v>0</v>
      </c>
      <c r="J480" t="n">
        <v>0</v>
      </c>
      <c r="K480" t="n">
        <v>0</v>
      </c>
      <c r="L480" t="n">
        <v>0</v>
      </c>
      <c r="M480" t="n">
        <v>0</v>
      </c>
      <c r="N480" t="n">
        <v>0</v>
      </c>
      <c r="O480" t="n">
        <v>0</v>
      </c>
      <c r="P480" t="n">
        <v>0</v>
      </c>
      <c r="Q480" t="n">
        <v>0</v>
      </c>
      <c r="R480" s="2" t="inlineStr"/>
    </row>
    <row r="481" ht="15" customHeight="1">
      <c r="A481" t="inlineStr">
        <is>
          <t>A 67099-2020</t>
        </is>
      </c>
      <c r="B481" s="1" t="n">
        <v>44180</v>
      </c>
      <c r="C481" s="1" t="n">
        <v>45787</v>
      </c>
      <c r="D481" t="inlineStr">
        <is>
          <t>JÄMTLANDS LÄN</t>
        </is>
      </c>
      <c r="E481" t="inlineStr">
        <is>
          <t>HÄRJEDALEN</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67156-2020</t>
        </is>
      </c>
      <c r="B482" s="1" t="n">
        <v>44180</v>
      </c>
      <c r="C482" s="1" t="n">
        <v>45787</v>
      </c>
      <c r="D482" t="inlineStr">
        <is>
          <t>JÄMTLANDS LÄN</t>
        </is>
      </c>
      <c r="E482" t="inlineStr">
        <is>
          <t>HÄRJEDALEN</t>
        </is>
      </c>
      <c r="F482" t="inlineStr">
        <is>
          <t>Holmen skog AB</t>
        </is>
      </c>
      <c r="G482" t="n">
        <v>7.3</v>
      </c>
      <c r="H482" t="n">
        <v>0</v>
      </c>
      <c r="I482" t="n">
        <v>0</v>
      </c>
      <c r="J482" t="n">
        <v>0</v>
      </c>
      <c r="K482" t="n">
        <v>0</v>
      </c>
      <c r="L482" t="n">
        <v>0</v>
      </c>
      <c r="M482" t="n">
        <v>0</v>
      </c>
      <c r="N482" t="n">
        <v>0</v>
      </c>
      <c r="O482" t="n">
        <v>0</v>
      </c>
      <c r="P482" t="n">
        <v>0</v>
      </c>
      <c r="Q482" t="n">
        <v>0</v>
      </c>
      <c r="R482" s="2" t="inlineStr"/>
    </row>
    <row r="483" ht="15" customHeight="1">
      <c r="A483" t="inlineStr">
        <is>
          <t>A 67110-2020</t>
        </is>
      </c>
      <c r="B483" s="1" t="n">
        <v>44180</v>
      </c>
      <c r="C483" s="1" t="n">
        <v>45787</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67182-2020</t>
        </is>
      </c>
      <c r="B484" s="1" t="n">
        <v>44180</v>
      </c>
      <c r="C484" s="1" t="n">
        <v>45787</v>
      </c>
      <c r="D484" t="inlineStr">
        <is>
          <t>JÄMTLANDS LÄN</t>
        </is>
      </c>
      <c r="E484" t="inlineStr">
        <is>
          <t>HÄRJEDALEN</t>
        </is>
      </c>
      <c r="G484" t="n">
        <v>1</v>
      </c>
      <c r="H484" t="n">
        <v>0</v>
      </c>
      <c r="I484" t="n">
        <v>0</v>
      </c>
      <c r="J484" t="n">
        <v>0</v>
      </c>
      <c r="K484" t="n">
        <v>0</v>
      </c>
      <c r="L484" t="n">
        <v>0</v>
      </c>
      <c r="M484" t="n">
        <v>0</v>
      </c>
      <c r="N484" t="n">
        <v>0</v>
      </c>
      <c r="O484" t="n">
        <v>0</v>
      </c>
      <c r="P484" t="n">
        <v>0</v>
      </c>
      <c r="Q484" t="n">
        <v>0</v>
      </c>
      <c r="R484" s="2" t="inlineStr"/>
    </row>
    <row r="485" ht="15" customHeight="1">
      <c r="A485" t="inlineStr">
        <is>
          <t>A 67194-2020</t>
        </is>
      </c>
      <c r="B485" s="1" t="n">
        <v>44180</v>
      </c>
      <c r="C485" s="1" t="n">
        <v>45787</v>
      </c>
      <c r="D485" t="inlineStr">
        <is>
          <t>JÄMTLANDS LÄN</t>
        </is>
      </c>
      <c r="E485" t="inlineStr">
        <is>
          <t>HÄRJEDALEN</t>
        </is>
      </c>
      <c r="F485" t="inlineStr">
        <is>
          <t>Holmen skog AB</t>
        </is>
      </c>
      <c r="G485" t="n">
        <v>8.5</v>
      </c>
      <c r="H485" t="n">
        <v>0</v>
      </c>
      <c r="I485" t="n">
        <v>0</v>
      </c>
      <c r="J485" t="n">
        <v>0</v>
      </c>
      <c r="K485" t="n">
        <v>0</v>
      </c>
      <c r="L485" t="n">
        <v>0</v>
      </c>
      <c r="M485" t="n">
        <v>0</v>
      </c>
      <c r="N485" t="n">
        <v>0</v>
      </c>
      <c r="O485" t="n">
        <v>0</v>
      </c>
      <c r="P485" t="n">
        <v>0</v>
      </c>
      <c r="Q485" t="n">
        <v>0</v>
      </c>
      <c r="R485" s="2" t="inlineStr"/>
    </row>
    <row r="486" ht="15" customHeight="1">
      <c r="A486" t="inlineStr">
        <is>
          <t>A 67180-2020</t>
        </is>
      </c>
      <c r="B486" s="1" t="n">
        <v>44180</v>
      </c>
      <c r="C486" s="1" t="n">
        <v>45787</v>
      </c>
      <c r="D486" t="inlineStr">
        <is>
          <t>JÄMTLANDS LÄN</t>
        </is>
      </c>
      <c r="E486" t="inlineStr">
        <is>
          <t>HÄRJEDALEN</t>
        </is>
      </c>
      <c r="G486" t="n">
        <v>0</v>
      </c>
      <c r="H486" t="n">
        <v>0</v>
      </c>
      <c r="I486" t="n">
        <v>0</v>
      </c>
      <c r="J486" t="n">
        <v>0</v>
      </c>
      <c r="K486" t="n">
        <v>0</v>
      </c>
      <c r="L486" t="n">
        <v>0</v>
      </c>
      <c r="M486" t="n">
        <v>0</v>
      </c>
      <c r="N486" t="n">
        <v>0</v>
      </c>
      <c r="O486" t="n">
        <v>0</v>
      </c>
      <c r="P486" t="n">
        <v>0</v>
      </c>
      <c r="Q486" t="n">
        <v>0</v>
      </c>
      <c r="R486" s="2" t="inlineStr"/>
    </row>
    <row r="487" ht="15" customHeight="1">
      <c r="A487" t="inlineStr">
        <is>
          <t>A 67106-2020</t>
        </is>
      </c>
      <c r="B487" s="1" t="n">
        <v>44180</v>
      </c>
      <c r="C487" s="1" t="n">
        <v>45787</v>
      </c>
      <c r="D487" t="inlineStr">
        <is>
          <t>JÄMTLANDS LÄN</t>
        </is>
      </c>
      <c r="E487" t="inlineStr">
        <is>
          <t>HÄRJEDALEN</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67457-2020</t>
        </is>
      </c>
      <c r="B488" s="1" t="n">
        <v>44181</v>
      </c>
      <c r="C488" s="1" t="n">
        <v>45787</v>
      </c>
      <c r="D488" t="inlineStr">
        <is>
          <t>JÄMTLANDS LÄN</t>
        </is>
      </c>
      <c r="E488" t="inlineStr">
        <is>
          <t>HÄRJEDALEN</t>
        </is>
      </c>
      <c r="F488" t="inlineStr">
        <is>
          <t>Holmen skog AB</t>
        </is>
      </c>
      <c r="G488" t="n">
        <v>30</v>
      </c>
      <c r="H488" t="n">
        <v>0</v>
      </c>
      <c r="I488" t="n">
        <v>0</v>
      </c>
      <c r="J488" t="n">
        <v>0</v>
      </c>
      <c r="K488" t="n">
        <v>0</v>
      </c>
      <c r="L488" t="n">
        <v>0</v>
      </c>
      <c r="M488" t="n">
        <v>0</v>
      </c>
      <c r="N488" t="n">
        <v>0</v>
      </c>
      <c r="O488" t="n">
        <v>0</v>
      </c>
      <c r="P488" t="n">
        <v>0</v>
      </c>
      <c r="Q488" t="n">
        <v>0</v>
      </c>
      <c r="R488" s="2" t="inlineStr"/>
    </row>
    <row r="489" ht="15" customHeight="1">
      <c r="A489" t="inlineStr">
        <is>
          <t>A 67522-2020</t>
        </is>
      </c>
      <c r="B489" s="1" t="n">
        <v>44181</v>
      </c>
      <c r="C489" s="1" t="n">
        <v>45787</v>
      </c>
      <c r="D489" t="inlineStr">
        <is>
          <t>JÄMTLANDS LÄN</t>
        </is>
      </c>
      <c r="E489" t="inlineStr">
        <is>
          <t>HÄRJEDALEN</t>
        </is>
      </c>
      <c r="F489" t="inlineStr">
        <is>
          <t>Holmen skog AB</t>
        </is>
      </c>
      <c r="G489" t="n">
        <v>7.7</v>
      </c>
      <c r="H489" t="n">
        <v>0</v>
      </c>
      <c r="I489" t="n">
        <v>0</v>
      </c>
      <c r="J489" t="n">
        <v>0</v>
      </c>
      <c r="K489" t="n">
        <v>0</v>
      </c>
      <c r="L489" t="n">
        <v>0</v>
      </c>
      <c r="M489" t="n">
        <v>0</v>
      </c>
      <c r="N489" t="n">
        <v>0</v>
      </c>
      <c r="O489" t="n">
        <v>0</v>
      </c>
      <c r="P489" t="n">
        <v>0</v>
      </c>
      <c r="Q489" t="n">
        <v>0</v>
      </c>
      <c r="R489" s="2" t="inlineStr"/>
    </row>
    <row r="490" ht="15" customHeight="1">
      <c r="A490" t="inlineStr">
        <is>
          <t>A 67416-2020</t>
        </is>
      </c>
      <c r="B490" s="1" t="n">
        <v>44181</v>
      </c>
      <c r="C490" s="1" t="n">
        <v>45787</v>
      </c>
      <c r="D490" t="inlineStr">
        <is>
          <t>JÄMTLANDS LÄN</t>
        </is>
      </c>
      <c r="E490" t="inlineStr">
        <is>
          <t>HÄRJEDALEN</t>
        </is>
      </c>
      <c r="F490" t="inlineStr">
        <is>
          <t>Holmen skog AB</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67445-2020</t>
        </is>
      </c>
      <c r="B491" s="1" t="n">
        <v>44181</v>
      </c>
      <c r="C491" s="1" t="n">
        <v>45787</v>
      </c>
      <c r="D491" t="inlineStr">
        <is>
          <t>JÄMTLANDS LÄN</t>
        </is>
      </c>
      <c r="E491" t="inlineStr">
        <is>
          <t>HÄRJEDALEN</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67459-2020</t>
        </is>
      </c>
      <c r="B492" s="1" t="n">
        <v>44181</v>
      </c>
      <c r="C492" s="1" t="n">
        <v>45787</v>
      </c>
      <c r="D492" t="inlineStr">
        <is>
          <t>JÄMTLANDS LÄN</t>
        </is>
      </c>
      <c r="E492" t="inlineStr">
        <is>
          <t>HÄRJEDALEN</t>
        </is>
      </c>
      <c r="F492" t="inlineStr">
        <is>
          <t>Holmen skog AB</t>
        </is>
      </c>
      <c r="G492" t="n">
        <v>17.7</v>
      </c>
      <c r="H492" t="n">
        <v>0</v>
      </c>
      <c r="I492" t="n">
        <v>0</v>
      </c>
      <c r="J492" t="n">
        <v>0</v>
      </c>
      <c r="K492" t="n">
        <v>0</v>
      </c>
      <c r="L492" t="n">
        <v>0</v>
      </c>
      <c r="M492" t="n">
        <v>0</v>
      </c>
      <c r="N492" t="n">
        <v>0</v>
      </c>
      <c r="O492" t="n">
        <v>0</v>
      </c>
      <c r="P492" t="n">
        <v>0</v>
      </c>
      <c r="Q492" t="n">
        <v>0</v>
      </c>
      <c r="R492" s="2" t="inlineStr"/>
    </row>
    <row r="493" ht="15" customHeight="1">
      <c r="A493" t="inlineStr">
        <is>
          <t>A 67529-2020</t>
        </is>
      </c>
      <c r="B493" s="1" t="n">
        <v>44181</v>
      </c>
      <c r="C493" s="1" t="n">
        <v>45787</v>
      </c>
      <c r="D493" t="inlineStr">
        <is>
          <t>JÄMTLANDS LÄN</t>
        </is>
      </c>
      <c r="E493" t="inlineStr">
        <is>
          <t>HÄRJEDALEN</t>
        </is>
      </c>
      <c r="F493" t="inlineStr">
        <is>
          <t>Holmen skog AB</t>
        </is>
      </c>
      <c r="G493" t="n">
        <v>5.4</v>
      </c>
      <c r="H493" t="n">
        <v>0</v>
      </c>
      <c r="I493" t="n">
        <v>0</v>
      </c>
      <c r="J493" t="n">
        <v>0</v>
      </c>
      <c r="K493" t="n">
        <v>0</v>
      </c>
      <c r="L493" t="n">
        <v>0</v>
      </c>
      <c r="M493" t="n">
        <v>0</v>
      </c>
      <c r="N493" t="n">
        <v>0</v>
      </c>
      <c r="O493" t="n">
        <v>0</v>
      </c>
      <c r="P493" t="n">
        <v>0</v>
      </c>
      <c r="Q493" t="n">
        <v>0</v>
      </c>
      <c r="R493" s="2" t="inlineStr"/>
    </row>
    <row r="494" ht="15" customHeight="1">
      <c r="A494" t="inlineStr">
        <is>
          <t>A 67411-2020</t>
        </is>
      </c>
      <c r="B494" s="1" t="n">
        <v>44181</v>
      </c>
      <c r="C494" s="1" t="n">
        <v>45787</v>
      </c>
      <c r="D494" t="inlineStr">
        <is>
          <t>JÄMTLANDS LÄN</t>
        </is>
      </c>
      <c r="E494" t="inlineStr">
        <is>
          <t>HÄRJEDALEN</t>
        </is>
      </c>
      <c r="F494" t="inlineStr">
        <is>
          <t>Holmen skog AB</t>
        </is>
      </c>
      <c r="G494" t="n">
        <v>5.9</v>
      </c>
      <c r="H494" t="n">
        <v>0</v>
      </c>
      <c r="I494" t="n">
        <v>0</v>
      </c>
      <c r="J494" t="n">
        <v>0</v>
      </c>
      <c r="K494" t="n">
        <v>0</v>
      </c>
      <c r="L494" t="n">
        <v>0</v>
      </c>
      <c r="M494" t="n">
        <v>0</v>
      </c>
      <c r="N494" t="n">
        <v>0</v>
      </c>
      <c r="O494" t="n">
        <v>0</v>
      </c>
      <c r="P494" t="n">
        <v>0</v>
      </c>
      <c r="Q494" t="n">
        <v>0</v>
      </c>
      <c r="R494" s="2" t="inlineStr"/>
    </row>
    <row r="495" ht="15" customHeight="1">
      <c r="A495" t="inlineStr">
        <is>
          <t>A 67438-2020</t>
        </is>
      </c>
      <c r="B495" s="1" t="n">
        <v>44181</v>
      </c>
      <c r="C495" s="1" t="n">
        <v>45787</v>
      </c>
      <c r="D495" t="inlineStr">
        <is>
          <t>JÄMTLANDS LÄN</t>
        </is>
      </c>
      <c r="E495" t="inlineStr">
        <is>
          <t>HÄRJEDALEN</t>
        </is>
      </c>
      <c r="F495" t="inlineStr">
        <is>
          <t>Holmen skog AB</t>
        </is>
      </c>
      <c r="G495" t="n">
        <v>5.6</v>
      </c>
      <c r="H495" t="n">
        <v>0</v>
      </c>
      <c r="I495" t="n">
        <v>0</v>
      </c>
      <c r="J495" t="n">
        <v>0</v>
      </c>
      <c r="K495" t="n">
        <v>0</v>
      </c>
      <c r="L495" t="n">
        <v>0</v>
      </c>
      <c r="M495" t="n">
        <v>0</v>
      </c>
      <c r="N495" t="n">
        <v>0</v>
      </c>
      <c r="O495" t="n">
        <v>0</v>
      </c>
      <c r="P495" t="n">
        <v>0</v>
      </c>
      <c r="Q495" t="n">
        <v>0</v>
      </c>
      <c r="R495" s="2" t="inlineStr"/>
    </row>
    <row r="496" ht="15" customHeight="1">
      <c r="A496" t="inlineStr">
        <is>
          <t>A 67447-2020</t>
        </is>
      </c>
      <c r="B496" s="1" t="n">
        <v>44181</v>
      </c>
      <c r="C496" s="1" t="n">
        <v>45787</v>
      </c>
      <c r="D496" t="inlineStr">
        <is>
          <t>JÄMTLANDS LÄN</t>
        </is>
      </c>
      <c r="E496" t="inlineStr">
        <is>
          <t>HÄRJEDALEN</t>
        </is>
      </c>
      <c r="F496" t="inlineStr">
        <is>
          <t>Holmen skog AB</t>
        </is>
      </c>
      <c r="G496" t="n">
        <v>8.6</v>
      </c>
      <c r="H496" t="n">
        <v>0</v>
      </c>
      <c r="I496" t="n">
        <v>0</v>
      </c>
      <c r="J496" t="n">
        <v>0</v>
      </c>
      <c r="K496" t="n">
        <v>0</v>
      </c>
      <c r="L496" t="n">
        <v>0</v>
      </c>
      <c r="M496" t="n">
        <v>0</v>
      </c>
      <c r="N496" t="n">
        <v>0</v>
      </c>
      <c r="O496" t="n">
        <v>0</v>
      </c>
      <c r="P496" t="n">
        <v>0</v>
      </c>
      <c r="Q496" t="n">
        <v>0</v>
      </c>
      <c r="R496" s="2" t="inlineStr"/>
    </row>
    <row r="497" ht="15" customHeight="1">
      <c r="A497" t="inlineStr">
        <is>
          <t>A 67454-2020</t>
        </is>
      </c>
      <c r="B497" s="1" t="n">
        <v>44181</v>
      </c>
      <c r="C497" s="1" t="n">
        <v>45787</v>
      </c>
      <c r="D497" t="inlineStr">
        <is>
          <t>JÄMTLANDS LÄN</t>
        </is>
      </c>
      <c r="E497" t="inlineStr">
        <is>
          <t>HÄRJEDALEN</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67498-2020</t>
        </is>
      </c>
      <c r="B498" s="1" t="n">
        <v>44181</v>
      </c>
      <c r="C498" s="1" t="n">
        <v>45787</v>
      </c>
      <c r="D498" t="inlineStr">
        <is>
          <t>JÄMTLANDS LÄN</t>
        </is>
      </c>
      <c r="E498" t="inlineStr">
        <is>
          <t>HÄRJEDALEN</t>
        </is>
      </c>
      <c r="F498" t="inlineStr">
        <is>
          <t>Holmen skog AB</t>
        </is>
      </c>
      <c r="G498" t="n">
        <v>15.9</v>
      </c>
      <c r="H498" t="n">
        <v>0</v>
      </c>
      <c r="I498" t="n">
        <v>0</v>
      </c>
      <c r="J498" t="n">
        <v>0</v>
      </c>
      <c r="K498" t="n">
        <v>0</v>
      </c>
      <c r="L498" t="n">
        <v>0</v>
      </c>
      <c r="M498" t="n">
        <v>0</v>
      </c>
      <c r="N498" t="n">
        <v>0</v>
      </c>
      <c r="O498" t="n">
        <v>0</v>
      </c>
      <c r="P498" t="n">
        <v>0</v>
      </c>
      <c r="Q498" t="n">
        <v>0</v>
      </c>
      <c r="R498" s="2" t="inlineStr"/>
    </row>
    <row r="499" ht="15" customHeight="1">
      <c r="A499" t="inlineStr">
        <is>
          <t>A 67507-2020</t>
        </is>
      </c>
      <c r="B499" s="1" t="n">
        <v>44181</v>
      </c>
      <c r="C499" s="1" t="n">
        <v>45787</v>
      </c>
      <c r="D499" t="inlineStr">
        <is>
          <t>JÄMTLANDS LÄN</t>
        </is>
      </c>
      <c r="E499" t="inlineStr">
        <is>
          <t>HÄRJEDALEN</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67526-2020</t>
        </is>
      </c>
      <c r="B500" s="1" t="n">
        <v>44181</v>
      </c>
      <c r="C500" s="1" t="n">
        <v>45787</v>
      </c>
      <c r="D500" t="inlineStr">
        <is>
          <t>JÄMTLANDS LÄN</t>
        </is>
      </c>
      <c r="E500" t="inlineStr">
        <is>
          <t>HÄRJEDALEN</t>
        </is>
      </c>
      <c r="F500" t="inlineStr">
        <is>
          <t>Holmen skog AB</t>
        </is>
      </c>
      <c r="G500" t="n">
        <v>1</v>
      </c>
      <c r="H500" t="n">
        <v>0</v>
      </c>
      <c r="I500" t="n">
        <v>0</v>
      </c>
      <c r="J500" t="n">
        <v>0</v>
      </c>
      <c r="K500" t="n">
        <v>0</v>
      </c>
      <c r="L500" t="n">
        <v>0</v>
      </c>
      <c r="M500" t="n">
        <v>0</v>
      </c>
      <c r="N500" t="n">
        <v>0</v>
      </c>
      <c r="O500" t="n">
        <v>0</v>
      </c>
      <c r="P500" t="n">
        <v>0</v>
      </c>
      <c r="Q500" t="n">
        <v>0</v>
      </c>
      <c r="R500" s="2" t="inlineStr"/>
    </row>
    <row r="501" ht="15" customHeight="1">
      <c r="A501" t="inlineStr">
        <is>
          <t>A 67409-2020</t>
        </is>
      </c>
      <c r="B501" s="1" t="n">
        <v>44181</v>
      </c>
      <c r="C501" s="1" t="n">
        <v>45787</v>
      </c>
      <c r="D501" t="inlineStr">
        <is>
          <t>JÄMTLANDS LÄN</t>
        </is>
      </c>
      <c r="E501" t="inlineStr">
        <is>
          <t>HÄRJEDALEN</t>
        </is>
      </c>
      <c r="F501" t="inlineStr">
        <is>
          <t>Holmen skog AB</t>
        </is>
      </c>
      <c r="G501" t="n">
        <v>3.1</v>
      </c>
      <c r="H501" t="n">
        <v>0</v>
      </c>
      <c r="I501" t="n">
        <v>0</v>
      </c>
      <c r="J501" t="n">
        <v>0</v>
      </c>
      <c r="K501" t="n">
        <v>0</v>
      </c>
      <c r="L501" t="n">
        <v>0</v>
      </c>
      <c r="M501" t="n">
        <v>0</v>
      </c>
      <c r="N501" t="n">
        <v>0</v>
      </c>
      <c r="O501" t="n">
        <v>0</v>
      </c>
      <c r="P501" t="n">
        <v>0</v>
      </c>
      <c r="Q501" t="n">
        <v>0</v>
      </c>
      <c r="R501" s="2" t="inlineStr"/>
    </row>
    <row r="502" ht="15" customHeight="1">
      <c r="A502" t="inlineStr">
        <is>
          <t>A 67720-2020</t>
        </is>
      </c>
      <c r="B502" s="1" t="n">
        <v>44182</v>
      </c>
      <c r="C502" s="1" t="n">
        <v>45787</v>
      </c>
      <c r="D502" t="inlineStr">
        <is>
          <t>JÄMTLANDS LÄN</t>
        </is>
      </c>
      <c r="E502" t="inlineStr">
        <is>
          <t>HÄRJEDALEN</t>
        </is>
      </c>
      <c r="F502" t="inlineStr">
        <is>
          <t>Holmen skog AB</t>
        </is>
      </c>
      <c r="G502" t="n">
        <v>6</v>
      </c>
      <c r="H502" t="n">
        <v>0</v>
      </c>
      <c r="I502" t="n">
        <v>0</v>
      </c>
      <c r="J502" t="n">
        <v>0</v>
      </c>
      <c r="K502" t="n">
        <v>0</v>
      </c>
      <c r="L502" t="n">
        <v>0</v>
      </c>
      <c r="M502" t="n">
        <v>0</v>
      </c>
      <c r="N502" t="n">
        <v>0</v>
      </c>
      <c r="O502" t="n">
        <v>0</v>
      </c>
      <c r="P502" t="n">
        <v>0</v>
      </c>
      <c r="Q502" t="n">
        <v>0</v>
      </c>
      <c r="R502" s="2" t="inlineStr"/>
    </row>
    <row r="503" ht="15" customHeight="1">
      <c r="A503" t="inlineStr">
        <is>
          <t>A 67697-2020</t>
        </is>
      </c>
      <c r="B503" s="1" t="n">
        <v>44182</v>
      </c>
      <c r="C503" s="1" t="n">
        <v>45787</v>
      </c>
      <c r="D503" t="inlineStr">
        <is>
          <t>JÄMTLANDS LÄN</t>
        </is>
      </c>
      <c r="E503" t="inlineStr">
        <is>
          <t>HÄRJEDALEN</t>
        </is>
      </c>
      <c r="F503" t="inlineStr">
        <is>
          <t>Holmen skog AB</t>
        </is>
      </c>
      <c r="G503" t="n">
        <v>4</v>
      </c>
      <c r="H503" t="n">
        <v>0</v>
      </c>
      <c r="I503" t="n">
        <v>0</v>
      </c>
      <c r="J503" t="n">
        <v>0</v>
      </c>
      <c r="K503" t="n">
        <v>0</v>
      </c>
      <c r="L503" t="n">
        <v>0</v>
      </c>
      <c r="M503" t="n">
        <v>0</v>
      </c>
      <c r="N503" t="n">
        <v>0</v>
      </c>
      <c r="O503" t="n">
        <v>0</v>
      </c>
      <c r="P503" t="n">
        <v>0</v>
      </c>
      <c r="Q503" t="n">
        <v>0</v>
      </c>
      <c r="R503" s="2" t="inlineStr"/>
    </row>
    <row r="504" ht="15" customHeight="1">
      <c r="A504" t="inlineStr">
        <is>
          <t>A 67714-2020</t>
        </is>
      </c>
      <c r="B504" s="1" t="n">
        <v>44182</v>
      </c>
      <c r="C504" s="1" t="n">
        <v>45787</v>
      </c>
      <c r="D504" t="inlineStr">
        <is>
          <t>JÄMTLANDS LÄN</t>
        </is>
      </c>
      <c r="E504" t="inlineStr">
        <is>
          <t>HÄRJEDALEN</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67821-2020</t>
        </is>
      </c>
      <c r="B505" s="1" t="n">
        <v>44182</v>
      </c>
      <c r="C505" s="1" t="n">
        <v>45787</v>
      </c>
      <c r="D505" t="inlineStr">
        <is>
          <t>JÄMTLANDS LÄN</t>
        </is>
      </c>
      <c r="E505" t="inlineStr">
        <is>
          <t>HÄRJEDALEN</t>
        </is>
      </c>
      <c r="G505" t="n">
        <v>0.6</v>
      </c>
      <c r="H505" t="n">
        <v>0</v>
      </c>
      <c r="I505" t="n">
        <v>0</v>
      </c>
      <c r="J505" t="n">
        <v>0</v>
      </c>
      <c r="K505" t="n">
        <v>0</v>
      </c>
      <c r="L505" t="n">
        <v>0</v>
      </c>
      <c r="M505" t="n">
        <v>0</v>
      </c>
      <c r="N505" t="n">
        <v>0</v>
      </c>
      <c r="O505" t="n">
        <v>0</v>
      </c>
      <c r="P505" t="n">
        <v>0</v>
      </c>
      <c r="Q505" t="n">
        <v>0</v>
      </c>
      <c r="R505" s="2" t="inlineStr"/>
    </row>
    <row r="506" ht="15" customHeight="1">
      <c r="A506" t="inlineStr">
        <is>
          <t>A 68141-2020</t>
        </is>
      </c>
      <c r="B506" s="1" t="n">
        <v>44183</v>
      </c>
      <c r="C506" s="1" t="n">
        <v>45787</v>
      </c>
      <c r="D506" t="inlineStr">
        <is>
          <t>JÄMTLANDS LÄN</t>
        </is>
      </c>
      <c r="E506" t="inlineStr">
        <is>
          <t>HÄRJEDALEN</t>
        </is>
      </c>
      <c r="G506" t="n">
        <v>3.1</v>
      </c>
      <c r="H506" t="n">
        <v>0</v>
      </c>
      <c r="I506" t="n">
        <v>0</v>
      </c>
      <c r="J506" t="n">
        <v>0</v>
      </c>
      <c r="K506" t="n">
        <v>0</v>
      </c>
      <c r="L506" t="n">
        <v>0</v>
      </c>
      <c r="M506" t="n">
        <v>0</v>
      </c>
      <c r="N506" t="n">
        <v>0</v>
      </c>
      <c r="O506" t="n">
        <v>0</v>
      </c>
      <c r="P506" t="n">
        <v>0</v>
      </c>
      <c r="Q506" t="n">
        <v>0</v>
      </c>
      <c r="R506" s="2" t="inlineStr"/>
    </row>
    <row r="507" ht="15" customHeight="1">
      <c r="A507" t="inlineStr">
        <is>
          <t>A 69108-2020</t>
        </is>
      </c>
      <c r="B507" s="1" t="n">
        <v>44188</v>
      </c>
      <c r="C507" s="1" t="n">
        <v>45787</v>
      </c>
      <c r="D507" t="inlineStr">
        <is>
          <t>JÄMTLANDS LÄN</t>
        </is>
      </c>
      <c r="E507" t="inlineStr">
        <is>
          <t>HÄRJEDALEN</t>
        </is>
      </c>
      <c r="G507" t="n">
        <v>0.9</v>
      </c>
      <c r="H507" t="n">
        <v>0</v>
      </c>
      <c r="I507" t="n">
        <v>0</v>
      </c>
      <c r="J507" t="n">
        <v>0</v>
      </c>
      <c r="K507" t="n">
        <v>0</v>
      </c>
      <c r="L507" t="n">
        <v>0</v>
      </c>
      <c r="M507" t="n">
        <v>0</v>
      </c>
      <c r="N507" t="n">
        <v>0</v>
      </c>
      <c r="O507" t="n">
        <v>0</v>
      </c>
      <c r="P507" t="n">
        <v>0</v>
      </c>
      <c r="Q507" t="n">
        <v>0</v>
      </c>
      <c r="R507" s="2" t="inlineStr"/>
    </row>
    <row r="508" ht="15" customHeight="1">
      <c r="A508" t="inlineStr">
        <is>
          <t>A 69168-2020</t>
        </is>
      </c>
      <c r="B508" s="1" t="n">
        <v>44188</v>
      </c>
      <c r="C508" s="1" t="n">
        <v>45787</v>
      </c>
      <c r="D508" t="inlineStr">
        <is>
          <t>JÄMTLANDS LÄN</t>
        </is>
      </c>
      <c r="E508" t="inlineStr">
        <is>
          <t>HÄRJEDALEN</t>
        </is>
      </c>
      <c r="F508" t="inlineStr">
        <is>
          <t>Sveaskog</t>
        </is>
      </c>
      <c r="G508" t="n">
        <v>20</v>
      </c>
      <c r="H508" t="n">
        <v>0</v>
      </c>
      <c r="I508" t="n">
        <v>0</v>
      </c>
      <c r="J508" t="n">
        <v>0</v>
      </c>
      <c r="K508" t="n">
        <v>0</v>
      </c>
      <c r="L508" t="n">
        <v>0</v>
      </c>
      <c r="M508" t="n">
        <v>0</v>
      </c>
      <c r="N508" t="n">
        <v>0</v>
      </c>
      <c r="O508" t="n">
        <v>0</v>
      </c>
      <c r="P508" t="n">
        <v>0</v>
      </c>
      <c r="Q508" t="n">
        <v>0</v>
      </c>
      <c r="R508" s="2" t="inlineStr"/>
    </row>
    <row r="509" ht="15" customHeight="1">
      <c r="A509" t="inlineStr">
        <is>
          <t>A 69101-2020</t>
        </is>
      </c>
      <c r="B509" s="1" t="n">
        <v>44188</v>
      </c>
      <c r="C509" s="1" t="n">
        <v>45787</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1088-2021</t>
        </is>
      </c>
      <c r="B510" s="1" t="n">
        <v>44207</v>
      </c>
      <c r="C510" s="1" t="n">
        <v>45787</v>
      </c>
      <c r="D510" t="inlineStr">
        <is>
          <t>JÄMTLANDS LÄN</t>
        </is>
      </c>
      <c r="E510" t="inlineStr">
        <is>
          <t>HÄRJEDALEN</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1478-2021</t>
        </is>
      </c>
      <c r="B511" s="1" t="n">
        <v>44208</v>
      </c>
      <c r="C511" s="1" t="n">
        <v>45787</v>
      </c>
      <c r="D511" t="inlineStr">
        <is>
          <t>JÄMTLANDS LÄN</t>
        </is>
      </c>
      <c r="E511" t="inlineStr">
        <is>
          <t>HÄRJEDALEN</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1545-2021</t>
        </is>
      </c>
      <c r="B512" s="1" t="n">
        <v>44209</v>
      </c>
      <c r="C512" s="1" t="n">
        <v>45787</v>
      </c>
      <c r="D512" t="inlineStr">
        <is>
          <t>JÄMTLANDS LÄN</t>
        </is>
      </c>
      <c r="E512" t="inlineStr">
        <is>
          <t>HÄRJEDALEN</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1558-2021</t>
        </is>
      </c>
      <c r="B513" s="1" t="n">
        <v>44209</v>
      </c>
      <c r="C513" s="1" t="n">
        <v>45787</v>
      </c>
      <c r="D513" t="inlineStr">
        <is>
          <t>JÄMTLANDS LÄN</t>
        </is>
      </c>
      <c r="E513" t="inlineStr">
        <is>
          <t>HÄRJEDALEN</t>
        </is>
      </c>
      <c r="F513" t="inlineStr">
        <is>
          <t>Bergvik skog väst AB</t>
        </is>
      </c>
      <c r="G513" t="n">
        <v>7.2</v>
      </c>
      <c r="H513" t="n">
        <v>0</v>
      </c>
      <c r="I513" t="n">
        <v>0</v>
      </c>
      <c r="J513" t="n">
        <v>0</v>
      </c>
      <c r="K513" t="n">
        <v>0</v>
      </c>
      <c r="L513" t="n">
        <v>0</v>
      </c>
      <c r="M513" t="n">
        <v>0</v>
      </c>
      <c r="N513" t="n">
        <v>0</v>
      </c>
      <c r="O513" t="n">
        <v>0</v>
      </c>
      <c r="P513" t="n">
        <v>0</v>
      </c>
      <c r="Q513" t="n">
        <v>0</v>
      </c>
      <c r="R513" s="2" t="inlineStr"/>
    </row>
    <row r="514" ht="15" customHeight="1">
      <c r="A514" t="inlineStr">
        <is>
          <t>A 1602-2021</t>
        </is>
      </c>
      <c r="B514" s="1" t="n">
        <v>44209</v>
      </c>
      <c r="C514" s="1" t="n">
        <v>45787</v>
      </c>
      <c r="D514" t="inlineStr">
        <is>
          <t>JÄMTLANDS LÄN</t>
        </is>
      </c>
      <c r="E514" t="inlineStr">
        <is>
          <t>HÄRJEDALEN</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2531-2021</t>
        </is>
      </c>
      <c r="B515" s="1" t="n">
        <v>44214</v>
      </c>
      <c r="C515" s="1" t="n">
        <v>45787</v>
      </c>
      <c r="D515" t="inlineStr">
        <is>
          <t>JÄMTLANDS LÄN</t>
        </is>
      </c>
      <c r="E515" t="inlineStr">
        <is>
          <t>HÄRJEDALEN</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2855-2021</t>
        </is>
      </c>
      <c r="B516" s="1" t="n">
        <v>44216</v>
      </c>
      <c r="C516" s="1" t="n">
        <v>45787</v>
      </c>
      <c r="D516" t="inlineStr">
        <is>
          <t>JÄMTLANDS LÄN</t>
        </is>
      </c>
      <c r="E516" t="inlineStr">
        <is>
          <t>HÄRJEDALEN</t>
        </is>
      </c>
      <c r="F516" t="inlineStr">
        <is>
          <t>Holmen skog AB</t>
        </is>
      </c>
      <c r="G516" t="n">
        <v>1.6</v>
      </c>
      <c r="H516" t="n">
        <v>0</v>
      </c>
      <c r="I516" t="n">
        <v>0</v>
      </c>
      <c r="J516" t="n">
        <v>0</v>
      </c>
      <c r="K516" t="n">
        <v>0</v>
      </c>
      <c r="L516" t="n">
        <v>0</v>
      </c>
      <c r="M516" t="n">
        <v>0</v>
      </c>
      <c r="N516" t="n">
        <v>0</v>
      </c>
      <c r="O516" t="n">
        <v>0</v>
      </c>
      <c r="P516" t="n">
        <v>0</v>
      </c>
      <c r="Q516" t="n">
        <v>0</v>
      </c>
      <c r="R516" s="2" t="inlineStr"/>
    </row>
    <row r="517" ht="15" customHeight="1">
      <c r="A517" t="inlineStr">
        <is>
          <t>A 2862-2021</t>
        </is>
      </c>
      <c r="B517" s="1" t="n">
        <v>44216</v>
      </c>
      <c r="C517" s="1" t="n">
        <v>45787</v>
      </c>
      <c r="D517" t="inlineStr">
        <is>
          <t>JÄMTLANDS LÄN</t>
        </is>
      </c>
      <c r="E517" t="inlineStr">
        <is>
          <t>HÄRJEDALEN</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3536-2021</t>
        </is>
      </c>
      <c r="B518" s="1" t="n">
        <v>44218</v>
      </c>
      <c r="C518" s="1" t="n">
        <v>45787</v>
      </c>
      <c r="D518" t="inlineStr">
        <is>
          <t>JÄMTLANDS LÄN</t>
        </is>
      </c>
      <c r="E518" t="inlineStr">
        <is>
          <t>HÄRJEDALEN</t>
        </is>
      </c>
      <c r="G518" t="n">
        <v>14</v>
      </c>
      <c r="H518" t="n">
        <v>0</v>
      </c>
      <c r="I518" t="n">
        <v>0</v>
      </c>
      <c r="J518" t="n">
        <v>0</v>
      </c>
      <c r="K518" t="n">
        <v>0</v>
      </c>
      <c r="L518" t="n">
        <v>0</v>
      </c>
      <c r="M518" t="n">
        <v>0</v>
      </c>
      <c r="N518" t="n">
        <v>0</v>
      </c>
      <c r="O518" t="n">
        <v>0</v>
      </c>
      <c r="P518" t="n">
        <v>0</v>
      </c>
      <c r="Q518" t="n">
        <v>0</v>
      </c>
      <c r="R518" s="2" t="inlineStr"/>
    </row>
    <row r="519" ht="15" customHeight="1">
      <c r="A519" t="inlineStr">
        <is>
          <t>A 5277-2021</t>
        </is>
      </c>
      <c r="B519" s="1" t="n">
        <v>44225</v>
      </c>
      <c r="C519" s="1" t="n">
        <v>45787</v>
      </c>
      <c r="D519" t="inlineStr">
        <is>
          <t>JÄMTLANDS LÄN</t>
        </is>
      </c>
      <c r="E519" t="inlineStr">
        <is>
          <t>HÄRJEDALEN</t>
        </is>
      </c>
      <c r="G519" t="n">
        <v>20</v>
      </c>
      <c r="H519" t="n">
        <v>0</v>
      </c>
      <c r="I519" t="n">
        <v>0</v>
      </c>
      <c r="J519" t="n">
        <v>0</v>
      </c>
      <c r="K519" t="n">
        <v>0</v>
      </c>
      <c r="L519" t="n">
        <v>0</v>
      </c>
      <c r="M519" t="n">
        <v>0</v>
      </c>
      <c r="N519" t="n">
        <v>0</v>
      </c>
      <c r="O519" t="n">
        <v>0</v>
      </c>
      <c r="P519" t="n">
        <v>0</v>
      </c>
      <c r="Q519" t="n">
        <v>0</v>
      </c>
      <c r="R519" s="2" t="inlineStr"/>
    </row>
    <row r="520" ht="15" customHeight="1">
      <c r="A520" t="inlineStr">
        <is>
          <t>A 5283-2021</t>
        </is>
      </c>
      <c r="B520" s="1" t="n">
        <v>44225</v>
      </c>
      <c r="C520" s="1" t="n">
        <v>45787</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5343-2021</t>
        </is>
      </c>
      <c r="B521" s="1" t="n">
        <v>44228</v>
      </c>
      <c r="C521" s="1" t="n">
        <v>45787</v>
      </c>
      <c r="D521" t="inlineStr">
        <is>
          <t>JÄMTLANDS LÄN</t>
        </is>
      </c>
      <c r="E521" t="inlineStr">
        <is>
          <t>HÄRJEDALEN</t>
        </is>
      </c>
      <c r="G521" t="n">
        <v>1</v>
      </c>
      <c r="H521" t="n">
        <v>0</v>
      </c>
      <c r="I521" t="n">
        <v>0</v>
      </c>
      <c r="J521" t="n">
        <v>0</v>
      </c>
      <c r="K521" t="n">
        <v>0</v>
      </c>
      <c r="L521" t="n">
        <v>0</v>
      </c>
      <c r="M521" t="n">
        <v>0</v>
      </c>
      <c r="N521" t="n">
        <v>0</v>
      </c>
      <c r="O521" t="n">
        <v>0</v>
      </c>
      <c r="P521" t="n">
        <v>0</v>
      </c>
      <c r="Q521" t="n">
        <v>0</v>
      </c>
      <c r="R521" s="2" t="inlineStr"/>
    </row>
    <row r="522" ht="15" customHeight="1">
      <c r="A522" t="inlineStr">
        <is>
          <t>A 5353-2021</t>
        </is>
      </c>
      <c r="B522" s="1" t="n">
        <v>44228</v>
      </c>
      <c r="C522" s="1" t="n">
        <v>45787</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5273-2021</t>
        </is>
      </c>
      <c r="B523" s="1" t="n">
        <v>44229</v>
      </c>
      <c r="C523" s="1" t="n">
        <v>45787</v>
      </c>
      <c r="D523" t="inlineStr">
        <is>
          <t>JÄMTLANDS LÄN</t>
        </is>
      </c>
      <c r="E523" t="inlineStr">
        <is>
          <t>HÄRJEDALEN</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5237-2021</t>
        </is>
      </c>
      <c r="B524" s="1" t="n">
        <v>44229</v>
      </c>
      <c r="C524" s="1" t="n">
        <v>45787</v>
      </c>
      <c r="D524" t="inlineStr">
        <is>
          <t>JÄMTLANDS LÄN</t>
        </is>
      </c>
      <c r="E524" t="inlineStr">
        <is>
          <t>HÄRJEDALEN</t>
        </is>
      </c>
      <c r="F524" t="inlineStr">
        <is>
          <t>Holmen skog AB</t>
        </is>
      </c>
      <c r="G524" t="n">
        <v>2</v>
      </c>
      <c r="H524" t="n">
        <v>0</v>
      </c>
      <c r="I524" t="n">
        <v>0</v>
      </c>
      <c r="J524" t="n">
        <v>0</v>
      </c>
      <c r="K524" t="n">
        <v>0</v>
      </c>
      <c r="L524" t="n">
        <v>0</v>
      </c>
      <c r="M524" t="n">
        <v>0</v>
      </c>
      <c r="N524" t="n">
        <v>0</v>
      </c>
      <c r="O524" t="n">
        <v>0</v>
      </c>
      <c r="P524" t="n">
        <v>0</v>
      </c>
      <c r="Q524" t="n">
        <v>0</v>
      </c>
      <c r="R524" s="2" t="inlineStr"/>
    </row>
    <row r="525" ht="15" customHeight="1">
      <c r="A525" t="inlineStr">
        <is>
          <t>A 5519-2021</t>
        </is>
      </c>
      <c r="B525" s="1" t="n">
        <v>44230</v>
      </c>
      <c r="C525" s="1" t="n">
        <v>45787</v>
      </c>
      <c r="D525" t="inlineStr">
        <is>
          <t>JÄMTLANDS LÄN</t>
        </is>
      </c>
      <c r="E525" t="inlineStr">
        <is>
          <t>HÄRJEDALEN</t>
        </is>
      </c>
      <c r="G525" t="n">
        <v>10.8</v>
      </c>
      <c r="H525" t="n">
        <v>0</v>
      </c>
      <c r="I525" t="n">
        <v>0</v>
      </c>
      <c r="J525" t="n">
        <v>0</v>
      </c>
      <c r="K525" t="n">
        <v>0</v>
      </c>
      <c r="L525" t="n">
        <v>0</v>
      </c>
      <c r="M525" t="n">
        <v>0</v>
      </c>
      <c r="N525" t="n">
        <v>0</v>
      </c>
      <c r="O525" t="n">
        <v>0</v>
      </c>
      <c r="P525" t="n">
        <v>0</v>
      </c>
      <c r="Q525" t="n">
        <v>0</v>
      </c>
      <c r="R525" s="2" t="inlineStr"/>
    </row>
    <row r="526" ht="15" customHeight="1">
      <c r="A526" t="inlineStr">
        <is>
          <t>A 5993-2021</t>
        </is>
      </c>
      <c r="B526" s="1" t="n">
        <v>44231</v>
      </c>
      <c r="C526" s="1" t="n">
        <v>45787</v>
      </c>
      <c r="D526" t="inlineStr">
        <is>
          <t>JÄMTLANDS LÄN</t>
        </is>
      </c>
      <c r="E526" t="inlineStr">
        <is>
          <t>HÄRJEDALEN</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7087-2021</t>
        </is>
      </c>
      <c r="B527" s="1" t="n">
        <v>44238</v>
      </c>
      <c r="C527" s="1" t="n">
        <v>45787</v>
      </c>
      <c r="D527" t="inlineStr">
        <is>
          <t>JÄMTLANDS LÄN</t>
        </is>
      </c>
      <c r="E527" t="inlineStr">
        <is>
          <t>HÄRJEDALEN</t>
        </is>
      </c>
      <c r="F527" t="inlineStr">
        <is>
          <t>Holmen skog AB</t>
        </is>
      </c>
      <c r="G527" t="n">
        <v>14.9</v>
      </c>
      <c r="H527" t="n">
        <v>0</v>
      </c>
      <c r="I527" t="n">
        <v>0</v>
      </c>
      <c r="J527" t="n">
        <v>0</v>
      </c>
      <c r="K527" t="n">
        <v>0</v>
      </c>
      <c r="L527" t="n">
        <v>0</v>
      </c>
      <c r="M527" t="n">
        <v>0</v>
      </c>
      <c r="N527" t="n">
        <v>0</v>
      </c>
      <c r="O527" t="n">
        <v>0</v>
      </c>
      <c r="P527" t="n">
        <v>0</v>
      </c>
      <c r="Q527" t="n">
        <v>0</v>
      </c>
      <c r="R527" s="2" t="inlineStr"/>
    </row>
    <row r="528" ht="15" customHeight="1">
      <c r="A528" t="inlineStr">
        <is>
          <t>A 7112-2021</t>
        </is>
      </c>
      <c r="B528" s="1" t="n">
        <v>44238</v>
      </c>
      <c r="C528" s="1" t="n">
        <v>45787</v>
      </c>
      <c r="D528" t="inlineStr">
        <is>
          <t>JÄMTLANDS LÄN</t>
        </is>
      </c>
      <c r="E528" t="inlineStr">
        <is>
          <t>HÄRJEDALEN</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7097-2021</t>
        </is>
      </c>
      <c r="B529" s="1" t="n">
        <v>44238</v>
      </c>
      <c r="C529" s="1" t="n">
        <v>45787</v>
      </c>
      <c r="D529" t="inlineStr">
        <is>
          <t>JÄMTLANDS LÄN</t>
        </is>
      </c>
      <c r="E529" t="inlineStr">
        <is>
          <t>HÄRJEDALEN</t>
        </is>
      </c>
      <c r="F529" t="inlineStr">
        <is>
          <t>Holmen skog AB</t>
        </is>
      </c>
      <c r="G529" t="n">
        <v>3.9</v>
      </c>
      <c r="H529" t="n">
        <v>0</v>
      </c>
      <c r="I529" t="n">
        <v>0</v>
      </c>
      <c r="J529" t="n">
        <v>0</v>
      </c>
      <c r="K529" t="n">
        <v>0</v>
      </c>
      <c r="L529" t="n">
        <v>0</v>
      </c>
      <c r="M529" t="n">
        <v>0</v>
      </c>
      <c r="N529" t="n">
        <v>0</v>
      </c>
      <c r="O529" t="n">
        <v>0</v>
      </c>
      <c r="P529" t="n">
        <v>0</v>
      </c>
      <c r="Q529" t="n">
        <v>0</v>
      </c>
      <c r="R529" s="2" t="inlineStr"/>
    </row>
    <row r="530" ht="15" customHeight="1">
      <c r="A530" t="inlineStr">
        <is>
          <t>A 7086-2021</t>
        </is>
      </c>
      <c r="B530" s="1" t="n">
        <v>44238</v>
      </c>
      <c r="C530" s="1" t="n">
        <v>45787</v>
      </c>
      <c r="D530" t="inlineStr">
        <is>
          <t>JÄMTLANDS LÄN</t>
        </is>
      </c>
      <c r="E530" t="inlineStr">
        <is>
          <t>HÄRJEDALEN</t>
        </is>
      </c>
      <c r="F530" t="inlineStr">
        <is>
          <t>Holmen skog AB</t>
        </is>
      </c>
      <c r="G530" t="n">
        <v>8.6</v>
      </c>
      <c r="H530" t="n">
        <v>0</v>
      </c>
      <c r="I530" t="n">
        <v>0</v>
      </c>
      <c r="J530" t="n">
        <v>0</v>
      </c>
      <c r="K530" t="n">
        <v>0</v>
      </c>
      <c r="L530" t="n">
        <v>0</v>
      </c>
      <c r="M530" t="n">
        <v>0</v>
      </c>
      <c r="N530" t="n">
        <v>0</v>
      </c>
      <c r="O530" t="n">
        <v>0</v>
      </c>
      <c r="P530" t="n">
        <v>0</v>
      </c>
      <c r="Q530" t="n">
        <v>0</v>
      </c>
      <c r="R530" s="2" t="inlineStr"/>
    </row>
    <row r="531" ht="15" customHeight="1">
      <c r="A531" t="inlineStr">
        <is>
          <t>A 7110-2021</t>
        </is>
      </c>
      <c r="B531" s="1" t="n">
        <v>44238</v>
      </c>
      <c r="C531" s="1" t="n">
        <v>45787</v>
      </c>
      <c r="D531" t="inlineStr">
        <is>
          <t>JÄMTLANDS LÄN</t>
        </is>
      </c>
      <c r="E531" t="inlineStr">
        <is>
          <t>HÄRJEDALEN</t>
        </is>
      </c>
      <c r="F531" t="inlineStr">
        <is>
          <t>Holmen skog AB</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7427-2021</t>
        </is>
      </c>
      <c r="B532" s="1" t="n">
        <v>44239</v>
      </c>
      <c r="C532" s="1" t="n">
        <v>45787</v>
      </c>
      <c r="D532" t="inlineStr">
        <is>
          <t>JÄMTLANDS LÄN</t>
        </is>
      </c>
      <c r="E532" t="inlineStr">
        <is>
          <t>HÄRJEDALEN</t>
        </is>
      </c>
      <c r="F532" t="inlineStr">
        <is>
          <t>Holmen skog AB</t>
        </is>
      </c>
      <c r="G532" t="n">
        <v>6.1</v>
      </c>
      <c r="H532" t="n">
        <v>0</v>
      </c>
      <c r="I532" t="n">
        <v>0</v>
      </c>
      <c r="J532" t="n">
        <v>0</v>
      </c>
      <c r="K532" t="n">
        <v>0</v>
      </c>
      <c r="L532" t="n">
        <v>0</v>
      </c>
      <c r="M532" t="n">
        <v>0</v>
      </c>
      <c r="N532" t="n">
        <v>0</v>
      </c>
      <c r="O532" t="n">
        <v>0</v>
      </c>
      <c r="P532" t="n">
        <v>0</v>
      </c>
      <c r="Q532" t="n">
        <v>0</v>
      </c>
      <c r="R532" s="2" t="inlineStr"/>
    </row>
    <row r="533" ht="15" customHeight="1">
      <c r="A533" t="inlineStr">
        <is>
          <t>A 7570-2021</t>
        </is>
      </c>
      <c r="B533" s="1" t="n">
        <v>44239</v>
      </c>
      <c r="C533" s="1" t="n">
        <v>45787</v>
      </c>
      <c r="D533" t="inlineStr">
        <is>
          <t>JÄMTLANDS LÄN</t>
        </is>
      </c>
      <c r="E533" t="inlineStr">
        <is>
          <t>HÄRJEDALEN</t>
        </is>
      </c>
      <c r="G533" t="n">
        <v>6.2</v>
      </c>
      <c r="H533" t="n">
        <v>0</v>
      </c>
      <c r="I533" t="n">
        <v>0</v>
      </c>
      <c r="J533" t="n">
        <v>0</v>
      </c>
      <c r="K533" t="n">
        <v>0</v>
      </c>
      <c r="L533" t="n">
        <v>0</v>
      </c>
      <c r="M533" t="n">
        <v>0</v>
      </c>
      <c r="N533" t="n">
        <v>0</v>
      </c>
      <c r="O533" t="n">
        <v>0</v>
      </c>
      <c r="P533" t="n">
        <v>0</v>
      </c>
      <c r="Q533" t="n">
        <v>0</v>
      </c>
      <c r="R533" s="2" t="inlineStr"/>
    </row>
    <row r="534" ht="15" customHeight="1">
      <c r="A534" t="inlineStr">
        <is>
          <t>A 7731-2021</t>
        </is>
      </c>
      <c r="B534" s="1" t="n">
        <v>44242</v>
      </c>
      <c r="C534" s="1" t="n">
        <v>45787</v>
      </c>
      <c r="D534" t="inlineStr">
        <is>
          <t>JÄMTLANDS LÄN</t>
        </is>
      </c>
      <c r="E534" t="inlineStr">
        <is>
          <t>HÄRJEDALEN</t>
        </is>
      </c>
      <c r="G534" t="n">
        <v>13.6</v>
      </c>
      <c r="H534" t="n">
        <v>0</v>
      </c>
      <c r="I534" t="n">
        <v>0</v>
      </c>
      <c r="J534" t="n">
        <v>0</v>
      </c>
      <c r="K534" t="n">
        <v>0</v>
      </c>
      <c r="L534" t="n">
        <v>0</v>
      </c>
      <c r="M534" t="n">
        <v>0</v>
      </c>
      <c r="N534" t="n">
        <v>0</v>
      </c>
      <c r="O534" t="n">
        <v>0</v>
      </c>
      <c r="P534" t="n">
        <v>0</v>
      </c>
      <c r="Q534" t="n">
        <v>0</v>
      </c>
      <c r="R534" s="2" t="inlineStr"/>
    </row>
    <row r="535" ht="15" customHeight="1">
      <c r="A535" t="inlineStr">
        <is>
          <t>A 8055-2021</t>
        </is>
      </c>
      <c r="B535" s="1" t="n">
        <v>44243</v>
      </c>
      <c r="C535" s="1" t="n">
        <v>45787</v>
      </c>
      <c r="D535" t="inlineStr">
        <is>
          <t>JÄMTLANDS LÄN</t>
        </is>
      </c>
      <c r="E535" t="inlineStr">
        <is>
          <t>HÄRJEDALEN</t>
        </is>
      </c>
      <c r="G535" t="n">
        <v>1.6</v>
      </c>
      <c r="H535" t="n">
        <v>0</v>
      </c>
      <c r="I535" t="n">
        <v>0</v>
      </c>
      <c r="J535" t="n">
        <v>0</v>
      </c>
      <c r="K535" t="n">
        <v>0</v>
      </c>
      <c r="L535" t="n">
        <v>0</v>
      </c>
      <c r="M535" t="n">
        <v>0</v>
      </c>
      <c r="N535" t="n">
        <v>0</v>
      </c>
      <c r="O535" t="n">
        <v>0</v>
      </c>
      <c r="P535" t="n">
        <v>0</v>
      </c>
      <c r="Q535" t="n">
        <v>0</v>
      </c>
      <c r="R535" s="2" t="inlineStr"/>
    </row>
    <row r="536" ht="15" customHeight="1">
      <c r="A536" t="inlineStr">
        <is>
          <t>A 9470-2021</t>
        </is>
      </c>
      <c r="B536" s="1" t="n">
        <v>44251</v>
      </c>
      <c r="C536" s="1" t="n">
        <v>45787</v>
      </c>
      <c r="D536" t="inlineStr">
        <is>
          <t>JÄMTLANDS LÄN</t>
        </is>
      </c>
      <c r="E536" t="inlineStr">
        <is>
          <t>HÄRJEDALEN</t>
        </is>
      </c>
      <c r="G536" t="n">
        <v>12.4</v>
      </c>
      <c r="H536" t="n">
        <v>0</v>
      </c>
      <c r="I536" t="n">
        <v>0</v>
      </c>
      <c r="J536" t="n">
        <v>0</v>
      </c>
      <c r="K536" t="n">
        <v>0</v>
      </c>
      <c r="L536" t="n">
        <v>0</v>
      </c>
      <c r="M536" t="n">
        <v>0</v>
      </c>
      <c r="N536" t="n">
        <v>0</v>
      </c>
      <c r="O536" t="n">
        <v>0</v>
      </c>
      <c r="P536" t="n">
        <v>0</v>
      </c>
      <c r="Q536" t="n">
        <v>0</v>
      </c>
      <c r="R536" s="2" t="inlineStr"/>
    </row>
    <row r="537" ht="15" customHeight="1">
      <c r="A537" t="inlineStr">
        <is>
          <t>A 10530-2021</t>
        </is>
      </c>
      <c r="B537" s="1" t="n">
        <v>44258</v>
      </c>
      <c r="C537" s="1" t="n">
        <v>45787</v>
      </c>
      <c r="D537" t="inlineStr">
        <is>
          <t>JÄMTLANDS LÄN</t>
        </is>
      </c>
      <c r="E537" t="inlineStr">
        <is>
          <t>HÄRJEDALEN</t>
        </is>
      </c>
      <c r="G537" t="n">
        <v>19.5</v>
      </c>
      <c r="H537" t="n">
        <v>0</v>
      </c>
      <c r="I537" t="n">
        <v>0</v>
      </c>
      <c r="J537" t="n">
        <v>0</v>
      </c>
      <c r="K537" t="n">
        <v>0</v>
      </c>
      <c r="L537" t="n">
        <v>0</v>
      </c>
      <c r="M537" t="n">
        <v>0</v>
      </c>
      <c r="N537" t="n">
        <v>0</v>
      </c>
      <c r="O537" t="n">
        <v>0</v>
      </c>
      <c r="P537" t="n">
        <v>0</v>
      </c>
      <c r="Q537" t="n">
        <v>0</v>
      </c>
      <c r="R537" s="2" t="inlineStr"/>
    </row>
    <row r="538" ht="15" customHeight="1">
      <c r="A538" t="inlineStr">
        <is>
          <t>A 10536-2021</t>
        </is>
      </c>
      <c r="B538" s="1" t="n">
        <v>44258</v>
      </c>
      <c r="C538" s="1" t="n">
        <v>45787</v>
      </c>
      <c r="D538" t="inlineStr">
        <is>
          <t>JÄMTLANDS LÄN</t>
        </is>
      </c>
      <c r="E538" t="inlineStr">
        <is>
          <t>HÄRJEDALEN</t>
        </is>
      </c>
      <c r="G538" t="n">
        <v>18.7</v>
      </c>
      <c r="H538" t="n">
        <v>0</v>
      </c>
      <c r="I538" t="n">
        <v>0</v>
      </c>
      <c r="J538" t="n">
        <v>0</v>
      </c>
      <c r="K538" t="n">
        <v>0</v>
      </c>
      <c r="L538" t="n">
        <v>0</v>
      </c>
      <c r="M538" t="n">
        <v>0</v>
      </c>
      <c r="N538" t="n">
        <v>0</v>
      </c>
      <c r="O538" t="n">
        <v>0</v>
      </c>
      <c r="P538" t="n">
        <v>0</v>
      </c>
      <c r="Q538" t="n">
        <v>0</v>
      </c>
      <c r="R538" s="2" t="inlineStr"/>
    </row>
    <row r="539" ht="15" customHeight="1">
      <c r="A539" t="inlineStr">
        <is>
          <t>A 12629-2021</t>
        </is>
      </c>
      <c r="B539" s="1" t="n">
        <v>44270</v>
      </c>
      <c r="C539" s="1" t="n">
        <v>45787</v>
      </c>
      <c r="D539" t="inlineStr">
        <is>
          <t>JÄMTLANDS LÄN</t>
        </is>
      </c>
      <c r="E539" t="inlineStr">
        <is>
          <t>HÄRJEDALEN</t>
        </is>
      </c>
      <c r="G539" t="n">
        <v>20.7</v>
      </c>
      <c r="H539" t="n">
        <v>0</v>
      </c>
      <c r="I539" t="n">
        <v>0</v>
      </c>
      <c r="J539" t="n">
        <v>0</v>
      </c>
      <c r="K539" t="n">
        <v>0</v>
      </c>
      <c r="L539" t="n">
        <v>0</v>
      </c>
      <c r="M539" t="n">
        <v>0</v>
      </c>
      <c r="N539" t="n">
        <v>0</v>
      </c>
      <c r="O539" t="n">
        <v>0</v>
      </c>
      <c r="P539" t="n">
        <v>0</v>
      </c>
      <c r="Q539" t="n">
        <v>0</v>
      </c>
      <c r="R539" s="2" t="inlineStr"/>
    </row>
    <row r="540" ht="15" customHeight="1">
      <c r="A540" t="inlineStr">
        <is>
          <t>A 14798-2021</t>
        </is>
      </c>
      <c r="B540" s="1" t="n">
        <v>44280</v>
      </c>
      <c r="C540" s="1" t="n">
        <v>45787</v>
      </c>
      <c r="D540" t="inlineStr">
        <is>
          <t>JÄMTLANDS LÄN</t>
        </is>
      </c>
      <c r="E540" t="inlineStr">
        <is>
          <t>HÄRJEDALEN</t>
        </is>
      </c>
      <c r="G540" t="n">
        <v>2.6</v>
      </c>
      <c r="H540" t="n">
        <v>0</v>
      </c>
      <c r="I540" t="n">
        <v>0</v>
      </c>
      <c r="J540" t="n">
        <v>0</v>
      </c>
      <c r="K540" t="n">
        <v>0</v>
      </c>
      <c r="L540" t="n">
        <v>0</v>
      </c>
      <c r="M540" t="n">
        <v>0</v>
      </c>
      <c r="N540" t="n">
        <v>0</v>
      </c>
      <c r="O540" t="n">
        <v>0</v>
      </c>
      <c r="P540" t="n">
        <v>0</v>
      </c>
      <c r="Q540" t="n">
        <v>0</v>
      </c>
      <c r="R540" s="2" t="inlineStr"/>
    </row>
    <row r="541" ht="15" customHeight="1">
      <c r="A541" t="inlineStr">
        <is>
          <t>A 15580-2021</t>
        </is>
      </c>
      <c r="B541" s="1" t="n">
        <v>44285</v>
      </c>
      <c r="C541" s="1" t="n">
        <v>45787</v>
      </c>
      <c r="D541" t="inlineStr">
        <is>
          <t>JÄMTLANDS LÄN</t>
        </is>
      </c>
      <c r="E541" t="inlineStr">
        <is>
          <t>HÄRJEDALEN</t>
        </is>
      </c>
      <c r="G541" t="n">
        <v>22.1</v>
      </c>
      <c r="H541" t="n">
        <v>0</v>
      </c>
      <c r="I541" t="n">
        <v>0</v>
      </c>
      <c r="J541" t="n">
        <v>0</v>
      </c>
      <c r="K541" t="n">
        <v>0</v>
      </c>
      <c r="L541" t="n">
        <v>0</v>
      </c>
      <c r="M541" t="n">
        <v>0</v>
      </c>
      <c r="N541" t="n">
        <v>0</v>
      </c>
      <c r="O541" t="n">
        <v>0</v>
      </c>
      <c r="P541" t="n">
        <v>0</v>
      </c>
      <c r="Q541" t="n">
        <v>0</v>
      </c>
      <c r="R541" s="2" t="inlineStr"/>
    </row>
    <row r="542" ht="15" customHeight="1">
      <c r="A542" t="inlineStr">
        <is>
          <t>A 15585-2021</t>
        </is>
      </c>
      <c r="B542" s="1" t="n">
        <v>44285</v>
      </c>
      <c r="C542" s="1" t="n">
        <v>45787</v>
      </c>
      <c r="D542" t="inlineStr">
        <is>
          <t>JÄMTLANDS LÄN</t>
        </is>
      </c>
      <c r="E542" t="inlineStr">
        <is>
          <t>HÄRJEDALEN</t>
        </is>
      </c>
      <c r="G542" t="n">
        <v>21.2</v>
      </c>
      <c r="H542" t="n">
        <v>0</v>
      </c>
      <c r="I542" t="n">
        <v>0</v>
      </c>
      <c r="J542" t="n">
        <v>0</v>
      </c>
      <c r="K542" t="n">
        <v>0</v>
      </c>
      <c r="L542" t="n">
        <v>0</v>
      </c>
      <c r="M542" t="n">
        <v>0</v>
      </c>
      <c r="N542" t="n">
        <v>0</v>
      </c>
      <c r="O542" t="n">
        <v>0</v>
      </c>
      <c r="P542" t="n">
        <v>0</v>
      </c>
      <c r="Q542" t="n">
        <v>0</v>
      </c>
      <c r="R542" s="2" t="inlineStr"/>
    </row>
    <row r="543" ht="15" customHeight="1">
      <c r="A543" t="inlineStr">
        <is>
          <t>A 15594-2021</t>
        </is>
      </c>
      <c r="B543" s="1" t="n">
        <v>44285</v>
      </c>
      <c r="C543" s="1" t="n">
        <v>45787</v>
      </c>
      <c r="D543" t="inlineStr">
        <is>
          <t>JÄMTLANDS LÄN</t>
        </is>
      </c>
      <c r="E543" t="inlineStr">
        <is>
          <t>HÄRJEDALEN</t>
        </is>
      </c>
      <c r="G543" t="n">
        <v>28.5</v>
      </c>
      <c r="H543" t="n">
        <v>0</v>
      </c>
      <c r="I543" t="n">
        <v>0</v>
      </c>
      <c r="J543" t="n">
        <v>0</v>
      </c>
      <c r="K543" t="n">
        <v>0</v>
      </c>
      <c r="L543" t="n">
        <v>0</v>
      </c>
      <c r="M543" t="n">
        <v>0</v>
      </c>
      <c r="N543" t="n">
        <v>0</v>
      </c>
      <c r="O543" t="n">
        <v>0</v>
      </c>
      <c r="P543" t="n">
        <v>0</v>
      </c>
      <c r="Q543" t="n">
        <v>0</v>
      </c>
      <c r="R543" s="2" t="inlineStr"/>
    </row>
    <row r="544" ht="15" customHeight="1">
      <c r="A544" t="inlineStr">
        <is>
          <t>A 15681-2021</t>
        </is>
      </c>
      <c r="B544" s="1" t="n">
        <v>44286</v>
      </c>
      <c r="C544" s="1" t="n">
        <v>45787</v>
      </c>
      <c r="D544" t="inlineStr">
        <is>
          <t>JÄMTLANDS LÄN</t>
        </is>
      </c>
      <c r="E544" t="inlineStr">
        <is>
          <t>HÄRJEDALEN</t>
        </is>
      </c>
      <c r="G544" t="n">
        <v>9.6</v>
      </c>
      <c r="H544" t="n">
        <v>0</v>
      </c>
      <c r="I544" t="n">
        <v>0</v>
      </c>
      <c r="J544" t="n">
        <v>0</v>
      </c>
      <c r="K544" t="n">
        <v>0</v>
      </c>
      <c r="L544" t="n">
        <v>0</v>
      </c>
      <c r="M544" t="n">
        <v>0</v>
      </c>
      <c r="N544" t="n">
        <v>0</v>
      </c>
      <c r="O544" t="n">
        <v>0</v>
      </c>
      <c r="P544" t="n">
        <v>0</v>
      </c>
      <c r="Q544" t="n">
        <v>0</v>
      </c>
      <c r="R544" s="2" t="inlineStr"/>
    </row>
    <row r="545" ht="15" customHeight="1">
      <c r="A545" t="inlineStr">
        <is>
          <t>A 15685-2021</t>
        </is>
      </c>
      <c r="B545" s="1" t="n">
        <v>44286</v>
      </c>
      <c r="C545" s="1" t="n">
        <v>45787</v>
      </c>
      <c r="D545" t="inlineStr">
        <is>
          <t>JÄMTLANDS LÄN</t>
        </is>
      </c>
      <c r="E545" t="inlineStr">
        <is>
          <t>HÄRJEDALEN</t>
        </is>
      </c>
      <c r="G545" t="n">
        <v>3.6</v>
      </c>
      <c r="H545" t="n">
        <v>0</v>
      </c>
      <c r="I545" t="n">
        <v>0</v>
      </c>
      <c r="J545" t="n">
        <v>0</v>
      </c>
      <c r="K545" t="n">
        <v>0</v>
      </c>
      <c r="L545" t="n">
        <v>0</v>
      </c>
      <c r="M545" t="n">
        <v>0</v>
      </c>
      <c r="N545" t="n">
        <v>0</v>
      </c>
      <c r="O545" t="n">
        <v>0</v>
      </c>
      <c r="P545" t="n">
        <v>0</v>
      </c>
      <c r="Q545" t="n">
        <v>0</v>
      </c>
      <c r="R545" s="2" t="inlineStr"/>
    </row>
    <row r="546" ht="15" customHeight="1">
      <c r="A546" t="inlineStr">
        <is>
          <t>A 17187-2021</t>
        </is>
      </c>
      <c r="B546" s="1" t="n">
        <v>44298</v>
      </c>
      <c r="C546" s="1" t="n">
        <v>45787</v>
      </c>
      <c r="D546" t="inlineStr">
        <is>
          <t>JÄMTLANDS LÄN</t>
        </is>
      </c>
      <c r="E546" t="inlineStr">
        <is>
          <t>HÄRJEDALEN</t>
        </is>
      </c>
      <c r="G546" t="n">
        <v>20.1</v>
      </c>
      <c r="H546" t="n">
        <v>0</v>
      </c>
      <c r="I546" t="n">
        <v>0</v>
      </c>
      <c r="J546" t="n">
        <v>0</v>
      </c>
      <c r="K546" t="n">
        <v>0</v>
      </c>
      <c r="L546" t="n">
        <v>0</v>
      </c>
      <c r="M546" t="n">
        <v>0</v>
      </c>
      <c r="N546" t="n">
        <v>0</v>
      </c>
      <c r="O546" t="n">
        <v>0</v>
      </c>
      <c r="P546" t="n">
        <v>0</v>
      </c>
      <c r="Q546" t="n">
        <v>0</v>
      </c>
      <c r="R546" s="2" t="inlineStr"/>
    </row>
    <row r="547" ht="15" customHeight="1">
      <c r="A547" t="inlineStr">
        <is>
          <t>A 17705-2021</t>
        </is>
      </c>
      <c r="B547" s="1" t="n">
        <v>44300</v>
      </c>
      <c r="C547" s="1" t="n">
        <v>45787</v>
      </c>
      <c r="D547" t="inlineStr">
        <is>
          <t>JÄMTLANDS LÄN</t>
        </is>
      </c>
      <c r="E547" t="inlineStr">
        <is>
          <t>HÄRJEDALEN</t>
        </is>
      </c>
      <c r="G547" t="n">
        <v>5.2</v>
      </c>
      <c r="H547" t="n">
        <v>0</v>
      </c>
      <c r="I547" t="n">
        <v>0</v>
      </c>
      <c r="J547" t="n">
        <v>0</v>
      </c>
      <c r="K547" t="n">
        <v>0</v>
      </c>
      <c r="L547" t="n">
        <v>0</v>
      </c>
      <c r="M547" t="n">
        <v>0</v>
      </c>
      <c r="N547" t="n">
        <v>0</v>
      </c>
      <c r="O547" t="n">
        <v>0</v>
      </c>
      <c r="P547" t="n">
        <v>0</v>
      </c>
      <c r="Q547" t="n">
        <v>0</v>
      </c>
      <c r="R547" s="2" t="inlineStr"/>
    </row>
    <row r="548" ht="15" customHeight="1">
      <c r="A548" t="inlineStr">
        <is>
          <t>A 18389-2021</t>
        </is>
      </c>
      <c r="B548" s="1" t="n">
        <v>44305</v>
      </c>
      <c r="C548" s="1" t="n">
        <v>45787</v>
      </c>
      <c r="D548" t="inlineStr">
        <is>
          <t>JÄMTLANDS LÄN</t>
        </is>
      </c>
      <c r="E548" t="inlineStr">
        <is>
          <t>HÄRJEDALEN</t>
        </is>
      </c>
      <c r="G548" t="n">
        <v>1.3</v>
      </c>
      <c r="H548" t="n">
        <v>0</v>
      </c>
      <c r="I548" t="n">
        <v>0</v>
      </c>
      <c r="J548" t="n">
        <v>0</v>
      </c>
      <c r="K548" t="n">
        <v>0</v>
      </c>
      <c r="L548" t="n">
        <v>0</v>
      </c>
      <c r="M548" t="n">
        <v>0</v>
      </c>
      <c r="N548" t="n">
        <v>0</v>
      </c>
      <c r="O548" t="n">
        <v>0</v>
      </c>
      <c r="P548" t="n">
        <v>0</v>
      </c>
      <c r="Q548" t="n">
        <v>0</v>
      </c>
      <c r="R548" s="2" t="inlineStr"/>
    </row>
    <row r="549" ht="15" customHeight="1">
      <c r="A549" t="inlineStr">
        <is>
          <t>A 19958-2021</t>
        </is>
      </c>
      <c r="B549" s="1" t="n">
        <v>44312</v>
      </c>
      <c r="C549" s="1" t="n">
        <v>45787</v>
      </c>
      <c r="D549" t="inlineStr">
        <is>
          <t>JÄMTLANDS LÄN</t>
        </is>
      </c>
      <c r="E549" t="inlineStr">
        <is>
          <t>HÄRJEDALEN</t>
        </is>
      </c>
      <c r="G549" t="n">
        <v>10.7</v>
      </c>
      <c r="H549" t="n">
        <v>0</v>
      </c>
      <c r="I549" t="n">
        <v>0</v>
      </c>
      <c r="J549" t="n">
        <v>0</v>
      </c>
      <c r="K549" t="n">
        <v>0</v>
      </c>
      <c r="L549" t="n">
        <v>0</v>
      </c>
      <c r="M549" t="n">
        <v>0</v>
      </c>
      <c r="N549" t="n">
        <v>0</v>
      </c>
      <c r="O549" t="n">
        <v>0</v>
      </c>
      <c r="P549" t="n">
        <v>0</v>
      </c>
      <c r="Q549" t="n">
        <v>0</v>
      </c>
      <c r="R549" s="2" t="inlineStr"/>
    </row>
    <row r="550" ht="15" customHeight="1">
      <c r="A550" t="inlineStr">
        <is>
          <t>A 19955-2021</t>
        </is>
      </c>
      <c r="B550" s="1" t="n">
        <v>44312</v>
      </c>
      <c r="C550" s="1" t="n">
        <v>45787</v>
      </c>
      <c r="D550" t="inlineStr">
        <is>
          <t>JÄMTLANDS LÄN</t>
        </is>
      </c>
      <c r="E550" t="inlineStr">
        <is>
          <t>HÄRJEDALEN</t>
        </is>
      </c>
      <c r="G550" t="n">
        <v>4.6</v>
      </c>
      <c r="H550" t="n">
        <v>0</v>
      </c>
      <c r="I550" t="n">
        <v>0</v>
      </c>
      <c r="J550" t="n">
        <v>0</v>
      </c>
      <c r="K550" t="n">
        <v>0</v>
      </c>
      <c r="L550" t="n">
        <v>0</v>
      </c>
      <c r="M550" t="n">
        <v>0</v>
      </c>
      <c r="N550" t="n">
        <v>0</v>
      </c>
      <c r="O550" t="n">
        <v>0</v>
      </c>
      <c r="P550" t="n">
        <v>0</v>
      </c>
      <c r="Q550" t="n">
        <v>0</v>
      </c>
      <c r="R550" s="2" t="inlineStr"/>
    </row>
    <row r="551" ht="15" customHeight="1">
      <c r="A551" t="inlineStr">
        <is>
          <t>A 19962-2021</t>
        </is>
      </c>
      <c r="B551" s="1" t="n">
        <v>44312</v>
      </c>
      <c r="C551" s="1" t="n">
        <v>45787</v>
      </c>
      <c r="D551" t="inlineStr">
        <is>
          <t>JÄMTLANDS LÄN</t>
        </is>
      </c>
      <c r="E551" t="inlineStr">
        <is>
          <t>HÄRJEDALEN</t>
        </is>
      </c>
      <c r="G551" t="n">
        <v>3.7</v>
      </c>
      <c r="H551" t="n">
        <v>0</v>
      </c>
      <c r="I551" t="n">
        <v>0</v>
      </c>
      <c r="J551" t="n">
        <v>0</v>
      </c>
      <c r="K551" t="n">
        <v>0</v>
      </c>
      <c r="L551" t="n">
        <v>0</v>
      </c>
      <c r="M551" t="n">
        <v>0</v>
      </c>
      <c r="N551" t="n">
        <v>0</v>
      </c>
      <c r="O551" t="n">
        <v>0</v>
      </c>
      <c r="P551" t="n">
        <v>0</v>
      </c>
      <c r="Q551" t="n">
        <v>0</v>
      </c>
      <c r="R551" s="2" t="inlineStr"/>
    </row>
    <row r="552" ht="15" customHeight="1">
      <c r="A552" t="inlineStr">
        <is>
          <t>A 21593-2021</t>
        </is>
      </c>
      <c r="B552" s="1" t="n">
        <v>44314</v>
      </c>
      <c r="C552" s="1" t="n">
        <v>45787</v>
      </c>
      <c r="D552" t="inlineStr">
        <is>
          <t>JÄMTLANDS LÄN</t>
        </is>
      </c>
      <c r="E552" t="inlineStr">
        <is>
          <t>HÄRJEDALEN</t>
        </is>
      </c>
      <c r="G552" t="n">
        <v>7.7</v>
      </c>
      <c r="H552" t="n">
        <v>0</v>
      </c>
      <c r="I552" t="n">
        <v>0</v>
      </c>
      <c r="J552" t="n">
        <v>0</v>
      </c>
      <c r="K552" t="n">
        <v>0</v>
      </c>
      <c r="L552" t="n">
        <v>0</v>
      </c>
      <c r="M552" t="n">
        <v>0</v>
      </c>
      <c r="N552" t="n">
        <v>0</v>
      </c>
      <c r="O552" t="n">
        <v>0</v>
      </c>
      <c r="P552" t="n">
        <v>0</v>
      </c>
      <c r="Q552" t="n">
        <v>0</v>
      </c>
      <c r="R552" s="2" t="inlineStr"/>
    </row>
    <row r="553" ht="15" customHeight="1">
      <c r="A553" t="inlineStr">
        <is>
          <t>A 21596-2021</t>
        </is>
      </c>
      <c r="B553" s="1" t="n">
        <v>44314</v>
      </c>
      <c r="C553" s="1" t="n">
        <v>45787</v>
      </c>
      <c r="D553" t="inlineStr">
        <is>
          <t>JÄMTLANDS LÄN</t>
        </is>
      </c>
      <c r="E553" t="inlineStr">
        <is>
          <t>HÄRJEDALEN</t>
        </is>
      </c>
      <c r="G553" t="n">
        <v>18.2</v>
      </c>
      <c r="H553" t="n">
        <v>0</v>
      </c>
      <c r="I553" t="n">
        <v>0</v>
      </c>
      <c r="J553" t="n">
        <v>0</v>
      </c>
      <c r="K553" t="n">
        <v>0</v>
      </c>
      <c r="L553" t="n">
        <v>0</v>
      </c>
      <c r="M553" t="n">
        <v>0</v>
      </c>
      <c r="N553" t="n">
        <v>0</v>
      </c>
      <c r="O553" t="n">
        <v>0</v>
      </c>
      <c r="P553" t="n">
        <v>0</v>
      </c>
      <c r="Q553" t="n">
        <v>0</v>
      </c>
      <c r="R553" s="2" t="inlineStr"/>
    </row>
    <row r="554" ht="15" customHeight="1">
      <c r="A554" t="inlineStr">
        <is>
          <t>A 21837-2021</t>
        </is>
      </c>
      <c r="B554" s="1" t="n">
        <v>44316</v>
      </c>
      <c r="C554" s="1" t="n">
        <v>45787</v>
      </c>
      <c r="D554" t="inlineStr">
        <is>
          <t>JÄMTLANDS LÄN</t>
        </is>
      </c>
      <c r="E554" t="inlineStr">
        <is>
          <t>HÄRJEDALEN</t>
        </is>
      </c>
      <c r="G554" t="n">
        <v>20</v>
      </c>
      <c r="H554" t="n">
        <v>0</v>
      </c>
      <c r="I554" t="n">
        <v>0</v>
      </c>
      <c r="J554" t="n">
        <v>0</v>
      </c>
      <c r="K554" t="n">
        <v>0</v>
      </c>
      <c r="L554" t="n">
        <v>0</v>
      </c>
      <c r="M554" t="n">
        <v>0</v>
      </c>
      <c r="N554" t="n">
        <v>0</v>
      </c>
      <c r="O554" t="n">
        <v>0</v>
      </c>
      <c r="P554" t="n">
        <v>0</v>
      </c>
      <c r="Q554" t="n">
        <v>0</v>
      </c>
      <c r="R554" s="2" t="inlineStr"/>
    </row>
    <row r="555" ht="15" customHeight="1">
      <c r="A555" t="inlineStr">
        <is>
          <t>A 21702-2021</t>
        </is>
      </c>
      <c r="B555" s="1" t="n">
        <v>44316</v>
      </c>
      <c r="C555" s="1" t="n">
        <v>45787</v>
      </c>
      <c r="D555" t="inlineStr">
        <is>
          <t>JÄMTLANDS LÄN</t>
        </is>
      </c>
      <c r="E555" t="inlineStr">
        <is>
          <t>HÄRJEDALEN</t>
        </is>
      </c>
      <c r="G555" t="n">
        <v>2.9</v>
      </c>
      <c r="H555" t="n">
        <v>0</v>
      </c>
      <c r="I555" t="n">
        <v>0</v>
      </c>
      <c r="J555" t="n">
        <v>0</v>
      </c>
      <c r="K555" t="n">
        <v>0</v>
      </c>
      <c r="L555" t="n">
        <v>0</v>
      </c>
      <c r="M555" t="n">
        <v>0</v>
      </c>
      <c r="N555" t="n">
        <v>0</v>
      </c>
      <c r="O555" t="n">
        <v>0</v>
      </c>
      <c r="P555" t="n">
        <v>0</v>
      </c>
      <c r="Q555" t="n">
        <v>0</v>
      </c>
      <c r="R555" s="2" t="inlineStr"/>
    </row>
    <row r="556" ht="15" customHeight="1">
      <c r="A556" t="inlineStr">
        <is>
          <t>A 21833-2021</t>
        </is>
      </c>
      <c r="B556" s="1" t="n">
        <v>44316</v>
      </c>
      <c r="C556" s="1" t="n">
        <v>45787</v>
      </c>
      <c r="D556" t="inlineStr">
        <is>
          <t>JÄMTLANDS LÄN</t>
        </is>
      </c>
      <c r="E556" t="inlineStr">
        <is>
          <t>HÄRJEDALEN</t>
        </is>
      </c>
      <c r="G556" t="n">
        <v>20.2</v>
      </c>
      <c r="H556" t="n">
        <v>0</v>
      </c>
      <c r="I556" t="n">
        <v>0</v>
      </c>
      <c r="J556" t="n">
        <v>0</v>
      </c>
      <c r="K556" t="n">
        <v>0</v>
      </c>
      <c r="L556" t="n">
        <v>0</v>
      </c>
      <c r="M556" t="n">
        <v>0</v>
      </c>
      <c r="N556" t="n">
        <v>0</v>
      </c>
      <c r="O556" t="n">
        <v>0</v>
      </c>
      <c r="P556" t="n">
        <v>0</v>
      </c>
      <c r="Q556" t="n">
        <v>0</v>
      </c>
      <c r="R556" s="2" t="inlineStr"/>
    </row>
    <row r="557" ht="15" customHeight="1">
      <c r="A557" t="inlineStr">
        <is>
          <t>A 21854-2021</t>
        </is>
      </c>
      <c r="B557" s="1" t="n">
        <v>44316</v>
      </c>
      <c r="C557" s="1" t="n">
        <v>45787</v>
      </c>
      <c r="D557" t="inlineStr">
        <is>
          <t>JÄMTLANDS LÄN</t>
        </is>
      </c>
      <c r="E557" t="inlineStr">
        <is>
          <t>HÄRJEDALEN</t>
        </is>
      </c>
      <c r="G557" t="n">
        <v>10.7</v>
      </c>
      <c r="H557" t="n">
        <v>0</v>
      </c>
      <c r="I557" t="n">
        <v>0</v>
      </c>
      <c r="J557" t="n">
        <v>0</v>
      </c>
      <c r="K557" t="n">
        <v>0</v>
      </c>
      <c r="L557" t="n">
        <v>0</v>
      </c>
      <c r="M557" t="n">
        <v>0</v>
      </c>
      <c r="N557" t="n">
        <v>0</v>
      </c>
      <c r="O557" t="n">
        <v>0</v>
      </c>
      <c r="P557" t="n">
        <v>0</v>
      </c>
      <c r="Q557" t="n">
        <v>0</v>
      </c>
      <c r="R557" s="2" t="inlineStr"/>
    </row>
    <row r="558" ht="15" customHeight="1">
      <c r="A558" t="inlineStr">
        <is>
          <t>A 21848-2021</t>
        </is>
      </c>
      <c r="B558" s="1" t="n">
        <v>44316</v>
      </c>
      <c r="C558" s="1" t="n">
        <v>45787</v>
      </c>
      <c r="D558" t="inlineStr">
        <is>
          <t>JÄMTLANDS LÄN</t>
        </is>
      </c>
      <c r="E558" t="inlineStr">
        <is>
          <t>HÄRJEDALEN</t>
        </is>
      </c>
      <c r="G558" t="n">
        <v>19.4</v>
      </c>
      <c r="H558" t="n">
        <v>0</v>
      </c>
      <c r="I558" t="n">
        <v>0</v>
      </c>
      <c r="J558" t="n">
        <v>0</v>
      </c>
      <c r="K558" t="n">
        <v>0</v>
      </c>
      <c r="L558" t="n">
        <v>0</v>
      </c>
      <c r="M558" t="n">
        <v>0</v>
      </c>
      <c r="N558" t="n">
        <v>0</v>
      </c>
      <c r="O558" t="n">
        <v>0</v>
      </c>
      <c r="P558" t="n">
        <v>0</v>
      </c>
      <c r="Q558" t="n">
        <v>0</v>
      </c>
      <c r="R558" s="2" t="inlineStr"/>
    </row>
    <row r="559" ht="15" customHeight="1">
      <c r="A559" t="inlineStr">
        <is>
          <t>A 21699-2021</t>
        </is>
      </c>
      <c r="B559" s="1" t="n">
        <v>44316</v>
      </c>
      <c r="C559" s="1" t="n">
        <v>45787</v>
      </c>
      <c r="D559" t="inlineStr">
        <is>
          <t>JÄMTLANDS LÄN</t>
        </is>
      </c>
      <c r="E559" t="inlineStr">
        <is>
          <t>HÄRJEDALEN</t>
        </is>
      </c>
      <c r="G559" t="n">
        <v>6.8</v>
      </c>
      <c r="H559" t="n">
        <v>0</v>
      </c>
      <c r="I559" t="n">
        <v>0</v>
      </c>
      <c r="J559" t="n">
        <v>0</v>
      </c>
      <c r="K559" t="n">
        <v>0</v>
      </c>
      <c r="L559" t="n">
        <v>0</v>
      </c>
      <c r="M559" t="n">
        <v>0</v>
      </c>
      <c r="N559" t="n">
        <v>0</v>
      </c>
      <c r="O559" t="n">
        <v>0</v>
      </c>
      <c r="P559" t="n">
        <v>0</v>
      </c>
      <c r="Q559" t="n">
        <v>0</v>
      </c>
      <c r="R559" s="2" t="inlineStr"/>
    </row>
    <row r="560" ht="15" customHeight="1">
      <c r="A560" t="inlineStr">
        <is>
          <t>A 21703-2021</t>
        </is>
      </c>
      <c r="B560" s="1" t="n">
        <v>44316</v>
      </c>
      <c r="C560" s="1" t="n">
        <v>45787</v>
      </c>
      <c r="D560" t="inlineStr">
        <is>
          <t>JÄMTLANDS LÄN</t>
        </is>
      </c>
      <c r="E560" t="inlineStr">
        <is>
          <t>HÄRJEDALEN</t>
        </is>
      </c>
      <c r="G560" t="n">
        <v>11.9</v>
      </c>
      <c r="H560" t="n">
        <v>0</v>
      </c>
      <c r="I560" t="n">
        <v>0</v>
      </c>
      <c r="J560" t="n">
        <v>0</v>
      </c>
      <c r="K560" t="n">
        <v>0</v>
      </c>
      <c r="L560" t="n">
        <v>0</v>
      </c>
      <c r="M560" t="n">
        <v>0</v>
      </c>
      <c r="N560" t="n">
        <v>0</v>
      </c>
      <c r="O560" t="n">
        <v>0</v>
      </c>
      <c r="P560" t="n">
        <v>0</v>
      </c>
      <c r="Q560" t="n">
        <v>0</v>
      </c>
      <c r="R560" s="2" t="inlineStr"/>
    </row>
    <row r="561" ht="15" customHeight="1">
      <c r="A561" t="inlineStr">
        <is>
          <t>A 21843-2021</t>
        </is>
      </c>
      <c r="B561" s="1" t="n">
        <v>44316</v>
      </c>
      <c r="C561" s="1" t="n">
        <v>45787</v>
      </c>
      <c r="D561" t="inlineStr">
        <is>
          <t>JÄMTLANDS LÄN</t>
        </is>
      </c>
      <c r="E561" t="inlineStr">
        <is>
          <t>HÄRJEDALEN</t>
        </is>
      </c>
      <c r="G561" t="n">
        <v>15.1</v>
      </c>
      <c r="H561" t="n">
        <v>0</v>
      </c>
      <c r="I561" t="n">
        <v>0</v>
      </c>
      <c r="J561" t="n">
        <v>0</v>
      </c>
      <c r="K561" t="n">
        <v>0</v>
      </c>
      <c r="L561" t="n">
        <v>0</v>
      </c>
      <c r="M561" t="n">
        <v>0</v>
      </c>
      <c r="N561" t="n">
        <v>0</v>
      </c>
      <c r="O561" t="n">
        <v>0</v>
      </c>
      <c r="P561" t="n">
        <v>0</v>
      </c>
      <c r="Q561" t="n">
        <v>0</v>
      </c>
      <c r="R561" s="2" t="inlineStr"/>
    </row>
    <row r="562" ht="15" customHeight="1">
      <c r="A562" t="inlineStr">
        <is>
          <t>A 21705-2021</t>
        </is>
      </c>
      <c r="B562" s="1" t="n">
        <v>44316</v>
      </c>
      <c r="C562" s="1" t="n">
        <v>45787</v>
      </c>
      <c r="D562" t="inlineStr">
        <is>
          <t>JÄMTLANDS LÄN</t>
        </is>
      </c>
      <c r="E562" t="inlineStr">
        <is>
          <t>HÄRJEDALEN</t>
        </is>
      </c>
      <c r="G562" t="n">
        <v>6.1</v>
      </c>
      <c r="H562" t="n">
        <v>0</v>
      </c>
      <c r="I562" t="n">
        <v>0</v>
      </c>
      <c r="J562" t="n">
        <v>0</v>
      </c>
      <c r="K562" t="n">
        <v>0</v>
      </c>
      <c r="L562" t="n">
        <v>0</v>
      </c>
      <c r="M562" t="n">
        <v>0</v>
      </c>
      <c r="N562" t="n">
        <v>0</v>
      </c>
      <c r="O562" t="n">
        <v>0</v>
      </c>
      <c r="P562" t="n">
        <v>0</v>
      </c>
      <c r="Q562" t="n">
        <v>0</v>
      </c>
      <c r="R562" s="2" t="inlineStr"/>
    </row>
    <row r="563" ht="15" customHeight="1">
      <c r="A563" t="inlineStr">
        <is>
          <t>A 20804-2021</t>
        </is>
      </c>
      <c r="B563" s="1" t="n">
        <v>44316</v>
      </c>
      <c r="C563" s="1" t="n">
        <v>45787</v>
      </c>
      <c r="D563" t="inlineStr">
        <is>
          <t>JÄMTLANDS LÄN</t>
        </is>
      </c>
      <c r="E563" t="inlineStr">
        <is>
          <t>HÄRJEDALEN</t>
        </is>
      </c>
      <c r="F563" t="inlineStr">
        <is>
          <t>SCA</t>
        </is>
      </c>
      <c r="G563" t="n">
        <v>11.2</v>
      </c>
      <c r="H563" t="n">
        <v>0</v>
      </c>
      <c r="I563" t="n">
        <v>0</v>
      </c>
      <c r="J563" t="n">
        <v>0</v>
      </c>
      <c r="K563" t="n">
        <v>0</v>
      </c>
      <c r="L563" t="n">
        <v>0</v>
      </c>
      <c r="M563" t="n">
        <v>0</v>
      </c>
      <c r="N563" t="n">
        <v>0</v>
      </c>
      <c r="O563" t="n">
        <v>0</v>
      </c>
      <c r="P563" t="n">
        <v>0</v>
      </c>
      <c r="Q563" t="n">
        <v>0</v>
      </c>
      <c r="R563" s="2" t="inlineStr"/>
    </row>
    <row r="564" ht="15" customHeight="1">
      <c r="A564" t="inlineStr">
        <is>
          <t>A 21753-2021</t>
        </is>
      </c>
      <c r="B564" s="1" t="n">
        <v>44319</v>
      </c>
      <c r="C564" s="1" t="n">
        <v>45787</v>
      </c>
      <c r="D564" t="inlineStr">
        <is>
          <t>JÄMTLANDS LÄN</t>
        </is>
      </c>
      <c r="E564" t="inlineStr">
        <is>
          <t>HÄRJEDALEN</t>
        </is>
      </c>
      <c r="G564" t="n">
        <v>6.2</v>
      </c>
      <c r="H564" t="n">
        <v>0</v>
      </c>
      <c r="I564" t="n">
        <v>0</v>
      </c>
      <c r="J564" t="n">
        <v>0</v>
      </c>
      <c r="K564" t="n">
        <v>0</v>
      </c>
      <c r="L564" t="n">
        <v>0</v>
      </c>
      <c r="M564" t="n">
        <v>0</v>
      </c>
      <c r="N564" t="n">
        <v>0</v>
      </c>
      <c r="O564" t="n">
        <v>0</v>
      </c>
      <c r="P564" t="n">
        <v>0</v>
      </c>
      <c r="Q564" t="n">
        <v>0</v>
      </c>
      <c r="R564" s="2" t="inlineStr"/>
    </row>
    <row r="565" ht="15" customHeight="1">
      <c r="A565" t="inlineStr">
        <is>
          <t>A 21298-2021</t>
        </is>
      </c>
      <c r="B565" s="1" t="n">
        <v>44320</v>
      </c>
      <c r="C565" s="1" t="n">
        <v>45787</v>
      </c>
      <c r="D565" t="inlineStr">
        <is>
          <t>JÄMTLANDS LÄN</t>
        </is>
      </c>
      <c r="E565" t="inlineStr">
        <is>
          <t>HÄRJEDALEN</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21334-2021</t>
        </is>
      </c>
      <c r="B566" s="1" t="n">
        <v>44320</v>
      </c>
      <c r="C566" s="1" t="n">
        <v>45787</v>
      </c>
      <c r="D566" t="inlineStr">
        <is>
          <t>JÄMTLANDS LÄN</t>
        </is>
      </c>
      <c r="E566" t="inlineStr">
        <is>
          <t>HÄRJEDALEN</t>
        </is>
      </c>
      <c r="G566" t="n">
        <v>3.4</v>
      </c>
      <c r="H566" t="n">
        <v>0</v>
      </c>
      <c r="I566" t="n">
        <v>0</v>
      </c>
      <c r="J566" t="n">
        <v>0</v>
      </c>
      <c r="K566" t="n">
        <v>0</v>
      </c>
      <c r="L566" t="n">
        <v>0</v>
      </c>
      <c r="M566" t="n">
        <v>0</v>
      </c>
      <c r="N566" t="n">
        <v>0</v>
      </c>
      <c r="O566" t="n">
        <v>0</v>
      </c>
      <c r="P566" t="n">
        <v>0</v>
      </c>
      <c r="Q566" t="n">
        <v>0</v>
      </c>
      <c r="R566" s="2" t="inlineStr"/>
    </row>
    <row r="567" ht="15" customHeight="1">
      <c r="A567" t="inlineStr">
        <is>
          <t>A 21346-2021</t>
        </is>
      </c>
      <c r="B567" s="1" t="n">
        <v>44321</v>
      </c>
      <c r="C567" s="1" t="n">
        <v>45787</v>
      </c>
      <c r="D567" t="inlineStr">
        <is>
          <t>JÄMTLANDS LÄN</t>
        </is>
      </c>
      <c r="E567" t="inlineStr">
        <is>
          <t>HÄRJEDALEN</t>
        </is>
      </c>
      <c r="G567" t="n">
        <v>9.9</v>
      </c>
      <c r="H567" t="n">
        <v>0</v>
      </c>
      <c r="I567" t="n">
        <v>0</v>
      </c>
      <c r="J567" t="n">
        <v>0</v>
      </c>
      <c r="K567" t="n">
        <v>0</v>
      </c>
      <c r="L567" t="n">
        <v>0</v>
      </c>
      <c r="M567" t="n">
        <v>0</v>
      </c>
      <c r="N567" t="n">
        <v>0</v>
      </c>
      <c r="O567" t="n">
        <v>0</v>
      </c>
      <c r="P567" t="n">
        <v>0</v>
      </c>
      <c r="Q567" t="n">
        <v>0</v>
      </c>
      <c r="R567" s="2" t="inlineStr"/>
    </row>
    <row r="568" ht="15" customHeight="1">
      <c r="A568" t="inlineStr">
        <is>
          <t>A 21661-2021</t>
        </is>
      </c>
      <c r="B568" s="1" t="n">
        <v>44322</v>
      </c>
      <c r="C568" s="1" t="n">
        <v>45787</v>
      </c>
      <c r="D568" t="inlineStr">
        <is>
          <t>JÄMTLANDS LÄN</t>
        </is>
      </c>
      <c r="E568" t="inlineStr">
        <is>
          <t>HÄRJEDALEN</t>
        </is>
      </c>
      <c r="F568" t="inlineStr">
        <is>
          <t>Holmen skog AB</t>
        </is>
      </c>
      <c r="G568" t="n">
        <v>3</v>
      </c>
      <c r="H568" t="n">
        <v>0</v>
      </c>
      <c r="I568" t="n">
        <v>0</v>
      </c>
      <c r="J568" t="n">
        <v>0</v>
      </c>
      <c r="K568" t="n">
        <v>0</v>
      </c>
      <c r="L568" t="n">
        <v>0</v>
      </c>
      <c r="M568" t="n">
        <v>0</v>
      </c>
      <c r="N568" t="n">
        <v>0</v>
      </c>
      <c r="O568" t="n">
        <v>0</v>
      </c>
      <c r="P568" t="n">
        <v>0</v>
      </c>
      <c r="Q568" t="n">
        <v>0</v>
      </c>
      <c r="R568" s="2" t="inlineStr"/>
    </row>
    <row r="569" ht="15" customHeight="1">
      <c r="A569" t="inlineStr">
        <is>
          <t>A 22160-2021</t>
        </is>
      </c>
      <c r="B569" s="1" t="n">
        <v>44325</v>
      </c>
      <c r="C569" s="1" t="n">
        <v>45787</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23869-2021</t>
        </is>
      </c>
      <c r="B570" s="1" t="n">
        <v>44335</v>
      </c>
      <c r="C570" s="1" t="n">
        <v>45787</v>
      </c>
      <c r="D570" t="inlineStr">
        <is>
          <t>JÄMTLANDS LÄN</t>
        </is>
      </c>
      <c r="E570" t="inlineStr">
        <is>
          <t>HÄRJEDALEN</t>
        </is>
      </c>
      <c r="G570" t="n">
        <v>15.3</v>
      </c>
      <c r="H570" t="n">
        <v>0</v>
      </c>
      <c r="I570" t="n">
        <v>0</v>
      </c>
      <c r="J570" t="n">
        <v>0</v>
      </c>
      <c r="K570" t="n">
        <v>0</v>
      </c>
      <c r="L570" t="n">
        <v>0</v>
      </c>
      <c r="M570" t="n">
        <v>0</v>
      </c>
      <c r="N570" t="n">
        <v>0</v>
      </c>
      <c r="O570" t="n">
        <v>0</v>
      </c>
      <c r="P570" t="n">
        <v>0</v>
      </c>
      <c r="Q570" t="n">
        <v>0</v>
      </c>
      <c r="R570" s="2" t="inlineStr"/>
    </row>
    <row r="571" ht="15" customHeight="1">
      <c r="A571" t="inlineStr">
        <is>
          <t>A 25444-2021</t>
        </is>
      </c>
      <c r="B571" s="1" t="n">
        <v>44342</v>
      </c>
      <c r="C571" s="1" t="n">
        <v>45787</v>
      </c>
      <c r="D571" t="inlineStr">
        <is>
          <t>JÄMTLANDS LÄN</t>
        </is>
      </c>
      <c r="E571" t="inlineStr">
        <is>
          <t>HÄRJEDALEN</t>
        </is>
      </c>
      <c r="G571" t="n">
        <v>0.8</v>
      </c>
      <c r="H571" t="n">
        <v>0</v>
      </c>
      <c r="I571" t="n">
        <v>0</v>
      </c>
      <c r="J571" t="n">
        <v>0</v>
      </c>
      <c r="K571" t="n">
        <v>0</v>
      </c>
      <c r="L571" t="n">
        <v>0</v>
      </c>
      <c r="M571" t="n">
        <v>0</v>
      </c>
      <c r="N571" t="n">
        <v>0</v>
      </c>
      <c r="O571" t="n">
        <v>0</v>
      </c>
      <c r="P571" t="n">
        <v>0</v>
      </c>
      <c r="Q571" t="n">
        <v>0</v>
      </c>
      <c r="R571" s="2" t="inlineStr"/>
    </row>
    <row r="572" ht="15" customHeight="1">
      <c r="A572" t="inlineStr">
        <is>
          <t>A 26167-2021</t>
        </is>
      </c>
      <c r="B572" s="1" t="n">
        <v>44344</v>
      </c>
      <c r="C572" s="1" t="n">
        <v>45787</v>
      </c>
      <c r="D572" t="inlineStr">
        <is>
          <t>JÄMTLANDS LÄN</t>
        </is>
      </c>
      <c r="E572" t="inlineStr">
        <is>
          <t>HÄRJEDALEN</t>
        </is>
      </c>
      <c r="G572" t="n">
        <v>2.6</v>
      </c>
      <c r="H572" t="n">
        <v>0</v>
      </c>
      <c r="I572" t="n">
        <v>0</v>
      </c>
      <c r="J572" t="n">
        <v>0</v>
      </c>
      <c r="K572" t="n">
        <v>0</v>
      </c>
      <c r="L572" t="n">
        <v>0</v>
      </c>
      <c r="M572" t="n">
        <v>0</v>
      </c>
      <c r="N572" t="n">
        <v>0</v>
      </c>
      <c r="O572" t="n">
        <v>0</v>
      </c>
      <c r="P572" t="n">
        <v>0</v>
      </c>
      <c r="Q572" t="n">
        <v>0</v>
      </c>
      <c r="R572" s="2" t="inlineStr"/>
    </row>
    <row r="573" ht="15" customHeight="1">
      <c r="A573" t="inlineStr">
        <is>
          <t>A 26656-2021</t>
        </is>
      </c>
      <c r="B573" s="1" t="n">
        <v>44348</v>
      </c>
      <c r="C573" s="1" t="n">
        <v>45787</v>
      </c>
      <c r="D573" t="inlineStr">
        <is>
          <t>JÄMTLANDS LÄN</t>
        </is>
      </c>
      <c r="E573" t="inlineStr">
        <is>
          <t>HÄRJEDALEN</t>
        </is>
      </c>
      <c r="G573" t="n">
        <v>1.6</v>
      </c>
      <c r="H573" t="n">
        <v>0</v>
      </c>
      <c r="I573" t="n">
        <v>0</v>
      </c>
      <c r="J573" t="n">
        <v>0</v>
      </c>
      <c r="K573" t="n">
        <v>0</v>
      </c>
      <c r="L573" t="n">
        <v>0</v>
      </c>
      <c r="M573" t="n">
        <v>0</v>
      </c>
      <c r="N573" t="n">
        <v>0</v>
      </c>
      <c r="O573" t="n">
        <v>0</v>
      </c>
      <c r="P573" t="n">
        <v>0</v>
      </c>
      <c r="Q573" t="n">
        <v>0</v>
      </c>
      <c r="R573" s="2" t="inlineStr"/>
    </row>
    <row r="574" ht="15" customHeight="1">
      <c r="A574" t="inlineStr">
        <is>
          <t>A 28446-2021</t>
        </is>
      </c>
      <c r="B574" s="1" t="n">
        <v>44356</v>
      </c>
      <c r="C574" s="1" t="n">
        <v>45787</v>
      </c>
      <c r="D574" t="inlineStr">
        <is>
          <t>JÄMTLANDS LÄN</t>
        </is>
      </c>
      <c r="E574" t="inlineStr">
        <is>
          <t>HÄRJEDALEN</t>
        </is>
      </c>
      <c r="G574" t="n">
        <v>0.5</v>
      </c>
      <c r="H574" t="n">
        <v>0</v>
      </c>
      <c r="I574" t="n">
        <v>0</v>
      </c>
      <c r="J574" t="n">
        <v>0</v>
      </c>
      <c r="K574" t="n">
        <v>0</v>
      </c>
      <c r="L574" t="n">
        <v>0</v>
      </c>
      <c r="M574" t="n">
        <v>0</v>
      </c>
      <c r="N574" t="n">
        <v>0</v>
      </c>
      <c r="O574" t="n">
        <v>0</v>
      </c>
      <c r="P574" t="n">
        <v>0</v>
      </c>
      <c r="Q574" t="n">
        <v>0</v>
      </c>
      <c r="R574" s="2" t="inlineStr"/>
    </row>
    <row r="575" ht="15" customHeight="1">
      <c r="A575" t="inlineStr">
        <is>
          <t>A 28693-2021</t>
        </is>
      </c>
      <c r="B575" s="1" t="n">
        <v>44357</v>
      </c>
      <c r="C575" s="1" t="n">
        <v>45787</v>
      </c>
      <c r="D575" t="inlineStr">
        <is>
          <t>JÄMTLANDS LÄN</t>
        </is>
      </c>
      <c r="E575" t="inlineStr">
        <is>
          <t>HÄRJEDALEN</t>
        </is>
      </c>
      <c r="G575" t="n">
        <v>20</v>
      </c>
      <c r="H575" t="n">
        <v>0</v>
      </c>
      <c r="I575" t="n">
        <v>0</v>
      </c>
      <c r="J575" t="n">
        <v>0</v>
      </c>
      <c r="K575" t="n">
        <v>0</v>
      </c>
      <c r="L575" t="n">
        <v>0</v>
      </c>
      <c r="M575" t="n">
        <v>0</v>
      </c>
      <c r="N575" t="n">
        <v>0</v>
      </c>
      <c r="O575" t="n">
        <v>0</v>
      </c>
      <c r="P575" t="n">
        <v>0</v>
      </c>
      <c r="Q575" t="n">
        <v>0</v>
      </c>
      <c r="R575" s="2" t="inlineStr"/>
    </row>
    <row r="576" ht="15" customHeight="1">
      <c r="A576" t="inlineStr">
        <is>
          <t>A 29284-2021</t>
        </is>
      </c>
      <c r="B576" s="1" t="n">
        <v>44361</v>
      </c>
      <c r="C576" s="1" t="n">
        <v>45787</v>
      </c>
      <c r="D576" t="inlineStr">
        <is>
          <t>JÄMTLANDS LÄN</t>
        </is>
      </c>
      <c r="E576" t="inlineStr">
        <is>
          <t>HÄRJEDALEN</t>
        </is>
      </c>
      <c r="F576" t="inlineStr">
        <is>
          <t>Holmen skog AB</t>
        </is>
      </c>
      <c r="G576" t="n">
        <v>10.5</v>
      </c>
      <c r="H576" t="n">
        <v>0</v>
      </c>
      <c r="I576" t="n">
        <v>0</v>
      </c>
      <c r="J576" t="n">
        <v>0</v>
      </c>
      <c r="K576" t="n">
        <v>0</v>
      </c>
      <c r="L576" t="n">
        <v>0</v>
      </c>
      <c r="M576" t="n">
        <v>0</v>
      </c>
      <c r="N576" t="n">
        <v>0</v>
      </c>
      <c r="O576" t="n">
        <v>0</v>
      </c>
      <c r="P576" t="n">
        <v>0</v>
      </c>
      <c r="Q576" t="n">
        <v>0</v>
      </c>
      <c r="R576" s="2" t="inlineStr"/>
    </row>
    <row r="577" ht="15" customHeight="1">
      <c r="A577" t="inlineStr">
        <is>
          <t>A 29372-2021</t>
        </is>
      </c>
      <c r="B577" s="1" t="n">
        <v>44361</v>
      </c>
      <c r="C577" s="1" t="n">
        <v>45787</v>
      </c>
      <c r="D577" t="inlineStr">
        <is>
          <t>JÄMTLANDS LÄN</t>
        </is>
      </c>
      <c r="E577" t="inlineStr">
        <is>
          <t>HÄRJEDALEN</t>
        </is>
      </c>
      <c r="F577" t="inlineStr">
        <is>
          <t>Holmen skog AB</t>
        </is>
      </c>
      <c r="G577" t="n">
        <v>5.9</v>
      </c>
      <c r="H577" t="n">
        <v>0</v>
      </c>
      <c r="I577" t="n">
        <v>0</v>
      </c>
      <c r="J577" t="n">
        <v>0</v>
      </c>
      <c r="K577" t="n">
        <v>0</v>
      </c>
      <c r="L577" t="n">
        <v>0</v>
      </c>
      <c r="M577" t="n">
        <v>0</v>
      </c>
      <c r="N577" t="n">
        <v>0</v>
      </c>
      <c r="O577" t="n">
        <v>0</v>
      </c>
      <c r="P577" t="n">
        <v>0</v>
      </c>
      <c r="Q577" t="n">
        <v>0</v>
      </c>
      <c r="R577" s="2" t="inlineStr"/>
    </row>
    <row r="578" ht="15" customHeight="1">
      <c r="A578" t="inlineStr">
        <is>
          <t>A 29452-2021</t>
        </is>
      </c>
      <c r="B578" s="1" t="n">
        <v>44361</v>
      </c>
      <c r="C578" s="1" t="n">
        <v>45787</v>
      </c>
      <c r="D578" t="inlineStr">
        <is>
          <t>JÄMTLANDS LÄN</t>
        </is>
      </c>
      <c r="E578" t="inlineStr">
        <is>
          <t>HÄRJEDALEN</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29581-2021</t>
        </is>
      </c>
      <c r="B579" s="1" t="n">
        <v>44361</v>
      </c>
      <c r="C579" s="1" t="n">
        <v>45787</v>
      </c>
      <c r="D579" t="inlineStr">
        <is>
          <t>JÄMTLANDS LÄN</t>
        </is>
      </c>
      <c r="E579" t="inlineStr">
        <is>
          <t>HÄRJEDALEN</t>
        </is>
      </c>
      <c r="G579" t="n">
        <v>50.9</v>
      </c>
      <c r="H579" t="n">
        <v>0</v>
      </c>
      <c r="I579" t="n">
        <v>0</v>
      </c>
      <c r="J579" t="n">
        <v>0</v>
      </c>
      <c r="K579" t="n">
        <v>0</v>
      </c>
      <c r="L579" t="n">
        <v>0</v>
      </c>
      <c r="M579" t="n">
        <v>0</v>
      </c>
      <c r="N579" t="n">
        <v>0</v>
      </c>
      <c r="O579" t="n">
        <v>0</v>
      </c>
      <c r="P579" t="n">
        <v>0</v>
      </c>
      <c r="Q579" t="n">
        <v>0</v>
      </c>
      <c r="R579" s="2" t="inlineStr"/>
    </row>
    <row r="580" ht="15" customHeight="1">
      <c r="A580" t="inlineStr">
        <is>
          <t>A 29585-2021</t>
        </is>
      </c>
      <c r="B580" s="1" t="n">
        <v>44361</v>
      </c>
      <c r="C580" s="1" t="n">
        <v>45787</v>
      </c>
      <c r="D580" t="inlineStr">
        <is>
          <t>JÄMTLANDS LÄN</t>
        </is>
      </c>
      <c r="E580" t="inlineStr">
        <is>
          <t>HÄRJEDALEN</t>
        </is>
      </c>
      <c r="G580" t="n">
        <v>3.4</v>
      </c>
      <c r="H580" t="n">
        <v>0</v>
      </c>
      <c r="I580" t="n">
        <v>0</v>
      </c>
      <c r="J580" t="n">
        <v>0</v>
      </c>
      <c r="K580" t="n">
        <v>0</v>
      </c>
      <c r="L580" t="n">
        <v>0</v>
      </c>
      <c r="M580" t="n">
        <v>0</v>
      </c>
      <c r="N580" t="n">
        <v>0</v>
      </c>
      <c r="O580" t="n">
        <v>0</v>
      </c>
      <c r="P580" t="n">
        <v>0</v>
      </c>
      <c r="Q580" t="n">
        <v>0</v>
      </c>
      <c r="R580" s="2" t="inlineStr"/>
    </row>
    <row r="581" ht="15" customHeight="1">
      <c r="A581" t="inlineStr">
        <is>
          <t>A 30302-2021</t>
        </is>
      </c>
      <c r="B581" s="1" t="n">
        <v>44364</v>
      </c>
      <c r="C581" s="1" t="n">
        <v>45787</v>
      </c>
      <c r="D581" t="inlineStr">
        <is>
          <t>JÄMTLANDS LÄN</t>
        </is>
      </c>
      <c r="E581" t="inlineStr">
        <is>
          <t>HÄRJEDALEN</t>
        </is>
      </c>
      <c r="F581" t="inlineStr">
        <is>
          <t>Holmen skog AB</t>
        </is>
      </c>
      <c r="G581" t="n">
        <v>6</v>
      </c>
      <c r="H581" t="n">
        <v>0</v>
      </c>
      <c r="I581" t="n">
        <v>0</v>
      </c>
      <c r="J581" t="n">
        <v>0</v>
      </c>
      <c r="K581" t="n">
        <v>0</v>
      </c>
      <c r="L581" t="n">
        <v>0</v>
      </c>
      <c r="M581" t="n">
        <v>0</v>
      </c>
      <c r="N581" t="n">
        <v>0</v>
      </c>
      <c r="O581" t="n">
        <v>0</v>
      </c>
      <c r="P581" t="n">
        <v>0</v>
      </c>
      <c r="Q581" t="n">
        <v>0</v>
      </c>
      <c r="R581" s="2" t="inlineStr"/>
    </row>
    <row r="582" ht="15" customHeight="1">
      <c r="A582" t="inlineStr">
        <is>
          <t>A 30323-2021</t>
        </is>
      </c>
      <c r="B582" s="1" t="n">
        <v>44364</v>
      </c>
      <c r="C582" s="1" t="n">
        <v>45787</v>
      </c>
      <c r="D582" t="inlineStr">
        <is>
          <t>JÄMTLANDS LÄN</t>
        </is>
      </c>
      <c r="E582" t="inlineStr">
        <is>
          <t>HÄRJEDALEN</t>
        </is>
      </c>
      <c r="F582" t="inlineStr">
        <is>
          <t>Holmen skog AB</t>
        </is>
      </c>
      <c r="G582" t="n">
        <v>11.2</v>
      </c>
      <c r="H582" t="n">
        <v>0</v>
      </c>
      <c r="I582" t="n">
        <v>0</v>
      </c>
      <c r="J582" t="n">
        <v>0</v>
      </c>
      <c r="K582" t="n">
        <v>0</v>
      </c>
      <c r="L582" t="n">
        <v>0</v>
      </c>
      <c r="M582" t="n">
        <v>0</v>
      </c>
      <c r="N582" t="n">
        <v>0</v>
      </c>
      <c r="O582" t="n">
        <v>0</v>
      </c>
      <c r="P582" t="n">
        <v>0</v>
      </c>
      <c r="Q582" t="n">
        <v>0</v>
      </c>
      <c r="R582" s="2" t="inlineStr"/>
    </row>
    <row r="583" ht="15" customHeight="1">
      <c r="A583" t="inlineStr">
        <is>
          <t>A 30315-2021</t>
        </is>
      </c>
      <c r="B583" s="1" t="n">
        <v>44364</v>
      </c>
      <c r="C583" s="1" t="n">
        <v>45787</v>
      </c>
      <c r="D583" t="inlineStr">
        <is>
          <t>JÄMTLANDS LÄN</t>
        </is>
      </c>
      <c r="E583" t="inlineStr">
        <is>
          <t>HÄRJEDALEN</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30311-2021</t>
        </is>
      </c>
      <c r="B584" s="1" t="n">
        <v>44364</v>
      </c>
      <c r="C584" s="1" t="n">
        <v>45787</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30321-2021</t>
        </is>
      </c>
      <c r="B585" s="1" t="n">
        <v>44364</v>
      </c>
      <c r="C585" s="1" t="n">
        <v>45787</v>
      </c>
      <c r="D585" t="inlineStr">
        <is>
          <t>JÄMTLANDS LÄN</t>
        </is>
      </c>
      <c r="E585" t="inlineStr">
        <is>
          <t>HÄRJEDALEN</t>
        </is>
      </c>
      <c r="F585" t="inlineStr">
        <is>
          <t>Holmen skog AB</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30317-2021</t>
        </is>
      </c>
      <c r="B586" s="1" t="n">
        <v>44364</v>
      </c>
      <c r="C586" s="1" t="n">
        <v>45787</v>
      </c>
      <c r="D586" t="inlineStr">
        <is>
          <t>JÄMTLANDS LÄN</t>
        </is>
      </c>
      <c r="E586" t="inlineStr">
        <is>
          <t>HÄRJEDALEN</t>
        </is>
      </c>
      <c r="F586" t="inlineStr">
        <is>
          <t>Holmen skog AB</t>
        </is>
      </c>
      <c r="G586" t="n">
        <v>8.4</v>
      </c>
      <c r="H586" t="n">
        <v>0</v>
      </c>
      <c r="I586" t="n">
        <v>0</v>
      </c>
      <c r="J586" t="n">
        <v>0</v>
      </c>
      <c r="K586" t="n">
        <v>0</v>
      </c>
      <c r="L586" t="n">
        <v>0</v>
      </c>
      <c r="M586" t="n">
        <v>0</v>
      </c>
      <c r="N586" t="n">
        <v>0</v>
      </c>
      <c r="O586" t="n">
        <v>0</v>
      </c>
      <c r="P586" t="n">
        <v>0</v>
      </c>
      <c r="Q586" t="n">
        <v>0</v>
      </c>
      <c r="R586" s="2" t="inlineStr"/>
    </row>
    <row r="587" ht="15" customHeight="1">
      <c r="A587" t="inlineStr">
        <is>
          <t>A 30684-2021</t>
        </is>
      </c>
      <c r="B587" s="1" t="n">
        <v>44365</v>
      </c>
      <c r="C587" s="1" t="n">
        <v>45787</v>
      </c>
      <c r="D587" t="inlineStr">
        <is>
          <t>JÄMTLANDS LÄN</t>
        </is>
      </c>
      <c r="E587" t="inlineStr">
        <is>
          <t>HÄRJEDALEN</t>
        </is>
      </c>
      <c r="G587" t="n">
        <v>4</v>
      </c>
      <c r="H587" t="n">
        <v>0</v>
      </c>
      <c r="I587" t="n">
        <v>0</v>
      </c>
      <c r="J587" t="n">
        <v>0</v>
      </c>
      <c r="K587" t="n">
        <v>0</v>
      </c>
      <c r="L587" t="n">
        <v>0</v>
      </c>
      <c r="M587" t="n">
        <v>0</v>
      </c>
      <c r="N587" t="n">
        <v>0</v>
      </c>
      <c r="O587" t="n">
        <v>0</v>
      </c>
      <c r="P587" t="n">
        <v>0</v>
      </c>
      <c r="Q587" t="n">
        <v>0</v>
      </c>
      <c r="R587" s="2" t="inlineStr"/>
    </row>
    <row r="588" ht="15" customHeight="1">
      <c r="A588" t="inlineStr">
        <is>
          <t>A 31212-2021</t>
        </is>
      </c>
      <c r="B588" s="1" t="n">
        <v>44368</v>
      </c>
      <c r="C588" s="1" t="n">
        <v>45787</v>
      </c>
      <c r="D588" t="inlineStr">
        <is>
          <t>JÄMTLANDS LÄN</t>
        </is>
      </c>
      <c r="E588" t="inlineStr">
        <is>
          <t>HÄRJEDALEN</t>
        </is>
      </c>
      <c r="G588" t="n">
        <v>5.5</v>
      </c>
      <c r="H588" t="n">
        <v>0</v>
      </c>
      <c r="I588" t="n">
        <v>0</v>
      </c>
      <c r="J588" t="n">
        <v>0</v>
      </c>
      <c r="K588" t="n">
        <v>0</v>
      </c>
      <c r="L588" t="n">
        <v>0</v>
      </c>
      <c r="M588" t="n">
        <v>0</v>
      </c>
      <c r="N588" t="n">
        <v>0</v>
      </c>
      <c r="O588" t="n">
        <v>0</v>
      </c>
      <c r="P588" t="n">
        <v>0</v>
      </c>
      <c r="Q588" t="n">
        <v>0</v>
      </c>
      <c r="R588" s="2" t="inlineStr"/>
    </row>
    <row r="589" ht="15" customHeight="1">
      <c r="A589" t="inlineStr">
        <is>
          <t>A 33424-2021</t>
        </is>
      </c>
      <c r="B589" s="1" t="n">
        <v>44377</v>
      </c>
      <c r="C589" s="1" t="n">
        <v>45787</v>
      </c>
      <c r="D589" t="inlineStr">
        <is>
          <t>JÄMTLANDS LÄN</t>
        </is>
      </c>
      <c r="E589" t="inlineStr">
        <is>
          <t>HÄRJEDALEN</t>
        </is>
      </c>
      <c r="G589" t="n">
        <v>2.5</v>
      </c>
      <c r="H589" t="n">
        <v>0</v>
      </c>
      <c r="I589" t="n">
        <v>0</v>
      </c>
      <c r="J589" t="n">
        <v>0</v>
      </c>
      <c r="K589" t="n">
        <v>0</v>
      </c>
      <c r="L589" t="n">
        <v>0</v>
      </c>
      <c r="M589" t="n">
        <v>0</v>
      </c>
      <c r="N589" t="n">
        <v>0</v>
      </c>
      <c r="O589" t="n">
        <v>0</v>
      </c>
      <c r="P589" t="n">
        <v>0</v>
      </c>
      <c r="Q589" t="n">
        <v>0</v>
      </c>
      <c r="R589" s="2" t="inlineStr"/>
    </row>
    <row r="590" ht="15" customHeight="1">
      <c r="A590" t="inlineStr">
        <is>
          <t>A 34453-2021</t>
        </is>
      </c>
      <c r="B590" s="1" t="n">
        <v>44381</v>
      </c>
      <c r="C590" s="1" t="n">
        <v>45787</v>
      </c>
      <c r="D590" t="inlineStr">
        <is>
          <t>JÄMTLANDS LÄN</t>
        </is>
      </c>
      <c r="E590" t="inlineStr">
        <is>
          <t>HÄRJEDALEN</t>
        </is>
      </c>
      <c r="G590" t="n">
        <v>12.7</v>
      </c>
      <c r="H590" t="n">
        <v>0</v>
      </c>
      <c r="I590" t="n">
        <v>0</v>
      </c>
      <c r="J590" t="n">
        <v>0</v>
      </c>
      <c r="K590" t="n">
        <v>0</v>
      </c>
      <c r="L590" t="n">
        <v>0</v>
      </c>
      <c r="M590" t="n">
        <v>0</v>
      </c>
      <c r="N590" t="n">
        <v>0</v>
      </c>
      <c r="O590" t="n">
        <v>0</v>
      </c>
      <c r="P590" t="n">
        <v>0</v>
      </c>
      <c r="Q590" t="n">
        <v>0</v>
      </c>
      <c r="R590" s="2" t="inlineStr"/>
    </row>
    <row r="591" ht="15" customHeight="1">
      <c r="A591" t="inlineStr">
        <is>
          <t>A 35194-2021</t>
        </is>
      </c>
      <c r="B591" s="1" t="n">
        <v>44384</v>
      </c>
      <c r="C591" s="1" t="n">
        <v>45787</v>
      </c>
      <c r="D591" t="inlineStr">
        <is>
          <t>JÄMTLANDS LÄN</t>
        </is>
      </c>
      <c r="E591" t="inlineStr">
        <is>
          <t>HÄRJEDALEN</t>
        </is>
      </c>
      <c r="G591" t="n">
        <v>46.4</v>
      </c>
      <c r="H591" t="n">
        <v>0</v>
      </c>
      <c r="I591" t="n">
        <v>0</v>
      </c>
      <c r="J591" t="n">
        <v>0</v>
      </c>
      <c r="K591" t="n">
        <v>0</v>
      </c>
      <c r="L591" t="n">
        <v>0</v>
      </c>
      <c r="M591" t="n">
        <v>0</v>
      </c>
      <c r="N591" t="n">
        <v>0</v>
      </c>
      <c r="O591" t="n">
        <v>0</v>
      </c>
      <c r="P591" t="n">
        <v>0</v>
      </c>
      <c r="Q591" t="n">
        <v>0</v>
      </c>
      <c r="R591" s="2" t="inlineStr"/>
    </row>
    <row r="592" ht="15" customHeight="1">
      <c r="A592" t="inlineStr">
        <is>
          <t>A 35532-2021</t>
        </is>
      </c>
      <c r="B592" s="1" t="n">
        <v>44385</v>
      </c>
      <c r="C592" s="1" t="n">
        <v>45787</v>
      </c>
      <c r="D592" t="inlineStr">
        <is>
          <t>JÄMTLANDS LÄN</t>
        </is>
      </c>
      <c r="E592" t="inlineStr">
        <is>
          <t>HÄRJEDALEN</t>
        </is>
      </c>
      <c r="G592" t="n">
        <v>4.3</v>
      </c>
      <c r="H592" t="n">
        <v>0</v>
      </c>
      <c r="I592" t="n">
        <v>0</v>
      </c>
      <c r="J592" t="n">
        <v>0</v>
      </c>
      <c r="K592" t="n">
        <v>0</v>
      </c>
      <c r="L592" t="n">
        <v>0</v>
      </c>
      <c r="M592" t="n">
        <v>0</v>
      </c>
      <c r="N592" t="n">
        <v>0</v>
      </c>
      <c r="O592" t="n">
        <v>0</v>
      </c>
      <c r="P592" t="n">
        <v>0</v>
      </c>
      <c r="Q592" t="n">
        <v>0</v>
      </c>
      <c r="R592" s="2" t="inlineStr"/>
    </row>
    <row r="593" ht="15" customHeight="1">
      <c r="A593" t="inlineStr">
        <is>
          <t>A 35572-2021</t>
        </is>
      </c>
      <c r="B593" s="1" t="n">
        <v>44386</v>
      </c>
      <c r="C593" s="1" t="n">
        <v>45787</v>
      </c>
      <c r="D593" t="inlineStr">
        <is>
          <t>JÄMTLANDS LÄN</t>
        </is>
      </c>
      <c r="E593" t="inlineStr">
        <is>
          <t>HÄRJEDALEN</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35573-2021</t>
        </is>
      </c>
      <c r="B594" s="1" t="n">
        <v>44386</v>
      </c>
      <c r="C594" s="1" t="n">
        <v>45787</v>
      </c>
      <c r="D594" t="inlineStr">
        <is>
          <t>JÄMTLANDS LÄN</t>
        </is>
      </c>
      <c r="E594" t="inlineStr">
        <is>
          <t>HÄRJEDALEN</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36235-2021</t>
        </is>
      </c>
      <c r="B595" s="1" t="n">
        <v>44389</v>
      </c>
      <c r="C595" s="1" t="n">
        <v>45787</v>
      </c>
      <c r="D595" t="inlineStr">
        <is>
          <t>JÄMTLANDS LÄN</t>
        </is>
      </c>
      <c r="E595" t="inlineStr">
        <is>
          <t>HÄRJEDALEN</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37155-2021</t>
        </is>
      </c>
      <c r="B596" s="1" t="n">
        <v>44396</v>
      </c>
      <c r="C596" s="1" t="n">
        <v>45787</v>
      </c>
      <c r="D596" t="inlineStr">
        <is>
          <t>JÄMTLANDS LÄN</t>
        </is>
      </c>
      <c r="E596" t="inlineStr">
        <is>
          <t>HÄRJEDALEN</t>
        </is>
      </c>
      <c r="G596" t="n">
        <v>2.3</v>
      </c>
      <c r="H596" t="n">
        <v>0</v>
      </c>
      <c r="I596" t="n">
        <v>0</v>
      </c>
      <c r="J596" t="n">
        <v>0</v>
      </c>
      <c r="K596" t="n">
        <v>0</v>
      </c>
      <c r="L596" t="n">
        <v>0</v>
      </c>
      <c r="M596" t="n">
        <v>0</v>
      </c>
      <c r="N596" t="n">
        <v>0</v>
      </c>
      <c r="O596" t="n">
        <v>0</v>
      </c>
      <c r="P596" t="n">
        <v>0</v>
      </c>
      <c r="Q596" t="n">
        <v>0</v>
      </c>
      <c r="R596" s="2" t="inlineStr"/>
    </row>
    <row r="597" ht="15" customHeight="1">
      <c r="A597" t="inlineStr">
        <is>
          <t>A 37832-2021</t>
        </is>
      </c>
      <c r="B597" s="1" t="n">
        <v>44403</v>
      </c>
      <c r="C597" s="1" t="n">
        <v>45787</v>
      </c>
      <c r="D597" t="inlineStr">
        <is>
          <t>JÄMTLANDS LÄN</t>
        </is>
      </c>
      <c r="E597" t="inlineStr">
        <is>
          <t>HÄRJEDALEN</t>
        </is>
      </c>
      <c r="G597" t="n">
        <v>0.5</v>
      </c>
      <c r="H597" t="n">
        <v>0</v>
      </c>
      <c r="I597" t="n">
        <v>0</v>
      </c>
      <c r="J597" t="n">
        <v>0</v>
      </c>
      <c r="K597" t="n">
        <v>0</v>
      </c>
      <c r="L597" t="n">
        <v>0</v>
      </c>
      <c r="M597" t="n">
        <v>0</v>
      </c>
      <c r="N597" t="n">
        <v>0</v>
      </c>
      <c r="O597" t="n">
        <v>0</v>
      </c>
      <c r="P597" t="n">
        <v>0</v>
      </c>
      <c r="Q597" t="n">
        <v>0</v>
      </c>
      <c r="R597" s="2" t="inlineStr"/>
    </row>
    <row r="598" ht="15" customHeight="1">
      <c r="A598" t="inlineStr">
        <is>
          <t>A 37825-2021</t>
        </is>
      </c>
      <c r="B598" s="1" t="n">
        <v>44403</v>
      </c>
      <c r="C598" s="1" t="n">
        <v>45787</v>
      </c>
      <c r="D598" t="inlineStr">
        <is>
          <t>JÄMTLANDS LÄN</t>
        </is>
      </c>
      <c r="E598" t="inlineStr">
        <is>
          <t>HÄRJEDALEN</t>
        </is>
      </c>
      <c r="G598" t="n">
        <v>0.1</v>
      </c>
      <c r="H598" t="n">
        <v>0</v>
      </c>
      <c r="I598" t="n">
        <v>0</v>
      </c>
      <c r="J598" t="n">
        <v>0</v>
      </c>
      <c r="K598" t="n">
        <v>0</v>
      </c>
      <c r="L598" t="n">
        <v>0</v>
      </c>
      <c r="M598" t="n">
        <v>0</v>
      </c>
      <c r="N598" t="n">
        <v>0</v>
      </c>
      <c r="O598" t="n">
        <v>0</v>
      </c>
      <c r="P598" t="n">
        <v>0</v>
      </c>
      <c r="Q598" t="n">
        <v>0</v>
      </c>
      <c r="R598" s="2" t="inlineStr"/>
    </row>
    <row r="599" ht="15" customHeight="1">
      <c r="A599" t="inlineStr">
        <is>
          <t>A 38001-2021</t>
        </is>
      </c>
      <c r="B599" s="1" t="n">
        <v>44404</v>
      </c>
      <c r="C599" s="1" t="n">
        <v>45787</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38215-2021</t>
        </is>
      </c>
      <c r="B600" s="1" t="n">
        <v>44405</v>
      </c>
      <c r="C600" s="1" t="n">
        <v>45787</v>
      </c>
      <c r="D600" t="inlineStr">
        <is>
          <t>JÄMTLANDS LÄN</t>
        </is>
      </c>
      <c r="E600" t="inlineStr">
        <is>
          <t>HÄRJEDALEN</t>
        </is>
      </c>
      <c r="F600" t="inlineStr">
        <is>
          <t>Övriga Aktiebolag</t>
        </is>
      </c>
      <c r="G600" t="n">
        <v>6.4</v>
      </c>
      <c r="H600" t="n">
        <v>0</v>
      </c>
      <c r="I600" t="n">
        <v>0</v>
      </c>
      <c r="J600" t="n">
        <v>0</v>
      </c>
      <c r="K600" t="n">
        <v>0</v>
      </c>
      <c r="L600" t="n">
        <v>0</v>
      </c>
      <c r="M600" t="n">
        <v>0</v>
      </c>
      <c r="N600" t="n">
        <v>0</v>
      </c>
      <c r="O600" t="n">
        <v>0</v>
      </c>
      <c r="P600" t="n">
        <v>0</v>
      </c>
      <c r="Q600" t="n">
        <v>0</v>
      </c>
      <c r="R600" s="2" t="inlineStr"/>
    </row>
    <row r="601" ht="15" customHeight="1">
      <c r="A601" t="inlineStr">
        <is>
          <t>A 38356-2021</t>
        </is>
      </c>
      <c r="B601" s="1" t="n">
        <v>44406</v>
      </c>
      <c r="C601" s="1" t="n">
        <v>45787</v>
      </c>
      <c r="D601" t="inlineStr">
        <is>
          <t>JÄMTLANDS LÄN</t>
        </is>
      </c>
      <c r="E601" t="inlineStr">
        <is>
          <t>HÄRJEDALEN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38794-2021</t>
        </is>
      </c>
      <c r="B602" s="1" t="n">
        <v>44410</v>
      </c>
      <c r="C602" s="1" t="n">
        <v>45787</v>
      </c>
      <c r="D602" t="inlineStr">
        <is>
          <t>JÄMTLANDS LÄN</t>
        </is>
      </c>
      <c r="E602" t="inlineStr">
        <is>
          <t>HÄRJEDALEN</t>
        </is>
      </c>
      <c r="G602" t="n">
        <v>4.2</v>
      </c>
      <c r="H602" t="n">
        <v>0</v>
      </c>
      <c r="I602" t="n">
        <v>0</v>
      </c>
      <c r="J602" t="n">
        <v>0</v>
      </c>
      <c r="K602" t="n">
        <v>0</v>
      </c>
      <c r="L602" t="n">
        <v>0</v>
      </c>
      <c r="M602" t="n">
        <v>0</v>
      </c>
      <c r="N602" t="n">
        <v>0</v>
      </c>
      <c r="O602" t="n">
        <v>0</v>
      </c>
      <c r="P602" t="n">
        <v>0</v>
      </c>
      <c r="Q602" t="n">
        <v>0</v>
      </c>
      <c r="R602" s="2" t="inlineStr"/>
    </row>
    <row r="603" ht="15" customHeight="1">
      <c r="A603" t="inlineStr">
        <is>
          <t>A 39321-2021</t>
        </is>
      </c>
      <c r="B603" s="1" t="n">
        <v>44413</v>
      </c>
      <c r="C603" s="1" t="n">
        <v>45787</v>
      </c>
      <c r="D603" t="inlineStr">
        <is>
          <t>JÄMTLANDS LÄN</t>
        </is>
      </c>
      <c r="E603" t="inlineStr">
        <is>
          <t>HÄRJEDALEN</t>
        </is>
      </c>
      <c r="G603" t="n">
        <v>3.6</v>
      </c>
      <c r="H603" t="n">
        <v>0</v>
      </c>
      <c r="I603" t="n">
        <v>0</v>
      </c>
      <c r="J603" t="n">
        <v>0</v>
      </c>
      <c r="K603" t="n">
        <v>0</v>
      </c>
      <c r="L603" t="n">
        <v>0</v>
      </c>
      <c r="M603" t="n">
        <v>0</v>
      </c>
      <c r="N603" t="n">
        <v>0</v>
      </c>
      <c r="O603" t="n">
        <v>0</v>
      </c>
      <c r="P603" t="n">
        <v>0</v>
      </c>
      <c r="Q603" t="n">
        <v>0</v>
      </c>
      <c r="R603" s="2" t="inlineStr"/>
    </row>
    <row r="604" ht="15" customHeight="1">
      <c r="A604" t="inlineStr">
        <is>
          <t>A 39493-2021</t>
        </is>
      </c>
      <c r="B604" s="1" t="n">
        <v>44414</v>
      </c>
      <c r="C604" s="1" t="n">
        <v>45787</v>
      </c>
      <c r="D604" t="inlineStr">
        <is>
          <t>JÄMTLANDS LÄN</t>
        </is>
      </c>
      <c r="E604" t="inlineStr">
        <is>
          <t>HÄRJEDALEN</t>
        </is>
      </c>
      <c r="G604" t="n">
        <v>13.5</v>
      </c>
      <c r="H604" t="n">
        <v>0</v>
      </c>
      <c r="I604" t="n">
        <v>0</v>
      </c>
      <c r="J604" t="n">
        <v>0</v>
      </c>
      <c r="K604" t="n">
        <v>0</v>
      </c>
      <c r="L604" t="n">
        <v>0</v>
      </c>
      <c r="M604" t="n">
        <v>0</v>
      </c>
      <c r="N604" t="n">
        <v>0</v>
      </c>
      <c r="O604" t="n">
        <v>0</v>
      </c>
      <c r="P604" t="n">
        <v>0</v>
      </c>
      <c r="Q604" t="n">
        <v>0</v>
      </c>
      <c r="R604" s="2" t="inlineStr"/>
    </row>
    <row r="605" ht="15" customHeight="1">
      <c r="A605" t="inlineStr">
        <is>
          <t>A 39492-2021</t>
        </is>
      </c>
      <c r="B605" s="1" t="n">
        <v>44414</v>
      </c>
      <c r="C605" s="1" t="n">
        <v>45787</v>
      </c>
      <c r="D605" t="inlineStr">
        <is>
          <t>JÄMTLANDS LÄN</t>
        </is>
      </c>
      <c r="E605" t="inlineStr">
        <is>
          <t>HÄRJEDALEN</t>
        </is>
      </c>
      <c r="G605" t="n">
        <v>28.3</v>
      </c>
      <c r="H605" t="n">
        <v>0</v>
      </c>
      <c r="I605" t="n">
        <v>0</v>
      </c>
      <c r="J605" t="n">
        <v>0</v>
      </c>
      <c r="K605" t="n">
        <v>0</v>
      </c>
      <c r="L605" t="n">
        <v>0</v>
      </c>
      <c r="M605" t="n">
        <v>0</v>
      </c>
      <c r="N605" t="n">
        <v>0</v>
      </c>
      <c r="O605" t="n">
        <v>0</v>
      </c>
      <c r="P605" t="n">
        <v>0</v>
      </c>
      <c r="Q605" t="n">
        <v>0</v>
      </c>
      <c r="R605" s="2" t="inlineStr"/>
    </row>
    <row r="606" ht="15" customHeight="1">
      <c r="A606" t="inlineStr">
        <is>
          <t>A 39610-2021</t>
        </is>
      </c>
      <c r="B606" s="1" t="n">
        <v>44417</v>
      </c>
      <c r="C606" s="1" t="n">
        <v>45787</v>
      </c>
      <c r="D606" t="inlineStr">
        <is>
          <t>JÄMTLANDS LÄN</t>
        </is>
      </c>
      <c r="E606" t="inlineStr">
        <is>
          <t>HÄRJEDALEN</t>
        </is>
      </c>
      <c r="G606" t="n">
        <v>5.1</v>
      </c>
      <c r="H606" t="n">
        <v>0</v>
      </c>
      <c r="I606" t="n">
        <v>0</v>
      </c>
      <c r="J606" t="n">
        <v>0</v>
      </c>
      <c r="K606" t="n">
        <v>0</v>
      </c>
      <c r="L606" t="n">
        <v>0</v>
      </c>
      <c r="M606" t="n">
        <v>0</v>
      </c>
      <c r="N606" t="n">
        <v>0</v>
      </c>
      <c r="O606" t="n">
        <v>0</v>
      </c>
      <c r="P606" t="n">
        <v>0</v>
      </c>
      <c r="Q606" t="n">
        <v>0</v>
      </c>
      <c r="R606" s="2" t="inlineStr"/>
    </row>
    <row r="607" ht="15" customHeight="1">
      <c r="A607" t="inlineStr">
        <is>
          <t>A 39616-2021</t>
        </is>
      </c>
      <c r="B607" s="1" t="n">
        <v>44417</v>
      </c>
      <c r="C607" s="1" t="n">
        <v>45787</v>
      </c>
      <c r="D607" t="inlineStr">
        <is>
          <t>JÄMTLANDS LÄN</t>
        </is>
      </c>
      <c r="E607" t="inlineStr">
        <is>
          <t>HÄRJEDALEN</t>
        </is>
      </c>
      <c r="G607" t="n">
        <v>0.7</v>
      </c>
      <c r="H607" t="n">
        <v>0</v>
      </c>
      <c r="I607" t="n">
        <v>0</v>
      </c>
      <c r="J607" t="n">
        <v>0</v>
      </c>
      <c r="K607" t="n">
        <v>0</v>
      </c>
      <c r="L607" t="n">
        <v>0</v>
      </c>
      <c r="M607" t="n">
        <v>0</v>
      </c>
      <c r="N607" t="n">
        <v>0</v>
      </c>
      <c r="O607" t="n">
        <v>0</v>
      </c>
      <c r="P607" t="n">
        <v>0</v>
      </c>
      <c r="Q607" t="n">
        <v>0</v>
      </c>
      <c r="R607" s="2" t="inlineStr"/>
    </row>
    <row r="608" ht="15" customHeight="1">
      <c r="A608" t="inlineStr">
        <is>
          <t>A 39611-2021</t>
        </is>
      </c>
      <c r="B608" s="1" t="n">
        <v>44417</v>
      </c>
      <c r="C608" s="1" t="n">
        <v>45787</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39631-2021</t>
        </is>
      </c>
      <c r="B609" s="1" t="n">
        <v>44417</v>
      </c>
      <c r="C609" s="1" t="n">
        <v>45787</v>
      </c>
      <c r="D609" t="inlineStr">
        <is>
          <t>JÄMTLANDS LÄN</t>
        </is>
      </c>
      <c r="E609" t="inlineStr">
        <is>
          <t>HÄRJEDALEN</t>
        </is>
      </c>
      <c r="G609" t="n">
        <v>4.3</v>
      </c>
      <c r="H609" t="n">
        <v>0</v>
      </c>
      <c r="I609" t="n">
        <v>0</v>
      </c>
      <c r="J609" t="n">
        <v>0</v>
      </c>
      <c r="K609" t="n">
        <v>0</v>
      </c>
      <c r="L609" t="n">
        <v>0</v>
      </c>
      <c r="M609" t="n">
        <v>0</v>
      </c>
      <c r="N609" t="n">
        <v>0</v>
      </c>
      <c r="O609" t="n">
        <v>0</v>
      </c>
      <c r="P609" t="n">
        <v>0</v>
      </c>
      <c r="Q609" t="n">
        <v>0</v>
      </c>
      <c r="R609" s="2" t="inlineStr"/>
    </row>
    <row r="610" ht="15" customHeight="1">
      <c r="A610" t="inlineStr">
        <is>
          <t>A 39618-2021</t>
        </is>
      </c>
      <c r="B610" s="1" t="n">
        <v>44417</v>
      </c>
      <c r="C610" s="1" t="n">
        <v>45787</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39979-2021</t>
        </is>
      </c>
      <c r="B611" s="1" t="n">
        <v>44418</v>
      </c>
      <c r="C611" s="1" t="n">
        <v>45787</v>
      </c>
      <c r="D611" t="inlineStr">
        <is>
          <t>JÄMTLANDS LÄN</t>
        </is>
      </c>
      <c r="E611" t="inlineStr">
        <is>
          <t>HÄRJEDALEN</t>
        </is>
      </c>
      <c r="G611" t="n">
        <v>9</v>
      </c>
      <c r="H611" t="n">
        <v>0</v>
      </c>
      <c r="I611" t="n">
        <v>0</v>
      </c>
      <c r="J611" t="n">
        <v>0</v>
      </c>
      <c r="K611" t="n">
        <v>0</v>
      </c>
      <c r="L611" t="n">
        <v>0</v>
      </c>
      <c r="M611" t="n">
        <v>0</v>
      </c>
      <c r="N611" t="n">
        <v>0</v>
      </c>
      <c r="O611" t="n">
        <v>0</v>
      </c>
      <c r="P611" t="n">
        <v>0</v>
      </c>
      <c r="Q611" t="n">
        <v>0</v>
      </c>
      <c r="R611" s="2" t="inlineStr"/>
    </row>
    <row r="612" ht="15" customHeight="1">
      <c r="A612" t="inlineStr">
        <is>
          <t>A 39951-2021</t>
        </is>
      </c>
      <c r="B612" s="1" t="n">
        <v>44418</v>
      </c>
      <c r="C612" s="1" t="n">
        <v>45787</v>
      </c>
      <c r="D612" t="inlineStr">
        <is>
          <t>JÄMTLANDS LÄN</t>
        </is>
      </c>
      <c r="E612" t="inlineStr">
        <is>
          <t>HÄRJEDALEN</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39950-2021</t>
        </is>
      </c>
      <c r="B613" s="1" t="n">
        <v>44418</v>
      </c>
      <c r="C613" s="1" t="n">
        <v>45787</v>
      </c>
      <c r="D613" t="inlineStr">
        <is>
          <t>JÄMTLANDS LÄN</t>
        </is>
      </c>
      <c r="E613" t="inlineStr">
        <is>
          <t>HÄRJEDALEN</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40412-2021</t>
        </is>
      </c>
      <c r="B614" s="1" t="n">
        <v>44419</v>
      </c>
      <c r="C614" s="1" t="n">
        <v>45787</v>
      </c>
      <c r="D614" t="inlineStr">
        <is>
          <t>JÄMTLANDS LÄN</t>
        </is>
      </c>
      <c r="E614" t="inlineStr">
        <is>
          <t>HÄRJEDALEN</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40497-2021</t>
        </is>
      </c>
      <c r="B615" s="1" t="n">
        <v>44420</v>
      </c>
      <c r="C615" s="1" t="n">
        <v>45787</v>
      </c>
      <c r="D615" t="inlineStr">
        <is>
          <t>JÄMTLANDS LÄN</t>
        </is>
      </c>
      <c r="E615" t="inlineStr">
        <is>
          <t>HÄRJEDALEN</t>
        </is>
      </c>
      <c r="G615" t="n">
        <v>2</v>
      </c>
      <c r="H615" t="n">
        <v>0</v>
      </c>
      <c r="I615" t="n">
        <v>0</v>
      </c>
      <c r="J615" t="n">
        <v>0</v>
      </c>
      <c r="K615" t="n">
        <v>0</v>
      </c>
      <c r="L615" t="n">
        <v>0</v>
      </c>
      <c r="M615" t="n">
        <v>0</v>
      </c>
      <c r="N615" t="n">
        <v>0</v>
      </c>
      <c r="O615" t="n">
        <v>0</v>
      </c>
      <c r="P615" t="n">
        <v>0</v>
      </c>
      <c r="Q615" t="n">
        <v>0</v>
      </c>
      <c r="R615" s="2" t="inlineStr"/>
    </row>
    <row r="616" ht="15" customHeight="1">
      <c r="A616" t="inlineStr">
        <is>
          <t>A 40808-2021</t>
        </is>
      </c>
      <c r="B616" s="1" t="n">
        <v>44421</v>
      </c>
      <c r="C616" s="1" t="n">
        <v>45787</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41149-2021</t>
        </is>
      </c>
      <c r="B617" s="1" t="n">
        <v>44423</v>
      </c>
      <c r="C617" s="1" t="n">
        <v>45787</v>
      </c>
      <c r="D617" t="inlineStr">
        <is>
          <t>JÄMTLANDS LÄN</t>
        </is>
      </c>
      <c r="E617" t="inlineStr">
        <is>
          <t>HÄRJEDALEN</t>
        </is>
      </c>
      <c r="G617" t="n">
        <v>1.2</v>
      </c>
      <c r="H617" t="n">
        <v>0</v>
      </c>
      <c r="I617" t="n">
        <v>0</v>
      </c>
      <c r="J617" t="n">
        <v>0</v>
      </c>
      <c r="K617" t="n">
        <v>0</v>
      </c>
      <c r="L617" t="n">
        <v>0</v>
      </c>
      <c r="M617" t="n">
        <v>0</v>
      </c>
      <c r="N617" t="n">
        <v>0</v>
      </c>
      <c r="O617" t="n">
        <v>0</v>
      </c>
      <c r="P617" t="n">
        <v>0</v>
      </c>
      <c r="Q617" t="n">
        <v>0</v>
      </c>
      <c r="R617" s="2" t="inlineStr"/>
    </row>
    <row r="618" ht="15" customHeight="1">
      <c r="A618" t="inlineStr">
        <is>
          <t>A 41147-2021</t>
        </is>
      </c>
      <c r="B618" s="1" t="n">
        <v>44423</v>
      </c>
      <c r="C618" s="1" t="n">
        <v>45787</v>
      </c>
      <c r="D618" t="inlineStr">
        <is>
          <t>JÄMTLANDS LÄN</t>
        </is>
      </c>
      <c r="E618" t="inlineStr">
        <is>
          <t>HÄRJEDALEN</t>
        </is>
      </c>
      <c r="G618" t="n">
        <v>2.2</v>
      </c>
      <c r="H618" t="n">
        <v>0</v>
      </c>
      <c r="I618" t="n">
        <v>0</v>
      </c>
      <c r="J618" t="n">
        <v>0</v>
      </c>
      <c r="K618" t="n">
        <v>0</v>
      </c>
      <c r="L618" t="n">
        <v>0</v>
      </c>
      <c r="M618" t="n">
        <v>0</v>
      </c>
      <c r="N618" t="n">
        <v>0</v>
      </c>
      <c r="O618" t="n">
        <v>0</v>
      </c>
      <c r="P618" t="n">
        <v>0</v>
      </c>
      <c r="Q618" t="n">
        <v>0</v>
      </c>
      <c r="R618" s="2" t="inlineStr"/>
    </row>
    <row r="619" ht="15" customHeight="1">
      <c r="A619" t="inlineStr">
        <is>
          <t>A 41146-2021</t>
        </is>
      </c>
      <c r="B619" s="1" t="n">
        <v>44423</v>
      </c>
      <c r="C619" s="1" t="n">
        <v>45787</v>
      </c>
      <c r="D619" t="inlineStr">
        <is>
          <t>JÄMTLANDS LÄN</t>
        </is>
      </c>
      <c r="E619" t="inlineStr">
        <is>
          <t>HÄRJEDALEN</t>
        </is>
      </c>
      <c r="G619" t="n">
        <v>14.9</v>
      </c>
      <c r="H619" t="n">
        <v>0</v>
      </c>
      <c r="I619" t="n">
        <v>0</v>
      </c>
      <c r="J619" t="n">
        <v>0</v>
      </c>
      <c r="K619" t="n">
        <v>0</v>
      </c>
      <c r="L619" t="n">
        <v>0</v>
      </c>
      <c r="M619" t="n">
        <v>0</v>
      </c>
      <c r="N619" t="n">
        <v>0</v>
      </c>
      <c r="O619" t="n">
        <v>0</v>
      </c>
      <c r="P619" t="n">
        <v>0</v>
      </c>
      <c r="Q619" t="n">
        <v>0</v>
      </c>
      <c r="R619" s="2" t="inlineStr"/>
    </row>
    <row r="620" ht="15" customHeight="1">
      <c r="A620" t="inlineStr">
        <is>
          <t>A 41387-2021</t>
        </is>
      </c>
      <c r="B620" s="1" t="n">
        <v>44424</v>
      </c>
      <c r="C620" s="1" t="n">
        <v>45787</v>
      </c>
      <c r="D620" t="inlineStr">
        <is>
          <t>JÄMTLANDS LÄN</t>
        </is>
      </c>
      <c r="E620" t="inlineStr">
        <is>
          <t>HÄRJEDALEN</t>
        </is>
      </c>
      <c r="G620" t="n">
        <v>9.5</v>
      </c>
      <c r="H620" t="n">
        <v>0</v>
      </c>
      <c r="I620" t="n">
        <v>0</v>
      </c>
      <c r="J620" t="n">
        <v>0</v>
      </c>
      <c r="K620" t="n">
        <v>0</v>
      </c>
      <c r="L620" t="n">
        <v>0</v>
      </c>
      <c r="M620" t="n">
        <v>0</v>
      </c>
      <c r="N620" t="n">
        <v>0</v>
      </c>
      <c r="O620" t="n">
        <v>0</v>
      </c>
      <c r="P620" t="n">
        <v>0</v>
      </c>
      <c r="Q620" t="n">
        <v>0</v>
      </c>
      <c r="R620" s="2" t="inlineStr"/>
    </row>
    <row r="621" ht="15" customHeight="1">
      <c r="A621" t="inlineStr">
        <is>
          <t>A 41395-2021</t>
        </is>
      </c>
      <c r="B621" s="1" t="n">
        <v>44424</v>
      </c>
      <c r="C621" s="1" t="n">
        <v>45787</v>
      </c>
      <c r="D621" t="inlineStr">
        <is>
          <t>JÄMTLANDS LÄN</t>
        </is>
      </c>
      <c r="E621" t="inlineStr">
        <is>
          <t>HÄRJEDALEN</t>
        </is>
      </c>
      <c r="G621" t="n">
        <v>1.9</v>
      </c>
      <c r="H621" t="n">
        <v>0</v>
      </c>
      <c r="I621" t="n">
        <v>0</v>
      </c>
      <c r="J621" t="n">
        <v>0</v>
      </c>
      <c r="K621" t="n">
        <v>0</v>
      </c>
      <c r="L621" t="n">
        <v>0</v>
      </c>
      <c r="M621" t="n">
        <v>0</v>
      </c>
      <c r="N621" t="n">
        <v>0</v>
      </c>
      <c r="O621" t="n">
        <v>0</v>
      </c>
      <c r="P621" t="n">
        <v>0</v>
      </c>
      <c r="Q621" t="n">
        <v>0</v>
      </c>
      <c r="R621" s="2" t="inlineStr"/>
    </row>
    <row r="622" ht="15" customHeight="1">
      <c r="A622" t="inlineStr">
        <is>
          <t>A 41400-2021</t>
        </is>
      </c>
      <c r="B622" s="1" t="n">
        <v>44424</v>
      </c>
      <c r="C622" s="1" t="n">
        <v>45787</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41391-2021</t>
        </is>
      </c>
      <c r="B623" s="1" t="n">
        <v>44424</v>
      </c>
      <c r="C623" s="1" t="n">
        <v>45787</v>
      </c>
      <c r="D623" t="inlineStr">
        <is>
          <t>JÄMTLANDS LÄN</t>
        </is>
      </c>
      <c r="E623" t="inlineStr">
        <is>
          <t>HÄRJEDALEN</t>
        </is>
      </c>
      <c r="G623" t="n">
        <v>1.5</v>
      </c>
      <c r="H623" t="n">
        <v>0</v>
      </c>
      <c r="I623" t="n">
        <v>0</v>
      </c>
      <c r="J623" t="n">
        <v>0</v>
      </c>
      <c r="K623" t="n">
        <v>0</v>
      </c>
      <c r="L623" t="n">
        <v>0</v>
      </c>
      <c r="M623" t="n">
        <v>0</v>
      </c>
      <c r="N623" t="n">
        <v>0</v>
      </c>
      <c r="O623" t="n">
        <v>0</v>
      </c>
      <c r="P623" t="n">
        <v>0</v>
      </c>
      <c r="Q623" t="n">
        <v>0</v>
      </c>
      <c r="R623" s="2" t="inlineStr"/>
    </row>
    <row r="624" ht="15" customHeight="1">
      <c r="A624" t="inlineStr">
        <is>
          <t>A 41978-2021</t>
        </is>
      </c>
      <c r="B624" s="1" t="n">
        <v>44426</v>
      </c>
      <c r="C624" s="1" t="n">
        <v>45787</v>
      </c>
      <c r="D624" t="inlineStr">
        <is>
          <t>JÄMTLANDS LÄN</t>
        </is>
      </c>
      <c r="E624" t="inlineStr">
        <is>
          <t>HÄRJEDALEN</t>
        </is>
      </c>
      <c r="G624" t="n">
        <v>2</v>
      </c>
      <c r="H624" t="n">
        <v>0</v>
      </c>
      <c r="I624" t="n">
        <v>0</v>
      </c>
      <c r="J624" t="n">
        <v>0</v>
      </c>
      <c r="K624" t="n">
        <v>0</v>
      </c>
      <c r="L624" t="n">
        <v>0</v>
      </c>
      <c r="M624" t="n">
        <v>0</v>
      </c>
      <c r="N624" t="n">
        <v>0</v>
      </c>
      <c r="O624" t="n">
        <v>0</v>
      </c>
      <c r="P624" t="n">
        <v>0</v>
      </c>
      <c r="Q624" t="n">
        <v>0</v>
      </c>
      <c r="R624" s="2" t="inlineStr"/>
    </row>
    <row r="625" ht="15" customHeight="1">
      <c r="A625" t="inlineStr">
        <is>
          <t>A 42827-2021</t>
        </is>
      </c>
      <c r="B625" s="1" t="n">
        <v>44430</v>
      </c>
      <c r="C625" s="1" t="n">
        <v>45787</v>
      </c>
      <c r="D625" t="inlineStr">
        <is>
          <t>JÄMTLANDS LÄN</t>
        </is>
      </c>
      <c r="E625" t="inlineStr">
        <is>
          <t>HÄRJEDALEN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44519-2021</t>
        </is>
      </c>
      <c r="B626" s="1" t="n">
        <v>44435</v>
      </c>
      <c r="C626" s="1" t="n">
        <v>45787</v>
      </c>
      <c r="D626" t="inlineStr">
        <is>
          <t>JÄMTLANDS LÄN</t>
        </is>
      </c>
      <c r="E626" t="inlineStr">
        <is>
          <t>HÄRJEDALEN</t>
        </is>
      </c>
      <c r="F626" t="inlineStr">
        <is>
          <t>Kyrkan</t>
        </is>
      </c>
      <c r="G626" t="n">
        <v>6.7</v>
      </c>
      <c r="H626" t="n">
        <v>0</v>
      </c>
      <c r="I626" t="n">
        <v>0</v>
      </c>
      <c r="J626" t="n">
        <v>0</v>
      </c>
      <c r="K626" t="n">
        <v>0</v>
      </c>
      <c r="L626" t="n">
        <v>0</v>
      </c>
      <c r="M626" t="n">
        <v>0</v>
      </c>
      <c r="N626" t="n">
        <v>0</v>
      </c>
      <c r="O626" t="n">
        <v>0</v>
      </c>
      <c r="P626" t="n">
        <v>0</v>
      </c>
      <c r="Q626" t="n">
        <v>0</v>
      </c>
      <c r="R626" s="2" t="inlineStr"/>
    </row>
    <row r="627" ht="15" customHeight="1">
      <c r="A627" t="inlineStr">
        <is>
          <t>A 45409-2021</t>
        </is>
      </c>
      <c r="B627" s="1" t="n">
        <v>44440</v>
      </c>
      <c r="C627" s="1" t="n">
        <v>45787</v>
      </c>
      <c r="D627" t="inlineStr">
        <is>
          <t>JÄMTLANDS LÄN</t>
        </is>
      </c>
      <c r="E627" t="inlineStr">
        <is>
          <t>HÄRJEDALEN</t>
        </is>
      </c>
      <c r="G627" t="n">
        <v>18.9</v>
      </c>
      <c r="H627" t="n">
        <v>0</v>
      </c>
      <c r="I627" t="n">
        <v>0</v>
      </c>
      <c r="J627" t="n">
        <v>0</v>
      </c>
      <c r="K627" t="n">
        <v>0</v>
      </c>
      <c r="L627" t="n">
        <v>0</v>
      </c>
      <c r="M627" t="n">
        <v>0</v>
      </c>
      <c r="N627" t="n">
        <v>0</v>
      </c>
      <c r="O627" t="n">
        <v>0</v>
      </c>
      <c r="P627" t="n">
        <v>0</v>
      </c>
      <c r="Q627" t="n">
        <v>0</v>
      </c>
      <c r="R627" s="2" t="inlineStr"/>
    </row>
    <row r="628" ht="15" customHeight="1">
      <c r="A628" t="inlineStr">
        <is>
          <t>A 45363-2021</t>
        </is>
      </c>
      <c r="B628" s="1" t="n">
        <v>44440</v>
      </c>
      <c r="C628" s="1" t="n">
        <v>45787</v>
      </c>
      <c r="D628" t="inlineStr">
        <is>
          <t>JÄMTLANDS LÄN</t>
        </is>
      </c>
      <c r="E628" t="inlineStr">
        <is>
          <t>HÄRJEDALEN</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45365-2021</t>
        </is>
      </c>
      <c r="B629" s="1" t="n">
        <v>44440</v>
      </c>
      <c r="C629" s="1" t="n">
        <v>45787</v>
      </c>
      <c r="D629" t="inlineStr">
        <is>
          <t>JÄMTLANDS LÄN</t>
        </is>
      </c>
      <c r="E629" t="inlineStr">
        <is>
          <t>HÄRJEDALEN</t>
        </is>
      </c>
      <c r="F629" t="inlineStr">
        <is>
          <t>Sveaskog</t>
        </is>
      </c>
      <c r="G629" t="n">
        <v>4.8</v>
      </c>
      <c r="H629" t="n">
        <v>0</v>
      </c>
      <c r="I629" t="n">
        <v>0</v>
      </c>
      <c r="J629" t="n">
        <v>0</v>
      </c>
      <c r="K629" t="n">
        <v>0</v>
      </c>
      <c r="L629" t="n">
        <v>0</v>
      </c>
      <c r="M629" t="n">
        <v>0</v>
      </c>
      <c r="N629" t="n">
        <v>0</v>
      </c>
      <c r="O629" t="n">
        <v>0</v>
      </c>
      <c r="P629" t="n">
        <v>0</v>
      </c>
      <c r="Q629" t="n">
        <v>0</v>
      </c>
      <c r="R629" s="2" t="inlineStr"/>
    </row>
    <row r="630" ht="15" customHeight="1">
      <c r="A630" t="inlineStr">
        <is>
          <t>A 45744-2021</t>
        </is>
      </c>
      <c r="B630" s="1" t="n">
        <v>44441</v>
      </c>
      <c r="C630" s="1" t="n">
        <v>45787</v>
      </c>
      <c r="D630" t="inlineStr">
        <is>
          <t>JÄMTLANDS LÄN</t>
        </is>
      </c>
      <c r="E630" t="inlineStr">
        <is>
          <t>HÄRJEDALEN</t>
        </is>
      </c>
      <c r="F630" t="inlineStr">
        <is>
          <t>Holmen skog AB</t>
        </is>
      </c>
      <c r="G630" t="n">
        <v>6.9</v>
      </c>
      <c r="H630" t="n">
        <v>0</v>
      </c>
      <c r="I630" t="n">
        <v>0</v>
      </c>
      <c r="J630" t="n">
        <v>0</v>
      </c>
      <c r="K630" t="n">
        <v>0</v>
      </c>
      <c r="L630" t="n">
        <v>0</v>
      </c>
      <c r="M630" t="n">
        <v>0</v>
      </c>
      <c r="N630" t="n">
        <v>0</v>
      </c>
      <c r="O630" t="n">
        <v>0</v>
      </c>
      <c r="P630" t="n">
        <v>0</v>
      </c>
      <c r="Q630" t="n">
        <v>0</v>
      </c>
      <c r="R630" s="2" t="inlineStr"/>
    </row>
    <row r="631" ht="15" customHeight="1">
      <c r="A631" t="inlineStr">
        <is>
          <t>A 46352-2021</t>
        </is>
      </c>
      <c r="B631" s="1" t="n">
        <v>44442</v>
      </c>
      <c r="C631" s="1" t="n">
        <v>45787</v>
      </c>
      <c r="D631" t="inlineStr">
        <is>
          <t>JÄMTLANDS LÄN</t>
        </is>
      </c>
      <c r="E631" t="inlineStr">
        <is>
          <t>HÄRJEDALEN</t>
        </is>
      </c>
      <c r="G631" t="n">
        <v>4.4</v>
      </c>
      <c r="H631" t="n">
        <v>0</v>
      </c>
      <c r="I631" t="n">
        <v>0</v>
      </c>
      <c r="J631" t="n">
        <v>0</v>
      </c>
      <c r="K631" t="n">
        <v>0</v>
      </c>
      <c r="L631" t="n">
        <v>0</v>
      </c>
      <c r="M631" t="n">
        <v>0</v>
      </c>
      <c r="N631" t="n">
        <v>0</v>
      </c>
      <c r="O631" t="n">
        <v>0</v>
      </c>
      <c r="P631" t="n">
        <v>0</v>
      </c>
      <c r="Q631" t="n">
        <v>0</v>
      </c>
      <c r="R631" s="2" t="inlineStr"/>
    </row>
    <row r="632" ht="15" customHeight="1">
      <c r="A632" t="inlineStr">
        <is>
          <t>A 47289-2021</t>
        </is>
      </c>
      <c r="B632" s="1" t="n">
        <v>44447</v>
      </c>
      <c r="C632" s="1" t="n">
        <v>45787</v>
      </c>
      <c r="D632" t="inlineStr">
        <is>
          <t>JÄMTLANDS LÄN</t>
        </is>
      </c>
      <c r="E632" t="inlineStr">
        <is>
          <t>HÄRJEDALEN</t>
        </is>
      </c>
      <c r="F632" t="inlineStr">
        <is>
          <t>Holmen skog AB</t>
        </is>
      </c>
      <c r="G632" t="n">
        <v>31.7</v>
      </c>
      <c r="H632" t="n">
        <v>0</v>
      </c>
      <c r="I632" t="n">
        <v>0</v>
      </c>
      <c r="J632" t="n">
        <v>0</v>
      </c>
      <c r="K632" t="n">
        <v>0</v>
      </c>
      <c r="L632" t="n">
        <v>0</v>
      </c>
      <c r="M632" t="n">
        <v>0</v>
      </c>
      <c r="N632" t="n">
        <v>0</v>
      </c>
      <c r="O632" t="n">
        <v>0</v>
      </c>
      <c r="P632" t="n">
        <v>0</v>
      </c>
      <c r="Q632" t="n">
        <v>0</v>
      </c>
      <c r="R632" s="2" t="inlineStr"/>
    </row>
    <row r="633" ht="15" customHeight="1">
      <c r="A633" t="inlineStr">
        <is>
          <t>A 48079-2021</t>
        </is>
      </c>
      <c r="B633" s="1" t="n">
        <v>44449</v>
      </c>
      <c r="C633" s="1" t="n">
        <v>45787</v>
      </c>
      <c r="D633" t="inlineStr">
        <is>
          <t>JÄMTLANDS LÄN</t>
        </is>
      </c>
      <c r="E633" t="inlineStr">
        <is>
          <t>HÄRJEDALEN</t>
        </is>
      </c>
      <c r="G633" t="n">
        <v>12.5</v>
      </c>
      <c r="H633" t="n">
        <v>0</v>
      </c>
      <c r="I633" t="n">
        <v>0</v>
      </c>
      <c r="J633" t="n">
        <v>0</v>
      </c>
      <c r="K633" t="n">
        <v>0</v>
      </c>
      <c r="L633" t="n">
        <v>0</v>
      </c>
      <c r="M633" t="n">
        <v>0</v>
      </c>
      <c r="N633" t="n">
        <v>0</v>
      </c>
      <c r="O633" t="n">
        <v>0</v>
      </c>
      <c r="P633" t="n">
        <v>0</v>
      </c>
      <c r="Q633" t="n">
        <v>0</v>
      </c>
      <c r="R633" s="2" t="inlineStr"/>
    </row>
    <row r="634" ht="15" customHeight="1">
      <c r="A634" t="inlineStr">
        <is>
          <t>A 48132-2021</t>
        </is>
      </c>
      <c r="B634" s="1" t="n">
        <v>44449</v>
      </c>
      <c r="C634" s="1" t="n">
        <v>45787</v>
      </c>
      <c r="D634" t="inlineStr">
        <is>
          <t>JÄMTLANDS LÄN</t>
        </is>
      </c>
      <c r="E634" t="inlineStr">
        <is>
          <t>HÄRJEDALEN</t>
        </is>
      </c>
      <c r="F634" t="inlineStr">
        <is>
          <t>Holmen skog AB</t>
        </is>
      </c>
      <c r="G634" t="n">
        <v>3.8</v>
      </c>
      <c r="H634" t="n">
        <v>0</v>
      </c>
      <c r="I634" t="n">
        <v>0</v>
      </c>
      <c r="J634" t="n">
        <v>0</v>
      </c>
      <c r="K634" t="n">
        <v>0</v>
      </c>
      <c r="L634" t="n">
        <v>0</v>
      </c>
      <c r="M634" t="n">
        <v>0</v>
      </c>
      <c r="N634" t="n">
        <v>0</v>
      </c>
      <c r="O634" t="n">
        <v>0</v>
      </c>
      <c r="P634" t="n">
        <v>0</v>
      </c>
      <c r="Q634" t="n">
        <v>0</v>
      </c>
      <c r="R634" s="2" t="inlineStr"/>
    </row>
    <row r="635" ht="15" customHeight="1">
      <c r="A635" t="inlineStr">
        <is>
          <t>A 48142-2021</t>
        </is>
      </c>
      <c r="B635" s="1" t="n">
        <v>44449</v>
      </c>
      <c r="C635" s="1" t="n">
        <v>45787</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48444-2021</t>
        </is>
      </c>
      <c r="B636" s="1" t="n">
        <v>44452</v>
      </c>
      <c r="C636" s="1" t="n">
        <v>45787</v>
      </c>
      <c r="D636" t="inlineStr">
        <is>
          <t>JÄMTLANDS LÄN</t>
        </is>
      </c>
      <c r="E636" t="inlineStr">
        <is>
          <t>HÄRJEDALEN</t>
        </is>
      </c>
      <c r="F636" t="inlineStr">
        <is>
          <t>Holmen skog AB</t>
        </is>
      </c>
      <c r="G636" t="n">
        <v>7.4</v>
      </c>
      <c r="H636" t="n">
        <v>0</v>
      </c>
      <c r="I636" t="n">
        <v>0</v>
      </c>
      <c r="J636" t="n">
        <v>0</v>
      </c>
      <c r="K636" t="n">
        <v>0</v>
      </c>
      <c r="L636" t="n">
        <v>0</v>
      </c>
      <c r="M636" t="n">
        <v>0</v>
      </c>
      <c r="N636" t="n">
        <v>0</v>
      </c>
      <c r="O636" t="n">
        <v>0</v>
      </c>
      <c r="P636" t="n">
        <v>0</v>
      </c>
      <c r="Q636" t="n">
        <v>0</v>
      </c>
      <c r="R636" s="2" t="inlineStr"/>
    </row>
    <row r="637" ht="15" customHeight="1">
      <c r="A637" t="inlineStr">
        <is>
          <t>A 48586-2021</t>
        </is>
      </c>
      <c r="B637" s="1" t="n">
        <v>44452</v>
      </c>
      <c r="C637" s="1" t="n">
        <v>45787</v>
      </c>
      <c r="D637" t="inlineStr">
        <is>
          <t>JÄMTLANDS LÄN</t>
        </is>
      </c>
      <c r="E637" t="inlineStr">
        <is>
          <t>HÄRJEDALEN</t>
        </is>
      </c>
      <c r="F637" t="inlineStr">
        <is>
          <t>Holmen skog AB</t>
        </is>
      </c>
      <c r="G637" t="n">
        <v>5.2</v>
      </c>
      <c r="H637" t="n">
        <v>0</v>
      </c>
      <c r="I637" t="n">
        <v>0</v>
      </c>
      <c r="J637" t="n">
        <v>0</v>
      </c>
      <c r="K637" t="n">
        <v>0</v>
      </c>
      <c r="L637" t="n">
        <v>0</v>
      </c>
      <c r="M637" t="n">
        <v>0</v>
      </c>
      <c r="N637" t="n">
        <v>0</v>
      </c>
      <c r="O637" t="n">
        <v>0</v>
      </c>
      <c r="P637" t="n">
        <v>0</v>
      </c>
      <c r="Q637" t="n">
        <v>0</v>
      </c>
      <c r="R637" s="2" t="inlineStr"/>
    </row>
    <row r="638" ht="15" customHeight="1">
      <c r="A638" t="inlineStr">
        <is>
          <t>A 48769-2021</t>
        </is>
      </c>
      <c r="B638" s="1" t="n">
        <v>44452</v>
      </c>
      <c r="C638" s="1" t="n">
        <v>45787</v>
      </c>
      <c r="D638" t="inlineStr">
        <is>
          <t>JÄMTLANDS LÄN</t>
        </is>
      </c>
      <c r="E638" t="inlineStr">
        <is>
          <t>HÄRJEDALEN</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48681-2021</t>
        </is>
      </c>
      <c r="B639" s="1" t="n">
        <v>44452</v>
      </c>
      <c r="C639" s="1" t="n">
        <v>45787</v>
      </c>
      <c r="D639" t="inlineStr">
        <is>
          <t>JÄMTLANDS LÄN</t>
        </is>
      </c>
      <c r="E639" t="inlineStr">
        <is>
          <t>HÄRJEDALEN</t>
        </is>
      </c>
      <c r="F639" t="inlineStr">
        <is>
          <t>Holmen skog AB</t>
        </is>
      </c>
      <c r="G639" t="n">
        <v>3.7</v>
      </c>
      <c r="H639" t="n">
        <v>0</v>
      </c>
      <c r="I639" t="n">
        <v>0</v>
      </c>
      <c r="J639" t="n">
        <v>0</v>
      </c>
      <c r="K639" t="n">
        <v>0</v>
      </c>
      <c r="L639" t="n">
        <v>0</v>
      </c>
      <c r="M639" t="n">
        <v>0</v>
      </c>
      <c r="N639" t="n">
        <v>0</v>
      </c>
      <c r="O639" t="n">
        <v>0</v>
      </c>
      <c r="P639" t="n">
        <v>0</v>
      </c>
      <c r="Q639" t="n">
        <v>0</v>
      </c>
      <c r="R639" s="2" t="inlineStr"/>
    </row>
    <row r="640" ht="15" customHeight="1">
      <c r="A640" t="inlineStr">
        <is>
          <t>A 50775-2021</t>
        </is>
      </c>
      <c r="B640" s="1" t="n">
        <v>44460</v>
      </c>
      <c r="C640" s="1" t="n">
        <v>45787</v>
      </c>
      <c r="D640" t="inlineStr">
        <is>
          <t>JÄMTLANDS LÄN</t>
        </is>
      </c>
      <c r="E640" t="inlineStr">
        <is>
          <t>HÄRJEDALEN</t>
        </is>
      </c>
      <c r="F640" t="inlineStr">
        <is>
          <t>Bergvik skog väst AB</t>
        </is>
      </c>
      <c r="G640" t="n">
        <v>4.9</v>
      </c>
      <c r="H640" t="n">
        <v>0</v>
      </c>
      <c r="I640" t="n">
        <v>0</v>
      </c>
      <c r="J640" t="n">
        <v>0</v>
      </c>
      <c r="K640" t="n">
        <v>0</v>
      </c>
      <c r="L640" t="n">
        <v>0</v>
      </c>
      <c r="M640" t="n">
        <v>0</v>
      </c>
      <c r="N640" t="n">
        <v>0</v>
      </c>
      <c r="O640" t="n">
        <v>0</v>
      </c>
      <c r="P640" t="n">
        <v>0</v>
      </c>
      <c r="Q640" t="n">
        <v>0</v>
      </c>
      <c r="R640" s="2" t="inlineStr"/>
    </row>
    <row r="641" ht="15" customHeight="1">
      <c r="A641" t="inlineStr">
        <is>
          <t>A 52685-2021</t>
        </is>
      </c>
      <c r="B641" s="1" t="n">
        <v>44466</v>
      </c>
      <c r="C641" s="1" t="n">
        <v>45787</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54103-2021</t>
        </is>
      </c>
      <c r="B642" s="1" t="n">
        <v>44470</v>
      </c>
      <c r="C642" s="1" t="n">
        <v>45787</v>
      </c>
      <c r="D642" t="inlineStr">
        <is>
          <t>JÄMTLANDS LÄN</t>
        </is>
      </c>
      <c r="E642" t="inlineStr">
        <is>
          <t>HÄRJEDALEN</t>
        </is>
      </c>
      <c r="F642" t="inlineStr">
        <is>
          <t>Holmen skog AB</t>
        </is>
      </c>
      <c r="G642" t="n">
        <v>11.9</v>
      </c>
      <c r="H642" t="n">
        <v>0</v>
      </c>
      <c r="I642" t="n">
        <v>0</v>
      </c>
      <c r="J642" t="n">
        <v>0</v>
      </c>
      <c r="K642" t="n">
        <v>0</v>
      </c>
      <c r="L642" t="n">
        <v>0</v>
      </c>
      <c r="M642" t="n">
        <v>0</v>
      </c>
      <c r="N642" t="n">
        <v>0</v>
      </c>
      <c r="O642" t="n">
        <v>0</v>
      </c>
      <c r="P642" t="n">
        <v>0</v>
      </c>
      <c r="Q642" t="n">
        <v>0</v>
      </c>
      <c r="R642" s="2" t="inlineStr"/>
    </row>
    <row r="643" ht="15" customHeight="1">
      <c r="A643" t="inlineStr">
        <is>
          <t>A 54218-2021</t>
        </is>
      </c>
      <c r="B643" s="1" t="n">
        <v>44470</v>
      </c>
      <c r="C643" s="1" t="n">
        <v>45787</v>
      </c>
      <c r="D643" t="inlineStr">
        <is>
          <t>JÄMTLANDS LÄN</t>
        </is>
      </c>
      <c r="E643" t="inlineStr">
        <is>
          <t>HÄRJEDALEN</t>
        </is>
      </c>
      <c r="F643" t="inlineStr">
        <is>
          <t>Holmen skog AB</t>
        </is>
      </c>
      <c r="G643" t="n">
        <v>4.6</v>
      </c>
      <c r="H643" t="n">
        <v>0</v>
      </c>
      <c r="I643" t="n">
        <v>0</v>
      </c>
      <c r="J643" t="n">
        <v>0</v>
      </c>
      <c r="K643" t="n">
        <v>0</v>
      </c>
      <c r="L643" t="n">
        <v>0</v>
      </c>
      <c r="M643" t="n">
        <v>0</v>
      </c>
      <c r="N643" t="n">
        <v>0</v>
      </c>
      <c r="O643" t="n">
        <v>0</v>
      </c>
      <c r="P643" t="n">
        <v>0</v>
      </c>
      <c r="Q643" t="n">
        <v>0</v>
      </c>
      <c r="R643" s="2" t="inlineStr"/>
    </row>
    <row r="644" ht="15" customHeight="1">
      <c r="A644" t="inlineStr">
        <is>
          <t>A 54331-2021</t>
        </is>
      </c>
      <c r="B644" s="1" t="n">
        <v>44472</v>
      </c>
      <c r="C644" s="1" t="n">
        <v>45787</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54842-2021</t>
        </is>
      </c>
      <c r="B645" s="1" t="n">
        <v>44473</v>
      </c>
      <c r="C645" s="1" t="n">
        <v>45787</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55029-2021</t>
        </is>
      </c>
      <c r="B646" s="1" t="n">
        <v>44474</v>
      </c>
      <c r="C646" s="1" t="n">
        <v>45787</v>
      </c>
      <c r="D646" t="inlineStr">
        <is>
          <t>JÄMTLANDS LÄN</t>
        </is>
      </c>
      <c r="E646" t="inlineStr">
        <is>
          <t>HÄRJEDALEN</t>
        </is>
      </c>
      <c r="G646" t="n">
        <v>6.2</v>
      </c>
      <c r="H646" t="n">
        <v>0</v>
      </c>
      <c r="I646" t="n">
        <v>0</v>
      </c>
      <c r="J646" t="n">
        <v>0</v>
      </c>
      <c r="K646" t="n">
        <v>0</v>
      </c>
      <c r="L646" t="n">
        <v>0</v>
      </c>
      <c r="M646" t="n">
        <v>0</v>
      </c>
      <c r="N646" t="n">
        <v>0</v>
      </c>
      <c r="O646" t="n">
        <v>0</v>
      </c>
      <c r="P646" t="n">
        <v>0</v>
      </c>
      <c r="Q646" t="n">
        <v>0</v>
      </c>
      <c r="R646" s="2" t="inlineStr"/>
    </row>
    <row r="647" ht="15" customHeight="1">
      <c r="A647" t="inlineStr">
        <is>
          <t>A 55219-2021</t>
        </is>
      </c>
      <c r="B647" s="1" t="n">
        <v>44475</v>
      </c>
      <c r="C647" s="1" t="n">
        <v>45787</v>
      </c>
      <c r="D647" t="inlineStr">
        <is>
          <t>JÄMTLANDS LÄN</t>
        </is>
      </c>
      <c r="E647" t="inlineStr">
        <is>
          <t>HÄRJEDALEN</t>
        </is>
      </c>
      <c r="G647" t="n">
        <v>2.5</v>
      </c>
      <c r="H647" t="n">
        <v>0</v>
      </c>
      <c r="I647" t="n">
        <v>0</v>
      </c>
      <c r="J647" t="n">
        <v>0</v>
      </c>
      <c r="K647" t="n">
        <v>0</v>
      </c>
      <c r="L647" t="n">
        <v>0</v>
      </c>
      <c r="M647" t="n">
        <v>0</v>
      </c>
      <c r="N647" t="n">
        <v>0</v>
      </c>
      <c r="O647" t="n">
        <v>0</v>
      </c>
      <c r="P647" t="n">
        <v>0</v>
      </c>
      <c r="Q647" t="n">
        <v>0</v>
      </c>
      <c r="R647" s="2" t="inlineStr"/>
    </row>
    <row r="648" ht="15" customHeight="1">
      <c r="A648" t="inlineStr">
        <is>
          <t>A 55226-2021</t>
        </is>
      </c>
      <c r="B648" s="1" t="n">
        <v>44475</v>
      </c>
      <c r="C648" s="1" t="n">
        <v>45787</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55232-2021</t>
        </is>
      </c>
      <c r="B649" s="1" t="n">
        <v>44475</v>
      </c>
      <c r="C649" s="1" t="n">
        <v>45787</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55250-2021</t>
        </is>
      </c>
      <c r="B650" s="1" t="n">
        <v>44475</v>
      </c>
      <c r="C650" s="1" t="n">
        <v>45787</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55231-2021</t>
        </is>
      </c>
      <c r="B651" s="1" t="n">
        <v>44475</v>
      </c>
      <c r="C651" s="1" t="n">
        <v>45787</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55238-2021</t>
        </is>
      </c>
      <c r="B652" s="1" t="n">
        <v>44475</v>
      </c>
      <c r="C652" s="1" t="n">
        <v>45787</v>
      </c>
      <c r="D652" t="inlineStr">
        <is>
          <t>JÄMTLANDS LÄN</t>
        </is>
      </c>
      <c r="E652" t="inlineStr">
        <is>
          <t>HÄRJEDALEN</t>
        </is>
      </c>
      <c r="G652" t="n">
        <v>2.2</v>
      </c>
      <c r="H652" t="n">
        <v>0</v>
      </c>
      <c r="I652" t="n">
        <v>0</v>
      </c>
      <c r="J652" t="n">
        <v>0</v>
      </c>
      <c r="K652" t="n">
        <v>0</v>
      </c>
      <c r="L652" t="n">
        <v>0</v>
      </c>
      <c r="M652" t="n">
        <v>0</v>
      </c>
      <c r="N652" t="n">
        <v>0</v>
      </c>
      <c r="O652" t="n">
        <v>0</v>
      </c>
      <c r="P652" t="n">
        <v>0</v>
      </c>
      <c r="Q652" t="n">
        <v>0</v>
      </c>
      <c r="R652" s="2" t="inlineStr"/>
    </row>
    <row r="653" ht="15" customHeight="1">
      <c r="A653" t="inlineStr">
        <is>
          <t>A 55242-2021</t>
        </is>
      </c>
      <c r="B653" s="1" t="n">
        <v>44475</v>
      </c>
      <c r="C653" s="1" t="n">
        <v>45787</v>
      </c>
      <c r="D653" t="inlineStr">
        <is>
          <t>JÄMTLANDS LÄN</t>
        </is>
      </c>
      <c r="E653" t="inlineStr">
        <is>
          <t>HÄRJEDALEN</t>
        </is>
      </c>
      <c r="G653" t="n">
        <v>26</v>
      </c>
      <c r="H653" t="n">
        <v>0</v>
      </c>
      <c r="I653" t="n">
        <v>0</v>
      </c>
      <c r="J653" t="n">
        <v>0</v>
      </c>
      <c r="K653" t="n">
        <v>0</v>
      </c>
      <c r="L653" t="n">
        <v>0</v>
      </c>
      <c r="M653" t="n">
        <v>0</v>
      </c>
      <c r="N653" t="n">
        <v>0</v>
      </c>
      <c r="O653" t="n">
        <v>0</v>
      </c>
      <c r="P653" t="n">
        <v>0</v>
      </c>
      <c r="Q653" t="n">
        <v>0</v>
      </c>
      <c r="R653" s="2" t="inlineStr"/>
    </row>
    <row r="654" ht="15" customHeight="1">
      <c r="A654" t="inlineStr">
        <is>
          <t>A 55252-2021</t>
        </is>
      </c>
      <c r="B654" s="1" t="n">
        <v>44475</v>
      </c>
      <c r="C654" s="1" t="n">
        <v>45787</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55257-2021</t>
        </is>
      </c>
      <c r="B655" s="1" t="n">
        <v>44475</v>
      </c>
      <c r="C655" s="1" t="n">
        <v>45787</v>
      </c>
      <c r="D655" t="inlineStr">
        <is>
          <t>JÄMTLANDS LÄN</t>
        </is>
      </c>
      <c r="E655" t="inlineStr">
        <is>
          <t>HÄRJEDALEN</t>
        </is>
      </c>
      <c r="G655" t="n">
        <v>0</v>
      </c>
      <c r="H655" t="n">
        <v>0</v>
      </c>
      <c r="I655" t="n">
        <v>0</v>
      </c>
      <c r="J655" t="n">
        <v>0</v>
      </c>
      <c r="K655" t="n">
        <v>0</v>
      </c>
      <c r="L655" t="n">
        <v>0</v>
      </c>
      <c r="M655" t="n">
        <v>0</v>
      </c>
      <c r="N655" t="n">
        <v>0</v>
      </c>
      <c r="O655" t="n">
        <v>0</v>
      </c>
      <c r="P655" t="n">
        <v>0</v>
      </c>
      <c r="Q655" t="n">
        <v>0</v>
      </c>
      <c r="R655" s="2" t="inlineStr"/>
    </row>
    <row r="656" ht="15" customHeight="1">
      <c r="A656" t="inlineStr">
        <is>
          <t>A 55255-2021</t>
        </is>
      </c>
      <c r="B656" s="1" t="n">
        <v>44475</v>
      </c>
      <c r="C656" s="1" t="n">
        <v>45787</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55246-2021</t>
        </is>
      </c>
      <c r="B657" s="1" t="n">
        <v>44475</v>
      </c>
      <c r="C657" s="1" t="n">
        <v>45787</v>
      </c>
      <c r="D657" t="inlineStr">
        <is>
          <t>JÄMTLANDS LÄN</t>
        </is>
      </c>
      <c r="E657" t="inlineStr">
        <is>
          <t>HÄRJEDALEN</t>
        </is>
      </c>
      <c r="G657" t="n">
        <v>3.8</v>
      </c>
      <c r="H657" t="n">
        <v>0</v>
      </c>
      <c r="I657" t="n">
        <v>0</v>
      </c>
      <c r="J657" t="n">
        <v>0</v>
      </c>
      <c r="K657" t="n">
        <v>0</v>
      </c>
      <c r="L657" t="n">
        <v>0</v>
      </c>
      <c r="M657" t="n">
        <v>0</v>
      </c>
      <c r="N657" t="n">
        <v>0</v>
      </c>
      <c r="O657" t="n">
        <v>0</v>
      </c>
      <c r="P657" t="n">
        <v>0</v>
      </c>
      <c r="Q657" t="n">
        <v>0</v>
      </c>
      <c r="R657" s="2" t="inlineStr"/>
    </row>
    <row r="658" ht="15" customHeight="1">
      <c r="A658" t="inlineStr">
        <is>
          <t>A 55384-2021</t>
        </is>
      </c>
      <c r="B658" s="1" t="n">
        <v>44475</v>
      </c>
      <c r="C658" s="1" t="n">
        <v>45787</v>
      </c>
      <c r="D658" t="inlineStr">
        <is>
          <t>JÄMTLANDS LÄN</t>
        </is>
      </c>
      <c r="E658" t="inlineStr">
        <is>
          <t>HÄRJEDALEN</t>
        </is>
      </c>
      <c r="G658" t="n">
        <v>0.3</v>
      </c>
      <c r="H658" t="n">
        <v>0</v>
      </c>
      <c r="I658" t="n">
        <v>0</v>
      </c>
      <c r="J658" t="n">
        <v>0</v>
      </c>
      <c r="K658" t="n">
        <v>0</v>
      </c>
      <c r="L658" t="n">
        <v>0</v>
      </c>
      <c r="M658" t="n">
        <v>0</v>
      </c>
      <c r="N658" t="n">
        <v>0</v>
      </c>
      <c r="O658" t="n">
        <v>0</v>
      </c>
      <c r="P658" t="n">
        <v>0</v>
      </c>
      <c r="Q658" t="n">
        <v>0</v>
      </c>
      <c r="R658" s="2" t="inlineStr"/>
    </row>
    <row r="659" ht="15" customHeight="1">
      <c r="A659" t="inlineStr">
        <is>
          <t>A 55379-2021</t>
        </is>
      </c>
      <c r="B659" s="1" t="n">
        <v>44475</v>
      </c>
      <c r="C659" s="1" t="n">
        <v>45787</v>
      </c>
      <c r="D659" t="inlineStr">
        <is>
          <t>JÄMTLANDS LÄN</t>
        </is>
      </c>
      <c r="E659" t="inlineStr">
        <is>
          <t>HÄRJEDALEN</t>
        </is>
      </c>
      <c r="G659" t="n">
        <v>0.2</v>
      </c>
      <c r="H659" t="n">
        <v>0</v>
      </c>
      <c r="I659" t="n">
        <v>0</v>
      </c>
      <c r="J659" t="n">
        <v>0</v>
      </c>
      <c r="K659" t="n">
        <v>0</v>
      </c>
      <c r="L659" t="n">
        <v>0</v>
      </c>
      <c r="M659" t="n">
        <v>0</v>
      </c>
      <c r="N659" t="n">
        <v>0</v>
      </c>
      <c r="O659" t="n">
        <v>0</v>
      </c>
      <c r="P659" t="n">
        <v>0</v>
      </c>
      <c r="Q659" t="n">
        <v>0</v>
      </c>
      <c r="R659" s="2" t="inlineStr"/>
    </row>
    <row r="660" ht="15" customHeight="1">
      <c r="A660" t="inlineStr">
        <is>
          <t>A 55388-2021</t>
        </is>
      </c>
      <c r="B660" s="1" t="n">
        <v>44475</v>
      </c>
      <c r="C660" s="1" t="n">
        <v>45787</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55396-2021</t>
        </is>
      </c>
      <c r="B661" s="1" t="n">
        <v>44475</v>
      </c>
      <c r="C661" s="1" t="n">
        <v>45787</v>
      </c>
      <c r="D661" t="inlineStr">
        <is>
          <t>JÄMTLANDS LÄN</t>
        </is>
      </c>
      <c r="E661" t="inlineStr">
        <is>
          <t>HÄRJEDALEN</t>
        </is>
      </c>
      <c r="G661" t="n">
        <v>0.5</v>
      </c>
      <c r="H661" t="n">
        <v>0</v>
      </c>
      <c r="I661" t="n">
        <v>0</v>
      </c>
      <c r="J661" t="n">
        <v>0</v>
      </c>
      <c r="K661" t="n">
        <v>0</v>
      </c>
      <c r="L661" t="n">
        <v>0</v>
      </c>
      <c r="M661" t="n">
        <v>0</v>
      </c>
      <c r="N661" t="n">
        <v>0</v>
      </c>
      <c r="O661" t="n">
        <v>0</v>
      </c>
      <c r="P661" t="n">
        <v>0</v>
      </c>
      <c r="Q661" t="n">
        <v>0</v>
      </c>
      <c r="R661" s="2" t="inlineStr"/>
    </row>
    <row r="662" ht="15" customHeight="1">
      <c r="A662" t="inlineStr">
        <is>
          <t>A 55385-2021</t>
        </is>
      </c>
      <c r="B662" s="1" t="n">
        <v>44475</v>
      </c>
      <c r="C662" s="1" t="n">
        <v>45787</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55381-2021</t>
        </is>
      </c>
      <c r="B663" s="1" t="n">
        <v>44475</v>
      </c>
      <c r="C663" s="1" t="n">
        <v>45787</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55399-2021</t>
        </is>
      </c>
      <c r="B664" s="1" t="n">
        <v>44475</v>
      </c>
      <c r="C664" s="1" t="n">
        <v>45787</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55517-2021</t>
        </is>
      </c>
      <c r="B665" s="1" t="n">
        <v>44475</v>
      </c>
      <c r="C665" s="1" t="n">
        <v>45787</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55542-2021</t>
        </is>
      </c>
      <c r="B666" s="1" t="n">
        <v>44475</v>
      </c>
      <c r="C666" s="1" t="n">
        <v>45787</v>
      </c>
      <c r="D666" t="inlineStr">
        <is>
          <t>JÄMTLANDS LÄN</t>
        </is>
      </c>
      <c r="E666" t="inlineStr">
        <is>
          <t>HÄRJEDALEN</t>
        </is>
      </c>
      <c r="G666" t="n">
        <v>1.3</v>
      </c>
      <c r="H666" t="n">
        <v>0</v>
      </c>
      <c r="I666" t="n">
        <v>0</v>
      </c>
      <c r="J666" t="n">
        <v>0</v>
      </c>
      <c r="K666" t="n">
        <v>0</v>
      </c>
      <c r="L666" t="n">
        <v>0</v>
      </c>
      <c r="M666" t="n">
        <v>0</v>
      </c>
      <c r="N666" t="n">
        <v>0</v>
      </c>
      <c r="O666" t="n">
        <v>0</v>
      </c>
      <c r="P666" t="n">
        <v>0</v>
      </c>
      <c r="Q666" t="n">
        <v>0</v>
      </c>
      <c r="R666" s="2" t="inlineStr"/>
    </row>
    <row r="667" ht="15" customHeight="1">
      <c r="A667" t="inlineStr">
        <is>
          <t>A 55393-2021</t>
        </is>
      </c>
      <c r="B667" s="1" t="n">
        <v>44475</v>
      </c>
      <c r="C667" s="1" t="n">
        <v>45787</v>
      </c>
      <c r="D667" t="inlineStr">
        <is>
          <t>JÄMTLANDS LÄN</t>
        </is>
      </c>
      <c r="E667" t="inlineStr">
        <is>
          <t>HÄRJEDALEN</t>
        </is>
      </c>
      <c r="G667" t="n">
        <v>3</v>
      </c>
      <c r="H667" t="n">
        <v>0</v>
      </c>
      <c r="I667" t="n">
        <v>0</v>
      </c>
      <c r="J667" t="n">
        <v>0</v>
      </c>
      <c r="K667" t="n">
        <v>0</v>
      </c>
      <c r="L667" t="n">
        <v>0</v>
      </c>
      <c r="M667" t="n">
        <v>0</v>
      </c>
      <c r="N667" t="n">
        <v>0</v>
      </c>
      <c r="O667" t="n">
        <v>0</v>
      </c>
      <c r="P667" t="n">
        <v>0</v>
      </c>
      <c r="Q667" t="n">
        <v>0</v>
      </c>
      <c r="R667" s="2" t="inlineStr"/>
    </row>
    <row r="668" ht="15" customHeight="1">
      <c r="A668" t="inlineStr">
        <is>
          <t>A 55215-2021</t>
        </is>
      </c>
      <c r="B668" s="1" t="n">
        <v>44475</v>
      </c>
      <c r="C668" s="1" t="n">
        <v>45787</v>
      </c>
      <c r="D668" t="inlineStr">
        <is>
          <t>JÄMTLANDS LÄN</t>
        </is>
      </c>
      <c r="E668" t="inlineStr">
        <is>
          <t>HÄRJEDALEN</t>
        </is>
      </c>
      <c r="G668" t="n">
        <v>3.9</v>
      </c>
      <c r="H668" t="n">
        <v>0</v>
      </c>
      <c r="I668" t="n">
        <v>0</v>
      </c>
      <c r="J668" t="n">
        <v>0</v>
      </c>
      <c r="K668" t="n">
        <v>0</v>
      </c>
      <c r="L668" t="n">
        <v>0</v>
      </c>
      <c r="M668" t="n">
        <v>0</v>
      </c>
      <c r="N668" t="n">
        <v>0</v>
      </c>
      <c r="O668" t="n">
        <v>0</v>
      </c>
      <c r="P668" t="n">
        <v>0</v>
      </c>
      <c r="Q668" t="n">
        <v>0</v>
      </c>
      <c r="R668" s="2" t="inlineStr"/>
    </row>
    <row r="669" ht="15" customHeight="1">
      <c r="A669" t="inlineStr">
        <is>
          <t>A 56852-2021</t>
        </is>
      </c>
      <c r="B669" s="1" t="n">
        <v>44481</v>
      </c>
      <c r="C669" s="1" t="n">
        <v>45787</v>
      </c>
      <c r="D669" t="inlineStr">
        <is>
          <t>JÄMTLANDS LÄN</t>
        </is>
      </c>
      <c r="E669" t="inlineStr">
        <is>
          <t>HÄRJEDALEN</t>
        </is>
      </c>
      <c r="G669" t="n">
        <v>2.8</v>
      </c>
      <c r="H669" t="n">
        <v>0</v>
      </c>
      <c r="I669" t="n">
        <v>0</v>
      </c>
      <c r="J669" t="n">
        <v>0</v>
      </c>
      <c r="K669" t="n">
        <v>0</v>
      </c>
      <c r="L669" t="n">
        <v>0</v>
      </c>
      <c r="M669" t="n">
        <v>0</v>
      </c>
      <c r="N669" t="n">
        <v>0</v>
      </c>
      <c r="O669" t="n">
        <v>0</v>
      </c>
      <c r="P669" t="n">
        <v>0</v>
      </c>
      <c r="Q669" t="n">
        <v>0</v>
      </c>
      <c r="R669" s="2" t="inlineStr"/>
    </row>
    <row r="670" ht="15" customHeight="1">
      <c r="A670" t="inlineStr">
        <is>
          <t>A 57381-2021</t>
        </is>
      </c>
      <c r="B670" s="1" t="n">
        <v>44483</v>
      </c>
      <c r="C670" s="1" t="n">
        <v>45787</v>
      </c>
      <c r="D670" t="inlineStr">
        <is>
          <t>JÄMTLANDS LÄN</t>
        </is>
      </c>
      <c r="E670" t="inlineStr">
        <is>
          <t>HÄRJEDALEN</t>
        </is>
      </c>
      <c r="G670" t="n">
        <v>17.9</v>
      </c>
      <c r="H670" t="n">
        <v>0</v>
      </c>
      <c r="I670" t="n">
        <v>0</v>
      </c>
      <c r="J670" t="n">
        <v>0</v>
      </c>
      <c r="K670" t="n">
        <v>0</v>
      </c>
      <c r="L670" t="n">
        <v>0</v>
      </c>
      <c r="M670" t="n">
        <v>0</v>
      </c>
      <c r="N670" t="n">
        <v>0</v>
      </c>
      <c r="O670" t="n">
        <v>0</v>
      </c>
      <c r="P670" t="n">
        <v>0</v>
      </c>
      <c r="Q670" t="n">
        <v>0</v>
      </c>
      <c r="R670" s="2" t="inlineStr"/>
    </row>
    <row r="671" ht="15" customHeight="1">
      <c r="A671" t="inlineStr">
        <is>
          <t>A 57256-2021</t>
        </is>
      </c>
      <c r="B671" s="1" t="n">
        <v>44483</v>
      </c>
      <c r="C671" s="1" t="n">
        <v>45787</v>
      </c>
      <c r="D671" t="inlineStr">
        <is>
          <t>JÄMTLANDS LÄN</t>
        </is>
      </c>
      <c r="E671" t="inlineStr">
        <is>
          <t>HÄRJEDALEN</t>
        </is>
      </c>
      <c r="G671" t="n">
        <v>4.5</v>
      </c>
      <c r="H671" t="n">
        <v>0</v>
      </c>
      <c r="I671" t="n">
        <v>0</v>
      </c>
      <c r="J671" t="n">
        <v>0</v>
      </c>
      <c r="K671" t="n">
        <v>0</v>
      </c>
      <c r="L671" t="n">
        <v>0</v>
      </c>
      <c r="M671" t="n">
        <v>0</v>
      </c>
      <c r="N671" t="n">
        <v>0</v>
      </c>
      <c r="O671" t="n">
        <v>0</v>
      </c>
      <c r="P671" t="n">
        <v>0</v>
      </c>
      <c r="Q671" t="n">
        <v>0</v>
      </c>
      <c r="R671" s="2" t="inlineStr"/>
    </row>
    <row r="672" ht="15" customHeight="1">
      <c r="A672" t="inlineStr">
        <is>
          <t>A 57373-2021</t>
        </is>
      </c>
      <c r="B672" s="1" t="n">
        <v>44483</v>
      </c>
      <c r="C672" s="1" t="n">
        <v>45787</v>
      </c>
      <c r="D672" t="inlineStr">
        <is>
          <t>JÄMTLANDS LÄN</t>
        </is>
      </c>
      <c r="E672" t="inlineStr">
        <is>
          <t>HÄRJEDALEN</t>
        </is>
      </c>
      <c r="G672" t="n">
        <v>10.8</v>
      </c>
      <c r="H672" t="n">
        <v>0</v>
      </c>
      <c r="I672" t="n">
        <v>0</v>
      </c>
      <c r="J672" t="n">
        <v>0</v>
      </c>
      <c r="K672" t="n">
        <v>0</v>
      </c>
      <c r="L672" t="n">
        <v>0</v>
      </c>
      <c r="M672" t="n">
        <v>0</v>
      </c>
      <c r="N672" t="n">
        <v>0</v>
      </c>
      <c r="O672" t="n">
        <v>0</v>
      </c>
      <c r="P672" t="n">
        <v>0</v>
      </c>
      <c r="Q672" t="n">
        <v>0</v>
      </c>
      <c r="R672" s="2" t="inlineStr"/>
    </row>
    <row r="673" ht="15" customHeight="1">
      <c r="A673" t="inlineStr">
        <is>
          <t>A 57755-2021</t>
        </is>
      </c>
      <c r="B673" s="1" t="n">
        <v>44484</v>
      </c>
      <c r="C673" s="1" t="n">
        <v>45787</v>
      </c>
      <c r="D673" t="inlineStr">
        <is>
          <t>JÄMTLANDS LÄN</t>
        </is>
      </c>
      <c r="E673" t="inlineStr">
        <is>
          <t>HÄRJEDALEN</t>
        </is>
      </c>
      <c r="G673" t="n">
        <v>3.9</v>
      </c>
      <c r="H673" t="n">
        <v>0</v>
      </c>
      <c r="I673" t="n">
        <v>0</v>
      </c>
      <c r="J673" t="n">
        <v>0</v>
      </c>
      <c r="K673" t="n">
        <v>0</v>
      </c>
      <c r="L673" t="n">
        <v>0</v>
      </c>
      <c r="M673" t="n">
        <v>0</v>
      </c>
      <c r="N673" t="n">
        <v>0</v>
      </c>
      <c r="O673" t="n">
        <v>0</v>
      </c>
      <c r="P673" t="n">
        <v>0</v>
      </c>
      <c r="Q673" t="n">
        <v>0</v>
      </c>
      <c r="R673" s="2" t="inlineStr"/>
    </row>
    <row r="674" ht="15" customHeight="1">
      <c r="A674" t="inlineStr">
        <is>
          <t>A 57782-2021</t>
        </is>
      </c>
      <c r="B674" s="1" t="n">
        <v>44484</v>
      </c>
      <c r="C674" s="1" t="n">
        <v>45787</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58451-2021</t>
        </is>
      </c>
      <c r="B675" s="1" t="n">
        <v>44488</v>
      </c>
      <c r="C675" s="1" t="n">
        <v>45787</v>
      </c>
      <c r="D675" t="inlineStr">
        <is>
          <t>JÄMTLANDS LÄN</t>
        </is>
      </c>
      <c r="E675" t="inlineStr">
        <is>
          <t>HÄRJEDALEN</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59928-2021</t>
        </is>
      </c>
      <c r="B676" s="1" t="n">
        <v>44494</v>
      </c>
      <c r="C676" s="1" t="n">
        <v>45787</v>
      </c>
      <c r="D676" t="inlineStr">
        <is>
          <t>JÄMTLANDS LÄN</t>
        </is>
      </c>
      <c r="E676" t="inlineStr">
        <is>
          <t>HÄRJEDALEN</t>
        </is>
      </c>
      <c r="G676" t="n">
        <v>28.6</v>
      </c>
      <c r="H676" t="n">
        <v>0</v>
      </c>
      <c r="I676" t="n">
        <v>0</v>
      </c>
      <c r="J676" t="n">
        <v>0</v>
      </c>
      <c r="K676" t="n">
        <v>0</v>
      </c>
      <c r="L676" t="n">
        <v>0</v>
      </c>
      <c r="M676" t="n">
        <v>0</v>
      </c>
      <c r="N676" t="n">
        <v>0</v>
      </c>
      <c r="O676" t="n">
        <v>0</v>
      </c>
      <c r="P676" t="n">
        <v>0</v>
      </c>
      <c r="Q676" t="n">
        <v>0</v>
      </c>
      <c r="R676" s="2" t="inlineStr"/>
    </row>
    <row r="677" ht="15" customHeight="1">
      <c r="A677" t="inlineStr">
        <is>
          <t>A 60841-2021</t>
        </is>
      </c>
      <c r="B677" s="1" t="n">
        <v>44497</v>
      </c>
      <c r="C677" s="1" t="n">
        <v>45787</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61547-2021</t>
        </is>
      </c>
      <c r="B678" s="1" t="n">
        <v>44501</v>
      </c>
      <c r="C678" s="1" t="n">
        <v>45787</v>
      </c>
      <c r="D678" t="inlineStr">
        <is>
          <t>JÄMTLANDS LÄN</t>
        </is>
      </c>
      <c r="E678" t="inlineStr">
        <is>
          <t>HÄRJEDALEN</t>
        </is>
      </c>
      <c r="G678" t="n">
        <v>2.1</v>
      </c>
      <c r="H678" t="n">
        <v>0</v>
      </c>
      <c r="I678" t="n">
        <v>0</v>
      </c>
      <c r="J678" t="n">
        <v>0</v>
      </c>
      <c r="K678" t="n">
        <v>0</v>
      </c>
      <c r="L678" t="n">
        <v>0</v>
      </c>
      <c r="M678" t="n">
        <v>0</v>
      </c>
      <c r="N678" t="n">
        <v>0</v>
      </c>
      <c r="O678" t="n">
        <v>0</v>
      </c>
      <c r="P678" t="n">
        <v>0</v>
      </c>
      <c r="Q678" t="n">
        <v>0</v>
      </c>
      <c r="R678" s="2" t="inlineStr"/>
    </row>
    <row r="679" ht="15" customHeight="1">
      <c r="A679" t="inlineStr">
        <is>
          <t>A 63774-2021</t>
        </is>
      </c>
      <c r="B679" s="1" t="n">
        <v>44508</v>
      </c>
      <c r="C679" s="1" t="n">
        <v>45787</v>
      </c>
      <c r="D679" t="inlineStr">
        <is>
          <t>JÄMTLANDS LÄN</t>
        </is>
      </c>
      <c r="E679" t="inlineStr">
        <is>
          <t>HÄRJEDALEN</t>
        </is>
      </c>
      <c r="F679" t="inlineStr">
        <is>
          <t>Holmen skog AB</t>
        </is>
      </c>
      <c r="G679" t="n">
        <v>14.8</v>
      </c>
      <c r="H679" t="n">
        <v>0</v>
      </c>
      <c r="I679" t="n">
        <v>0</v>
      </c>
      <c r="J679" t="n">
        <v>0</v>
      </c>
      <c r="K679" t="n">
        <v>0</v>
      </c>
      <c r="L679" t="n">
        <v>0</v>
      </c>
      <c r="M679" t="n">
        <v>0</v>
      </c>
      <c r="N679" t="n">
        <v>0</v>
      </c>
      <c r="O679" t="n">
        <v>0</v>
      </c>
      <c r="P679" t="n">
        <v>0</v>
      </c>
      <c r="Q679" t="n">
        <v>0</v>
      </c>
      <c r="R679" s="2" t="inlineStr"/>
    </row>
    <row r="680" ht="15" customHeight="1">
      <c r="A680" t="inlineStr">
        <is>
          <t>A 64937-2021</t>
        </is>
      </c>
      <c r="B680" s="1" t="n">
        <v>44512</v>
      </c>
      <c r="C680" s="1" t="n">
        <v>45787</v>
      </c>
      <c r="D680" t="inlineStr">
        <is>
          <t>JÄMTLANDS LÄN</t>
        </is>
      </c>
      <c r="E680" t="inlineStr">
        <is>
          <t>HÄRJEDALEN</t>
        </is>
      </c>
      <c r="G680" t="n">
        <v>7</v>
      </c>
      <c r="H680" t="n">
        <v>0</v>
      </c>
      <c r="I680" t="n">
        <v>0</v>
      </c>
      <c r="J680" t="n">
        <v>0</v>
      </c>
      <c r="K680" t="n">
        <v>0</v>
      </c>
      <c r="L680" t="n">
        <v>0</v>
      </c>
      <c r="M680" t="n">
        <v>0</v>
      </c>
      <c r="N680" t="n">
        <v>0</v>
      </c>
      <c r="O680" t="n">
        <v>0</v>
      </c>
      <c r="P680" t="n">
        <v>0</v>
      </c>
      <c r="Q680" t="n">
        <v>0</v>
      </c>
      <c r="R680" s="2" t="inlineStr"/>
    </row>
    <row r="681" ht="15" customHeight="1">
      <c r="A681" t="inlineStr">
        <is>
          <t>A 65125-2021</t>
        </is>
      </c>
      <c r="B681" s="1" t="n">
        <v>44515</v>
      </c>
      <c r="C681" s="1" t="n">
        <v>45787</v>
      </c>
      <c r="D681" t="inlineStr">
        <is>
          <t>JÄMTLANDS LÄN</t>
        </is>
      </c>
      <c r="E681" t="inlineStr">
        <is>
          <t>HÄRJEDALEN</t>
        </is>
      </c>
      <c r="F681" t="inlineStr">
        <is>
          <t>Bergvik skog väst AB</t>
        </is>
      </c>
      <c r="G681" t="n">
        <v>2.9</v>
      </c>
      <c r="H681" t="n">
        <v>0</v>
      </c>
      <c r="I681" t="n">
        <v>0</v>
      </c>
      <c r="J681" t="n">
        <v>0</v>
      </c>
      <c r="K681" t="n">
        <v>0</v>
      </c>
      <c r="L681" t="n">
        <v>0</v>
      </c>
      <c r="M681" t="n">
        <v>0</v>
      </c>
      <c r="N681" t="n">
        <v>0</v>
      </c>
      <c r="O681" t="n">
        <v>0</v>
      </c>
      <c r="P681" t="n">
        <v>0</v>
      </c>
      <c r="Q681" t="n">
        <v>0</v>
      </c>
      <c r="R681" s="2" t="inlineStr"/>
    </row>
    <row r="682" ht="15" customHeight="1">
      <c r="A682" t="inlineStr">
        <is>
          <t>A 65549-2021</t>
        </is>
      </c>
      <c r="B682" s="1" t="n">
        <v>44516</v>
      </c>
      <c r="C682" s="1" t="n">
        <v>45787</v>
      </c>
      <c r="D682" t="inlineStr">
        <is>
          <t>JÄMTLANDS LÄN</t>
        </is>
      </c>
      <c r="E682" t="inlineStr">
        <is>
          <t>HÄRJEDALEN</t>
        </is>
      </c>
      <c r="F682" t="inlineStr">
        <is>
          <t>Bergvik skog väst AB</t>
        </is>
      </c>
      <c r="G682" t="n">
        <v>7</v>
      </c>
      <c r="H682" t="n">
        <v>0</v>
      </c>
      <c r="I682" t="n">
        <v>0</v>
      </c>
      <c r="J682" t="n">
        <v>0</v>
      </c>
      <c r="K682" t="n">
        <v>0</v>
      </c>
      <c r="L682" t="n">
        <v>0</v>
      </c>
      <c r="M682" t="n">
        <v>0</v>
      </c>
      <c r="N682" t="n">
        <v>0</v>
      </c>
      <c r="O682" t="n">
        <v>0</v>
      </c>
      <c r="P682" t="n">
        <v>0</v>
      </c>
      <c r="Q682" t="n">
        <v>0</v>
      </c>
      <c r="R682" s="2" t="inlineStr"/>
    </row>
    <row r="683" ht="15" customHeight="1">
      <c r="A683" t="inlineStr">
        <is>
          <t>A 68858-2021</t>
        </is>
      </c>
      <c r="B683" s="1" t="n">
        <v>44530</v>
      </c>
      <c r="C683" s="1" t="n">
        <v>45787</v>
      </c>
      <c r="D683" t="inlineStr">
        <is>
          <t>JÄMTLANDS LÄN</t>
        </is>
      </c>
      <c r="E683" t="inlineStr">
        <is>
          <t>HÄRJEDALEN</t>
        </is>
      </c>
      <c r="G683" t="n">
        <v>0.9</v>
      </c>
      <c r="H683" t="n">
        <v>0</v>
      </c>
      <c r="I683" t="n">
        <v>0</v>
      </c>
      <c r="J683" t="n">
        <v>0</v>
      </c>
      <c r="K683" t="n">
        <v>0</v>
      </c>
      <c r="L683" t="n">
        <v>0</v>
      </c>
      <c r="M683" t="n">
        <v>0</v>
      </c>
      <c r="N683" t="n">
        <v>0</v>
      </c>
      <c r="O683" t="n">
        <v>0</v>
      </c>
      <c r="P683" t="n">
        <v>0</v>
      </c>
      <c r="Q683" t="n">
        <v>0</v>
      </c>
      <c r="R683" s="2" t="inlineStr"/>
    </row>
    <row r="684" ht="15" customHeight="1">
      <c r="A684" t="inlineStr">
        <is>
          <t>A 69271-2021</t>
        </is>
      </c>
      <c r="B684" s="1" t="n">
        <v>44531</v>
      </c>
      <c r="C684" s="1" t="n">
        <v>45787</v>
      </c>
      <c r="D684" t="inlineStr">
        <is>
          <t>JÄMTLANDS LÄN</t>
        </is>
      </c>
      <c r="E684" t="inlineStr">
        <is>
          <t>HÄRJEDALEN</t>
        </is>
      </c>
      <c r="F684" t="inlineStr">
        <is>
          <t>Bergvik skog väst AB</t>
        </is>
      </c>
      <c r="G684" t="n">
        <v>6.3</v>
      </c>
      <c r="H684" t="n">
        <v>0</v>
      </c>
      <c r="I684" t="n">
        <v>0</v>
      </c>
      <c r="J684" t="n">
        <v>0</v>
      </c>
      <c r="K684" t="n">
        <v>0</v>
      </c>
      <c r="L684" t="n">
        <v>0</v>
      </c>
      <c r="M684" t="n">
        <v>0</v>
      </c>
      <c r="N684" t="n">
        <v>0</v>
      </c>
      <c r="O684" t="n">
        <v>0</v>
      </c>
      <c r="P684" t="n">
        <v>0</v>
      </c>
      <c r="Q684" t="n">
        <v>0</v>
      </c>
      <c r="R684" s="2" t="inlineStr"/>
    </row>
    <row r="685" ht="15" customHeight="1">
      <c r="A685" t="inlineStr">
        <is>
          <t>A 69501-2021</t>
        </is>
      </c>
      <c r="B685" s="1" t="n">
        <v>44531</v>
      </c>
      <c r="C685" s="1" t="n">
        <v>45787</v>
      </c>
      <c r="D685" t="inlineStr">
        <is>
          <t>JÄMTLANDS LÄN</t>
        </is>
      </c>
      <c r="E685" t="inlineStr">
        <is>
          <t>HÄRJEDALEN</t>
        </is>
      </c>
      <c r="G685" t="n">
        <v>1.9</v>
      </c>
      <c r="H685" t="n">
        <v>0</v>
      </c>
      <c r="I685" t="n">
        <v>0</v>
      </c>
      <c r="J685" t="n">
        <v>0</v>
      </c>
      <c r="K685" t="n">
        <v>0</v>
      </c>
      <c r="L685" t="n">
        <v>0</v>
      </c>
      <c r="M685" t="n">
        <v>0</v>
      </c>
      <c r="N685" t="n">
        <v>0</v>
      </c>
      <c r="O685" t="n">
        <v>0</v>
      </c>
      <c r="P685" t="n">
        <v>0</v>
      </c>
      <c r="Q685" t="n">
        <v>0</v>
      </c>
      <c r="R685" s="2" t="inlineStr"/>
    </row>
    <row r="686" ht="15" customHeight="1">
      <c r="A686" t="inlineStr">
        <is>
          <t>A 69490-2021</t>
        </is>
      </c>
      <c r="B686" s="1" t="n">
        <v>44531</v>
      </c>
      <c r="C686" s="1" t="n">
        <v>45787</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69504-2021</t>
        </is>
      </c>
      <c r="B687" s="1" t="n">
        <v>44531</v>
      </c>
      <c r="C687" s="1" t="n">
        <v>45787</v>
      </c>
      <c r="D687" t="inlineStr">
        <is>
          <t>JÄMTLANDS LÄN</t>
        </is>
      </c>
      <c r="E687" t="inlineStr">
        <is>
          <t>HÄRJEDALEN</t>
        </is>
      </c>
      <c r="G687" t="n">
        <v>11.5</v>
      </c>
      <c r="H687" t="n">
        <v>0</v>
      </c>
      <c r="I687" t="n">
        <v>0</v>
      </c>
      <c r="J687" t="n">
        <v>0</v>
      </c>
      <c r="K687" t="n">
        <v>0</v>
      </c>
      <c r="L687" t="n">
        <v>0</v>
      </c>
      <c r="M687" t="n">
        <v>0</v>
      </c>
      <c r="N687" t="n">
        <v>0</v>
      </c>
      <c r="O687" t="n">
        <v>0</v>
      </c>
      <c r="P687" t="n">
        <v>0</v>
      </c>
      <c r="Q687" t="n">
        <v>0</v>
      </c>
      <c r="R687" s="2" t="inlineStr"/>
    </row>
    <row r="688" ht="15" customHeight="1">
      <c r="A688" t="inlineStr">
        <is>
          <t>A 69499-2021</t>
        </is>
      </c>
      <c r="B688" s="1" t="n">
        <v>44531</v>
      </c>
      <c r="C688" s="1" t="n">
        <v>45787</v>
      </c>
      <c r="D688" t="inlineStr">
        <is>
          <t>JÄMTLANDS LÄN</t>
        </is>
      </c>
      <c r="E688" t="inlineStr">
        <is>
          <t>HÄRJEDALEN</t>
        </is>
      </c>
      <c r="G688" t="n">
        <v>7.5</v>
      </c>
      <c r="H688" t="n">
        <v>0</v>
      </c>
      <c r="I688" t="n">
        <v>0</v>
      </c>
      <c r="J688" t="n">
        <v>0</v>
      </c>
      <c r="K688" t="n">
        <v>0</v>
      </c>
      <c r="L688" t="n">
        <v>0</v>
      </c>
      <c r="M688" t="n">
        <v>0</v>
      </c>
      <c r="N688" t="n">
        <v>0</v>
      </c>
      <c r="O688" t="n">
        <v>0</v>
      </c>
      <c r="P688" t="n">
        <v>0</v>
      </c>
      <c r="Q688" t="n">
        <v>0</v>
      </c>
      <c r="R688" s="2" t="inlineStr"/>
    </row>
    <row r="689" ht="15" customHeight="1">
      <c r="A689" t="inlineStr">
        <is>
          <t>A 71649-2021</t>
        </is>
      </c>
      <c r="B689" s="1" t="n">
        <v>44538</v>
      </c>
      <c r="C689" s="1" t="n">
        <v>45787</v>
      </c>
      <c r="D689" t="inlineStr">
        <is>
          <t>JÄMTLANDS LÄN</t>
        </is>
      </c>
      <c r="E689" t="inlineStr">
        <is>
          <t>HÄRJEDALEN</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71668-2021</t>
        </is>
      </c>
      <c r="B690" s="1" t="n">
        <v>44538</v>
      </c>
      <c r="C690" s="1" t="n">
        <v>45787</v>
      </c>
      <c r="D690" t="inlineStr">
        <is>
          <t>JÄMTLANDS LÄN</t>
        </is>
      </c>
      <c r="E690" t="inlineStr">
        <is>
          <t>HÄRJEDALEN</t>
        </is>
      </c>
      <c r="F690" t="inlineStr">
        <is>
          <t>Övriga statliga verk och myndigheter</t>
        </is>
      </c>
      <c r="G690" t="n">
        <v>3.1</v>
      </c>
      <c r="H690" t="n">
        <v>0</v>
      </c>
      <c r="I690" t="n">
        <v>0</v>
      </c>
      <c r="J690" t="n">
        <v>0</v>
      </c>
      <c r="K690" t="n">
        <v>0</v>
      </c>
      <c r="L690" t="n">
        <v>0</v>
      </c>
      <c r="M690" t="n">
        <v>0</v>
      </c>
      <c r="N690" t="n">
        <v>0</v>
      </c>
      <c r="O690" t="n">
        <v>0</v>
      </c>
      <c r="P690" t="n">
        <v>0</v>
      </c>
      <c r="Q690" t="n">
        <v>0</v>
      </c>
      <c r="R690" s="2" t="inlineStr"/>
    </row>
    <row r="691" ht="15" customHeight="1">
      <c r="A691" t="inlineStr">
        <is>
          <t>A 71638-2021</t>
        </is>
      </c>
      <c r="B691" s="1" t="n">
        <v>44538</v>
      </c>
      <c r="C691" s="1" t="n">
        <v>45787</v>
      </c>
      <c r="D691" t="inlineStr">
        <is>
          <t>JÄMTLANDS LÄN</t>
        </is>
      </c>
      <c r="E691" t="inlineStr">
        <is>
          <t>HÄRJEDALEN</t>
        </is>
      </c>
      <c r="F691" t="inlineStr">
        <is>
          <t>Övriga statliga verk och myndigheter</t>
        </is>
      </c>
      <c r="G691" t="n">
        <v>1.2</v>
      </c>
      <c r="H691" t="n">
        <v>0</v>
      </c>
      <c r="I691" t="n">
        <v>0</v>
      </c>
      <c r="J691" t="n">
        <v>0</v>
      </c>
      <c r="K691" t="n">
        <v>0</v>
      </c>
      <c r="L691" t="n">
        <v>0</v>
      </c>
      <c r="M691" t="n">
        <v>0</v>
      </c>
      <c r="N691" t="n">
        <v>0</v>
      </c>
      <c r="O691" t="n">
        <v>0</v>
      </c>
      <c r="P691" t="n">
        <v>0</v>
      </c>
      <c r="Q691" t="n">
        <v>0</v>
      </c>
      <c r="R691" s="2" t="inlineStr"/>
    </row>
    <row r="692" ht="15" customHeight="1">
      <c r="A692" t="inlineStr">
        <is>
          <t>A 71493-2021</t>
        </is>
      </c>
      <c r="B692" s="1" t="n">
        <v>44540</v>
      </c>
      <c r="C692" s="1" t="n">
        <v>45787</v>
      </c>
      <c r="D692" t="inlineStr">
        <is>
          <t>JÄMTLANDS LÄN</t>
        </is>
      </c>
      <c r="E692" t="inlineStr">
        <is>
          <t>HÄRJEDALEN</t>
        </is>
      </c>
      <c r="G692" t="n">
        <v>0.4</v>
      </c>
      <c r="H692" t="n">
        <v>0</v>
      </c>
      <c r="I692" t="n">
        <v>0</v>
      </c>
      <c r="J692" t="n">
        <v>0</v>
      </c>
      <c r="K692" t="n">
        <v>0</v>
      </c>
      <c r="L692" t="n">
        <v>0</v>
      </c>
      <c r="M692" t="n">
        <v>0</v>
      </c>
      <c r="N692" t="n">
        <v>0</v>
      </c>
      <c r="O692" t="n">
        <v>0</v>
      </c>
      <c r="P692" t="n">
        <v>0</v>
      </c>
      <c r="Q692" t="n">
        <v>0</v>
      </c>
      <c r="R692" s="2" t="inlineStr"/>
    </row>
    <row r="693" ht="15" customHeight="1">
      <c r="A693" t="inlineStr">
        <is>
          <t>A 71467-2021</t>
        </is>
      </c>
      <c r="B693" s="1" t="n">
        <v>44540</v>
      </c>
      <c r="C693" s="1" t="n">
        <v>45787</v>
      </c>
      <c r="D693" t="inlineStr">
        <is>
          <t>JÄMTLANDS LÄN</t>
        </is>
      </c>
      <c r="E693" t="inlineStr">
        <is>
          <t>HÄRJEDALEN</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71501-2021</t>
        </is>
      </c>
      <c r="B694" s="1" t="n">
        <v>44540</v>
      </c>
      <c r="C694" s="1" t="n">
        <v>45787</v>
      </c>
      <c r="D694" t="inlineStr">
        <is>
          <t>JÄMTLANDS LÄN</t>
        </is>
      </c>
      <c r="E694" t="inlineStr">
        <is>
          <t>HÄRJEDALEN</t>
        </is>
      </c>
      <c r="G694" t="n">
        <v>2.4</v>
      </c>
      <c r="H694" t="n">
        <v>0</v>
      </c>
      <c r="I694" t="n">
        <v>0</v>
      </c>
      <c r="J694" t="n">
        <v>0</v>
      </c>
      <c r="K694" t="n">
        <v>0</v>
      </c>
      <c r="L694" t="n">
        <v>0</v>
      </c>
      <c r="M694" t="n">
        <v>0</v>
      </c>
      <c r="N694" t="n">
        <v>0</v>
      </c>
      <c r="O694" t="n">
        <v>0</v>
      </c>
      <c r="P694" t="n">
        <v>0</v>
      </c>
      <c r="Q694" t="n">
        <v>0</v>
      </c>
      <c r="R694" s="2" t="inlineStr"/>
    </row>
    <row r="695" ht="15" customHeight="1">
      <c r="A695" t="inlineStr">
        <is>
          <t>A 71864-2021</t>
        </is>
      </c>
      <c r="B695" s="1" t="n">
        <v>44543</v>
      </c>
      <c r="C695" s="1" t="n">
        <v>45787</v>
      </c>
      <c r="D695" t="inlineStr">
        <is>
          <t>JÄMTLANDS LÄN</t>
        </is>
      </c>
      <c r="E695" t="inlineStr">
        <is>
          <t>HÄRJEDALEN</t>
        </is>
      </c>
      <c r="F695" t="inlineStr">
        <is>
          <t>Holmen skog AB</t>
        </is>
      </c>
      <c r="G695" t="n">
        <v>0.2</v>
      </c>
      <c r="H695" t="n">
        <v>0</v>
      </c>
      <c r="I695" t="n">
        <v>0</v>
      </c>
      <c r="J695" t="n">
        <v>0</v>
      </c>
      <c r="K695" t="n">
        <v>0</v>
      </c>
      <c r="L695" t="n">
        <v>0</v>
      </c>
      <c r="M695" t="n">
        <v>0</v>
      </c>
      <c r="N695" t="n">
        <v>0</v>
      </c>
      <c r="O695" t="n">
        <v>0</v>
      </c>
      <c r="P695" t="n">
        <v>0</v>
      </c>
      <c r="Q695" t="n">
        <v>0</v>
      </c>
      <c r="R695" s="2" t="inlineStr"/>
    </row>
    <row r="696" ht="15" customHeight="1">
      <c r="A696" t="inlineStr">
        <is>
          <t>A 71756-2021</t>
        </is>
      </c>
      <c r="B696" s="1" t="n">
        <v>44543</v>
      </c>
      <c r="C696" s="1" t="n">
        <v>45787</v>
      </c>
      <c r="D696" t="inlineStr">
        <is>
          <t>JÄMTLANDS LÄN</t>
        </is>
      </c>
      <c r="E696" t="inlineStr">
        <is>
          <t>HÄRJEDALEN</t>
        </is>
      </c>
      <c r="G696" t="n">
        <v>2.4</v>
      </c>
      <c r="H696" t="n">
        <v>0</v>
      </c>
      <c r="I696" t="n">
        <v>0</v>
      </c>
      <c r="J696" t="n">
        <v>0</v>
      </c>
      <c r="K696" t="n">
        <v>0</v>
      </c>
      <c r="L696" t="n">
        <v>0</v>
      </c>
      <c r="M696" t="n">
        <v>0</v>
      </c>
      <c r="N696" t="n">
        <v>0</v>
      </c>
      <c r="O696" t="n">
        <v>0</v>
      </c>
      <c r="P696" t="n">
        <v>0</v>
      </c>
      <c r="Q696" t="n">
        <v>0</v>
      </c>
      <c r="R696" s="2" t="inlineStr"/>
    </row>
    <row r="697" ht="15" customHeight="1">
      <c r="A697" t="inlineStr">
        <is>
          <t>A 71989-2021</t>
        </is>
      </c>
      <c r="B697" s="1" t="n">
        <v>44544</v>
      </c>
      <c r="C697" s="1" t="n">
        <v>45787</v>
      </c>
      <c r="D697" t="inlineStr">
        <is>
          <t>JÄMTLANDS LÄN</t>
        </is>
      </c>
      <c r="E697" t="inlineStr">
        <is>
          <t>HÄRJEDALEN</t>
        </is>
      </c>
      <c r="F697" t="inlineStr">
        <is>
          <t>Holmen skog AB</t>
        </is>
      </c>
      <c r="G697" t="n">
        <v>0.3</v>
      </c>
      <c r="H697" t="n">
        <v>0</v>
      </c>
      <c r="I697" t="n">
        <v>0</v>
      </c>
      <c r="J697" t="n">
        <v>0</v>
      </c>
      <c r="K697" t="n">
        <v>0</v>
      </c>
      <c r="L697" t="n">
        <v>0</v>
      </c>
      <c r="M697" t="n">
        <v>0</v>
      </c>
      <c r="N697" t="n">
        <v>0</v>
      </c>
      <c r="O697" t="n">
        <v>0</v>
      </c>
      <c r="P697" t="n">
        <v>0</v>
      </c>
      <c r="Q697" t="n">
        <v>0</v>
      </c>
      <c r="R697" s="2" t="inlineStr"/>
    </row>
    <row r="698" ht="15" customHeight="1">
      <c r="A698" t="inlineStr">
        <is>
          <t>A 72374-2021</t>
        </is>
      </c>
      <c r="B698" s="1" t="n">
        <v>44545</v>
      </c>
      <c r="C698" s="1" t="n">
        <v>45787</v>
      </c>
      <c r="D698" t="inlineStr">
        <is>
          <t>JÄMTLANDS LÄN</t>
        </is>
      </c>
      <c r="E698" t="inlineStr">
        <is>
          <t>HÄRJEDALEN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72790-2021</t>
        </is>
      </c>
      <c r="B699" s="1" t="n">
        <v>44547</v>
      </c>
      <c r="C699" s="1" t="n">
        <v>45787</v>
      </c>
      <c r="D699" t="inlineStr">
        <is>
          <t>JÄMTLANDS LÄN</t>
        </is>
      </c>
      <c r="E699" t="inlineStr">
        <is>
          <t>HÄRJEDALEN</t>
        </is>
      </c>
      <c r="F699" t="inlineStr">
        <is>
          <t>Holmen skog AB</t>
        </is>
      </c>
      <c r="G699" t="n">
        <v>3.1</v>
      </c>
      <c r="H699" t="n">
        <v>0</v>
      </c>
      <c r="I699" t="n">
        <v>0</v>
      </c>
      <c r="J699" t="n">
        <v>0</v>
      </c>
      <c r="K699" t="n">
        <v>0</v>
      </c>
      <c r="L699" t="n">
        <v>0</v>
      </c>
      <c r="M699" t="n">
        <v>0</v>
      </c>
      <c r="N699" t="n">
        <v>0</v>
      </c>
      <c r="O699" t="n">
        <v>0</v>
      </c>
      <c r="P699" t="n">
        <v>0</v>
      </c>
      <c r="Q699" t="n">
        <v>0</v>
      </c>
      <c r="R699" s="2" t="inlineStr"/>
    </row>
    <row r="700" ht="15" customHeight="1">
      <c r="A700" t="inlineStr">
        <is>
          <t>A 73051-2021</t>
        </is>
      </c>
      <c r="B700" s="1" t="n">
        <v>44550</v>
      </c>
      <c r="C700" s="1" t="n">
        <v>45787</v>
      </c>
      <c r="D700" t="inlineStr">
        <is>
          <t>JÄMTLANDS LÄN</t>
        </is>
      </c>
      <c r="E700" t="inlineStr">
        <is>
          <t>HÄRJEDALEN</t>
        </is>
      </c>
      <c r="G700" t="n">
        <v>3.7</v>
      </c>
      <c r="H700" t="n">
        <v>0</v>
      </c>
      <c r="I700" t="n">
        <v>0</v>
      </c>
      <c r="J700" t="n">
        <v>0</v>
      </c>
      <c r="K700" t="n">
        <v>0</v>
      </c>
      <c r="L700" t="n">
        <v>0</v>
      </c>
      <c r="M700" t="n">
        <v>0</v>
      </c>
      <c r="N700" t="n">
        <v>0</v>
      </c>
      <c r="O700" t="n">
        <v>0</v>
      </c>
      <c r="P700" t="n">
        <v>0</v>
      </c>
      <c r="Q700" t="n">
        <v>0</v>
      </c>
      <c r="R700" s="2" t="inlineStr"/>
    </row>
    <row r="701" ht="15" customHeight="1">
      <c r="A701" t="inlineStr">
        <is>
          <t>A 73211-2021</t>
        </is>
      </c>
      <c r="B701" s="1" t="n">
        <v>44550</v>
      </c>
      <c r="C701" s="1" t="n">
        <v>45787</v>
      </c>
      <c r="D701" t="inlineStr">
        <is>
          <t>JÄMTLANDS LÄN</t>
        </is>
      </c>
      <c r="E701" t="inlineStr">
        <is>
          <t>HÄRJEDALEN</t>
        </is>
      </c>
      <c r="G701" t="n">
        <v>0.8</v>
      </c>
      <c r="H701" t="n">
        <v>0</v>
      </c>
      <c r="I701" t="n">
        <v>0</v>
      </c>
      <c r="J701" t="n">
        <v>0</v>
      </c>
      <c r="K701" t="n">
        <v>0</v>
      </c>
      <c r="L701" t="n">
        <v>0</v>
      </c>
      <c r="M701" t="n">
        <v>0</v>
      </c>
      <c r="N701" t="n">
        <v>0</v>
      </c>
      <c r="O701" t="n">
        <v>0</v>
      </c>
      <c r="P701" t="n">
        <v>0</v>
      </c>
      <c r="Q701" t="n">
        <v>0</v>
      </c>
      <c r="R701" s="2" t="inlineStr"/>
    </row>
    <row r="702" ht="15" customHeight="1">
      <c r="A702" t="inlineStr">
        <is>
          <t>A 73573-2021</t>
        </is>
      </c>
      <c r="B702" s="1" t="n">
        <v>44552</v>
      </c>
      <c r="C702" s="1" t="n">
        <v>45787</v>
      </c>
      <c r="D702" t="inlineStr">
        <is>
          <t>JÄMTLANDS LÄN</t>
        </is>
      </c>
      <c r="E702" t="inlineStr">
        <is>
          <t>HÄRJEDALEN</t>
        </is>
      </c>
      <c r="F702" t="inlineStr">
        <is>
          <t>Holmen skog AB</t>
        </is>
      </c>
      <c r="G702" t="n">
        <v>10.5</v>
      </c>
      <c r="H702" t="n">
        <v>0</v>
      </c>
      <c r="I702" t="n">
        <v>0</v>
      </c>
      <c r="J702" t="n">
        <v>0</v>
      </c>
      <c r="K702" t="n">
        <v>0</v>
      </c>
      <c r="L702" t="n">
        <v>0</v>
      </c>
      <c r="M702" t="n">
        <v>0</v>
      </c>
      <c r="N702" t="n">
        <v>0</v>
      </c>
      <c r="O702" t="n">
        <v>0</v>
      </c>
      <c r="P702" t="n">
        <v>0</v>
      </c>
      <c r="Q702" t="n">
        <v>0</v>
      </c>
      <c r="R702" s="2" t="inlineStr"/>
    </row>
    <row r="703" ht="15" customHeight="1">
      <c r="A703" t="inlineStr">
        <is>
          <t>A 197-2022</t>
        </is>
      </c>
      <c r="B703" s="1" t="n">
        <v>44564</v>
      </c>
      <c r="C703" s="1" t="n">
        <v>45787</v>
      </c>
      <c r="D703" t="inlineStr">
        <is>
          <t>JÄMTLANDS LÄN</t>
        </is>
      </c>
      <c r="E703" t="inlineStr">
        <is>
          <t>HÄRJEDALEN</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241-2022</t>
        </is>
      </c>
      <c r="B704" s="1" t="n">
        <v>44565</v>
      </c>
      <c r="C704" s="1" t="n">
        <v>45787</v>
      </c>
      <c r="D704" t="inlineStr">
        <is>
          <t>JÄMTLANDS LÄN</t>
        </is>
      </c>
      <c r="E704" t="inlineStr">
        <is>
          <t>HÄRJEDALEN</t>
        </is>
      </c>
      <c r="F704" t="inlineStr">
        <is>
          <t>Övriga Aktiebolag</t>
        </is>
      </c>
      <c r="G704" t="n">
        <v>16.5</v>
      </c>
      <c r="H704" t="n">
        <v>0</v>
      </c>
      <c r="I704" t="n">
        <v>0</v>
      </c>
      <c r="J704" t="n">
        <v>0</v>
      </c>
      <c r="K704" t="n">
        <v>0</v>
      </c>
      <c r="L704" t="n">
        <v>0</v>
      </c>
      <c r="M704" t="n">
        <v>0</v>
      </c>
      <c r="N704" t="n">
        <v>0</v>
      </c>
      <c r="O704" t="n">
        <v>0</v>
      </c>
      <c r="P704" t="n">
        <v>0</v>
      </c>
      <c r="Q704" t="n">
        <v>0</v>
      </c>
      <c r="R704" s="2" t="inlineStr"/>
    </row>
    <row r="705" ht="15" customHeight="1">
      <c r="A705" t="inlineStr">
        <is>
          <t>A 239-2022</t>
        </is>
      </c>
      <c r="B705" s="1" t="n">
        <v>44565</v>
      </c>
      <c r="C705" s="1" t="n">
        <v>45787</v>
      </c>
      <c r="D705" t="inlineStr">
        <is>
          <t>JÄMTLANDS LÄN</t>
        </is>
      </c>
      <c r="E705" t="inlineStr">
        <is>
          <t>HÄRJEDALEN</t>
        </is>
      </c>
      <c r="F705" t="inlineStr">
        <is>
          <t>Övriga Aktiebolag</t>
        </is>
      </c>
      <c r="G705" t="n">
        <v>4.3</v>
      </c>
      <c r="H705" t="n">
        <v>0</v>
      </c>
      <c r="I705" t="n">
        <v>0</v>
      </c>
      <c r="J705" t="n">
        <v>0</v>
      </c>
      <c r="K705" t="n">
        <v>0</v>
      </c>
      <c r="L705" t="n">
        <v>0</v>
      </c>
      <c r="M705" t="n">
        <v>0</v>
      </c>
      <c r="N705" t="n">
        <v>0</v>
      </c>
      <c r="O705" t="n">
        <v>0</v>
      </c>
      <c r="P705" t="n">
        <v>0</v>
      </c>
      <c r="Q705" t="n">
        <v>0</v>
      </c>
      <c r="R705" s="2" t="inlineStr"/>
    </row>
    <row r="706" ht="15" customHeight="1">
      <c r="A706" t="inlineStr">
        <is>
          <t>A 240-2022</t>
        </is>
      </c>
      <c r="B706" s="1" t="n">
        <v>44565</v>
      </c>
      <c r="C706" s="1" t="n">
        <v>45787</v>
      </c>
      <c r="D706" t="inlineStr">
        <is>
          <t>JÄMTLANDS LÄN</t>
        </is>
      </c>
      <c r="E706" t="inlineStr">
        <is>
          <t>HÄRJEDALEN</t>
        </is>
      </c>
      <c r="F706" t="inlineStr">
        <is>
          <t>Övriga Aktiebolag</t>
        </is>
      </c>
      <c r="G706" t="n">
        <v>53.9</v>
      </c>
      <c r="H706" t="n">
        <v>0</v>
      </c>
      <c r="I706" t="n">
        <v>0</v>
      </c>
      <c r="J706" t="n">
        <v>0</v>
      </c>
      <c r="K706" t="n">
        <v>0</v>
      </c>
      <c r="L706" t="n">
        <v>0</v>
      </c>
      <c r="M706" t="n">
        <v>0</v>
      </c>
      <c r="N706" t="n">
        <v>0</v>
      </c>
      <c r="O706" t="n">
        <v>0</v>
      </c>
      <c r="P706" t="n">
        <v>0</v>
      </c>
      <c r="Q706" t="n">
        <v>0</v>
      </c>
      <c r="R706" s="2" t="inlineStr"/>
    </row>
    <row r="707" ht="15" customHeight="1">
      <c r="A707" t="inlineStr">
        <is>
          <t>A 537-2022</t>
        </is>
      </c>
      <c r="B707" s="1" t="n">
        <v>44566</v>
      </c>
      <c r="C707" s="1" t="n">
        <v>45787</v>
      </c>
      <c r="D707" t="inlineStr">
        <is>
          <t>JÄMTLANDS LÄN</t>
        </is>
      </c>
      <c r="E707" t="inlineStr">
        <is>
          <t>HÄRJEDALEN</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859-2022</t>
        </is>
      </c>
      <c r="B708" s="1" t="n">
        <v>44571</v>
      </c>
      <c r="C708" s="1" t="n">
        <v>45787</v>
      </c>
      <c r="D708" t="inlineStr">
        <is>
          <t>JÄMTLANDS LÄN</t>
        </is>
      </c>
      <c r="E708" t="inlineStr">
        <is>
          <t>HÄRJEDALEN</t>
        </is>
      </c>
      <c r="G708" t="n">
        <v>16.9</v>
      </c>
      <c r="H708" t="n">
        <v>0</v>
      </c>
      <c r="I708" t="n">
        <v>0</v>
      </c>
      <c r="J708" t="n">
        <v>0</v>
      </c>
      <c r="K708" t="n">
        <v>0</v>
      </c>
      <c r="L708" t="n">
        <v>0</v>
      </c>
      <c r="M708" t="n">
        <v>0</v>
      </c>
      <c r="N708" t="n">
        <v>0</v>
      </c>
      <c r="O708" t="n">
        <v>0</v>
      </c>
      <c r="P708" t="n">
        <v>0</v>
      </c>
      <c r="Q708" t="n">
        <v>0</v>
      </c>
      <c r="R708" s="2" t="inlineStr"/>
    </row>
    <row r="709" ht="15" customHeight="1">
      <c r="A709" t="inlineStr">
        <is>
          <t>A 2846-2022</t>
        </is>
      </c>
      <c r="B709" s="1" t="n">
        <v>44581</v>
      </c>
      <c r="C709" s="1" t="n">
        <v>45787</v>
      </c>
      <c r="D709" t="inlineStr">
        <is>
          <t>JÄMTLANDS LÄN</t>
        </is>
      </c>
      <c r="E709" t="inlineStr">
        <is>
          <t>HÄRJEDALEN</t>
        </is>
      </c>
      <c r="G709" t="n">
        <v>15.2</v>
      </c>
      <c r="H709" t="n">
        <v>0</v>
      </c>
      <c r="I709" t="n">
        <v>0</v>
      </c>
      <c r="J709" t="n">
        <v>0</v>
      </c>
      <c r="K709" t="n">
        <v>0</v>
      </c>
      <c r="L709" t="n">
        <v>0</v>
      </c>
      <c r="M709" t="n">
        <v>0</v>
      </c>
      <c r="N709" t="n">
        <v>0</v>
      </c>
      <c r="O709" t="n">
        <v>0</v>
      </c>
      <c r="P709" t="n">
        <v>0</v>
      </c>
      <c r="Q709" t="n">
        <v>0</v>
      </c>
      <c r="R709" s="2" t="inlineStr"/>
    </row>
    <row r="710" ht="15" customHeight="1">
      <c r="A710" t="inlineStr">
        <is>
          <t>A 3163-2022</t>
        </is>
      </c>
      <c r="B710" s="1" t="n">
        <v>44582</v>
      </c>
      <c r="C710" s="1" t="n">
        <v>45787</v>
      </c>
      <c r="D710" t="inlineStr">
        <is>
          <t>JÄMTLANDS LÄN</t>
        </is>
      </c>
      <c r="E710" t="inlineStr">
        <is>
          <t>HÄRJEDALEN</t>
        </is>
      </c>
      <c r="G710" t="n">
        <v>1.6</v>
      </c>
      <c r="H710" t="n">
        <v>0</v>
      </c>
      <c r="I710" t="n">
        <v>0</v>
      </c>
      <c r="J710" t="n">
        <v>0</v>
      </c>
      <c r="K710" t="n">
        <v>0</v>
      </c>
      <c r="L710" t="n">
        <v>0</v>
      </c>
      <c r="M710" t="n">
        <v>0</v>
      </c>
      <c r="N710" t="n">
        <v>0</v>
      </c>
      <c r="O710" t="n">
        <v>0</v>
      </c>
      <c r="P710" t="n">
        <v>0</v>
      </c>
      <c r="Q710" t="n">
        <v>0</v>
      </c>
      <c r="R710" s="2" t="inlineStr"/>
    </row>
    <row r="711" ht="15" customHeight="1">
      <c r="A711" t="inlineStr">
        <is>
          <t>A 3373-2022</t>
        </is>
      </c>
      <c r="B711" s="1" t="n">
        <v>44585</v>
      </c>
      <c r="C711" s="1" t="n">
        <v>45787</v>
      </c>
      <c r="D711" t="inlineStr">
        <is>
          <t>JÄMTLANDS LÄN</t>
        </is>
      </c>
      <c r="E711" t="inlineStr">
        <is>
          <t>HÄRJEDALEN</t>
        </is>
      </c>
      <c r="G711" t="n">
        <v>7.4</v>
      </c>
      <c r="H711" t="n">
        <v>0</v>
      </c>
      <c r="I711" t="n">
        <v>0</v>
      </c>
      <c r="J711" t="n">
        <v>0</v>
      </c>
      <c r="K711" t="n">
        <v>0</v>
      </c>
      <c r="L711" t="n">
        <v>0</v>
      </c>
      <c r="M711" t="n">
        <v>0</v>
      </c>
      <c r="N711" t="n">
        <v>0</v>
      </c>
      <c r="O711" t="n">
        <v>0</v>
      </c>
      <c r="P711" t="n">
        <v>0</v>
      </c>
      <c r="Q711" t="n">
        <v>0</v>
      </c>
      <c r="R711" s="2" t="inlineStr"/>
    </row>
    <row r="712" ht="15" customHeight="1">
      <c r="A712" t="inlineStr">
        <is>
          <t>A 4487-2022</t>
        </is>
      </c>
      <c r="B712" s="1" t="n">
        <v>44589</v>
      </c>
      <c r="C712" s="1" t="n">
        <v>45787</v>
      </c>
      <c r="D712" t="inlineStr">
        <is>
          <t>JÄMTLANDS LÄN</t>
        </is>
      </c>
      <c r="E712" t="inlineStr">
        <is>
          <t>HÄRJEDALEN</t>
        </is>
      </c>
      <c r="G712" t="n">
        <v>1.7</v>
      </c>
      <c r="H712" t="n">
        <v>0</v>
      </c>
      <c r="I712" t="n">
        <v>0</v>
      </c>
      <c r="J712" t="n">
        <v>0</v>
      </c>
      <c r="K712" t="n">
        <v>0</v>
      </c>
      <c r="L712" t="n">
        <v>0</v>
      </c>
      <c r="M712" t="n">
        <v>0</v>
      </c>
      <c r="N712" t="n">
        <v>0</v>
      </c>
      <c r="O712" t="n">
        <v>0</v>
      </c>
      <c r="P712" t="n">
        <v>0</v>
      </c>
      <c r="Q712" t="n">
        <v>0</v>
      </c>
      <c r="R712" s="2" t="inlineStr"/>
    </row>
    <row r="713" ht="15" customHeight="1">
      <c r="A713" t="inlineStr">
        <is>
          <t>A 4914-2022</t>
        </is>
      </c>
      <c r="B713" s="1" t="n">
        <v>44593</v>
      </c>
      <c r="C713" s="1" t="n">
        <v>45787</v>
      </c>
      <c r="D713" t="inlineStr">
        <is>
          <t>JÄMTLANDS LÄN</t>
        </is>
      </c>
      <c r="E713" t="inlineStr">
        <is>
          <t>HÄRJEDALEN</t>
        </is>
      </c>
      <c r="F713" t="inlineStr">
        <is>
          <t>Sveaskog</t>
        </is>
      </c>
      <c r="G713" t="n">
        <v>7.7</v>
      </c>
      <c r="H713" t="n">
        <v>0</v>
      </c>
      <c r="I713" t="n">
        <v>0</v>
      </c>
      <c r="J713" t="n">
        <v>0</v>
      </c>
      <c r="K713" t="n">
        <v>0</v>
      </c>
      <c r="L713" t="n">
        <v>0</v>
      </c>
      <c r="M713" t="n">
        <v>0</v>
      </c>
      <c r="N713" t="n">
        <v>0</v>
      </c>
      <c r="O713" t="n">
        <v>0</v>
      </c>
      <c r="P713" t="n">
        <v>0</v>
      </c>
      <c r="Q713" t="n">
        <v>0</v>
      </c>
      <c r="R713" s="2" t="inlineStr"/>
    </row>
    <row r="714" ht="15" customHeight="1">
      <c r="A714" t="inlineStr">
        <is>
          <t>A 6309-2022</t>
        </is>
      </c>
      <c r="B714" s="1" t="n">
        <v>44600</v>
      </c>
      <c r="C714" s="1" t="n">
        <v>45787</v>
      </c>
      <c r="D714" t="inlineStr">
        <is>
          <t>JÄMTLANDS LÄN</t>
        </is>
      </c>
      <c r="E714" t="inlineStr">
        <is>
          <t>HÄRJEDALEN</t>
        </is>
      </c>
      <c r="G714" t="n">
        <v>38.2</v>
      </c>
      <c r="H714" t="n">
        <v>0</v>
      </c>
      <c r="I714" t="n">
        <v>0</v>
      </c>
      <c r="J714" t="n">
        <v>0</v>
      </c>
      <c r="K714" t="n">
        <v>0</v>
      </c>
      <c r="L714" t="n">
        <v>0</v>
      </c>
      <c r="M714" t="n">
        <v>0</v>
      </c>
      <c r="N714" t="n">
        <v>0</v>
      </c>
      <c r="O714" t="n">
        <v>0</v>
      </c>
      <c r="P714" t="n">
        <v>0</v>
      </c>
      <c r="Q714" t="n">
        <v>0</v>
      </c>
      <c r="R714" s="2" t="inlineStr"/>
    </row>
    <row r="715" ht="15" customHeight="1">
      <c r="A715" t="inlineStr">
        <is>
          <t>A 6208-2022</t>
        </is>
      </c>
      <c r="B715" s="1" t="n">
        <v>44600</v>
      </c>
      <c r="C715" s="1" t="n">
        <v>45787</v>
      </c>
      <c r="D715" t="inlineStr">
        <is>
          <t>JÄMTLANDS LÄN</t>
        </is>
      </c>
      <c r="E715" t="inlineStr">
        <is>
          <t>HÄRJEDALEN</t>
        </is>
      </c>
      <c r="G715" t="n">
        <v>1.2</v>
      </c>
      <c r="H715" t="n">
        <v>0</v>
      </c>
      <c r="I715" t="n">
        <v>0</v>
      </c>
      <c r="J715" t="n">
        <v>0</v>
      </c>
      <c r="K715" t="n">
        <v>0</v>
      </c>
      <c r="L715" t="n">
        <v>0</v>
      </c>
      <c r="M715" t="n">
        <v>0</v>
      </c>
      <c r="N715" t="n">
        <v>0</v>
      </c>
      <c r="O715" t="n">
        <v>0</v>
      </c>
      <c r="P715" t="n">
        <v>0</v>
      </c>
      <c r="Q715" t="n">
        <v>0</v>
      </c>
      <c r="R715" s="2" t="inlineStr"/>
    </row>
    <row r="716" ht="15" customHeight="1">
      <c r="A716" t="inlineStr">
        <is>
          <t>A 6312-2022</t>
        </is>
      </c>
      <c r="B716" s="1" t="n">
        <v>44600</v>
      </c>
      <c r="C716" s="1" t="n">
        <v>45787</v>
      </c>
      <c r="D716" t="inlineStr">
        <is>
          <t>JÄMTLANDS LÄN</t>
        </is>
      </c>
      <c r="E716" t="inlineStr">
        <is>
          <t>HÄRJEDALEN</t>
        </is>
      </c>
      <c r="G716" t="n">
        <v>18.4</v>
      </c>
      <c r="H716" t="n">
        <v>0</v>
      </c>
      <c r="I716" t="n">
        <v>0</v>
      </c>
      <c r="J716" t="n">
        <v>0</v>
      </c>
      <c r="K716" t="n">
        <v>0</v>
      </c>
      <c r="L716" t="n">
        <v>0</v>
      </c>
      <c r="M716" t="n">
        <v>0</v>
      </c>
      <c r="N716" t="n">
        <v>0</v>
      </c>
      <c r="O716" t="n">
        <v>0</v>
      </c>
      <c r="P716" t="n">
        <v>0</v>
      </c>
      <c r="Q716" t="n">
        <v>0</v>
      </c>
      <c r="R716" s="2" t="inlineStr"/>
    </row>
    <row r="717" ht="15" customHeight="1">
      <c r="A717" t="inlineStr">
        <is>
          <t>A 6444-2022</t>
        </is>
      </c>
      <c r="B717" s="1" t="n">
        <v>44601</v>
      </c>
      <c r="C717" s="1" t="n">
        <v>45787</v>
      </c>
      <c r="D717" t="inlineStr">
        <is>
          <t>JÄMTLANDS LÄN</t>
        </is>
      </c>
      <c r="E717" t="inlineStr">
        <is>
          <t>HÄRJEDALEN</t>
        </is>
      </c>
      <c r="F717" t="inlineStr">
        <is>
          <t>Holmen skog AB</t>
        </is>
      </c>
      <c r="G717" t="n">
        <v>4.3</v>
      </c>
      <c r="H717" t="n">
        <v>0</v>
      </c>
      <c r="I717" t="n">
        <v>0</v>
      </c>
      <c r="J717" t="n">
        <v>0</v>
      </c>
      <c r="K717" t="n">
        <v>0</v>
      </c>
      <c r="L717" t="n">
        <v>0</v>
      </c>
      <c r="M717" t="n">
        <v>0</v>
      </c>
      <c r="N717" t="n">
        <v>0</v>
      </c>
      <c r="O717" t="n">
        <v>0</v>
      </c>
      <c r="P717" t="n">
        <v>0</v>
      </c>
      <c r="Q717" t="n">
        <v>0</v>
      </c>
      <c r="R717" s="2" t="inlineStr"/>
    </row>
    <row r="718" ht="15" customHeight="1">
      <c r="A718" t="inlineStr">
        <is>
          <t>A 6933-2022</t>
        </is>
      </c>
      <c r="B718" s="1" t="n">
        <v>44603</v>
      </c>
      <c r="C718" s="1" t="n">
        <v>45787</v>
      </c>
      <c r="D718" t="inlineStr">
        <is>
          <t>JÄMTLANDS LÄN</t>
        </is>
      </c>
      <c r="E718" t="inlineStr">
        <is>
          <t>HÄRJEDALEN</t>
        </is>
      </c>
      <c r="F718" t="inlineStr">
        <is>
          <t>Holmen skog AB</t>
        </is>
      </c>
      <c r="G718" t="n">
        <v>3.9</v>
      </c>
      <c r="H718" t="n">
        <v>0</v>
      </c>
      <c r="I718" t="n">
        <v>0</v>
      </c>
      <c r="J718" t="n">
        <v>0</v>
      </c>
      <c r="K718" t="n">
        <v>0</v>
      </c>
      <c r="L718" t="n">
        <v>0</v>
      </c>
      <c r="M718" t="n">
        <v>0</v>
      </c>
      <c r="N718" t="n">
        <v>0</v>
      </c>
      <c r="O718" t="n">
        <v>0</v>
      </c>
      <c r="P718" t="n">
        <v>0</v>
      </c>
      <c r="Q718" t="n">
        <v>0</v>
      </c>
      <c r="R718" s="2" t="inlineStr"/>
    </row>
    <row r="719" ht="15" customHeight="1">
      <c r="A719" t="inlineStr">
        <is>
          <t>A 6938-2022</t>
        </is>
      </c>
      <c r="B719" s="1" t="n">
        <v>44603</v>
      </c>
      <c r="C719" s="1" t="n">
        <v>45787</v>
      </c>
      <c r="D719" t="inlineStr">
        <is>
          <t>JÄMTLANDS LÄN</t>
        </is>
      </c>
      <c r="E719" t="inlineStr">
        <is>
          <t>HÄRJEDALEN</t>
        </is>
      </c>
      <c r="F719" t="inlineStr">
        <is>
          <t>Holmen skog AB</t>
        </is>
      </c>
      <c r="G719" t="n">
        <v>4.3</v>
      </c>
      <c r="H719" t="n">
        <v>0</v>
      </c>
      <c r="I719" t="n">
        <v>0</v>
      </c>
      <c r="J719" t="n">
        <v>0</v>
      </c>
      <c r="K719" t="n">
        <v>0</v>
      </c>
      <c r="L719" t="n">
        <v>0</v>
      </c>
      <c r="M719" t="n">
        <v>0</v>
      </c>
      <c r="N719" t="n">
        <v>0</v>
      </c>
      <c r="O719" t="n">
        <v>0</v>
      </c>
      <c r="P719" t="n">
        <v>0</v>
      </c>
      <c r="Q719" t="n">
        <v>0</v>
      </c>
      <c r="R719" s="2" t="inlineStr"/>
    </row>
    <row r="720" ht="15" customHeight="1">
      <c r="A720" t="inlineStr">
        <is>
          <t>A 6935-2022</t>
        </is>
      </c>
      <c r="B720" s="1" t="n">
        <v>44603</v>
      </c>
      <c r="C720" s="1" t="n">
        <v>45787</v>
      </c>
      <c r="D720" t="inlineStr">
        <is>
          <t>JÄMTLANDS LÄN</t>
        </is>
      </c>
      <c r="E720" t="inlineStr">
        <is>
          <t>HÄRJEDALEN</t>
        </is>
      </c>
      <c r="F720" t="inlineStr">
        <is>
          <t>Holmen skog AB</t>
        </is>
      </c>
      <c r="G720" t="n">
        <v>4</v>
      </c>
      <c r="H720" t="n">
        <v>0</v>
      </c>
      <c r="I720" t="n">
        <v>0</v>
      </c>
      <c r="J720" t="n">
        <v>0</v>
      </c>
      <c r="K720" t="n">
        <v>0</v>
      </c>
      <c r="L720" t="n">
        <v>0</v>
      </c>
      <c r="M720" t="n">
        <v>0</v>
      </c>
      <c r="N720" t="n">
        <v>0</v>
      </c>
      <c r="O720" t="n">
        <v>0</v>
      </c>
      <c r="P720" t="n">
        <v>0</v>
      </c>
      <c r="Q720" t="n">
        <v>0</v>
      </c>
      <c r="R720" s="2" t="inlineStr"/>
    </row>
    <row r="721" ht="15" customHeight="1">
      <c r="A721" t="inlineStr">
        <is>
          <t>A 6941-2022</t>
        </is>
      </c>
      <c r="B721" s="1" t="n">
        <v>44603</v>
      </c>
      <c r="C721" s="1" t="n">
        <v>45787</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8368-2022</t>
        </is>
      </c>
      <c r="B722" s="1" t="n">
        <v>44610</v>
      </c>
      <c r="C722" s="1" t="n">
        <v>45787</v>
      </c>
      <c r="D722" t="inlineStr">
        <is>
          <t>JÄMTLANDS LÄN</t>
        </is>
      </c>
      <c r="E722" t="inlineStr">
        <is>
          <t>HÄRJEDALEN</t>
        </is>
      </c>
      <c r="G722" t="n">
        <v>1.6</v>
      </c>
      <c r="H722" t="n">
        <v>0</v>
      </c>
      <c r="I722" t="n">
        <v>0</v>
      </c>
      <c r="J722" t="n">
        <v>0</v>
      </c>
      <c r="K722" t="n">
        <v>0</v>
      </c>
      <c r="L722" t="n">
        <v>0</v>
      </c>
      <c r="M722" t="n">
        <v>0</v>
      </c>
      <c r="N722" t="n">
        <v>0</v>
      </c>
      <c r="O722" t="n">
        <v>0</v>
      </c>
      <c r="P722" t="n">
        <v>0</v>
      </c>
      <c r="Q722" t="n">
        <v>0</v>
      </c>
      <c r="R722" s="2" t="inlineStr"/>
    </row>
    <row r="723" ht="15" customHeight="1">
      <c r="A723" t="inlineStr">
        <is>
          <t>A 8538-2022</t>
        </is>
      </c>
      <c r="B723" s="1" t="n">
        <v>44613</v>
      </c>
      <c r="C723" s="1" t="n">
        <v>45787</v>
      </c>
      <c r="D723" t="inlineStr">
        <is>
          <t>JÄMTLANDS LÄN</t>
        </is>
      </c>
      <c r="E723" t="inlineStr">
        <is>
          <t>HÄRJEDALEN</t>
        </is>
      </c>
      <c r="F723" t="inlineStr">
        <is>
          <t>Naturvårdsverket</t>
        </is>
      </c>
      <c r="G723" t="n">
        <v>0.4</v>
      </c>
      <c r="H723" t="n">
        <v>0</v>
      </c>
      <c r="I723" t="n">
        <v>0</v>
      </c>
      <c r="J723" t="n">
        <v>0</v>
      </c>
      <c r="K723" t="n">
        <v>0</v>
      </c>
      <c r="L723" t="n">
        <v>0</v>
      </c>
      <c r="M723" t="n">
        <v>0</v>
      </c>
      <c r="N723" t="n">
        <v>0</v>
      </c>
      <c r="O723" t="n">
        <v>0</v>
      </c>
      <c r="P723" t="n">
        <v>0</v>
      </c>
      <c r="Q723" t="n">
        <v>0</v>
      </c>
      <c r="R723" s="2" t="inlineStr"/>
    </row>
    <row r="724" ht="15" customHeight="1">
      <c r="A724" t="inlineStr">
        <is>
          <t>A 8823-2022</t>
        </is>
      </c>
      <c r="B724" s="1" t="n">
        <v>44614</v>
      </c>
      <c r="C724" s="1" t="n">
        <v>45787</v>
      </c>
      <c r="D724" t="inlineStr">
        <is>
          <t>JÄMTLANDS LÄN</t>
        </is>
      </c>
      <c r="E724" t="inlineStr">
        <is>
          <t>HÄRJEDALEN</t>
        </is>
      </c>
      <c r="F724" t="inlineStr">
        <is>
          <t>Naturvårdsverket</t>
        </is>
      </c>
      <c r="G724" t="n">
        <v>23.7</v>
      </c>
      <c r="H724" t="n">
        <v>0</v>
      </c>
      <c r="I724" t="n">
        <v>0</v>
      </c>
      <c r="J724" t="n">
        <v>0</v>
      </c>
      <c r="K724" t="n">
        <v>0</v>
      </c>
      <c r="L724" t="n">
        <v>0</v>
      </c>
      <c r="M724" t="n">
        <v>0</v>
      </c>
      <c r="N724" t="n">
        <v>0</v>
      </c>
      <c r="O724" t="n">
        <v>0</v>
      </c>
      <c r="P724" t="n">
        <v>0</v>
      </c>
      <c r="Q724" t="n">
        <v>0</v>
      </c>
      <c r="R724" s="2" t="inlineStr"/>
    </row>
    <row r="725" ht="15" customHeight="1">
      <c r="A725" t="inlineStr">
        <is>
          <t>A 9095-2022</t>
        </is>
      </c>
      <c r="B725" s="1" t="n">
        <v>44615</v>
      </c>
      <c r="C725" s="1" t="n">
        <v>45787</v>
      </c>
      <c r="D725" t="inlineStr">
        <is>
          <t>JÄMTLANDS LÄN</t>
        </is>
      </c>
      <c r="E725" t="inlineStr">
        <is>
          <t>HÄRJEDALEN</t>
        </is>
      </c>
      <c r="F725" t="inlineStr">
        <is>
          <t>Kyrkan</t>
        </is>
      </c>
      <c r="G725" t="n">
        <v>15.9</v>
      </c>
      <c r="H725" t="n">
        <v>0</v>
      </c>
      <c r="I725" t="n">
        <v>0</v>
      </c>
      <c r="J725" t="n">
        <v>0</v>
      </c>
      <c r="K725" t="n">
        <v>0</v>
      </c>
      <c r="L725" t="n">
        <v>0</v>
      </c>
      <c r="M725" t="n">
        <v>0</v>
      </c>
      <c r="N725" t="n">
        <v>0</v>
      </c>
      <c r="O725" t="n">
        <v>0</v>
      </c>
      <c r="P725" t="n">
        <v>0</v>
      </c>
      <c r="Q725" t="n">
        <v>0</v>
      </c>
      <c r="R725" s="2" t="inlineStr"/>
    </row>
    <row r="726" ht="15" customHeight="1">
      <c r="A726" t="inlineStr">
        <is>
          <t>A 10504-2022</t>
        </is>
      </c>
      <c r="B726" s="1" t="n">
        <v>44623</v>
      </c>
      <c r="C726" s="1" t="n">
        <v>45787</v>
      </c>
      <c r="D726" t="inlineStr">
        <is>
          <t>JÄMTLANDS LÄN</t>
        </is>
      </c>
      <c r="E726" t="inlineStr">
        <is>
          <t>HÄRJEDALEN</t>
        </is>
      </c>
      <c r="F726" t="inlineStr">
        <is>
          <t>Holmen skog AB</t>
        </is>
      </c>
      <c r="G726" t="n">
        <v>11.6</v>
      </c>
      <c r="H726" t="n">
        <v>0</v>
      </c>
      <c r="I726" t="n">
        <v>0</v>
      </c>
      <c r="J726" t="n">
        <v>0</v>
      </c>
      <c r="K726" t="n">
        <v>0</v>
      </c>
      <c r="L726" t="n">
        <v>0</v>
      </c>
      <c r="M726" t="n">
        <v>0</v>
      </c>
      <c r="N726" t="n">
        <v>0</v>
      </c>
      <c r="O726" t="n">
        <v>0</v>
      </c>
      <c r="P726" t="n">
        <v>0</v>
      </c>
      <c r="Q726" t="n">
        <v>0</v>
      </c>
      <c r="R726" s="2" t="inlineStr"/>
    </row>
    <row r="727" ht="15" customHeight="1">
      <c r="A727" t="inlineStr">
        <is>
          <t>A 10727-2022</t>
        </is>
      </c>
      <c r="B727" s="1" t="n">
        <v>44627</v>
      </c>
      <c r="C727" s="1" t="n">
        <v>45787</v>
      </c>
      <c r="D727" t="inlineStr">
        <is>
          <t>JÄMTLANDS LÄN</t>
        </is>
      </c>
      <c r="E727" t="inlineStr">
        <is>
          <t>HÄRJEDALEN</t>
        </is>
      </c>
      <c r="F727" t="inlineStr">
        <is>
          <t>Holmen skog AB</t>
        </is>
      </c>
      <c r="G727" t="n">
        <v>12.6</v>
      </c>
      <c r="H727" t="n">
        <v>0</v>
      </c>
      <c r="I727" t="n">
        <v>0</v>
      </c>
      <c r="J727" t="n">
        <v>0</v>
      </c>
      <c r="K727" t="n">
        <v>0</v>
      </c>
      <c r="L727" t="n">
        <v>0</v>
      </c>
      <c r="M727" t="n">
        <v>0</v>
      </c>
      <c r="N727" t="n">
        <v>0</v>
      </c>
      <c r="O727" t="n">
        <v>0</v>
      </c>
      <c r="P727" t="n">
        <v>0</v>
      </c>
      <c r="Q727" t="n">
        <v>0</v>
      </c>
      <c r="R727" s="2" t="inlineStr"/>
    </row>
    <row r="728" ht="15" customHeight="1">
      <c r="A728" t="inlineStr">
        <is>
          <t>A 10741-2022</t>
        </is>
      </c>
      <c r="B728" s="1" t="n">
        <v>44627</v>
      </c>
      <c r="C728" s="1" t="n">
        <v>45787</v>
      </c>
      <c r="D728" t="inlineStr">
        <is>
          <t>JÄMTLANDS LÄN</t>
        </is>
      </c>
      <c r="E728" t="inlineStr">
        <is>
          <t>HÄRJEDALEN</t>
        </is>
      </c>
      <c r="F728" t="inlineStr">
        <is>
          <t>Holmen skog AB</t>
        </is>
      </c>
      <c r="G728" t="n">
        <v>8</v>
      </c>
      <c r="H728" t="n">
        <v>0</v>
      </c>
      <c r="I728" t="n">
        <v>0</v>
      </c>
      <c r="J728" t="n">
        <v>0</v>
      </c>
      <c r="K728" t="n">
        <v>0</v>
      </c>
      <c r="L728" t="n">
        <v>0</v>
      </c>
      <c r="M728" t="n">
        <v>0</v>
      </c>
      <c r="N728" t="n">
        <v>0</v>
      </c>
      <c r="O728" t="n">
        <v>0</v>
      </c>
      <c r="P728" t="n">
        <v>0</v>
      </c>
      <c r="Q728" t="n">
        <v>0</v>
      </c>
      <c r="R728" s="2" t="inlineStr"/>
    </row>
    <row r="729" ht="15" customHeight="1">
      <c r="A729" t="inlineStr">
        <is>
          <t>A 10956-2022</t>
        </is>
      </c>
      <c r="B729" s="1" t="n">
        <v>44628</v>
      </c>
      <c r="C729" s="1" t="n">
        <v>45787</v>
      </c>
      <c r="D729" t="inlineStr">
        <is>
          <t>JÄMTLANDS LÄN</t>
        </is>
      </c>
      <c r="E729" t="inlineStr">
        <is>
          <t>HÄRJEDALEN</t>
        </is>
      </c>
      <c r="F729" t="inlineStr">
        <is>
          <t>Holmen skog AB</t>
        </is>
      </c>
      <c r="G729" t="n">
        <v>21.8</v>
      </c>
      <c r="H729" t="n">
        <v>0</v>
      </c>
      <c r="I729" t="n">
        <v>0</v>
      </c>
      <c r="J729" t="n">
        <v>0</v>
      </c>
      <c r="K729" t="n">
        <v>0</v>
      </c>
      <c r="L729" t="n">
        <v>0</v>
      </c>
      <c r="M729" t="n">
        <v>0</v>
      </c>
      <c r="N729" t="n">
        <v>0</v>
      </c>
      <c r="O729" t="n">
        <v>0</v>
      </c>
      <c r="P729" t="n">
        <v>0</v>
      </c>
      <c r="Q729" t="n">
        <v>0</v>
      </c>
      <c r="R729" s="2" t="inlineStr"/>
    </row>
    <row r="730" ht="15" customHeight="1">
      <c r="A730" t="inlineStr">
        <is>
          <t>A 10959-2022</t>
        </is>
      </c>
      <c r="B730" s="1" t="n">
        <v>44628</v>
      </c>
      <c r="C730" s="1" t="n">
        <v>45787</v>
      </c>
      <c r="D730" t="inlineStr">
        <is>
          <t>JÄMTLANDS LÄN</t>
        </is>
      </c>
      <c r="E730" t="inlineStr">
        <is>
          <t>HÄRJEDALEN</t>
        </is>
      </c>
      <c r="G730" t="n">
        <v>2.1</v>
      </c>
      <c r="H730" t="n">
        <v>0</v>
      </c>
      <c r="I730" t="n">
        <v>0</v>
      </c>
      <c r="J730" t="n">
        <v>0</v>
      </c>
      <c r="K730" t="n">
        <v>0</v>
      </c>
      <c r="L730" t="n">
        <v>0</v>
      </c>
      <c r="M730" t="n">
        <v>0</v>
      </c>
      <c r="N730" t="n">
        <v>0</v>
      </c>
      <c r="O730" t="n">
        <v>0</v>
      </c>
      <c r="P730" t="n">
        <v>0</v>
      </c>
      <c r="Q730" t="n">
        <v>0</v>
      </c>
      <c r="R730" s="2" t="inlineStr"/>
    </row>
    <row r="731" ht="15" customHeight="1">
      <c r="A731" t="inlineStr">
        <is>
          <t>A 11334-2022</t>
        </is>
      </c>
      <c r="B731" s="1" t="n">
        <v>44630</v>
      </c>
      <c r="C731" s="1" t="n">
        <v>45787</v>
      </c>
      <c r="D731" t="inlineStr">
        <is>
          <t>JÄMTLANDS LÄN</t>
        </is>
      </c>
      <c r="E731" t="inlineStr">
        <is>
          <t>HÄRJEDALEN</t>
        </is>
      </c>
      <c r="F731" t="inlineStr">
        <is>
          <t>Holmen skog AB</t>
        </is>
      </c>
      <c r="G731" t="n">
        <v>5.8</v>
      </c>
      <c r="H731" t="n">
        <v>0</v>
      </c>
      <c r="I731" t="n">
        <v>0</v>
      </c>
      <c r="J731" t="n">
        <v>0</v>
      </c>
      <c r="K731" t="n">
        <v>0</v>
      </c>
      <c r="L731" t="n">
        <v>0</v>
      </c>
      <c r="M731" t="n">
        <v>0</v>
      </c>
      <c r="N731" t="n">
        <v>0</v>
      </c>
      <c r="O731" t="n">
        <v>0</v>
      </c>
      <c r="P731" t="n">
        <v>0</v>
      </c>
      <c r="Q731" t="n">
        <v>0</v>
      </c>
      <c r="R731" s="2" t="inlineStr"/>
    </row>
    <row r="732" ht="15" customHeight="1">
      <c r="A732" t="inlineStr">
        <is>
          <t>A 11512-2022</t>
        </is>
      </c>
      <c r="B732" s="1" t="n">
        <v>44631</v>
      </c>
      <c r="C732" s="1" t="n">
        <v>45787</v>
      </c>
      <c r="D732" t="inlineStr">
        <is>
          <t>JÄMTLANDS LÄN</t>
        </is>
      </c>
      <c r="E732" t="inlineStr">
        <is>
          <t>HÄRJEDALEN</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11528-2022</t>
        </is>
      </c>
      <c r="B733" s="1" t="n">
        <v>44631</v>
      </c>
      <c r="C733" s="1" t="n">
        <v>45787</v>
      </c>
      <c r="D733" t="inlineStr">
        <is>
          <t>JÄMTLANDS LÄN</t>
        </is>
      </c>
      <c r="E733" t="inlineStr">
        <is>
          <t>HÄRJEDALEN</t>
        </is>
      </c>
      <c r="F733" t="inlineStr">
        <is>
          <t>Holmen skog AB</t>
        </is>
      </c>
      <c r="G733" t="n">
        <v>6.1</v>
      </c>
      <c r="H733" t="n">
        <v>0</v>
      </c>
      <c r="I733" t="n">
        <v>0</v>
      </c>
      <c r="J733" t="n">
        <v>0</v>
      </c>
      <c r="K733" t="n">
        <v>0</v>
      </c>
      <c r="L733" t="n">
        <v>0</v>
      </c>
      <c r="M733" t="n">
        <v>0</v>
      </c>
      <c r="N733" t="n">
        <v>0</v>
      </c>
      <c r="O733" t="n">
        <v>0</v>
      </c>
      <c r="P733" t="n">
        <v>0</v>
      </c>
      <c r="Q733" t="n">
        <v>0</v>
      </c>
      <c r="R733" s="2" t="inlineStr"/>
    </row>
    <row r="734" ht="15" customHeight="1">
      <c r="A734" t="inlineStr">
        <is>
          <t>A 11553-2022</t>
        </is>
      </c>
      <c r="B734" s="1" t="n">
        <v>44631</v>
      </c>
      <c r="C734" s="1" t="n">
        <v>45787</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11525-2022</t>
        </is>
      </c>
      <c r="B735" s="1" t="n">
        <v>44631</v>
      </c>
      <c r="C735" s="1" t="n">
        <v>45787</v>
      </c>
      <c r="D735" t="inlineStr">
        <is>
          <t>JÄMTLANDS LÄN</t>
        </is>
      </c>
      <c r="E735" t="inlineStr">
        <is>
          <t>HÄRJEDALEN</t>
        </is>
      </c>
      <c r="F735" t="inlineStr">
        <is>
          <t>Holmen skog AB</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11545-2022</t>
        </is>
      </c>
      <c r="B736" s="1" t="n">
        <v>44631</v>
      </c>
      <c r="C736" s="1" t="n">
        <v>45787</v>
      </c>
      <c r="D736" t="inlineStr">
        <is>
          <t>JÄMTLANDS LÄN</t>
        </is>
      </c>
      <c r="E736" t="inlineStr">
        <is>
          <t>HÄRJEDALEN</t>
        </is>
      </c>
      <c r="F736" t="inlineStr">
        <is>
          <t>Holmen skog AB</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11522-2022</t>
        </is>
      </c>
      <c r="B737" s="1" t="n">
        <v>44631</v>
      </c>
      <c r="C737" s="1" t="n">
        <v>45787</v>
      </c>
      <c r="D737" t="inlineStr">
        <is>
          <t>JÄMTLANDS LÄN</t>
        </is>
      </c>
      <c r="E737" t="inlineStr">
        <is>
          <t>HÄRJEDALEN</t>
        </is>
      </c>
      <c r="F737" t="inlineStr">
        <is>
          <t>Holmen skog AB</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11527-2022</t>
        </is>
      </c>
      <c r="B738" s="1" t="n">
        <v>44631</v>
      </c>
      <c r="C738" s="1" t="n">
        <v>45787</v>
      </c>
      <c r="D738" t="inlineStr">
        <is>
          <t>JÄMTLANDS LÄN</t>
        </is>
      </c>
      <c r="E738" t="inlineStr">
        <is>
          <t>HÄRJEDALEN</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11557-2022</t>
        </is>
      </c>
      <c r="B739" s="1" t="n">
        <v>44631</v>
      </c>
      <c r="C739" s="1" t="n">
        <v>45787</v>
      </c>
      <c r="D739" t="inlineStr">
        <is>
          <t>JÄMTLANDS LÄN</t>
        </is>
      </c>
      <c r="E739" t="inlineStr">
        <is>
          <t>HÄRJEDALEN</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11541-2022</t>
        </is>
      </c>
      <c r="B740" s="1" t="n">
        <v>44631</v>
      </c>
      <c r="C740" s="1" t="n">
        <v>45787</v>
      </c>
      <c r="D740" t="inlineStr">
        <is>
          <t>JÄMTLANDS LÄN</t>
        </is>
      </c>
      <c r="E740" t="inlineStr">
        <is>
          <t>HÄRJEDALEN</t>
        </is>
      </c>
      <c r="F740" t="inlineStr">
        <is>
          <t>Holmen skog AB</t>
        </is>
      </c>
      <c r="G740" t="n">
        <v>5.5</v>
      </c>
      <c r="H740" t="n">
        <v>0</v>
      </c>
      <c r="I740" t="n">
        <v>0</v>
      </c>
      <c r="J740" t="n">
        <v>0</v>
      </c>
      <c r="K740" t="n">
        <v>0</v>
      </c>
      <c r="L740" t="n">
        <v>0</v>
      </c>
      <c r="M740" t="n">
        <v>0</v>
      </c>
      <c r="N740" t="n">
        <v>0</v>
      </c>
      <c r="O740" t="n">
        <v>0</v>
      </c>
      <c r="P740" t="n">
        <v>0</v>
      </c>
      <c r="Q740" t="n">
        <v>0</v>
      </c>
      <c r="R740" s="2" t="inlineStr"/>
    </row>
    <row r="741" ht="15" customHeight="1">
      <c r="A741" t="inlineStr">
        <is>
          <t>A 11551-2022</t>
        </is>
      </c>
      <c r="B741" s="1" t="n">
        <v>44631</v>
      </c>
      <c r="C741" s="1" t="n">
        <v>45787</v>
      </c>
      <c r="D741" t="inlineStr">
        <is>
          <t>JÄMTLANDS LÄN</t>
        </is>
      </c>
      <c r="E741" t="inlineStr">
        <is>
          <t>HÄRJEDALEN</t>
        </is>
      </c>
      <c r="F741" t="inlineStr">
        <is>
          <t>Holmen skog AB</t>
        </is>
      </c>
      <c r="G741" t="n">
        <v>17.6</v>
      </c>
      <c r="H741" t="n">
        <v>0</v>
      </c>
      <c r="I741" t="n">
        <v>0</v>
      </c>
      <c r="J741" t="n">
        <v>0</v>
      </c>
      <c r="K741" t="n">
        <v>0</v>
      </c>
      <c r="L741" t="n">
        <v>0</v>
      </c>
      <c r="M741" t="n">
        <v>0</v>
      </c>
      <c r="N741" t="n">
        <v>0</v>
      </c>
      <c r="O741" t="n">
        <v>0</v>
      </c>
      <c r="P741" t="n">
        <v>0</v>
      </c>
      <c r="Q741" t="n">
        <v>0</v>
      </c>
      <c r="R741" s="2" t="inlineStr"/>
    </row>
    <row r="742" ht="15" customHeight="1">
      <c r="A742" t="inlineStr">
        <is>
          <t>A 12468-2022</t>
        </is>
      </c>
      <c r="B742" s="1" t="n">
        <v>44638</v>
      </c>
      <c r="C742" s="1" t="n">
        <v>45787</v>
      </c>
      <c r="D742" t="inlineStr">
        <is>
          <t>JÄMTLANDS LÄN</t>
        </is>
      </c>
      <c r="E742" t="inlineStr">
        <is>
          <t>HÄRJEDALEN</t>
        </is>
      </c>
      <c r="G742" t="n">
        <v>2.5</v>
      </c>
      <c r="H742" t="n">
        <v>0</v>
      </c>
      <c r="I742" t="n">
        <v>0</v>
      </c>
      <c r="J742" t="n">
        <v>0</v>
      </c>
      <c r="K742" t="n">
        <v>0</v>
      </c>
      <c r="L742" t="n">
        <v>0</v>
      </c>
      <c r="M742" t="n">
        <v>0</v>
      </c>
      <c r="N742" t="n">
        <v>0</v>
      </c>
      <c r="O742" t="n">
        <v>0</v>
      </c>
      <c r="P742" t="n">
        <v>0</v>
      </c>
      <c r="Q742" t="n">
        <v>0</v>
      </c>
      <c r="R742" s="2" t="inlineStr"/>
    </row>
    <row r="743" ht="15" customHeight="1">
      <c r="A743" t="inlineStr">
        <is>
          <t>A 12810-2022</t>
        </is>
      </c>
      <c r="B743" s="1" t="n">
        <v>44642</v>
      </c>
      <c r="C743" s="1" t="n">
        <v>45787</v>
      </c>
      <c r="D743" t="inlineStr">
        <is>
          <t>JÄMTLANDS LÄN</t>
        </is>
      </c>
      <c r="E743" t="inlineStr">
        <is>
          <t>HÄRJEDALEN</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13081-2022</t>
        </is>
      </c>
      <c r="B744" s="1" t="n">
        <v>44643</v>
      </c>
      <c r="C744" s="1" t="n">
        <v>45787</v>
      </c>
      <c r="D744" t="inlineStr">
        <is>
          <t>JÄMTLANDS LÄN</t>
        </is>
      </c>
      <c r="E744" t="inlineStr">
        <is>
          <t>HÄRJEDALEN</t>
        </is>
      </c>
      <c r="G744" t="n">
        <v>1</v>
      </c>
      <c r="H744" t="n">
        <v>0</v>
      </c>
      <c r="I744" t="n">
        <v>0</v>
      </c>
      <c r="J744" t="n">
        <v>0</v>
      </c>
      <c r="K744" t="n">
        <v>0</v>
      </c>
      <c r="L744" t="n">
        <v>0</v>
      </c>
      <c r="M744" t="n">
        <v>0</v>
      </c>
      <c r="N744" t="n">
        <v>0</v>
      </c>
      <c r="O744" t="n">
        <v>0</v>
      </c>
      <c r="P744" t="n">
        <v>0</v>
      </c>
      <c r="Q744" t="n">
        <v>0</v>
      </c>
      <c r="R744" s="2" t="inlineStr"/>
    </row>
    <row r="745" ht="15" customHeight="1">
      <c r="A745" t="inlineStr">
        <is>
          <t>A 13991-2022</t>
        </is>
      </c>
      <c r="B745" s="1" t="n">
        <v>44650</v>
      </c>
      <c r="C745" s="1" t="n">
        <v>45787</v>
      </c>
      <c r="D745" t="inlineStr">
        <is>
          <t>JÄMTLANDS LÄN</t>
        </is>
      </c>
      <c r="E745" t="inlineStr">
        <is>
          <t>HÄRJEDALEN</t>
        </is>
      </c>
      <c r="F745" t="inlineStr">
        <is>
          <t>Holmen skog AB</t>
        </is>
      </c>
      <c r="G745" t="n">
        <v>6.2</v>
      </c>
      <c r="H745" t="n">
        <v>0</v>
      </c>
      <c r="I745" t="n">
        <v>0</v>
      </c>
      <c r="J745" t="n">
        <v>0</v>
      </c>
      <c r="K745" t="n">
        <v>0</v>
      </c>
      <c r="L745" t="n">
        <v>0</v>
      </c>
      <c r="M745" t="n">
        <v>0</v>
      </c>
      <c r="N745" t="n">
        <v>0</v>
      </c>
      <c r="O745" t="n">
        <v>0</v>
      </c>
      <c r="P745" t="n">
        <v>0</v>
      </c>
      <c r="Q745" t="n">
        <v>0</v>
      </c>
      <c r="R745" s="2" t="inlineStr"/>
    </row>
    <row r="746" ht="15" customHeight="1">
      <c r="A746" t="inlineStr">
        <is>
          <t>A 15374-2022</t>
        </is>
      </c>
      <c r="B746" s="1" t="n">
        <v>44659</v>
      </c>
      <c r="C746" s="1" t="n">
        <v>45787</v>
      </c>
      <c r="D746" t="inlineStr">
        <is>
          <t>JÄMTLANDS LÄN</t>
        </is>
      </c>
      <c r="E746" t="inlineStr">
        <is>
          <t>HÄRJEDALEN</t>
        </is>
      </c>
      <c r="G746" t="n">
        <v>1.9</v>
      </c>
      <c r="H746" t="n">
        <v>0</v>
      </c>
      <c r="I746" t="n">
        <v>0</v>
      </c>
      <c r="J746" t="n">
        <v>0</v>
      </c>
      <c r="K746" t="n">
        <v>0</v>
      </c>
      <c r="L746" t="n">
        <v>0</v>
      </c>
      <c r="M746" t="n">
        <v>0</v>
      </c>
      <c r="N746" t="n">
        <v>0</v>
      </c>
      <c r="O746" t="n">
        <v>0</v>
      </c>
      <c r="P746" t="n">
        <v>0</v>
      </c>
      <c r="Q746" t="n">
        <v>0</v>
      </c>
      <c r="R746" s="2" t="inlineStr"/>
    </row>
    <row r="747" ht="15" customHeight="1">
      <c r="A747" t="inlineStr">
        <is>
          <t>A 15611-2022</t>
        </is>
      </c>
      <c r="B747" s="1" t="n">
        <v>44662</v>
      </c>
      <c r="C747" s="1" t="n">
        <v>45787</v>
      </c>
      <c r="D747" t="inlineStr">
        <is>
          <t>JÄMTLANDS LÄN</t>
        </is>
      </c>
      <c r="E747" t="inlineStr">
        <is>
          <t>HÄRJEDALEN</t>
        </is>
      </c>
      <c r="F747" t="inlineStr">
        <is>
          <t>Kyrkan</t>
        </is>
      </c>
      <c r="G747" t="n">
        <v>6.9</v>
      </c>
      <c r="H747" t="n">
        <v>0</v>
      </c>
      <c r="I747" t="n">
        <v>0</v>
      </c>
      <c r="J747" t="n">
        <v>0</v>
      </c>
      <c r="K747" t="n">
        <v>0</v>
      </c>
      <c r="L747" t="n">
        <v>0</v>
      </c>
      <c r="M747" t="n">
        <v>0</v>
      </c>
      <c r="N747" t="n">
        <v>0</v>
      </c>
      <c r="O747" t="n">
        <v>0</v>
      </c>
      <c r="P747" t="n">
        <v>0</v>
      </c>
      <c r="Q747" t="n">
        <v>0</v>
      </c>
      <c r="R747" s="2" t="inlineStr"/>
    </row>
    <row r="748" ht="15" customHeight="1">
      <c r="A748" t="inlineStr">
        <is>
          <t>A 15763-2022</t>
        </is>
      </c>
      <c r="B748" s="1" t="n">
        <v>44663</v>
      </c>
      <c r="C748" s="1" t="n">
        <v>45787</v>
      </c>
      <c r="D748" t="inlineStr">
        <is>
          <t>JÄMTLANDS LÄN</t>
        </is>
      </c>
      <c r="E748" t="inlineStr">
        <is>
          <t>HÄRJEDALEN</t>
        </is>
      </c>
      <c r="G748" t="n">
        <v>4.4</v>
      </c>
      <c r="H748" t="n">
        <v>0</v>
      </c>
      <c r="I748" t="n">
        <v>0</v>
      </c>
      <c r="J748" t="n">
        <v>0</v>
      </c>
      <c r="K748" t="n">
        <v>0</v>
      </c>
      <c r="L748" t="n">
        <v>0</v>
      </c>
      <c r="M748" t="n">
        <v>0</v>
      </c>
      <c r="N748" t="n">
        <v>0</v>
      </c>
      <c r="O748" t="n">
        <v>0</v>
      </c>
      <c r="P748" t="n">
        <v>0</v>
      </c>
      <c r="Q748" t="n">
        <v>0</v>
      </c>
      <c r="R748" s="2" t="inlineStr"/>
    </row>
    <row r="749" ht="15" customHeight="1">
      <c r="A749" t="inlineStr">
        <is>
          <t>A 16014-2022</t>
        </is>
      </c>
      <c r="B749" s="1" t="n">
        <v>44665</v>
      </c>
      <c r="C749" s="1" t="n">
        <v>45787</v>
      </c>
      <c r="D749" t="inlineStr">
        <is>
          <t>JÄMTLANDS LÄN</t>
        </is>
      </c>
      <c r="E749" t="inlineStr">
        <is>
          <t>HÄRJEDALEN</t>
        </is>
      </c>
      <c r="G749" t="n">
        <v>38.7</v>
      </c>
      <c r="H749" t="n">
        <v>0</v>
      </c>
      <c r="I749" t="n">
        <v>0</v>
      </c>
      <c r="J749" t="n">
        <v>0</v>
      </c>
      <c r="K749" t="n">
        <v>0</v>
      </c>
      <c r="L749" t="n">
        <v>0</v>
      </c>
      <c r="M749" t="n">
        <v>0</v>
      </c>
      <c r="N749" t="n">
        <v>0</v>
      </c>
      <c r="O749" t="n">
        <v>0</v>
      </c>
      <c r="P749" t="n">
        <v>0</v>
      </c>
      <c r="Q749" t="n">
        <v>0</v>
      </c>
      <c r="R749" s="2" t="inlineStr"/>
    </row>
    <row r="750" ht="15" customHeight="1">
      <c r="A750" t="inlineStr">
        <is>
          <t>A 17805-2022</t>
        </is>
      </c>
      <c r="B750" s="1" t="n">
        <v>44683</v>
      </c>
      <c r="C750" s="1" t="n">
        <v>45787</v>
      </c>
      <c r="D750" t="inlineStr">
        <is>
          <t>JÄMTLANDS LÄN</t>
        </is>
      </c>
      <c r="E750" t="inlineStr">
        <is>
          <t>HÄRJEDALEN</t>
        </is>
      </c>
      <c r="G750" t="n">
        <v>15.7</v>
      </c>
      <c r="H750" t="n">
        <v>0</v>
      </c>
      <c r="I750" t="n">
        <v>0</v>
      </c>
      <c r="J750" t="n">
        <v>0</v>
      </c>
      <c r="K750" t="n">
        <v>0</v>
      </c>
      <c r="L750" t="n">
        <v>0</v>
      </c>
      <c r="M750" t="n">
        <v>0</v>
      </c>
      <c r="N750" t="n">
        <v>0</v>
      </c>
      <c r="O750" t="n">
        <v>0</v>
      </c>
      <c r="P750" t="n">
        <v>0</v>
      </c>
      <c r="Q750" t="n">
        <v>0</v>
      </c>
      <c r="R750" s="2" t="inlineStr"/>
    </row>
    <row r="751" ht="15" customHeight="1">
      <c r="A751" t="inlineStr">
        <is>
          <t>A 17797-2022</t>
        </is>
      </c>
      <c r="B751" s="1" t="n">
        <v>44683</v>
      </c>
      <c r="C751" s="1" t="n">
        <v>45787</v>
      </c>
      <c r="D751" t="inlineStr">
        <is>
          <t>JÄMTLANDS LÄN</t>
        </is>
      </c>
      <c r="E751" t="inlineStr">
        <is>
          <t>HÄRJEDALEN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17935-2022</t>
        </is>
      </c>
      <c r="B752" s="1" t="n">
        <v>44683</v>
      </c>
      <c r="C752" s="1" t="n">
        <v>45787</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18169-2022</t>
        </is>
      </c>
      <c r="B753" s="1" t="n">
        <v>44684</v>
      </c>
      <c r="C753" s="1" t="n">
        <v>45787</v>
      </c>
      <c r="D753" t="inlineStr">
        <is>
          <t>JÄMTLANDS LÄN</t>
        </is>
      </c>
      <c r="E753" t="inlineStr">
        <is>
          <t>HÄRJEDALEN</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18778-2022</t>
        </is>
      </c>
      <c r="B754" s="1" t="n">
        <v>44689</v>
      </c>
      <c r="C754" s="1" t="n">
        <v>45787</v>
      </c>
      <c r="D754" t="inlineStr">
        <is>
          <t>JÄMTLANDS LÄN</t>
        </is>
      </c>
      <c r="E754" t="inlineStr">
        <is>
          <t>HÄRJEDALEN</t>
        </is>
      </c>
      <c r="G754" t="n">
        <v>4.1</v>
      </c>
      <c r="H754" t="n">
        <v>0</v>
      </c>
      <c r="I754" t="n">
        <v>0</v>
      </c>
      <c r="J754" t="n">
        <v>0</v>
      </c>
      <c r="K754" t="n">
        <v>0</v>
      </c>
      <c r="L754" t="n">
        <v>0</v>
      </c>
      <c r="M754" t="n">
        <v>0</v>
      </c>
      <c r="N754" t="n">
        <v>0</v>
      </c>
      <c r="O754" t="n">
        <v>0</v>
      </c>
      <c r="P754" t="n">
        <v>0</v>
      </c>
      <c r="Q754" t="n">
        <v>0</v>
      </c>
      <c r="R754" s="2" t="inlineStr"/>
    </row>
    <row r="755" ht="15" customHeight="1">
      <c r="A755" t="inlineStr">
        <is>
          <t>A 18808-2022</t>
        </is>
      </c>
      <c r="B755" s="1" t="n">
        <v>44690</v>
      </c>
      <c r="C755" s="1" t="n">
        <v>45787</v>
      </c>
      <c r="D755" t="inlineStr">
        <is>
          <t>JÄMTLANDS LÄN</t>
        </is>
      </c>
      <c r="E755" t="inlineStr">
        <is>
          <t>HÄRJEDALEN</t>
        </is>
      </c>
      <c r="G755" t="n">
        <v>0.5</v>
      </c>
      <c r="H755" t="n">
        <v>0</v>
      </c>
      <c r="I755" t="n">
        <v>0</v>
      </c>
      <c r="J755" t="n">
        <v>0</v>
      </c>
      <c r="K755" t="n">
        <v>0</v>
      </c>
      <c r="L755" t="n">
        <v>0</v>
      </c>
      <c r="M755" t="n">
        <v>0</v>
      </c>
      <c r="N755" t="n">
        <v>0</v>
      </c>
      <c r="O755" t="n">
        <v>0</v>
      </c>
      <c r="P755" t="n">
        <v>0</v>
      </c>
      <c r="Q755" t="n">
        <v>0</v>
      </c>
      <c r="R755" s="2" t="inlineStr"/>
    </row>
    <row r="756" ht="15" customHeight="1">
      <c r="A756" t="inlineStr">
        <is>
          <t>A 20059-2022</t>
        </is>
      </c>
      <c r="B756" s="1" t="n">
        <v>44698</v>
      </c>
      <c r="C756" s="1" t="n">
        <v>45787</v>
      </c>
      <c r="D756" t="inlineStr">
        <is>
          <t>JÄMTLANDS LÄN</t>
        </is>
      </c>
      <c r="E756" t="inlineStr">
        <is>
          <t>HÄRJEDALEN</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20206-2022</t>
        </is>
      </c>
      <c r="B757" s="1" t="n">
        <v>44698</v>
      </c>
      <c r="C757" s="1" t="n">
        <v>45787</v>
      </c>
      <c r="D757" t="inlineStr">
        <is>
          <t>JÄMTLANDS LÄN</t>
        </is>
      </c>
      <c r="E757" t="inlineStr">
        <is>
          <t>HÄRJEDALEN</t>
        </is>
      </c>
      <c r="F757" t="inlineStr">
        <is>
          <t>Bergvik skog väst AB</t>
        </is>
      </c>
      <c r="G757" t="n">
        <v>5.8</v>
      </c>
      <c r="H757" t="n">
        <v>0</v>
      </c>
      <c r="I757" t="n">
        <v>0</v>
      </c>
      <c r="J757" t="n">
        <v>0</v>
      </c>
      <c r="K757" t="n">
        <v>0</v>
      </c>
      <c r="L757" t="n">
        <v>0</v>
      </c>
      <c r="M757" t="n">
        <v>0</v>
      </c>
      <c r="N757" t="n">
        <v>0</v>
      </c>
      <c r="O757" t="n">
        <v>0</v>
      </c>
      <c r="P757" t="n">
        <v>0</v>
      </c>
      <c r="Q757" t="n">
        <v>0</v>
      </c>
      <c r="R757" s="2" t="inlineStr"/>
    </row>
    <row r="758" ht="15" customHeight="1">
      <c r="A758" t="inlineStr">
        <is>
          <t>A 21610-2022</t>
        </is>
      </c>
      <c r="B758" s="1" t="n">
        <v>44706</v>
      </c>
      <c r="C758" s="1" t="n">
        <v>45787</v>
      </c>
      <c r="D758" t="inlineStr">
        <is>
          <t>JÄMTLANDS LÄN</t>
        </is>
      </c>
      <c r="E758" t="inlineStr">
        <is>
          <t>HÄRJEDALEN</t>
        </is>
      </c>
      <c r="F758" t="inlineStr">
        <is>
          <t>Holmen skog AB</t>
        </is>
      </c>
      <c r="G758" t="n">
        <v>15.3</v>
      </c>
      <c r="H758" t="n">
        <v>0</v>
      </c>
      <c r="I758" t="n">
        <v>0</v>
      </c>
      <c r="J758" t="n">
        <v>0</v>
      </c>
      <c r="K758" t="n">
        <v>0</v>
      </c>
      <c r="L758" t="n">
        <v>0</v>
      </c>
      <c r="M758" t="n">
        <v>0</v>
      </c>
      <c r="N758" t="n">
        <v>0</v>
      </c>
      <c r="O758" t="n">
        <v>0</v>
      </c>
      <c r="P758" t="n">
        <v>0</v>
      </c>
      <c r="Q758" t="n">
        <v>0</v>
      </c>
      <c r="R758" s="2" t="inlineStr"/>
    </row>
    <row r="759" ht="15" customHeight="1">
      <c r="A759" t="inlineStr">
        <is>
          <t>A 21767-2022</t>
        </is>
      </c>
      <c r="B759" s="1" t="n">
        <v>44708</v>
      </c>
      <c r="C759" s="1" t="n">
        <v>45787</v>
      </c>
      <c r="D759" t="inlineStr">
        <is>
          <t>JÄMTLANDS LÄN</t>
        </is>
      </c>
      <c r="E759" t="inlineStr">
        <is>
          <t>HÄRJEDALEN</t>
        </is>
      </c>
      <c r="F759" t="inlineStr">
        <is>
          <t>Holmen skog AB</t>
        </is>
      </c>
      <c r="G759" t="n">
        <v>8.1</v>
      </c>
      <c r="H759" t="n">
        <v>0</v>
      </c>
      <c r="I759" t="n">
        <v>0</v>
      </c>
      <c r="J759" t="n">
        <v>0</v>
      </c>
      <c r="K759" t="n">
        <v>0</v>
      </c>
      <c r="L759" t="n">
        <v>0</v>
      </c>
      <c r="M759" t="n">
        <v>0</v>
      </c>
      <c r="N759" t="n">
        <v>0</v>
      </c>
      <c r="O759" t="n">
        <v>0</v>
      </c>
      <c r="P759" t="n">
        <v>0</v>
      </c>
      <c r="Q759" t="n">
        <v>0</v>
      </c>
      <c r="R759" s="2" t="inlineStr"/>
    </row>
    <row r="760" ht="15" customHeight="1">
      <c r="A760" t="inlineStr">
        <is>
          <t>A 21774-2022</t>
        </is>
      </c>
      <c r="B760" s="1" t="n">
        <v>44708</v>
      </c>
      <c r="C760" s="1" t="n">
        <v>45787</v>
      </c>
      <c r="D760" t="inlineStr">
        <is>
          <t>JÄMTLANDS LÄN</t>
        </is>
      </c>
      <c r="E760" t="inlineStr">
        <is>
          <t>HÄRJEDALEN</t>
        </is>
      </c>
      <c r="F760" t="inlineStr">
        <is>
          <t>Holmen skog AB</t>
        </is>
      </c>
      <c r="G760" t="n">
        <v>17.3</v>
      </c>
      <c r="H760" t="n">
        <v>0</v>
      </c>
      <c r="I760" t="n">
        <v>0</v>
      </c>
      <c r="J760" t="n">
        <v>0</v>
      </c>
      <c r="K760" t="n">
        <v>0</v>
      </c>
      <c r="L760" t="n">
        <v>0</v>
      </c>
      <c r="M760" t="n">
        <v>0</v>
      </c>
      <c r="N760" t="n">
        <v>0</v>
      </c>
      <c r="O760" t="n">
        <v>0</v>
      </c>
      <c r="P760" t="n">
        <v>0</v>
      </c>
      <c r="Q760" t="n">
        <v>0</v>
      </c>
      <c r="R760" s="2" t="inlineStr"/>
    </row>
    <row r="761" ht="15" customHeight="1">
      <c r="A761" t="inlineStr">
        <is>
          <t>A 21778-2022</t>
        </is>
      </c>
      <c r="B761" s="1" t="n">
        <v>44708</v>
      </c>
      <c r="C761" s="1" t="n">
        <v>45787</v>
      </c>
      <c r="D761" t="inlineStr">
        <is>
          <t>JÄMTLANDS LÄN</t>
        </is>
      </c>
      <c r="E761" t="inlineStr">
        <is>
          <t>HÄRJEDALEN</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21770-2022</t>
        </is>
      </c>
      <c r="B762" s="1" t="n">
        <v>44708</v>
      </c>
      <c r="C762" s="1" t="n">
        <v>45787</v>
      </c>
      <c r="D762" t="inlineStr">
        <is>
          <t>JÄMTLANDS LÄN</t>
        </is>
      </c>
      <c r="E762" t="inlineStr">
        <is>
          <t>HÄRJEDALEN</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21781-2022</t>
        </is>
      </c>
      <c r="B763" s="1" t="n">
        <v>44708</v>
      </c>
      <c r="C763" s="1" t="n">
        <v>45787</v>
      </c>
      <c r="D763" t="inlineStr">
        <is>
          <t>JÄMTLANDS LÄN</t>
        </is>
      </c>
      <c r="E763" t="inlineStr">
        <is>
          <t>HÄRJEDALEN</t>
        </is>
      </c>
      <c r="F763" t="inlineStr">
        <is>
          <t>Holmen skog AB</t>
        </is>
      </c>
      <c r="G763" t="n">
        <v>16.3</v>
      </c>
      <c r="H763" t="n">
        <v>0</v>
      </c>
      <c r="I763" t="n">
        <v>0</v>
      </c>
      <c r="J763" t="n">
        <v>0</v>
      </c>
      <c r="K763" t="n">
        <v>0</v>
      </c>
      <c r="L763" t="n">
        <v>0</v>
      </c>
      <c r="M763" t="n">
        <v>0</v>
      </c>
      <c r="N763" t="n">
        <v>0</v>
      </c>
      <c r="O763" t="n">
        <v>0</v>
      </c>
      <c r="P763" t="n">
        <v>0</v>
      </c>
      <c r="Q763" t="n">
        <v>0</v>
      </c>
      <c r="R763" s="2" t="inlineStr"/>
    </row>
    <row r="764" ht="15" customHeight="1">
      <c r="A764" t="inlineStr">
        <is>
          <t>A 21796-2022</t>
        </is>
      </c>
      <c r="B764" s="1" t="n">
        <v>44708</v>
      </c>
      <c r="C764" s="1" t="n">
        <v>45787</v>
      </c>
      <c r="D764" t="inlineStr">
        <is>
          <t>JÄMTLANDS LÄN</t>
        </is>
      </c>
      <c r="E764" t="inlineStr">
        <is>
          <t>HÄRJEDALEN</t>
        </is>
      </c>
      <c r="F764" t="inlineStr">
        <is>
          <t>Holmen skog AB</t>
        </is>
      </c>
      <c r="G764" t="n">
        <v>22.3</v>
      </c>
      <c r="H764" t="n">
        <v>0</v>
      </c>
      <c r="I764" t="n">
        <v>0</v>
      </c>
      <c r="J764" t="n">
        <v>0</v>
      </c>
      <c r="K764" t="n">
        <v>0</v>
      </c>
      <c r="L764" t="n">
        <v>0</v>
      </c>
      <c r="M764" t="n">
        <v>0</v>
      </c>
      <c r="N764" t="n">
        <v>0</v>
      </c>
      <c r="O764" t="n">
        <v>0</v>
      </c>
      <c r="P764" t="n">
        <v>0</v>
      </c>
      <c r="Q764" t="n">
        <v>0</v>
      </c>
      <c r="R764" s="2" t="inlineStr"/>
    </row>
    <row r="765" ht="15" customHeight="1">
      <c r="A765" t="inlineStr">
        <is>
          <t>A 22166-2022</t>
        </is>
      </c>
      <c r="B765" s="1" t="n">
        <v>44712</v>
      </c>
      <c r="C765" s="1" t="n">
        <v>45787</v>
      </c>
      <c r="D765" t="inlineStr">
        <is>
          <t>JÄMTLANDS LÄN</t>
        </is>
      </c>
      <c r="E765" t="inlineStr">
        <is>
          <t>HÄRJEDALEN</t>
        </is>
      </c>
      <c r="F765" t="inlineStr">
        <is>
          <t>Holmen skog AB</t>
        </is>
      </c>
      <c r="G765" t="n">
        <v>5.6</v>
      </c>
      <c r="H765" t="n">
        <v>0</v>
      </c>
      <c r="I765" t="n">
        <v>0</v>
      </c>
      <c r="J765" t="n">
        <v>0</v>
      </c>
      <c r="K765" t="n">
        <v>0</v>
      </c>
      <c r="L765" t="n">
        <v>0</v>
      </c>
      <c r="M765" t="n">
        <v>0</v>
      </c>
      <c r="N765" t="n">
        <v>0</v>
      </c>
      <c r="O765" t="n">
        <v>0</v>
      </c>
      <c r="P765" t="n">
        <v>0</v>
      </c>
      <c r="Q765" t="n">
        <v>0</v>
      </c>
      <c r="R765" s="2" t="inlineStr"/>
    </row>
    <row r="766" ht="15" customHeight="1">
      <c r="A766" t="inlineStr">
        <is>
          <t>A 23074-2022</t>
        </is>
      </c>
      <c r="B766" s="1" t="n">
        <v>44719</v>
      </c>
      <c r="C766" s="1" t="n">
        <v>45787</v>
      </c>
      <c r="D766" t="inlineStr">
        <is>
          <t>JÄMTLANDS LÄN</t>
        </is>
      </c>
      <c r="E766" t="inlineStr">
        <is>
          <t>HÄRJEDALEN</t>
        </is>
      </c>
      <c r="F766" t="inlineStr">
        <is>
          <t>Bergvik skog väst AB</t>
        </is>
      </c>
      <c r="G766" t="n">
        <v>23.2</v>
      </c>
      <c r="H766" t="n">
        <v>0</v>
      </c>
      <c r="I766" t="n">
        <v>0</v>
      </c>
      <c r="J766" t="n">
        <v>0</v>
      </c>
      <c r="K766" t="n">
        <v>0</v>
      </c>
      <c r="L766" t="n">
        <v>0</v>
      </c>
      <c r="M766" t="n">
        <v>0</v>
      </c>
      <c r="N766" t="n">
        <v>0</v>
      </c>
      <c r="O766" t="n">
        <v>0</v>
      </c>
      <c r="P766" t="n">
        <v>0</v>
      </c>
      <c r="Q766" t="n">
        <v>0</v>
      </c>
      <c r="R766" s="2" t="inlineStr"/>
    </row>
    <row r="767" ht="15" customHeight="1">
      <c r="A767" t="inlineStr">
        <is>
          <t>A 23140-2022</t>
        </is>
      </c>
      <c r="B767" s="1" t="n">
        <v>44719</v>
      </c>
      <c r="C767" s="1" t="n">
        <v>45787</v>
      </c>
      <c r="D767" t="inlineStr">
        <is>
          <t>JÄMTLANDS LÄN</t>
        </is>
      </c>
      <c r="E767" t="inlineStr">
        <is>
          <t>HÄRJEDALEN</t>
        </is>
      </c>
      <c r="F767" t="inlineStr">
        <is>
          <t>Bergvik skog väst AB</t>
        </is>
      </c>
      <c r="G767" t="n">
        <v>3.3</v>
      </c>
      <c r="H767" t="n">
        <v>0</v>
      </c>
      <c r="I767" t="n">
        <v>0</v>
      </c>
      <c r="J767" t="n">
        <v>0</v>
      </c>
      <c r="K767" t="n">
        <v>0</v>
      </c>
      <c r="L767" t="n">
        <v>0</v>
      </c>
      <c r="M767" t="n">
        <v>0</v>
      </c>
      <c r="N767" t="n">
        <v>0</v>
      </c>
      <c r="O767" t="n">
        <v>0</v>
      </c>
      <c r="P767" t="n">
        <v>0</v>
      </c>
      <c r="Q767" t="n">
        <v>0</v>
      </c>
      <c r="R767" s="2" t="inlineStr"/>
    </row>
    <row r="768" ht="15" customHeight="1">
      <c r="A768" t="inlineStr">
        <is>
          <t>A 23731-2022</t>
        </is>
      </c>
      <c r="B768" s="1" t="n">
        <v>44722</v>
      </c>
      <c r="C768" s="1" t="n">
        <v>45787</v>
      </c>
      <c r="D768" t="inlineStr">
        <is>
          <t>JÄMTLANDS LÄN</t>
        </is>
      </c>
      <c r="E768" t="inlineStr">
        <is>
          <t>HÄRJEDALEN</t>
        </is>
      </c>
      <c r="G768" t="n">
        <v>15.6</v>
      </c>
      <c r="H768" t="n">
        <v>0</v>
      </c>
      <c r="I768" t="n">
        <v>0</v>
      </c>
      <c r="J768" t="n">
        <v>0</v>
      </c>
      <c r="K768" t="n">
        <v>0</v>
      </c>
      <c r="L768" t="n">
        <v>0</v>
      </c>
      <c r="M768" t="n">
        <v>0</v>
      </c>
      <c r="N768" t="n">
        <v>0</v>
      </c>
      <c r="O768" t="n">
        <v>0</v>
      </c>
      <c r="P768" t="n">
        <v>0</v>
      </c>
      <c r="Q768" t="n">
        <v>0</v>
      </c>
      <c r="R768" s="2" t="inlineStr"/>
    </row>
    <row r="769" ht="15" customHeight="1">
      <c r="A769" t="inlineStr">
        <is>
          <t>A 24214-2022</t>
        </is>
      </c>
      <c r="B769" s="1" t="n">
        <v>44725</v>
      </c>
      <c r="C769" s="1" t="n">
        <v>45787</v>
      </c>
      <c r="D769" t="inlineStr">
        <is>
          <t>JÄMTLANDS LÄN</t>
        </is>
      </c>
      <c r="E769" t="inlineStr">
        <is>
          <t>HÄRJEDALEN</t>
        </is>
      </c>
      <c r="F769" t="inlineStr">
        <is>
          <t>Holmen skog AB</t>
        </is>
      </c>
      <c r="G769" t="n">
        <v>7.8</v>
      </c>
      <c r="H769" t="n">
        <v>0</v>
      </c>
      <c r="I769" t="n">
        <v>0</v>
      </c>
      <c r="J769" t="n">
        <v>0</v>
      </c>
      <c r="K769" t="n">
        <v>0</v>
      </c>
      <c r="L769" t="n">
        <v>0</v>
      </c>
      <c r="M769" t="n">
        <v>0</v>
      </c>
      <c r="N769" t="n">
        <v>0</v>
      </c>
      <c r="O769" t="n">
        <v>0</v>
      </c>
      <c r="P769" t="n">
        <v>0</v>
      </c>
      <c r="Q769" t="n">
        <v>0</v>
      </c>
      <c r="R769" s="2" t="inlineStr"/>
    </row>
    <row r="770" ht="15" customHeight="1">
      <c r="A770" t="inlineStr">
        <is>
          <t>A 24426-2022</t>
        </is>
      </c>
      <c r="B770" s="1" t="n">
        <v>44726</v>
      </c>
      <c r="C770" s="1" t="n">
        <v>45787</v>
      </c>
      <c r="D770" t="inlineStr">
        <is>
          <t>JÄMTLANDS LÄN</t>
        </is>
      </c>
      <c r="E770" t="inlineStr">
        <is>
          <t>HÄRJEDALEN</t>
        </is>
      </c>
      <c r="G770" t="n">
        <v>1.5</v>
      </c>
      <c r="H770" t="n">
        <v>0</v>
      </c>
      <c r="I770" t="n">
        <v>0</v>
      </c>
      <c r="J770" t="n">
        <v>0</v>
      </c>
      <c r="K770" t="n">
        <v>0</v>
      </c>
      <c r="L770" t="n">
        <v>0</v>
      </c>
      <c r="M770" t="n">
        <v>0</v>
      </c>
      <c r="N770" t="n">
        <v>0</v>
      </c>
      <c r="O770" t="n">
        <v>0</v>
      </c>
      <c r="P770" t="n">
        <v>0</v>
      </c>
      <c r="Q770" t="n">
        <v>0</v>
      </c>
      <c r="R770" s="2" t="inlineStr"/>
    </row>
    <row r="771" ht="15" customHeight="1">
      <c r="A771" t="inlineStr">
        <is>
          <t>A 24530-2022</t>
        </is>
      </c>
      <c r="B771" s="1" t="n">
        <v>44726</v>
      </c>
      <c r="C771" s="1" t="n">
        <v>45787</v>
      </c>
      <c r="D771" t="inlineStr">
        <is>
          <t>JÄMTLANDS LÄN</t>
        </is>
      </c>
      <c r="E771" t="inlineStr">
        <is>
          <t>HÄRJEDALEN</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24571-2022</t>
        </is>
      </c>
      <c r="B772" s="1" t="n">
        <v>44727</v>
      </c>
      <c r="C772" s="1" t="n">
        <v>45787</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24690-2022</t>
        </is>
      </c>
      <c r="B773" s="1" t="n">
        <v>44727</v>
      </c>
      <c r="C773" s="1" t="n">
        <v>45787</v>
      </c>
      <c r="D773" t="inlineStr">
        <is>
          <t>JÄMTLANDS LÄN</t>
        </is>
      </c>
      <c r="E773" t="inlineStr">
        <is>
          <t>HÄRJEDALEN</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24693-2022</t>
        </is>
      </c>
      <c r="B774" s="1" t="n">
        <v>44727</v>
      </c>
      <c r="C774" s="1" t="n">
        <v>45787</v>
      </c>
      <c r="D774" t="inlineStr">
        <is>
          <t>JÄMTLANDS LÄN</t>
        </is>
      </c>
      <c r="E774" t="inlineStr">
        <is>
          <t>HÄRJEDALEN</t>
        </is>
      </c>
      <c r="F774" t="inlineStr">
        <is>
          <t>Kyrkan</t>
        </is>
      </c>
      <c r="G774" t="n">
        <v>0.9</v>
      </c>
      <c r="H774" t="n">
        <v>0</v>
      </c>
      <c r="I774" t="n">
        <v>0</v>
      </c>
      <c r="J774" t="n">
        <v>0</v>
      </c>
      <c r="K774" t="n">
        <v>0</v>
      </c>
      <c r="L774" t="n">
        <v>0</v>
      </c>
      <c r="M774" t="n">
        <v>0</v>
      </c>
      <c r="N774" t="n">
        <v>0</v>
      </c>
      <c r="O774" t="n">
        <v>0</v>
      </c>
      <c r="P774" t="n">
        <v>0</v>
      </c>
      <c r="Q774" t="n">
        <v>0</v>
      </c>
      <c r="R774" s="2" t="inlineStr"/>
    </row>
    <row r="775" ht="15" customHeight="1">
      <c r="A775" t="inlineStr">
        <is>
          <t>A 24824-2022</t>
        </is>
      </c>
      <c r="B775" s="1" t="n">
        <v>44728</v>
      </c>
      <c r="C775" s="1" t="n">
        <v>45787</v>
      </c>
      <c r="D775" t="inlineStr">
        <is>
          <t>JÄMTLANDS LÄN</t>
        </is>
      </c>
      <c r="E775" t="inlineStr">
        <is>
          <t>HÄRJEDALEN</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24834-2022</t>
        </is>
      </c>
      <c r="B776" s="1" t="n">
        <v>44728</v>
      </c>
      <c r="C776" s="1" t="n">
        <v>45787</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24792-2022</t>
        </is>
      </c>
      <c r="B777" s="1" t="n">
        <v>44728</v>
      </c>
      <c r="C777" s="1" t="n">
        <v>45787</v>
      </c>
      <c r="D777" t="inlineStr">
        <is>
          <t>JÄMTLANDS LÄN</t>
        </is>
      </c>
      <c r="E777" t="inlineStr">
        <is>
          <t>HÄRJEDALEN</t>
        </is>
      </c>
      <c r="G777" t="n">
        <v>0.2</v>
      </c>
      <c r="H777" t="n">
        <v>0</v>
      </c>
      <c r="I777" t="n">
        <v>0</v>
      </c>
      <c r="J777" t="n">
        <v>0</v>
      </c>
      <c r="K777" t="n">
        <v>0</v>
      </c>
      <c r="L777" t="n">
        <v>0</v>
      </c>
      <c r="M777" t="n">
        <v>0</v>
      </c>
      <c r="N777" t="n">
        <v>0</v>
      </c>
      <c r="O777" t="n">
        <v>0</v>
      </c>
      <c r="P777" t="n">
        <v>0</v>
      </c>
      <c r="Q777" t="n">
        <v>0</v>
      </c>
      <c r="R777" s="2" t="inlineStr"/>
    </row>
    <row r="778" ht="15" customHeight="1">
      <c r="A778" t="inlineStr">
        <is>
          <t>A 25500-2022</t>
        </is>
      </c>
      <c r="B778" s="1" t="n">
        <v>44732</v>
      </c>
      <c r="C778" s="1" t="n">
        <v>45787</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25583-2022</t>
        </is>
      </c>
      <c r="B779" s="1" t="n">
        <v>44732</v>
      </c>
      <c r="C779" s="1" t="n">
        <v>45787</v>
      </c>
      <c r="D779" t="inlineStr">
        <is>
          <t>JÄMTLANDS LÄN</t>
        </is>
      </c>
      <c r="E779" t="inlineStr">
        <is>
          <t>HÄRJEDALEN</t>
        </is>
      </c>
      <c r="F779" t="inlineStr">
        <is>
          <t>Bergvik skog väst AB</t>
        </is>
      </c>
      <c r="G779" t="n">
        <v>7.5</v>
      </c>
      <c r="H779" t="n">
        <v>0</v>
      </c>
      <c r="I779" t="n">
        <v>0</v>
      </c>
      <c r="J779" t="n">
        <v>0</v>
      </c>
      <c r="K779" t="n">
        <v>0</v>
      </c>
      <c r="L779" t="n">
        <v>0</v>
      </c>
      <c r="M779" t="n">
        <v>0</v>
      </c>
      <c r="N779" t="n">
        <v>0</v>
      </c>
      <c r="O779" t="n">
        <v>0</v>
      </c>
      <c r="P779" t="n">
        <v>0</v>
      </c>
      <c r="Q779" t="n">
        <v>0</v>
      </c>
      <c r="R779" s="2" t="inlineStr"/>
    </row>
    <row r="780" ht="15" customHeight="1">
      <c r="A780" t="inlineStr">
        <is>
          <t>A 25780-2022</t>
        </is>
      </c>
      <c r="B780" s="1" t="n">
        <v>44733</v>
      </c>
      <c r="C780" s="1" t="n">
        <v>45787</v>
      </c>
      <c r="D780" t="inlineStr">
        <is>
          <t>JÄMTLANDS LÄN</t>
        </is>
      </c>
      <c r="E780" t="inlineStr">
        <is>
          <t>HÄRJEDALEN</t>
        </is>
      </c>
      <c r="F780" t="inlineStr">
        <is>
          <t>Kyrkan</t>
        </is>
      </c>
      <c r="G780" t="n">
        <v>7.7</v>
      </c>
      <c r="H780" t="n">
        <v>0</v>
      </c>
      <c r="I780" t="n">
        <v>0</v>
      </c>
      <c r="J780" t="n">
        <v>0</v>
      </c>
      <c r="K780" t="n">
        <v>0</v>
      </c>
      <c r="L780" t="n">
        <v>0</v>
      </c>
      <c r="M780" t="n">
        <v>0</v>
      </c>
      <c r="N780" t="n">
        <v>0</v>
      </c>
      <c r="O780" t="n">
        <v>0</v>
      </c>
      <c r="P780" t="n">
        <v>0</v>
      </c>
      <c r="Q780" t="n">
        <v>0</v>
      </c>
      <c r="R780" s="2" t="inlineStr"/>
    </row>
    <row r="781" ht="15" customHeight="1">
      <c r="A781" t="inlineStr">
        <is>
          <t>A 25725-2022</t>
        </is>
      </c>
      <c r="B781" s="1" t="n">
        <v>44733</v>
      </c>
      <c r="C781" s="1" t="n">
        <v>45787</v>
      </c>
      <c r="D781" t="inlineStr">
        <is>
          <t>JÄMTLANDS LÄN</t>
        </is>
      </c>
      <c r="E781" t="inlineStr">
        <is>
          <t>HÄRJEDALEN</t>
        </is>
      </c>
      <c r="F781" t="inlineStr">
        <is>
          <t>Kyrkan</t>
        </is>
      </c>
      <c r="G781" t="n">
        <v>14</v>
      </c>
      <c r="H781" t="n">
        <v>0</v>
      </c>
      <c r="I781" t="n">
        <v>0</v>
      </c>
      <c r="J781" t="n">
        <v>0</v>
      </c>
      <c r="K781" t="n">
        <v>0</v>
      </c>
      <c r="L781" t="n">
        <v>0</v>
      </c>
      <c r="M781" t="n">
        <v>0</v>
      </c>
      <c r="N781" t="n">
        <v>0</v>
      </c>
      <c r="O781" t="n">
        <v>0</v>
      </c>
      <c r="P781" t="n">
        <v>0</v>
      </c>
      <c r="Q781" t="n">
        <v>0</v>
      </c>
      <c r="R781" s="2" t="inlineStr"/>
    </row>
    <row r="782" ht="15" customHeight="1">
      <c r="A782" t="inlineStr">
        <is>
          <t>A 25912-2022</t>
        </is>
      </c>
      <c r="B782" s="1" t="n">
        <v>44734</v>
      </c>
      <c r="C782" s="1" t="n">
        <v>45787</v>
      </c>
      <c r="D782" t="inlineStr">
        <is>
          <t>JÄMTLANDS LÄN</t>
        </is>
      </c>
      <c r="E782" t="inlineStr">
        <is>
          <t>HÄRJEDALEN</t>
        </is>
      </c>
      <c r="F782" t="inlineStr">
        <is>
          <t>Bergvik skog väst AB</t>
        </is>
      </c>
      <c r="G782" t="n">
        <v>13.7</v>
      </c>
      <c r="H782" t="n">
        <v>0</v>
      </c>
      <c r="I782" t="n">
        <v>0</v>
      </c>
      <c r="J782" t="n">
        <v>0</v>
      </c>
      <c r="K782" t="n">
        <v>0</v>
      </c>
      <c r="L782" t="n">
        <v>0</v>
      </c>
      <c r="M782" t="n">
        <v>0</v>
      </c>
      <c r="N782" t="n">
        <v>0</v>
      </c>
      <c r="O782" t="n">
        <v>0</v>
      </c>
      <c r="P782" t="n">
        <v>0</v>
      </c>
      <c r="Q782" t="n">
        <v>0</v>
      </c>
      <c r="R782" s="2" t="inlineStr"/>
    </row>
    <row r="783" ht="15" customHeight="1">
      <c r="A783" t="inlineStr">
        <is>
          <t>A 26613-2022</t>
        </is>
      </c>
      <c r="B783" s="1" t="n">
        <v>44739</v>
      </c>
      <c r="C783" s="1" t="n">
        <v>45787</v>
      </c>
      <c r="D783" t="inlineStr">
        <is>
          <t>JÄMTLANDS LÄN</t>
        </is>
      </c>
      <c r="E783" t="inlineStr">
        <is>
          <t>HÄRJEDALEN</t>
        </is>
      </c>
      <c r="F783" t="inlineStr">
        <is>
          <t>Bergvik skog väst AB</t>
        </is>
      </c>
      <c r="G783" t="n">
        <v>7.9</v>
      </c>
      <c r="H783" t="n">
        <v>0</v>
      </c>
      <c r="I783" t="n">
        <v>0</v>
      </c>
      <c r="J783" t="n">
        <v>0</v>
      </c>
      <c r="K783" t="n">
        <v>0</v>
      </c>
      <c r="L783" t="n">
        <v>0</v>
      </c>
      <c r="M783" t="n">
        <v>0</v>
      </c>
      <c r="N783" t="n">
        <v>0</v>
      </c>
      <c r="O783" t="n">
        <v>0</v>
      </c>
      <c r="P783" t="n">
        <v>0</v>
      </c>
      <c r="Q783" t="n">
        <v>0</v>
      </c>
      <c r="R783" s="2" t="inlineStr"/>
    </row>
    <row r="784" ht="15" customHeight="1">
      <c r="A784" t="inlineStr">
        <is>
          <t>A 26935-2022</t>
        </is>
      </c>
      <c r="B784" s="1" t="n">
        <v>44740</v>
      </c>
      <c r="C784" s="1" t="n">
        <v>45787</v>
      </c>
      <c r="D784" t="inlineStr">
        <is>
          <t>JÄMTLANDS LÄN</t>
        </is>
      </c>
      <c r="E784" t="inlineStr">
        <is>
          <t>HÄRJEDALEN</t>
        </is>
      </c>
      <c r="G784" t="n">
        <v>10.8</v>
      </c>
      <c r="H784" t="n">
        <v>0</v>
      </c>
      <c r="I784" t="n">
        <v>0</v>
      </c>
      <c r="J784" t="n">
        <v>0</v>
      </c>
      <c r="K784" t="n">
        <v>0</v>
      </c>
      <c r="L784" t="n">
        <v>0</v>
      </c>
      <c r="M784" t="n">
        <v>0</v>
      </c>
      <c r="N784" t="n">
        <v>0</v>
      </c>
      <c r="O784" t="n">
        <v>0</v>
      </c>
      <c r="P784" t="n">
        <v>0</v>
      </c>
      <c r="Q784" t="n">
        <v>0</v>
      </c>
      <c r="R784" s="2" t="inlineStr"/>
    </row>
    <row r="785" ht="15" customHeight="1">
      <c r="A785" t="inlineStr">
        <is>
          <t>A 27483-2022</t>
        </is>
      </c>
      <c r="B785" s="1" t="n">
        <v>44742</v>
      </c>
      <c r="C785" s="1" t="n">
        <v>45787</v>
      </c>
      <c r="D785" t="inlineStr">
        <is>
          <t>JÄMTLANDS LÄN</t>
        </is>
      </c>
      <c r="E785" t="inlineStr">
        <is>
          <t>HÄRJEDALEN</t>
        </is>
      </c>
      <c r="F785" t="inlineStr">
        <is>
          <t>Holmen skog AB</t>
        </is>
      </c>
      <c r="G785" t="n">
        <v>0</v>
      </c>
      <c r="H785" t="n">
        <v>0</v>
      </c>
      <c r="I785" t="n">
        <v>0</v>
      </c>
      <c r="J785" t="n">
        <v>0</v>
      </c>
      <c r="K785" t="n">
        <v>0</v>
      </c>
      <c r="L785" t="n">
        <v>0</v>
      </c>
      <c r="M785" t="n">
        <v>0</v>
      </c>
      <c r="N785" t="n">
        <v>0</v>
      </c>
      <c r="O785" t="n">
        <v>0</v>
      </c>
      <c r="P785" t="n">
        <v>0</v>
      </c>
      <c r="Q785" t="n">
        <v>0</v>
      </c>
      <c r="R785" s="2" t="inlineStr"/>
    </row>
    <row r="786" ht="15" customHeight="1">
      <c r="A786" t="inlineStr">
        <is>
          <t>A 29000-2022</t>
        </is>
      </c>
      <c r="B786" s="1" t="n">
        <v>44749</v>
      </c>
      <c r="C786" s="1" t="n">
        <v>45787</v>
      </c>
      <c r="D786" t="inlineStr">
        <is>
          <t>JÄMTLANDS LÄN</t>
        </is>
      </c>
      <c r="E786" t="inlineStr">
        <is>
          <t>HÄRJEDALEN</t>
        </is>
      </c>
      <c r="F786" t="inlineStr">
        <is>
          <t>Kyrkan</t>
        </is>
      </c>
      <c r="G786" t="n">
        <v>16.7</v>
      </c>
      <c r="H786" t="n">
        <v>0</v>
      </c>
      <c r="I786" t="n">
        <v>0</v>
      </c>
      <c r="J786" t="n">
        <v>0</v>
      </c>
      <c r="K786" t="n">
        <v>0</v>
      </c>
      <c r="L786" t="n">
        <v>0</v>
      </c>
      <c r="M786" t="n">
        <v>0</v>
      </c>
      <c r="N786" t="n">
        <v>0</v>
      </c>
      <c r="O786" t="n">
        <v>0</v>
      </c>
      <c r="P786" t="n">
        <v>0</v>
      </c>
      <c r="Q786" t="n">
        <v>0</v>
      </c>
      <c r="R786" s="2" t="inlineStr"/>
    </row>
    <row r="787" ht="15" customHeight="1">
      <c r="A787" t="inlineStr">
        <is>
          <t>A 29455-2022</t>
        </is>
      </c>
      <c r="B787" s="1" t="n">
        <v>44753</v>
      </c>
      <c r="C787" s="1" t="n">
        <v>45787</v>
      </c>
      <c r="D787" t="inlineStr">
        <is>
          <t>JÄMTLANDS LÄN</t>
        </is>
      </c>
      <c r="E787" t="inlineStr">
        <is>
          <t>HÄRJEDALEN</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30082-2022</t>
        </is>
      </c>
      <c r="B788" s="1" t="n">
        <v>44757</v>
      </c>
      <c r="C788" s="1" t="n">
        <v>45787</v>
      </c>
      <c r="D788" t="inlineStr">
        <is>
          <t>JÄMTLANDS LÄN</t>
        </is>
      </c>
      <c r="E788" t="inlineStr">
        <is>
          <t>HÄRJEDALEN</t>
        </is>
      </c>
      <c r="G788" t="n">
        <v>3</v>
      </c>
      <c r="H788" t="n">
        <v>0</v>
      </c>
      <c r="I788" t="n">
        <v>0</v>
      </c>
      <c r="J788" t="n">
        <v>0</v>
      </c>
      <c r="K788" t="n">
        <v>0</v>
      </c>
      <c r="L788" t="n">
        <v>0</v>
      </c>
      <c r="M788" t="n">
        <v>0</v>
      </c>
      <c r="N788" t="n">
        <v>0</v>
      </c>
      <c r="O788" t="n">
        <v>0</v>
      </c>
      <c r="P788" t="n">
        <v>0</v>
      </c>
      <c r="Q788" t="n">
        <v>0</v>
      </c>
      <c r="R788" s="2" t="inlineStr"/>
    </row>
    <row r="789" ht="15" customHeight="1">
      <c r="A789" t="inlineStr">
        <is>
          <t>A 30537-2022</t>
        </is>
      </c>
      <c r="B789" s="1" t="n">
        <v>44762</v>
      </c>
      <c r="C789" s="1" t="n">
        <v>45787</v>
      </c>
      <c r="D789" t="inlineStr">
        <is>
          <t>JÄMTLANDS LÄN</t>
        </is>
      </c>
      <c r="E789" t="inlineStr">
        <is>
          <t>HÄRJEDALEN</t>
        </is>
      </c>
      <c r="F789" t="inlineStr">
        <is>
          <t>Bergvik skog väst AB</t>
        </is>
      </c>
      <c r="G789" t="n">
        <v>18.5</v>
      </c>
      <c r="H789" t="n">
        <v>0</v>
      </c>
      <c r="I789" t="n">
        <v>0</v>
      </c>
      <c r="J789" t="n">
        <v>0</v>
      </c>
      <c r="K789" t="n">
        <v>0</v>
      </c>
      <c r="L789" t="n">
        <v>0</v>
      </c>
      <c r="M789" t="n">
        <v>0</v>
      </c>
      <c r="N789" t="n">
        <v>0</v>
      </c>
      <c r="O789" t="n">
        <v>0</v>
      </c>
      <c r="P789" t="n">
        <v>0</v>
      </c>
      <c r="Q789" t="n">
        <v>0</v>
      </c>
      <c r="R789" s="2" t="inlineStr"/>
    </row>
    <row r="790" ht="15" customHeight="1">
      <c r="A790" t="inlineStr">
        <is>
          <t>A 30643-2022</t>
        </is>
      </c>
      <c r="B790" s="1" t="n">
        <v>44763</v>
      </c>
      <c r="C790" s="1" t="n">
        <v>45787</v>
      </c>
      <c r="D790" t="inlineStr">
        <is>
          <t>JÄMTLANDS LÄN</t>
        </is>
      </c>
      <c r="E790" t="inlineStr">
        <is>
          <t>HÄRJEDALEN</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30962-2022</t>
        </is>
      </c>
      <c r="B791" s="1" t="n">
        <v>44768</v>
      </c>
      <c r="C791" s="1" t="n">
        <v>45787</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31167-2022</t>
        </is>
      </c>
      <c r="B792" s="1" t="n">
        <v>44770</v>
      </c>
      <c r="C792" s="1" t="n">
        <v>45787</v>
      </c>
      <c r="D792" t="inlineStr">
        <is>
          <t>JÄMTLANDS LÄN</t>
        </is>
      </c>
      <c r="E792" t="inlineStr">
        <is>
          <t>HÄRJEDALEN</t>
        </is>
      </c>
      <c r="G792" t="n">
        <v>1.9</v>
      </c>
      <c r="H792" t="n">
        <v>0</v>
      </c>
      <c r="I792" t="n">
        <v>0</v>
      </c>
      <c r="J792" t="n">
        <v>0</v>
      </c>
      <c r="K792" t="n">
        <v>0</v>
      </c>
      <c r="L792" t="n">
        <v>0</v>
      </c>
      <c r="M792" t="n">
        <v>0</v>
      </c>
      <c r="N792" t="n">
        <v>0</v>
      </c>
      <c r="O792" t="n">
        <v>0</v>
      </c>
      <c r="P792" t="n">
        <v>0</v>
      </c>
      <c r="Q792" t="n">
        <v>0</v>
      </c>
      <c r="R792" s="2" t="inlineStr"/>
    </row>
    <row r="793" ht="15" customHeight="1">
      <c r="A793" t="inlineStr">
        <is>
          <t>A 32910-2022</t>
        </is>
      </c>
      <c r="B793" s="1" t="n">
        <v>44784</v>
      </c>
      <c r="C793" s="1" t="n">
        <v>45787</v>
      </c>
      <c r="D793" t="inlineStr">
        <is>
          <t>JÄMTLANDS LÄN</t>
        </is>
      </c>
      <c r="E793" t="inlineStr">
        <is>
          <t>HÄRJEDALEN</t>
        </is>
      </c>
      <c r="F793" t="inlineStr">
        <is>
          <t>Bergvik skog väst AB</t>
        </is>
      </c>
      <c r="G793" t="n">
        <v>14.4</v>
      </c>
      <c r="H793" t="n">
        <v>0</v>
      </c>
      <c r="I793" t="n">
        <v>0</v>
      </c>
      <c r="J793" t="n">
        <v>0</v>
      </c>
      <c r="K793" t="n">
        <v>0</v>
      </c>
      <c r="L793" t="n">
        <v>0</v>
      </c>
      <c r="M793" t="n">
        <v>0</v>
      </c>
      <c r="N793" t="n">
        <v>0</v>
      </c>
      <c r="O793" t="n">
        <v>0</v>
      </c>
      <c r="P793" t="n">
        <v>0</v>
      </c>
      <c r="Q793" t="n">
        <v>0</v>
      </c>
      <c r="R793" s="2" t="inlineStr"/>
    </row>
    <row r="794" ht="15" customHeight="1">
      <c r="A794" t="inlineStr">
        <is>
          <t>A 32974-2022</t>
        </is>
      </c>
      <c r="B794" s="1" t="n">
        <v>44784</v>
      </c>
      <c r="C794" s="1" t="n">
        <v>45787</v>
      </c>
      <c r="D794" t="inlineStr">
        <is>
          <t>JÄMTLANDS LÄN</t>
        </is>
      </c>
      <c r="E794" t="inlineStr">
        <is>
          <t>HÄRJEDALEN</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33465-2022</t>
        </is>
      </c>
      <c r="B795" s="1" t="n">
        <v>44788</v>
      </c>
      <c r="C795" s="1" t="n">
        <v>45787</v>
      </c>
      <c r="D795" t="inlineStr">
        <is>
          <t>JÄMTLANDS LÄN</t>
        </is>
      </c>
      <c r="E795" t="inlineStr">
        <is>
          <t>HÄRJEDALEN</t>
        </is>
      </c>
      <c r="F795" t="inlineStr">
        <is>
          <t>Sveaskog</t>
        </is>
      </c>
      <c r="G795" t="n">
        <v>2.6</v>
      </c>
      <c r="H795" t="n">
        <v>0</v>
      </c>
      <c r="I795" t="n">
        <v>0</v>
      </c>
      <c r="J795" t="n">
        <v>0</v>
      </c>
      <c r="K795" t="n">
        <v>0</v>
      </c>
      <c r="L795" t="n">
        <v>0</v>
      </c>
      <c r="M795" t="n">
        <v>0</v>
      </c>
      <c r="N795" t="n">
        <v>0</v>
      </c>
      <c r="O795" t="n">
        <v>0</v>
      </c>
      <c r="P795" t="n">
        <v>0</v>
      </c>
      <c r="Q795" t="n">
        <v>0</v>
      </c>
      <c r="R795" s="2" t="inlineStr"/>
    </row>
    <row r="796" ht="15" customHeight="1">
      <c r="A796" t="inlineStr">
        <is>
          <t>A 33900-2022</t>
        </is>
      </c>
      <c r="B796" s="1" t="n">
        <v>44790</v>
      </c>
      <c r="C796" s="1" t="n">
        <v>45787</v>
      </c>
      <c r="D796" t="inlineStr">
        <is>
          <t>JÄMTLANDS LÄN</t>
        </is>
      </c>
      <c r="E796" t="inlineStr">
        <is>
          <t>HÄRJEDALEN</t>
        </is>
      </c>
      <c r="F796" t="inlineStr">
        <is>
          <t>Bergvik skog väst AB</t>
        </is>
      </c>
      <c r="G796" t="n">
        <v>15.2</v>
      </c>
      <c r="H796" t="n">
        <v>0</v>
      </c>
      <c r="I796" t="n">
        <v>0</v>
      </c>
      <c r="J796" t="n">
        <v>0</v>
      </c>
      <c r="K796" t="n">
        <v>0</v>
      </c>
      <c r="L796" t="n">
        <v>0</v>
      </c>
      <c r="M796" t="n">
        <v>0</v>
      </c>
      <c r="N796" t="n">
        <v>0</v>
      </c>
      <c r="O796" t="n">
        <v>0</v>
      </c>
      <c r="P796" t="n">
        <v>0</v>
      </c>
      <c r="Q796" t="n">
        <v>0</v>
      </c>
      <c r="R796" s="2" t="inlineStr"/>
    </row>
    <row r="797" ht="15" customHeight="1">
      <c r="A797" t="inlineStr">
        <is>
          <t>A 33889-2022</t>
        </is>
      </c>
      <c r="B797" s="1" t="n">
        <v>44790</v>
      </c>
      <c r="C797" s="1" t="n">
        <v>45787</v>
      </c>
      <c r="D797" t="inlineStr">
        <is>
          <t>JÄMTLANDS LÄN</t>
        </is>
      </c>
      <c r="E797" t="inlineStr">
        <is>
          <t>HÄRJEDALEN</t>
        </is>
      </c>
      <c r="F797" t="inlineStr">
        <is>
          <t>Bergvik skog väst AB</t>
        </is>
      </c>
      <c r="G797" t="n">
        <v>6.6</v>
      </c>
      <c r="H797" t="n">
        <v>0</v>
      </c>
      <c r="I797" t="n">
        <v>0</v>
      </c>
      <c r="J797" t="n">
        <v>0</v>
      </c>
      <c r="K797" t="n">
        <v>0</v>
      </c>
      <c r="L797" t="n">
        <v>0</v>
      </c>
      <c r="M797" t="n">
        <v>0</v>
      </c>
      <c r="N797" t="n">
        <v>0</v>
      </c>
      <c r="O797" t="n">
        <v>0</v>
      </c>
      <c r="P797" t="n">
        <v>0</v>
      </c>
      <c r="Q797" t="n">
        <v>0</v>
      </c>
      <c r="R797" s="2" t="inlineStr"/>
    </row>
    <row r="798" ht="15" customHeight="1">
      <c r="A798" t="inlineStr">
        <is>
          <t>A 34112-2022</t>
        </is>
      </c>
      <c r="B798" s="1" t="n">
        <v>44791</v>
      </c>
      <c r="C798" s="1" t="n">
        <v>45787</v>
      </c>
      <c r="D798" t="inlineStr">
        <is>
          <t>JÄMTLANDS LÄN</t>
        </is>
      </c>
      <c r="E798" t="inlineStr">
        <is>
          <t>HÄRJEDALEN</t>
        </is>
      </c>
      <c r="F798" t="inlineStr">
        <is>
          <t>Holmen skog AB</t>
        </is>
      </c>
      <c r="G798" t="n">
        <v>0.6</v>
      </c>
      <c r="H798" t="n">
        <v>0</v>
      </c>
      <c r="I798" t="n">
        <v>0</v>
      </c>
      <c r="J798" t="n">
        <v>0</v>
      </c>
      <c r="K798" t="n">
        <v>0</v>
      </c>
      <c r="L798" t="n">
        <v>0</v>
      </c>
      <c r="M798" t="n">
        <v>0</v>
      </c>
      <c r="N798" t="n">
        <v>0</v>
      </c>
      <c r="O798" t="n">
        <v>0</v>
      </c>
      <c r="P798" t="n">
        <v>0</v>
      </c>
      <c r="Q798" t="n">
        <v>0</v>
      </c>
      <c r="R798" s="2" t="inlineStr"/>
    </row>
    <row r="799" ht="15" customHeight="1">
      <c r="A799" t="inlineStr">
        <is>
          <t>A 34359-2022</t>
        </is>
      </c>
      <c r="B799" s="1" t="n">
        <v>44792</v>
      </c>
      <c r="C799" s="1" t="n">
        <v>45787</v>
      </c>
      <c r="D799" t="inlineStr">
        <is>
          <t>JÄMTLANDS LÄN</t>
        </is>
      </c>
      <c r="E799" t="inlineStr">
        <is>
          <t>HÄRJEDALEN</t>
        </is>
      </c>
      <c r="F799" t="inlineStr">
        <is>
          <t>Bergvik skog väst AB</t>
        </is>
      </c>
      <c r="G799" t="n">
        <v>23.1</v>
      </c>
      <c r="H799" t="n">
        <v>0</v>
      </c>
      <c r="I799" t="n">
        <v>0</v>
      </c>
      <c r="J799" t="n">
        <v>0</v>
      </c>
      <c r="K799" t="n">
        <v>0</v>
      </c>
      <c r="L799" t="n">
        <v>0</v>
      </c>
      <c r="M799" t="n">
        <v>0</v>
      </c>
      <c r="N799" t="n">
        <v>0</v>
      </c>
      <c r="O799" t="n">
        <v>0</v>
      </c>
      <c r="P799" t="n">
        <v>0</v>
      </c>
      <c r="Q799" t="n">
        <v>0</v>
      </c>
      <c r="R799" s="2" t="inlineStr"/>
    </row>
    <row r="800" ht="15" customHeight="1">
      <c r="A800" t="inlineStr">
        <is>
          <t>A 34361-2022</t>
        </is>
      </c>
      <c r="B800" s="1" t="n">
        <v>44792</v>
      </c>
      <c r="C800" s="1" t="n">
        <v>45787</v>
      </c>
      <c r="D800" t="inlineStr">
        <is>
          <t>JÄMTLANDS LÄN</t>
        </is>
      </c>
      <c r="E800" t="inlineStr">
        <is>
          <t>HÄRJEDALEN</t>
        </is>
      </c>
      <c r="F800" t="inlineStr">
        <is>
          <t>Bergvik skog väst AB</t>
        </is>
      </c>
      <c r="G800" t="n">
        <v>2.9</v>
      </c>
      <c r="H800" t="n">
        <v>0</v>
      </c>
      <c r="I800" t="n">
        <v>0</v>
      </c>
      <c r="J800" t="n">
        <v>0</v>
      </c>
      <c r="K800" t="n">
        <v>0</v>
      </c>
      <c r="L800" t="n">
        <v>0</v>
      </c>
      <c r="M800" t="n">
        <v>0</v>
      </c>
      <c r="N800" t="n">
        <v>0</v>
      </c>
      <c r="O800" t="n">
        <v>0</v>
      </c>
      <c r="P800" t="n">
        <v>0</v>
      </c>
      <c r="Q800" t="n">
        <v>0</v>
      </c>
      <c r="R800" s="2" t="inlineStr"/>
    </row>
    <row r="801" ht="15" customHeight="1">
      <c r="A801" t="inlineStr">
        <is>
          <t>A 34392-2022</t>
        </is>
      </c>
      <c r="B801" s="1" t="n">
        <v>44792</v>
      </c>
      <c r="C801" s="1" t="n">
        <v>45787</v>
      </c>
      <c r="D801" t="inlineStr">
        <is>
          <t>JÄMTLANDS LÄN</t>
        </is>
      </c>
      <c r="E801" t="inlineStr">
        <is>
          <t>HÄRJEDALEN</t>
        </is>
      </c>
      <c r="G801" t="n">
        <v>23.5</v>
      </c>
      <c r="H801" t="n">
        <v>0</v>
      </c>
      <c r="I801" t="n">
        <v>0</v>
      </c>
      <c r="J801" t="n">
        <v>0</v>
      </c>
      <c r="K801" t="n">
        <v>0</v>
      </c>
      <c r="L801" t="n">
        <v>0</v>
      </c>
      <c r="M801" t="n">
        <v>0</v>
      </c>
      <c r="N801" t="n">
        <v>0</v>
      </c>
      <c r="O801" t="n">
        <v>0</v>
      </c>
      <c r="P801" t="n">
        <v>0</v>
      </c>
      <c r="Q801" t="n">
        <v>0</v>
      </c>
      <c r="R801" s="2" t="inlineStr"/>
    </row>
    <row r="802" ht="15" customHeight="1">
      <c r="A802" t="inlineStr">
        <is>
          <t>A 34492-2022</t>
        </is>
      </c>
      <c r="B802" s="1" t="n">
        <v>44792</v>
      </c>
      <c r="C802" s="1" t="n">
        <v>45787</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34627-2022</t>
        </is>
      </c>
      <c r="B803" s="1" t="n">
        <v>44795</v>
      </c>
      <c r="C803" s="1" t="n">
        <v>45787</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34621-2022</t>
        </is>
      </c>
      <c r="B804" s="1" t="n">
        <v>44795</v>
      </c>
      <c r="C804" s="1" t="n">
        <v>45787</v>
      </c>
      <c r="D804" t="inlineStr">
        <is>
          <t>JÄMTLANDS LÄN</t>
        </is>
      </c>
      <c r="E804" t="inlineStr">
        <is>
          <t>HÄRJEDALEN</t>
        </is>
      </c>
      <c r="G804" t="n">
        <v>3.8</v>
      </c>
      <c r="H804" t="n">
        <v>0</v>
      </c>
      <c r="I804" t="n">
        <v>0</v>
      </c>
      <c r="J804" t="n">
        <v>0</v>
      </c>
      <c r="K804" t="n">
        <v>0</v>
      </c>
      <c r="L804" t="n">
        <v>0</v>
      </c>
      <c r="M804" t="n">
        <v>0</v>
      </c>
      <c r="N804" t="n">
        <v>0</v>
      </c>
      <c r="O804" t="n">
        <v>0</v>
      </c>
      <c r="P804" t="n">
        <v>0</v>
      </c>
      <c r="Q804" t="n">
        <v>0</v>
      </c>
      <c r="R804" s="2" t="inlineStr"/>
    </row>
    <row r="805" ht="15" customHeight="1">
      <c r="A805" t="inlineStr">
        <is>
          <t>A 35614-2022</t>
        </is>
      </c>
      <c r="B805" s="1" t="n">
        <v>44799</v>
      </c>
      <c r="C805" s="1" t="n">
        <v>45787</v>
      </c>
      <c r="D805" t="inlineStr">
        <is>
          <t>JÄMTLANDS LÄN</t>
        </is>
      </c>
      <c r="E805" t="inlineStr">
        <is>
          <t>HÄRJEDALEN</t>
        </is>
      </c>
      <c r="F805" t="inlineStr">
        <is>
          <t>Bergvik skog väst AB</t>
        </is>
      </c>
      <c r="G805" t="n">
        <v>72.09999999999999</v>
      </c>
      <c r="H805" t="n">
        <v>0</v>
      </c>
      <c r="I805" t="n">
        <v>0</v>
      </c>
      <c r="J805" t="n">
        <v>0</v>
      </c>
      <c r="K805" t="n">
        <v>0</v>
      </c>
      <c r="L805" t="n">
        <v>0</v>
      </c>
      <c r="M805" t="n">
        <v>0</v>
      </c>
      <c r="N805" t="n">
        <v>0</v>
      </c>
      <c r="O805" t="n">
        <v>0</v>
      </c>
      <c r="P805" t="n">
        <v>0</v>
      </c>
      <c r="Q805" t="n">
        <v>0</v>
      </c>
      <c r="R805" s="2" t="inlineStr"/>
    </row>
    <row r="806" ht="15" customHeight="1">
      <c r="A806" t="inlineStr">
        <is>
          <t>A 36249-2022</t>
        </is>
      </c>
      <c r="B806" s="1" t="n">
        <v>44803</v>
      </c>
      <c r="C806" s="1" t="n">
        <v>45787</v>
      </c>
      <c r="D806" t="inlineStr">
        <is>
          <t>JÄMTLANDS LÄN</t>
        </is>
      </c>
      <c r="E806" t="inlineStr">
        <is>
          <t>HÄRJEDALEN</t>
        </is>
      </c>
      <c r="G806" t="n">
        <v>7.2</v>
      </c>
      <c r="H806" t="n">
        <v>0</v>
      </c>
      <c r="I806" t="n">
        <v>0</v>
      </c>
      <c r="J806" t="n">
        <v>0</v>
      </c>
      <c r="K806" t="n">
        <v>0</v>
      </c>
      <c r="L806" t="n">
        <v>0</v>
      </c>
      <c r="M806" t="n">
        <v>0</v>
      </c>
      <c r="N806" t="n">
        <v>0</v>
      </c>
      <c r="O806" t="n">
        <v>0</v>
      </c>
      <c r="P806" t="n">
        <v>0</v>
      </c>
      <c r="Q806" t="n">
        <v>0</v>
      </c>
      <c r="R806" s="2" t="inlineStr"/>
    </row>
    <row r="807" ht="15" customHeight="1">
      <c r="A807" t="inlineStr">
        <is>
          <t>A 36170-2022</t>
        </is>
      </c>
      <c r="B807" s="1" t="n">
        <v>44803</v>
      </c>
      <c r="C807" s="1" t="n">
        <v>45787</v>
      </c>
      <c r="D807" t="inlineStr">
        <is>
          <t>JÄMTLANDS LÄN</t>
        </is>
      </c>
      <c r="E807" t="inlineStr">
        <is>
          <t>HÄRJEDALEN</t>
        </is>
      </c>
      <c r="G807" t="n">
        <v>14.7</v>
      </c>
      <c r="H807" t="n">
        <v>0</v>
      </c>
      <c r="I807" t="n">
        <v>0</v>
      </c>
      <c r="J807" t="n">
        <v>0</v>
      </c>
      <c r="K807" t="n">
        <v>0</v>
      </c>
      <c r="L807" t="n">
        <v>0</v>
      </c>
      <c r="M807" t="n">
        <v>0</v>
      </c>
      <c r="N807" t="n">
        <v>0</v>
      </c>
      <c r="O807" t="n">
        <v>0</v>
      </c>
      <c r="P807" t="n">
        <v>0</v>
      </c>
      <c r="Q807" t="n">
        <v>0</v>
      </c>
      <c r="R807" s="2" t="inlineStr"/>
    </row>
    <row r="808" ht="15" customHeight="1">
      <c r="A808" t="inlineStr">
        <is>
          <t>A 36182-2022</t>
        </is>
      </c>
      <c r="B808" s="1" t="n">
        <v>44803</v>
      </c>
      <c r="C808" s="1" t="n">
        <v>45787</v>
      </c>
      <c r="D808" t="inlineStr">
        <is>
          <t>JÄMTLANDS LÄN</t>
        </is>
      </c>
      <c r="E808" t="inlineStr">
        <is>
          <t>HÄRJEDALEN</t>
        </is>
      </c>
      <c r="G808" t="n">
        <v>13</v>
      </c>
      <c r="H808" t="n">
        <v>0</v>
      </c>
      <c r="I808" t="n">
        <v>0</v>
      </c>
      <c r="J808" t="n">
        <v>0</v>
      </c>
      <c r="K808" t="n">
        <v>0</v>
      </c>
      <c r="L808" t="n">
        <v>0</v>
      </c>
      <c r="M808" t="n">
        <v>0</v>
      </c>
      <c r="N808" t="n">
        <v>0</v>
      </c>
      <c r="O808" t="n">
        <v>0</v>
      </c>
      <c r="P808" t="n">
        <v>0</v>
      </c>
      <c r="Q808" t="n">
        <v>0</v>
      </c>
      <c r="R808" s="2" t="inlineStr"/>
    </row>
    <row r="809" ht="15" customHeight="1">
      <c r="A809" t="inlineStr">
        <is>
          <t>A 36187-2022</t>
        </is>
      </c>
      <c r="B809" s="1" t="n">
        <v>44803</v>
      </c>
      <c r="C809" s="1" t="n">
        <v>45787</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36448-2022</t>
        </is>
      </c>
      <c r="B810" s="1" t="n">
        <v>44804</v>
      </c>
      <c r="C810" s="1" t="n">
        <v>45787</v>
      </c>
      <c r="D810" t="inlineStr">
        <is>
          <t>JÄMTLANDS LÄN</t>
        </is>
      </c>
      <c r="E810" t="inlineStr">
        <is>
          <t>HÄRJEDALEN</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37515-2022</t>
        </is>
      </c>
      <c r="B811" s="1" t="n">
        <v>44809</v>
      </c>
      <c r="C811" s="1" t="n">
        <v>45787</v>
      </c>
      <c r="D811" t="inlineStr">
        <is>
          <t>JÄMTLANDS LÄN</t>
        </is>
      </c>
      <c r="E811" t="inlineStr">
        <is>
          <t>HÄRJEDALEN</t>
        </is>
      </c>
      <c r="F811" t="inlineStr">
        <is>
          <t>Bergvik skog väst AB</t>
        </is>
      </c>
      <c r="G811" t="n">
        <v>3.2</v>
      </c>
      <c r="H811" t="n">
        <v>0</v>
      </c>
      <c r="I811" t="n">
        <v>0</v>
      </c>
      <c r="J811" t="n">
        <v>0</v>
      </c>
      <c r="K811" t="n">
        <v>0</v>
      </c>
      <c r="L811" t="n">
        <v>0</v>
      </c>
      <c r="M811" t="n">
        <v>0</v>
      </c>
      <c r="N811" t="n">
        <v>0</v>
      </c>
      <c r="O811" t="n">
        <v>0</v>
      </c>
      <c r="P811" t="n">
        <v>0</v>
      </c>
      <c r="Q811" t="n">
        <v>0</v>
      </c>
      <c r="R811" s="2" t="inlineStr"/>
    </row>
    <row r="812" ht="15" customHeight="1">
      <c r="A812" t="inlineStr">
        <is>
          <t>A 37666-2022</t>
        </is>
      </c>
      <c r="B812" s="1" t="n">
        <v>44810</v>
      </c>
      <c r="C812" s="1" t="n">
        <v>45787</v>
      </c>
      <c r="D812" t="inlineStr">
        <is>
          <t>JÄMTLANDS LÄN</t>
        </is>
      </c>
      <c r="E812" t="inlineStr">
        <is>
          <t>HÄRJEDALEN</t>
        </is>
      </c>
      <c r="F812" t="inlineStr">
        <is>
          <t>Holmen skog AB</t>
        </is>
      </c>
      <c r="G812" t="n">
        <v>7.2</v>
      </c>
      <c r="H812" t="n">
        <v>0</v>
      </c>
      <c r="I812" t="n">
        <v>0</v>
      </c>
      <c r="J812" t="n">
        <v>0</v>
      </c>
      <c r="K812" t="n">
        <v>0</v>
      </c>
      <c r="L812" t="n">
        <v>0</v>
      </c>
      <c r="M812" t="n">
        <v>0</v>
      </c>
      <c r="N812" t="n">
        <v>0</v>
      </c>
      <c r="O812" t="n">
        <v>0</v>
      </c>
      <c r="P812" t="n">
        <v>0</v>
      </c>
      <c r="Q812" t="n">
        <v>0</v>
      </c>
      <c r="R812" s="2" t="inlineStr"/>
    </row>
    <row r="813" ht="15" customHeight="1">
      <c r="A813" t="inlineStr">
        <is>
          <t>A 37690-2022</t>
        </is>
      </c>
      <c r="B813" s="1" t="n">
        <v>44810</v>
      </c>
      <c r="C813" s="1" t="n">
        <v>45787</v>
      </c>
      <c r="D813" t="inlineStr">
        <is>
          <t>JÄMTLANDS LÄN</t>
        </is>
      </c>
      <c r="E813" t="inlineStr">
        <is>
          <t>HÄRJEDALEN</t>
        </is>
      </c>
      <c r="F813" t="inlineStr">
        <is>
          <t>Holmen skog AB</t>
        </is>
      </c>
      <c r="G813" t="n">
        <v>7.8</v>
      </c>
      <c r="H813" t="n">
        <v>0</v>
      </c>
      <c r="I813" t="n">
        <v>0</v>
      </c>
      <c r="J813" t="n">
        <v>0</v>
      </c>
      <c r="K813" t="n">
        <v>0</v>
      </c>
      <c r="L813" t="n">
        <v>0</v>
      </c>
      <c r="M813" t="n">
        <v>0</v>
      </c>
      <c r="N813" t="n">
        <v>0</v>
      </c>
      <c r="O813" t="n">
        <v>0</v>
      </c>
      <c r="P813" t="n">
        <v>0</v>
      </c>
      <c r="Q813" t="n">
        <v>0</v>
      </c>
      <c r="R813" s="2" t="inlineStr"/>
    </row>
    <row r="814" ht="15" customHeight="1">
      <c r="A814" t="inlineStr">
        <is>
          <t>A 37678-2022</t>
        </is>
      </c>
      <c r="B814" s="1" t="n">
        <v>44810</v>
      </c>
      <c r="C814" s="1" t="n">
        <v>45787</v>
      </c>
      <c r="D814" t="inlineStr">
        <is>
          <t>JÄMTLANDS LÄN</t>
        </is>
      </c>
      <c r="E814" t="inlineStr">
        <is>
          <t>HÄRJEDALEN</t>
        </is>
      </c>
      <c r="F814" t="inlineStr">
        <is>
          <t>Bergvik skog väst AB</t>
        </is>
      </c>
      <c r="G814" t="n">
        <v>4.7</v>
      </c>
      <c r="H814" t="n">
        <v>0</v>
      </c>
      <c r="I814" t="n">
        <v>0</v>
      </c>
      <c r="J814" t="n">
        <v>0</v>
      </c>
      <c r="K814" t="n">
        <v>0</v>
      </c>
      <c r="L814" t="n">
        <v>0</v>
      </c>
      <c r="M814" t="n">
        <v>0</v>
      </c>
      <c r="N814" t="n">
        <v>0</v>
      </c>
      <c r="O814" t="n">
        <v>0</v>
      </c>
      <c r="P814" t="n">
        <v>0</v>
      </c>
      <c r="Q814" t="n">
        <v>0</v>
      </c>
      <c r="R814" s="2" t="inlineStr"/>
    </row>
    <row r="815" ht="15" customHeight="1">
      <c r="A815" t="inlineStr">
        <is>
          <t>A 37873-2022</t>
        </is>
      </c>
      <c r="B815" s="1" t="n">
        <v>44811</v>
      </c>
      <c r="C815" s="1" t="n">
        <v>45787</v>
      </c>
      <c r="D815" t="inlineStr">
        <is>
          <t>JÄMTLANDS LÄN</t>
        </is>
      </c>
      <c r="E815" t="inlineStr">
        <is>
          <t>HÄRJEDALEN</t>
        </is>
      </c>
      <c r="F815" t="inlineStr">
        <is>
          <t>Bergvik skog väst AB</t>
        </is>
      </c>
      <c r="G815" t="n">
        <v>1.7</v>
      </c>
      <c r="H815" t="n">
        <v>0</v>
      </c>
      <c r="I815" t="n">
        <v>0</v>
      </c>
      <c r="J815" t="n">
        <v>0</v>
      </c>
      <c r="K815" t="n">
        <v>0</v>
      </c>
      <c r="L815" t="n">
        <v>0</v>
      </c>
      <c r="M815" t="n">
        <v>0</v>
      </c>
      <c r="N815" t="n">
        <v>0</v>
      </c>
      <c r="O815" t="n">
        <v>0</v>
      </c>
      <c r="P815" t="n">
        <v>0</v>
      </c>
      <c r="Q815" t="n">
        <v>0</v>
      </c>
      <c r="R815" s="2" t="inlineStr"/>
    </row>
    <row r="816" ht="15" customHeight="1">
      <c r="A816" t="inlineStr">
        <is>
          <t>A 37990-2022</t>
        </is>
      </c>
      <c r="B816" s="1" t="n">
        <v>44811</v>
      </c>
      <c r="C816" s="1" t="n">
        <v>45787</v>
      </c>
      <c r="D816" t="inlineStr">
        <is>
          <t>JÄMTLANDS LÄN</t>
        </is>
      </c>
      <c r="E816" t="inlineStr">
        <is>
          <t>HÄRJEDALEN</t>
        </is>
      </c>
      <c r="F816" t="inlineStr">
        <is>
          <t>Bergvik skog väst AB</t>
        </is>
      </c>
      <c r="G816" t="n">
        <v>1.6</v>
      </c>
      <c r="H816" t="n">
        <v>0</v>
      </c>
      <c r="I816" t="n">
        <v>0</v>
      </c>
      <c r="J816" t="n">
        <v>0</v>
      </c>
      <c r="K816" t="n">
        <v>0</v>
      </c>
      <c r="L816" t="n">
        <v>0</v>
      </c>
      <c r="M816" t="n">
        <v>0</v>
      </c>
      <c r="N816" t="n">
        <v>0</v>
      </c>
      <c r="O816" t="n">
        <v>0</v>
      </c>
      <c r="P816" t="n">
        <v>0</v>
      </c>
      <c r="Q816" t="n">
        <v>0</v>
      </c>
      <c r="R816" s="2" t="inlineStr"/>
    </row>
    <row r="817" ht="15" customHeight="1">
      <c r="A817" t="inlineStr">
        <is>
          <t>A 37988-2022</t>
        </is>
      </c>
      <c r="B817" s="1" t="n">
        <v>44811</v>
      </c>
      <c r="C817" s="1" t="n">
        <v>45787</v>
      </c>
      <c r="D817" t="inlineStr">
        <is>
          <t>JÄMTLANDS LÄN</t>
        </is>
      </c>
      <c r="E817" t="inlineStr">
        <is>
          <t>HÄRJEDALEN</t>
        </is>
      </c>
      <c r="F817" t="inlineStr">
        <is>
          <t>Bergvik skog väst AB</t>
        </is>
      </c>
      <c r="G817" t="n">
        <v>2.6</v>
      </c>
      <c r="H817" t="n">
        <v>0</v>
      </c>
      <c r="I817" t="n">
        <v>0</v>
      </c>
      <c r="J817" t="n">
        <v>0</v>
      </c>
      <c r="K817" t="n">
        <v>0</v>
      </c>
      <c r="L817" t="n">
        <v>0</v>
      </c>
      <c r="M817" t="n">
        <v>0</v>
      </c>
      <c r="N817" t="n">
        <v>0</v>
      </c>
      <c r="O817" t="n">
        <v>0</v>
      </c>
      <c r="P817" t="n">
        <v>0</v>
      </c>
      <c r="Q817" t="n">
        <v>0</v>
      </c>
      <c r="R817" s="2" t="inlineStr"/>
    </row>
    <row r="818" ht="15" customHeight="1">
      <c r="A818" t="inlineStr">
        <is>
          <t>A 39396-2022</t>
        </is>
      </c>
      <c r="B818" s="1" t="n">
        <v>44818</v>
      </c>
      <c r="C818" s="1" t="n">
        <v>45787</v>
      </c>
      <c r="D818" t="inlineStr">
        <is>
          <t>JÄMTLANDS LÄN</t>
        </is>
      </c>
      <c r="E818" t="inlineStr">
        <is>
          <t>HÄRJEDALEN</t>
        </is>
      </c>
      <c r="F818" t="inlineStr">
        <is>
          <t>SCA</t>
        </is>
      </c>
      <c r="G818" t="n">
        <v>11.4</v>
      </c>
      <c r="H818" t="n">
        <v>0</v>
      </c>
      <c r="I818" t="n">
        <v>0</v>
      </c>
      <c r="J818" t="n">
        <v>0</v>
      </c>
      <c r="K818" t="n">
        <v>0</v>
      </c>
      <c r="L818" t="n">
        <v>0</v>
      </c>
      <c r="M818" t="n">
        <v>0</v>
      </c>
      <c r="N818" t="n">
        <v>0</v>
      </c>
      <c r="O818" t="n">
        <v>0</v>
      </c>
      <c r="P818" t="n">
        <v>0</v>
      </c>
      <c r="Q818" t="n">
        <v>0</v>
      </c>
      <c r="R818" s="2" t="inlineStr"/>
    </row>
    <row r="819" ht="15" customHeight="1">
      <c r="A819" t="inlineStr">
        <is>
          <t>A 39625-2022</t>
        </is>
      </c>
      <c r="B819" s="1" t="n">
        <v>44818</v>
      </c>
      <c r="C819" s="1" t="n">
        <v>45787</v>
      </c>
      <c r="D819" t="inlineStr">
        <is>
          <t>JÄMTLANDS LÄN</t>
        </is>
      </c>
      <c r="E819" t="inlineStr">
        <is>
          <t>HÄRJEDALEN</t>
        </is>
      </c>
      <c r="G819" t="n">
        <v>1.4</v>
      </c>
      <c r="H819" t="n">
        <v>0</v>
      </c>
      <c r="I819" t="n">
        <v>0</v>
      </c>
      <c r="J819" t="n">
        <v>0</v>
      </c>
      <c r="K819" t="n">
        <v>0</v>
      </c>
      <c r="L819" t="n">
        <v>0</v>
      </c>
      <c r="M819" t="n">
        <v>0</v>
      </c>
      <c r="N819" t="n">
        <v>0</v>
      </c>
      <c r="O819" t="n">
        <v>0</v>
      </c>
      <c r="P819" t="n">
        <v>0</v>
      </c>
      <c r="Q819" t="n">
        <v>0</v>
      </c>
      <c r="R819" s="2" t="inlineStr"/>
    </row>
    <row r="820" ht="15" customHeight="1">
      <c r="A820" t="inlineStr">
        <is>
          <t>A 39618-2022</t>
        </is>
      </c>
      <c r="B820" s="1" t="n">
        <v>44818</v>
      </c>
      <c r="C820" s="1" t="n">
        <v>45787</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39820-2022</t>
        </is>
      </c>
      <c r="B821" s="1" t="n">
        <v>44819</v>
      </c>
      <c r="C821" s="1" t="n">
        <v>45787</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40084-2022</t>
        </is>
      </c>
      <c r="B822" s="1" t="n">
        <v>44820</v>
      </c>
      <c r="C822" s="1" t="n">
        <v>45787</v>
      </c>
      <c r="D822" t="inlineStr">
        <is>
          <t>JÄMTLANDS LÄN</t>
        </is>
      </c>
      <c r="E822" t="inlineStr">
        <is>
          <t>HÄRJEDALEN</t>
        </is>
      </c>
      <c r="F822" t="inlineStr">
        <is>
          <t>Bergvik skog väst AB</t>
        </is>
      </c>
      <c r="G822" t="n">
        <v>6</v>
      </c>
      <c r="H822" t="n">
        <v>0</v>
      </c>
      <c r="I822" t="n">
        <v>0</v>
      </c>
      <c r="J822" t="n">
        <v>0</v>
      </c>
      <c r="K822" t="n">
        <v>0</v>
      </c>
      <c r="L822" t="n">
        <v>0</v>
      </c>
      <c r="M822" t="n">
        <v>0</v>
      </c>
      <c r="N822" t="n">
        <v>0</v>
      </c>
      <c r="O822" t="n">
        <v>0</v>
      </c>
      <c r="P822" t="n">
        <v>0</v>
      </c>
      <c r="Q822" t="n">
        <v>0</v>
      </c>
      <c r="R822" s="2" t="inlineStr"/>
    </row>
    <row r="823" ht="15" customHeight="1">
      <c r="A823" t="inlineStr">
        <is>
          <t>A 40201-2022</t>
        </is>
      </c>
      <c r="B823" s="1" t="n">
        <v>44820</v>
      </c>
      <c r="C823" s="1" t="n">
        <v>45787</v>
      </c>
      <c r="D823" t="inlineStr">
        <is>
          <t>JÄMTLANDS LÄN</t>
        </is>
      </c>
      <c r="E823" t="inlineStr">
        <is>
          <t>HÄRJEDALEN</t>
        </is>
      </c>
      <c r="F823" t="inlineStr">
        <is>
          <t>Kyrkan</t>
        </is>
      </c>
      <c r="G823" t="n">
        <v>14.6</v>
      </c>
      <c r="H823" t="n">
        <v>0</v>
      </c>
      <c r="I823" t="n">
        <v>0</v>
      </c>
      <c r="J823" t="n">
        <v>0</v>
      </c>
      <c r="K823" t="n">
        <v>0</v>
      </c>
      <c r="L823" t="n">
        <v>0</v>
      </c>
      <c r="M823" t="n">
        <v>0</v>
      </c>
      <c r="N823" t="n">
        <v>0</v>
      </c>
      <c r="O823" t="n">
        <v>0</v>
      </c>
      <c r="P823" t="n">
        <v>0</v>
      </c>
      <c r="Q823" t="n">
        <v>0</v>
      </c>
      <c r="R823" s="2" t="inlineStr"/>
    </row>
    <row r="824" ht="15" customHeight="1">
      <c r="A824" t="inlineStr">
        <is>
          <t>A 40596-2022</t>
        </is>
      </c>
      <c r="B824" s="1" t="n">
        <v>44823</v>
      </c>
      <c r="C824" s="1" t="n">
        <v>45787</v>
      </c>
      <c r="D824" t="inlineStr">
        <is>
          <t>JÄMTLANDS LÄN</t>
        </is>
      </c>
      <c r="E824" t="inlineStr">
        <is>
          <t>HÄRJEDALEN</t>
        </is>
      </c>
      <c r="G824" t="n">
        <v>2.9</v>
      </c>
      <c r="H824" t="n">
        <v>0</v>
      </c>
      <c r="I824" t="n">
        <v>0</v>
      </c>
      <c r="J824" t="n">
        <v>0</v>
      </c>
      <c r="K824" t="n">
        <v>0</v>
      </c>
      <c r="L824" t="n">
        <v>0</v>
      </c>
      <c r="M824" t="n">
        <v>0</v>
      </c>
      <c r="N824" t="n">
        <v>0</v>
      </c>
      <c r="O824" t="n">
        <v>0</v>
      </c>
      <c r="P824" t="n">
        <v>0</v>
      </c>
      <c r="Q824" t="n">
        <v>0</v>
      </c>
      <c r="R824" s="2" t="inlineStr"/>
    </row>
    <row r="825" ht="15" customHeight="1">
      <c r="A825" t="inlineStr">
        <is>
          <t>A 40561-2022</t>
        </is>
      </c>
      <c r="B825" s="1" t="n">
        <v>44823</v>
      </c>
      <c r="C825" s="1" t="n">
        <v>45787</v>
      </c>
      <c r="D825" t="inlineStr">
        <is>
          <t>JÄMTLANDS LÄN</t>
        </is>
      </c>
      <c r="E825" t="inlineStr">
        <is>
          <t>HÄRJEDALEN</t>
        </is>
      </c>
      <c r="F825" t="inlineStr">
        <is>
          <t>Bergvik skog väst AB</t>
        </is>
      </c>
      <c r="G825" t="n">
        <v>2.4</v>
      </c>
      <c r="H825" t="n">
        <v>0</v>
      </c>
      <c r="I825" t="n">
        <v>0</v>
      </c>
      <c r="J825" t="n">
        <v>0</v>
      </c>
      <c r="K825" t="n">
        <v>0</v>
      </c>
      <c r="L825" t="n">
        <v>0</v>
      </c>
      <c r="M825" t="n">
        <v>0</v>
      </c>
      <c r="N825" t="n">
        <v>0</v>
      </c>
      <c r="O825" t="n">
        <v>0</v>
      </c>
      <c r="P825" t="n">
        <v>0</v>
      </c>
      <c r="Q825" t="n">
        <v>0</v>
      </c>
      <c r="R825" s="2" t="inlineStr"/>
    </row>
    <row r="826" ht="15" customHeight="1">
      <c r="A826" t="inlineStr">
        <is>
          <t>A 40578-2022</t>
        </is>
      </c>
      <c r="B826" s="1" t="n">
        <v>44823</v>
      </c>
      <c r="C826" s="1" t="n">
        <v>45787</v>
      </c>
      <c r="D826" t="inlineStr">
        <is>
          <t>JÄMTLANDS LÄN</t>
        </is>
      </c>
      <c r="E826" t="inlineStr">
        <is>
          <t>HÄRJEDALEN</t>
        </is>
      </c>
      <c r="F826" t="inlineStr">
        <is>
          <t>Sveaskog</t>
        </is>
      </c>
      <c r="G826" t="n">
        <v>3.5</v>
      </c>
      <c r="H826" t="n">
        <v>0</v>
      </c>
      <c r="I826" t="n">
        <v>0</v>
      </c>
      <c r="J826" t="n">
        <v>0</v>
      </c>
      <c r="K826" t="n">
        <v>0</v>
      </c>
      <c r="L826" t="n">
        <v>0</v>
      </c>
      <c r="M826" t="n">
        <v>0</v>
      </c>
      <c r="N826" t="n">
        <v>0</v>
      </c>
      <c r="O826" t="n">
        <v>0</v>
      </c>
      <c r="P826" t="n">
        <v>0</v>
      </c>
      <c r="Q826" t="n">
        <v>0</v>
      </c>
      <c r="R826" s="2" t="inlineStr"/>
    </row>
    <row r="827" ht="15" customHeight="1">
      <c r="A827" t="inlineStr">
        <is>
          <t>A 41080-2022</t>
        </is>
      </c>
      <c r="B827" s="1" t="n">
        <v>44825</v>
      </c>
      <c r="C827" s="1" t="n">
        <v>45787</v>
      </c>
      <c r="D827" t="inlineStr">
        <is>
          <t>JÄMTLANDS LÄN</t>
        </is>
      </c>
      <c r="E827" t="inlineStr">
        <is>
          <t>HÄRJEDALEN</t>
        </is>
      </c>
      <c r="G827" t="n">
        <v>1.3</v>
      </c>
      <c r="H827" t="n">
        <v>0</v>
      </c>
      <c r="I827" t="n">
        <v>0</v>
      </c>
      <c r="J827" t="n">
        <v>0</v>
      </c>
      <c r="K827" t="n">
        <v>0</v>
      </c>
      <c r="L827" t="n">
        <v>0</v>
      </c>
      <c r="M827" t="n">
        <v>0</v>
      </c>
      <c r="N827" t="n">
        <v>0</v>
      </c>
      <c r="O827" t="n">
        <v>0</v>
      </c>
      <c r="P827" t="n">
        <v>0</v>
      </c>
      <c r="Q827" t="n">
        <v>0</v>
      </c>
      <c r="R827" s="2" t="inlineStr"/>
    </row>
    <row r="828" ht="15" customHeight="1">
      <c r="A828" t="inlineStr">
        <is>
          <t>A 41164-2022</t>
        </is>
      </c>
      <c r="B828" s="1" t="n">
        <v>44825</v>
      </c>
      <c r="C828" s="1" t="n">
        <v>45787</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41209-2022</t>
        </is>
      </c>
      <c r="B829" s="1" t="n">
        <v>44825</v>
      </c>
      <c r="C829" s="1" t="n">
        <v>45787</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41293-2022</t>
        </is>
      </c>
      <c r="B830" s="1" t="n">
        <v>44826</v>
      </c>
      <c r="C830" s="1" t="n">
        <v>45787</v>
      </c>
      <c r="D830" t="inlineStr">
        <is>
          <t>JÄMTLANDS LÄN</t>
        </is>
      </c>
      <c r="E830" t="inlineStr">
        <is>
          <t>HÄRJEDALEN</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41759-2022</t>
        </is>
      </c>
      <c r="B831" s="1" t="n">
        <v>44827</v>
      </c>
      <c r="C831" s="1" t="n">
        <v>45787</v>
      </c>
      <c r="D831" t="inlineStr">
        <is>
          <t>JÄMTLANDS LÄN</t>
        </is>
      </c>
      <c r="E831" t="inlineStr">
        <is>
          <t>HÄRJEDALEN</t>
        </is>
      </c>
      <c r="G831" t="n">
        <v>20</v>
      </c>
      <c r="H831" t="n">
        <v>0</v>
      </c>
      <c r="I831" t="n">
        <v>0</v>
      </c>
      <c r="J831" t="n">
        <v>0</v>
      </c>
      <c r="K831" t="n">
        <v>0</v>
      </c>
      <c r="L831" t="n">
        <v>0</v>
      </c>
      <c r="M831" t="n">
        <v>0</v>
      </c>
      <c r="N831" t="n">
        <v>0</v>
      </c>
      <c r="O831" t="n">
        <v>0</v>
      </c>
      <c r="P831" t="n">
        <v>0</v>
      </c>
      <c r="Q831" t="n">
        <v>0</v>
      </c>
      <c r="R831" s="2" t="inlineStr"/>
    </row>
    <row r="832" ht="15" customHeight="1">
      <c r="A832" t="inlineStr">
        <is>
          <t>A 41711-2022</t>
        </is>
      </c>
      <c r="B832" s="1" t="n">
        <v>44827</v>
      </c>
      <c r="C832" s="1" t="n">
        <v>45787</v>
      </c>
      <c r="D832" t="inlineStr">
        <is>
          <t>JÄMTLANDS LÄN</t>
        </is>
      </c>
      <c r="E832" t="inlineStr">
        <is>
          <t>HÄRJEDALEN</t>
        </is>
      </c>
      <c r="G832" t="n">
        <v>18.3</v>
      </c>
      <c r="H832" t="n">
        <v>0</v>
      </c>
      <c r="I832" t="n">
        <v>0</v>
      </c>
      <c r="J832" t="n">
        <v>0</v>
      </c>
      <c r="K832" t="n">
        <v>0</v>
      </c>
      <c r="L832" t="n">
        <v>0</v>
      </c>
      <c r="M832" t="n">
        <v>0</v>
      </c>
      <c r="N832" t="n">
        <v>0</v>
      </c>
      <c r="O832" t="n">
        <v>0</v>
      </c>
      <c r="P832" t="n">
        <v>0</v>
      </c>
      <c r="Q832" t="n">
        <v>0</v>
      </c>
      <c r="R832" s="2" t="inlineStr"/>
    </row>
    <row r="833" ht="15" customHeight="1">
      <c r="A833" t="inlineStr">
        <is>
          <t>A 41771-2022</t>
        </is>
      </c>
      <c r="B833" s="1" t="n">
        <v>44827</v>
      </c>
      <c r="C833" s="1" t="n">
        <v>45787</v>
      </c>
      <c r="D833" t="inlineStr">
        <is>
          <t>JÄMTLANDS LÄN</t>
        </is>
      </c>
      <c r="E833" t="inlineStr">
        <is>
          <t>HÄRJEDALEN</t>
        </is>
      </c>
      <c r="G833" t="n">
        <v>1.4</v>
      </c>
      <c r="H833" t="n">
        <v>0</v>
      </c>
      <c r="I833" t="n">
        <v>0</v>
      </c>
      <c r="J833" t="n">
        <v>0</v>
      </c>
      <c r="K833" t="n">
        <v>0</v>
      </c>
      <c r="L833" t="n">
        <v>0</v>
      </c>
      <c r="M833" t="n">
        <v>0</v>
      </c>
      <c r="N833" t="n">
        <v>0</v>
      </c>
      <c r="O833" t="n">
        <v>0</v>
      </c>
      <c r="P833" t="n">
        <v>0</v>
      </c>
      <c r="Q833" t="n">
        <v>0</v>
      </c>
      <c r="R833" s="2" t="inlineStr"/>
    </row>
    <row r="834" ht="15" customHeight="1">
      <c r="A834" t="inlineStr">
        <is>
          <t>A 41766-2022</t>
        </is>
      </c>
      <c r="B834" s="1" t="n">
        <v>44827</v>
      </c>
      <c r="C834" s="1" t="n">
        <v>45787</v>
      </c>
      <c r="D834" t="inlineStr">
        <is>
          <t>JÄMTLANDS LÄN</t>
        </is>
      </c>
      <c r="E834" t="inlineStr">
        <is>
          <t>HÄRJEDALEN</t>
        </is>
      </c>
      <c r="G834" t="n">
        <v>12.5</v>
      </c>
      <c r="H834" t="n">
        <v>0</v>
      </c>
      <c r="I834" t="n">
        <v>0</v>
      </c>
      <c r="J834" t="n">
        <v>0</v>
      </c>
      <c r="K834" t="n">
        <v>0</v>
      </c>
      <c r="L834" t="n">
        <v>0</v>
      </c>
      <c r="M834" t="n">
        <v>0</v>
      </c>
      <c r="N834" t="n">
        <v>0</v>
      </c>
      <c r="O834" t="n">
        <v>0</v>
      </c>
      <c r="P834" t="n">
        <v>0</v>
      </c>
      <c r="Q834" t="n">
        <v>0</v>
      </c>
      <c r="R834" s="2" t="inlineStr"/>
    </row>
    <row r="835" ht="15" customHeight="1">
      <c r="A835" t="inlineStr">
        <is>
          <t>A 42673-2022</t>
        </is>
      </c>
      <c r="B835" s="1" t="n">
        <v>44832</v>
      </c>
      <c r="C835" s="1" t="n">
        <v>45787</v>
      </c>
      <c r="D835" t="inlineStr">
        <is>
          <t>JÄMTLANDS LÄN</t>
        </is>
      </c>
      <c r="E835" t="inlineStr">
        <is>
          <t>HÄRJEDALEN</t>
        </is>
      </c>
      <c r="F835" t="inlineStr">
        <is>
          <t>Bergvik skog väst AB</t>
        </is>
      </c>
      <c r="G835" t="n">
        <v>18.6</v>
      </c>
      <c r="H835" t="n">
        <v>0</v>
      </c>
      <c r="I835" t="n">
        <v>0</v>
      </c>
      <c r="J835" t="n">
        <v>0</v>
      </c>
      <c r="K835" t="n">
        <v>0</v>
      </c>
      <c r="L835" t="n">
        <v>0</v>
      </c>
      <c r="M835" t="n">
        <v>0</v>
      </c>
      <c r="N835" t="n">
        <v>0</v>
      </c>
      <c r="O835" t="n">
        <v>0</v>
      </c>
      <c r="P835" t="n">
        <v>0</v>
      </c>
      <c r="Q835" t="n">
        <v>0</v>
      </c>
      <c r="R835" s="2" t="inlineStr"/>
    </row>
    <row r="836" ht="15" customHeight="1">
      <c r="A836" t="inlineStr">
        <is>
          <t>A 42916-2022</t>
        </is>
      </c>
      <c r="B836" s="1" t="n">
        <v>44833</v>
      </c>
      <c r="C836" s="1" t="n">
        <v>45787</v>
      </c>
      <c r="D836" t="inlineStr">
        <is>
          <t>JÄMTLANDS LÄN</t>
        </is>
      </c>
      <c r="E836" t="inlineStr">
        <is>
          <t>HÄRJEDALEN</t>
        </is>
      </c>
      <c r="F836" t="inlineStr">
        <is>
          <t>Bergvik skog väst AB</t>
        </is>
      </c>
      <c r="G836" t="n">
        <v>8.6</v>
      </c>
      <c r="H836" t="n">
        <v>0</v>
      </c>
      <c r="I836" t="n">
        <v>0</v>
      </c>
      <c r="J836" t="n">
        <v>0</v>
      </c>
      <c r="K836" t="n">
        <v>0</v>
      </c>
      <c r="L836" t="n">
        <v>0</v>
      </c>
      <c r="M836" t="n">
        <v>0</v>
      </c>
      <c r="N836" t="n">
        <v>0</v>
      </c>
      <c r="O836" t="n">
        <v>0</v>
      </c>
      <c r="P836" t="n">
        <v>0</v>
      </c>
      <c r="Q836" t="n">
        <v>0</v>
      </c>
      <c r="R836" s="2" t="inlineStr"/>
    </row>
    <row r="837" ht="15" customHeight="1">
      <c r="A837" t="inlineStr">
        <is>
          <t>A 43293-2022</t>
        </is>
      </c>
      <c r="B837" s="1" t="n">
        <v>44834</v>
      </c>
      <c r="C837" s="1" t="n">
        <v>45787</v>
      </c>
      <c r="D837" t="inlineStr">
        <is>
          <t>JÄMTLANDS LÄN</t>
        </is>
      </c>
      <c r="E837" t="inlineStr">
        <is>
          <t>HÄRJEDALEN</t>
        </is>
      </c>
      <c r="F837" t="inlineStr">
        <is>
          <t>Bergvik skog väst AB</t>
        </is>
      </c>
      <c r="G837" t="n">
        <v>6.7</v>
      </c>
      <c r="H837" t="n">
        <v>0</v>
      </c>
      <c r="I837" t="n">
        <v>0</v>
      </c>
      <c r="J837" t="n">
        <v>0</v>
      </c>
      <c r="K837" t="n">
        <v>0</v>
      </c>
      <c r="L837" t="n">
        <v>0</v>
      </c>
      <c r="M837" t="n">
        <v>0</v>
      </c>
      <c r="N837" t="n">
        <v>0</v>
      </c>
      <c r="O837" t="n">
        <v>0</v>
      </c>
      <c r="P837" t="n">
        <v>0</v>
      </c>
      <c r="Q837" t="n">
        <v>0</v>
      </c>
      <c r="R837" s="2" t="inlineStr"/>
    </row>
    <row r="838" ht="15" customHeight="1">
      <c r="A838" t="inlineStr">
        <is>
          <t>A 43531-2022</t>
        </is>
      </c>
      <c r="B838" s="1" t="n">
        <v>44837</v>
      </c>
      <c r="C838" s="1" t="n">
        <v>45787</v>
      </c>
      <c r="D838" t="inlineStr">
        <is>
          <t>JÄMTLANDS LÄN</t>
        </is>
      </c>
      <c r="E838" t="inlineStr">
        <is>
          <t>HÄRJEDALEN</t>
        </is>
      </c>
      <c r="F838" t="inlineStr">
        <is>
          <t>Bergvik skog väst AB</t>
        </is>
      </c>
      <c r="G838" t="n">
        <v>7.1</v>
      </c>
      <c r="H838" t="n">
        <v>0</v>
      </c>
      <c r="I838" t="n">
        <v>0</v>
      </c>
      <c r="J838" t="n">
        <v>0</v>
      </c>
      <c r="K838" t="n">
        <v>0</v>
      </c>
      <c r="L838" t="n">
        <v>0</v>
      </c>
      <c r="M838" t="n">
        <v>0</v>
      </c>
      <c r="N838" t="n">
        <v>0</v>
      </c>
      <c r="O838" t="n">
        <v>0</v>
      </c>
      <c r="P838" t="n">
        <v>0</v>
      </c>
      <c r="Q838" t="n">
        <v>0</v>
      </c>
      <c r="R838" s="2" t="inlineStr"/>
    </row>
    <row r="839" ht="15" customHeight="1">
      <c r="A839" t="inlineStr">
        <is>
          <t>A 43552-2022</t>
        </is>
      </c>
      <c r="B839" s="1" t="n">
        <v>44837</v>
      </c>
      <c r="C839" s="1" t="n">
        <v>45787</v>
      </c>
      <c r="D839" t="inlineStr">
        <is>
          <t>JÄMTLANDS LÄN</t>
        </is>
      </c>
      <c r="E839" t="inlineStr">
        <is>
          <t>HÄRJEDALEN</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43825-2022</t>
        </is>
      </c>
      <c r="B840" s="1" t="n">
        <v>44838</v>
      </c>
      <c r="C840" s="1" t="n">
        <v>45787</v>
      </c>
      <c r="D840" t="inlineStr">
        <is>
          <t>JÄMTLANDS LÄN</t>
        </is>
      </c>
      <c r="E840" t="inlineStr">
        <is>
          <t>HÄRJEDALEN</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45017-2022</t>
        </is>
      </c>
      <c r="B841" s="1" t="n">
        <v>44841</v>
      </c>
      <c r="C841" s="1" t="n">
        <v>45787</v>
      </c>
      <c r="D841" t="inlineStr">
        <is>
          <t>JÄMTLANDS LÄN</t>
        </is>
      </c>
      <c r="E841" t="inlineStr">
        <is>
          <t>HÄRJEDALEN</t>
        </is>
      </c>
      <c r="F841" t="inlineStr">
        <is>
          <t>Bergvik skog väst AB</t>
        </is>
      </c>
      <c r="G841" t="n">
        <v>5.4</v>
      </c>
      <c r="H841" t="n">
        <v>0</v>
      </c>
      <c r="I841" t="n">
        <v>0</v>
      </c>
      <c r="J841" t="n">
        <v>0</v>
      </c>
      <c r="K841" t="n">
        <v>0</v>
      </c>
      <c r="L841" t="n">
        <v>0</v>
      </c>
      <c r="M841" t="n">
        <v>0</v>
      </c>
      <c r="N841" t="n">
        <v>0</v>
      </c>
      <c r="O841" t="n">
        <v>0</v>
      </c>
      <c r="P841" t="n">
        <v>0</v>
      </c>
      <c r="Q841" t="n">
        <v>0</v>
      </c>
      <c r="R841" s="2" t="inlineStr"/>
    </row>
    <row r="842" ht="15" customHeight="1">
      <c r="A842" t="inlineStr">
        <is>
          <t>A 47351-2022</t>
        </is>
      </c>
      <c r="B842" s="1" t="n">
        <v>44853</v>
      </c>
      <c r="C842" s="1" t="n">
        <v>45787</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47450-2022</t>
        </is>
      </c>
      <c r="B843" s="1" t="n">
        <v>44853</v>
      </c>
      <c r="C843" s="1" t="n">
        <v>45787</v>
      </c>
      <c r="D843" t="inlineStr">
        <is>
          <t>JÄMTLANDS LÄN</t>
        </is>
      </c>
      <c r="E843" t="inlineStr">
        <is>
          <t>HÄRJEDALEN</t>
        </is>
      </c>
      <c r="G843" t="n">
        <v>1.5</v>
      </c>
      <c r="H843" t="n">
        <v>0</v>
      </c>
      <c r="I843" t="n">
        <v>0</v>
      </c>
      <c r="J843" t="n">
        <v>0</v>
      </c>
      <c r="K843" t="n">
        <v>0</v>
      </c>
      <c r="L843" t="n">
        <v>0</v>
      </c>
      <c r="M843" t="n">
        <v>0</v>
      </c>
      <c r="N843" t="n">
        <v>0</v>
      </c>
      <c r="O843" t="n">
        <v>0</v>
      </c>
      <c r="P843" t="n">
        <v>0</v>
      </c>
      <c r="Q843" t="n">
        <v>0</v>
      </c>
      <c r="R843" s="2" t="inlineStr"/>
    </row>
    <row r="844" ht="15" customHeight="1">
      <c r="A844" t="inlineStr">
        <is>
          <t>A 47635-2022</t>
        </is>
      </c>
      <c r="B844" s="1" t="n">
        <v>44854</v>
      </c>
      <c r="C844" s="1" t="n">
        <v>45787</v>
      </c>
      <c r="D844" t="inlineStr">
        <is>
          <t>JÄMTLANDS LÄN</t>
        </is>
      </c>
      <c r="E844" t="inlineStr">
        <is>
          <t>HÄRJEDALEN</t>
        </is>
      </c>
      <c r="G844" t="n">
        <v>2.2</v>
      </c>
      <c r="H844" t="n">
        <v>0</v>
      </c>
      <c r="I844" t="n">
        <v>0</v>
      </c>
      <c r="J844" t="n">
        <v>0</v>
      </c>
      <c r="K844" t="n">
        <v>0</v>
      </c>
      <c r="L844" t="n">
        <v>0</v>
      </c>
      <c r="M844" t="n">
        <v>0</v>
      </c>
      <c r="N844" t="n">
        <v>0</v>
      </c>
      <c r="O844" t="n">
        <v>0</v>
      </c>
      <c r="P844" t="n">
        <v>0</v>
      </c>
      <c r="Q844" t="n">
        <v>0</v>
      </c>
      <c r="R844" s="2" t="inlineStr"/>
    </row>
    <row r="845" ht="15" customHeight="1">
      <c r="A845" t="inlineStr">
        <is>
          <t>A 47738-2022</t>
        </is>
      </c>
      <c r="B845" s="1" t="n">
        <v>44854</v>
      </c>
      <c r="C845" s="1" t="n">
        <v>45787</v>
      </c>
      <c r="D845" t="inlineStr">
        <is>
          <t>JÄMTLANDS LÄN</t>
        </is>
      </c>
      <c r="E845" t="inlineStr">
        <is>
          <t>HÄRJEDALEN</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47975-2022</t>
        </is>
      </c>
      <c r="B846" s="1" t="n">
        <v>44855</v>
      </c>
      <c r="C846" s="1" t="n">
        <v>45787</v>
      </c>
      <c r="D846" t="inlineStr">
        <is>
          <t>JÄMTLANDS LÄN</t>
        </is>
      </c>
      <c r="E846" t="inlineStr">
        <is>
          <t>HÄRJEDALEN</t>
        </is>
      </c>
      <c r="G846" t="n">
        <v>3</v>
      </c>
      <c r="H846" t="n">
        <v>0</v>
      </c>
      <c r="I846" t="n">
        <v>0</v>
      </c>
      <c r="J846" t="n">
        <v>0</v>
      </c>
      <c r="K846" t="n">
        <v>0</v>
      </c>
      <c r="L846" t="n">
        <v>0</v>
      </c>
      <c r="M846" t="n">
        <v>0</v>
      </c>
      <c r="N846" t="n">
        <v>0</v>
      </c>
      <c r="O846" t="n">
        <v>0</v>
      </c>
      <c r="P846" t="n">
        <v>0</v>
      </c>
      <c r="Q846" t="n">
        <v>0</v>
      </c>
      <c r="R846" s="2" t="inlineStr"/>
    </row>
    <row r="847" ht="15" customHeight="1">
      <c r="A847" t="inlineStr">
        <is>
          <t>A 48438-2022</t>
        </is>
      </c>
      <c r="B847" s="1" t="n">
        <v>44858</v>
      </c>
      <c r="C847" s="1" t="n">
        <v>45787</v>
      </c>
      <c r="D847" t="inlineStr">
        <is>
          <t>JÄMTLANDS LÄN</t>
        </is>
      </c>
      <c r="E847" t="inlineStr">
        <is>
          <t>HÄRJEDALEN</t>
        </is>
      </c>
      <c r="G847" t="n">
        <v>1.9</v>
      </c>
      <c r="H847" t="n">
        <v>0</v>
      </c>
      <c r="I847" t="n">
        <v>0</v>
      </c>
      <c r="J847" t="n">
        <v>0</v>
      </c>
      <c r="K847" t="n">
        <v>0</v>
      </c>
      <c r="L847" t="n">
        <v>0</v>
      </c>
      <c r="M847" t="n">
        <v>0</v>
      </c>
      <c r="N847" t="n">
        <v>0</v>
      </c>
      <c r="O847" t="n">
        <v>0</v>
      </c>
      <c r="P847" t="n">
        <v>0</v>
      </c>
      <c r="Q847" t="n">
        <v>0</v>
      </c>
      <c r="R847" s="2" t="inlineStr"/>
    </row>
    <row r="848" ht="15" customHeight="1">
      <c r="A848" t="inlineStr">
        <is>
          <t>A 48583-2022</t>
        </is>
      </c>
      <c r="B848" s="1" t="n">
        <v>44859</v>
      </c>
      <c r="C848" s="1" t="n">
        <v>45787</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49237-2022</t>
        </is>
      </c>
      <c r="B849" s="1" t="n">
        <v>44861</v>
      </c>
      <c r="C849" s="1" t="n">
        <v>45787</v>
      </c>
      <c r="D849" t="inlineStr">
        <is>
          <t>JÄMTLANDS LÄN</t>
        </is>
      </c>
      <c r="E849" t="inlineStr">
        <is>
          <t>HÄRJEDALEN</t>
        </is>
      </c>
      <c r="G849" t="n">
        <v>5.8</v>
      </c>
      <c r="H849" t="n">
        <v>0</v>
      </c>
      <c r="I849" t="n">
        <v>0</v>
      </c>
      <c r="J849" t="n">
        <v>0</v>
      </c>
      <c r="K849" t="n">
        <v>0</v>
      </c>
      <c r="L849" t="n">
        <v>0</v>
      </c>
      <c r="M849" t="n">
        <v>0</v>
      </c>
      <c r="N849" t="n">
        <v>0</v>
      </c>
      <c r="O849" t="n">
        <v>0</v>
      </c>
      <c r="P849" t="n">
        <v>0</v>
      </c>
      <c r="Q849" t="n">
        <v>0</v>
      </c>
      <c r="R849" s="2" t="inlineStr"/>
    </row>
    <row r="850" ht="15" customHeight="1">
      <c r="A850" t="inlineStr">
        <is>
          <t>A 49295-2022</t>
        </is>
      </c>
      <c r="B850" s="1" t="n">
        <v>44861</v>
      </c>
      <c r="C850" s="1" t="n">
        <v>45787</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49663-2022</t>
        </is>
      </c>
      <c r="B851" s="1" t="n">
        <v>44862</v>
      </c>
      <c r="C851" s="1" t="n">
        <v>45787</v>
      </c>
      <c r="D851" t="inlineStr">
        <is>
          <t>JÄMTLANDS LÄN</t>
        </is>
      </c>
      <c r="E851" t="inlineStr">
        <is>
          <t>HÄRJEDALEN</t>
        </is>
      </c>
      <c r="F851" t="inlineStr">
        <is>
          <t>Bergvik skog väst AB</t>
        </is>
      </c>
      <c r="G851" t="n">
        <v>17.5</v>
      </c>
      <c r="H851" t="n">
        <v>0</v>
      </c>
      <c r="I851" t="n">
        <v>0</v>
      </c>
      <c r="J851" t="n">
        <v>0</v>
      </c>
      <c r="K851" t="n">
        <v>0</v>
      </c>
      <c r="L851" t="n">
        <v>0</v>
      </c>
      <c r="M851" t="n">
        <v>0</v>
      </c>
      <c r="N851" t="n">
        <v>0</v>
      </c>
      <c r="O851" t="n">
        <v>0</v>
      </c>
      <c r="P851" t="n">
        <v>0</v>
      </c>
      <c r="Q851" t="n">
        <v>0</v>
      </c>
      <c r="R851" s="2" t="inlineStr"/>
    </row>
    <row r="852" ht="15" customHeight="1">
      <c r="A852" t="inlineStr">
        <is>
          <t>A 49689-2022</t>
        </is>
      </c>
      <c r="B852" s="1" t="n">
        <v>44862</v>
      </c>
      <c r="C852" s="1" t="n">
        <v>45787</v>
      </c>
      <c r="D852" t="inlineStr">
        <is>
          <t>JÄMTLANDS LÄN</t>
        </is>
      </c>
      <c r="E852" t="inlineStr">
        <is>
          <t>HÄRJEDALEN</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49995-2022</t>
        </is>
      </c>
      <c r="B853" s="1" t="n">
        <v>44865</v>
      </c>
      <c r="C853" s="1" t="n">
        <v>45787</v>
      </c>
      <c r="D853" t="inlineStr">
        <is>
          <t>JÄMTLANDS LÄN</t>
        </is>
      </c>
      <c r="E853" t="inlineStr">
        <is>
          <t>HÄRJEDALEN</t>
        </is>
      </c>
      <c r="F853" t="inlineStr">
        <is>
          <t>Bergvik skog väst AB</t>
        </is>
      </c>
      <c r="G853" t="n">
        <v>3</v>
      </c>
      <c r="H853" t="n">
        <v>0</v>
      </c>
      <c r="I853" t="n">
        <v>0</v>
      </c>
      <c r="J853" t="n">
        <v>0</v>
      </c>
      <c r="K853" t="n">
        <v>0</v>
      </c>
      <c r="L853" t="n">
        <v>0</v>
      </c>
      <c r="M853" t="n">
        <v>0</v>
      </c>
      <c r="N853" t="n">
        <v>0</v>
      </c>
      <c r="O853" t="n">
        <v>0</v>
      </c>
      <c r="P853" t="n">
        <v>0</v>
      </c>
      <c r="Q853" t="n">
        <v>0</v>
      </c>
      <c r="R853" s="2" t="inlineStr"/>
    </row>
    <row r="854" ht="15" customHeight="1">
      <c r="A854" t="inlineStr">
        <is>
          <t>A 51948-2022</t>
        </is>
      </c>
      <c r="B854" s="1" t="n">
        <v>44872</v>
      </c>
      <c r="C854" s="1" t="n">
        <v>45787</v>
      </c>
      <c r="D854" t="inlineStr">
        <is>
          <t>JÄMTLANDS LÄN</t>
        </is>
      </c>
      <c r="E854" t="inlineStr">
        <is>
          <t>HÄRJEDALEN</t>
        </is>
      </c>
      <c r="F854" t="inlineStr">
        <is>
          <t>Bergvik skog väst AB</t>
        </is>
      </c>
      <c r="G854" t="n">
        <v>3.8</v>
      </c>
      <c r="H854" t="n">
        <v>0</v>
      </c>
      <c r="I854" t="n">
        <v>0</v>
      </c>
      <c r="J854" t="n">
        <v>0</v>
      </c>
      <c r="K854" t="n">
        <v>0</v>
      </c>
      <c r="L854" t="n">
        <v>0</v>
      </c>
      <c r="M854" t="n">
        <v>0</v>
      </c>
      <c r="N854" t="n">
        <v>0</v>
      </c>
      <c r="O854" t="n">
        <v>0</v>
      </c>
      <c r="P854" t="n">
        <v>0</v>
      </c>
      <c r="Q854" t="n">
        <v>0</v>
      </c>
      <c r="R854" s="2" t="inlineStr"/>
    </row>
    <row r="855" ht="15" customHeight="1">
      <c r="A855" t="inlineStr">
        <is>
          <t>A 52852-2022</t>
        </is>
      </c>
      <c r="B855" s="1" t="n">
        <v>44872</v>
      </c>
      <c r="C855" s="1" t="n">
        <v>45787</v>
      </c>
      <c r="D855" t="inlineStr">
        <is>
          <t>JÄMTLANDS LÄN</t>
        </is>
      </c>
      <c r="E855" t="inlineStr">
        <is>
          <t>HÄRJEDALEN</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52867-2022</t>
        </is>
      </c>
      <c r="B856" s="1" t="n">
        <v>44872</v>
      </c>
      <c r="C856" s="1" t="n">
        <v>45787</v>
      </c>
      <c r="D856" t="inlineStr">
        <is>
          <t>JÄMTLANDS LÄN</t>
        </is>
      </c>
      <c r="E856" t="inlineStr">
        <is>
          <t>HÄRJEDALEN</t>
        </is>
      </c>
      <c r="G856" t="n">
        <v>0.3</v>
      </c>
      <c r="H856" t="n">
        <v>0</v>
      </c>
      <c r="I856" t="n">
        <v>0</v>
      </c>
      <c r="J856" t="n">
        <v>0</v>
      </c>
      <c r="K856" t="n">
        <v>0</v>
      </c>
      <c r="L856" t="n">
        <v>0</v>
      </c>
      <c r="M856" t="n">
        <v>0</v>
      </c>
      <c r="N856" t="n">
        <v>0</v>
      </c>
      <c r="O856" t="n">
        <v>0</v>
      </c>
      <c r="P856" t="n">
        <v>0</v>
      </c>
      <c r="Q856" t="n">
        <v>0</v>
      </c>
      <c r="R856" s="2" t="inlineStr"/>
    </row>
    <row r="857" ht="15" customHeight="1">
      <c r="A857" t="inlineStr">
        <is>
          <t>A 52339-2022</t>
        </is>
      </c>
      <c r="B857" s="1" t="n">
        <v>44873</v>
      </c>
      <c r="C857" s="1" t="n">
        <v>45787</v>
      </c>
      <c r="D857" t="inlineStr">
        <is>
          <t>JÄMTLANDS LÄN</t>
        </is>
      </c>
      <c r="E857" t="inlineStr">
        <is>
          <t>HÄRJEDALEN</t>
        </is>
      </c>
      <c r="G857" t="n">
        <v>28.1</v>
      </c>
      <c r="H857" t="n">
        <v>0</v>
      </c>
      <c r="I857" t="n">
        <v>0</v>
      </c>
      <c r="J857" t="n">
        <v>0</v>
      </c>
      <c r="K857" t="n">
        <v>0</v>
      </c>
      <c r="L857" t="n">
        <v>0</v>
      </c>
      <c r="M857" t="n">
        <v>0</v>
      </c>
      <c r="N857" t="n">
        <v>0</v>
      </c>
      <c r="O857" t="n">
        <v>0</v>
      </c>
      <c r="P857" t="n">
        <v>0</v>
      </c>
      <c r="Q857" t="n">
        <v>0</v>
      </c>
      <c r="R857" s="2" t="inlineStr"/>
    </row>
    <row r="858" ht="15" customHeight="1">
      <c r="A858" t="inlineStr">
        <is>
          <t>A 52586-2022</t>
        </is>
      </c>
      <c r="B858" s="1" t="n">
        <v>44874</v>
      </c>
      <c r="C858" s="1" t="n">
        <v>45787</v>
      </c>
      <c r="D858" t="inlineStr">
        <is>
          <t>JÄMTLANDS LÄN</t>
        </is>
      </c>
      <c r="E858" t="inlineStr">
        <is>
          <t>HÄRJEDALEN</t>
        </is>
      </c>
      <c r="F858" t="inlineStr">
        <is>
          <t>Bergvik skog väst AB</t>
        </is>
      </c>
      <c r="G858" t="n">
        <v>6.1</v>
      </c>
      <c r="H858" t="n">
        <v>0</v>
      </c>
      <c r="I858" t="n">
        <v>0</v>
      </c>
      <c r="J858" t="n">
        <v>0</v>
      </c>
      <c r="K858" t="n">
        <v>0</v>
      </c>
      <c r="L858" t="n">
        <v>0</v>
      </c>
      <c r="M858" t="n">
        <v>0</v>
      </c>
      <c r="N858" t="n">
        <v>0</v>
      </c>
      <c r="O858" t="n">
        <v>0</v>
      </c>
      <c r="P858" t="n">
        <v>0</v>
      </c>
      <c r="Q858" t="n">
        <v>0</v>
      </c>
      <c r="R858" s="2" t="inlineStr"/>
    </row>
    <row r="859" ht="15" customHeight="1">
      <c r="A859" t="inlineStr">
        <is>
          <t>A 53104-2022</t>
        </is>
      </c>
      <c r="B859" s="1" t="n">
        <v>44876</v>
      </c>
      <c r="C859" s="1" t="n">
        <v>45787</v>
      </c>
      <c r="D859" t="inlineStr">
        <is>
          <t>JÄMTLANDS LÄN</t>
        </is>
      </c>
      <c r="E859" t="inlineStr">
        <is>
          <t>HÄRJEDALEN</t>
        </is>
      </c>
      <c r="F859" t="inlineStr">
        <is>
          <t>Bergvik skog väst AB</t>
        </is>
      </c>
      <c r="G859" t="n">
        <v>0.7</v>
      </c>
      <c r="H859" t="n">
        <v>0</v>
      </c>
      <c r="I859" t="n">
        <v>0</v>
      </c>
      <c r="J859" t="n">
        <v>0</v>
      </c>
      <c r="K859" t="n">
        <v>0</v>
      </c>
      <c r="L859" t="n">
        <v>0</v>
      </c>
      <c r="M859" t="n">
        <v>0</v>
      </c>
      <c r="N859" t="n">
        <v>0</v>
      </c>
      <c r="O859" t="n">
        <v>0</v>
      </c>
      <c r="P859" t="n">
        <v>0</v>
      </c>
      <c r="Q859" t="n">
        <v>0</v>
      </c>
      <c r="R859" s="2" t="inlineStr"/>
    </row>
    <row r="860" ht="15" customHeight="1">
      <c r="A860" t="inlineStr">
        <is>
          <t>A 53107-2022</t>
        </is>
      </c>
      <c r="B860" s="1" t="n">
        <v>44876</v>
      </c>
      <c r="C860" s="1" t="n">
        <v>45787</v>
      </c>
      <c r="D860" t="inlineStr">
        <is>
          <t>JÄMTLANDS LÄN</t>
        </is>
      </c>
      <c r="E860" t="inlineStr">
        <is>
          <t>HÄRJEDALEN</t>
        </is>
      </c>
      <c r="F860" t="inlineStr">
        <is>
          <t>Bergvik skog väst AB</t>
        </is>
      </c>
      <c r="G860" t="n">
        <v>9.1</v>
      </c>
      <c r="H860" t="n">
        <v>0</v>
      </c>
      <c r="I860" t="n">
        <v>0</v>
      </c>
      <c r="J860" t="n">
        <v>0</v>
      </c>
      <c r="K860" t="n">
        <v>0</v>
      </c>
      <c r="L860" t="n">
        <v>0</v>
      </c>
      <c r="M860" t="n">
        <v>0</v>
      </c>
      <c r="N860" t="n">
        <v>0</v>
      </c>
      <c r="O860" t="n">
        <v>0</v>
      </c>
      <c r="P860" t="n">
        <v>0</v>
      </c>
      <c r="Q860" t="n">
        <v>0</v>
      </c>
      <c r="R860" s="2" t="inlineStr"/>
    </row>
    <row r="861" ht="15" customHeight="1">
      <c r="A861" t="inlineStr">
        <is>
          <t>A 53120-2022</t>
        </is>
      </c>
      <c r="B861" s="1" t="n">
        <v>44876</v>
      </c>
      <c r="C861" s="1" t="n">
        <v>45787</v>
      </c>
      <c r="D861" t="inlineStr">
        <is>
          <t>JÄMTLANDS LÄN</t>
        </is>
      </c>
      <c r="E861" t="inlineStr">
        <is>
          <t>HÄRJEDALEN</t>
        </is>
      </c>
      <c r="F861" t="inlineStr">
        <is>
          <t>Bergvik skog väst AB</t>
        </is>
      </c>
      <c r="G861" t="n">
        <v>2.9</v>
      </c>
      <c r="H861" t="n">
        <v>0</v>
      </c>
      <c r="I861" t="n">
        <v>0</v>
      </c>
      <c r="J861" t="n">
        <v>0</v>
      </c>
      <c r="K861" t="n">
        <v>0</v>
      </c>
      <c r="L861" t="n">
        <v>0</v>
      </c>
      <c r="M861" t="n">
        <v>0</v>
      </c>
      <c r="N861" t="n">
        <v>0</v>
      </c>
      <c r="O861" t="n">
        <v>0</v>
      </c>
      <c r="P861" t="n">
        <v>0</v>
      </c>
      <c r="Q861" t="n">
        <v>0</v>
      </c>
      <c r="R861" s="2" t="inlineStr"/>
    </row>
    <row r="862" ht="15" customHeight="1">
      <c r="A862" t="inlineStr">
        <is>
          <t>A 53563-2022</t>
        </is>
      </c>
      <c r="B862" s="1" t="n">
        <v>44879</v>
      </c>
      <c r="C862" s="1" t="n">
        <v>45787</v>
      </c>
      <c r="D862" t="inlineStr">
        <is>
          <t>JÄMTLANDS LÄN</t>
        </is>
      </c>
      <c r="E862" t="inlineStr">
        <is>
          <t>HÄRJEDALEN</t>
        </is>
      </c>
      <c r="G862" t="n">
        <v>8.6</v>
      </c>
      <c r="H862" t="n">
        <v>0</v>
      </c>
      <c r="I862" t="n">
        <v>0</v>
      </c>
      <c r="J862" t="n">
        <v>0</v>
      </c>
      <c r="K862" t="n">
        <v>0</v>
      </c>
      <c r="L862" t="n">
        <v>0</v>
      </c>
      <c r="M862" t="n">
        <v>0</v>
      </c>
      <c r="N862" t="n">
        <v>0</v>
      </c>
      <c r="O862" t="n">
        <v>0</v>
      </c>
      <c r="P862" t="n">
        <v>0</v>
      </c>
      <c r="Q862" t="n">
        <v>0</v>
      </c>
      <c r="R862" s="2" t="inlineStr"/>
    </row>
    <row r="863" ht="15" customHeight="1">
      <c r="A863" t="inlineStr">
        <is>
          <t>A 54059-2022</t>
        </is>
      </c>
      <c r="B863" s="1" t="n">
        <v>44881</v>
      </c>
      <c r="C863" s="1" t="n">
        <v>45787</v>
      </c>
      <c r="D863" t="inlineStr">
        <is>
          <t>JÄMTLANDS LÄN</t>
        </is>
      </c>
      <c r="E863" t="inlineStr">
        <is>
          <t>HÄRJEDALEN</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54065-2022</t>
        </is>
      </c>
      <c r="B864" s="1" t="n">
        <v>44881</v>
      </c>
      <c r="C864" s="1" t="n">
        <v>45787</v>
      </c>
      <c r="D864" t="inlineStr">
        <is>
          <t>JÄMTLANDS LÄN</t>
        </is>
      </c>
      <c r="E864" t="inlineStr">
        <is>
          <t>HÄRJEDALEN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54305-2022</t>
        </is>
      </c>
      <c r="B865" s="1" t="n">
        <v>44882</v>
      </c>
      <c r="C865" s="1" t="n">
        <v>45787</v>
      </c>
      <c r="D865" t="inlineStr">
        <is>
          <t>JÄMTLANDS LÄN</t>
        </is>
      </c>
      <c r="E865" t="inlineStr">
        <is>
          <t>HÄRJEDALEN</t>
        </is>
      </c>
      <c r="G865" t="n">
        <v>2.3</v>
      </c>
      <c r="H865" t="n">
        <v>0</v>
      </c>
      <c r="I865" t="n">
        <v>0</v>
      </c>
      <c r="J865" t="n">
        <v>0</v>
      </c>
      <c r="K865" t="n">
        <v>0</v>
      </c>
      <c r="L865" t="n">
        <v>0</v>
      </c>
      <c r="M865" t="n">
        <v>0</v>
      </c>
      <c r="N865" t="n">
        <v>0</v>
      </c>
      <c r="O865" t="n">
        <v>0</v>
      </c>
      <c r="P865" t="n">
        <v>0</v>
      </c>
      <c r="Q865" t="n">
        <v>0</v>
      </c>
      <c r="R865" s="2" t="inlineStr"/>
    </row>
    <row r="866" ht="15" customHeight="1">
      <c r="A866" t="inlineStr">
        <is>
          <t>A 54661-2022</t>
        </is>
      </c>
      <c r="B866" s="1" t="n">
        <v>44883</v>
      </c>
      <c r="C866" s="1" t="n">
        <v>45787</v>
      </c>
      <c r="D866" t="inlineStr">
        <is>
          <t>JÄMTLANDS LÄN</t>
        </is>
      </c>
      <c r="E866" t="inlineStr">
        <is>
          <t>HÄRJEDALEN</t>
        </is>
      </c>
      <c r="G866" t="n">
        <v>5.9</v>
      </c>
      <c r="H866" t="n">
        <v>0</v>
      </c>
      <c r="I866" t="n">
        <v>0</v>
      </c>
      <c r="J866" t="n">
        <v>0</v>
      </c>
      <c r="K866" t="n">
        <v>0</v>
      </c>
      <c r="L866" t="n">
        <v>0</v>
      </c>
      <c r="M866" t="n">
        <v>0</v>
      </c>
      <c r="N866" t="n">
        <v>0</v>
      </c>
      <c r="O866" t="n">
        <v>0</v>
      </c>
      <c r="P866" t="n">
        <v>0</v>
      </c>
      <c r="Q866" t="n">
        <v>0</v>
      </c>
      <c r="R866" s="2" t="inlineStr"/>
    </row>
    <row r="867" ht="15" customHeight="1">
      <c r="A867" t="inlineStr">
        <is>
          <t>A 54762-2022</t>
        </is>
      </c>
      <c r="B867" s="1" t="n">
        <v>44883</v>
      </c>
      <c r="C867" s="1" t="n">
        <v>45787</v>
      </c>
      <c r="D867" t="inlineStr">
        <is>
          <t>JÄMTLANDS LÄN</t>
        </is>
      </c>
      <c r="E867" t="inlineStr">
        <is>
          <t>HÄRJEDALEN</t>
        </is>
      </c>
      <c r="G867" t="n">
        <v>1.8</v>
      </c>
      <c r="H867" t="n">
        <v>0</v>
      </c>
      <c r="I867" t="n">
        <v>0</v>
      </c>
      <c r="J867" t="n">
        <v>0</v>
      </c>
      <c r="K867" t="n">
        <v>0</v>
      </c>
      <c r="L867" t="n">
        <v>0</v>
      </c>
      <c r="M867" t="n">
        <v>0</v>
      </c>
      <c r="N867" t="n">
        <v>0</v>
      </c>
      <c r="O867" t="n">
        <v>0</v>
      </c>
      <c r="P867" t="n">
        <v>0</v>
      </c>
      <c r="Q867" t="n">
        <v>0</v>
      </c>
      <c r="R867" s="2" t="inlineStr"/>
    </row>
    <row r="868" ht="15" customHeight="1">
      <c r="A868" t="inlineStr">
        <is>
          <t>A 55100-2022</t>
        </is>
      </c>
      <c r="B868" s="1" t="n">
        <v>44886</v>
      </c>
      <c r="C868" s="1" t="n">
        <v>45787</v>
      </c>
      <c r="D868" t="inlineStr">
        <is>
          <t>JÄMTLANDS LÄN</t>
        </is>
      </c>
      <c r="E868" t="inlineStr">
        <is>
          <t>HÄRJEDALEN</t>
        </is>
      </c>
      <c r="G868" t="n">
        <v>4.4</v>
      </c>
      <c r="H868" t="n">
        <v>0</v>
      </c>
      <c r="I868" t="n">
        <v>0</v>
      </c>
      <c r="J868" t="n">
        <v>0</v>
      </c>
      <c r="K868" t="n">
        <v>0</v>
      </c>
      <c r="L868" t="n">
        <v>0</v>
      </c>
      <c r="M868" t="n">
        <v>0</v>
      </c>
      <c r="N868" t="n">
        <v>0</v>
      </c>
      <c r="O868" t="n">
        <v>0</v>
      </c>
      <c r="P868" t="n">
        <v>0</v>
      </c>
      <c r="Q868" t="n">
        <v>0</v>
      </c>
      <c r="R868" s="2" t="inlineStr"/>
    </row>
    <row r="869" ht="15" customHeight="1">
      <c r="A869" t="inlineStr">
        <is>
          <t>A 55103-2022</t>
        </is>
      </c>
      <c r="B869" s="1" t="n">
        <v>44886</v>
      </c>
      <c r="C869" s="1" t="n">
        <v>45787</v>
      </c>
      <c r="D869" t="inlineStr">
        <is>
          <t>JÄMTLANDS LÄN</t>
        </is>
      </c>
      <c r="E869" t="inlineStr">
        <is>
          <t>HÄRJEDALEN</t>
        </is>
      </c>
      <c r="G869" t="n">
        <v>1</v>
      </c>
      <c r="H869" t="n">
        <v>0</v>
      </c>
      <c r="I869" t="n">
        <v>0</v>
      </c>
      <c r="J869" t="n">
        <v>0</v>
      </c>
      <c r="K869" t="n">
        <v>0</v>
      </c>
      <c r="L869" t="n">
        <v>0</v>
      </c>
      <c r="M869" t="n">
        <v>0</v>
      </c>
      <c r="N869" t="n">
        <v>0</v>
      </c>
      <c r="O869" t="n">
        <v>0</v>
      </c>
      <c r="P869" t="n">
        <v>0</v>
      </c>
      <c r="Q869" t="n">
        <v>0</v>
      </c>
      <c r="R869" s="2" t="inlineStr"/>
    </row>
    <row r="870" ht="15" customHeight="1">
      <c r="A870" t="inlineStr">
        <is>
          <t>A 55931-2022</t>
        </is>
      </c>
      <c r="B870" s="1" t="n">
        <v>44886</v>
      </c>
      <c r="C870" s="1" t="n">
        <v>45787</v>
      </c>
      <c r="D870" t="inlineStr">
        <is>
          <t>JÄMTLANDS LÄN</t>
        </is>
      </c>
      <c r="E870" t="inlineStr">
        <is>
          <t>HÄRJEDALEN</t>
        </is>
      </c>
      <c r="F870" t="inlineStr">
        <is>
          <t>Övriga statliga verk och myndigheter</t>
        </is>
      </c>
      <c r="G870" t="n">
        <v>2.9</v>
      </c>
      <c r="H870" t="n">
        <v>0</v>
      </c>
      <c r="I870" t="n">
        <v>0</v>
      </c>
      <c r="J870" t="n">
        <v>0</v>
      </c>
      <c r="K870" t="n">
        <v>0</v>
      </c>
      <c r="L870" t="n">
        <v>0</v>
      </c>
      <c r="M870" t="n">
        <v>0</v>
      </c>
      <c r="N870" t="n">
        <v>0</v>
      </c>
      <c r="O870" t="n">
        <v>0</v>
      </c>
      <c r="P870" t="n">
        <v>0</v>
      </c>
      <c r="Q870" t="n">
        <v>0</v>
      </c>
      <c r="R870" s="2" t="inlineStr"/>
    </row>
    <row r="871" ht="15" customHeight="1">
      <c r="A871" t="inlineStr">
        <is>
          <t>A 55969-2022</t>
        </is>
      </c>
      <c r="B871" s="1" t="n">
        <v>44886</v>
      </c>
      <c r="C871" s="1" t="n">
        <v>45787</v>
      </c>
      <c r="D871" t="inlineStr">
        <is>
          <t>JÄMTLANDS LÄN</t>
        </is>
      </c>
      <c r="E871" t="inlineStr">
        <is>
          <t>HÄRJEDALEN</t>
        </is>
      </c>
      <c r="F871" t="inlineStr">
        <is>
          <t>Övriga statliga verk och myndigheter</t>
        </is>
      </c>
      <c r="G871" t="n">
        <v>1.6</v>
      </c>
      <c r="H871" t="n">
        <v>0</v>
      </c>
      <c r="I871" t="n">
        <v>0</v>
      </c>
      <c r="J871" t="n">
        <v>0</v>
      </c>
      <c r="K871" t="n">
        <v>0</v>
      </c>
      <c r="L871" t="n">
        <v>0</v>
      </c>
      <c r="M871" t="n">
        <v>0</v>
      </c>
      <c r="N871" t="n">
        <v>0</v>
      </c>
      <c r="O871" t="n">
        <v>0</v>
      </c>
      <c r="P871" t="n">
        <v>0</v>
      </c>
      <c r="Q871" t="n">
        <v>0</v>
      </c>
      <c r="R871" s="2" t="inlineStr"/>
    </row>
    <row r="872" ht="15" customHeight="1">
      <c r="A872" t="inlineStr">
        <is>
          <t>A 56043-2022</t>
        </is>
      </c>
      <c r="B872" s="1" t="n">
        <v>44889</v>
      </c>
      <c r="C872" s="1" t="n">
        <v>45787</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57223-2022</t>
        </is>
      </c>
      <c r="B873" s="1" t="n">
        <v>44889</v>
      </c>
      <c r="C873" s="1" t="n">
        <v>45787</v>
      </c>
      <c r="D873" t="inlineStr">
        <is>
          <t>JÄMTLANDS LÄN</t>
        </is>
      </c>
      <c r="E873" t="inlineStr">
        <is>
          <t>HÄRJEDALEN</t>
        </is>
      </c>
      <c r="G873" t="n">
        <v>1.4</v>
      </c>
      <c r="H873" t="n">
        <v>0</v>
      </c>
      <c r="I873" t="n">
        <v>0</v>
      </c>
      <c r="J873" t="n">
        <v>0</v>
      </c>
      <c r="K873" t="n">
        <v>0</v>
      </c>
      <c r="L873" t="n">
        <v>0</v>
      </c>
      <c r="M873" t="n">
        <v>0</v>
      </c>
      <c r="N873" t="n">
        <v>0</v>
      </c>
      <c r="O873" t="n">
        <v>0</v>
      </c>
      <c r="P873" t="n">
        <v>0</v>
      </c>
      <c r="Q873" t="n">
        <v>0</v>
      </c>
      <c r="R873" s="2" t="inlineStr"/>
    </row>
    <row r="874" ht="15" customHeight="1">
      <c r="A874" t="inlineStr">
        <is>
          <t>A 56533-2022</t>
        </is>
      </c>
      <c r="B874" s="1" t="n">
        <v>44893</v>
      </c>
      <c r="C874" s="1" t="n">
        <v>45787</v>
      </c>
      <c r="D874" t="inlineStr">
        <is>
          <t>JÄMTLANDS LÄN</t>
        </is>
      </c>
      <c r="E874" t="inlineStr">
        <is>
          <t>HÄRJEDALEN</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56992-2022</t>
        </is>
      </c>
      <c r="B875" s="1" t="n">
        <v>44894</v>
      </c>
      <c r="C875" s="1" t="n">
        <v>45787</v>
      </c>
      <c r="D875" t="inlineStr">
        <is>
          <t>JÄMTLANDS LÄN</t>
        </is>
      </c>
      <c r="E875" t="inlineStr">
        <is>
          <t>HÄRJEDALEN</t>
        </is>
      </c>
      <c r="G875" t="n">
        <v>1.2</v>
      </c>
      <c r="H875" t="n">
        <v>0</v>
      </c>
      <c r="I875" t="n">
        <v>0</v>
      </c>
      <c r="J875" t="n">
        <v>0</v>
      </c>
      <c r="K875" t="n">
        <v>0</v>
      </c>
      <c r="L875" t="n">
        <v>0</v>
      </c>
      <c r="M875" t="n">
        <v>0</v>
      </c>
      <c r="N875" t="n">
        <v>0</v>
      </c>
      <c r="O875" t="n">
        <v>0</v>
      </c>
      <c r="P875" t="n">
        <v>0</v>
      </c>
      <c r="Q875" t="n">
        <v>0</v>
      </c>
      <c r="R875" s="2" t="inlineStr"/>
    </row>
    <row r="876" ht="15" customHeight="1">
      <c r="A876" t="inlineStr">
        <is>
          <t>A 58425-2022</t>
        </is>
      </c>
      <c r="B876" s="1" t="n">
        <v>44901</v>
      </c>
      <c r="C876" s="1" t="n">
        <v>45787</v>
      </c>
      <c r="D876" t="inlineStr">
        <is>
          <t>JÄMTLANDS LÄN</t>
        </is>
      </c>
      <c r="E876" t="inlineStr">
        <is>
          <t>HÄRJEDALEN</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59094-2022</t>
        </is>
      </c>
      <c r="B877" s="1" t="n">
        <v>44904</v>
      </c>
      <c r="C877" s="1" t="n">
        <v>45787</v>
      </c>
      <c r="D877" t="inlineStr">
        <is>
          <t>JÄMTLANDS LÄN</t>
        </is>
      </c>
      <c r="E877" t="inlineStr">
        <is>
          <t>HÄRJEDALEN</t>
        </is>
      </c>
      <c r="F877" t="inlineStr">
        <is>
          <t>Bergvik skog väst AB</t>
        </is>
      </c>
      <c r="G877" t="n">
        <v>49.8</v>
      </c>
      <c r="H877" t="n">
        <v>0</v>
      </c>
      <c r="I877" t="n">
        <v>0</v>
      </c>
      <c r="J877" t="n">
        <v>0</v>
      </c>
      <c r="K877" t="n">
        <v>0</v>
      </c>
      <c r="L877" t="n">
        <v>0</v>
      </c>
      <c r="M877" t="n">
        <v>0</v>
      </c>
      <c r="N877" t="n">
        <v>0</v>
      </c>
      <c r="O877" t="n">
        <v>0</v>
      </c>
      <c r="P877" t="n">
        <v>0</v>
      </c>
      <c r="Q877" t="n">
        <v>0</v>
      </c>
      <c r="R877" s="2" t="inlineStr"/>
    </row>
    <row r="878" ht="15" customHeight="1">
      <c r="A878" t="inlineStr">
        <is>
          <t>A 59112-2022</t>
        </is>
      </c>
      <c r="B878" s="1" t="n">
        <v>44904</v>
      </c>
      <c r="C878" s="1" t="n">
        <v>45787</v>
      </c>
      <c r="D878" t="inlineStr">
        <is>
          <t>JÄMTLANDS LÄN</t>
        </is>
      </c>
      <c r="E878" t="inlineStr">
        <is>
          <t>HÄRJEDALEN</t>
        </is>
      </c>
      <c r="F878" t="inlineStr">
        <is>
          <t>Bergvik skog väst AB</t>
        </is>
      </c>
      <c r="G878" t="n">
        <v>5.7</v>
      </c>
      <c r="H878" t="n">
        <v>0</v>
      </c>
      <c r="I878" t="n">
        <v>0</v>
      </c>
      <c r="J878" t="n">
        <v>0</v>
      </c>
      <c r="K878" t="n">
        <v>0</v>
      </c>
      <c r="L878" t="n">
        <v>0</v>
      </c>
      <c r="M878" t="n">
        <v>0</v>
      </c>
      <c r="N878" t="n">
        <v>0</v>
      </c>
      <c r="O878" t="n">
        <v>0</v>
      </c>
      <c r="P878" t="n">
        <v>0</v>
      </c>
      <c r="Q878" t="n">
        <v>0</v>
      </c>
      <c r="R878" s="2" t="inlineStr"/>
    </row>
    <row r="879" ht="15" customHeight="1">
      <c r="A879" t="inlineStr">
        <is>
          <t>A 59824-2022</t>
        </is>
      </c>
      <c r="B879" s="1" t="n">
        <v>44908</v>
      </c>
      <c r="C879" s="1" t="n">
        <v>45787</v>
      </c>
      <c r="D879" t="inlineStr">
        <is>
          <t>JÄMTLANDS LÄN</t>
        </is>
      </c>
      <c r="E879" t="inlineStr">
        <is>
          <t>HÄRJEDALEN</t>
        </is>
      </c>
      <c r="G879" t="n">
        <v>4.9</v>
      </c>
      <c r="H879" t="n">
        <v>0</v>
      </c>
      <c r="I879" t="n">
        <v>0</v>
      </c>
      <c r="J879" t="n">
        <v>0</v>
      </c>
      <c r="K879" t="n">
        <v>0</v>
      </c>
      <c r="L879" t="n">
        <v>0</v>
      </c>
      <c r="M879" t="n">
        <v>0</v>
      </c>
      <c r="N879" t="n">
        <v>0</v>
      </c>
      <c r="O879" t="n">
        <v>0</v>
      </c>
      <c r="P879" t="n">
        <v>0</v>
      </c>
      <c r="Q879" t="n">
        <v>0</v>
      </c>
      <c r="R879" s="2" t="inlineStr"/>
    </row>
    <row r="880" ht="15" customHeight="1">
      <c r="A880" t="inlineStr">
        <is>
          <t>A 59851-2022</t>
        </is>
      </c>
      <c r="B880" s="1" t="n">
        <v>44908</v>
      </c>
      <c r="C880" s="1" t="n">
        <v>45787</v>
      </c>
      <c r="D880" t="inlineStr">
        <is>
          <t>JÄMTLANDS LÄN</t>
        </is>
      </c>
      <c r="E880" t="inlineStr">
        <is>
          <t>HÄRJEDALEN</t>
        </is>
      </c>
      <c r="G880" t="n">
        <v>3.2</v>
      </c>
      <c r="H880" t="n">
        <v>0</v>
      </c>
      <c r="I880" t="n">
        <v>0</v>
      </c>
      <c r="J880" t="n">
        <v>0</v>
      </c>
      <c r="K880" t="n">
        <v>0</v>
      </c>
      <c r="L880" t="n">
        <v>0</v>
      </c>
      <c r="M880" t="n">
        <v>0</v>
      </c>
      <c r="N880" t="n">
        <v>0</v>
      </c>
      <c r="O880" t="n">
        <v>0</v>
      </c>
      <c r="P880" t="n">
        <v>0</v>
      </c>
      <c r="Q880" t="n">
        <v>0</v>
      </c>
      <c r="R880" s="2" t="inlineStr"/>
    </row>
    <row r="881" ht="15" customHeight="1">
      <c r="A881" t="inlineStr">
        <is>
          <t>A 59828-2022</t>
        </is>
      </c>
      <c r="B881" s="1" t="n">
        <v>44908</v>
      </c>
      <c r="C881" s="1" t="n">
        <v>45787</v>
      </c>
      <c r="D881" t="inlineStr">
        <is>
          <t>JÄMTLANDS LÄN</t>
        </is>
      </c>
      <c r="E881" t="inlineStr">
        <is>
          <t>HÄRJEDALEN</t>
        </is>
      </c>
      <c r="G881" t="n">
        <v>7.4</v>
      </c>
      <c r="H881" t="n">
        <v>0</v>
      </c>
      <c r="I881" t="n">
        <v>0</v>
      </c>
      <c r="J881" t="n">
        <v>0</v>
      </c>
      <c r="K881" t="n">
        <v>0</v>
      </c>
      <c r="L881" t="n">
        <v>0</v>
      </c>
      <c r="M881" t="n">
        <v>0</v>
      </c>
      <c r="N881" t="n">
        <v>0</v>
      </c>
      <c r="O881" t="n">
        <v>0</v>
      </c>
      <c r="P881" t="n">
        <v>0</v>
      </c>
      <c r="Q881" t="n">
        <v>0</v>
      </c>
      <c r="R881" s="2" t="inlineStr"/>
    </row>
    <row r="882" ht="15" customHeight="1">
      <c r="A882" t="inlineStr">
        <is>
          <t>A 59818-2022</t>
        </is>
      </c>
      <c r="B882" s="1" t="n">
        <v>44908</v>
      </c>
      <c r="C882" s="1" t="n">
        <v>45787</v>
      </c>
      <c r="D882" t="inlineStr">
        <is>
          <t>JÄMTLANDS LÄN</t>
        </is>
      </c>
      <c r="E882" t="inlineStr">
        <is>
          <t>HÄRJEDALEN</t>
        </is>
      </c>
      <c r="G882" t="n">
        <v>5.3</v>
      </c>
      <c r="H882" t="n">
        <v>0</v>
      </c>
      <c r="I882" t="n">
        <v>0</v>
      </c>
      <c r="J882" t="n">
        <v>0</v>
      </c>
      <c r="K882" t="n">
        <v>0</v>
      </c>
      <c r="L882" t="n">
        <v>0</v>
      </c>
      <c r="M882" t="n">
        <v>0</v>
      </c>
      <c r="N882" t="n">
        <v>0</v>
      </c>
      <c r="O882" t="n">
        <v>0</v>
      </c>
      <c r="P882" t="n">
        <v>0</v>
      </c>
      <c r="Q882" t="n">
        <v>0</v>
      </c>
      <c r="R882" s="2" t="inlineStr"/>
    </row>
    <row r="883" ht="15" customHeight="1">
      <c r="A883" t="inlineStr">
        <is>
          <t>A 61300-2022</t>
        </is>
      </c>
      <c r="B883" s="1" t="n">
        <v>44909</v>
      </c>
      <c r="C883" s="1" t="n">
        <v>45787</v>
      </c>
      <c r="D883" t="inlineStr">
        <is>
          <t>JÄMTLANDS LÄN</t>
        </is>
      </c>
      <c r="E883" t="inlineStr">
        <is>
          <t>HÄRJEDALEN</t>
        </is>
      </c>
      <c r="F883" t="inlineStr">
        <is>
          <t>Bergvik skog väst AB</t>
        </is>
      </c>
      <c r="G883" t="n">
        <v>14.1</v>
      </c>
      <c r="H883" t="n">
        <v>0</v>
      </c>
      <c r="I883" t="n">
        <v>0</v>
      </c>
      <c r="J883" t="n">
        <v>0</v>
      </c>
      <c r="K883" t="n">
        <v>0</v>
      </c>
      <c r="L883" t="n">
        <v>0</v>
      </c>
      <c r="M883" t="n">
        <v>0</v>
      </c>
      <c r="N883" t="n">
        <v>0</v>
      </c>
      <c r="O883" t="n">
        <v>0</v>
      </c>
      <c r="P883" t="n">
        <v>0</v>
      </c>
      <c r="Q883" t="n">
        <v>0</v>
      </c>
      <c r="R883" s="2" t="inlineStr"/>
    </row>
    <row r="884" ht="15" customHeight="1">
      <c r="A884" t="inlineStr">
        <is>
          <t>A 60236-2022</t>
        </is>
      </c>
      <c r="B884" s="1" t="n">
        <v>44910</v>
      </c>
      <c r="C884" s="1" t="n">
        <v>45787</v>
      </c>
      <c r="D884" t="inlineStr">
        <is>
          <t>JÄMTLANDS LÄN</t>
        </is>
      </c>
      <c r="E884" t="inlineStr">
        <is>
          <t>HÄRJEDALEN</t>
        </is>
      </c>
      <c r="G884" t="n">
        <v>2</v>
      </c>
      <c r="H884" t="n">
        <v>0</v>
      </c>
      <c r="I884" t="n">
        <v>0</v>
      </c>
      <c r="J884" t="n">
        <v>0</v>
      </c>
      <c r="K884" t="n">
        <v>0</v>
      </c>
      <c r="L884" t="n">
        <v>0</v>
      </c>
      <c r="M884" t="n">
        <v>0</v>
      </c>
      <c r="N884" t="n">
        <v>0</v>
      </c>
      <c r="O884" t="n">
        <v>0</v>
      </c>
      <c r="P884" t="n">
        <v>0</v>
      </c>
      <c r="Q884" t="n">
        <v>0</v>
      </c>
      <c r="R884" s="2" t="inlineStr"/>
    </row>
    <row r="885" ht="15" customHeight="1">
      <c r="A885" t="inlineStr">
        <is>
          <t>A 60542-2022</t>
        </is>
      </c>
      <c r="B885" s="1" t="n">
        <v>44911</v>
      </c>
      <c r="C885" s="1" t="n">
        <v>45787</v>
      </c>
      <c r="D885" t="inlineStr">
        <is>
          <t>JÄMTLANDS LÄN</t>
        </is>
      </c>
      <c r="E885" t="inlineStr">
        <is>
          <t>HÄRJEDALEN</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60887-2022</t>
        </is>
      </c>
      <c r="B886" s="1" t="n">
        <v>44914</v>
      </c>
      <c r="C886" s="1" t="n">
        <v>45787</v>
      </c>
      <c r="D886" t="inlineStr">
        <is>
          <t>JÄMTLANDS LÄN</t>
        </is>
      </c>
      <c r="E886" t="inlineStr">
        <is>
          <t>HÄRJEDALEN</t>
        </is>
      </c>
      <c r="G886" t="n">
        <v>0.9</v>
      </c>
      <c r="H886" t="n">
        <v>0</v>
      </c>
      <c r="I886" t="n">
        <v>0</v>
      </c>
      <c r="J886" t="n">
        <v>0</v>
      </c>
      <c r="K886" t="n">
        <v>0</v>
      </c>
      <c r="L886" t="n">
        <v>0</v>
      </c>
      <c r="M886" t="n">
        <v>0</v>
      </c>
      <c r="N886" t="n">
        <v>0</v>
      </c>
      <c r="O886" t="n">
        <v>0</v>
      </c>
      <c r="P886" t="n">
        <v>0</v>
      </c>
      <c r="Q886" t="n">
        <v>0</v>
      </c>
      <c r="R886" s="2" t="inlineStr"/>
    </row>
    <row r="887" ht="15" customHeight="1">
      <c r="A887" t="inlineStr">
        <is>
          <t>A 60983-2022</t>
        </is>
      </c>
      <c r="B887" s="1" t="n">
        <v>44914</v>
      </c>
      <c r="C887" s="1" t="n">
        <v>45787</v>
      </c>
      <c r="D887" t="inlineStr">
        <is>
          <t>JÄMTLANDS LÄN</t>
        </is>
      </c>
      <c r="E887" t="inlineStr">
        <is>
          <t>HÄRJEDALEN</t>
        </is>
      </c>
      <c r="G887" t="n">
        <v>44</v>
      </c>
      <c r="H887" t="n">
        <v>0</v>
      </c>
      <c r="I887" t="n">
        <v>0</v>
      </c>
      <c r="J887" t="n">
        <v>0</v>
      </c>
      <c r="K887" t="n">
        <v>0</v>
      </c>
      <c r="L887" t="n">
        <v>0</v>
      </c>
      <c r="M887" t="n">
        <v>0</v>
      </c>
      <c r="N887" t="n">
        <v>0</v>
      </c>
      <c r="O887" t="n">
        <v>0</v>
      </c>
      <c r="P887" t="n">
        <v>0</v>
      </c>
      <c r="Q887" t="n">
        <v>0</v>
      </c>
      <c r="R887" s="2" t="inlineStr"/>
    </row>
    <row r="888" ht="15" customHeight="1">
      <c r="A888" t="inlineStr">
        <is>
          <t>A 60897-2022</t>
        </is>
      </c>
      <c r="B888" s="1" t="n">
        <v>44914</v>
      </c>
      <c r="C888" s="1" t="n">
        <v>45787</v>
      </c>
      <c r="D888" t="inlineStr">
        <is>
          <t>JÄMTLANDS LÄN</t>
        </is>
      </c>
      <c r="E888" t="inlineStr">
        <is>
          <t>HÄRJEDALEN</t>
        </is>
      </c>
      <c r="F888" t="inlineStr">
        <is>
          <t>Holmen skog AB</t>
        </is>
      </c>
      <c r="G888" t="n">
        <v>0.3</v>
      </c>
      <c r="H888" t="n">
        <v>0</v>
      </c>
      <c r="I888" t="n">
        <v>0</v>
      </c>
      <c r="J888" t="n">
        <v>0</v>
      </c>
      <c r="K888" t="n">
        <v>0</v>
      </c>
      <c r="L888" t="n">
        <v>0</v>
      </c>
      <c r="M888" t="n">
        <v>0</v>
      </c>
      <c r="N888" t="n">
        <v>0</v>
      </c>
      <c r="O888" t="n">
        <v>0</v>
      </c>
      <c r="P888" t="n">
        <v>0</v>
      </c>
      <c r="Q888" t="n">
        <v>0</v>
      </c>
      <c r="R888" s="2" t="inlineStr"/>
      <c r="U888">
        <f>HYPERLINK("https://klasma.github.io/Logging_2361/knärot/A 60897-2022 karta knärot.png", "A 60897-2022")</f>
        <v/>
      </c>
      <c r="V888">
        <f>HYPERLINK("https://klasma.github.io/Logging_2361/klagomål/A 60897-2022 FSC-klagomål.docx", "A 60897-2022")</f>
        <v/>
      </c>
      <c r="W888">
        <f>HYPERLINK("https://klasma.github.io/Logging_2361/klagomålsmail/A 60897-2022 FSC-klagomål mail.docx", "A 60897-2022")</f>
        <v/>
      </c>
      <c r="X888">
        <f>HYPERLINK("https://klasma.github.io/Logging_2361/tillsyn/A 60897-2022 tillsynsbegäran.docx", "A 60897-2022")</f>
        <v/>
      </c>
      <c r="Y888">
        <f>HYPERLINK("https://klasma.github.io/Logging_2361/tillsynsmail/A 60897-2022 tillsynsbegäran mail.docx", "A 60897-2022")</f>
        <v/>
      </c>
    </row>
    <row r="889" ht="15" customHeight="1">
      <c r="A889" t="inlineStr">
        <is>
          <t>A 60933-2022</t>
        </is>
      </c>
      <c r="B889" s="1" t="n">
        <v>44914</v>
      </c>
      <c r="C889" s="1" t="n">
        <v>45787</v>
      </c>
      <c r="D889" t="inlineStr">
        <is>
          <t>JÄMTLANDS LÄN</t>
        </is>
      </c>
      <c r="E889" t="inlineStr">
        <is>
          <t>HÄRJEDALEN</t>
        </is>
      </c>
      <c r="G889" t="n">
        <v>0.7</v>
      </c>
      <c r="H889" t="n">
        <v>0</v>
      </c>
      <c r="I889" t="n">
        <v>0</v>
      </c>
      <c r="J889" t="n">
        <v>0</v>
      </c>
      <c r="K889" t="n">
        <v>0</v>
      </c>
      <c r="L889" t="n">
        <v>0</v>
      </c>
      <c r="M889" t="n">
        <v>0</v>
      </c>
      <c r="N889" t="n">
        <v>0</v>
      </c>
      <c r="O889" t="n">
        <v>0</v>
      </c>
      <c r="P889" t="n">
        <v>0</v>
      </c>
      <c r="Q889" t="n">
        <v>0</v>
      </c>
      <c r="R889" s="2" t="inlineStr"/>
    </row>
    <row r="890" ht="15" customHeight="1">
      <c r="A890" t="inlineStr">
        <is>
          <t>A 61571-2022</t>
        </is>
      </c>
      <c r="B890" s="1" t="n">
        <v>44916</v>
      </c>
      <c r="C890" s="1" t="n">
        <v>45787</v>
      </c>
      <c r="D890" t="inlineStr">
        <is>
          <t>JÄMTLANDS LÄN</t>
        </is>
      </c>
      <c r="E890" t="inlineStr">
        <is>
          <t>HÄRJEDALEN</t>
        </is>
      </c>
      <c r="G890" t="n">
        <v>3.4</v>
      </c>
      <c r="H890" t="n">
        <v>0</v>
      </c>
      <c r="I890" t="n">
        <v>0</v>
      </c>
      <c r="J890" t="n">
        <v>0</v>
      </c>
      <c r="K890" t="n">
        <v>0</v>
      </c>
      <c r="L890" t="n">
        <v>0</v>
      </c>
      <c r="M890" t="n">
        <v>0</v>
      </c>
      <c r="N890" t="n">
        <v>0</v>
      </c>
      <c r="O890" t="n">
        <v>0</v>
      </c>
      <c r="P890" t="n">
        <v>0</v>
      </c>
      <c r="Q890" t="n">
        <v>0</v>
      </c>
      <c r="R890" s="2" t="inlineStr"/>
    </row>
    <row r="891" ht="15" customHeight="1">
      <c r="A891" t="inlineStr">
        <is>
          <t>A 62500-2022</t>
        </is>
      </c>
      <c r="B891" s="1" t="n">
        <v>44924</v>
      </c>
      <c r="C891" s="1" t="n">
        <v>45787</v>
      </c>
      <c r="D891" t="inlineStr">
        <is>
          <t>JÄMTLANDS LÄN</t>
        </is>
      </c>
      <c r="E891" t="inlineStr">
        <is>
          <t>HÄRJEDALEN</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62513-2022</t>
        </is>
      </c>
      <c r="B892" s="1" t="n">
        <v>44924</v>
      </c>
      <c r="C892" s="1" t="n">
        <v>45787</v>
      </c>
      <c r="D892" t="inlineStr">
        <is>
          <t>JÄMTLANDS LÄN</t>
        </is>
      </c>
      <c r="E892" t="inlineStr">
        <is>
          <t>HÄRJEDALEN</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62535-2022</t>
        </is>
      </c>
      <c r="B893" s="1" t="n">
        <v>44924</v>
      </c>
      <c r="C893" s="1" t="n">
        <v>45787</v>
      </c>
      <c r="D893" t="inlineStr">
        <is>
          <t>JÄMTLANDS LÄN</t>
        </is>
      </c>
      <c r="E893" t="inlineStr">
        <is>
          <t>HÄRJEDALEN</t>
        </is>
      </c>
      <c r="F893" t="inlineStr">
        <is>
          <t>Holmen skog AB</t>
        </is>
      </c>
      <c r="G893" t="n">
        <v>5.9</v>
      </c>
      <c r="H893" t="n">
        <v>0</v>
      </c>
      <c r="I893" t="n">
        <v>0</v>
      </c>
      <c r="J893" t="n">
        <v>0</v>
      </c>
      <c r="K893" t="n">
        <v>0</v>
      </c>
      <c r="L893" t="n">
        <v>0</v>
      </c>
      <c r="M893" t="n">
        <v>0</v>
      </c>
      <c r="N893" t="n">
        <v>0</v>
      </c>
      <c r="O893" t="n">
        <v>0</v>
      </c>
      <c r="P893" t="n">
        <v>0</v>
      </c>
      <c r="Q893" t="n">
        <v>0</v>
      </c>
      <c r="R893" s="2" t="inlineStr"/>
    </row>
    <row r="894" ht="15" customHeight="1">
      <c r="A894" t="inlineStr">
        <is>
          <t>A 62505-2022</t>
        </is>
      </c>
      <c r="B894" s="1" t="n">
        <v>44924</v>
      </c>
      <c r="C894" s="1" t="n">
        <v>45787</v>
      </c>
      <c r="D894" t="inlineStr">
        <is>
          <t>JÄMTLANDS LÄN</t>
        </is>
      </c>
      <c r="E894" t="inlineStr">
        <is>
          <t>HÄRJEDALEN</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62533-2022</t>
        </is>
      </c>
      <c r="B895" s="1" t="n">
        <v>44924</v>
      </c>
      <c r="C895" s="1" t="n">
        <v>45787</v>
      </c>
      <c r="D895" t="inlineStr">
        <is>
          <t>JÄMTLANDS LÄN</t>
        </is>
      </c>
      <c r="E895" t="inlineStr">
        <is>
          <t>HÄRJEDALEN</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62639-2022</t>
        </is>
      </c>
      <c r="B896" s="1" t="n">
        <v>44925</v>
      </c>
      <c r="C896" s="1" t="n">
        <v>45787</v>
      </c>
      <c r="D896" t="inlineStr">
        <is>
          <t>JÄMTLANDS LÄN</t>
        </is>
      </c>
      <c r="E896" t="inlineStr">
        <is>
          <t>HÄRJEDALEN</t>
        </is>
      </c>
      <c r="G896" t="n">
        <v>4.3</v>
      </c>
      <c r="H896" t="n">
        <v>0</v>
      </c>
      <c r="I896" t="n">
        <v>0</v>
      </c>
      <c r="J896" t="n">
        <v>0</v>
      </c>
      <c r="K896" t="n">
        <v>0</v>
      </c>
      <c r="L896" t="n">
        <v>0</v>
      </c>
      <c r="M896" t="n">
        <v>0</v>
      </c>
      <c r="N896" t="n">
        <v>0</v>
      </c>
      <c r="O896" t="n">
        <v>0</v>
      </c>
      <c r="P896" t="n">
        <v>0</v>
      </c>
      <c r="Q896" t="n">
        <v>0</v>
      </c>
      <c r="R896" s="2" t="inlineStr"/>
    </row>
    <row r="897" ht="15" customHeight="1">
      <c r="A897" t="inlineStr">
        <is>
          <t>A 62696-2022</t>
        </is>
      </c>
      <c r="B897" s="1" t="n">
        <v>44925</v>
      </c>
      <c r="C897" s="1" t="n">
        <v>45787</v>
      </c>
      <c r="D897" t="inlineStr">
        <is>
          <t>JÄMTLANDS LÄN</t>
        </is>
      </c>
      <c r="E897" t="inlineStr">
        <is>
          <t>HÄRJEDALEN</t>
        </is>
      </c>
      <c r="F897" t="inlineStr">
        <is>
          <t>Holmen skog AB</t>
        </is>
      </c>
      <c r="G897" t="n">
        <v>2.9</v>
      </c>
      <c r="H897" t="n">
        <v>0</v>
      </c>
      <c r="I897" t="n">
        <v>0</v>
      </c>
      <c r="J897" t="n">
        <v>0</v>
      </c>
      <c r="K897" t="n">
        <v>0</v>
      </c>
      <c r="L897" t="n">
        <v>0</v>
      </c>
      <c r="M897" t="n">
        <v>0</v>
      </c>
      <c r="N897" t="n">
        <v>0</v>
      </c>
      <c r="O897" t="n">
        <v>0</v>
      </c>
      <c r="P897" t="n">
        <v>0</v>
      </c>
      <c r="Q897" t="n">
        <v>0</v>
      </c>
      <c r="R897" s="2" t="inlineStr"/>
    </row>
    <row r="898" ht="15" customHeight="1">
      <c r="A898" t="inlineStr">
        <is>
          <t>A 62702-2022</t>
        </is>
      </c>
      <c r="B898" s="1" t="n">
        <v>44925</v>
      </c>
      <c r="C898" s="1" t="n">
        <v>45787</v>
      </c>
      <c r="D898" t="inlineStr">
        <is>
          <t>JÄMTLANDS LÄN</t>
        </is>
      </c>
      <c r="E898" t="inlineStr">
        <is>
          <t>HÄRJEDALEN</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62719-2022</t>
        </is>
      </c>
      <c r="B899" s="1" t="n">
        <v>44925</v>
      </c>
      <c r="C899" s="1" t="n">
        <v>45787</v>
      </c>
      <c r="D899" t="inlineStr">
        <is>
          <t>JÄMTLANDS LÄN</t>
        </is>
      </c>
      <c r="E899" t="inlineStr">
        <is>
          <t>HÄRJEDALEN</t>
        </is>
      </c>
      <c r="F899" t="inlineStr">
        <is>
          <t>Holmen skog AB</t>
        </is>
      </c>
      <c r="G899" t="n">
        <v>3.1</v>
      </c>
      <c r="H899" t="n">
        <v>0</v>
      </c>
      <c r="I899" t="n">
        <v>0</v>
      </c>
      <c r="J899" t="n">
        <v>0</v>
      </c>
      <c r="K899" t="n">
        <v>0</v>
      </c>
      <c r="L899" t="n">
        <v>0</v>
      </c>
      <c r="M899" t="n">
        <v>0</v>
      </c>
      <c r="N899" t="n">
        <v>0</v>
      </c>
      <c r="O899" t="n">
        <v>0</v>
      </c>
      <c r="P899" t="n">
        <v>0</v>
      </c>
      <c r="Q899" t="n">
        <v>0</v>
      </c>
      <c r="R899" s="2" t="inlineStr"/>
    </row>
    <row r="900" ht="15" customHeight="1">
      <c r="A900" t="inlineStr">
        <is>
          <t>A 62724-2022</t>
        </is>
      </c>
      <c r="B900" s="1" t="n">
        <v>44925</v>
      </c>
      <c r="C900" s="1" t="n">
        <v>45787</v>
      </c>
      <c r="D900" t="inlineStr">
        <is>
          <t>JÄMTLANDS LÄN</t>
        </is>
      </c>
      <c r="E900" t="inlineStr">
        <is>
          <t>HÄRJEDALEN</t>
        </is>
      </c>
      <c r="F900" t="inlineStr">
        <is>
          <t>Holmen skog AB</t>
        </is>
      </c>
      <c r="G900" t="n">
        <v>0.9</v>
      </c>
      <c r="H900" t="n">
        <v>0</v>
      </c>
      <c r="I900" t="n">
        <v>0</v>
      </c>
      <c r="J900" t="n">
        <v>0</v>
      </c>
      <c r="K900" t="n">
        <v>0</v>
      </c>
      <c r="L900" t="n">
        <v>0</v>
      </c>
      <c r="M900" t="n">
        <v>0</v>
      </c>
      <c r="N900" t="n">
        <v>0</v>
      </c>
      <c r="O900" t="n">
        <v>0</v>
      </c>
      <c r="P900" t="n">
        <v>0</v>
      </c>
      <c r="Q900" t="n">
        <v>0</v>
      </c>
      <c r="R900" s="2" t="inlineStr"/>
    </row>
    <row r="901" ht="15" customHeight="1">
      <c r="A901" t="inlineStr">
        <is>
          <t>A 62599-2022</t>
        </is>
      </c>
      <c r="B901" s="1" t="n">
        <v>44925</v>
      </c>
      <c r="C901" s="1" t="n">
        <v>45787</v>
      </c>
      <c r="D901" t="inlineStr">
        <is>
          <t>JÄMTLANDS LÄN</t>
        </is>
      </c>
      <c r="E901" t="inlineStr">
        <is>
          <t>HÄRJEDALEN</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62641-2022</t>
        </is>
      </c>
      <c r="B902" s="1" t="n">
        <v>44925</v>
      </c>
      <c r="C902" s="1" t="n">
        <v>45787</v>
      </c>
      <c r="D902" t="inlineStr">
        <is>
          <t>JÄMTLANDS LÄN</t>
        </is>
      </c>
      <c r="E902" t="inlineStr">
        <is>
          <t>HÄRJEDALEN</t>
        </is>
      </c>
      <c r="G902" t="n">
        <v>2.7</v>
      </c>
      <c r="H902" t="n">
        <v>0</v>
      </c>
      <c r="I902" t="n">
        <v>0</v>
      </c>
      <c r="J902" t="n">
        <v>0</v>
      </c>
      <c r="K902" t="n">
        <v>0</v>
      </c>
      <c r="L902" t="n">
        <v>0</v>
      </c>
      <c r="M902" t="n">
        <v>0</v>
      </c>
      <c r="N902" t="n">
        <v>0</v>
      </c>
      <c r="O902" t="n">
        <v>0</v>
      </c>
      <c r="P902" t="n">
        <v>0</v>
      </c>
      <c r="Q902" t="n">
        <v>0</v>
      </c>
      <c r="R902" s="2" t="inlineStr"/>
    </row>
    <row r="903" ht="15" customHeight="1">
      <c r="A903" t="inlineStr">
        <is>
          <t>A 62591-2022</t>
        </is>
      </c>
      <c r="B903" s="1" t="n">
        <v>44925</v>
      </c>
      <c r="C903" s="1" t="n">
        <v>45787</v>
      </c>
      <c r="D903" t="inlineStr">
        <is>
          <t>JÄMTLANDS LÄN</t>
        </is>
      </c>
      <c r="E903" t="inlineStr">
        <is>
          <t>HÄRJEDALEN</t>
        </is>
      </c>
      <c r="G903" t="n">
        <v>32.7</v>
      </c>
      <c r="H903" t="n">
        <v>0</v>
      </c>
      <c r="I903" t="n">
        <v>0</v>
      </c>
      <c r="J903" t="n">
        <v>0</v>
      </c>
      <c r="K903" t="n">
        <v>0</v>
      </c>
      <c r="L903" t="n">
        <v>0</v>
      </c>
      <c r="M903" t="n">
        <v>0</v>
      </c>
      <c r="N903" t="n">
        <v>0</v>
      </c>
      <c r="O903" t="n">
        <v>0</v>
      </c>
      <c r="P903" t="n">
        <v>0</v>
      </c>
      <c r="Q903" t="n">
        <v>0</v>
      </c>
      <c r="R903" s="2" t="inlineStr"/>
    </row>
    <row r="904" ht="15" customHeight="1">
      <c r="A904" t="inlineStr">
        <is>
          <t>A 62653-2022</t>
        </is>
      </c>
      <c r="B904" s="1" t="n">
        <v>44925</v>
      </c>
      <c r="C904" s="1" t="n">
        <v>45787</v>
      </c>
      <c r="D904" t="inlineStr">
        <is>
          <t>JÄMTLANDS LÄN</t>
        </is>
      </c>
      <c r="E904" t="inlineStr">
        <is>
          <t>HÄRJEDALEN</t>
        </is>
      </c>
      <c r="G904" t="n">
        <v>3.8</v>
      </c>
      <c r="H904" t="n">
        <v>0</v>
      </c>
      <c r="I904" t="n">
        <v>0</v>
      </c>
      <c r="J904" t="n">
        <v>0</v>
      </c>
      <c r="K904" t="n">
        <v>0</v>
      </c>
      <c r="L904" t="n">
        <v>0</v>
      </c>
      <c r="M904" t="n">
        <v>0</v>
      </c>
      <c r="N904" t="n">
        <v>0</v>
      </c>
      <c r="O904" t="n">
        <v>0</v>
      </c>
      <c r="P904" t="n">
        <v>0</v>
      </c>
      <c r="Q904" t="n">
        <v>0</v>
      </c>
      <c r="R904" s="2" t="inlineStr"/>
    </row>
    <row r="905" ht="15" customHeight="1">
      <c r="A905" t="inlineStr">
        <is>
          <t>A 62687-2022</t>
        </is>
      </c>
      <c r="B905" s="1" t="n">
        <v>44925</v>
      </c>
      <c r="C905" s="1" t="n">
        <v>45787</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62694-2022</t>
        </is>
      </c>
      <c r="B906" s="1" t="n">
        <v>44925</v>
      </c>
      <c r="C906" s="1" t="n">
        <v>45787</v>
      </c>
      <c r="D906" t="inlineStr">
        <is>
          <t>JÄMTLANDS LÄN</t>
        </is>
      </c>
      <c r="E906" t="inlineStr">
        <is>
          <t>HÄRJEDALEN</t>
        </is>
      </c>
      <c r="F906" t="inlineStr">
        <is>
          <t>Holmen skog AB</t>
        </is>
      </c>
      <c r="G906" t="n">
        <v>4.5</v>
      </c>
      <c r="H906" t="n">
        <v>0</v>
      </c>
      <c r="I906" t="n">
        <v>0</v>
      </c>
      <c r="J906" t="n">
        <v>0</v>
      </c>
      <c r="K906" t="n">
        <v>0</v>
      </c>
      <c r="L906" t="n">
        <v>0</v>
      </c>
      <c r="M906" t="n">
        <v>0</v>
      </c>
      <c r="N906" t="n">
        <v>0</v>
      </c>
      <c r="O906" t="n">
        <v>0</v>
      </c>
      <c r="P906" t="n">
        <v>0</v>
      </c>
      <c r="Q906" t="n">
        <v>0</v>
      </c>
      <c r="R906" s="2" t="inlineStr"/>
    </row>
    <row r="907" ht="15" customHeight="1">
      <c r="A907" t="inlineStr">
        <is>
          <t>A 62708-2022</t>
        </is>
      </c>
      <c r="B907" s="1" t="n">
        <v>44925</v>
      </c>
      <c r="C907" s="1" t="n">
        <v>45787</v>
      </c>
      <c r="D907" t="inlineStr">
        <is>
          <t>JÄMTLANDS LÄN</t>
        </is>
      </c>
      <c r="E907" t="inlineStr">
        <is>
          <t>HÄRJEDALEN</t>
        </is>
      </c>
      <c r="F907" t="inlineStr">
        <is>
          <t>Holmen skog AB</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62590-2022</t>
        </is>
      </c>
      <c r="B908" s="1" t="n">
        <v>44925</v>
      </c>
      <c r="C908" s="1" t="n">
        <v>45787</v>
      </c>
      <c r="D908" t="inlineStr">
        <is>
          <t>JÄMTLANDS LÄN</t>
        </is>
      </c>
      <c r="E908" t="inlineStr">
        <is>
          <t>HÄRJEDALEN</t>
        </is>
      </c>
      <c r="F908" t="inlineStr">
        <is>
          <t>Holmen skog AB</t>
        </is>
      </c>
      <c r="G908" t="n">
        <v>0.7</v>
      </c>
      <c r="H908" t="n">
        <v>0</v>
      </c>
      <c r="I908" t="n">
        <v>0</v>
      </c>
      <c r="J908" t="n">
        <v>0</v>
      </c>
      <c r="K908" t="n">
        <v>0</v>
      </c>
      <c r="L908" t="n">
        <v>0</v>
      </c>
      <c r="M908" t="n">
        <v>0</v>
      </c>
      <c r="N908" t="n">
        <v>0</v>
      </c>
      <c r="O908" t="n">
        <v>0</v>
      </c>
      <c r="P908" t="n">
        <v>0</v>
      </c>
      <c r="Q908" t="n">
        <v>0</v>
      </c>
      <c r="R908" s="2" t="inlineStr"/>
    </row>
    <row r="909" ht="15" customHeight="1">
      <c r="A909" t="inlineStr">
        <is>
          <t>A 62684-2022</t>
        </is>
      </c>
      <c r="B909" s="1" t="n">
        <v>44925</v>
      </c>
      <c r="C909" s="1" t="n">
        <v>45787</v>
      </c>
      <c r="D909" t="inlineStr">
        <is>
          <t>JÄMTLANDS LÄN</t>
        </is>
      </c>
      <c r="E909" t="inlineStr">
        <is>
          <t>HÄRJEDALEN</t>
        </is>
      </c>
      <c r="F909" t="inlineStr">
        <is>
          <t>Holmen skog AB</t>
        </is>
      </c>
      <c r="G909" t="n">
        <v>4.4</v>
      </c>
      <c r="H909" t="n">
        <v>0</v>
      </c>
      <c r="I909" t="n">
        <v>0</v>
      </c>
      <c r="J909" t="n">
        <v>0</v>
      </c>
      <c r="K909" t="n">
        <v>0</v>
      </c>
      <c r="L909" t="n">
        <v>0</v>
      </c>
      <c r="M909" t="n">
        <v>0</v>
      </c>
      <c r="N909" t="n">
        <v>0</v>
      </c>
      <c r="O909" t="n">
        <v>0</v>
      </c>
      <c r="P909" t="n">
        <v>0</v>
      </c>
      <c r="Q909" t="n">
        <v>0</v>
      </c>
      <c r="R909" s="2" t="inlineStr"/>
    </row>
    <row r="910" ht="15" customHeight="1">
      <c r="A910" t="inlineStr">
        <is>
          <t>A 62699-2022</t>
        </is>
      </c>
      <c r="B910" s="1" t="n">
        <v>44925</v>
      </c>
      <c r="C910" s="1" t="n">
        <v>45787</v>
      </c>
      <c r="D910" t="inlineStr">
        <is>
          <t>JÄMTLANDS LÄN</t>
        </is>
      </c>
      <c r="E910" t="inlineStr">
        <is>
          <t>HÄRJEDALEN</t>
        </is>
      </c>
      <c r="F910" t="inlineStr">
        <is>
          <t>Holmen skog AB</t>
        </is>
      </c>
      <c r="G910" t="n">
        <v>5</v>
      </c>
      <c r="H910" t="n">
        <v>0</v>
      </c>
      <c r="I910" t="n">
        <v>0</v>
      </c>
      <c r="J910" t="n">
        <v>0</v>
      </c>
      <c r="K910" t="n">
        <v>0</v>
      </c>
      <c r="L910" t="n">
        <v>0</v>
      </c>
      <c r="M910" t="n">
        <v>0</v>
      </c>
      <c r="N910" t="n">
        <v>0</v>
      </c>
      <c r="O910" t="n">
        <v>0</v>
      </c>
      <c r="P910" t="n">
        <v>0</v>
      </c>
      <c r="Q910" t="n">
        <v>0</v>
      </c>
      <c r="R910" s="2" t="inlineStr"/>
    </row>
    <row r="911" ht="15" customHeight="1">
      <c r="A911" t="inlineStr">
        <is>
          <t>A 62706-2022</t>
        </is>
      </c>
      <c r="B911" s="1" t="n">
        <v>44925</v>
      </c>
      <c r="C911" s="1" t="n">
        <v>45787</v>
      </c>
      <c r="D911" t="inlineStr">
        <is>
          <t>JÄMTLANDS LÄN</t>
        </is>
      </c>
      <c r="E911" t="inlineStr">
        <is>
          <t>HÄRJEDALEN</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62721-2022</t>
        </is>
      </c>
      <c r="B912" s="1" t="n">
        <v>44925</v>
      </c>
      <c r="C912" s="1" t="n">
        <v>45787</v>
      </c>
      <c r="D912" t="inlineStr">
        <is>
          <t>JÄMTLANDS LÄN</t>
        </is>
      </c>
      <c r="E912" t="inlineStr">
        <is>
          <t>HÄRJEDALEN</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105-2023</t>
        </is>
      </c>
      <c r="B913" s="1" t="n">
        <v>44928</v>
      </c>
      <c r="C913" s="1" t="n">
        <v>45787</v>
      </c>
      <c r="D913" t="inlineStr">
        <is>
          <t>JÄMTLANDS LÄN</t>
        </is>
      </c>
      <c r="E913" t="inlineStr">
        <is>
          <t>HÄRJEDALEN</t>
        </is>
      </c>
      <c r="F913" t="inlineStr">
        <is>
          <t>Holmen skog AB</t>
        </is>
      </c>
      <c r="G913" t="n">
        <v>17.5</v>
      </c>
      <c r="H913" t="n">
        <v>0</v>
      </c>
      <c r="I913" t="n">
        <v>0</v>
      </c>
      <c r="J913" t="n">
        <v>0</v>
      </c>
      <c r="K913" t="n">
        <v>0</v>
      </c>
      <c r="L913" t="n">
        <v>0</v>
      </c>
      <c r="M913" t="n">
        <v>0</v>
      </c>
      <c r="N913" t="n">
        <v>0</v>
      </c>
      <c r="O913" t="n">
        <v>0</v>
      </c>
      <c r="P913" t="n">
        <v>0</v>
      </c>
      <c r="Q913" t="n">
        <v>0</v>
      </c>
      <c r="R913" s="2" t="inlineStr"/>
    </row>
    <row r="914" ht="15" customHeight="1">
      <c r="A914" t="inlineStr">
        <is>
          <t>A 29-2023</t>
        </is>
      </c>
      <c r="B914" s="1" t="n">
        <v>44928</v>
      </c>
      <c r="C914" s="1" t="n">
        <v>45787</v>
      </c>
      <c r="D914" t="inlineStr">
        <is>
          <t>JÄMTLANDS LÄN</t>
        </is>
      </c>
      <c r="E914" t="inlineStr">
        <is>
          <t>HÄRJEDALEN</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35-2023</t>
        </is>
      </c>
      <c r="B915" s="1" t="n">
        <v>44928</v>
      </c>
      <c r="C915" s="1" t="n">
        <v>45787</v>
      </c>
      <c r="D915" t="inlineStr">
        <is>
          <t>JÄMTLANDS LÄN</t>
        </is>
      </c>
      <c r="E915" t="inlineStr">
        <is>
          <t>HÄRJEDALEN</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78-2023</t>
        </is>
      </c>
      <c r="B916" s="1" t="n">
        <v>44928</v>
      </c>
      <c r="C916" s="1" t="n">
        <v>45787</v>
      </c>
      <c r="D916" t="inlineStr">
        <is>
          <t>JÄMTLANDS LÄN</t>
        </is>
      </c>
      <c r="E916" t="inlineStr">
        <is>
          <t>HÄRJEDALEN</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103-2023</t>
        </is>
      </c>
      <c r="B917" s="1" t="n">
        <v>44928</v>
      </c>
      <c r="C917" s="1" t="n">
        <v>45787</v>
      </c>
      <c r="D917" t="inlineStr">
        <is>
          <t>JÄMTLANDS LÄN</t>
        </is>
      </c>
      <c r="E917" t="inlineStr">
        <is>
          <t>HÄRJEDALEN</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166-2023</t>
        </is>
      </c>
      <c r="B918" s="1" t="n">
        <v>44928</v>
      </c>
      <c r="C918" s="1" t="n">
        <v>45787</v>
      </c>
      <c r="D918" t="inlineStr">
        <is>
          <t>JÄMTLANDS LÄN</t>
        </is>
      </c>
      <c r="E918" t="inlineStr">
        <is>
          <t>HÄRJEDALEN</t>
        </is>
      </c>
      <c r="F918" t="inlineStr">
        <is>
          <t>Holmen skog AB</t>
        </is>
      </c>
      <c r="G918" t="n">
        <v>13.5</v>
      </c>
      <c r="H918" t="n">
        <v>0</v>
      </c>
      <c r="I918" t="n">
        <v>0</v>
      </c>
      <c r="J918" t="n">
        <v>0</v>
      </c>
      <c r="K918" t="n">
        <v>0</v>
      </c>
      <c r="L918" t="n">
        <v>0</v>
      </c>
      <c r="M918" t="n">
        <v>0</v>
      </c>
      <c r="N918" t="n">
        <v>0</v>
      </c>
      <c r="O918" t="n">
        <v>0</v>
      </c>
      <c r="P918" t="n">
        <v>0</v>
      </c>
      <c r="Q918" t="n">
        <v>0</v>
      </c>
      <c r="R918" s="2" t="inlineStr"/>
    </row>
    <row r="919" ht="15" customHeight="1">
      <c r="A919" t="inlineStr">
        <is>
          <t>A 176-2023</t>
        </is>
      </c>
      <c r="B919" s="1" t="n">
        <v>44928</v>
      </c>
      <c r="C919" s="1" t="n">
        <v>45787</v>
      </c>
      <c r="D919" t="inlineStr">
        <is>
          <t>JÄMTLANDS LÄN</t>
        </is>
      </c>
      <c r="E919" t="inlineStr">
        <is>
          <t>HÄRJEDALEN</t>
        </is>
      </c>
      <c r="F919" t="inlineStr">
        <is>
          <t>Holmen skog AB</t>
        </is>
      </c>
      <c r="G919" t="n">
        <v>5.9</v>
      </c>
      <c r="H919" t="n">
        <v>0</v>
      </c>
      <c r="I919" t="n">
        <v>0</v>
      </c>
      <c r="J919" t="n">
        <v>0</v>
      </c>
      <c r="K919" t="n">
        <v>0</v>
      </c>
      <c r="L919" t="n">
        <v>0</v>
      </c>
      <c r="M919" t="n">
        <v>0</v>
      </c>
      <c r="N919" t="n">
        <v>0</v>
      </c>
      <c r="O919" t="n">
        <v>0</v>
      </c>
      <c r="P919" t="n">
        <v>0</v>
      </c>
      <c r="Q919" t="n">
        <v>0</v>
      </c>
      <c r="R919" s="2" t="inlineStr"/>
    </row>
    <row r="920" ht="15" customHeight="1">
      <c r="A920" t="inlineStr">
        <is>
          <t>A 171-2023</t>
        </is>
      </c>
      <c r="B920" s="1" t="n">
        <v>44928</v>
      </c>
      <c r="C920" s="1" t="n">
        <v>45787</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1907-2023</t>
        </is>
      </c>
      <c r="B921" s="1" t="n">
        <v>44939</v>
      </c>
      <c r="C921" s="1" t="n">
        <v>45787</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1954-2023</t>
        </is>
      </c>
      <c r="B922" s="1" t="n">
        <v>44939</v>
      </c>
      <c r="C922" s="1" t="n">
        <v>45787</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4196-2023</t>
        </is>
      </c>
      <c r="B923" s="1" t="n">
        <v>44953</v>
      </c>
      <c r="C923" s="1" t="n">
        <v>45787</v>
      </c>
      <c r="D923" t="inlineStr">
        <is>
          <t>JÄMTLANDS LÄN</t>
        </is>
      </c>
      <c r="E923" t="inlineStr">
        <is>
          <t>HÄRJEDALEN</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4694-2023</t>
        </is>
      </c>
      <c r="B924" s="1" t="n">
        <v>44957</v>
      </c>
      <c r="C924" s="1" t="n">
        <v>45787</v>
      </c>
      <c r="D924" t="inlineStr">
        <is>
          <t>JÄMTLANDS LÄN</t>
        </is>
      </c>
      <c r="E924" t="inlineStr">
        <is>
          <t>HÄRJEDALEN</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4712-2023</t>
        </is>
      </c>
      <c r="B925" s="1" t="n">
        <v>44957</v>
      </c>
      <c r="C925" s="1" t="n">
        <v>45787</v>
      </c>
      <c r="D925" t="inlineStr">
        <is>
          <t>JÄMTLANDS LÄN</t>
        </is>
      </c>
      <c r="E925" t="inlineStr">
        <is>
          <t>HÄRJEDALEN</t>
        </is>
      </c>
      <c r="F925" t="inlineStr">
        <is>
          <t>Holmen skog AB</t>
        </is>
      </c>
      <c r="G925" t="n">
        <v>2.8</v>
      </c>
      <c r="H925" t="n">
        <v>0</v>
      </c>
      <c r="I925" t="n">
        <v>0</v>
      </c>
      <c r="J925" t="n">
        <v>0</v>
      </c>
      <c r="K925" t="n">
        <v>0</v>
      </c>
      <c r="L925" t="n">
        <v>0</v>
      </c>
      <c r="M925" t="n">
        <v>0</v>
      </c>
      <c r="N925" t="n">
        <v>0</v>
      </c>
      <c r="O925" t="n">
        <v>0</v>
      </c>
      <c r="P925" t="n">
        <v>0</v>
      </c>
      <c r="Q925" t="n">
        <v>0</v>
      </c>
      <c r="R925" s="2" t="inlineStr"/>
    </row>
    <row r="926" ht="15" customHeight="1">
      <c r="A926" t="inlineStr">
        <is>
          <t>A 4711-2023</t>
        </is>
      </c>
      <c r="B926" s="1" t="n">
        <v>44957</v>
      </c>
      <c r="C926" s="1" t="n">
        <v>45787</v>
      </c>
      <c r="D926" t="inlineStr">
        <is>
          <t>JÄMTLANDS LÄN</t>
        </is>
      </c>
      <c r="E926" t="inlineStr">
        <is>
          <t>HÄRJEDALEN</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4782-2023</t>
        </is>
      </c>
      <c r="B927" s="1" t="n">
        <v>44957</v>
      </c>
      <c r="C927" s="1" t="n">
        <v>45787</v>
      </c>
      <c r="D927" t="inlineStr">
        <is>
          <t>JÄMTLANDS LÄN</t>
        </is>
      </c>
      <c r="E927" t="inlineStr">
        <is>
          <t>HÄRJEDALEN</t>
        </is>
      </c>
      <c r="F927" t="inlineStr">
        <is>
          <t>Holmen skog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5013-2023</t>
        </is>
      </c>
      <c r="B928" s="1" t="n">
        <v>44958</v>
      </c>
      <c r="C928" s="1" t="n">
        <v>45787</v>
      </c>
      <c r="D928" t="inlineStr">
        <is>
          <t>JÄMTLANDS LÄN</t>
        </is>
      </c>
      <c r="E928" t="inlineStr">
        <is>
          <t>HÄRJEDALEN</t>
        </is>
      </c>
      <c r="F928" t="inlineStr">
        <is>
          <t>Bergvik skog väst AB</t>
        </is>
      </c>
      <c r="G928" t="n">
        <v>0.2</v>
      </c>
      <c r="H928" t="n">
        <v>0</v>
      </c>
      <c r="I928" t="n">
        <v>0</v>
      </c>
      <c r="J928" t="n">
        <v>0</v>
      </c>
      <c r="K928" t="n">
        <v>0</v>
      </c>
      <c r="L928" t="n">
        <v>0</v>
      </c>
      <c r="M928" t="n">
        <v>0</v>
      </c>
      <c r="N928" t="n">
        <v>0</v>
      </c>
      <c r="O928" t="n">
        <v>0</v>
      </c>
      <c r="P928" t="n">
        <v>0</v>
      </c>
      <c r="Q928" t="n">
        <v>0</v>
      </c>
      <c r="R928" s="2" t="inlineStr"/>
    </row>
    <row r="929" ht="15" customHeight="1">
      <c r="A929" t="inlineStr">
        <is>
          <t>A 5640-2023</t>
        </is>
      </c>
      <c r="B929" s="1" t="n">
        <v>44960</v>
      </c>
      <c r="C929" s="1" t="n">
        <v>45787</v>
      </c>
      <c r="D929" t="inlineStr">
        <is>
          <t>JÄMTLANDS LÄN</t>
        </is>
      </c>
      <c r="E929" t="inlineStr">
        <is>
          <t>HÄRJEDALEN</t>
        </is>
      </c>
      <c r="G929" t="n">
        <v>8.4</v>
      </c>
      <c r="H929" t="n">
        <v>0</v>
      </c>
      <c r="I929" t="n">
        <v>0</v>
      </c>
      <c r="J929" t="n">
        <v>0</v>
      </c>
      <c r="K929" t="n">
        <v>0</v>
      </c>
      <c r="L929" t="n">
        <v>0</v>
      </c>
      <c r="M929" t="n">
        <v>0</v>
      </c>
      <c r="N929" t="n">
        <v>0</v>
      </c>
      <c r="O929" t="n">
        <v>0</v>
      </c>
      <c r="P929" t="n">
        <v>0</v>
      </c>
      <c r="Q929" t="n">
        <v>0</v>
      </c>
      <c r="R929" s="2" t="inlineStr"/>
    </row>
    <row r="930" ht="15" customHeight="1">
      <c r="A930" t="inlineStr">
        <is>
          <t>A 6001-2023</t>
        </is>
      </c>
      <c r="B930" s="1" t="n">
        <v>44964</v>
      </c>
      <c r="C930" s="1" t="n">
        <v>45787</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6124-2023</t>
        </is>
      </c>
      <c r="B931" s="1" t="n">
        <v>44964</v>
      </c>
      <c r="C931" s="1" t="n">
        <v>45787</v>
      </c>
      <c r="D931" t="inlineStr">
        <is>
          <t>JÄMTLANDS LÄN</t>
        </is>
      </c>
      <c r="E931" t="inlineStr">
        <is>
          <t>HÄRJEDALEN</t>
        </is>
      </c>
      <c r="G931" t="n">
        <v>20</v>
      </c>
      <c r="H931" t="n">
        <v>0</v>
      </c>
      <c r="I931" t="n">
        <v>0</v>
      </c>
      <c r="J931" t="n">
        <v>0</v>
      </c>
      <c r="K931" t="n">
        <v>0</v>
      </c>
      <c r="L931" t="n">
        <v>0</v>
      </c>
      <c r="M931" t="n">
        <v>0</v>
      </c>
      <c r="N931" t="n">
        <v>0</v>
      </c>
      <c r="O931" t="n">
        <v>0</v>
      </c>
      <c r="P931" t="n">
        <v>0</v>
      </c>
      <c r="Q931" t="n">
        <v>0</v>
      </c>
      <c r="R931" s="2" t="inlineStr"/>
    </row>
    <row r="932" ht="15" customHeight="1">
      <c r="A932" t="inlineStr">
        <is>
          <t>A 7636-2023</t>
        </is>
      </c>
      <c r="B932" s="1" t="n">
        <v>44972</v>
      </c>
      <c r="C932" s="1" t="n">
        <v>45787</v>
      </c>
      <c r="D932" t="inlineStr">
        <is>
          <t>JÄMTLANDS LÄN</t>
        </is>
      </c>
      <c r="E932" t="inlineStr">
        <is>
          <t>HÄRJEDALEN</t>
        </is>
      </c>
      <c r="G932" t="n">
        <v>1.5</v>
      </c>
      <c r="H932" t="n">
        <v>0</v>
      </c>
      <c r="I932" t="n">
        <v>0</v>
      </c>
      <c r="J932" t="n">
        <v>0</v>
      </c>
      <c r="K932" t="n">
        <v>0</v>
      </c>
      <c r="L932" t="n">
        <v>0</v>
      </c>
      <c r="M932" t="n">
        <v>0</v>
      </c>
      <c r="N932" t="n">
        <v>0</v>
      </c>
      <c r="O932" t="n">
        <v>0</v>
      </c>
      <c r="P932" t="n">
        <v>0</v>
      </c>
      <c r="Q932" t="n">
        <v>0</v>
      </c>
      <c r="R932" s="2" t="inlineStr"/>
    </row>
    <row r="933" ht="15" customHeight="1">
      <c r="A933" t="inlineStr">
        <is>
          <t>A 8365-2023</t>
        </is>
      </c>
      <c r="B933" s="1" t="n">
        <v>44977</v>
      </c>
      <c r="C933" s="1" t="n">
        <v>45787</v>
      </c>
      <c r="D933" t="inlineStr">
        <is>
          <t>JÄMTLANDS LÄN</t>
        </is>
      </c>
      <c r="E933" t="inlineStr">
        <is>
          <t>HÄRJEDALEN</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8420-2023</t>
        </is>
      </c>
      <c r="B934" s="1" t="n">
        <v>44977</v>
      </c>
      <c r="C934" s="1" t="n">
        <v>45787</v>
      </c>
      <c r="D934" t="inlineStr">
        <is>
          <t>JÄMTLANDS LÄN</t>
        </is>
      </c>
      <c r="E934" t="inlineStr">
        <is>
          <t>HÄRJEDALEN</t>
        </is>
      </c>
      <c r="F934" t="inlineStr">
        <is>
          <t>Holmen skog AB</t>
        </is>
      </c>
      <c r="G934" t="n">
        <v>0.6</v>
      </c>
      <c r="H934" t="n">
        <v>0</v>
      </c>
      <c r="I934" t="n">
        <v>0</v>
      </c>
      <c r="J934" t="n">
        <v>0</v>
      </c>
      <c r="K934" t="n">
        <v>0</v>
      </c>
      <c r="L934" t="n">
        <v>0</v>
      </c>
      <c r="M934" t="n">
        <v>0</v>
      </c>
      <c r="N934" t="n">
        <v>0</v>
      </c>
      <c r="O934" t="n">
        <v>0</v>
      </c>
      <c r="P934" t="n">
        <v>0</v>
      </c>
      <c r="Q934" t="n">
        <v>0</v>
      </c>
      <c r="R934" s="2" t="inlineStr"/>
    </row>
    <row r="935" ht="15" customHeight="1">
      <c r="A935" t="inlineStr">
        <is>
          <t>A 8577-2023</t>
        </is>
      </c>
      <c r="B935" s="1" t="n">
        <v>44977</v>
      </c>
      <c r="C935" s="1" t="n">
        <v>45787</v>
      </c>
      <c r="D935" t="inlineStr">
        <is>
          <t>JÄMTLANDS LÄN</t>
        </is>
      </c>
      <c r="E935" t="inlineStr">
        <is>
          <t>HÄRJEDALEN</t>
        </is>
      </c>
      <c r="G935" t="n">
        <v>19.6</v>
      </c>
      <c r="H935" t="n">
        <v>0</v>
      </c>
      <c r="I935" t="n">
        <v>0</v>
      </c>
      <c r="J935" t="n">
        <v>0</v>
      </c>
      <c r="K935" t="n">
        <v>0</v>
      </c>
      <c r="L935" t="n">
        <v>0</v>
      </c>
      <c r="M935" t="n">
        <v>0</v>
      </c>
      <c r="N935" t="n">
        <v>0</v>
      </c>
      <c r="O935" t="n">
        <v>0</v>
      </c>
      <c r="P935" t="n">
        <v>0</v>
      </c>
      <c r="Q935" t="n">
        <v>0</v>
      </c>
      <c r="R935" s="2" t="inlineStr"/>
    </row>
    <row r="936" ht="15" customHeight="1">
      <c r="A936" t="inlineStr">
        <is>
          <t>A 8804-2023</t>
        </is>
      </c>
      <c r="B936" s="1" t="n">
        <v>44978</v>
      </c>
      <c r="C936" s="1" t="n">
        <v>45787</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9188-2023</t>
        </is>
      </c>
      <c r="B937" s="1" t="n">
        <v>44980</v>
      </c>
      <c r="C937" s="1" t="n">
        <v>45787</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9998-2023</t>
        </is>
      </c>
      <c r="B938" s="1" t="n">
        <v>44985</v>
      </c>
      <c r="C938" s="1" t="n">
        <v>45787</v>
      </c>
      <c r="D938" t="inlineStr">
        <is>
          <t>JÄMTLANDS LÄN</t>
        </is>
      </c>
      <c r="E938" t="inlineStr">
        <is>
          <t>HÄRJEDALEN</t>
        </is>
      </c>
      <c r="F938" t="inlineStr">
        <is>
          <t>Holmen skog AB</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10002-2023</t>
        </is>
      </c>
      <c r="B939" s="1" t="n">
        <v>44985</v>
      </c>
      <c r="C939" s="1" t="n">
        <v>45787</v>
      </c>
      <c r="D939" t="inlineStr">
        <is>
          <t>JÄMTLANDS LÄN</t>
        </is>
      </c>
      <c r="E939" t="inlineStr">
        <is>
          <t>HÄRJEDALEN</t>
        </is>
      </c>
      <c r="F939" t="inlineStr">
        <is>
          <t>Holmen skog AB</t>
        </is>
      </c>
      <c r="G939" t="n">
        <v>8.6</v>
      </c>
      <c r="H939" t="n">
        <v>0</v>
      </c>
      <c r="I939" t="n">
        <v>0</v>
      </c>
      <c r="J939" t="n">
        <v>0</v>
      </c>
      <c r="K939" t="n">
        <v>0</v>
      </c>
      <c r="L939" t="n">
        <v>0</v>
      </c>
      <c r="M939" t="n">
        <v>0</v>
      </c>
      <c r="N939" t="n">
        <v>0</v>
      </c>
      <c r="O939" t="n">
        <v>0</v>
      </c>
      <c r="P939" t="n">
        <v>0</v>
      </c>
      <c r="Q939" t="n">
        <v>0</v>
      </c>
      <c r="R939" s="2" t="inlineStr"/>
    </row>
    <row r="940" ht="15" customHeight="1">
      <c r="A940" t="inlineStr">
        <is>
          <t>A 10006-2023</t>
        </is>
      </c>
      <c r="B940" s="1" t="n">
        <v>44985</v>
      </c>
      <c r="C940" s="1" t="n">
        <v>45787</v>
      </c>
      <c r="D940" t="inlineStr">
        <is>
          <t>JÄMTLANDS LÄN</t>
        </is>
      </c>
      <c r="E940" t="inlineStr">
        <is>
          <t>HÄRJEDALEN</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10000-2023</t>
        </is>
      </c>
      <c r="B941" s="1" t="n">
        <v>44985</v>
      </c>
      <c r="C941" s="1" t="n">
        <v>45787</v>
      </c>
      <c r="D941" t="inlineStr">
        <is>
          <t>JÄMTLANDS LÄN</t>
        </is>
      </c>
      <c r="E941" t="inlineStr">
        <is>
          <t>HÄRJEDALEN</t>
        </is>
      </c>
      <c r="F941" t="inlineStr">
        <is>
          <t>Holmen skog AB</t>
        </is>
      </c>
      <c r="G941" t="n">
        <v>12.6</v>
      </c>
      <c r="H941" t="n">
        <v>0</v>
      </c>
      <c r="I941" t="n">
        <v>0</v>
      </c>
      <c r="J941" t="n">
        <v>0</v>
      </c>
      <c r="K941" t="n">
        <v>0</v>
      </c>
      <c r="L941" t="n">
        <v>0</v>
      </c>
      <c r="M941" t="n">
        <v>0</v>
      </c>
      <c r="N941" t="n">
        <v>0</v>
      </c>
      <c r="O941" t="n">
        <v>0</v>
      </c>
      <c r="P941" t="n">
        <v>0</v>
      </c>
      <c r="Q941" t="n">
        <v>0</v>
      </c>
      <c r="R941" s="2" t="inlineStr"/>
    </row>
    <row r="942" ht="15" customHeight="1">
      <c r="A942" t="inlineStr">
        <is>
          <t>A 9997-2023</t>
        </is>
      </c>
      <c r="B942" s="1" t="n">
        <v>44985</v>
      </c>
      <c r="C942" s="1" t="n">
        <v>45787</v>
      </c>
      <c r="D942" t="inlineStr">
        <is>
          <t>JÄMTLANDS LÄN</t>
        </is>
      </c>
      <c r="E942" t="inlineStr">
        <is>
          <t>HÄRJEDALEN</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10014-2023</t>
        </is>
      </c>
      <c r="B943" s="1" t="n">
        <v>44985</v>
      </c>
      <c r="C943" s="1" t="n">
        <v>45787</v>
      </c>
      <c r="D943" t="inlineStr">
        <is>
          <t>JÄMTLANDS LÄN</t>
        </is>
      </c>
      <c r="E943" t="inlineStr">
        <is>
          <t>HÄRJEDALEN</t>
        </is>
      </c>
      <c r="F943" t="inlineStr">
        <is>
          <t>Holmen skog AB</t>
        </is>
      </c>
      <c r="G943" t="n">
        <v>2.5</v>
      </c>
      <c r="H943" t="n">
        <v>0</v>
      </c>
      <c r="I943" t="n">
        <v>0</v>
      </c>
      <c r="J943" t="n">
        <v>0</v>
      </c>
      <c r="K943" t="n">
        <v>0</v>
      </c>
      <c r="L943" t="n">
        <v>0</v>
      </c>
      <c r="M943" t="n">
        <v>0</v>
      </c>
      <c r="N943" t="n">
        <v>0</v>
      </c>
      <c r="O943" t="n">
        <v>0</v>
      </c>
      <c r="P943" t="n">
        <v>0</v>
      </c>
      <c r="Q943" t="n">
        <v>0</v>
      </c>
      <c r="R943" s="2" t="inlineStr"/>
    </row>
    <row r="944" ht="15" customHeight="1">
      <c r="A944" t="inlineStr">
        <is>
          <t>A 10008-2023</t>
        </is>
      </c>
      <c r="B944" s="1" t="n">
        <v>44985</v>
      </c>
      <c r="C944" s="1" t="n">
        <v>45787</v>
      </c>
      <c r="D944" t="inlineStr">
        <is>
          <t>JÄMTLANDS LÄN</t>
        </is>
      </c>
      <c r="E944" t="inlineStr">
        <is>
          <t>HÄRJEDALEN</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10046-2023</t>
        </is>
      </c>
      <c r="B945" s="1" t="n">
        <v>44985</v>
      </c>
      <c r="C945" s="1" t="n">
        <v>45787</v>
      </c>
      <c r="D945" t="inlineStr">
        <is>
          <t>JÄMTLANDS LÄN</t>
        </is>
      </c>
      <c r="E945" t="inlineStr">
        <is>
          <t>HÄRJEDALEN</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10015-2023</t>
        </is>
      </c>
      <c r="B946" s="1" t="n">
        <v>44985</v>
      </c>
      <c r="C946" s="1" t="n">
        <v>45787</v>
      </c>
      <c r="D946" t="inlineStr">
        <is>
          <t>JÄMTLANDS LÄN</t>
        </is>
      </c>
      <c r="E946" t="inlineStr">
        <is>
          <t>HÄRJEDALEN</t>
        </is>
      </c>
      <c r="F946" t="inlineStr">
        <is>
          <t>Holmen skog AB</t>
        </is>
      </c>
      <c r="G946" t="n">
        <v>3.2</v>
      </c>
      <c r="H946" t="n">
        <v>0</v>
      </c>
      <c r="I946" t="n">
        <v>0</v>
      </c>
      <c r="J946" t="n">
        <v>0</v>
      </c>
      <c r="K946" t="n">
        <v>0</v>
      </c>
      <c r="L946" t="n">
        <v>0</v>
      </c>
      <c r="M946" t="n">
        <v>0</v>
      </c>
      <c r="N946" t="n">
        <v>0</v>
      </c>
      <c r="O946" t="n">
        <v>0</v>
      </c>
      <c r="P946" t="n">
        <v>0</v>
      </c>
      <c r="Q946" t="n">
        <v>0</v>
      </c>
      <c r="R946" s="2" t="inlineStr"/>
    </row>
    <row r="947" ht="15" customHeight="1">
      <c r="A947" t="inlineStr">
        <is>
          <t>A 10043-2023</t>
        </is>
      </c>
      <c r="B947" s="1" t="n">
        <v>44985</v>
      </c>
      <c r="C947" s="1" t="n">
        <v>45787</v>
      </c>
      <c r="D947" t="inlineStr">
        <is>
          <t>JÄMTLANDS LÄN</t>
        </is>
      </c>
      <c r="E947" t="inlineStr">
        <is>
          <t>HÄRJEDALEN</t>
        </is>
      </c>
      <c r="F947" t="inlineStr">
        <is>
          <t>Holmen skog AB</t>
        </is>
      </c>
      <c r="G947" t="n">
        <v>1</v>
      </c>
      <c r="H947" t="n">
        <v>0</v>
      </c>
      <c r="I947" t="n">
        <v>0</v>
      </c>
      <c r="J947" t="n">
        <v>0</v>
      </c>
      <c r="K947" t="n">
        <v>0</v>
      </c>
      <c r="L947" t="n">
        <v>0</v>
      </c>
      <c r="M947" t="n">
        <v>0</v>
      </c>
      <c r="N947" t="n">
        <v>0</v>
      </c>
      <c r="O947" t="n">
        <v>0</v>
      </c>
      <c r="P947" t="n">
        <v>0</v>
      </c>
      <c r="Q947" t="n">
        <v>0</v>
      </c>
      <c r="R947" s="2" t="inlineStr"/>
    </row>
    <row r="948" ht="15" customHeight="1">
      <c r="A948" t="inlineStr">
        <is>
          <t>A 9993-2023</t>
        </is>
      </c>
      <c r="B948" s="1" t="n">
        <v>44985</v>
      </c>
      <c r="C948" s="1" t="n">
        <v>45787</v>
      </c>
      <c r="D948" t="inlineStr">
        <is>
          <t>JÄMTLANDS LÄN</t>
        </is>
      </c>
      <c r="E948" t="inlineStr">
        <is>
          <t>HÄRJEDALEN</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10003-2023</t>
        </is>
      </c>
      <c r="B949" s="1" t="n">
        <v>44985</v>
      </c>
      <c r="C949" s="1" t="n">
        <v>45787</v>
      </c>
      <c r="D949" t="inlineStr">
        <is>
          <t>JÄMTLANDS LÄN</t>
        </is>
      </c>
      <c r="E949" t="inlineStr">
        <is>
          <t>HÄRJEDALEN</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10007-2023</t>
        </is>
      </c>
      <c r="B950" s="1" t="n">
        <v>44985</v>
      </c>
      <c r="C950" s="1" t="n">
        <v>45787</v>
      </c>
      <c r="D950" t="inlineStr">
        <is>
          <t>JÄMTLANDS LÄN</t>
        </is>
      </c>
      <c r="E950" t="inlineStr">
        <is>
          <t>HÄRJEDALEN</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10012-2023</t>
        </is>
      </c>
      <c r="B951" s="1" t="n">
        <v>44985</v>
      </c>
      <c r="C951" s="1" t="n">
        <v>45787</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10040-2023</t>
        </is>
      </c>
      <c r="B952" s="1" t="n">
        <v>44985</v>
      </c>
      <c r="C952" s="1" t="n">
        <v>45787</v>
      </c>
      <c r="D952" t="inlineStr">
        <is>
          <t>JÄMTLANDS LÄN</t>
        </is>
      </c>
      <c r="E952" t="inlineStr">
        <is>
          <t>HÄRJEDALEN</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10329-2023</t>
        </is>
      </c>
      <c r="B953" s="1" t="n">
        <v>44987</v>
      </c>
      <c r="C953" s="1" t="n">
        <v>45787</v>
      </c>
      <c r="D953" t="inlineStr">
        <is>
          <t>JÄMTLANDS LÄN</t>
        </is>
      </c>
      <c r="E953" t="inlineStr">
        <is>
          <t>HÄRJEDALEN</t>
        </is>
      </c>
      <c r="F953" t="inlineStr">
        <is>
          <t>Holmen skog AB</t>
        </is>
      </c>
      <c r="G953" t="n">
        <v>4.7</v>
      </c>
      <c r="H953" t="n">
        <v>0</v>
      </c>
      <c r="I953" t="n">
        <v>0</v>
      </c>
      <c r="J953" t="n">
        <v>0</v>
      </c>
      <c r="K953" t="n">
        <v>0</v>
      </c>
      <c r="L953" t="n">
        <v>0</v>
      </c>
      <c r="M953" t="n">
        <v>0</v>
      </c>
      <c r="N953" t="n">
        <v>0</v>
      </c>
      <c r="O953" t="n">
        <v>0</v>
      </c>
      <c r="P953" t="n">
        <v>0</v>
      </c>
      <c r="Q953" t="n">
        <v>0</v>
      </c>
      <c r="R953" s="2" t="inlineStr"/>
    </row>
    <row r="954" ht="15" customHeight="1">
      <c r="A954" t="inlineStr">
        <is>
          <t>A 10353-2023</t>
        </is>
      </c>
      <c r="B954" s="1" t="n">
        <v>44987</v>
      </c>
      <c r="C954" s="1" t="n">
        <v>45787</v>
      </c>
      <c r="D954" t="inlineStr">
        <is>
          <t>JÄMTLANDS LÄN</t>
        </is>
      </c>
      <c r="E954" t="inlineStr">
        <is>
          <t>HÄRJEDALEN</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10342-2023</t>
        </is>
      </c>
      <c r="B955" s="1" t="n">
        <v>44987</v>
      </c>
      <c r="C955" s="1" t="n">
        <v>45787</v>
      </c>
      <c r="D955" t="inlineStr">
        <is>
          <t>JÄMTLANDS LÄN</t>
        </is>
      </c>
      <c r="E955" t="inlineStr">
        <is>
          <t>HÄRJEDALEN</t>
        </is>
      </c>
      <c r="F955" t="inlineStr">
        <is>
          <t>Holmen skog AB</t>
        </is>
      </c>
      <c r="G955" t="n">
        <v>32.6</v>
      </c>
      <c r="H955" t="n">
        <v>0</v>
      </c>
      <c r="I955" t="n">
        <v>0</v>
      </c>
      <c r="J955" t="n">
        <v>0</v>
      </c>
      <c r="K955" t="n">
        <v>0</v>
      </c>
      <c r="L955" t="n">
        <v>0</v>
      </c>
      <c r="M955" t="n">
        <v>0</v>
      </c>
      <c r="N955" t="n">
        <v>0</v>
      </c>
      <c r="O955" t="n">
        <v>0</v>
      </c>
      <c r="P955" t="n">
        <v>0</v>
      </c>
      <c r="Q955" t="n">
        <v>0</v>
      </c>
      <c r="R955" s="2" t="inlineStr"/>
    </row>
    <row r="956" ht="15" customHeight="1">
      <c r="A956" t="inlineStr">
        <is>
          <t>A 10340-2023</t>
        </is>
      </c>
      <c r="B956" s="1" t="n">
        <v>44987</v>
      </c>
      <c r="C956" s="1" t="n">
        <v>45787</v>
      </c>
      <c r="D956" t="inlineStr">
        <is>
          <t>JÄMTLANDS LÄN</t>
        </is>
      </c>
      <c r="E956" t="inlineStr">
        <is>
          <t>HÄRJEDALEN</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10348-2023</t>
        </is>
      </c>
      <c r="B957" s="1" t="n">
        <v>44987</v>
      </c>
      <c r="C957" s="1" t="n">
        <v>45787</v>
      </c>
      <c r="D957" t="inlineStr">
        <is>
          <t>JÄMTLANDS LÄN</t>
        </is>
      </c>
      <c r="E957" t="inlineStr">
        <is>
          <t>HÄRJEDALEN</t>
        </is>
      </c>
      <c r="F957" t="inlineStr">
        <is>
          <t>Holmen skog AB</t>
        </is>
      </c>
      <c r="G957" t="n">
        <v>17.8</v>
      </c>
      <c r="H957" t="n">
        <v>0</v>
      </c>
      <c r="I957" t="n">
        <v>0</v>
      </c>
      <c r="J957" t="n">
        <v>0</v>
      </c>
      <c r="K957" t="n">
        <v>0</v>
      </c>
      <c r="L957" t="n">
        <v>0</v>
      </c>
      <c r="M957" t="n">
        <v>0</v>
      </c>
      <c r="N957" t="n">
        <v>0</v>
      </c>
      <c r="O957" t="n">
        <v>0</v>
      </c>
      <c r="P957" t="n">
        <v>0</v>
      </c>
      <c r="Q957" t="n">
        <v>0</v>
      </c>
      <c r="R957" s="2" t="inlineStr"/>
    </row>
    <row r="958" ht="15" customHeight="1">
      <c r="A958" t="inlineStr">
        <is>
          <t>A 10338-2023</t>
        </is>
      </c>
      <c r="B958" s="1" t="n">
        <v>44987</v>
      </c>
      <c r="C958" s="1" t="n">
        <v>45787</v>
      </c>
      <c r="D958" t="inlineStr">
        <is>
          <t>JÄMTLANDS LÄN</t>
        </is>
      </c>
      <c r="E958" t="inlineStr">
        <is>
          <t>HÄRJEDALEN</t>
        </is>
      </c>
      <c r="F958" t="inlineStr">
        <is>
          <t>Holmen skog AB</t>
        </is>
      </c>
      <c r="G958" t="n">
        <v>11.8</v>
      </c>
      <c r="H958" t="n">
        <v>0</v>
      </c>
      <c r="I958" t="n">
        <v>0</v>
      </c>
      <c r="J958" t="n">
        <v>0</v>
      </c>
      <c r="K958" t="n">
        <v>0</v>
      </c>
      <c r="L958" t="n">
        <v>0</v>
      </c>
      <c r="M958" t="n">
        <v>0</v>
      </c>
      <c r="N958" t="n">
        <v>0</v>
      </c>
      <c r="O958" t="n">
        <v>0</v>
      </c>
      <c r="P958" t="n">
        <v>0</v>
      </c>
      <c r="Q958" t="n">
        <v>0</v>
      </c>
      <c r="R958" s="2" t="inlineStr"/>
    </row>
    <row r="959" ht="15" customHeight="1">
      <c r="A959" t="inlineStr">
        <is>
          <t>A 11448-2023</t>
        </is>
      </c>
      <c r="B959" s="1" t="n">
        <v>44993</v>
      </c>
      <c r="C959" s="1" t="n">
        <v>45787</v>
      </c>
      <c r="D959" t="inlineStr">
        <is>
          <t>JÄMTLANDS LÄN</t>
        </is>
      </c>
      <c r="E959" t="inlineStr">
        <is>
          <t>HÄRJEDALEN</t>
        </is>
      </c>
      <c r="G959" t="n">
        <v>12.1</v>
      </c>
      <c r="H959" t="n">
        <v>0</v>
      </c>
      <c r="I959" t="n">
        <v>0</v>
      </c>
      <c r="J959" t="n">
        <v>0</v>
      </c>
      <c r="K959" t="n">
        <v>0</v>
      </c>
      <c r="L959" t="n">
        <v>0</v>
      </c>
      <c r="M959" t="n">
        <v>0</v>
      </c>
      <c r="N959" t="n">
        <v>0</v>
      </c>
      <c r="O959" t="n">
        <v>0</v>
      </c>
      <c r="P959" t="n">
        <v>0</v>
      </c>
      <c r="Q959" t="n">
        <v>0</v>
      </c>
      <c r="R959" s="2" t="inlineStr"/>
    </row>
    <row r="960" ht="15" customHeight="1">
      <c r="A960" t="inlineStr">
        <is>
          <t>A 11818-2023</t>
        </is>
      </c>
      <c r="B960" s="1" t="n">
        <v>44994</v>
      </c>
      <c r="C960" s="1" t="n">
        <v>45787</v>
      </c>
      <c r="D960" t="inlineStr">
        <is>
          <t>JÄMTLANDS LÄN</t>
        </is>
      </c>
      <c r="E960" t="inlineStr">
        <is>
          <t>HÄRJEDALEN</t>
        </is>
      </c>
      <c r="G960" t="n">
        <v>8.9</v>
      </c>
      <c r="H960" t="n">
        <v>0</v>
      </c>
      <c r="I960" t="n">
        <v>0</v>
      </c>
      <c r="J960" t="n">
        <v>0</v>
      </c>
      <c r="K960" t="n">
        <v>0</v>
      </c>
      <c r="L960" t="n">
        <v>0</v>
      </c>
      <c r="M960" t="n">
        <v>0</v>
      </c>
      <c r="N960" t="n">
        <v>0</v>
      </c>
      <c r="O960" t="n">
        <v>0</v>
      </c>
      <c r="P960" t="n">
        <v>0</v>
      </c>
      <c r="Q960" t="n">
        <v>0</v>
      </c>
      <c r="R960" s="2" t="inlineStr"/>
    </row>
    <row r="961" ht="15" customHeight="1">
      <c r="A961" t="inlineStr">
        <is>
          <t>A 12484-2023</t>
        </is>
      </c>
      <c r="B961" s="1" t="n">
        <v>44998</v>
      </c>
      <c r="C961" s="1" t="n">
        <v>45787</v>
      </c>
      <c r="D961" t="inlineStr">
        <is>
          <t>JÄMTLANDS LÄN</t>
        </is>
      </c>
      <c r="E961" t="inlineStr">
        <is>
          <t>HÄRJEDALEN</t>
        </is>
      </c>
      <c r="G961" t="n">
        <v>43.1</v>
      </c>
      <c r="H961" t="n">
        <v>0</v>
      </c>
      <c r="I961" t="n">
        <v>0</v>
      </c>
      <c r="J961" t="n">
        <v>0</v>
      </c>
      <c r="K961" t="n">
        <v>0</v>
      </c>
      <c r="L961" t="n">
        <v>0</v>
      </c>
      <c r="M961" t="n">
        <v>0</v>
      </c>
      <c r="N961" t="n">
        <v>0</v>
      </c>
      <c r="O961" t="n">
        <v>0</v>
      </c>
      <c r="P961" t="n">
        <v>0</v>
      </c>
      <c r="Q961" t="n">
        <v>0</v>
      </c>
      <c r="R961" s="2" t="inlineStr"/>
    </row>
    <row r="962" ht="15" customHeight="1">
      <c r="A962" t="inlineStr">
        <is>
          <t>A 12462-2023</t>
        </is>
      </c>
      <c r="B962" s="1" t="n">
        <v>44999</v>
      </c>
      <c r="C962" s="1" t="n">
        <v>45787</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12625-2023</t>
        </is>
      </c>
      <c r="B963" s="1" t="n">
        <v>45000</v>
      </c>
      <c r="C963" s="1" t="n">
        <v>45787</v>
      </c>
      <c r="D963" t="inlineStr">
        <is>
          <t>JÄMTLANDS LÄN</t>
        </is>
      </c>
      <c r="E963" t="inlineStr">
        <is>
          <t>HÄRJEDALEN</t>
        </is>
      </c>
      <c r="G963" t="n">
        <v>0.6</v>
      </c>
      <c r="H963" t="n">
        <v>0</v>
      </c>
      <c r="I963" t="n">
        <v>0</v>
      </c>
      <c r="J963" t="n">
        <v>0</v>
      </c>
      <c r="K963" t="n">
        <v>0</v>
      </c>
      <c r="L963" t="n">
        <v>0</v>
      </c>
      <c r="M963" t="n">
        <v>0</v>
      </c>
      <c r="N963" t="n">
        <v>0</v>
      </c>
      <c r="O963" t="n">
        <v>0</v>
      </c>
      <c r="P963" t="n">
        <v>0</v>
      </c>
      <c r="Q963" t="n">
        <v>0</v>
      </c>
      <c r="R963" s="2" t="inlineStr"/>
    </row>
    <row r="964" ht="15" customHeight="1">
      <c r="A964" t="inlineStr">
        <is>
          <t>A 12921-2023</t>
        </is>
      </c>
      <c r="B964" s="1" t="n">
        <v>45001</v>
      </c>
      <c r="C964" s="1" t="n">
        <v>45787</v>
      </c>
      <c r="D964" t="inlineStr">
        <is>
          <t>JÄMTLANDS LÄN</t>
        </is>
      </c>
      <c r="E964" t="inlineStr">
        <is>
          <t>HÄRJEDALEN</t>
        </is>
      </c>
      <c r="G964" t="n">
        <v>13.9</v>
      </c>
      <c r="H964" t="n">
        <v>0</v>
      </c>
      <c r="I964" t="n">
        <v>0</v>
      </c>
      <c r="J964" t="n">
        <v>0</v>
      </c>
      <c r="K964" t="n">
        <v>0</v>
      </c>
      <c r="L964" t="n">
        <v>0</v>
      </c>
      <c r="M964" t="n">
        <v>0</v>
      </c>
      <c r="N964" t="n">
        <v>0</v>
      </c>
      <c r="O964" t="n">
        <v>0</v>
      </c>
      <c r="P964" t="n">
        <v>0</v>
      </c>
      <c r="Q964" t="n">
        <v>0</v>
      </c>
      <c r="R964" s="2" t="inlineStr"/>
    </row>
    <row r="965" ht="15" customHeight="1">
      <c r="A965" t="inlineStr">
        <is>
          <t>A 13774-2023</t>
        </is>
      </c>
      <c r="B965" s="1" t="n">
        <v>45007</v>
      </c>
      <c r="C965" s="1" t="n">
        <v>45787</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14631-2023</t>
        </is>
      </c>
      <c r="B966" s="1" t="n">
        <v>45012</v>
      </c>
      <c r="C966" s="1" t="n">
        <v>45787</v>
      </c>
      <c r="D966" t="inlineStr">
        <is>
          <t>JÄMTLANDS LÄN</t>
        </is>
      </c>
      <c r="E966" t="inlineStr">
        <is>
          <t>HÄRJEDALEN</t>
        </is>
      </c>
      <c r="F966" t="inlineStr">
        <is>
          <t>Bergvik skog väst AB</t>
        </is>
      </c>
      <c r="G966" t="n">
        <v>14.2</v>
      </c>
      <c r="H966" t="n">
        <v>0</v>
      </c>
      <c r="I966" t="n">
        <v>0</v>
      </c>
      <c r="J966" t="n">
        <v>0</v>
      </c>
      <c r="K966" t="n">
        <v>0</v>
      </c>
      <c r="L966" t="n">
        <v>0</v>
      </c>
      <c r="M966" t="n">
        <v>0</v>
      </c>
      <c r="N966" t="n">
        <v>0</v>
      </c>
      <c r="O966" t="n">
        <v>0</v>
      </c>
      <c r="P966" t="n">
        <v>0</v>
      </c>
      <c r="Q966" t="n">
        <v>0</v>
      </c>
      <c r="R966" s="2" t="inlineStr"/>
    </row>
    <row r="967" ht="15" customHeight="1">
      <c r="A967" t="inlineStr">
        <is>
          <t>A 15511-2023</t>
        </is>
      </c>
      <c r="B967" s="1" t="n">
        <v>45020</v>
      </c>
      <c r="C967" s="1" t="n">
        <v>45787</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15747-2023</t>
        </is>
      </c>
      <c r="B968" s="1" t="n">
        <v>45020</v>
      </c>
      <c r="C968" s="1" t="n">
        <v>45787</v>
      </c>
      <c r="D968" t="inlineStr">
        <is>
          <t>JÄMTLANDS LÄN</t>
        </is>
      </c>
      <c r="E968" t="inlineStr">
        <is>
          <t>HÄRJEDALEN</t>
        </is>
      </c>
      <c r="G968" t="n">
        <v>0.1</v>
      </c>
      <c r="H968" t="n">
        <v>0</v>
      </c>
      <c r="I968" t="n">
        <v>0</v>
      </c>
      <c r="J968" t="n">
        <v>0</v>
      </c>
      <c r="K968" t="n">
        <v>0</v>
      </c>
      <c r="L968" t="n">
        <v>0</v>
      </c>
      <c r="M968" t="n">
        <v>0</v>
      </c>
      <c r="N968" t="n">
        <v>0</v>
      </c>
      <c r="O968" t="n">
        <v>0</v>
      </c>
      <c r="P968" t="n">
        <v>0</v>
      </c>
      <c r="Q968" t="n">
        <v>0</v>
      </c>
      <c r="R968" s="2" t="inlineStr"/>
    </row>
    <row r="969" ht="15" customHeight="1">
      <c r="A969" t="inlineStr">
        <is>
          <t>A 16115-2023</t>
        </is>
      </c>
      <c r="B969" s="1" t="n">
        <v>45027</v>
      </c>
      <c r="C969" s="1" t="n">
        <v>45787</v>
      </c>
      <c r="D969" t="inlineStr">
        <is>
          <t>JÄMTLANDS LÄN</t>
        </is>
      </c>
      <c r="E969" t="inlineStr">
        <is>
          <t>HÄRJEDALEN</t>
        </is>
      </c>
      <c r="G969" t="n">
        <v>26</v>
      </c>
      <c r="H969" t="n">
        <v>0</v>
      </c>
      <c r="I969" t="n">
        <v>0</v>
      </c>
      <c r="J969" t="n">
        <v>0</v>
      </c>
      <c r="K969" t="n">
        <v>0</v>
      </c>
      <c r="L969" t="n">
        <v>0</v>
      </c>
      <c r="M969" t="n">
        <v>0</v>
      </c>
      <c r="N969" t="n">
        <v>0</v>
      </c>
      <c r="O969" t="n">
        <v>0</v>
      </c>
      <c r="P969" t="n">
        <v>0</v>
      </c>
      <c r="Q969" t="n">
        <v>0</v>
      </c>
      <c r="R969" s="2" t="inlineStr"/>
    </row>
    <row r="970" ht="15" customHeight="1">
      <c r="A970" t="inlineStr">
        <is>
          <t>A 16468-2023</t>
        </is>
      </c>
      <c r="B970" s="1" t="n">
        <v>45029</v>
      </c>
      <c r="C970" s="1" t="n">
        <v>45787</v>
      </c>
      <c r="D970" t="inlineStr">
        <is>
          <t>JÄMTLANDS LÄN</t>
        </is>
      </c>
      <c r="E970" t="inlineStr">
        <is>
          <t>HÄRJEDALEN</t>
        </is>
      </c>
      <c r="G970" t="n">
        <v>6.7</v>
      </c>
      <c r="H970" t="n">
        <v>0</v>
      </c>
      <c r="I970" t="n">
        <v>0</v>
      </c>
      <c r="J970" t="n">
        <v>0</v>
      </c>
      <c r="K970" t="n">
        <v>0</v>
      </c>
      <c r="L970" t="n">
        <v>0</v>
      </c>
      <c r="M970" t="n">
        <v>0</v>
      </c>
      <c r="N970" t="n">
        <v>0</v>
      </c>
      <c r="O970" t="n">
        <v>0</v>
      </c>
      <c r="P970" t="n">
        <v>0</v>
      </c>
      <c r="Q970" t="n">
        <v>0</v>
      </c>
      <c r="R970" s="2" t="inlineStr"/>
    </row>
    <row r="971" ht="15" customHeight="1">
      <c r="A971" t="inlineStr">
        <is>
          <t>A 17121-2023</t>
        </is>
      </c>
      <c r="B971" s="1" t="n">
        <v>45034</v>
      </c>
      <c r="C971" s="1" t="n">
        <v>45787</v>
      </c>
      <c r="D971" t="inlineStr">
        <is>
          <t>JÄMTLANDS LÄN</t>
        </is>
      </c>
      <c r="E971" t="inlineStr">
        <is>
          <t>HÄRJEDALEN</t>
        </is>
      </c>
      <c r="G971" t="n">
        <v>6.4</v>
      </c>
      <c r="H971" t="n">
        <v>0</v>
      </c>
      <c r="I971" t="n">
        <v>0</v>
      </c>
      <c r="J971" t="n">
        <v>0</v>
      </c>
      <c r="K971" t="n">
        <v>0</v>
      </c>
      <c r="L971" t="n">
        <v>0</v>
      </c>
      <c r="M971" t="n">
        <v>0</v>
      </c>
      <c r="N971" t="n">
        <v>0</v>
      </c>
      <c r="O971" t="n">
        <v>0</v>
      </c>
      <c r="P971" t="n">
        <v>0</v>
      </c>
      <c r="Q971" t="n">
        <v>0</v>
      </c>
      <c r="R971" s="2" t="inlineStr"/>
    </row>
    <row r="972" ht="15" customHeight="1">
      <c r="A972" t="inlineStr">
        <is>
          <t>A 17105-2023</t>
        </is>
      </c>
      <c r="B972" s="1" t="n">
        <v>45034</v>
      </c>
      <c r="C972" s="1" t="n">
        <v>45787</v>
      </c>
      <c r="D972" t="inlineStr">
        <is>
          <t>JÄMTLANDS LÄN</t>
        </is>
      </c>
      <c r="E972" t="inlineStr">
        <is>
          <t>HÄRJEDALEN</t>
        </is>
      </c>
      <c r="G972" t="n">
        <v>1.2</v>
      </c>
      <c r="H972" t="n">
        <v>0</v>
      </c>
      <c r="I972" t="n">
        <v>0</v>
      </c>
      <c r="J972" t="n">
        <v>0</v>
      </c>
      <c r="K972" t="n">
        <v>0</v>
      </c>
      <c r="L972" t="n">
        <v>0</v>
      </c>
      <c r="M972" t="n">
        <v>0</v>
      </c>
      <c r="N972" t="n">
        <v>0</v>
      </c>
      <c r="O972" t="n">
        <v>0</v>
      </c>
      <c r="P972" t="n">
        <v>0</v>
      </c>
      <c r="Q972" t="n">
        <v>0</v>
      </c>
      <c r="R972" s="2" t="inlineStr"/>
    </row>
    <row r="973" ht="15" customHeight="1">
      <c r="A973" t="inlineStr">
        <is>
          <t>A 17122-2023</t>
        </is>
      </c>
      <c r="B973" s="1" t="n">
        <v>45034</v>
      </c>
      <c r="C973" s="1" t="n">
        <v>45787</v>
      </c>
      <c r="D973" t="inlineStr">
        <is>
          <t>JÄMTLANDS LÄN</t>
        </is>
      </c>
      <c r="E973" t="inlineStr">
        <is>
          <t>HÄRJEDALEN</t>
        </is>
      </c>
      <c r="G973" t="n">
        <v>3.8</v>
      </c>
      <c r="H973" t="n">
        <v>0</v>
      </c>
      <c r="I973" t="n">
        <v>0</v>
      </c>
      <c r="J973" t="n">
        <v>0</v>
      </c>
      <c r="K973" t="n">
        <v>0</v>
      </c>
      <c r="L973" t="n">
        <v>0</v>
      </c>
      <c r="M973" t="n">
        <v>0</v>
      </c>
      <c r="N973" t="n">
        <v>0</v>
      </c>
      <c r="O973" t="n">
        <v>0</v>
      </c>
      <c r="P973" t="n">
        <v>0</v>
      </c>
      <c r="Q973" t="n">
        <v>0</v>
      </c>
      <c r="R973" s="2" t="inlineStr"/>
    </row>
    <row r="974" ht="15" customHeight="1">
      <c r="A974" t="inlineStr">
        <is>
          <t>A 17153-2023</t>
        </is>
      </c>
      <c r="B974" s="1" t="n">
        <v>45034</v>
      </c>
      <c r="C974" s="1" t="n">
        <v>45787</v>
      </c>
      <c r="D974" t="inlineStr">
        <is>
          <t>JÄMTLANDS LÄN</t>
        </is>
      </c>
      <c r="E974" t="inlineStr">
        <is>
          <t>HÄRJEDALEN</t>
        </is>
      </c>
      <c r="G974" t="n">
        <v>5.6</v>
      </c>
      <c r="H974" t="n">
        <v>0</v>
      </c>
      <c r="I974" t="n">
        <v>0</v>
      </c>
      <c r="J974" t="n">
        <v>0</v>
      </c>
      <c r="K974" t="n">
        <v>0</v>
      </c>
      <c r="L974" t="n">
        <v>0</v>
      </c>
      <c r="M974" t="n">
        <v>0</v>
      </c>
      <c r="N974" t="n">
        <v>0</v>
      </c>
      <c r="O974" t="n">
        <v>0</v>
      </c>
      <c r="P974" t="n">
        <v>0</v>
      </c>
      <c r="Q974" t="n">
        <v>0</v>
      </c>
      <c r="R974" s="2" t="inlineStr"/>
    </row>
    <row r="975" ht="15" customHeight="1">
      <c r="A975" t="inlineStr">
        <is>
          <t>A 17118-2023</t>
        </is>
      </c>
      <c r="B975" s="1" t="n">
        <v>45034</v>
      </c>
      <c r="C975" s="1" t="n">
        <v>45787</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17238-2023</t>
        </is>
      </c>
      <c r="B976" s="1" t="n">
        <v>45035</v>
      </c>
      <c r="C976" s="1" t="n">
        <v>45787</v>
      </c>
      <c r="D976" t="inlineStr">
        <is>
          <t>JÄMTLANDS LÄN</t>
        </is>
      </c>
      <c r="E976" t="inlineStr">
        <is>
          <t>HÄRJEDALEN</t>
        </is>
      </c>
      <c r="G976" t="n">
        <v>3.1</v>
      </c>
      <c r="H976" t="n">
        <v>0</v>
      </c>
      <c r="I976" t="n">
        <v>0</v>
      </c>
      <c r="J976" t="n">
        <v>0</v>
      </c>
      <c r="K976" t="n">
        <v>0</v>
      </c>
      <c r="L976" t="n">
        <v>0</v>
      </c>
      <c r="M976" t="n">
        <v>0</v>
      </c>
      <c r="N976" t="n">
        <v>0</v>
      </c>
      <c r="O976" t="n">
        <v>0</v>
      </c>
      <c r="P976" t="n">
        <v>0</v>
      </c>
      <c r="Q976" t="n">
        <v>0</v>
      </c>
      <c r="R976" s="2" t="inlineStr"/>
    </row>
    <row r="977" ht="15" customHeight="1">
      <c r="A977" t="inlineStr">
        <is>
          <t>A 17246-2023</t>
        </is>
      </c>
      <c r="B977" s="1" t="n">
        <v>45035</v>
      </c>
      <c r="C977" s="1" t="n">
        <v>45787</v>
      </c>
      <c r="D977" t="inlineStr">
        <is>
          <t>JÄMTLANDS LÄN</t>
        </is>
      </c>
      <c r="E977" t="inlineStr">
        <is>
          <t>HÄRJEDALEN</t>
        </is>
      </c>
      <c r="G977" t="n">
        <v>2.4</v>
      </c>
      <c r="H977" t="n">
        <v>0</v>
      </c>
      <c r="I977" t="n">
        <v>0</v>
      </c>
      <c r="J977" t="n">
        <v>0</v>
      </c>
      <c r="K977" t="n">
        <v>0</v>
      </c>
      <c r="L977" t="n">
        <v>0</v>
      </c>
      <c r="M977" t="n">
        <v>0</v>
      </c>
      <c r="N977" t="n">
        <v>0</v>
      </c>
      <c r="O977" t="n">
        <v>0</v>
      </c>
      <c r="P977" t="n">
        <v>0</v>
      </c>
      <c r="Q977" t="n">
        <v>0</v>
      </c>
      <c r="R977" s="2" t="inlineStr"/>
    </row>
    <row r="978" ht="15" customHeight="1">
      <c r="A978" t="inlineStr">
        <is>
          <t>A 17232-2023</t>
        </is>
      </c>
      <c r="B978" s="1" t="n">
        <v>45035</v>
      </c>
      <c r="C978" s="1" t="n">
        <v>45787</v>
      </c>
      <c r="D978" t="inlineStr">
        <is>
          <t>JÄMTLANDS LÄN</t>
        </is>
      </c>
      <c r="E978" t="inlineStr">
        <is>
          <t>HÄRJEDALEN</t>
        </is>
      </c>
      <c r="G978" t="n">
        <v>6.9</v>
      </c>
      <c r="H978" t="n">
        <v>0</v>
      </c>
      <c r="I978" t="n">
        <v>0</v>
      </c>
      <c r="J978" t="n">
        <v>0</v>
      </c>
      <c r="K978" t="n">
        <v>0</v>
      </c>
      <c r="L978" t="n">
        <v>0</v>
      </c>
      <c r="M978" t="n">
        <v>0</v>
      </c>
      <c r="N978" t="n">
        <v>0</v>
      </c>
      <c r="O978" t="n">
        <v>0</v>
      </c>
      <c r="P978" t="n">
        <v>0</v>
      </c>
      <c r="Q978" t="n">
        <v>0</v>
      </c>
      <c r="R978" s="2" t="inlineStr"/>
    </row>
    <row r="979" ht="15" customHeight="1">
      <c r="A979" t="inlineStr">
        <is>
          <t>A 17368-2023</t>
        </is>
      </c>
      <c r="B979" s="1" t="n">
        <v>45035</v>
      </c>
      <c r="C979" s="1" t="n">
        <v>45787</v>
      </c>
      <c r="D979" t="inlineStr">
        <is>
          <t>JÄMTLANDS LÄN</t>
        </is>
      </c>
      <c r="E979" t="inlineStr">
        <is>
          <t>HÄRJEDALEN</t>
        </is>
      </c>
      <c r="F979" t="inlineStr">
        <is>
          <t>Kyrkan</t>
        </is>
      </c>
      <c r="G979" t="n">
        <v>1.3</v>
      </c>
      <c r="H979" t="n">
        <v>0</v>
      </c>
      <c r="I979" t="n">
        <v>0</v>
      </c>
      <c r="J979" t="n">
        <v>0</v>
      </c>
      <c r="K979" t="n">
        <v>0</v>
      </c>
      <c r="L979" t="n">
        <v>0</v>
      </c>
      <c r="M979" t="n">
        <v>0</v>
      </c>
      <c r="N979" t="n">
        <v>0</v>
      </c>
      <c r="O979" t="n">
        <v>0</v>
      </c>
      <c r="P979" t="n">
        <v>0</v>
      </c>
      <c r="Q979" t="n">
        <v>0</v>
      </c>
      <c r="R979" s="2" t="inlineStr"/>
    </row>
    <row r="980" ht="15" customHeight="1">
      <c r="A980" t="inlineStr">
        <is>
          <t>A 18334-2023</t>
        </is>
      </c>
      <c r="B980" s="1" t="n">
        <v>45041</v>
      </c>
      <c r="C980" s="1" t="n">
        <v>45787</v>
      </c>
      <c r="D980" t="inlineStr">
        <is>
          <t>JÄMTLANDS LÄN</t>
        </is>
      </c>
      <c r="E980" t="inlineStr">
        <is>
          <t>HÄRJEDALEN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18258-2023</t>
        </is>
      </c>
      <c r="B981" s="1" t="n">
        <v>45041</v>
      </c>
      <c r="C981" s="1" t="n">
        <v>45787</v>
      </c>
      <c r="D981" t="inlineStr">
        <is>
          <t>JÄMTLANDS LÄN</t>
        </is>
      </c>
      <c r="E981" t="inlineStr">
        <is>
          <t>HÄRJEDALEN</t>
        </is>
      </c>
      <c r="F981" t="inlineStr">
        <is>
          <t>Bergvik skog väst AB</t>
        </is>
      </c>
      <c r="G981" t="n">
        <v>14.7</v>
      </c>
      <c r="H981" t="n">
        <v>0</v>
      </c>
      <c r="I981" t="n">
        <v>0</v>
      </c>
      <c r="J981" t="n">
        <v>0</v>
      </c>
      <c r="K981" t="n">
        <v>0</v>
      </c>
      <c r="L981" t="n">
        <v>0</v>
      </c>
      <c r="M981" t="n">
        <v>0</v>
      </c>
      <c r="N981" t="n">
        <v>0</v>
      </c>
      <c r="O981" t="n">
        <v>0</v>
      </c>
      <c r="P981" t="n">
        <v>0</v>
      </c>
      <c r="Q981" t="n">
        <v>0</v>
      </c>
      <c r="R981" s="2" t="inlineStr"/>
    </row>
    <row r="982" ht="15" customHeight="1">
      <c r="A982" t="inlineStr">
        <is>
          <t>A 18620-2023</t>
        </is>
      </c>
      <c r="B982" s="1" t="n">
        <v>45041</v>
      </c>
      <c r="C982" s="1" t="n">
        <v>45787</v>
      </c>
      <c r="D982" t="inlineStr">
        <is>
          <t>JÄMTLANDS LÄN</t>
        </is>
      </c>
      <c r="E982" t="inlineStr">
        <is>
          <t>HÄRJEDALEN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18646-2023</t>
        </is>
      </c>
      <c r="B983" s="1" t="n">
        <v>45041</v>
      </c>
      <c r="C983" s="1" t="n">
        <v>45787</v>
      </c>
      <c r="D983" t="inlineStr">
        <is>
          <t>JÄMTLANDS LÄN</t>
        </is>
      </c>
      <c r="E983" t="inlineStr">
        <is>
          <t>HÄRJEDALEN</t>
        </is>
      </c>
      <c r="G983" t="n">
        <v>0.2</v>
      </c>
      <c r="H983" t="n">
        <v>0</v>
      </c>
      <c r="I983" t="n">
        <v>0</v>
      </c>
      <c r="J983" t="n">
        <v>0</v>
      </c>
      <c r="K983" t="n">
        <v>0</v>
      </c>
      <c r="L983" t="n">
        <v>0</v>
      </c>
      <c r="M983" t="n">
        <v>0</v>
      </c>
      <c r="N983" t="n">
        <v>0</v>
      </c>
      <c r="O983" t="n">
        <v>0</v>
      </c>
      <c r="P983" t="n">
        <v>0</v>
      </c>
      <c r="Q983" t="n">
        <v>0</v>
      </c>
      <c r="R983" s="2" t="inlineStr"/>
    </row>
    <row r="984" ht="15" customHeight="1">
      <c r="A984" t="inlineStr">
        <is>
          <t>A 18659-2023</t>
        </is>
      </c>
      <c r="B984" s="1" t="n">
        <v>45041</v>
      </c>
      <c r="C984" s="1" t="n">
        <v>45787</v>
      </c>
      <c r="D984" t="inlineStr">
        <is>
          <t>JÄMTLANDS LÄN</t>
        </is>
      </c>
      <c r="E984" t="inlineStr">
        <is>
          <t>HÄRJEDALEN</t>
        </is>
      </c>
      <c r="G984" t="n">
        <v>0.9</v>
      </c>
      <c r="H984" t="n">
        <v>0</v>
      </c>
      <c r="I984" t="n">
        <v>0</v>
      </c>
      <c r="J984" t="n">
        <v>0</v>
      </c>
      <c r="K984" t="n">
        <v>0</v>
      </c>
      <c r="L984" t="n">
        <v>0</v>
      </c>
      <c r="M984" t="n">
        <v>0</v>
      </c>
      <c r="N984" t="n">
        <v>0</v>
      </c>
      <c r="O984" t="n">
        <v>0</v>
      </c>
      <c r="P984" t="n">
        <v>0</v>
      </c>
      <c r="Q984" t="n">
        <v>0</v>
      </c>
      <c r="R984" s="2" t="inlineStr"/>
    </row>
    <row r="985" ht="15" customHeight="1">
      <c r="A985" t="inlineStr">
        <is>
          <t>A 18617-2023</t>
        </is>
      </c>
      <c r="B985" s="1" t="n">
        <v>45043</v>
      </c>
      <c r="C985" s="1" t="n">
        <v>45787</v>
      </c>
      <c r="D985" t="inlineStr">
        <is>
          <t>JÄMTLANDS LÄN</t>
        </is>
      </c>
      <c r="E985" t="inlineStr">
        <is>
          <t>HÄRJEDALEN</t>
        </is>
      </c>
      <c r="G985" t="n">
        <v>15.1</v>
      </c>
      <c r="H985" t="n">
        <v>0</v>
      </c>
      <c r="I985" t="n">
        <v>0</v>
      </c>
      <c r="J985" t="n">
        <v>0</v>
      </c>
      <c r="K985" t="n">
        <v>0</v>
      </c>
      <c r="L985" t="n">
        <v>0</v>
      </c>
      <c r="M985" t="n">
        <v>0</v>
      </c>
      <c r="N985" t="n">
        <v>0</v>
      </c>
      <c r="O985" t="n">
        <v>0</v>
      </c>
      <c r="P985" t="n">
        <v>0</v>
      </c>
      <c r="Q985" t="n">
        <v>0</v>
      </c>
      <c r="R985" s="2" t="inlineStr"/>
    </row>
    <row r="986" ht="15" customHeight="1">
      <c r="A986" t="inlineStr">
        <is>
          <t>A 18875-2023</t>
        </is>
      </c>
      <c r="B986" s="1" t="n">
        <v>45044</v>
      </c>
      <c r="C986" s="1" t="n">
        <v>45787</v>
      </c>
      <c r="D986" t="inlineStr">
        <is>
          <t>JÄMTLANDS LÄN</t>
        </is>
      </c>
      <c r="E986" t="inlineStr">
        <is>
          <t>HÄRJEDALEN</t>
        </is>
      </c>
      <c r="F986" t="inlineStr">
        <is>
          <t>Kyrkan</t>
        </is>
      </c>
      <c r="G986" t="n">
        <v>1.4</v>
      </c>
      <c r="H986" t="n">
        <v>0</v>
      </c>
      <c r="I986" t="n">
        <v>0</v>
      </c>
      <c r="J986" t="n">
        <v>0</v>
      </c>
      <c r="K986" t="n">
        <v>0</v>
      </c>
      <c r="L986" t="n">
        <v>0</v>
      </c>
      <c r="M986" t="n">
        <v>0</v>
      </c>
      <c r="N986" t="n">
        <v>0</v>
      </c>
      <c r="O986" t="n">
        <v>0</v>
      </c>
      <c r="P986" t="n">
        <v>0</v>
      </c>
      <c r="Q986" t="n">
        <v>0</v>
      </c>
      <c r="R986" s="2" t="inlineStr"/>
    </row>
    <row r="987" ht="15" customHeight="1">
      <c r="A987" t="inlineStr">
        <is>
          <t>A 19353-2023</t>
        </is>
      </c>
      <c r="B987" s="1" t="n">
        <v>45049</v>
      </c>
      <c r="C987" s="1" t="n">
        <v>45787</v>
      </c>
      <c r="D987" t="inlineStr">
        <is>
          <t>JÄMTLANDS LÄN</t>
        </is>
      </c>
      <c r="E987" t="inlineStr">
        <is>
          <t>HÄRJEDALEN</t>
        </is>
      </c>
      <c r="G987" t="n">
        <v>3.9</v>
      </c>
      <c r="H987" t="n">
        <v>0</v>
      </c>
      <c r="I987" t="n">
        <v>0</v>
      </c>
      <c r="J987" t="n">
        <v>0</v>
      </c>
      <c r="K987" t="n">
        <v>0</v>
      </c>
      <c r="L987" t="n">
        <v>0</v>
      </c>
      <c r="M987" t="n">
        <v>0</v>
      </c>
      <c r="N987" t="n">
        <v>0</v>
      </c>
      <c r="O987" t="n">
        <v>0</v>
      </c>
      <c r="P987" t="n">
        <v>0</v>
      </c>
      <c r="Q987" t="n">
        <v>0</v>
      </c>
      <c r="R987" s="2" t="inlineStr"/>
    </row>
    <row r="988" ht="15" customHeight="1">
      <c r="A988" t="inlineStr">
        <is>
          <t>A 19337-2023</t>
        </is>
      </c>
      <c r="B988" s="1" t="n">
        <v>45049</v>
      </c>
      <c r="C988" s="1" t="n">
        <v>45787</v>
      </c>
      <c r="D988" t="inlineStr">
        <is>
          <t>JÄMTLANDS LÄN</t>
        </is>
      </c>
      <c r="E988" t="inlineStr">
        <is>
          <t>HÄRJEDALEN</t>
        </is>
      </c>
      <c r="G988" t="n">
        <v>3.6</v>
      </c>
      <c r="H988" t="n">
        <v>0</v>
      </c>
      <c r="I988" t="n">
        <v>0</v>
      </c>
      <c r="J988" t="n">
        <v>0</v>
      </c>
      <c r="K988" t="n">
        <v>0</v>
      </c>
      <c r="L988" t="n">
        <v>0</v>
      </c>
      <c r="M988" t="n">
        <v>0</v>
      </c>
      <c r="N988" t="n">
        <v>0</v>
      </c>
      <c r="O988" t="n">
        <v>0</v>
      </c>
      <c r="P988" t="n">
        <v>0</v>
      </c>
      <c r="Q988" t="n">
        <v>0</v>
      </c>
      <c r="R988" s="2" t="inlineStr"/>
    </row>
    <row r="989" ht="15" customHeight="1">
      <c r="A989" t="inlineStr">
        <is>
          <t>A 19730-2023</t>
        </is>
      </c>
      <c r="B989" s="1" t="n">
        <v>45050</v>
      </c>
      <c r="C989" s="1" t="n">
        <v>45787</v>
      </c>
      <c r="D989" t="inlineStr">
        <is>
          <t>JÄMTLANDS LÄN</t>
        </is>
      </c>
      <c r="E989" t="inlineStr">
        <is>
          <t>HÄRJEDALEN</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19915-2023</t>
        </is>
      </c>
      <c r="B990" s="1" t="n">
        <v>45054</v>
      </c>
      <c r="C990" s="1" t="n">
        <v>45787</v>
      </c>
      <c r="D990" t="inlineStr">
        <is>
          <t>JÄMTLANDS LÄN</t>
        </is>
      </c>
      <c r="E990" t="inlineStr">
        <is>
          <t>HÄRJEDALEN</t>
        </is>
      </c>
      <c r="F990" t="inlineStr">
        <is>
          <t>Sveaskog</t>
        </is>
      </c>
      <c r="G990" t="n">
        <v>0.1</v>
      </c>
      <c r="H990" t="n">
        <v>0</v>
      </c>
      <c r="I990" t="n">
        <v>0</v>
      </c>
      <c r="J990" t="n">
        <v>0</v>
      </c>
      <c r="K990" t="n">
        <v>0</v>
      </c>
      <c r="L990" t="n">
        <v>0</v>
      </c>
      <c r="M990" t="n">
        <v>0</v>
      </c>
      <c r="N990" t="n">
        <v>0</v>
      </c>
      <c r="O990" t="n">
        <v>0</v>
      </c>
      <c r="P990" t="n">
        <v>0</v>
      </c>
      <c r="Q990" t="n">
        <v>0</v>
      </c>
      <c r="R990" s="2" t="inlineStr"/>
    </row>
    <row r="991" ht="15" customHeight="1">
      <c r="A991" t="inlineStr">
        <is>
          <t>A 19981-2023</t>
        </is>
      </c>
      <c r="B991" s="1" t="n">
        <v>45054</v>
      </c>
      <c r="C991" s="1" t="n">
        <v>45787</v>
      </c>
      <c r="D991" t="inlineStr">
        <is>
          <t>JÄMTLANDS LÄN</t>
        </is>
      </c>
      <c r="E991" t="inlineStr">
        <is>
          <t>HÄRJEDALEN</t>
        </is>
      </c>
      <c r="G991" t="n">
        <v>13.5</v>
      </c>
      <c r="H991" t="n">
        <v>0</v>
      </c>
      <c r="I991" t="n">
        <v>0</v>
      </c>
      <c r="J991" t="n">
        <v>0</v>
      </c>
      <c r="K991" t="n">
        <v>0</v>
      </c>
      <c r="L991" t="n">
        <v>0</v>
      </c>
      <c r="M991" t="n">
        <v>0</v>
      </c>
      <c r="N991" t="n">
        <v>0</v>
      </c>
      <c r="O991" t="n">
        <v>0</v>
      </c>
      <c r="P991" t="n">
        <v>0</v>
      </c>
      <c r="Q991" t="n">
        <v>0</v>
      </c>
      <c r="R991" s="2" t="inlineStr"/>
    </row>
    <row r="992" ht="15" customHeight="1">
      <c r="A992" t="inlineStr">
        <is>
          <t>A 20539-2023</t>
        </is>
      </c>
      <c r="B992" s="1" t="n">
        <v>45055</v>
      </c>
      <c r="C992" s="1" t="n">
        <v>45787</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20851-2023</t>
        </is>
      </c>
      <c r="B993" s="1" t="n">
        <v>45056</v>
      </c>
      <c r="C993" s="1" t="n">
        <v>45787</v>
      </c>
      <c r="D993" t="inlineStr">
        <is>
          <t>JÄMTLANDS LÄN</t>
        </is>
      </c>
      <c r="E993" t="inlineStr">
        <is>
          <t>HÄRJEDALEN</t>
        </is>
      </c>
      <c r="F993" t="inlineStr">
        <is>
          <t>Holmen skog AB</t>
        </is>
      </c>
      <c r="G993" t="n">
        <v>41.1</v>
      </c>
      <c r="H993" t="n">
        <v>0</v>
      </c>
      <c r="I993" t="n">
        <v>0</v>
      </c>
      <c r="J993" t="n">
        <v>0</v>
      </c>
      <c r="K993" t="n">
        <v>0</v>
      </c>
      <c r="L993" t="n">
        <v>0</v>
      </c>
      <c r="M993" t="n">
        <v>0</v>
      </c>
      <c r="N993" t="n">
        <v>0</v>
      </c>
      <c r="O993" t="n">
        <v>0</v>
      </c>
      <c r="P993" t="n">
        <v>0</v>
      </c>
      <c r="Q993" t="n">
        <v>0</v>
      </c>
      <c r="R993" s="2" t="inlineStr"/>
    </row>
    <row r="994" ht="15" customHeight="1">
      <c r="A994" t="inlineStr">
        <is>
          <t>A 20609-2023</t>
        </is>
      </c>
      <c r="B994" s="1" t="n">
        <v>45057</v>
      </c>
      <c r="C994" s="1" t="n">
        <v>45787</v>
      </c>
      <c r="D994" t="inlineStr">
        <is>
          <t>JÄMTLANDS LÄN</t>
        </is>
      </c>
      <c r="E994" t="inlineStr">
        <is>
          <t>HÄRJEDALEN</t>
        </is>
      </c>
      <c r="F994" t="inlineStr">
        <is>
          <t>SCA</t>
        </is>
      </c>
      <c r="G994" t="n">
        <v>15.6</v>
      </c>
      <c r="H994" t="n">
        <v>0</v>
      </c>
      <c r="I994" t="n">
        <v>0</v>
      </c>
      <c r="J994" t="n">
        <v>0</v>
      </c>
      <c r="K994" t="n">
        <v>0</v>
      </c>
      <c r="L994" t="n">
        <v>0</v>
      </c>
      <c r="M994" t="n">
        <v>0</v>
      </c>
      <c r="N994" t="n">
        <v>0</v>
      </c>
      <c r="O994" t="n">
        <v>0</v>
      </c>
      <c r="P994" t="n">
        <v>0</v>
      </c>
      <c r="Q994" t="n">
        <v>0</v>
      </c>
      <c r="R994" s="2" t="inlineStr"/>
      <c r="U994">
        <f>HYPERLINK("https://klasma.github.io/Logging_2361/knärot/A 20609-2023 karta knärot.png", "A 20609-2023")</f>
        <v/>
      </c>
      <c r="V994">
        <f>HYPERLINK("https://klasma.github.io/Logging_2361/klagomål/A 20609-2023 FSC-klagomål.docx", "A 20609-2023")</f>
        <v/>
      </c>
      <c r="W994">
        <f>HYPERLINK("https://klasma.github.io/Logging_2361/klagomålsmail/A 20609-2023 FSC-klagomål mail.docx", "A 20609-2023")</f>
        <v/>
      </c>
      <c r="X994">
        <f>HYPERLINK("https://klasma.github.io/Logging_2361/tillsyn/A 20609-2023 tillsynsbegäran.docx", "A 20609-2023")</f>
        <v/>
      </c>
      <c r="Y994">
        <f>HYPERLINK("https://klasma.github.io/Logging_2361/tillsynsmail/A 20609-2023 tillsynsbegäran mail.docx", "A 20609-2023")</f>
        <v/>
      </c>
    </row>
    <row r="995" ht="15" customHeight="1">
      <c r="A995" t="inlineStr">
        <is>
          <t>A 20768-2023</t>
        </is>
      </c>
      <c r="B995" s="1" t="n">
        <v>45058</v>
      </c>
      <c r="C995" s="1" t="n">
        <v>45787</v>
      </c>
      <c r="D995" t="inlineStr">
        <is>
          <t>JÄMTLANDS LÄN</t>
        </is>
      </c>
      <c r="E995" t="inlineStr">
        <is>
          <t>HÄRJEDALEN</t>
        </is>
      </c>
      <c r="G995" t="n">
        <v>7.8</v>
      </c>
      <c r="H995" t="n">
        <v>0</v>
      </c>
      <c r="I995" t="n">
        <v>0</v>
      </c>
      <c r="J995" t="n">
        <v>0</v>
      </c>
      <c r="K995" t="n">
        <v>0</v>
      </c>
      <c r="L995" t="n">
        <v>0</v>
      </c>
      <c r="M995" t="n">
        <v>0</v>
      </c>
      <c r="N995" t="n">
        <v>0</v>
      </c>
      <c r="O995" t="n">
        <v>0</v>
      </c>
      <c r="P995" t="n">
        <v>0</v>
      </c>
      <c r="Q995" t="n">
        <v>0</v>
      </c>
      <c r="R995" s="2" t="inlineStr"/>
    </row>
    <row r="996" ht="15" customHeight="1">
      <c r="A996" t="inlineStr">
        <is>
          <t>A 20718-2023</t>
        </is>
      </c>
      <c r="B996" s="1" t="n">
        <v>45058</v>
      </c>
      <c r="C996" s="1" t="n">
        <v>45787</v>
      </c>
      <c r="D996" t="inlineStr">
        <is>
          <t>JÄMTLANDS LÄN</t>
        </is>
      </c>
      <c r="E996" t="inlineStr">
        <is>
          <t>HÄRJEDALEN</t>
        </is>
      </c>
      <c r="F996" t="inlineStr">
        <is>
          <t>Kyrkan</t>
        </is>
      </c>
      <c r="G996" t="n">
        <v>1</v>
      </c>
      <c r="H996" t="n">
        <v>0</v>
      </c>
      <c r="I996" t="n">
        <v>0</v>
      </c>
      <c r="J996" t="n">
        <v>0</v>
      </c>
      <c r="K996" t="n">
        <v>0</v>
      </c>
      <c r="L996" t="n">
        <v>0</v>
      </c>
      <c r="M996" t="n">
        <v>0</v>
      </c>
      <c r="N996" t="n">
        <v>0</v>
      </c>
      <c r="O996" t="n">
        <v>0</v>
      </c>
      <c r="P996" t="n">
        <v>0</v>
      </c>
      <c r="Q996" t="n">
        <v>0</v>
      </c>
      <c r="R996" s="2" t="inlineStr"/>
    </row>
    <row r="997" ht="15" customHeight="1">
      <c r="A997" t="inlineStr">
        <is>
          <t>A 20935-2023</t>
        </is>
      </c>
      <c r="B997" s="1" t="n">
        <v>45061</v>
      </c>
      <c r="C997" s="1" t="n">
        <v>45787</v>
      </c>
      <c r="D997" t="inlineStr">
        <is>
          <t>JÄMTLANDS LÄN</t>
        </is>
      </c>
      <c r="E997" t="inlineStr">
        <is>
          <t>HÄRJEDALEN</t>
        </is>
      </c>
      <c r="G997" t="n">
        <v>7.3</v>
      </c>
      <c r="H997" t="n">
        <v>0</v>
      </c>
      <c r="I997" t="n">
        <v>0</v>
      </c>
      <c r="J997" t="n">
        <v>0</v>
      </c>
      <c r="K997" t="n">
        <v>0</v>
      </c>
      <c r="L997" t="n">
        <v>0</v>
      </c>
      <c r="M997" t="n">
        <v>0</v>
      </c>
      <c r="N997" t="n">
        <v>0</v>
      </c>
      <c r="O997" t="n">
        <v>0</v>
      </c>
      <c r="P997" t="n">
        <v>0</v>
      </c>
      <c r="Q997" t="n">
        <v>0</v>
      </c>
      <c r="R997" s="2" t="inlineStr"/>
    </row>
    <row r="998" ht="15" customHeight="1">
      <c r="A998" t="inlineStr">
        <is>
          <t>A 21050-2023</t>
        </is>
      </c>
      <c r="B998" s="1" t="n">
        <v>45061</v>
      </c>
      <c r="C998" s="1" t="n">
        <v>45787</v>
      </c>
      <c r="D998" t="inlineStr">
        <is>
          <t>JÄMTLANDS LÄN</t>
        </is>
      </c>
      <c r="E998" t="inlineStr">
        <is>
          <t>HÄRJEDALEN</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21054-2023</t>
        </is>
      </c>
      <c r="B999" s="1" t="n">
        <v>45061</v>
      </c>
      <c r="C999" s="1" t="n">
        <v>45787</v>
      </c>
      <c r="D999" t="inlineStr">
        <is>
          <t>JÄMTLANDS LÄN</t>
        </is>
      </c>
      <c r="E999" t="inlineStr">
        <is>
          <t>HÄRJEDALEN</t>
        </is>
      </c>
      <c r="F999" t="inlineStr">
        <is>
          <t>Sveaskog</t>
        </is>
      </c>
      <c r="G999" t="n">
        <v>0.3</v>
      </c>
      <c r="H999" t="n">
        <v>0</v>
      </c>
      <c r="I999" t="n">
        <v>0</v>
      </c>
      <c r="J999" t="n">
        <v>0</v>
      </c>
      <c r="K999" t="n">
        <v>0</v>
      </c>
      <c r="L999" t="n">
        <v>0</v>
      </c>
      <c r="M999" t="n">
        <v>0</v>
      </c>
      <c r="N999" t="n">
        <v>0</v>
      </c>
      <c r="O999" t="n">
        <v>0</v>
      </c>
      <c r="P999" t="n">
        <v>0</v>
      </c>
      <c r="Q999" t="n">
        <v>0</v>
      </c>
      <c r="R999" s="2" t="inlineStr"/>
    </row>
    <row r="1000" ht="15" customHeight="1">
      <c r="A1000" t="inlineStr">
        <is>
          <t>A 21517-2023</t>
        </is>
      </c>
      <c r="B1000" s="1" t="n">
        <v>45063</v>
      </c>
      <c r="C1000" s="1" t="n">
        <v>45787</v>
      </c>
      <c r="D1000" t="inlineStr">
        <is>
          <t>JÄMTLANDS LÄN</t>
        </is>
      </c>
      <c r="E1000" t="inlineStr">
        <is>
          <t>HÄRJEDALEN</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21531-2023</t>
        </is>
      </c>
      <c r="B1001" s="1" t="n">
        <v>45063</v>
      </c>
      <c r="C1001" s="1" t="n">
        <v>45787</v>
      </c>
      <c r="D1001" t="inlineStr">
        <is>
          <t>JÄMTLANDS LÄN</t>
        </is>
      </c>
      <c r="E1001" t="inlineStr">
        <is>
          <t>HÄRJEDALEN</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21439-2023</t>
        </is>
      </c>
      <c r="B1002" s="1" t="n">
        <v>45063</v>
      </c>
      <c r="C1002" s="1" t="n">
        <v>45787</v>
      </c>
      <c r="D1002" t="inlineStr">
        <is>
          <t>JÄMTLANDS LÄN</t>
        </is>
      </c>
      <c r="E1002" t="inlineStr">
        <is>
          <t>HÄRJEDALEN</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21521-2023</t>
        </is>
      </c>
      <c r="B1003" s="1" t="n">
        <v>45063</v>
      </c>
      <c r="C1003" s="1" t="n">
        <v>45787</v>
      </c>
      <c r="D1003" t="inlineStr">
        <is>
          <t>JÄMTLANDS LÄN</t>
        </is>
      </c>
      <c r="E1003" t="inlineStr">
        <is>
          <t>HÄRJEDALEN</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21525-2023</t>
        </is>
      </c>
      <c r="B1004" s="1" t="n">
        <v>45063</v>
      </c>
      <c r="C1004" s="1" t="n">
        <v>45787</v>
      </c>
      <c r="D1004" t="inlineStr">
        <is>
          <t>JÄMTLANDS LÄN</t>
        </is>
      </c>
      <c r="E1004" t="inlineStr">
        <is>
          <t>HÄRJEDALEN</t>
        </is>
      </c>
      <c r="G1004" t="n">
        <v>20</v>
      </c>
      <c r="H1004" t="n">
        <v>0</v>
      </c>
      <c r="I1004" t="n">
        <v>0</v>
      </c>
      <c r="J1004" t="n">
        <v>0</v>
      </c>
      <c r="K1004" t="n">
        <v>0</v>
      </c>
      <c r="L1004" t="n">
        <v>0</v>
      </c>
      <c r="M1004" t="n">
        <v>0</v>
      </c>
      <c r="N1004" t="n">
        <v>0</v>
      </c>
      <c r="O1004" t="n">
        <v>0</v>
      </c>
      <c r="P1004" t="n">
        <v>0</v>
      </c>
      <c r="Q1004" t="n">
        <v>0</v>
      </c>
      <c r="R1004" s="2" t="inlineStr"/>
    </row>
    <row r="1005" ht="15" customHeight="1">
      <c r="A1005" t="inlineStr">
        <is>
          <t>A 21530-2023</t>
        </is>
      </c>
      <c r="B1005" s="1" t="n">
        <v>45063</v>
      </c>
      <c r="C1005" s="1" t="n">
        <v>45787</v>
      </c>
      <c r="D1005" t="inlineStr">
        <is>
          <t>JÄMTLANDS LÄN</t>
        </is>
      </c>
      <c r="E1005" t="inlineStr">
        <is>
          <t>HÄRJEDALEN</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21645-2023</t>
        </is>
      </c>
      <c r="B1006" s="1" t="n">
        <v>45063</v>
      </c>
      <c r="C1006" s="1" t="n">
        <v>45787</v>
      </c>
      <c r="D1006" t="inlineStr">
        <is>
          <t>JÄMTLANDS LÄN</t>
        </is>
      </c>
      <c r="E1006" t="inlineStr">
        <is>
          <t>HÄRJEDALEN</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21646-2023</t>
        </is>
      </c>
      <c r="B1007" s="1" t="n">
        <v>45063</v>
      </c>
      <c r="C1007" s="1" t="n">
        <v>45787</v>
      </c>
      <c r="D1007" t="inlineStr">
        <is>
          <t>JÄMTLANDS LÄN</t>
        </is>
      </c>
      <c r="E1007" t="inlineStr">
        <is>
          <t>HÄRJEDALEN</t>
        </is>
      </c>
      <c r="F1007" t="inlineStr">
        <is>
          <t>Sveaskog</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21665-2023</t>
        </is>
      </c>
      <c r="B1008" s="1" t="n">
        <v>45063</v>
      </c>
      <c r="C1008" s="1" t="n">
        <v>45787</v>
      </c>
      <c r="D1008" t="inlineStr">
        <is>
          <t>JÄMTLANDS LÄN</t>
        </is>
      </c>
      <c r="E1008" t="inlineStr">
        <is>
          <t>HÄRJEDALEN</t>
        </is>
      </c>
      <c r="G1008" t="n">
        <v>19.3</v>
      </c>
      <c r="H1008" t="n">
        <v>0</v>
      </c>
      <c r="I1008" t="n">
        <v>0</v>
      </c>
      <c r="J1008" t="n">
        <v>0</v>
      </c>
      <c r="K1008" t="n">
        <v>0</v>
      </c>
      <c r="L1008" t="n">
        <v>0</v>
      </c>
      <c r="M1008" t="n">
        <v>0</v>
      </c>
      <c r="N1008" t="n">
        <v>0</v>
      </c>
      <c r="O1008" t="n">
        <v>0</v>
      </c>
      <c r="P1008" t="n">
        <v>0</v>
      </c>
      <c r="Q1008" t="n">
        <v>0</v>
      </c>
      <c r="R1008" s="2" t="inlineStr"/>
    </row>
    <row r="1009" ht="15" customHeight="1">
      <c r="A1009" t="inlineStr">
        <is>
          <t>A 21666-2023</t>
        </is>
      </c>
      <c r="B1009" s="1" t="n">
        <v>45064</v>
      </c>
      <c r="C1009" s="1" t="n">
        <v>45787</v>
      </c>
      <c r="D1009" t="inlineStr">
        <is>
          <t>JÄMTLANDS LÄN</t>
        </is>
      </c>
      <c r="E1009" t="inlineStr">
        <is>
          <t>HÄRJEDALEN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22674-2023</t>
        </is>
      </c>
      <c r="B1010" s="1" t="n">
        <v>45071</v>
      </c>
      <c r="C1010" s="1" t="n">
        <v>45787</v>
      </c>
      <c r="D1010" t="inlineStr">
        <is>
          <t>JÄMTLANDS LÄN</t>
        </is>
      </c>
      <c r="E1010" t="inlineStr">
        <is>
          <t>HÄRJEDALEN</t>
        </is>
      </c>
      <c r="F1010" t="inlineStr">
        <is>
          <t>Bergvik skog väst AB</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22728-2023</t>
        </is>
      </c>
      <c r="B1011" s="1" t="n">
        <v>45072</v>
      </c>
      <c r="C1011" s="1" t="n">
        <v>45787</v>
      </c>
      <c r="D1011" t="inlineStr">
        <is>
          <t>JÄMTLANDS LÄN</t>
        </is>
      </c>
      <c r="E1011" t="inlineStr">
        <is>
          <t>HÄRJEDALEN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22747-2023</t>
        </is>
      </c>
      <c r="B1012" s="1" t="n">
        <v>45071</v>
      </c>
      <c r="C1012" s="1" t="n">
        <v>45787</v>
      </c>
      <c r="D1012" t="inlineStr">
        <is>
          <t>JÄMTLANDS LÄN</t>
        </is>
      </c>
      <c r="E1012" t="inlineStr">
        <is>
          <t>HÄRJEDALEN</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22746-2023</t>
        </is>
      </c>
      <c r="B1013" s="1" t="n">
        <v>45071</v>
      </c>
      <c r="C1013" s="1" t="n">
        <v>45787</v>
      </c>
      <c r="D1013" t="inlineStr">
        <is>
          <t>JÄMTLANDS LÄN</t>
        </is>
      </c>
      <c r="E1013" t="inlineStr">
        <is>
          <t>HÄRJEDALEN</t>
        </is>
      </c>
      <c r="F1013" t="inlineStr">
        <is>
          <t>SCA</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22729-2023</t>
        </is>
      </c>
      <c r="B1014" s="1" t="n">
        <v>45072</v>
      </c>
      <c r="C1014" s="1" t="n">
        <v>45787</v>
      </c>
      <c r="D1014" t="inlineStr">
        <is>
          <t>JÄMTLANDS LÄN</t>
        </is>
      </c>
      <c r="E1014" t="inlineStr">
        <is>
          <t>HÄRJEDALEN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23186-2023</t>
        </is>
      </c>
      <c r="B1015" s="1" t="n">
        <v>45075</v>
      </c>
      <c r="C1015" s="1" t="n">
        <v>45787</v>
      </c>
      <c r="D1015" t="inlineStr">
        <is>
          <t>JÄMTLANDS LÄN</t>
        </is>
      </c>
      <c r="E1015" t="inlineStr">
        <is>
          <t>HÄRJEDALEN</t>
        </is>
      </c>
      <c r="F1015" t="inlineStr">
        <is>
          <t>Bergvik skog väst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23185-2023</t>
        </is>
      </c>
      <c r="B1016" s="1" t="n">
        <v>45075</v>
      </c>
      <c r="C1016" s="1" t="n">
        <v>45787</v>
      </c>
      <c r="D1016" t="inlineStr">
        <is>
          <t>JÄMTLANDS LÄN</t>
        </is>
      </c>
      <c r="E1016" t="inlineStr">
        <is>
          <t>HÄRJEDALEN</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23356-2023</t>
        </is>
      </c>
      <c r="B1017" s="1" t="n">
        <v>45076</v>
      </c>
      <c r="C1017" s="1" t="n">
        <v>45787</v>
      </c>
      <c r="D1017" t="inlineStr">
        <is>
          <t>JÄMTLANDS LÄN</t>
        </is>
      </c>
      <c r="E1017" t="inlineStr">
        <is>
          <t>HÄRJEDALEN</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23465-2023</t>
        </is>
      </c>
      <c r="B1018" s="1" t="n">
        <v>45076</v>
      </c>
      <c r="C1018" s="1" t="n">
        <v>45787</v>
      </c>
      <c r="D1018" t="inlineStr">
        <is>
          <t>JÄMTLANDS LÄN</t>
        </is>
      </c>
      <c r="E1018" t="inlineStr">
        <is>
          <t>HÄRJEDALEN</t>
        </is>
      </c>
      <c r="G1018" t="n">
        <v>14.1</v>
      </c>
      <c r="H1018" t="n">
        <v>0</v>
      </c>
      <c r="I1018" t="n">
        <v>0</v>
      </c>
      <c r="J1018" t="n">
        <v>0</v>
      </c>
      <c r="K1018" t="n">
        <v>0</v>
      </c>
      <c r="L1018" t="n">
        <v>0</v>
      </c>
      <c r="M1018" t="n">
        <v>0</v>
      </c>
      <c r="N1018" t="n">
        <v>0</v>
      </c>
      <c r="O1018" t="n">
        <v>0</v>
      </c>
      <c r="P1018" t="n">
        <v>0</v>
      </c>
      <c r="Q1018" t="n">
        <v>0</v>
      </c>
      <c r="R1018" s="2" t="inlineStr"/>
    </row>
    <row r="1019" ht="15" customHeight="1">
      <c r="A1019" t="inlineStr">
        <is>
          <t>A 23895-2023</t>
        </is>
      </c>
      <c r="B1019" s="1" t="n">
        <v>45078</v>
      </c>
      <c r="C1019" s="1" t="n">
        <v>45787</v>
      </c>
      <c r="D1019" t="inlineStr">
        <is>
          <t>JÄMTLANDS LÄN</t>
        </is>
      </c>
      <c r="E1019" t="inlineStr">
        <is>
          <t>HÄRJEDALEN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23908-2023</t>
        </is>
      </c>
      <c r="B1020" s="1" t="n">
        <v>45078</v>
      </c>
      <c r="C1020" s="1" t="n">
        <v>45787</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24240-2023</t>
        </is>
      </c>
      <c r="B1021" s="1" t="n">
        <v>45079</v>
      </c>
      <c r="C1021" s="1" t="n">
        <v>45787</v>
      </c>
      <c r="D1021" t="inlineStr">
        <is>
          <t>JÄMTLANDS LÄN</t>
        </is>
      </c>
      <c r="E1021" t="inlineStr">
        <is>
          <t>HÄRJEDALEN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24238-2023</t>
        </is>
      </c>
      <c r="B1022" s="1" t="n">
        <v>45079</v>
      </c>
      <c r="C1022" s="1" t="n">
        <v>45787</v>
      </c>
      <c r="D1022" t="inlineStr">
        <is>
          <t>JÄMTLANDS LÄN</t>
        </is>
      </c>
      <c r="E1022" t="inlineStr">
        <is>
          <t>HÄRJEDALEN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24255-2023</t>
        </is>
      </c>
      <c r="B1023" s="1" t="n">
        <v>45079</v>
      </c>
      <c r="C1023" s="1" t="n">
        <v>45787</v>
      </c>
      <c r="D1023" t="inlineStr">
        <is>
          <t>JÄMTLANDS LÄN</t>
        </is>
      </c>
      <c r="E1023" t="inlineStr">
        <is>
          <t>HÄRJEDALEN</t>
        </is>
      </c>
      <c r="G1023" t="n">
        <v>16.1</v>
      </c>
      <c r="H1023" t="n">
        <v>0</v>
      </c>
      <c r="I1023" t="n">
        <v>0</v>
      </c>
      <c r="J1023" t="n">
        <v>0</v>
      </c>
      <c r="K1023" t="n">
        <v>0</v>
      </c>
      <c r="L1023" t="n">
        <v>0</v>
      </c>
      <c r="M1023" t="n">
        <v>0</v>
      </c>
      <c r="N1023" t="n">
        <v>0</v>
      </c>
      <c r="O1023" t="n">
        <v>0</v>
      </c>
      <c r="P1023" t="n">
        <v>0</v>
      </c>
      <c r="Q1023" t="n">
        <v>0</v>
      </c>
      <c r="R1023" s="2" t="inlineStr"/>
    </row>
    <row r="1024" ht="15" customHeight="1">
      <c r="A1024" t="inlineStr">
        <is>
          <t>A 24220-2023</t>
        </is>
      </c>
      <c r="B1024" s="1" t="n">
        <v>45079</v>
      </c>
      <c r="C1024" s="1" t="n">
        <v>45787</v>
      </c>
      <c r="D1024" t="inlineStr">
        <is>
          <t>JÄMTLANDS LÄN</t>
        </is>
      </c>
      <c r="E1024" t="inlineStr">
        <is>
          <t>HÄRJEDALEN</t>
        </is>
      </c>
      <c r="F1024" t="inlineStr">
        <is>
          <t>Bergvik skog väst AB</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25536-2023</t>
        </is>
      </c>
      <c r="B1025" s="1" t="n">
        <v>45082</v>
      </c>
      <c r="C1025" s="1" t="n">
        <v>45787</v>
      </c>
      <c r="D1025" t="inlineStr">
        <is>
          <t>JÄMTLANDS LÄN</t>
        </is>
      </c>
      <c r="E1025" t="inlineStr">
        <is>
          <t>HÄRJEDALEN</t>
        </is>
      </c>
      <c r="F1025" t="inlineStr">
        <is>
          <t>Bergvik skog väst AB</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25526-2023</t>
        </is>
      </c>
      <c r="B1026" s="1" t="n">
        <v>45082</v>
      </c>
      <c r="C1026" s="1" t="n">
        <v>45787</v>
      </c>
      <c r="D1026" t="inlineStr">
        <is>
          <t>JÄMTLANDS LÄN</t>
        </is>
      </c>
      <c r="E1026" t="inlineStr">
        <is>
          <t>HÄRJEDALEN</t>
        </is>
      </c>
      <c r="F1026" t="inlineStr">
        <is>
          <t>Bergvik skog väst AB</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25582-2023</t>
        </is>
      </c>
      <c r="B1027" s="1" t="n">
        <v>45082</v>
      </c>
      <c r="C1027" s="1" t="n">
        <v>45787</v>
      </c>
      <c r="D1027" t="inlineStr">
        <is>
          <t>JÄMTLANDS LÄN</t>
        </is>
      </c>
      <c r="E1027" t="inlineStr">
        <is>
          <t>HÄRJEDALEN</t>
        </is>
      </c>
      <c r="F1027" t="inlineStr">
        <is>
          <t>Bergvik skog väst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24834-2023</t>
        </is>
      </c>
      <c r="B1028" s="1" t="n">
        <v>45084</v>
      </c>
      <c r="C1028" s="1" t="n">
        <v>45787</v>
      </c>
      <c r="D1028" t="inlineStr">
        <is>
          <t>JÄMTLANDS LÄN</t>
        </is>
      </c>
      <c r="E1028" t="inlineStr">
        <is>
          <t>HÄRJEDALEN</t>
        </is>
      </c>
      <c r="F1028" t="inlineStr">
        <is>
          <t>SCA</t>
        </is>
      </c>
      <c r="G1028" t="n">
        <v>16.5</v>
      </c>
      <c r="H1028" t="n">
        <v>0</v>
      </c>
      <c r="I1028" t="n">
        <v>0</v>
      </c>
      <c r="J1028" t="n">
        <v>0</v>
      </c>
      <c r="K1028" t="n">
        <v>0</v>
      </c>
      <c r="L1028" t="n">
        <v>0</v>
      </c>
      <c r="M1028" t="n">
        <v>0</v>
      </c>
      <c r="N1028" t="n">
        <v>0</v>
      </c>
      <c r="O1028" t="n">
        <v>0</v>
      </c>
      <c r="P1028" t="n">
        <v>0</v>
      </c>
      <c r="Q1028" t="n">
        <v>0</v>
      </c>
      <c r="R1028" s="2" t="inlineStr"/>
    </row>
    <row r="1029" ht="15" customHeight="1">
      <c r="A1029" t="inlineStr">
        <is>
          <t>A 24835-2023</t>
        </is>
      </c>
      <c r="B1029" s="1" t="n">
        <v>45084</v>
      </c>
      <c r="C1029" s="1" t="n">
        <v>45787</v>
      </c>
      <c r="D1029" t="inlineStr">
        <is>
          <t>JÄMTLANDS LÄN</t>
        </is>
      </c>
      <c r="E1029" t="inlineStr">
        <is>
          <t>HÄRJEDALEN</t>
        </is>
      </c>
      <c r="F1029" t="inlineStr">
        <is>
          <t>SCA</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25018-2023</t>
        </is>
      </c>
      <c r="B1030" s="1" t="n">
        <v>45085</v>
      </c>
      <c r="C1030" s="1" t="n">
        <v>45787</v>
      </c>
      <c r="D1030" t="inlineStr">
        <is>
          <t>JÄMTLANDS LÄN</t>
        </is>
      </c>
      <c r="E1030" t="inlineStr">
        <is>
          <t>HÄRJEDALEN</t>
        </is>
      </c>
      <c r="F1030" t="inlineStr">
        <is>
          <t>Sveaskog</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24964-2023</t>
        </is>
      </c>
      <c r="B1031" s="1" t="n">
        <v>45085</v>
      </c>
      <c r="C1031" s="1" t="n">
        <v>45787</v>
      </c>
      <c r="D1031" t="inlineStr">
        <is>
          <t>JÄMTLANDS LÄN</t>
        </is>
      </c>
      <c r="E1031" t="inlineStr">
        <is>
          <t>HÄRJEDALEN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25181-2023</t>
        </is>
      </c>
      <c r="B1032" s="1" t="n">
        <v>45086</v>
      </c>
      <c r="C1032" s="1" t="n">
        <v>45787</v>
      </c>
      <c r="D1032" t="inlineStr">
        <is>
          <t>JÄMTLANDS LÄN</t>
        </is>
      </c>
      <c r="E1032" t="inlineStr">
        <is>
          <t>HÄRJEDALEN</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25485-2023</t>
        </is>
      </c>
      <c r="B1033" s="1" t="n">
        <v>45089</v>
      </c>
      <c r="C1033" s="1" t="n">
        <v>45787</v>
      </c>
      <c r="D1033" t="inlineStr">
        <is>
          <t>JÄMTLANDS LÄN</t>
        </is>
      </c>
      <c r="E1033" t="inlineStr">
        <is>
          <t>HÄRJEDALEN</t>
        </is>
      </c>
      <c r="G1033" t="n">
        <v>15.2</v>
      </c>
      <c r="H1033" t="n">
        <v>0</v>
      </c>
      <c r="I1033" t="n">
        <v>0</v>
      </c>
      <c r="J1033" t="n">
        <v>0</v>
      </c>
      <c r="K1033" t="n">
        <v>0</v>
      </c>
      <c r="L1033" t="n">
        <v>0</v>
      </c>
      <c r="M1033" t="n">
        <v>0</v>
      </c>
      <c r="N1033" t="n">
        <v>0</v>
      </c>
      <c r="O1033" t="n">
        <v>0</v>
      </c>
      <c r="P1033" t="n">
        <v>0</v>
      </c>
      <c r="Q1033" t="n">
        <v>0</v>
      </c>
      <c r="R1033" s="2" t="inlineStr"/>
    </row>
    <row r="1034" ht="15" customHeight="1">
      <c r="A1034" t="inlineStr">
        <is>
          <t>A 26411-2023</t>
        </is>
      </c>
      <c r="B1034" s="1" t="n">
        <v>45092</v>
      </c>
      <c r="C1034" s="1" t="n">
        <v>45787</v>
      </c>
      <c r="D1034" t="inlineStr">
        <is>
          <t>JÄMTLANDS LÄN</t>
        </is>
      </c>
      <c r="E1034" t="inlineStr">
        <is>
          <t>HÄRJEDALEN</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26701-2023</t>
        </is>
      </c>
      <c r="B1035" s="1" t="n">
        <v>45093</v>
      </c>
      <c r="C1035" s="1" t="n">
        <v>45787</v>
      </c>
      <c r="D1035" t="inlineStr">
        <is>
          <t>JÄMTLANDS LÄN</t>
        </is>
      </c>
      <c r="E1035" t="inlineStr">
        <is>
          <t>HÄRJEDALEN</t>
        </is>
      </c>
      <c r="F1035" t="inlineStr">
        <is>
          <t>Bergvik skog väst AB</t>
        </is>
      </c>
      <c r="G1035" t="n">
        <v>10.1</v>
      </c>
      <c r="H1035" t="n">
        <v>0</v>
      </c>
      <c r="I1035" t="n">
        <v>0</v>
      </c>
      <c r="J1035" t="n">
        <v>0</v>
      </c>
      <c r="K1035" t="n">
        <v>0</v>
      </c>
      <c r="L1035" t="n">
        <v>0</v>
      </c>
      <c r="M1035" t="n">
        <v>0</v>
      </c>
      <c r="N1035" t="n">
        <v>0</v>
      </c>
      <c r="O1035" t="n">
        <v>0</v>
      </c>
      <c r="P1035" t="n">
        <v>0</v>
      </c>
      <c r="Q1035" t="n">
        <v>0</v>
      </c>
      <c r="R1035" s="2" t="inlineStr"/>
    </row>
    <row r="1036" ht="15" customHeight="1">
      <c r="A1036" t="inlineStr">
        <is>
          <t>A 26902-2023</t>
        </is>
      </c>
      <c r="B1036" s="1" t="n">
        <v>45093</v>
      </c>
      <c r="C1036" s="1" t="n">
        <v>45787</v>
      </c>
      <c r="D1036" t="inlineStr">
        <is>
          <t>JÄMTLANDS LÄN</t>
        </is>
      </c>
      <c r="E1036" t="inlineStr">
        <is>
          <t>HÄRJEDALEN</t>
        </is>
      </c>
      <c r="F1036" t="inlineStr">
        <is>
          <t>Bergvik skog väst AB</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26905-2023</t>
        </is>
      </c>
      <c r="B1037" s="1" t="n">
        <v>45093</v>
      </c>
      <c r="C1037" s="1" t="n">
        <v>45787</v>
      </c>
      <c r="D1037" t="inlineStr">
        <is>
          <t>JÄMTLANDS LÄN</t>
        </is>
      </c>
      <c r="E1037" t="inlineStr">
        <is>
          <t>HÄRJEDALEN</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27136-2023</t>
        </is>
      </c>
      <c r="B1038" s="1" t="n">
        <v>45096</v>
      </c>
      <c r="C1038" s="1" t="n">
        <v>45787</v>
      </c>
      <c r="D1038" t="inlineStr">
        <is>
          <t>JÄMTLANDS LÄN</t>
        </is>
      </c>
      <c r="E1038" t="inlineStr">
        <is>
          <t>HÄRJEDALEN</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27261-2023</t>
        </is>
      </c>
      <c r="B1039" s="1" t="n">
        <v>45096</v>
      </c>
      <c r="C1039" s="1" t="n">
        <v>45787</v>
      </c>
      <c r="D1039" t="inlineStr">
        <is>
          <t>JÄMTLANDS LÄN</t>
        </is>
      </c>
      <c r="E1039" t="inlineStr">
        <is>
          <t>HÄRJEDALEN</t>
        </is>
      </c>
      <c r="F1039" t="inlineStr">
        <is>
          <t>Bergvik skog väst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27541-2023</t>
        </is>
      </c>
      <c r="B1040" s="1" t="n">
        <v>45097</v>
      </c>
      <c r="C1040" s="1" t="n">
        <v>45787</v>
      </c>
      <c r="D1040" t="inlineStr">
        <is>
          <t>JÄMTLANDS LÄN</t>
        </is>
      </c>
      <c r="E1040" t="inlineStr">
        <is>
          <t>HÄRJEDALEN</t>
        </is>
      </c>
      <c r="F1040" t="inlineStr">
        <is>
          <t>Bergvik skog väst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27764-2023</t>
        </is>
      </c>
      <c r="B1041" s="1" t="n">
        <v>45098</v>
      </c>
      <c r="C1041" s="1" t="n">
        <v>45787</v>
      </c>
      <c r="D1041" t="inlineStr">
        <is>
          <t>JÄMTLANDS LÄN</t>
        </is>
      </c>
      <c r="E1041" t="inlineStr">
        <is>
          <t>HÄRJEDALEN</t>
        </is>
      </c>
      <c r="G1041" t="n">
        <v>66.40000000000001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27812-2023</t>
        </is>
      </c>
      <c r="B1042" s="1" t="n">
        <v>45098</v>
      </c>
      <c r="C1042" s="1" t="n">
        <v>45787</v>
      </c>
      <c r="D1042" t="inlineStr">
        <is>
          <t>JÄMTLANDS LÄN</t>
        </is>
      </c>
      <c r="E1042" t="inlineStr">
        <is>
          <t>HÄRJEDALEN</t>
        </is>
      </c>
      <c r="F1042" t="inlineStr">
        <is>
          <t>Bergvik skog väst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27940-2023</t>
        </is>
      </c>
      <c r="B1043" s="1" t="n">
        <v>45098</v>
      </c>
      <c r="C1043" s="1" t="n">
        <v>45787</v>
      </c>
      <c r="D1043" t="inlineStr">
        <is>
          <t>JÄMTLANDS LÄN</t>
        </is>
      </c>
      <c r="E1043" t="inlineStr">
        <is>
          <t>HÄRJEDALEN</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28078-2023</t>
        </is>
      </c>
      <c r="B1044" s="1" t="n">
        <v>45099</v>
      </c>
      <c r="C1044" s="1" t="n">
        <v>45787</v>
      </c>
      <c r="D1044" t="inlineStr">
        <is>
          <t>JÄMTLANDS LÄN</t>
        </is>
      </c>
      <c r="E1044" t="inlineStr">
        <is>
          <t>HÄRJEDALEN</t>
        </is>
      </c>
      <c r="F1044" t="inlineStr">
        <is>
          <t>Bergvik skog väst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28059-2023</t>
        </is>
      </c>
      <c r="B1045" s="1" t="n">
        <v>45099</v>
      </c>
      <c r="C1045" s="1" t="n">
        <v>45787</v>
      </c>
      <c r="D1045" t="inlineStr">
        <is>
          <t>JÄMTLANDS LÄN</t>
        </is>
      </c>
      <c r="E1045" t="inlineStr">
        <is>
          <t>HÄRJEDALEN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28209-2023</t>
        </is>
      </c>
      <c r="B1046" s="1" t="n">
        <v>45099</v>
      </c>
      <c r="C1046" s="1" t="n">
        <v>45787</v>
      </c>
      <c r="D1046" t="inlineStr">
        <is>
          <t>JÄMTLANDS LÄN</t>
        </is>
      </c>
      <c r="E1046" t="inlineStr">
        <is>
          <t>HÄRJEDALEN</t>
        </is>
      </c>
      <c r="F1046" t="inlineStr">
        <is>
          <t>Bergvik skog väst AB</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28802-2023</t>
        </is>
      </c>
      <c r="B1047" s="1" t="n">
        <v>45104</v>
      </c>
      <c r="C1047" s="1" t="n">
        <v>45787</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29067-2023</t>
        </is>
      </c>
      <c r="B1048" s="1" t="n">
        <v>45104</v>
      </c>
      <c r="C1048" s="1" t="n">
        <v>45787</v>
      </c>
      <c r="D1048" t="inlineStr">
        <is>
          <t>JÄMTLANDS LÄN</t>
        </is>
      </c>
      <c r="E1048" t="inlineStr">
        <is>
          <t>HÄRJEDALEN</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29194-2023</t>
        </is>
      </c>
      <c r="B1049" s="1" t="n">
        <v>45105</v>
      </c>
      <c r="C1049" s="1" t="n">
        <v>45787</v>
      </c>
      <c r="D1049" t="inlineStr">
        <is>
          <t>JÄMTLANDS LÄN</t>
        </is>
      </c>
      <c r="E1049" t="inlineStr">
        <is>
          <t>HÄRJEDALEN</t>
        </is>
      </c>
      <c r="F1049" t="inlineStr">
        <is>
          <t>Bergvik skog väst AB</t>
        </is>
      </c>
      <c r="G1049" t="n">
        <v>21.4</v>
      </c>
      <c r="H1049" t="n">
        <v>0</v>
      </c>
      <c r="I1049" t="n">
        <v>0</v>
      </c>
      <c r="J1049" t="n">
        <v>0</v>
      </c>
      <c r="K1049" t="n">
        <v>0</v>
      </c>
      <c r="L1049" t="n">
        <v>0</v>
      </c>
      <c r="M1049" t="n">
        <v>0</v>
      </c>
      <c r="N1049" t="n">
        <v>0</v>
      </c>
      <c r="O1049" t="n">
        <v>0</v>
      </c>
      <c r="P1049" t="n">
        <v>0</v>
      </c>
      <c r="Q1049" t="n">
        <v>0</v>
      </c>
      <c r="R1049" s="2" t="inlineStr"/>
    </row>
    <row r="1050" ht="15" customHeight="1">
      <c r="A1050" t="inlineStr">
        <is>
          <t>A 29094-2023</t>
        </is>
      </c>
      <c r="B1050" s="1" t="n">
        <v>45105</v>
      </c>
      <c r="C1050" s="1" t="n">
        <v>45787</v>
      </c>
      <c r="D1050" t="inlineStr">
        <is>
          <t>JÄMTLANDS LÄN</t>
        </is>
      </c>
      <c r="E1050" t="inlineStr">
        <is>
          <t>HÄRJEDALEN</t>
        </is>
      </c>
      <c r="F1050" t="inlineStr">
        <is>
          <t>Bergvik skog väst AB</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29431-2023</t>
        </is>
      </c>
      <c r="B1051" s="1" t="n">
        <v>45106</v>
      </c>
      <c r="C1051" s="1" t="n">
        <v>45787</v>
      </c>
      <c r="D1051" t="inlineStr">
        <is>
          <t>JÄMTLANDS LÄN</t>
        </is>
      </c>
      <c r="E1051" t="inlineStr">
        <is>
          <t>HÄRJEDALEN</t>
        </is>
      </c>
      <c r="F1051" t="inlineStr">
        <is>
          <t>Bergvik skog väst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29772-2023</t>
        </is>
      </c>
      <c r="B1052" s="1" t="n">
        <v>45107</v>
      </c>
      <c r="C1052" s="1" t="n">
        <v>45787</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30411-2023</t>
        </is>
      </c>
      <c r="B1053" s="1" t="n">
        <v>45111</v>
      </c>
      <c r="C1053" s="1" t="n">
        <v>45787</v>
      </c>
      <c r="D1053" t="inlineStr">
        <is>
          <t>JÄMTLANDS LÄN</t>
        </is>
      </c>
      <c r="E1053" t="inlineStr">
        <is>
          <t>HÄRJEDALEN</t>
        </is>
      </c>
      <c r="F1053" t="inlineStr">
        <is>
          <t>Bergvik skog väst AB</t>
        </is>
      </c>
      <c r="G1053" t="n">
        <v>28.3</v>
      </c>
      <c r="H1053" t="n">
        <v>0</v>
      </c>
      <c r="I1053" t="n">
        <v>0</v>
      </c>
      <c r="J1053" t="n">
        <v>0</v>
      </c>
      <c r="K1053" t="n">
        <v>0</v>
      </c>
      <c r="L1053" t="n">
        <v>0</v>
      </c>
      <c r="M1053" t="n">
        <v>0</v>
      </c>
      <c r="N1053" t="n">
        <v>0</v>
      </c>
      <c r="O1053" t="n">
        <v>0</v>
      </c>
      <c r="P1053" t="n">
        <v>0</v>
      </c>
      <c r="Q1053" t="n">
        <v>0</v>
      </c>
      <c r="R1053" s="2" t="inlineStr"/>
    </row>
    <row r="1054" ht="15" customHeight="1">
      <c r="A1054" t="inlineStr">
        <is>
          <t>A 30435-2023</t>
        </is>
      </c>
      <c r="B1054" s="1" t="n">
        <v>45111</v>
      </c>
      <c r="C1054" s="1" t="n">
        <v>45787</v>
      </c>
      <c r="D1054" t="inlineStr">
        <is>
          <t>JÄMTLANDS LÄN</t>
        </is>
      </c>
      <c r="E1054" t="inlineStr">
        <is>
          <t>HÄRJEDALEN</t>
        </is>
      </c>
      <c r="G1054" t="n">
        <v>20</v>
      </c>
      <c r="H1054" t="n">
        <v>0</v>
      </c>
      <c r="I1054" t="n">
        <v>0</v>
      </c>
      <c r="J1054" t="n">
        <v>0</v>
      </c>
      <c r="K1054" t="n">
        <v>0</v>
      </c>
      <c r="L1054" t="n">
        <v>0</v>
      </c>
      <c r="M1054" t="n">
        <v>0</v>
      </c>
      <c r="N1054" t="n">
        <v>0</v>
      </c>
      <c r="O1054" t="n">
        <v>0</v>
      </c>
      <c r="P1054" t="n">
        <v>0</v>
      </c>
      <c r="Q1054" t="n">
        <v>0</v>
      </c>
      <c r="R1054" s="2" t="inlineStr"/>
    </row>
    <row r="1055" ht="15" customHeight="1">
      <c r="A1055" t="inlineStr">
        <is>
          <t>A 30751-2023</t>
        </is>
      </c>
      <c r="B1055" s="1" t="n">
        <v>45112</v>
      </c>
      <c r="C1055" s="1" t="n">
        <v>45787</v>
      </c>
      <c r="D1055" t="inlineStr">
        <is>
          <t>JÄMTLANDS LÄN</t>
        </is>
      </c>
      <c r="E1055" t="inlineStr">
        <is>
          <t>HÄRJEDALEN</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30709-2023</t>
        </is>
      </c>
      <c r="B1056" s="1" t="n">
        <v>45112</v>
      </c>
      <c r="C1056" s="1" t="n">
        <v>45787</v>
      </c>
      <c r="D1056" t="inlineStr">
        <is>
          <t>JÄMTLANDS LÄN</t>
        </is>
      </c>
      <c r="E1056" t="inlineStr">
        <is>
          <t>HÄRJEDALEN</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30984-2023</t>
        </is>
      </c>
      <c r="B1057" s="1" t="n">
        <v>45113</v>
      </c>
      <c r="C1057" s="1" t="n">
        <v>45787</v>
      </c>
      <c r="D1057" t="inlineStr">
        <is>
          <t>JÄMTLANDS LÄN</t>
        </is>
      </c>
      <c r="E1057" t="inlineStr">
        <is>
          <t>HÄRJEDALEN</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31269-2023</t>
        </is>
      </c>
      <c r="B1058" s="1" t="n">
        <v>45114</v>
      </c>
      <c r="C1058" s="1" t="n">
        <v>45787</v>
      </c>
      <c r="D1058" t="inlineStr">
        <is>
          <t>JÄMTLANDS LÄN</t>
        </is>
      </c>
      <c r="E1058" t="inlineStr">
        <is>
          <t>HÄRJEDALEN</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31435-2023</t>
        </is>
      </c>
      <c r="B1059" s="1" t="n">
        <v>45114</v>
      </c>
      <c r="C1059" s="1" t="n">
        <v>45787</v>
      </c>
      <c r="D1059" t="inlineStr">
        <is>
          <t>JÄMTLANDS LÄN</t>
        </is>
      </c>
      <c r="E1059" t="inlineStr">
        <is>
          <t>HÄRJEDALEN</t>
        </is>
      </c>
      <c r="G1059" t="n">
        <v>20.9</v>
      </c>
      <c r="H1059" t="n">
        <v>0</v>
      </c>
      <c r="I1059" t="n">
        <v>0</v>
      </c>
      <c r="J1059" t="n">
        <v>0</v>
      </c>
      <c r="K1059" t="n">
        <v>0</v>
      </c>
      <c r="L1059" t="n">
        <v>0</v>
      </c>
      <c r="M1059" t="n">
        <v>0</v>
      </c>
      <c r="N1059" t="n">
        <v>0</v>
      </c>
      <c r="O1059" t="n">
        <v>0</v>
      </c>
      <c r="P1059" t="n">
        <v>0</v>
      </c>
      <c r="Q1059" t="n">
        <v>0</v>
      </c>
      <c r="R1059" s="2" t="inlineStr"/>
    </row>
    <row r="1060" ht="15" customHeight="1">
      <c r="A1060" t="inlineStr">
        <is>
          <t>A 31778-2023</t>
        </is>
      </c>
      <c r="B1060" s="1" t="n">
        <v>45118</v>
      </c>
      <c r="C1060" s="1" t="n">
        <v>45787</v>
      </c>
      <c r="D1060" t="inlineStr">
        <is>
          <t>JÄMTLANDS LÄN</t>
        </is>
      </c>
      <c r="E1060" t="inlineStr">
        <is>
          <t>HÄRJEDALEN</t>
        </is>
      </c>
      <c r="F1060" t="inlineStr">
        <is>
          <t>Bergvik skog väst AB</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31811-2023</t>
        </is>
      </c>
      <c r="B1061" s="1" t="n">
        <v>45118</v>
      </c>
      <c r="C1061" s="1" t="n">
        <v>45787</v>
      </c>
      <c r="D1061" t="inlineStr">
        <is>
          <t>JÄMTLANDS LÄN</t>
        </is>
      </c>
      <c r="E1061" t="inlineStr">
        <is>
          <t>HÄRJEDALEN</t>
        </is>
      </c>
      <c r="F1061" t="inlineStr">
        <is>
          <t>Bergvik skog väst AB</t>
        </is>
      </c>
      <c r="G1061" t="n">
        <v>12.5</v>
      </c>
      <c r="H1061" t="n">
        <v>0</v>
      </c>
      <c r="I1061" t="n">
        <v>0</v>
      </c>
      <c r="J1061" t="n">
        <v>0</v>
      </c>
      <c r="K1061" t="n">
        <v>0</v>
      </c>
      <c r="L1061" t="n">
        <v>0</v>
      </c>
      <c r="M1061" t="n">
        <v>0</v>
      </c>
      <c r="N1061" t="n">
        <v>0</v>
      </c>
      <c r="O1061" t="n">
        <v>0</v>
      </c>
      <c r="P1061" t="n">
        <v>0</v>
      </c>
      <c r="Q1061" t="n">
        <v>0</v>
      </c>
      <c r="R1061" s="2" t="inlineStr"/>
    </row>
    <row r="1062" ht="15" customHeight="1">
      <c r="A1062" t="inlineStr">
        <is>
          <t>A 31910-2023</t>
        </is>
      </c>
      <c r="B1062" s="1" t="n">
        <v>45118</v>
      </c>
      <c r="C1062" s="1" t="n">
        <v>45787</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31958-2023</t>
        </is>
      </c>
      <c r="B1063" s="1" t="n">
        <v>45119</v>
      </c>
      <c r="C1063" s="1" t="n">
        <v>45787</v>
      </c>
      <c r="D1063" t="inlineStr">
        <is>
          <t>JÄMTLANDS LÄN</t>
        </is>
      </c>
      <c r="E1063" t="inlineStr">
        <is>
          <t>HÄRJEDALEN</t>
        </is>
      </c>
      <c r="F1063" t="inlineStr">
        <is>
          <t>Bergvik skog väst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31996-2023</t>
        </is>
      </c>
      <c r="B1064" s="1" t="n">
        <v>45119</v>
      </c>
      <c r="C1064" s="1" t="n">
        <v>45787</v>
      </c>
      <c r="D1064" t="inlineStr">
        <is>
          <t>JÄMTLANDS LÄN</t>
        </is>
      </c>
      <c r="E1064" t="inlineStr">
        <is>
          <t>HÄRJEDALEN</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31960-2023</t>
        </is>
      </c>
      <c r="B1065" s="1" t="n">
        <v>45119</v>
      </c>
      <c r="C1065" s="1" t="n">
        <v>45787</v>
      </c>
      <c r="D1065" t="inlineStr">
        <is>
          <t>JÄMTLANDS LÄN</t>
        </is>
      </c>
      <c r="E1065" t="inlineStr">
        <is>
          <t>HÄRJEDALEN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31956-2023</t>
        </is>
      </c>
      <c r="B1066" s="1" t="n">
        <v>45119</v>
      </c>
      <c r="C1066" s="1" t="n">
        <v>45787</v>
      </c>
      <c r="D1066" t="inlineStr">
        <is>
          <t>JÄMTLANDS LÄN</t>
        </is>
      </c>
      <c r="E1066" t="inlineStr">
        <is>
          <t>HÄRJEDALEN</t>
        </is>
      </c>
      <c r="F1066" t="inlineStr">
        <is>
          <t>Bergvik skog väst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31961-2023</t>
        </is>
      </c>
      <c r="B1067" s="1" t="n">
        <v>45119</v>
      </c>
      <c r="C1067" s="1" t="n">
        <v>45787</v>
      </c>
      <c r="D1067" t="inlineStr">
        <is>
          <t>JÄMTLANDS LÄN</t>
        </is>
      </c>
      <c r="E1067" t="inlineStr">
        <is>
          <t>HÄRJEDALEN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33257-2023</t>
        </is>
      </c>
      <c r="B1068" s="1" t="n">
        <v>45127</v>
      </c>
      <c r="C1068" s="1" t="n">
        <v>45787</v>
      </c>
      <c r="D1068" t="inlineStr">
        <is>
          <t>JÄMTLANDS LÄN</t>
        </is>
      </c>
      <c r="E1068" t="inlineStr">
        <is>
          <t>HÄRJEDALEN</t>
        </is>
      </c>
      <c r="F1068" t="inlineStr">
        <is>
          <t>Bergvik skog väst AB</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33232-2023</t>
        </is>
      </c>
      <c r="B1069" s="1" t="n">
        <v>45127</v>
      </c>
      <c r="C1069" s="1" t="n">
        <v>45787</v>
      </c>
      <c r="D1069" t="inlineStr">
        <is>
          <t>JÄMTLANDS LÄN</t>
        </is>
      </c>
      <c r="E1069" t="inlineStr">
        <is>
          <t>HÄRJEDALEN</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33992-2023</t>
        </is>
      </c>
      <c r="B1070" s="1" t="n">
        <v>45134</v>
      </c>
      <c r="C1070" s="1" t="n">
        <v>45787</v>
      </c>
      <c r="D1070" t="inlineStr">
        <is>
          <t>JÄMTLANDS LÄN</t>
        </is>
      </c>
      <c r="E1070" t="inlineStr">
        <is>
          <t>HÄRJEDALEN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34260-2023</t>
        </is>
      </c>
      <c r="B1071" s="1" t="n">
        <v>45138</v>
      </c>
      <c r="C1071" s="1" t="n">
        <v>45787</v>
      </c>
      <c r="D1071" t="inlineStr">
        <is>
          <t>JÄMTLANDS LÄN</t>
        </is>
      </c>
      <c r="E1071" t="inlineStr">
        <is>
          <t>HÄRJEDALEN</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34313-2023</t>
        </is>
      </c>
      <c r="B1072" s="1" t="n">
        <v>45139</v>
      </c>
      <c r="C1072" s="1" t="n">
        <v>45787</v>
      </c>
      <c r="D1072" t="inlineStr">
        <is>
          <t>JÄMTLANDS LÄN</t>
        </is>
      </c>
      <c r="E1072" t="inlineStr">
        <is>
          <t>HÄRJEDALEN</t>
        </is>
      </c>
      <c r="F1072" t="inlineStr">
        <is>
          <t>SCA</t>
        </is>
      </c>
      <c r="G1072" t="n">
        <v>31.6</v>
      </c>
      <c r="H1072" t="n">
        <v>0</v>
      </c>
      <c r="I1072" t="n">
        <v>0</v>
      </c>
      <c r="J1072" t="n">
        <v>0</v>
      </c>
      <c r="K1072" t="n">
        <v>0</v>
      </c>
      <c r="L1072" t="n">
        <v>0</v>
      </c>
      <c r="M1072" t="n">
        <v>0</v>
      </c>
      <c r="N1072" t="n">
        <v>0</v>
      </c>
      <c r="O1072" t="n">
        <v>0</v>
      </c>
      <c r="P1072" t="n">
        <v>0</v>
      </c>
      <c r="Q1072" t="n">
        <v>0</v>
      </c>
      <c r="R1072" s="2" t="inlineStr"/>
    </row>
    <row r="1073" ht="15" customHeight="1">
      <c r="A1073" t="inlineStr">
        <is>
          <t>A 34314-2023</t>
        </is>
      </c>
      <c r="B1073" s="1" t="n">
        <v>45138</v>
      </c>
      <c r="C1073" s="1" t="n">
        <v>45787</v>
      </c>
      <c r="D1073" t="inlineStr">
        <is>
          <t>JÄMTLANDS LÄN</t>
        </is>
      </c>
      <c r="E1073" t="inlineStr">
        <is>
          <t>HÄRJEDALEN</t>
        </is>
      </c>
      <c r="F1073" t="inlineStr">
        <is>
          <t>SCA</t>
        </is>
      </c>
      <c r="G1073" t="n">
        <v>18.1</v>
      </c>
      <c r="H1073" t="n">
        <v>0</v>
      </c>
      <c r="I1073" t="n">
        <v>0</v>
      </c>
      <c r="J1073" t="n">
        <v>0</v>
      </c>
      <c r="K1073" t="n">
        <v>0</v>
      </c>
      <c r="L1073" t="n">
        <v>0</v>
      </c>
      <c r="M1073" t="n">
        <v>0</v>
      </c>
      <c r="N1073" t="n">
        <v>0</v>
      </c>
      <c r="O1073" t="n">
        <v>0</v>
      </c>
      <c r="P1073" t="n">
        <v>0</v>
      </c>
      <c r="Q1073" t="n">
        <v>0</v>
      </c>
      <c r="R1073" s="2" t="inlineStr"/>
    </row>
    <row r="1074" ht="15" customHeight="1">
      <c r="A1074" t="inlineStr">
        <is>
          <t>A 35396-2023</t>
        </is>
      </c>
      <c r="B1074" s="1" t="n">
        <v>45146</v>
      </c>
      <c r="C1074" s="1" t="n">
        <v>45787</v>
      </c>
      <c r="D1074" t="inlineStr">
        <is>
          <t>JÄMTLANDS LÄN</t>
        </is>
      </c>
      <c r="E1074" t="inlineStr">
        <is>
          <t>HÄRJEDALEN</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35813-2023</t>
        </is>
      </c>
      <c r="B1075" s="1" t="n">
        <v>45147</v>
      </c>
      <c r="C1075" s="1" t="n">
        <v>45787</v>
      </c>
      <c r="D1075" t="inlineStr">
        <is>
          <t>JÄMTLANDS LÄN</t>
        </is>
      </c>
      <c r="E1075" t="inlineStr">
        <is>
          <t>HÄRJEDALEN</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35891-2023</t>
        </is>
      </c>
      <c r="B1076" s="1" t="n">
        <v>45148</v>
      </c>
      <c r="C1076" s="1" t="n">
        <v>45787</v>
      </c>
      <c r="D1076" t="inlineStr">
        <is>
          <t>JÄMTLANDS LÄN</t>
        </is>
      </c>
      <c r="E1076" t="inlineStr">
        <is>
          <t>HÄRJEDALEN</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36027-2023</t>
        </is>
      </c>
      <c r="B1077" s="1" t="n">
        <v>45149</v>
      </c>
      <c r="C1077" s="1" t="n">
        <v>45787</v>
      </c>
      <c r="D1077" t="inlineStr">
        <is>
          <t>JÄMTLANDS LÄN</t>
        </is>
      </c>
      <c r="E1077" t="inlineStr">
        <is>
          <t>HÄRJEDALEN</t>
        </is>
      </c>
      <c r="F1077" t="inlineStr">
        <is>
          <t>Bergvik skog väst AB</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36111-2023</t>
        </is>
      </c>
      <c r="B1078" s="1" t="n">
        <v>45149</v>
      </c>
      <c r="C1078" s="1" t="n">
        <v>45787</v>
      </c>
      <c r="D1078" t="inlineStr">
        <is>
          <t>JÄMTLANDS LÄN</t>
        </is>
      </c>
      <c r="E1078" t="inlineStr">
        <is>
          <t>HÄRJEDALEN</t>
        </is>
      </c>
      <c r="F1078" t="inlineStr">
        <is>
          <t>Bergvik skog väst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36143-2023</t>
        </is>
      </c>
      <c r="B1079" s="1" t="n">
        <v>45149</v>
      </c>
      <c r="C1079" s="1" t="n">
        <v>45787</v>
      </c>
      <c r="D1079" t="inlineStr">
        <is>
          <t>JÄMTLANDS LÄN</t>
        </is>
      </c>
      <c r="E1079" t="inlineStr">
        <is>
          <t>HÄRJEDALEN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36570-2023</t>
        </is>
      </c>
      <c r="B1080" s="1" t="n">
        <v>45153</v>
      </c>
      <c r="C1080" s="1" t="n">
        <v>45787</v>
      </c>
      <c r="D1080" t="inlineStr">
        <is>
          <t>JÄMTLANDS LÄN</t>
        </is>
      </c>
      <c r="E1080" t="inlineStr">
        <is>
          <t>HÄRJEDALEN</t>
        </is>
      </c>
      <c r="F1080" t="inlineStr">
        <is>
          <t>Bergvik skog väst AB</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36565-2023</t>
        </is>
      </c>
      <c r="B1081" s="1" t="n">
        <v>45153</v>
      </c>
      <c r="C1081" s="1" t="n">
        <v>45787</v>
      </c>
      <c r="D1081" t="inlineStr">
        <is>
          <t>JÄMTLANDS LÄN</t>
        </is>
      </c>
      <c r="E1081" t="inlineStr">
        <is>
          <t>HÄRJEDALEN</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36568-2023</t>
        </is>
      </c>
      <c r="B1082" s="1" t="n">
        <v>45153</v>
      </c>
      <c r="C1082" s="1" t="n">
        <v>45787</v>
      </c>
      <c r="D1082" t="inlineStr">
        <is>
          <t>JÄMTLANDS LÄN</t>
        </is>
      </c>
      <c r="E1082" t="inlineStr">
        <is>
          <t>HÄRJEDALEN</t>
        </is>
      </c>
      <c r="F1082" t="inlineStr">
        <is>
          <t>Bergvik skog väst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36651-2023</t>
        </is>
      </c>
      <c r="B1083" s="1" t="n">
        <v>45153</v>
      </c>
      <c r="C1083" s="1" t="n">
        <v>45787</v>
      </c>
      <c r="D1083" t="inlineStr">
        <is>
          <t>JÄMTLANDS LÄN</t>
        </is>
      </c>
      <c r="E1083" t="inlineStr">
        <is>
          <t>HÄRJEDALEN</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36720-2023</t>
        </is>
      </c>
      <c r="B1084" s="1" t="n">
        <v>45153</v>
      </c>
      <c r="C1084" s="1" t="n">
        <v>45787</v>
      </c>
      <c r="D1084" t="inlineStr">
        <is>
          <t>JÄMTLANDS LÄN</t>
        </is>
      </c>
      <c r="E1084" t="inlineStr">
        <is>
          <t>HÄRJEDALEN</t>
        </is>
      </c>
      <c r="F1084" t="inlineStr">
        <is>
          <t>Bergvik skog väst AB</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36677-2023</t>
        </is>
      </c>
      <c r="B1085" s="1" t="n">
        <v>45153</v>
      </c>
      <c r="C1085" s="1" t="n">
        <v>45787</v>
      </c>
      <c r="D1085" t="inlineStr">
        <is>
          <t>JÄMTLANDS LÄN</t>
        </is>
      </c>
      <c r="E1085" t="inlineStr">
        <is>
          <t>HÄRJEDALEN</t>
        </is>
      </c>
      <c r="F1085" t="inlineStr">
        <is>
          <t>Bergvik skog väst AB</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36921-2023</t>
        </is>
      </c>
      <c r="B1086" s="1" t="n">
        <v>45154</v>
      </c>
      <c r="C1086" s="1" t="n">
        <v>45787</v>
      </c>
      <c r="D1086" t="inlineStr">
        <is>
          <t>JÄMTLANDS LÄN</t>
        </is>
      </c>
      <c r="E1086" t="inlineStr">
        <is>
          <t>HÄRJEDALEN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36926-2023</t>
        </is>
      </c>
      <c r="B1087" s="1" t="n">
        <v>45154</v>
      </c>
      <c r="C1087" s="1" t="n">
        <v>45787</v>
      </c>
      <c r="D1087" t="inlineStr">
        <is>
          <t>JÄMTLANDS LÄN</t>
        </is>
      </c>
      <c r="E1087" t="inlineStr">
        <is>
          <t>HÄRJEDALEN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36930-2023</t>
        </is>
      </c>
      <c r="B1088" s="1" t="n">
        <v>45154</v>
      </c>
      <c r="C1088" s="1" t="n">
        <v>45787</v>
      </c>
      <c r="D1088" t="inlineStr">
        <is>
          <t>JÄMTLANDS LÄN</t>
        </is>
      </c>
      <c r="E1088" t="inlineStr">
        <is>
          <t>HÄRJEDALEN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36946-2023</t>
        </is>
      </c>
      <c r="B1089" s="1" t="n">
        <v>45154</v>
      </c>
      <c r="C1089" s="1" t="n">
        <v>45787</v>
      </c>
      <c r="D1089" t="inlineStr">
        <is>
          <t>JÄMTLANDS LÄN</t>
        </is>
      </c>
      <c r="E1089" t="inlineStr">
        <is>
          <t>HÄRJEDALEN</t>
        </is>
      </c>
      <c r="F1089" t="inlineStr">
        <is>
          <t>Kyrkan</t>
        </is>
      </c>
      <c r="G1089" t="n">
        <v>43.1</v>
      </c>
      <c r="H1089" t="n">
        <v>0</v>
      </c>
      <c r="I1089" t="n">
        <v>0</v>
      </c>
      <c r="J1089" t="n">
        <v>0</v>
      </c>
      <c r="K1089" t="n">
        <v>0</v>
      </c>
      <c r="L1089" t="n">
        <v>0</v>
      </c>
      <c r="M1089" t="n">
        <v>0</v>
      </c>
      <c r="N1089" t="n">
        <v>0</v>
      </c>
      <c r="O1089" t="n">
        <v>0</v>
      </c>
      <c r="P1089" t="n">
        <v>0</v>
      </c>
      <c r="Q1089" t="n">
        <v>0</v>
      </c>
      <c r="R1089" s="2" t="inlineStr"/>
    </row>
    <row r="1090" ht="15" customHeight="1">
      <c r="A1090" t="inlineStr">
        <is>
          <t>A 36840-2023</t>
        </is>
      </c>
      <c r="B1090" s="1" t="n">
        <v>45154</v>
      </c>
      <c r="C1090" s="1" t="n">
        <v>45787</v>
      </c>
      <c r="D1090" t="inlineStr">
        <is>
          <t>JÄMTLANDS LÄN</t>
        </is>
      </c>
      <c r="E1090" t="inlineStr">
        <is>
          <t>HÄRJEDALEN</t>
        </is>
      </c>
      <c r="G1090" t="n">
        <v>2.8</v>
      </c>
      <c r="H1090" t="n">
        <v>0</v>
      </c>
      <c r="I1090" t="n">
        <v>0</v>
      </c>
      <c r="J1090" t="n">
        <v>0</v>
      </c>
      <c r="K1090" t="n">
        <v>0</v>
      </c>
      <c r="L1090" t="n">
        <v>0</v>
      </c>
      <c r="M1090" t="n">
        <v>0</v>
      </c>
      <c r="N1090" t="n">
        <v>0</v>
      </c>
      <c r="O1090" t="n">
        <v>0</v>
      </c>
      <c r="P1090" t="n">
        <v>0</v>
      </c>
      <c r="Q1090" t="n">
        <v>0</v>
      </c>
      <c r="R1090" s="2" t="inlineStr"/>
      <c r="U1090">
        <f>HYPERLINK("https://klasma.github.io/Logging_2361/knärot/A 36840-2023 karta knärot.png", "A 36840-2023")</f>
        <v/>
      </c>
      <c r="V1090">
        <f>HYPERLINK("https://klasma.github.io/Logging_2361/klagomål/A 36840-2023 FSC-klagomål.docx", "A 36840-2023")</f>
        <v/>
      </c>
      <c r="W1090">
        <f>HYPERLINK("https://klasma.github.io/Logging_2361/klagomålsmail/A 36840-2023 FSC-klagomål mail.docx", "A 36840-2023")</f>
        <v/>
      </c>
      <c r="X1090">
        <f>HYPERLINK("https://klasma.github.io/Logging_2361/tillsyn/A 36840-2023 tillsynsbegäran.docx", "A 36840-2023")</f>
        <v/>
      </c>
      <c r="Y1090">
        <f>HYPERLINK("https://klasma.github.io/Logging_2361/tillsynsmail/A 36840-2023 tillsynsbegäran mail.docx", "A 36840-2023")</f>
        <v/>
      </c>
    </row>
    <row r="1091" ht="15" customHeight="1">
      <c r="A1091" t="inlineStr">
        <is>
          <t>A 37054-2023</t>
        </is>
      </c>
      <c r="B1091" s="1" t="n">
        <v>45154</v>
      </c>
      <c r="C1091" s="1" t="n">
        <v>45787</v>
      </c>
      <c r="D1091" t="inlineStr">
        <is>
          <t>JÄMTLANDS LÄN</t>
        </is>
      </c>
      <c r="E1091" t="inlineStr">
        <is>
          <t>HÄRJEDALEN</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36931-2023</t>
        </is>
      </c>
      <c r="B1092" s="1" t="n">
        <v>45154</v>
      </c>
      <c r="C1092" s="1" t="n">
        <v>45787</v>
      </c>
      <c r="D1092" t="inlineStr">
        <is>
          <t>JÄMTLANDS LÄN</t>
        </is>
      </c>
      <c r="E1092" t="inlineStr">
        <is>
          <t>HÄRJEDALEN</t>
        </is>
      </c>
      <c r="F1092" t="inlineStr">
        <is>
          <t>Bergvik skog väst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37315-2023</t>
        </is>
      </c>
      <c r="B1093" s="1" t="n">
        <v>45156</v>
      </c>
      <c r="C1093" s="1" t="n">
        <v>45787</v>
      </c>
      <c r="D1093" t="inlineStr">
        <is>
          <t>JÄMTLANDS LÄN</t>
        </is>
      </c>
      <c r="E1093" t="inlineStr">
        <is>
          <t>HÄRJEDALEN</t>
        </is>
      </c>
      <c r="F1093" t="inlineStr">
        <is>
          <t>Bergvik skog väst AB</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37345-2023</t>
        </is>
      </c>
      <c r="B1094" s="1" t="n">
        <v>45156</v>
      </c>
      <c r="C1094" s="1" t="n">
        <v>45787</v>
      </c>
      <c r="D1094" t="inlineStr">
        <is>
          <t>JÄMTLANDS LÄN</t>
        </is>
      </c>
      <c r="E1094" t="inlineStr">
        <is>
          <t>HÄRJEDALEN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37365-2023</t>
        </is>
      </c>
      <c r="B1095" s="1" t="n">
        <v>45156</v>
      </c>
      <c r="C1095" s="1" t="n">
        <v>45787</v>
      </c>
      <c r="D1095" t="inlineStr">
        <is>
          <t>JÄMTLANDS LÄN</t>
        </is>
      </c>
      <c r="E1095" t="inlineStr">
        <is>
          <t>HÄRJEDALEN</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37363-2023</t>
        </is>
      </c>
      <c r="B1096" s="1" t="n">
        <v>45156</v>
      </c>
      <c r="C1096" s="1" t="n">
        <v>45787</v>
      </c>
      <c r="D1096" t="inlineStr">
        <is>
          <t>JÄMTLANDS LÄN</t>
        </is>
      </c>
      <c r="E1096" t="inlineStr">
        <is>
          <t>HÄRJEDALEN</t>
        </is>
      </c>
      <c r="F1096" t="inlineStr">
        <is>
          <t>Bergvik skog väst AB</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37638-2023</t>
        </is>
      </c>
      <c r="B1097" s="1" t="n">
        <v>45159</v>
      </c>
      <c r="C1097" s="1" t="n">
        <v>45787</v>
      </c>
      <c r="D1097" t="inlineStr">
        <is>
          <t>JÄMTLANDS LÄN</t>
        </is>
      </c>
      <c r="E1097" t="inlineStr">
        <is>
          <t>HÄRJEDALEN</t>
        </is>
      </c>
      <c r="F1097" t="inlineStr">
        <is>
          <t>Bergvik skog väst AB</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37764-2023</t>
        </is>
      </c>
      <c r="B1098" s="1" t="n">
        <v>45159</v>
      </c>
      <c r="C1098" s="1" t="n">
        <v>45787</v>
      </c>
      <c r="D1098" t="inlineStr">
        <is>
          <t>JÄMTLANDS LÄN</t>
        </is>
      </c>
      <c r="E1098" t="inlineStr">
        <is>
          <t>HÄRJEDALEN</t>
        </is>
      </c>
      <c r="F1098" t="inlineStr">
        <is>
          <t>Bergvik skog väst AB</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37715-2023</t>
        </is>
      </c>
      <c r="B1099" s="1" t="n">
        <v>45159</v>
      </c>
      <c r="C1099" s="1" t="n">
        <v>45787</v>
      </c>
      <c r="D1099" t="inlineStr">
        <is>
          <t>JÄMTLANDS LÄN</t>
        </is>
      </c>
      <c r="E1099" t="inlineStr">
        <is>
          <t>HÄRJEDALEN</t>
        </is>
      </c>
      <c r="G1099" t="n">
        <v>23.3</v>
      </c>
      <c r="H1099" t="n">
        <v>0</v>
      </c>
      <c r="I1099" t="n">
        <v>0</v>
      </c>
      <c r="J1099" t="n">
        <v>0</v>
      </c>
      <c r="K1099" t="n">
        <v>0</v>
      </c>
      <c r="L1099" t="n">
        <v>0</v>
      </c>
      <c r="M1099" t="n">
        <v>0</v>
      </c>
      <c r="N1099" t="n">
        <v>0</v>
      </c>
      <c r="O1099" t="n">
        <v>0</v>
      </c>
      <c r="P1099" t="n">
        <v>0</v>
      </c>
      <c r="Q1099" t="n">
        <v>0</v>
      </c>
      <c r="R1099" s="2" t="inlineStr"/>
    </row>
    <row r="1100" ht="15" customHeight="1">
      <c r="A1100" t="inlineStr">
        <is>
          <t>A 37719-2023</t>
        </is>
      </c>
      <c r="B1100" s="1" t="n">
        <v>45159</v>
      </c>
      <c r="C1100" s="1" t="n">
        <v>45787</v>
      </c>
      <c r="D1100" t="inlineStr">
        <is>
          <t>JÄMTLANDS LÄN</t>
        </is>
      </c>
      <c r="E1100" t="inlineStr">
        <is>
          <t>HÄRJEDALEN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37747-2023</t>
        </is>
      </c>
      <c r="B1101" s="1" t="n">
        <v>45159</v>
      </c>
      <c r="C1101" s="1" t="n">
        <v>45787</v>
      </c>
      <c r="D1101" t="inlineStr">
        <is>
          <t>JÄMTLANDS LÄN</t>
        </is>
      </c>
      <c r="E1101" t="inlineStr">
        <is>
          <t>HÄRJEDALEN</t>
        </is>
      </c>
      <c r="F1101" t="inlineStr">
        <is>
          <t>Bergvik skog väst AB</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37762-2023</t>
        </is>
      </c>
      <c r="B1102" s="1" t="n">
        <v>45159</v>
      </c>
      <c r="C1102" s="1" t="n">
        <v>45787</v>
      </c>
      <c r="D1102" t="inlineStr">
        <is>
          <t>JÄMTLANDS LÄN</t>
        </is>
      </c>
      <c r="E1102" t="inlineStr">
        <is>
          <t>HÄRJEDALEN</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38683-2023</t>
        </is>
      </c>
      <c r="B1103" s="1" t="n">
        <v>45162</v>
      </c>
      <c r="C1103" s="1" t="n">
        <v>45787</v>
      </c>
      <c r="D1103" t="inlineStr">
        <is>
          <t>JÄMTLANDS LÄN</t>
        </is>
      </c>
      <c r="E1103" t="inlineStr">
        <is>
          <t>HÄRJEDALEN</t>
        </is>
      </c>
      <c r="F1103" t="inlineStr">
        <is>
          <t>SCA</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38929-2023</t>
        </is>
      </c>
      <c r="B1104" s="1" t="n">
        <v>45163</v>
      </c>
      <c r="C1104" s="1" t="n">
        <v>45787</v>
      </c>
      <c r="D1104" t="inlineStr">
        <is>
          <t>JÄMTLANDS LÄN</t>
        </is>
      </c>
      <c r="E1104" t="inlineStr">
        <is>
          <t>HÄRJEDALEN</t>
        </is>
      </c>
      <c r="G1104" t="n">
        <v>23.1</v>
      </c>
      <c r="H1104" t="n">
        <v>0</v>
      </c>
      <c r="I1104" t="n">
        <v>0</v>
      </c>
      <c r="J1104" t="n">
        <v>0</v>
      </c>
      <c r="K1104" t="n">
        <v>0</v>
      </c>
      <c r="L1104" t="n">
        <v>0</v>
      </c>
      <c r="M1104" t="n">
        <v>0</v>
      </c>
      <c r="N1104" t="n">
        <v>0</v>
      </c>
      <c r="O1104" t="n">
        <v>0</v>
      </c>
      <c r="P1104" t="n">
        <v>0</v>
      </c>
      <c r="Q1104" t="n">
        <v>0</v>
      </c>
      <c r="R1104" s="2" t="inlineStr"/>
    </row>
    <row r="1105" ht="15" customHeight="1">
      <c r="A1105" t="inlineStr">
        <is>
          <t>A 39158-2023</t>
        </is>
      </c>
      <c r="B1105" s="1" t="n">
        <v>45166</v>
      </c>
      <c r="C1105" s="1" t="n">
        <v>45787</v>
      </c>
      <c r="D1105" t="inlineStr">
        <is>
          <t>JÄMTLANDS LÄN</t>
        </is>
      </c>
      <c r="E1105" t="inlineStr">
        <is>
          <t>HÄRJEDALEN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39355-2023</t>
        </is>
      </c>
      <c r="B1106" s="1" t="n">
        <v>45166</v>
      </c>
      <c r="C1106" s="1" t="n">
        <v>45787</v>
      </c>
      <c r="D1106" t="inlineStr">
        <is>
          <t>JÄMTLANDS LÄN</t>
        </is>
      </c>
      <c r="E1106" t="inlineStr">
        <is>
          <t>HÄRJEDALEN</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39614-2023</t>
        </is>
      </c>
      <c r="B1107" s="1" t="n">
        <v>45167</v>
      </c>
      <c r="C1107" s="1" t="n">
        <v>45787</v>
      </c>
      <c r="D1107" t="inlineStr">
        <is>
          <t>JÄMTLANDS LÄN</t>
        </is>
      </c>
      <c r="E1107" t="inlineStr">
        <is>
          <t>HÄRJEDALEN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39612-2023</t>
        </is>
      </c>
      <c r="B1108" s="1" t="n">
        <v>45167</v>
      </c>
      <c r="C1108" s="1" t="n">
        <v>45787</v>
      </c>
      <c r="D1108" t="inlineStr">
        <is>
          <t>JÄMTLANDS LÄN</t>
        </is>
      </c>
      <c r="E1108" t="inlineStr">
        <is>
          <t>HÄRJEDALEN</t>
        </is>
      </c>
      <c r="F1108" t="inlineStr">
        <is>
          <t>Bergvik skog väst AB</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39649-2023</t>
        </is>
      </c>
      <c r="B1109" s="1" t="n">
        <v>45167</v>
      </c>
      <c r="C1109" s="1" t="n">
        <v>45787</v>
      </c>
      <c r="D1109" t="inlineStr">
        <is>
          <t>JÄMTLANDS LÄN</t>
        </is>
      </c>
      <c r="E1109" t="inlineStr">
        <is>
          <t>HÄRJEDALEN</t>
        </is>
      </c>
      <c r="F1109" t="inlineStr">
        <is>
          <t>Bergvik skog väst AB</t>
        </is>
      </c>
      <c r="G1109" t="n">
        <v>23.6</v>
      </c>
      <c r="H1109" t="n">
        <v>0</v>
      </c>
      <c r="I1109" t="n">
        <v>0</v>
      </c>
      <c r="J1109" t="n">
        <v>0</v>
      </c>
      <c r="K1109" t="n">
        <v>0</v>
      </c>
      <c r="L1109" t="n">
        <v>0</v>
      </c>
      <c r="M1109" t="n">
        <v>0</v>
      </c>
      <c r="N1109" t="n">
        <v>0</v>
      </c>
      <c r="O1109" t="n">
        <v>0</v>
      </c>
      <c r="P1109" t="n">
        <v>0</v>
      </c>
      <c r="Q1109" t="n">
        <v>0</v>
      </c>
      <c r="R1109" s="2" t="inlineStr"/>
      <c r="U1109">
        <f>HYPERLINK("https://klasma.github.io/Logging_2361/knärot/A 39649-2023 karta knärot.png", "A 39649-2023")</f>
        <v/>
      </c>
      <c r="V1109">
        <f>HYPERLINK("https://klasma.github.io/Logging_2361/klagomål/A 39649-2023 FSC-klagomål.docx", "A 39649-2023")</f>
        <v/>
      </c>
      <c r="W1109">
        <f>HYPERLINK("https://klasma.github.io/Logging_2361/klagomålsmail/A 39649-2023 FSC-klagomål mail.docx", "A 39649-2023")</f>
        <v/>
      </c>
      <c r="X1109">
        <f>HYPERLINK("https://klasma.github.io/Logging_2361/tillsyn/A 39649-2023 tillsynsbegäran.docx", "A 39649-2023")</f>
        <v/>
      </c>
      <c r="Y1109">
        <f>HYPERLINK("https://klasma.github.io/Logging_2361/tillsynsmail/A 39649-2023 tillsynsbegäran mail.docx", "A 39649-2023")</f>
        <v/>
      </c>
    </row>
    <row r="1110" ht="15" customHeight="1">
      <c r="A1110" t="inlineStr">
        <is>
          <t>A 40215-2023</t>
        </is>
      </c>
      <c r="B1110" s="1" t="n">
        <v>45169</v>
      </c>
      <c r="C1110" s="1" t="n">
        <v>45787</v>
      </c>
      <c r="D1110" t="inlineStr">
        <is>
          <t>JÄMTLANDS LÄN</t>
        </is>
      </c>
      <c r="E1110" t="inlineStr">
        <is>
          <t>HÄRJEDALEN</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40217-2023</t>
        </is>
      </c>
      <c r="B1111" s="1" t="n">
        <v>45169</v>
      </c>
      <c r="C1111" s="1" t="n">
        <v>45787</v>
      </c>
      <c r="D1111" t="inlineStr">
        <is>
          <t>JÄMTLANDS LÄN</t>
        </is>
      </c>
      <c r="E1111" t="inlineStr">
        <is>
          <t>HÄRJEDALEN</t>
        </is>
      </c>
      <c r="G1111" t="n">
        <v>23.5</v>
      </c>
      <c r="H1111" t="n">
        <v>0</v>
      </c>
      <c r="I1111" t="n">
        <v>0</v>
      </c>
      <c r="J1111" t="n">
        <v>0</v>
      </c>
      <c r="K1111" t="n">
        <v>0</v>
      </c>
      <c r="L1111" t="n">
        <v>0</v>
      </c>
      <c r="M1111" t="n">
        <v>0</v>
      </c>
      <c r="N1111" t="n">
        <v>0</v>
      </c>
      <c r="O1111" t="n">
        <v>0</v>
      </c>
      <c r="P1111" t="n">
        <v>0</v>
      </c>
      <c r="Q1111" t="n">
        <v>0</v>
      </c>
      <c r="R1111" s="2" t="inlineStr"/>
    </row>
    <row r="1112" ht="15" customHeight="1">
      <c r="A1112" t="inlineStr">
        <is>
          <t>A 40560-2023</t>
        </is>
      </c>
      <c r="B1112" s="1" t="n">
        <v>45170</v>
      </c>
      <c r="C1112" s="1" t="n">
        <v>45787</v>
      </c>
      <c r="D1112" t="inlineStr">
        <is>
          <t>JÄMTLANDS LÄN</t>
        </is>
      </c>
      <c r="E1112" t="inlineStr">
        <is>
          <t>HÄRJEDALEN</t>
        </is>
      </c>
      <c r="F1112" t="inlineStr">
        <is>
          <t>Holmen skog AB</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40569-2023</t>
        </is>
      </c>
      <c r="B1113" s="1" t="n">
        <v>45170</v>
      </c>
      <c r="C1113" s="1" t="n">
        <v>45787</v>
      </c>
      <c r="D1113" t="inlineStr">
        <is>
          <t>JÄMTLANDS LÄN</t>
        </is>
      </c>
      <c r="E1113" t="inlineStr">
        <is>
          <t>HÄRJEDALEN</t>
        </is>
      </c>
      <c r="F1113" t="inlineStr">
        <is>
          <t>Holmen skog AB</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40578-2023</t>
        </is>
      </c>
      <c r="B1114" s="1" t="n">
        <v>45170</v>
      </c>
      <c r="C1114" s="1" t="n">
        <v>45787</v>
      </c>
      <c r="D1114" t="inlineStr">
        <is>
          <t>JÄMTLANDS LÄN</t>
        </is>
      </c>
      <c r="E1114" t="inlineStr">
        <is>
          <t>HÄRJEDALEN</t>
        </is>
      </c>
      <c r="F1114" t="inlineStr">
        <is>
          <t>Holmen skog AB</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40664-2023</t>
        </is>
      </c>
      <c r="B1115" s="1" t="n">
        <v>45170</v>
      </c>
      <c r="C1115" s="1" t="n">
        <v>45787</v>
      </c>
      <c r="D1115" t="inlineStr">
        <is>
          <t>JÄMTLANDS LÄN</t>
        </is>
      </c>
      <c r="E1115" t="inlineStr">
        <is>
          <t>HÄRJEDALEN</t>
        </is>
      </c>
      <c r="G1115" t="n">
        <v>65.3</v>
      </c>
      <c r="H1115" t="n">
        <v>0</v>
      </c>
      <c r="I1115" t="n">
        <v>0</v>
      </c>
      <c r="J1115" t="n">
        <v>0</v>
      </c>
      <c r="K1115" t="n">
        <v>0</v>
      </c>
      <c r="L1115" t="n">
        <v>0</v>
      </c>
      <c r="M1115" t="n">
        <v>0</v>
      </c>
      <c r="N1115" t="n">
        <v>0</v>
      </c>
      <c r="O1115" t="n">
        <v>0</v>
      </c>
      <c r="P1115" t="n">
        <v>0</v>
      </c>
      <c r="Q1115" t="n">
        <v>0</v>
      </c>
      <c r="R1115" s="2" t="inlineStr"/>
    </row>
    <row r="1116" ht="15" customHeight="1">
      <c r="A1116" t="inlineStr">
        <is>
          <t>A 40567-2023</t>
        </is>
      </c>
      <c r="B1116" s="1" t="n">
        <v>45170</v>
      </c>
      <c r="C1116" s="1" t="n">
        <v>45787</v>
      </c>
      <c r="D1116" t="inlineStr">
        <is>
          <t>JÄMTLANDS LÄN</t>
        </is>
      </c>
      <c r="E1116" t="inlineStr">
        <is>
          <t>HÄRJEDALEN</t>
        </is>
      </c>
      <c r="F1116" t="inlineStr">
        <is>
          <t>Holmen skog AB</t>
        </is>
      </c>
      <c r="G1116" t="n">
        <v>19.4</v>
      </c>
      <c r="H1116" t="n">
        <v>0</v>
      </c>
      <c r="I1116" t="n">
        <v>0</v>
      </c>
      <c r="J1116" t="n">
        <v>0</v>
      </c>
      <c r="K1116" t="n">
        <v>0</v>
      </c>
      <c r="L1116" t="n">
        <v>0</v>
      </c>
      <c r="M1116" t="n">
        <v>0</v>
      </c>
      <c r="N1116" t="n">
        <v>0</v>
      </c>
      <c r="O1116" t="n">
        <v>0</v>
      </c>
      <c r="P1116" t="n">
        <v>0</v>
      </c>
      <c r="Q1116" t="n">
        <v>0</v>
      </c>
      <c r="R1116" s="2" t="inlineStr"/>
    </row>
    <row r="1117" ht="15" customHeight="1">
      <c r="A1117" t="inlineStr">
        <is>
          <t>A 40573-2023</t>
        </is>
      </c>
      <c r="B1117" s="1" t="n">
        <v>45170</v>
      </c>
      <c r="C1117" s="1" t="n">
        <v>45787</v>
      </c>
      <c r="D1117" t="inlineStr">
        <is>
          <t>JÄMTLANDS LÄN</t>
        </is>
      </c>
      <c r="E1117" t="inlineStr">
        <is>
          <t>HÄRJEDALEN</t>
        </is>
      </c>
      <c r="F1117" t="inlineStr">
        <is>
          <t>Holmen skog AB</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40900-2023</t>
        </is>
      </c>
      <c r="B1118" s="1" t="n">
        <v>45173</v>
      </c>
      <c r="C1118" s="1" t="n">
        <v>45787</v>
      </c>
      <c r="D1118" t="inlineStr">
        <is>
          <t>JÄMTLANDS LÄN</t>
        </is>
      </c>
      <c r="E1118" t="inlineStr">
        <is>
          <t>HÄRJEDALEN</t>
        </is>
      </c>
      <c r="F1118" t="inlineStr">
        <is>
          <t>Bergvik skog väst AB</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40904-2023</t>
        </is>
      </c>
      <c r="B1119" s="1" t="n">
        <v>45173</v>
      </c>
      <c r="C1119" s="1" t="n">
        <v>45787</v>
      </c>
      <c r="D1119" t="inlineStr">
        <is>
          <t>JÄMTLANDS LÄN</t>
        </is>
      </c>
      <c r="E1119" t="inlineStr">
        <is>
          <t>HÄRJEDALEN</t>
        </is>
      </c>
      <c r="F1119" t="inlineStr">
        <is>
          <t>Bergvik skog väst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41058-2023</t>
        </is>
      </c>
      <c r="B1120" s="1" t="n">
        <v>45173</v>
      </c>
      <c r="C1120" s="1" t="n">
        <v>45787</v>
      </c>
      <c r="D1120" t="inlineStr">
        <is>
          <t>JÄMTLANDS LÄN</t>
        </is>
      </c>
      <c r="E1120" t="inlineStr">
        <is>
          <t>HÄRJEDALEN</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41094-2023</t>
        </is>
      </c>
      <c r="B1121" s="1" t="n">
        <v>45173</v>
      </c>
      <c r="C1121" s="1" t="n">
        <v>45787</v>
      </c>
      <c r="D1121" t="inlineStr">
        <is>
          <t>JÄMTLANDS LÄN</t>
        </is>
      </c>
      <c r="E1121" t="inlineStr">
        <is>
          <t>HÄRJEDALEN</t>
        </is>
      </c>
      <c r="F1121" t="inlineStr">
        <is>
          <t>Sveaskog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41955-2023</t>
        </is>
      </c>
      <c r="B1122" s="1" t="n">
        <v>45174</v>
      </c>
      <c r="C1122" s="1" t="n">
        <v>45787</v>
      </c>
      <c r="D1122" t="inlineStr">
        <is>
          <t>JÄMTLANDS LÄN</t>
        </is>
      </c>
      <c r="E1122" t="inlineStr">
        <is>
          <t>HÄRJEDALEN</t>
        </is>
      </c>
      <c r="G1122" t="n">
        <v>60.4</v>
      </c>
      <c r="H1122" t="n">
        <v>0</v>
      </c>
      <c r="I1122" t="n">
        <v>0</v>
      </c>
      <c r="J1122" t="n">
        <v>0</v>
      </c>
      <c r="K1122" t="n">
        <v>0</v>
      </c>
      <c r="L1122" t="n">
        <v>0</v>
      </c>
      <c r="M1122" t="n">
        <v>0</v>
      </c>
      <c r="N1122" t="n">
        <v>0</v>
      </c>
      <c r="O1122" t="n">
        <v>0</v>
      </c>
      <c r="P1122" t="n">
        <v>0</v>
      </c>
      <c r="Q1122" t="n">
        <v>0</v>
      </c>
      <c r="R1122" s="2" t="inlineStr"/>
    </row>
    <row r="1123" ht="15" customHeight="1">
      <c r="A1123" t="inlineStr">
        <is>
          <t>A 42146-2023</t>
        </is>
      </c>
      <c r="B1123" s="1" t="n">
        <v>45178</v>
      </c>
      <c r="C1123" s="1" t="n">
        <v>45787</v>
      </c>
      <c r="D1123" t="inlineStr">
        <is>
          <t>JÄMTLANDS LÄN</t>
        </is>
      </c>
      <c r="E1123" t="inlineStr">
        <is>
          <t>HÄRJEDALEN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42143-2023</t>
        </is>
      </c>
      <c r="B1124" s="1" t="n">
        <v>45178</v>
      </c>
      <c r="C1124" s="1" t="n">
        <v>45787</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43192-2023</t>
        </is>
      </c>
      <c r="B1125" s="1" t="n">
        <v>45180</v>
      </c>
      <c r="C1125" s="1" t="n">
        <v>45787</v>
      </c>
      <c r="D1125" t="inlineStr">
        <is>
          <t>JÄMTLANDS LÄN</t>
        </is>
      </c>
      <c r="E1125" t="inlineStr">
        <is>
          <t>HÄRJEDALEN</t>
        </is>
      </c>
      <c r="F1125" t="inlineStr">
        <is>
          <t>Övriga Aktiebolag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43211-2023</t>
        </is>
      </c>
      <c r="B1126" s="1" t="n">
        <v>45180</v>
      </c>
      <c r="C1126" s="1" t="n">
        <v>45787</v>
      </c>
      <c r="D1126" t="inlineStr">
        <is>
          <t>JÄMTLANDS LÄN</t>
        </is>
      </c>
      <c r="E1126" t="inlineStr">
        <is>
          <t>HÄRJEDALEN</t>
        </is>
      </c>
      <c r="F1126" t="inlineStr">
        <is>
          <t>Övriga Aktiebolag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42720-2023</t>
        </is>
      </c>
      <c r="B1127" s="1" t="n">
        <v>45181</v>
      </c>
      <c r="C1127" s="1" t="n">
        <v>45787</v>
      </c>
      <c r="D1127" t="inlineStr">
        <is>
          <t>JÄMTLANDS LÄN</t>
        </is>
      </c>
      <c r="E1127" t="inlineStr">
        <is>
          <t>HÄRJEDALEN</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43503-2023</t>
        </is>
      </c>
      <c r="B1128" s="1" t="n">
        <v>45184</v>
      </c>
      <c r="C1128" s="1" t="n">
        <v>45787</v>
      </c>
      <c r="D1128" t="inlineStr">
        <is>
          <t>JÄMTLANDS LÄN</t>
        </is>
      </c>
      <c r="E1128" t="inlineStr">
        <is>
          <t>HÄRJEDALEN</t>
        </is>
      </c>
      <c r="F1128" t="inlineStr">
        <is>
          <t>Bergvik skog väst AB</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43481-2023</t>
        </is>
      </c>
      <c r="B1129" s="1" t="n">
        <v>45184</v>
      </c>
      <c r="C1129" s="1" t="n">
        <v>45787</v>
      </c>
      <c r="D1129" t="inlineStr">
        <is>
          <t>JÄMTLANDS LÄN</t>
        </is>
      </c>
      <c r="E1129" t="inlineStr">
        <is>
          <t>HÄRJEDALEN</t>
        </is>
      </c>
      <c r="F1129" t="inlineStr">
        <is>
          <t>Bergvik skog väst AB</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43870-2023</t>
        </is>
      </c>
      <c r="B1130" s="1" t="n">
        <v>45187</v>
      </c>
      <c r="C1130" s="1" t="n">
        <v>45787</v>
      </c>
      <c r="D1130" t="inlineStr">
        <is>
          <t>JÄMTLANDS LÄN</t>
        </is>
      </c>
      <c r="E1130" t="inlineStr">
        <is>
          <t>HÄRJEDALEN</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43804-2023</t>
        </is>
      </c>
      <c r="B1131" s="1" t="n">
        <v>45187</v>
      </c>
      <c r="C1131" s="1" t="n">
        <v>45787</v>
      </c>
      <c r="D1131" t="inlineStr">
        <is>
          <t>JÄMTLANDS LÄN</t>
        </is>
      </c>
      <c r="E1131" t="inlineStr">
        <is>
          <t>HÄRJEDALEN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43811-2023</t>
        </is>
      </c>
      <c r="B1132" s="1" t="n">
        <v>45187</v>
      </c>
      <c r="C1132" s="1" t="n">
        <v>45787</v>
      </c>
      <c r="D1132" t="inlineStr">
        <is>
          <t>JÄMTLANDS LÄN</t>
        </is>
      </c>
      <c r="E1132" t="inlineStr">
        <is>
          <t>HÄRJEDALEN</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43820-2023</t>
        </is>
      </c>
      <c r="B1133" s="1" t="n">
        <v>45187</v>
      </c>
      <c r="C1133" s="1" t="n">
        <v>45787</v>
      </c>
      <c r="D1133" t="inlineStr">
        <is>
          <t>JÄMTLANDS LÄN</t>
        </is>
      </c>
      <c r="E1133" t="inlineStr">
        <is>
          <t>HÄRJEDALEN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44102-2023</t>
        </is>
      </c>
      <c r="B1134" s="1" t="n">
        <v>45188</v>
      </c>
      <c r="C1134" s="1" t="n">
        <v>45787</v>
      </c>
      <c r="D1134" t="inlineStr">
        <is>
          <t>JÄMTLANDS LÄN</t>
        </is>
      </c>
      <c r="E1134" t="inlineStr">
        <is>
          <t>HÄRJEDALEN</t>
        </is>
      </c>
      <c r="F1134" t="inlineStr">
        <is>
          <t>Bergvik skog väst AB</t>
        </is>
      </c>
      <c r="G1134" t="n">
        <v>11.6</v>
      </c>
      <c r="H1134" t="n">
        <v>0</v>
      </c>
      <c r="I1134" t="n">
        <v>0</v>
      </c>
      <c r="J1134" t="n">
        <v>0</v>
      </c>
      <c r="K1134" t="n">
        <v>0</v>
      </c>
      <c r="L1134" t="n">
        <v>0</v>
      </c>
      <c r="M1134" t="n">
        <v>0</v>
      </c>
      <c r="N1134" t="n">
        <v>0</v>
      </c>
      <c r="O1134" t="n">
        <v>0</v>
      </c>
      <c r="P1134" t="n">
        <v>0</v>
      </c>
      <c r="Q1134" t="n">
        <v>0</v>
      </c>
      <c r="R1134" s="2" t="inlineStr"/>
    </row>
    <row r="1135" ht="15" customHeight="1">
      <c r="A1135" t="inlineStr">
        <is>
          <t>A 44270-2023</t>
        </is>
      </c>
      <c r="B1135" s="1" t="n">
        <v>45188</v>
      </c>
      <c r="C1135" s="1" t="n">
        <v>45787</v>
      </c>
      <c r="D1135" t="inlineStr">
        <is>
          <t>JÄMTLANDS LÄN</t>
        </is>
      </c>
      <c r="E1135" t="inlineStr">
        <is>
          <t>HÄRJEDALEN</t>
        </is>
      </c>
      <c r="G1135" t="n">
        <v>15.6</v>
      </c>
      <c r="H1135" t="n">
        <v>0</v>
      </c>
      <c r="I1135" t="n">
        <v>0</v>
      </c>
      <c r="J1135" t="n">
        <v>0</v>
      </c>
      <c r="K1135" t="n">
        <v>0</v>
      </c>
      <c r="L1135" t="n">
        <v>0</v>
      </c>
      <c r="M1135" t="n">
        <v>0</v>
      </c>
      <c r="N1135" t="n">
        <v>0</v>
      </c>
      <c r="O1135" t="n">
        <v>0</v>
      </c>
      <c r="P1135" t="n">
        <v>0</v>
      </c>
      <c r="Q1135" t="n">
        <v>0</v>
      </c>
      <c r="R1135" s="2" t="inlineStr"/>
    </row>
    <row r="1136" ht="15" customHeight="1">
      <c r="A1136" t="inlineStr">
        <is>
          <t>A 45640-2023</t>
        </is>
      </c>
      <c r="B1136" s="1" t="n">
        <v>45188</v>
      </c>
      <c r="C1136" s="1" t="n">
        <v>45787</v>
      </c>
      <c r="D1136" t="inlineStr">
        <is>
          <t>JÄMTLANDS LÄN</t>
        </is>
      </c>
      <c r="E1136" t="inlineStr">
        <is>
          <t>HÄRJEDALEN</t>
        </is>
      </c>
      <c r="F1136" t="inlineStr">
        <is>
          <t>Bergvik skog väst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45179-2023</t>
        </is>
      </c>
      <c r="B1137" s="1" t="n">
        <v>45191</v>
      </c>
      <c r="C1137" s="1" t="n">
        <v>45787</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45143-2023</t>
        </is>
      </c>
      <c r="B1138" s="1" t="n">
        <v>45191</v>
      </c>
      <c r="C1138" s="1" t="n">
        <v>45787</v>
      </c>
      <c r="D1138" t="inlineStr">
        <is>
          <t>JÄMTLANDS LÄN</t>
        </is>
      </c>
      <c r="E1138" t="inlineStr">
        <is>
          <t>HÄRJEDALEN</t>
        </is>
      </c>
      <c r="G1138" t="n">
        <v>24.8</v>
      </c>
      <c r="H1138" t="n">
        <v>0</v>
      </c>
      <c r="I1138" t="n">
        <v>0</v>
      </c>
      <c r="J1138" t="n">
        <v>0</v>
      </c>
      <c r="K1138" t="n">
        <v>0</v>
      </c>
      <c r="L1138" t="n">
        <v>0</v>
      </c>
      <c r="M1138" t="n">
        <v>0</v>
      </c>
      <c r="N1138" t="n">
        <v>0</v>
      </c>
      <c r="O1138" t="n">
        <v>0</v>
      </c>
      <c r="P1138" t="n">
        <v>0</v>
      </c>
      <c r="Q1138" t="n">
        <v>0</v>
      </c>
      <c r="R1138" s="2" t="inlineStr"/>
    </row>
    <row r="1139" ht="15" customHeight="1">
      <c r="A1139" t="inlineStr">
        <is>
          <t>A 45274-2023</t>
        </is>
      </c>
      <c r="B1139" s="1" t="n">
        <v>45191</v>
      </c>
      <c r="C1139" s="1" t="n">
        <v>45787</v>
      </c>
      <c r="D1139" t="inlineStr">
        <is>
          <t>JÄMTLANDS LÄN</t>
        </is>
      </c>
      <c r="E1139" t="inlineStr">
        <is>
          <t>HÄRJEDALEN</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45491-2023</t>
        </is>
      </c>
      <c r="B1140" s="1" t="n">
        <v>45194</v>
      </c>
      <c r="C1140" s="1" t="n">
        <v>45787</v>
      </c>
      <c r="D1140" t="inlineStr">
        <is>
          <t>JÄMTLANDS LÄN</t>
        </is>
      </c>
      <c r="E1140" t="inlineStr">
        <is>
          <t>HÄRJEDALEN</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45495-2023</t>
        </is>
      </c>
      <c r="B1141" s="1" t="n">
        <v>45194</v>
      </c>
      <c r="C1141" s="1" t="n">
        <v>45787</v>
      </c>
      <c r="D1141" t="inlineStr">
        <is>
          <t>JÄMTLANDS LÄN</t>
        </is>
      </c>
      <c r="E1141" t="inlineStr">
        <is>
          <t>HÄRJEDALEN</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45613-2023</t>
        </is>
      </c>
      <c r="B1142" s="1" t="n">
        <v>45194</v>
      </c>
      <c r="C1142" s="1" t="n">
        <v>45787</v>
      </c>
      <c r="D1142" t="inlineStr">
        <is>
          <t>JÄMTLANDS LÄN</t>
        </is>
      </c>
      <c r="E1142" t="inlineStr">
        <is>
          <t>HÄRJEDALEN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45636-2023</t>
        </is>
      </c>
      <c r="B1143" s="1" t="n">
        <v>45194</v>
      </c>
      <c r="C1143" s="1" t="n">
        <v>45787</v>
      </c>
      <c r="D1143" t="inlineStr">
        <is>
          <t>JÄMTLANDS LÄN</t>
        </is>
      </c>
      <c r="E1143" t="inlineStr">
        <is>
          <t>HÄRJEDALEN</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45616-2023</t>
        </is>
      </c>
      <c r="B1144" s="1" t="n">
        <v>45194</v>
      </c>
      <c r="C1144" s="1" t="n">
        <v>45787</v>
      </c>
      <c r="D1144" t="inlineStr">
        <is>
          <t>JÄMTLANDS LÄN</t>
        </is>
      </c>
      <c r="E1144" t="inlineStr">
        <is>
          <t>HÄRJEDALEN</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45684-2023</t>
        </is>
      </c>
      <c r="B1145" s="1" t="n">
        <v>45195</v>
      </c>
      <c r="C1145" s="1" t="n">
        <v>45787</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45716-2023</t>
        </is>
      </c>
      <c r="B1146" s="1" t="n">
        <v>45195</v>
      </c>
      <c r="C1146" s="1" t="n">
        <v>45787</v>
      </c>
      <c r="D1146" t="inlineStr">
        <is>
          <t>JÄMTLANDS LÄN</t>
        </is>
      </c>
      <c r="E1146" t="inlineStr">
        <is>
          <t>HÄRJEDALEN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45720-2023</t>
        </is>
      </c>
      <c r="B1147" s="1" t="n">
        <v>45195</v>
      </c>
      <c r="C1147" s="1" t="n">
        <v>45787</v>
      </c>
      <c r="D1147" t="inlineStr">
        <is>
          <t>JÄMTLANDS LÄN</t>
        </is>
      </c>
      <c r="E1147" t="inlineStr">
        <is>
          <t>HÄRJEDALEN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45747-2023</t>
        </is>
      </c>
      <c r="B1148" s="1" t="n">
        <v>45195</v>
      </c>
      <c r="C1148" s="1" t="n">
        <v>45787</v>
      </c>
      <c r="D1148" t="inlineStr">
        <is>
          <t>JÄMTLANDS LÄN</t>
        </is>
      </c>
      <c r="E1148" t="inlineStr">
        <is>
          <t>HÄRJEDALEN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45864-2023</t>
        </is>
      </c>
      <c r="B1149" s="1" t="n">
        <v>45195</v>
      </c>
      <c r="C1149" s="1" t="n">
        <v>45787</v>
      </c>
      <c r="D1149" t="inlineStr">
        <is>
          <t>JÄMTLANDS LÄN</t>
        </is>
      </c>
      <c r="E1149" t="inlineStr">
        <is>
          <t>HÄRJEDALEN</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45843-2023</t>
        </is>
      </c>
      <c r="B1150" s="1" t="n">
        <v>45195</v>
      </c>
      <c r="C1150" s="1" t="n">
        <v>45787</v>
      </c>
      <c r="D1150" t="inlineStr">
        <is>
          <t>JÄMTLANDS LÄN</t>
        </is>
      </c>
      <c r="E1150" t="inlineStr">
        <is>
          <t>HÄRJEDALEN</t>
        </is>
      </c>
      <c r="G1150" t="n">
        <v>19.5</v>
      </c>
      <c r="H1150" t="n">
        <v>0</v>
      </c>
      <c r="I1150" t="n">
        <v>0</v>
      </c>
      <c r="J1150" t="n">
        <v>0</v>
      </c>
      <c r="K1150" t="n">
        <v>0</v>
      </c>
      <c r="L1150" t="n">
        <v>0</v>
      </c>
      <c r="M1150" t="n">
        <v>0</v>
      </c>
      <c r="N1150" t="n">
        <v>0</v>
      </c>
      <c r="O1150" t="n">
        <v>0</v>
      </c>
      <c r="P1150" t="n">
        <v>0</v>
      </c>
      <c r="Q1150" t="n">
        <v>0</v>
      </c>
      <c r="R1150" s="2" t="inlineStr"/>
    </row>
    <row r="1151" ht="15" customHeight="1">
      <c r="A1151" t="inlineStr">
        <is>
          <t>A 45999-2023</t>
        </is>
      </c>
      <c r="B1151" s="1" t="n">
        <v>45196</v>
      </c>
      <c r="C1151" s="1" t="n">
        <v>45787</v>
      </c>
      <c r="D1151" t="inlineStr">
        <is>
          <t>JÄMTLANDS LÄN</t>
        </is>
      </c>
      <c r="E1151" t="inlineStr">
        <is>
          <t>HÄRJEDALEN</t>
        </is>
      </c>
      <c r="F1151" t="inlineStr">
        <is>
          <t>Bergvik skog väst AB</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46383-2023</t>
        </is>
      </c>
      <c r="B1152" s="1" t="n">
        <v>45197</v>
      </c>
      <c r="C1152" s="1" t="n">
        <v>45787</v>
      </c>
      <c r="D1152" t="inlineStr">
        <is>
          <t>JÄMTLANDS LÄN</t>
        </is>
      </c>
      <c r="E1152" t="inlineStr">
        <is>
          <t>HÄRJEDALEN</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46394-2023</t>
        </is>
      </c>
      <c r="B1153" s="1" t="n">
        <v>45197</v>
      </c>
      <c r="C1153" s="1" t="n">
        <v>45787</v>
      </c>
      <c r="D1153" t="inlineStr">
        <is>
          <t>JÄMTLANDS LÄN</t>
        </is>
      </c>
      <c r="E1153" t="inlineStr">
        <is>
          <t>HÄRJEDALEN</t>
        </is>
      </c>
      <c r="F1153" t="inlineStr">
        <is>
          <t>Bergvik skog väst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46977-2023</t>
        </is>
      </c>
      <c r="B1154" s="1" t="n">
        <v>45201</v>
      </c>
      <c r="C1154" s="1" t="n">
        <v>45787</v>
      </c>
      <c r="D1154" t="inlineStr">
        <is>
          <t>JÄMTLANDS LÄN</t>
        </is>
      </c>
      <c r="E1154" t="inlineStr">
        <is>
          <t>HÄRJEDALEN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46993-2023</t>
        </is>
      </c>
      <c r="B1155" s="1" t="n">
        <v>45201</v>
      </c>
      <c r="C1155" s="1" t="n">
        <v>45787</v>
      </c>
      <c r="D1155" t="inlineStr">
        <is>
          <t>JÄMTLANDS LÄN</t>
        </is>
      </c>
      <c r="E1155" t="inlineStr">
        <is>
          <t>HÄRJEDALEN</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47095-2023</t>
        </is>
      </c>
      <c r="B1156" s="1" t="n">
        <v>45201</v>
      </c>
      <c r="C1156" s="1" t="n">
        <v>45787</v>
      </c>
      <c r="D1156" t="inlineStr">
        <is>
          <t>JÄMTLANDS LÄN</t>
        </is>
      </c>
      <c r="E1156" t="inlineStr">
        <is>
          <t>HÄRJEDALEN</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47244-2023</t>
        </is>
      </c>
      <c r="B1157" s="1" t="n">
        <v>45202</v>
      </c>
      <c r="C1157" s="1" t="n">
        <v>45787</v>
      </c>
      <c r="D1157" t="inlineStr">
        <is>
          <t>JÄMTLANDS LÄN</t>
        </is>
      </c>
      <c r="E1157" t="inlineStr">
        <is>
          <t>HÄRJEDALEN</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47546-2023</t>
        </is>
      </c>
      <c r="B1158" s="1" t="n">
        <v>45203</v>
      </c>
      <c r="C1158" s="1" t="n">
        <v>45787</v>
      </c>
      <c r="D1158" t="inlineStr">
        <is>
          <t>JÄMTLANDS LÄN</t>
        </is>
      </c>
      <c r="E1158" t="inlineStr">
        <is>
          <t>HÄRJEDALEN</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47705-2023</t>
        </is>
      </c>
      <c r="B1159" s="1" t="n">
        <v>45203</v>
      </c>
      <c r="C1159" s="1" t="n">
        <v>45787</v>
      </c>
      <c r="D1159" t="inlineStr">
        <is>
          <t>JÄMTLANDS LÄN</t>
        </is>
      </c>
      <c r="E1159" t="inlineStr">
        <is>
          <t>HÄRJEDALEN</t>
        </is>
      </c>
      <c r="F1159" t="inlineStr">
        <is>
          <t>Bergvik skog väst AB</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47510-2023</t>
        </is>
      </c>
      <c r="B1160" s="1" t="n">
        <v>45203</v>
      </c>
      <c r="C1160" s="1" t="n">
        <v>45787</v>
      </c>
      <c r="D1160" t="inlineStr">
        <is>
          <t>JÄMTLANDS LÄN</t>
        </is>
      </c>
      <c r="E1160" t="inlineStr">
        <is>
          <t>HÄRJEDALEN</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47795-2023</t>
        </is>
      </c>
      <c r="B1161" s="1" t="n">
        <v>45204</v>
      </c>
      <c r="C1161" s="1" t="n">
        <v>45787</v>
      </c>
      <c r="D1161" t="inlineStr">
        <is>
          <t>JÄMTLANDS LÄN</t>
        </is>
      </c>
      <c r="E1161" t="inlineStr">
        <is>
          <t>HÄRJEDALEN</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48669-2023</t>
        </is>
      </c>
      <c r="B1162" s="1" t="n">
        <v>45203</v>
      </c>
      <c r="C1162" s="1" t="n">
        <v>45787</v>
      </c>
      <c r="D1162" t="inlineStr">
        <is>
          <t>JÄMTLANDS LÄN</t>
        </is>
      </c>
      <c r="E1162" t="inlineStr">
        <is>
          <t>HÄRJEDALEN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47955-2023</t>
        </is>
      </c>
      <c r="B1163" s="1" t="n">
        <v>45204</v>
      </c>
      <c r="C1163" s="1" t="n">
        <v>45787</v>
      </c>
      <c r="D1163" t="inlineStr">
        <is>
          <t>JÄMTLANDS LÄN</t>
        </is>
      </c>
      <c r="E1163" t="inlineStr">
        <is>
          <t>HÄRJEDALEN</t>
        </is>
      </c>
      <c r="F1163" t="inlineStr">
        <is>
          <t>Bergvik skog väst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48051-2023</t>
        </is>
      </c>
      <c r="B1164" s="1" t="n">
        <v>45204</v>
      </c>
      <c r="C1164" s="1" t="n">
        <v>45787</v>
      </c>
      <c r="D1164" t="inlineStr">
        <is>
          <t>JÄMTLANDS LÄN</t>
        </is>
      </c>
      <c r="E1164" t="inlineStr">
        <is>
          <t>HÄRJEDALEN</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48050-2023</t>
        </is>
      </c>
      <c r="B1165" s="1" t="n">
        <v>45204</v>
      </c>
      <c r="C1165" s="1" t="n">
        <v>45787</v>
      </c>
      <c r="D1165" t="inlineStr">
        <is>
          <t>JÄMTLANDS LÄN</t>
        </is>
      </c>
      <c r="E1165" t="inlineStr">
        <is>
          <t>HÄRJEDALEN</t>
        </is>
      </c>
      <c r="G1165" t="n">
        <v>19.2</v>
      </c>
      <c r="H1165" t="n">
        <v>0</v>
      </c>
      <c r="I1165" t="n">
        <v>0</v>
      </c>
      <c r="J1165" t="n">
        <v>0</v>
      </c>
      <c r="K1165" t="n">
        <v>0</v>
      </c>
      <c r="L1165" t="n">
        <v>0</v>
      </c>
      <c r="M1165" t="n">
        <v>0</v>
      </c>
      <c r="N1165" t="n">
        <v>0</v>
      </c>
      <c r="O1165" t="n">
        <v>0</v>
      </c>
      <c r="P1165" t="n">
        <v>0</v>
      </c>
      <c r="Q1165" t="n">
        <v>0</v>
      </c>
      <c r="R1165" s="2" t="inlineStr"/>
    </row>
    <row r="1166" ht="15" customHeight="1">
      <c r="A1166" t="inlineStr">
        <is>
          <t>A 48048-2023</t>
        </is>
      </c>
      <c r="B1166" s="1" t="n">
        <v>45204</v>
      </c>
      <c r="C1166" s="1" t="n">
        <v>45787</v>
      </c>
      <c r="D1166" t="inlineStr">
        <is>
          <t>JÄMTLANDS LÄN</t>
        </is>
      </c>
      <c r="E1166" t="inlineStr">
        <is>
          <t>HÄRJEDALEN</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48100-2023</t>
        </is>
      </c>
      <c r="B1167" s="1" t="n">
        <v>45205</v>
      </c>
      <c r="C1167" s="1" t="n">
        <v>45787</v>
      </c>
      <c r="D1167" t="inlineStr">
        <is>
          <t>JÄMTLANDS LÄN</t>
        </is>
      </c>
      <c r="E1167" t="inlineStr">
        <is>
          <t>HÄRJEDALEN</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48213-2023</t>
        </is>
      </c>
      <c r="B1168" s="1" t="n">
        <v>45205</v>
      </c>
      <c r="C1168" s="1" t="n">
        <v>45787</v>
      </c>
      <c r="D1168" t="inlineStr">
        <is>
          <t>JÄMTLANDS LÄN</t>
        </is>
      </c>
      <c r="E1168" t="inlineStr">
        <is>
          <t>HÄRJEDALEN</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48179-2023</t>
        </is>
      </c>
      <c r="B1169" s="1" t="n">
        <v>45205</v>
      </c>
      <c r="C1169" s="1" t="n">
        <v>45787</v>
      </c>
      <c r="D1169" t="inlineStr">
        <is>
          <t>JÄMTLANDS LÄN</t>
        </is>
      </c>
      <c r="E1169" t="inlineStr">
        <is>
          <t>HÄRJEDALEN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48299-2023</t>
        </is>
      </c>
      <c r="B1170" s="1" t="n">
        <v>45205</v>
      </c>
      <c r="C1170" s="1" t="n">
        <v>45787</v>
      </c>
      <c r="D1170" t="inlineStr">
        <is>
          <t>JÄMTLANDS LÄN</t>
        </is>
      </c>
      <c r="E1170" t="inlineStr">
        <is>
          <t>HÄRJEDALEN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48318-2023</t>
        </is>
      </c>
      <c r="B1171" s="1" t="n">
        <v>45205</v>
      </c>
      <c r="C1171" s="1" t="n">
        <v>45787</v>
      </c>
      <c r="D1171" t="inlineStr">
        <is>
          <t>JÄMTLANDS LÄN</t>
        </is>
      </c>
      <c r="E1171" t="inlineStr">
        <is>
          <t>HÄRJEDALEN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48226-2023</t>
        </is>
      </c>
      <c r="B1172" s="1" t="n">
        <v>45205</v>
      </c>
      <c r="C1172" s="1" t="n">
        <v>45787</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48364-2023</t>
        </is>
      </c>
      <c r="B1173" s="1" t="n">
        <v>45205</v>
      </c>
      <c r="C1173" s="1" t="n">
        <v>45787</v>
      </c>
      <c r="D1173" t="inlineStr">
        <is>
          <t>JÄMTLANDS LÄN</t>
        </is>
      </c>
      <c r="E1173" t="inlineStr">
        <is>
          <t>HÄRJEDALEN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48438-2023</t>
        </is>
      </c>
      <c r="B1174" s="1" t="n">
        <v>45205</v>
      </c>
      <c r="C1174" s="1" t="n">
        <v>45787</v>
      </c>
      <c r="D1174" t="inlineStr">
        <is>
          <t>JÄMTLANDS LÄN</t>
        </is>
      </c>
      <c r="E1174" t="inlineStr">
        <is>
          <t>HÄRJEDALEN</t>
        </is>
      </c>
      <c r="F1174" t="inlineStr">
        <is>
          <t>SCA</t>
        </is>
      </c>
      <c r="G1174" t="n">
        <v>23.3</v>
      </c>
      <c r="H1174" t="n">
        <v>0</v>
      </c>
      <c r="I1174" t="n">
        <v>0</v>
      </c>
      <c r="J1174" t="n">
        <v>0</v>
      </c>
      <c r="K1174" t="n">
        <v>0</v>
      </c>
      <c r="L1174" t="n">
        <v>0</v>
      </c>
      <c r="M1174" t="n">
        <v>0</v>
      </c>
      <c r="N1174" t="n">
        <v>0</v>
      </c>
      <c r="O1174" t="n">
        <v>0</v>
      </c>
      <c r="P1174" t="n">
        <v>0</v>
      </c>
      <c r="Q1174" t="n">
        <v>0</v>
      </c>
      <c r="R1174" s="2" t="inlineStr"/>
    </row>
    <row r="1175" ht="15" customHeight="1">
      <c r="A1175" t="inlineStr">
        <is>
          <t>A 48201-2023</t>
        </is>
      </c>
      <c r="B1175" s="1" t="n">
        <v>45205</v>
      </c>
      <c r="C1175" s="1" t="n">
        <v>45787</v>
      </c>
      <c r="D1175" t="inlineStr">
        <is>
          <t>JÄMTLANDS LÄN</t>
        </is>
      </c>
      <c r="E1175" t="inlineStr">
        <is>
          <t>HÄRJEDALEN</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48485-2023</t>
        </is>
      </c>
      <c r="B1176" s="1" t="n">
        <v>45206</v>
      </c>
      <c r="C1176" s="1" t="n">
        <v>45787</v>
      </c>
      <c r="D1176" t="inlineStr">
        <is>
          <t>JÄMTLANDS LÄN</t>
        </is>
      </c>
      <c r="E1176" t="inlineStr">
        <is>
          <t>HÄRJEDALEN</t>
        </is>
      </c>
      <c r="F1176" t="inlineStr">
        <is>
          <t>SCA</t>
        </is>
      </c>
      <c r="G1176" t="n">
        <v>23.3</v>
      </c>
      <c r="H1176" t="n">
        <v>0</v>
      </c>
      <c r="I1176" t="n">
        <v>0</v>
      </c>
      <c r="J1176" t="n">
        <v>0</v>
      </c>
      <c r="K1176" t="n">
        <v>0</v>
      </c>
      <c r="L1176" t="n">
        <v>0</v>
      </c>
      <c r="M1176" t="n">
        <v>0</v>
      </c>
      <c r="N1176" t="n">
        <v>0</v>
      </c>
      <c r="O1176" t="n">
        <v>0</v>
      </c>
      <c r="P1176" t="n">
        <v>0</v>
      </c>
      <c r="Q1176" t="n">
        <v>0</v>
      </c>
      <c r="R1176" s="2" t="inlineStr"/>
    </row>
    <row r="1177" ht="15" customHeight="1">
      <c r="A1177" t="inlineStr">
        <is>
          <t>A 48583-2023</t>
        </is>
      </c>
      <c r="B1177" s="1" t="n">
        <v>45208</v>
      </c>
      <c r="C1177" s="1" t="n">
        <v>45787</v>
      </c>
      <c r="D1177" t="inlineStr">
        <is>
          <t>JÄMTLANDS LÄN</t>
        </is>
      </c>
      <c r="E1177" t="inlineStr">
        <is>
          <t>HÄRJEDALEN</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48675-2023</t>
        </is>
      </c>
      <c r="B1178" s="1" t="n">
        <v>45208</v>
      </c>
      <c r="C1178" s="1" t="n">
        <v>45787</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48689-2023</t>
        </is>
      </c>
      <c r="B1179" s="1" t="n">
        <v>45208</v>
      </c>
      <c r="C1179" s="1" t="n">
        <v>45787</v>
      </c>
      <c r="D1179" t="inlineStr">
        <is>
          <t>JÄMTLANDS LÄN</t>
        </is>
      </c>
      <c r="E1179" t="inlineStr">
        <is>
          <t>HÄRJEDALEN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48708-2023</t>
        </is>
      </c>
      <c r="B1180" s="1" t="n">
        <v>45208</v>
      </c>
      <c r="C1180" s="1" t="n">
        <v>45787</v>
      </c>
      <c r="D1180" t="inlineStr">
        <is>
          <t>JÄMTLANDS LÄN</t>
        </is>
      </c>
      <c r="E1180" t="inlineStr">
        <is>
          <t>HÄRJEDALEN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48854-2023</t>
        </is>
      </c>
      <c r="B1181" s="1" t="n">
        <v>45209</v>
      </c>
      <c r="C1181" s="1" t="n">
        <v>45787</v>
      </c>
      <c r="D1181" t="inlineStr">
        <is>
          <t>JÄMTLANDS LÄN</t>
        </is>
      </c>
      <c r="E1181" t="inlineStr">
        <is>
          <t>HÄRJEDALEN</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48867-2023</t>
        </is>
      </c>
      <c r="B1182" s="1" t="n">
        <v>45209</v>
      </c>
      <c r="C1182" s="1" t="n">
        <v>45787</v>
      </c>
      <c r="D1182" t="inlineStr">
        <is>
          <t>JÄMTLANDS LÄN</t>
        </is>
      </c>
      <c r="E1182" t="inlineStr">
        <is>
          <t>HÄRJEDALEN</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49120-2023</t>
        </is>
      </c>
      <c r="B1183" s="1" t="n">
        <v>45210</v>
      </c>
      <c r="C1183" s="1" t="n">
        <v>45787</v>
      </c>
      <c r="D1183" t="inlineStr">
        <is>
          <t>JÄMTLANDS LÄN</t>
        </is>
      </c>
      <c r="E1183" t="inlineStr">
        <is>
          <t>HÄRJEDALEN</t>
        </is>
      </c>
      <c r="G1183" t="n">
        <v>38.2</v>
      </c>
      <c r="H1183" t="n">
        <v>0</v>
      </c>
      <c r="I1183" t="n">
        <v>0</v>
      </c>
      <c r="J1183" t="n">
        <v>0</v>
      </c>
      <c r="K1183" t="n">
        <v>0</v>
      </c>
      <c r="L1183" t="n">
        <v>0</v>
      </c>
      <c r="M1183" t="n">
        <v>0</v>
      </c>
      <c r="N1183" t="n">
        <v>0</v>
      </c>
      <c r="O1183" t="n">
        <v>0</v>
      </c>
      <c r="P1183" t="n">
        <v>0</v>
      </c>
      <c r="Q1183" t="n">
        <v>0</v>
      </c>
      <c r="R1183" s="2" t="inlineStr"/>
    </row>
    <row r="1184" ht="15" customHeight="1">
      <c r="A1184" t="inlineStr">
        <is>
          <t>A 49134-2023</t>
        </is>
      </c>
      <c r="B1184" s="1" t="n">
        <v>45210</v>
      </c>
      <c r="C1184" s="1" t="n">
        <v>45787</v>
      </c>
      <c r="D1184" t="inlineStr">
        <is>
          <t>JÄMTLANDS LÄN</t>
        </is>
      </c>
      <c r="E1184" t="inlineStr">
        <is>
          <t>HÄRJEDALEN</t>
        </is>
      </c>
      <c r="G1184" t="n">
        <v>25.8</v>
      </c>
      <c r="H1184" t="n">
        <v>0</v>
      </c>
      <c r="I1184" t="n">
        <v>0</v>
      </c>
      <c r="J1184" t="n">
        <v>0</v>
      </c>
      <c r="K1184" t="n">
        <v>0</v>
      </c>
      <c r="L1184" t="n">
        <v>0</v>
      </c>
      <c r="M1184" t="n">
        <v>0</v>
      </c>
      <c r="N1184" t="n">
        <v>0</v>
      </c>
      <c r="O1184" t="n">
        <v>0</v>
      </c>
      <c r="P1184" t="n">
        <v>0</v>
      </c>
      <c r="Q1184" t="n">
        <v>0</v>
      </c>
      <c r="R1184" s="2" t="inlineStr"/>
    </row>
    <row r="1185" ht="15" customHeight="1">
      <c r="A1185" t="inlineStr">
        <is>
          <t>A 49712-2023</t>
        </is>
      </c>
      <c r="B1185" s="1" t="n">
        <v>45212</v>
      </c>
      <c r="C1185" s="1" t="n">
        <v>45787</v>
      </c>
      <c r="D1185" t="inlineStr">
        <is>
          <t>JÄMTLANDS LÄN</t>
        </is>
      </c>
      <c r="E1185" t="inlineStr">
        <is>
          <t>HÄRJEDALEN</t>
        </is>
      </c>
      <c r="G1185" t="n">
        <v>42.9</v>
      </c>
      <c r="H1185" t="n">
        <v>0</v>
      </c>
      <c r="I1185" t="n">
        <v>0</v>
      </c>
      <c r="J1185" t="n">
        <v>0</v>
      </c>
      <c r="K1185" t="n">
        <v>0</v>
      </c>
      <c r="L1185" t="n">
        <v>0</v>
      </c>
      <c r="M1185" t="n">
        <v>0</v>
      </c>
      <c r="N1185" t="n">
        <v>0</v>
      </c>
      <c r="O1185" t="n">
        <v>0</v>
      </c>
      <c r="P1185" t="n">
        <v>0</v>
      </c>
      <c r="Q1185" t="n">
        <v>0</v>
      </c>
      <c r="R1185" s="2" t="inlineStr"/>
    </row>
    <row r="1186" ht="15" customHeight="1">
      <c r="A1186" t="inlineStr">
        <is>
          <t>A 49792-2023</t>
        </is>
      </c>
      <c r="B1186" s="1" t="n">
        <v>45212</v>
      </c>
      <c r="C1186" s="1" t="n">
        <v>45787</v>
      </c>
      <c r="D1186" t="inlineStr">
        <is>
          <t>JÄMTLANDS LÄN</t>
        </is>
      </c>
      <c r="E1186" t="inlineStr">
        <is>
          <t>HÄRJEDALEN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49969-2023</t>
        </is>
      </c>
      <c r="B1187" s="1" t="n">
        <v>45215</v>
      </c>
      <c r="C1187" s="1" t="n">
        <v>45787</v>
      </c>
      <c r="D1187" t="inlineStr">
        <is>
          <t>JÄMTLANDS LÄN</t>
        </is>
      </c>
      <c r="E1187" t="inlineStr">
        <is>
          <t>HÄRJEDALEN</t>
        </is>
      </c>
      <c r="G1187" t="n">
        <v>43.7</v>
      </c>
      <c r="H1187" t="n">
        <v>0</v>
      </c>
      <c r="I1187" t="n">
        <v>0</v>
      </c>
      <c r="J1187" t="n">
        <v>0</v>
      </c>
      <c r="K1187" t="n">
        <v>0</v>
      </c>
      <c r="L1187" t="n">
        <v>0</v>
      </c>
      <c r="M1187" t="n">
        <v>0</v>
      </c>
      <c r="N1187" t="n">
        <v>0</v>
      </c>
      <c r="O1187" t="n">
        <v>0</v>
      </c>
      <c r="P1187" t="n">
        <v>0</v>
      </c>
      <c r="Q1187" t="n">
        <v>0</v>
      </c>
      <c r="R1187" s="2" t="inlineStr"/>
    </row>
    <row r="1188" ht="15" customHeight="1">
      <c r="A1188" t="inlineStr">
        <is>
          <t>A 50360-2023</t>
        </is>
      </c>
      <c r="B1188" s="1" t="n">
        <v>45216</v>
      </c>
      <c r="C1188" s="1" t="n">
        <v>45787</v>
      </c>
      <c r="D1188" t="inlineStr">
        <is>
          <t>JÄMTLANDS LÄN</t>
        </is>
      </c>
      <c r="E1188" t="inlineStr">
        <is>
          <t>HÄRJEDALEN</t>
        </is>
      </c>
      <c r="F1188" t="inlineStr">
        <is>
          <t>Bergvik skog väst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50331-2023</t>
        </is>
      </c>
      <c r="B1189" s="1" t="n">
        <v>45216</v>
      </c>
      <c r="C1189" s="1" t="n">
        <v>45787</v>
      </c>
      <c r="D1189" t="inlineStr">
        <is>
          <t>JÄMTLANDS LÄN</t>
        </is>
      </c>
      <c r="E1189" t="inlineStr">
        <is>
          <t>HÄRJEDALEN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50291-2023</t>
        </is>
      </c>
      <c r="B1190" s="1" t="n">
        <v>45216</v>
      </c>
      <c r="C1190" s="1" t="n">
        <v>45787</v>
      </c>
      <c r="D1190" t="inlineStr">
        <is>
          <t>JÄMTLANDS LÄN</t>
        </is>
      </c>
      <c r="E1190" t="inlineStr">
        <is>
          <t>HÄRJEDALEN</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50424-2023</t>
        </is>
      </c>
      <c r="B1191" s="1" t="n">
        <v>45216</v>
      </c>
      <c r="C1191" s="1" t="n">
        <v>45787</v>
      </c>
      <c r="D1191" t="inlineStr">
        <is>
          <t>JÄMTLANDS LÄN</t>
        </is>
      </c>
      <c r="E1191" t="inlineStr">
        <is>
          <t>HÄRJEDALEN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50328-2023</t>
        </is>
      </c>
      <c r="B1192" s="1" t="n">
        <v>45216</v>
      </c>
      <c r="C1192" s="1" t="n">
        <v>45787</v>
      </c>
      <c r="D1192" t="inlineStr">
        <is>
          <t>JÄMTLANDS LÄN</t>
        </is>
      </c>
      <c r="E1192" t="inlineStr">
        <is>
          <t>HÄRJEDALEN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50539-2023</t>
        </is>
      </c>
      <c r="B1193" s="1" t="n">
        <v>45217</v>
      </c>
      <c r="C1193" s="1" t="n">
        <v>45787</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51017-2023</t>
        </is>
      </c>
      <c r="B1194" s="1" t="n">
        <v>45218</v>
      </c>
      <c r="C1194" s="1" t="n">
        <v>45787</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51351-2023</t>
        </is>
      </c>
      <c r="B1195" s="1" t="n">
        <v>45219</v>
      </c>
      <c r="C1195" s="1" t="n">
        <v>45787</v>
      </c>
      <c r="D1195" t="inlineStr">
        <is>
          <t>JÄMTLANDS LÄN</t>
        </is>
      </c>
      <c r="E1195" t="inlineStr">
        <is>
          <t>HÄRJEDALEN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51898-2023</t>
        </is>
      </c>
      <c r="B1196" s="1" t="n">
        <v>45223</v>
      </c>
      <c r="C1196" s="1" t="n">
        <v>45787</v>
      </c>
      <c r="D1196" t="inlineStr">
        <is>
          <t>JÄMTLANDS LÄN</t>
        </is>
      </c>
      <c r="E1196" t="inlineStr">
        <is>
          <t>HÄRJEDALEN</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52565-2023</t>
        </is>
      </c>
      <c r="B1197" s="1" t="n">
        <v>45225</v>
      </c>
      <c r="C1197" s="1" t="n">
        <v>45787</v>
      </c>
      <c r="D1197" t="inlineStr">
        <is>
          <t>JÄMTLANDS LÄN</t>
        </is>
      </c>
      <c r="E1197" t="inlineStr">
        <is>
          <t>HÄRJEDALEN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52554-2023</t>
        </is>
      </c>
      <c r="B1198" s="1" t="n">
        <v>45225</v>
      </c>
      <c r="C1198" s="1" t="n">
        <v>45787</v>
      </c>
      <c r="D1198" t="inlineStr">
        <is>
          <t>JÄMTLANDS LÄN</t>
        </is>
      </c>
      <c r="E1198" t="inlineStr">
        <is>
          <t>HÄRJEDALEN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52567-2023</t>
        </is>
      </c>
      <c r="B1199" s="1" t="n">
        <v>45225</v>
      </c>
      <c r="C1199" s="1" t="n">
        <v>45787</v>
      </c>
      <c r="D1199" t="inlineStr">
        <is>
          <t>JÄMTLANDS LÄN</t>
        </is>
      </c>
      <c r="E1199" t="inlineStr">
        <is>
          <t>HÄRJEDALEN</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52683-2023</t>
        </is>
      </c>
      <c r="B1200" s="1" t="n">
        <v>45225</v>
      </c>
      <c r="C1200" s="1" t="n">
        <v>45787</v>
      </c>
      <c r="D1200" t="inlineStr">
        <is>
          <t>JÄMTLANDS LÄN</t>
        </is>
      </c>
      <c r="E1200" t="inlineStr">
        <is>
          <t>HÄRJEDALEN</t>
        </is>
      </c>
      <c r="F1200" t="inlineStr">
        <is>
          <t>Bergvik skog väst AB</t>
        </is>
      </c>
      <c r="G1200" t="n">
        <v>19.3</v>
      </c>
      <c r="H1200" t="n">
        <v>0</v>
      </c>
      <c r="I1200" t="n">
        <v>0</v>
      </c>
      <c r="J1200" t="n">
        <v>0</v>
      </c>
      <c r="K1200" t="n">
        <v>0</v>
      </c>
      <c r="L1200" t="n">
        <v>0</v>
      </c>
      <c r="M1200" t="n">
        <v>0</v>
      </c>
      <c r="N1200" t="n">
        <v>0</v>
      </c>
      <c r="O1200" t="n">
        <v>0</v>
      </c>
      <c r="P1200" t="n">
        <v>0</v>
      </c>
      <c r="Q1200" t="n">
        <v>0</v>
      </c>
      <c r="R1200" s="2" t="inlineStr"/>
    </row>
    <row r="1201" ht="15" customHeight="1">
      <c r="A1201" t="inlineStr">
        <is>
          <t>A 52741-2023</t>
        </is>
      </c>
      <c r="B1201" s="1" t="n">
        <v>45225</v>
      </c>
      <c r="C1201" s="1" t="n">
        <v>45787</v>
      </c>
      <c r="D1201" t="inlineStr">
        <is>
          <t>JÄMTLANDS LÄN</t>
        </is>
      </c>
      <c r="E1201" t="inlineStr">
        <is>
          <t>HÄRJEDALEN</t>
        </is>
      </c>
      <c r="F1201" t="inlineStr">
        <is>
          <t>SCA</t>
        </is>
      </c>
      <c r="G1201" t="n">
        <v>75.40000000000001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53003-2023</t>
        </is>
      </c>
      <c r="B1202" s="1" t="n">
        <v>45226</v>
      </c>
      <c r="C1202" s="1" t="n">
        <v>45787</v>
      </c>
      <c r="D1202" t="inlineStr">
        <is>
          <t>JÄMTLANDS LÄN</t>
        </is>
      </c>
      <c r="E1202" t="inlineStr">
        <is>
          <t>HÄRJEDALEN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53431-2023</t>
        </is>
      </c>
      <c r="B1203" s="1" t="n">
        <v>45229</v>
      </c>
      <c r="C1203" s="1" t="n">
        <v>45787</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53432-2023</t>
        </is>
      </c>
      <c r="B1204" s="1" t="n">
        <v>45229</v>
      </c>
      <c r="C1204" s="1" t="n">
        <v>45787</v>
      </c>
      <c r="D1204" t="inlineStr">
        <is>
          <t>JÄMTLANDS LÄN</t>
        </is>
      </c>
      <c r="E1204" t="inlineStr">
        <is>
          <t>HÄRJEDALEN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53681-2023</t>
        </is>
      </c>
      <c r="B1205" s="1" t="n">
        <v>45230</v>
      </c>
      <c r="C1205" s="1" t="n">
        <v>45787</v>
      </c>
      <c r="D1205" t="inlineStr">
        <is>
          <t>JÄMTLANDS LÄN</t>
        </is>
      </c>
      <c r="E1205" t="inlineStr">
        <is>
          <t>HÄRJEDALEN</t>
        </is>
      </c>
      <c r="G1205" t="n">
        <v>13.6</v>
      </c>
      <c r="H1205" t="n">
        <v>0</v>
      </c>
      <c r="I1205" t="n">
        <v>0</v>
      </c>
      <c r="J1205" t="n">
        <v>0</v>
      </c>
      <c r="K1205" t="n">
        <v>0</v>
      </c>
      <c r="L1205" t="n">
        <v>0</v>
      </c>
      <c r="M1205" t="n">
        <v>0</v>
      </c>
      <c r="N1205" t="n">
        <v>0</v>
      </c>
      <c r="O1205" t="n">
        <v>0</v>
      </c>
      <c r="P1205" t="n">
        <v>0</v>
      </c>
      <c r="Q1205" t="n">
        <v>0</v>
      </c>
      <c r="R1205" s="2" t="inlineStr"/>
    </row>
    <row r="1206" ht="15" customHeight="1">
      <c r="A1206" t="inlineStr">
        <is>
          <t>A 53804-2023</t>
        </is>
      </c>
      <c r="B1206" s="1" t="n">
        <v>45231</v>
      </c>
      <c r="C1206" s="1" t="n">
        <v>45787</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53993-2023</t>
        </is>
      </c>
      <c r="B1207" s="1" t="n">
        <v>45231</v>
      </c>
      <c r="C1207" s="1" t="n">
        <v>45787</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54382-2023</t>
        </is>
      </c>
      <c r="B1208" s="1" t="n">
        <v>45233</v>
      </c>
      <c r="C1208" s="1" t="n">
        <v>45787</v>
      </c>
      <c r="D1208" t="inlineStr">
        <is>
          <t>JÄMTLANDS LÄN</t>
        </is>
      </c>
      <c r="E1208" t="inlineStr">
        <is>
          <t>HÄRJEDALEN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55127-2023</t>
        </is>
      </c>
      <c r="B1209" s="1" t="n">
        <v>45237</v>
      </c>
      <c r="C1209" s="1" t="n">
        <v>45787</v>
      </c>
      <c r="D1209" t="inlineStr">
        <is>
          <t>JÄMTLANDS LÄN</t>
        </is>
      </c>
      <c r="E1209" t="inlineStr">
        <is>
          <t>HÄRJEDALEN</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55150-2023</t>
        </is>
      </c>
      <c r="B1210" s="1" t="n">
        <v>45237</v>
      </c>
      <c r="C1210" s="1" t="n">
        <v>45787</v>
      </c>
      <c r="D1210" t="inlineStr">
        <is>
          <t>JÄMTLANDS LÄN</t>
        </is>
      </c>
      <c r="E1210" t="inlineStr">
        <is>
          <t>HÄRJEDALEN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55183-2023</t>
        </is>
      </c>
      <c r="B1211" s="1" t="n">
        <v>45237</v>
      </c>
      <c r="C1211" s="1" t="n">
        <v>45787</v>
      </c>
      <c r="D1211" t="inlineStr">
        <is>
          <t>JÄMTLANDS LÄN</t>
        </is>
      </c>
      <c r="E1211" t="inlineStr">
        <is>
          <t>HÄRJEDALEN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55195-2023</t>
        </is>
      </c>
      <c r="B1212" s="1" t="n">
        <v>45237</v>
      </c>
      <c r="C1212" s="1" t="n">
        <v>45787</v>
      </c>
      <c r="D1212" t="inlineStr">
        <is>
          <t>JÄMTLANDS LÄN</t>
        </is>
      </c>
      <c r="E1212" t="inlineStr">
        <is>
          <t>HÄRJEDALEN</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55220-2023</t>
        </is>
      </c>
      <c r="B1213" s="1" t="n">
        <v>45237</v>
      </c>
      <c r="C1213" s="1" t="n">
        <v>45787</v>
      </c>
      <c r="D1213" t="inlineStr">
        <is>
          <t>JÄMTLANDS LÄN</t>
        </is>
      </c>
      <c r="E1213" t="inlineStr">
        <is>
          <t>HÄRJEDALEN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55180-2023</t>
        </is>
      </c>
      <c r="B1214" s="1" t="n">
        <v>45237</v>
      </c>
      <c r="C1214" s="1" t="n">
        <v>45787</v>
      </c>
      <c r="D1214" t="inlineStr">
        <is>
          <t>JÄMTLANDS LÄN</t>
        </is>
      </c>
      <c r="E1214" t="inlineStr">
        <is>
          <t>HÄRJEDALEN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55185-2023</t>
        </is>
      </c>
      <c r="B1215" s="1" t="n">
        <v>45237</v>
      </c>
      <c r="C1215" s="1" t="n">
        <v>45787</v>
      </c>
      <c r="D1215" t="inlineStr">
        <is>
          <t>JÄMTLANDS LÄN</t>
        </is>
      </c>
      <c r="E1215" t="inlineStr">
        <is>
          <t>HÄRJEDALEN</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55189-2023</t>
        </is>
      </c>
      <c r="B1216" s="1" t="n">
        <v>45237</v>
      </c>
      <c r="C1216" s="1" t="n">
        <v>45787</v>
      </c>
      <c r="D1216" t="inlineStr">
        <is>
          <t>JÄMTLANDS LÄN</t>
        </is>
      </c>
      <c r="E1216" t="inlineStr">
        <is>
          <t>HÄRJEDALEN</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55193-2023</t>
        </is>
      </c>
      <c r="B1217" s="1" t="n">
        <v>45237</v>
      </c>
      <c r="C1217" s="1" t="n">
        <v>45787</v>
      </c>
      <c r="D1217" t="inlineStr">
        <is>
          <t>JÄMTLANDS LÄN</t>
        </is>
      </c>
      <c r="E1217" t="inlineStr">
        <is>
          <t>HÄRJEDALEN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55500-2023</t>
        </is>
      </c>
      <c r="B1218" s="1" t="n">
        <v>45238</v>
      </c>
      <c r="C1218" s="1" t="n">
        <v>45787</v>
      </c>
      <c r="D1218" t="inlineStr">
        <is>
          <t>JÄMTLANDS LÄN</t>
        </is>
      </c>
      <c r="E1218" t="inlineStr">
        <is>
          <t>HÄRJEDALEN</t>
        </is>
      </c>
      <c r="F1218" t="inlineStr">
        <is>
          <t>Kyrkan</t>
        </is>
      </c>
      <c r="G1218" t="n">
        <v>81.2</v>
      </c>
      <c r="H1218" t="n">
        <v>0</v>
      </c>
      <c r="I1218" t="n">
        <v>0</v>
      </c>
      <c r="J1218" t="n">
        <v>0</v>
      </c>
      <c r="K1218" t="n">
        <v>0</v>
      </c>
      <c r="L1218" t="n">
        <v>0</v>
      </c>
      <c r="M1218" t="n">
        <v>0</v>
      </c>
      <c r="N1218" t="n">
        <v>0</v>
      </c>
      <c r="O1218" t="n">
        <v>0</v>
      </c>
      <c r="P1218" t="n">
        <v>0</v>
      </c>
      <c r="Q1218" t="n">
        <v>0</v>
      </c>
      <c r="R1218" s="2" t="inlineStr"/>
    </row>
    <row r="1219" ht="15" customHeight="1">
      <c r="A1219" t="inlineStr">
        <is>
          <t>A 55562-2023</t>
        </is>
      </c>
      <c r="B1219" s="1" t="n">
        <v>45238</v>
      </c>
      <c r="C1219" s="1" t="n">
        <v>45787</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55463-2023</t>
        </is>
      </c>
      <c r="B1220" s="1" t="n">
        <v>45238</v>
      </c>
      <c r="C1220" s="1" t="n">
        <v>45787</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55555-2023</t>
        </is>
      </c>
      <c r="B1221" s="1" t="n">
        <v>45238</v>
      </c>
      <c r="C1221" s="1" t="n">
        <v>45787</v>
      </c>
      <c r="D1221" t="inlineStr">
        <is>
          <t>JÄMTLANDS LÄN</t>
        </is>
      </c>
      <c r="E1221" t="inlineStr">
        <is>
          <t>HÄRJEDALEN</t>
        </is>
      </c>
      <c r="G1221" t="n">
        <v>11.6</v>
      </c>
      <c r="H1221" t="n">
        <v>0</v>
      </c>
      <c r="I1221" t="n">
        <v>0</v>
      </c>
      <c r="J1221" t="n">
        <v>0</v>
      </c>
      <c r="K1221" t="n">
        <v>0</v>
      </c>
      <c r="L1221" t="n">
        <v>0</v>
      </c>
      <c r="M1221" t="n">
        <v>0</v>
      </c>
      <c r="N1221" t="n">
        <v>0</v>
      </c>
      <c r="O1221" t="n">
        <v>0</v>
      </c>
      <c r="P1221" t="n">
        <v>0</v>
      </c>
      <c r="Q1221" t="n">
        <v>0</v>
      </c>
      <c r="R1221" s="2" t="inlineStr"/>
    </row>
    <row r="1222" ht="15" customHeight="1">
      <c r="A1222" t="inlineStr">
        <is>
          <t>A 55566-2023</t>
        </is>
      </c>
      <c r="B1222" s="1" t="n">
        <v>45238</v>
      </c>
      <c r="C1222" s="1" t="n">
        <v>45787</v>
      </c>
      <c r="D1222" t="inlineStr">
        <is>
          <t>JÄMTLANDS LÄN</t>
        </is>
      </c>
      <c r="E1222" t="inlineStr">
        <is>
          <t>HÄRJEDALEN</t>
        </is>
      </c>
      <c r="F1222" t="inlineStr">
        <is>
          <t>Bergvik skog väst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55844-2023</t>
        </is>
      </c>
      <c r="B1223" s="1" t="n">
        <v>45239</v>
      </c>
      <c r="C1223" s="1" t="n">
        <v>45787</v>
      </c>
      <c r="D1223" t="inlineStr">
        <is>
          <t>JÄMTLANDS LÄN</t>
        </is>
      </c>
      <c r="E1223" t="inlineStr">
        <is>
          <t>HÄRJEDALEN</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55736-2023</t>
        </is>
      </c>
      <c r="B1224" s="1" t="n">
        <v>45239</v>
      </c>
      <c r="C1224" s="1" t="n">
        <v>45787</v>
      </c>
      <c r="D1224" t="inlineStr">
        <is>
          <t>JÄMTLANDS LÄN</t>
        </is>
      </c>
      <c r="E1224" t="inlineStr">
        <is>
          <t>HÄRJEDALEN</t>
        </is>
      </c>
      <c r="F1224" t="inlineStr">
        <is>
          <t>Holmen skog AB</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55766-2023</t>
        </is>
      </c>
      <c r="B1225" s="1" t="n">
        <v>45239</v>
      </c>
      <c r="C1225" s="1" t="n">
        <v>45787</v>
      </c>
      <c r="D1225" t="inlineStr">
        <is>
          <t>JÄMTLANDS LÄN</t>
        </is>
      </c>
      <c r="E1225" t="inlineStr">
        <is>
          <t>HÄRJEDALEN</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55834-2023</t>
        </is>
      </c>
      <c r="B1226" s="1" t="n">
        <v>45239</v>
      </c>
      <c r="C1226" s="1" t="n">
        <v>45787</v>
      </c>
      <c r="D1226" t="inlineStr">
        <is>
          <t>JÄMTLANDS LÄN</t>
        </is>
      </c>
      <c r="E1226" t="inlineStr">
        <is>
          <t>HÄRJEDALEN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56013-2023</t>
        </is>
      </c>
      <c r="B1227" s="1" t="n">
        <v>45240</v>
      </c>
      <c r="C1227" s="1" t="n">
        <v>45787</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56512-2023</t>
        </is>
      </c>
      <c r="B1228" s="1" t="n">
        <v>45243</v>
      </c>
      <c r="C1228" s="1" t="n">
        <v>45787</v>
      </c>
      <c r="D1228" t="inlineStr">
        <is>
          <t>JÄMTLANDS LÄN</t>
        </is>
      </c>
      <c r="E1228" t="inlineStr">
        <is>
          <t>HÄRJEDALEN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56587-2023</t>
        </is>
      </c>
      <c r="B1229" s="1" t="n">
        <v>45243</v>
      </c>
      <c r="C1229" s="1" t="n">
        <v>45787</v>
      </c>
      <c r="D1229" t="inlineStr">
        <is>
          <t>JÄMTLANDS LÄN</t>
        </is>
      </c>
      <c r="E1229" t="inlineStr">
        <is>
          <t>HÄRJEDALEN</t>
        </is>
      </c>
      <c r="G1229" t="n">
        <v>13.4</v>
      </c>
      <c r="H1229" t="n">
        <v>0</v>
      </c>
      <c r="I1229" t="n">
        <v>0</v>
      </c>
      <c r="J1229" t="n">
        <v>0</v>
      </c>
      <c r="K1229" t="n">
        <v>0</v>
      </c>
      <c r="L1229" t="n">
        <v>0</v>
      </c>
      <c r="M1229" t="n">
        <v>0</v>
      </c>
      <c r="N1229" t="n">
        <v>0</v>
      </c>
      <c r="O1229" t="n">
        <v>0</v>
      </c>
      <c r="P1229" t="n">
        <v>0</v>
      </c>
      <c r="Q1229" t="n">
        <v>0</v>
      </c>
      <c r="R1229" s="2" t="inlineStr"/>
    </row>
    <row r="1230" ht="15" customHeight="1">
      <c r="A1230" t="inlineStr">
        <is>
          <t>A 56909-2023</t>
        </is>
      </c>
      <c r="B1230" s="1" t="n">
        <v>45244</v>
      </c>
      <c r="C1230" s="1" t="n">
        <v>45787</v>
      </c>
      <c r="D1230" t="inlineStr">
        <is>
          <t>JÄMTLANDS LÄN</t>
        </is>
      </c>
      <c r="E1230" t="inlineStr">
        <is>
          <t>HÄRJEDALEN</t>
        </is>
      </c>
      <c r="F1230" t="inlineStr">
        <is>
          <t>Bergvik skog väst AB</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56912-2023</t>
        </is>
      </c>
      <c r="B1231" s="1" t="n">
        <v>45244</v>
      </c>
      <c r="C1231" s="1" t="n">
        <v>45787</v>
      </c>
      <c r="D1231" t="inlineStr">
        <is>
          <t>JÄMTLANDS LÄN</t>
        </is>
      </c>
      <c r="E1231" t="inlineStr">
        <is>
          <t>HÄRJEDALEN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56906-2023</t>
        </is>
      </c>
      <c r="B1232" s="1" t="n">
        <v>45244</v>
      </c>
      <c r="C1232" s="1" t="n">
        <v>45787</v>
      </c>
      <c r="D1232" t="inlineStr">
        <is>
          <t>JÄMTLANDS LÄN</t>
        </is>
      </c>
      <c r="E1232" t="inlineStr">
        <is>
          <t>HÄRJEDALEN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57313-2023</t>
        </is>
      </c>
      <c r="B1233" s="1" t="n">
        <v>45245</v>
      </c>
      <c r="C1233" s="1" t="n">
        <v>45787</v>
      </c>
      <c r="D1233" t="inlineStr">
        <is>
          <t>JÄMTLANDS LÄN</t>
        </is>
      </c>
      <c r="E1233" t="inlineStr">
        <is>
          <t>HÄRJEDALEN</t>
        </is>
      </c>
      <c r="F1233" t="inlineStr">
        <is>
          <t>Bergvik skog väst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57099-2023</t>
        </is>
      </c>
      <c r="B1234" s="1" t="n">
        <v>45245</v>
      </c>
      <c r="C1234" s="1" t="n">
        <v>45787</v>
      </c>
      <c r="D1234" t="inlineStr">
        <is>
          <t>JÄMTLANDS LÄN</t>
        </is>
      </c>
      <c r="E1234" t="inlineStr">
        <is>
          <t>HÄRJEDALEN</t>
        </is>
      </c>
      <c r="F1234" t="inlineStr">
        <is>
          <t>Bergvik skog väst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57181-2023</t>
        </is>
      </c>
      <c r="B1235" s="1" t="n">
        <v>45245</v>
      </c>
      <c r="C1235" s="1" t="n">
        <v>45787</v>
      </c>
      <c r="D1235" t="inlineStr">
        <is>
          <t>JÄMTLANDS LÄN</t>
        </is>
      </c>
      <c r="E1235" t="inlineStr">
        <is>
          <t>HÄRJEDALEN</t>
        </is>
      </c>
      <c r="F1235" t="inlineStr">
        <is>
          <t>Bergvik skog väst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57202-2023</t>
        </is>
      </c>
      <c r="B1236" s="1" t="n">
        <v>45245</v>
      </c>
      <c r="C1236" s="1" t="n">
        <v>45787</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57140-2023</t>
        </is>
      </c>
      <c r="B1237" s="1" t="n">
        <v>45245</v>
      </c>
      <c r="C1237" s="1" t="n">
        <v>45787</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57281-2023</t>
        </is>
      </c>
      <c r="B1238" s="1" t="n">
        <v>45245</v>
      </c>
      <c r="C1238" s="1" t="n">
        <v>45787</v>
      </c>
      <c r="D1238" t="inlineStr">
        <is>
          <t>JÄMTLANDS LÄN</t>
        </is>
      </c>
      <c r="E1238" t="inlineStr">
        <is>
          <t>HÄRJEDALEN</t>
        </is>
      </c>
      <c r="F1238" t="inlineStr">
        <is>
          <t>Bergvik skog väst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57661-2023</t>
        </is>
      </c>
      <c r="B1239" s="1" t="n">
        <v>45246</v>
      </c>
      <c r="C1239" s="1" t="n">
        <v>45787</v>
      </c>
      <c r="D1239" t="inlineStr">
        <is>
          <t>JÄMTLANDS LÄN</t>
        </is>
      </c>
      <c r="E1239" t="inlineStr">
        <is>
          <t>HÄRJEDALEN</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58146-2023</t>
        </is>
      </c>
      <c r="B1240" s="1" t="n">
        <v>45250</v>
      </c>
      <c r="C1240" s="1" t="n">
        <v>45787</v>
      </c>
      <c r="D1240" t="inlineStr">
        <is>
          <t>JÄMTLANDS LÄN</t>
        </is>
      </c>
      <c r="E1240" t="inlineStr">
        <is>
          <t>HÄRJEDALEN</t>
        </is>
      </c>
      <c r="F1240" t="inlineStr">
        <is>
          <t>Bergvik skog väst AB</t>
        </is>
      </c>
      <c r="G1240" t="n">
        <v>15.9</v>
      </c>
      <c r="H1240" t="n">
        <v>0</v>
      </c>
      <c r="I1240" t="n">
        <v>0</v>
      </c>
      <c r="J1240" t="n">
        <v>0</v>
      </c>
      <c r="K1240" t="n">
        <v>0</v>
      </c>
      <c r="L1240" t="n">
        <v>0</v>
      </c>
      <c r="M1240" t="n">
        <v>0</v>
      </c>
      <c r="N1240" t="n">
        <v>0</v>
      </c>
      <c r="O1240" t="n">
        <v>0</v>
      </c>
      <c r="P1240" t="n">
        <v>0</v>
      </c>
      <c r="Q1240" t="n">
        <v>0</v>
      </c>
      <c r="R1240" s="2" t="inlineStr"/>
    </row>
    <row r="1241" ht="15" customHeight="1">
      <c r="A1241" t="inlineStr">
        <is>
          <t>A 58144-2023</t>
        </is>
      </c>
      <c r="B1241" s="1" t="n">
        <v>45250</v>
      </c>
      <c r="C1241" s="1" t="n">
        <v>45787</v>
      </c>
      <c r="D1241" t="inlineStr">
        <is>
          <t>JÄMTLANDS LÄN</t>
        </is>
      </c>
      <c r="E1241" t="inlineStr">
        <is>
          <t>HÄRJEDALEN</t>
        </is>
      </c>
      <c r="F1241" t="inlineStr">
        <is>
          <t>Bergvik skog väst AB</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58890-2023</t>
        </is>
      </c>
      <c r="B1242" s="1" t="n">
        <v>45252</v>
      </c>
      <c r="C1242" s="1" t="n">
        <v>45787</v>
      </c>
      <c r="D1242" t="inlineStr">
        <is>
          <t>JÄMTLANDS LÄN</t>
        </is>
      </c>
      <c r="E1242" t="inlineStr">
        <is>
          <t>HÄRJEDALEN</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58930-2023</t>
        </is>
      </c>
      <c r="B1243" s="1" t="n">
        <v>45252</v>
      </c>
      <c r="C1243" s="1" t="n">
        <v>45787</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58866-2023</t>
        </is>
      </c>
      <c r="B1244" s="1" t="n">
        <v>45252</v>
      </c>
      <c r="C1244" s="1" t="n">
        <v>45787</v>
      </c>
      <c r="D1244" t="inlineStr">
        <is>
          <t>JÄMTLANDS LÄN</t>
        </is>
      </c>
      <c r="E1244" t="inlineStr">
        <is>
          <t>HÄRJEDALEN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59092-2023</t>
        </is>
      </c>
      <c r="B1245" s="1" t="n">
        <v>45253</v>
      </c>
      <c r="C1245" s="1" t="n">
        <v>45787</v>
      </c>
      <c r="D1245" t="inlineStr">
        <is>
          <t>JÄMTLANDS LÄN</t>
        </is>
      </c>
      <c r="E1245" t="inlineStr">
        <is>
          <t>HÄRJEDALEN</t>
        </is>
      </c>
      <c r="F1245" t="inlineStr">
        <is>
          <t>SCA</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59279-2023</t>
        </is>
      </c>
      <c r="B1246" s="1" t="n">
        <v>45253</v>
      </c>
      <c r="C1246" s="1" t="n">
        <v>45787</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59424-2023</t>
        </is>
      </c>
      <c r="B1247" s="1" t="n">
        <v>45254</v>
      </c>
      <c r="C1247" s="1" t="n">
        <v>45787</v>
      </c>
      <c r="D1247" t="inlineStr">
        <is>
          <t>JÄMTLANDS LÄN</t>
        </is>
      </c>
      <c r="E1247" t="inlineStr">
        <is>
          <t>HÄRJEDALEN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59577-2023</t>
        </is>
      </c>
      <c r="B1248" s="1" t="n">
        <v>45254</v>
      </c>
      <c r="C1248" s="1" t="n">
        <v>45787</v>
      </c>
      <c r="D1248" t="inlineStr">
        <is>
          <t>JÄMTLANDS LÄN</t>
        </is>
      </c>
      <c r="E1248" t="inlineStr">
        <is>
          <t>HÄRJEDALEN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59594-2023</t>
        </is>
      </c>
      <c r="B1249" s="1" t="n">
        <v>45254</v>
      </c>
      <c r="C1249" s="1" t="n">
        <v>45787</v>
      </c>
      <c r="D1249" t="inlineStr">
        <is>
          <t>JÄMTLANDS LÄN</t>
        </is>
      </c>
      <c r="E1249" t="inlineStr">
        <is>
          <t>HÄRJEDALEN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59620-2023</t>
        </is>
      </c>
      <c r="B1250" s="1" t="n">
        <v>45254</v>
      </c>
      <c r="C1250" s="1" t="n">
        <v>45787</v>
      </c>
      <c r="D1250" t="inlineStr">
        <is>
          <t>JÄMTLANDS LÄN</t>
        </is>
      </c>
      <c r="E1250" t="inlineStr">
        <is>
          <t>HÄRJEDALEN</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59738-2023</t>
        </is>
      </c>
      <c r="B1251" s="1" t="n">
        <v>45257</v>
      </c>
      <c r="C1251" s="1" t="n">
        <v>45787</v>
      </c>
      <c r="D1251" t="inlineStr">
        <is>
          <t>JÄMTLANDS LÄN</t>
        </is>
      </c>
      <c r="E1251" t="inlineStr">
        <is>
          <t>HÄRJEDALEN</t>
        </is>
      </c>
      <c r="F1251" t="inlineStr">
        <is>
          <t>Bergvik skog väst AB</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59750-2023</t>
        </is>
      </c>
      <c r="B1252" s="1" t="n">
        <v>45257</v>
      </c>
      <c r="C1252" s="1" t="n">
        <v>45787</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60062-2023</t>
        </is>
      </c>
      <c r="B1253" s="1" t="n">
        <v>45257</v>
      </c>
      <c r="C1253" s="1" t="n">
        <v>45787</v>
      </c>
      <c r="D1253" t="inlineStr">
        <is>
          <t>JÄMTLANDS LÄN</t>
        </is>
      </c>
      <c r="E1253" t="inlineStr">
        <is>
          <t>HÄRJEDALEN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60611-2023</t>
        </is>
      </c>
      <c r="B1254" s="1" t="n">
        <v>45260</v>
      </c>
      <c r="C1254" s="1" t="n">
        <v>45787</v>
      </c>
      <c r="D1254" t="inlineStr">
        <is>
          <t>JÄMTLANDS LÄN</t>
        </is>
      </c>
      <c r="E1254" t="inlineStr">
        <is>
          <t>HÄRJEDALEN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60749-2023</t>
        </is>
      </c>
      <c r="B1255" s="1" t="n">
        <v>45260</v>
      </c>
      <c r="C1255" s="1" t="n">
        <v>45787</v>
      </c>
      <c r="D1255" t="inlineStr">
        <is>
          <t>JÄMTLANDS LÄN</t>
        </is>
      </c>
      <c r="E1255" t="inlineStr">
        <is>
          <t>HÄRJEDALEN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61465-2023</t>
        </is>
      </c>
      <c r="B1256" s="1" t="n">
        <v>45264</v>
      </c>
      <c r="C1256" s="1" t="n">
        <v>45787</v>
      </c>
      <c r="D1256" t="inlineStr">
        <is>
          <t>JÄMTLANDS LÄN</t>
        </is>
      </c>
      <c r="E1256" t="inlineStr">
        <is>
          <t>HÄRJEDALEN</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61751-2023</t>
        </is>
      </c>
      <c r="B1257" s="1" t="n">
        <v>45265</v>
      </c>
      <c r="C1257" s="1" t="n">
        <v>45787</v>
      </c>
      <c r="D1257" t="inlineStr">
        <is>
          <t>JÄMTLANDS LÄN</t>
        </is>
      </c>
      <c r="E1257" t="inlineStr">
        <is>
          <t>HÄRJEDALEN</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62482-2023</t>
        </is>
      </c>
      <c r="B1258" s="1" t="n">
        <v>45268</v>
      </c>
      <c r="C1258" s="1" t="n">
        <v>45787</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62784-2023</t>
        </is>
      </c>
      <c r="B1259" s="1" t="n">
        <v>45271</v>
      </c>
      <c r="C1259" s="1" t="n">
        <v>45787</v>
      </c>
      <c r="D1259" t="inlineStr">
        <is>
          <t>JÄMTLANDS LÄN</t>
        </is>
      </c>
      <c r="E1259" t="inlineStr">
        <is>
          <t>HÄRJEDALEN</t>
        </is>
      </c>
      <c r="G1259" t="n">
        <v>15.1</v>
      </c>
      <c r="H1259" t="n">
        <v>0</v>
      </c>
      <c r="I1259" t="n">
        <v>0</v>
      </c>
      <c r="J1259" t="n">
        <v>0</v>
      </c>
      <c r="K1259" t="n">
        <v>0</v>
      </c>
      <c r="L1259" t="n">
        <v>0</v>
      </c>
      <c r="M1259" t="n">
        <v>0</v>
      </c>
      <c r="N1259" t="n">
        <v>0</v>
      </c>
      <c r="O1259" t="n">
        <v>0</v>
      </c>
      <c r="P1259" t="n">
        <v>0</v>
      </c>
      <c r="Q1259" t="n">
        <v>0</v>
      </c>
      <c r="R1259" s="2" t="inlineStr"/>
    </row>
    <row r="1260" ht="15" customHeight="1">
      <c r="A1260" t="inlineStr">
        <is>
          <t>A 63323-2023</t>
        </is>
      </c>
      <c r="B1260" s="1" t="n">
        <v>45274</v>
      </c>
      <c r="C1260" s="1" t="n">
        <v>45787</v>
      </c>
      <c r="D1260" t="inlineStr">
        <is>
          <t>JÄMTLANDS LÄN</t>
        </is>
      </c>
      <c r="E1260" t="inlineStr">
        <is>
          <t>HÄRJEDALEN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63546-2023</t>
        </is>
      </c>
      <c r="B1261" s="1" t="n">
        <v>45275</v>
      </c>
      <c r="C1261" s="1" t="n">
        <v>45787</v>
      </c>
      <c r="D1261" t="inlineStr">
        <is>
          <t>JÄMTLANDS LÄN</t>
        </is>
      </c>
      <c r="E1261" t="inlineStr">
        <is>
          <t>HÄRJEDALEN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63577-2023</t>
        </is>
      </c>
      <c r="B1262" s="1" t="n">
        <v>45275</v>
      </c>
      <c r="C1262" s="1" t="n">
        <v>45787</v>
      </c>
      <c r="D1262" t="inlineStr">
        <is>
          <t>JÄMTLANDS LÄN</t>
        </is>
      </c>
      <c r="E1262" t="inlineStr">
        <is>
          <t>HÄRJEDALEN</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63934-2023</t>
        </is>
      </c>
      <c r="B1263" s="1" t="n">
        <v>45278</v>
      </c>
      <c r="C1263" s="1" t="n">
        <v>45787</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63802-2023</t>
        </is>
      </c>
      <c r="B1264" s="1" t="n">
        <v>45278</v>
      </c>
      <c r="C1264" s="1" t="n">
        <v>45787</v>
      </c>
      <c r="D1264" t="inlineStr">
        <is>
          <t>JÄMTLANDS LÄN</t>
        </is>
      </c>
      <c r="E1264" t="inlineStr">
        <is>
          <t>HÄRJEDALEN</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64144-2023</t>
        </is>
      </c>
      <c r="B1265" s="1" t="n">
        <v>45279</v>
      </c>
      <c r="C1265" s="1" t="n">
        <v>45787</v>
      </c>
      <c r="D1265" t="inlineStr">
        <is>
          <t>JÄMTLANDS LÄN</t>
        </is>
      </c>
      <c r="E1265" t="inlineStr">
        <is>
          <t>HÄRJEDALEN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64157-2023</t>
        </is>
      </c>
      <c r="B1266" s="1" t="n">
        <v>45279</v>
      </c>
      <c r="C1266" s="1" t="n">
        <v>45787</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64165-2023</t>
        </is>
      </c>
      <c r="B1267" s="1" t="n">
        <v>45279</v>
      </c>
      <c r="C1267" s="1" t="n">
        <v>45787</v>
      </c>
      <c r="D1267" t="inlineStr">
        <is>
          <t>JÄMTLANDS LÄN</t>
        </is>
      </c>
      <c r="E1267" t="inlineStr">
        <is>
          <t>HÄRJEDALEN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64484-2023</t>
        </is>
      </c>
      <c r="B1268" s="1" t="n">
        <v>45280</v>
      </c>
      <c r="C1268" s="1" t="n">
        <v>45787</v>
      </c>
      <c r="D1268" t="inlineStr">
        <is>
          <t>JÄMTLANDS LÄN</t>
        </is>
      </c>
      <c r="E1268" t="inlineStr">
        <is>
          <t>HÄRJEDALEN</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64371-2023</t>
        </is>
      </c>
      <c r="B1269" s="1" t="n">
        <v>45280</v>
      </c>
      <c r="C1269" s="1" t="n">
        <v>45787</v>
      </c>
      <c r="D1269" t="inlineStr">
        <is>
          <t>JÄMTLANDS LÄN</t>
        </is>
      </c>
      <c r="E1269" t="inlineStr">
        <is>
          <t>HÄRJEDALEN</t>
        </is>
      </c>
      <c r="G1269" t="n">
        <v>31.8</v>
      </c>
      <c r="H1269" t="n">
        <v>0</v>
      </c>
      <c r="I1269" t="n">
        <v>0</v>
      </c>
      <c r="J1269" t="n">
        <v>0</v>
      </c>
      <c r="K1269" t="n">
        <v>0</v>
      </c>
      <c r="L1269" t="n">
        <v>0</v>
      </c>
      <c r="M1269" t="n">
        <v>0</v>
      </c>
      <c r="N1269" t="n">
        <v>0</v>
      </c>
      <c r="O1269" t="n">
        <v>0</v>
      </c>
      <c r="P1269" t="n">
        <v>0</v>
      </c>
      <c r="Q1269" t="n">
        <v>0</v>
      </c>
      <c r="R1269" s="2" t="inlineStr"/>
    </row>
    <row r="1270" ht="15" customHeight="1">
      <c r="A1270" t="inlineStr">
        <is>
          <t>A 64485-2023</t>
        </is>
      </c>
      <c r="B1270" s="1" t="n">
        <v>45280</v>
      </c>
      <c r="C1270" s="1" t="n">
        <v>45787</v>
      </c>
      <c r="D1270" t="inlineStr">
        <is>
          <t>JÄMTLANDS LÄN</t>
        </is>
      </c>
      <c r="E1270" t="inlineStr">
        <is>
          <t>HÄRJEDALEN</t>
        </is>
      </c>
      <c r="G1270" t="n">
        <v>21.3</v>
      </c>
      <c r="H1270" t="n">
        <v>0</v>
      </c>
      <c r="I1270" t="n">
        <v>0</v>
      </c>
      <c r="J1270" t="n">
        <v>0</v>
      </c>
      <c r="K1270" t="n">
        <v>0</v>
      </c>
      <c r="L1270" t="n">
        <v>0</v>
      </c>
      <c r="M1270" t="n">
        <v>0</v>
      </c>
      <c r="N1270" t="n">
        <v>0</v>
      </c>
      <c r="O1270" t="n">
        <v>0</v>
      </c>
      <c r="P1270" t="n">
        <v>0</v>
      </c>
      <c r="Q1270" t="n">
        <v>0</v>
      </c>
      <c r="R1270" s="2" t="inlineStr"/>
    </row>
    <row r="1271" ht="15" customHeight="1">
      <c r="A1271" t="inlineStr">
        <is>
          <t>A 64630-2023</t>
        </is>
      </c>
      <c r="B1271" s="1" t="n">
        <v>45281</v>
      </c>
      <c r="C1271" s="1" t="n">
        <v>45787</v>
      </c>
      <c r="D1271" t="inlineStr">
        <is>
          <t>JÄMTLANDS LÄN</t>
        </is>
      </c>
      <c r="E1271" t="inlineStr">
        <is>
          <t>HÄRJEDALEN</t>
        </is>
      </c>
      <c r="G1271" t="n">
        <v>82.2</v>
      </c>
      <c r="H1271" t="n">
        <v>0</v>
      </c>
      <c r="I1271" t="n">
        <v>0</v>
      </c>
      <c r="J1271" t="n">
        <v>0</v>
      </c>
      <c r="K1271" t="n">
        <v>0</v>
      </c>
      <c r="L1271" t="n">
        <v>0</v>
      </c>
      <c r="M1271" t="n">
        <v>0</v>
      </c>
      <c r="N1271" t="n">
        <v>0</v>
      </c>
      <c r="O1271" t="n">
        <v>0</v>
      </c>
      <c r="P1271" t="n">
        <v>0</v>
      </c>
      <c r="Q1271" t="n">
        <v>0</v>
      </c>
      <c r="R1271" s="2" t="inlineStr"/>
    </row>
    <row r="1272" ht="15" customHeight="1">
      <c r="A1272" t="inlineStr">
        <is>
          <t>A 64648-2023</t>
        </is>
      </c>
      <c r="B1272" s="1" t="n">
        <v>45281</v>
      </c>
      <c r="C1272" s="1" t="n">
        <v>45787</v>
      </c>
      <c r="D1272" t="inlineStr">
        <is>
          <t>JÄMTLANDS LÄN</t>
        </is>
      </c>
      <c r="E1272" t="inlineStr">
        <is>
          <t>HÄRJEDALEN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64645-2023</t>
        </is>
      </c>
      <c r="B1273" s="1" t="n">
        <v>45281</v>
      </c>
      <c r="C1273" s="1" t="n">
        <v>45787</v>
      </c>
      <c r="D1273" t="inlineStr">
        <is>
          <t>JÄMTLANDS LÄN</t>
        </is>
      </c>
      <c r="E1273" t="inlineStr">
        <is>
          <t>HÄRJEDALEN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64647-2023</t>
        </is>
      </c>
      <c r="B1274" s="1" t="n">
        <v>45281</v>
      </c>
      <c r="C1274" s="1" t="n">
        <v>45787</v>
      </c>
      <c r="D1274" t="inlineStr">
        <is>
          <t>JÄMTLANDS LÄN</t>
        </is>
      </c>
      <c r="E1274" t="inlineStr">
        <is>
          <t>HÄRJEDALEN</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64909-2023</t>
        </is>
      </c>
      <c r="B1275" s="1" t="n">
        <v>45282</v>
      </c>
      <c r="C1275" s="1" t="n">
        <v>45787</v>
      </c>
      <c r="D1275" t="inlineStr">
        <is>
          <t>JÄMTLANDS LÄN</t>
        </is>
      </c>
      <c r="E1275" t="inlineStr">
        <is>
          <t>HÄRJEDALEN</t>
        </is>
      </c>
      <c r="F1275" t="inlineStr">
        <is>
          <t>Holmen skog AB</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65032-2023</t>
        </is>
      </c>
      <c r="B1276" s="1" t="n">
        <v>45287</v>
      </c>
      <c r="C1276" s="1" t="n">
        <v>45787</v>
      </c>
      <c r="D1276" t="inlineStr">
        <is>
          <t>JÄMTLANDS LÄN</t>
        </is>
      </c>
      <c r="E1276" t="inlineStr">
        <is>
          <t>HÄRJEDALEN</t>
        </is>
      </c>
      <c r="F1276" t="inlineStr">
        <is>
          <t>Holmen skog AB</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65152-2023</t>
        </is>
      </c>
      <c r="B1277" s="1" t="n">
        <v>45288</v>
      </c>
      <c r="C1277" s="1" t="n">
        <v>45787</v>
      </c>
      <c r="D1277" t="inlineStr">
        <is>
          <t>JÄMTLANDS LÄN</t>
        </is>
      </c>
      <c r="E1277" t="inlineStr">
        <is>
          <t>HÄRJEDALEN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65150-2023</t>
        </is>
      </c>
      <c r="B1278" s="1" t="n">
        <v>45288</v>
      </c>
      <c r="C1278" s="1" t="n">
        <v>45787</v>
      </c>
      <c r="D1278" t="inlineStr">
        <is>
          <t>JÄMTLANDS LÄN</t>
        </is>
      </c>
      <c r="E1278" t="inlineStr">
        <is>
          <t>HÄRJEDALEN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65248-2023</t>
        </is>
      </c>
      <c r="B1279" s="1" t="n">
        <v>45290</v>
      </c>
      <c r="C1279" s="1" t="n">
        <v>45787</v>
      </c>
      <c r="D1279" t="inlineStr">
        <is>
          <t>JÄMTLANDS LÄN</t>
        </is>
      </c>
      <c r="E1279" t="inlineStr">
        <is>
          <t>HÄRJEDALEN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54-2024</t>
        </is>
      </c>
      <c r="B1280" s="1" t="n">
        <v>45293</v>
      </c>
      <c r="C1280" s="1" t="n">
        <v>45787</v>
      </c>
      <c r="D1280" t="inlineStr">
        <is>
          <t>JÄMTLANDS LÄN</t>
        </is>
      </c>
      <c r="E1280" t="inlineStr">
        <is>
          <t>HÄRJEDALEN</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40-2024</t>
        </is>
      </c>
      <c r="B1281" s="1" t="n">
        <v>45293</v>
      </c>
      <c r="C1281" s="1" t="n">
        <v>45787</v>
      </c>
      <c r="D1281" t="inlineStr">
        <is>
          <t>JÄMTLANDS LÄN</t>
        </is>
      </c>
      <c r="E1281" t="inlineStr">
        <is>
          <t>HÄRJEDALEN</t>
        </is>
      </c>
      <c r="G1281" t="n">
        <v>24.2</v>
      </c>
      <c r="H1281" t="n">
        <v>0</v>
      </c>
      <c r="I1281" t="n">
        <v>0</v>
      </c>
      <c r="J1281" t="n">
        <v>0</v>
      </c>
      <c r="K1281" t="n">
        <v>0</v>
      </c>
      <c r="L1281" t="n">
        <v>0</v>
      </c>
      <c r="M1281" t="n">
        <v>0</v>
      </c>
      <c r="N1281" t="n">
        <v>0</v>
      </c>
      <c r="O1281" t="n">
        <v>0</v>
      </c>
      <c r="P1281" t="n">
        <v>0</v>
      </c>
      <c r="Q1281" t="n">
        <v>0</v>
      </c>
      <c r="R1281" s="2" t="inlineStr"/>
    </row>
    <row r="1282" ht="15" customHeight="1">
      <c r="A1282" t="inlineStr">
        <is>
          <t>A 1211-2024</t>
        </is>
      </c>
      <c r="B1282" s="1" t="n">
        <v>45302</v>
      </c>
      <c r="C1282" s="1" t="n">
        <v>45787</v>
      </c>
      <c r="D1282" t="inlineStr">
        <is>
          <t>JÄMTLANDS LÄN</t>
        </is>
      </c>
      <c r="E1282" t="inlineStr">
        <is>
          <t>HÄRJEDALEN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1366-2024</t>
        </is>
      </c>
      <c r="B1283" s="1" t="n">
        <v>45303</v>
      </c>
      <c r="C1283" s="1" t="n">
        <v>45787</v>
      </c>
      <c r="D1283" t="inlineStr">
        <is>
          <t>JÄMTLANDS LÄN</t>
        </is>
      </c>
      <c r="E1283" t="inlineStr">
        <is>
          <t>HÄRJEDALEN</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1398-2024</t>
        </is>
      </c>
      <c r="B1284" s="1" t="n">
        <v>45303</v>
      </c>
      <c r="C1284" s="1" t="n">
        <v>45787</v>
      </c>
      <c r="D1284" t="inlineStr">
        <is>
          <t>JÄMTLANDS LÄN</t>
        </is>
      </c>
      <c r="E1284" t="inlineStr">
        <is>
          <t>HÄRJEDALEN</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1361-2024</t>
        </is>
      </c>
      <c r="B1285" s="1" t="n">
        <v>45303</v>
      </c>
      <c r="C1285" s="1" t="n">
        <v>45787</v>
      </c>
      <c r="D1285" t="inlineStr">
        <is>
          <t>JÄMTLANDS LÄN</t>
        </is>
      </c>
      <c r="E1285" t="inlineStr">
        <is>
          <t>HÄRJEDALEN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1364-2024</t>
        </is>
      </c>
      <c r="B1286" s="1" t="n">
        <v>45303</v>
      </c>
      <c r="C1286" s="1" t="n">
        <v>45787</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1587-2024</t>
        </is>
      </c>
      <c r="B1287" s="1" t="n">
        <v>45306</v>
      </c>
      <c r="C1287" s="1" t="n">
        <v>45787</v>
      </c>
      <c r="D1287" t="inlineStr">
        <is>
          <t>JÄMTLANDS LÄN</t>
        </is>
      </c>
      <c r="E1287" t="inlineStr">
        <is>
          <t>HÄRJEDALEN</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1952-2024</t>
        </is>
      </c>
      <c r="B1288" s="1" t="n">
        <v>45308</v>
      </c>
      <c r="C1288" s="1" t="n">
        <v>45787</v>
      </c>
      <c r="D1288" t="inlineStr">
        <is>
          <t>JÄMTLANDS LÄN</t>
        </is>
      </c>
      <c r="E1288" t="inlineStr">
        <is>
          <t>HÄRJEDALEN</t>
        </is>
      </c>
      <c r="F1288" t="inlineStr">
        <is>
          <t>Kyrkan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2185-2024</t>
        </is>
      </c>
      <c r="B1289" s="1" t="n">
        <v>45309</v>
      </c>
      <c r="C1289" s="1" t="n">
        <v>45787</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4533-2024</t>
        </is>
      </c>
      <c r="B1290" s="1" t="n">
        <v>45327</v>
      </c>
      <c r="C1290" s="1" t="n">
        <v>45787</v>
      </c>
      <c r="D1290" t="inlineStr">
        <is>
          <t>JÄMTLANDS LÄN</t>
        </is>
      </c>
      <c r="E1290" t="inlineStr">
        <is>
          <t>HÄRJEDALEN</t>
        </is>
      </c>
      <c r="F1290" t="inlineStr">
        <is>
          <t>Övriga statliga verk och myndigheter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5630-2024</t>
        </is>
      </c>
      <c r="B1291" s="1" t="n">
        <v>45334</v>
      </c>
      <c r="C1291" s="1" t="n">
        <v>45787</v>
      </c>
      <c r="D1291" t="inlineStr">
        <is>
          <t>JÄMTLANDS LÄN</t>
        </is>
      </c>
      <c r="E1291" t="inlineStr">
        <is>
          <t>HÄRJEDALEN</t>
        </is>
      </c>
      <c r="F1291" t="inlineStr">
        <is>
          <t>Övriga statliga verk och myndigheter</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5912-2024</t>
        </is>
      </c>
      <c r="B1292" s="1" t="n">
        <v>45335</v>
      </c>
      <c r="C1292" s="1" t="n">
        <v>45787</v>
      </c>
      <c r="D1292" t="inlineStr">
        <is>
          <t>JÄMTLANDS LÄN</t>
        </is>
      </c>
      <c r="E1292" t="inlineStr">
        <is>
          <t>HÄRJEDALEN</t>
        </is>
      </c>
      <c r="G1292" t="n">
        <v>39.3</v>
      </c>
      <c r="H1292" t="n">
        <v>0</v>
      </c>
      <c r="I1292" t="n">
        <v>0</v>
      </c>
      <c r="J1292" t="n">
        <v>0</v>
      </c>
      <c r="K1292" t="n">
        <v>0</v>
      </c>
      <c r="L1292" t="n">
        <v>0</v>
      </c>
      <c r="M1292" t="n">
        <v>0</v>
      </c>
      <c r="N1292" t="n">
        <v>0</v>
      </c>
      <c r="O1292" t="n">
        <v>0</v>
      </c>
      <c r="P1292" t="n">
        <v>0</v>
      </c>
      <c r="Q1292" t="n">
        <v>0</v>
      </c>
      <c r="R1292" s="2" t="inlineStr"/>
    </row>
    <row r="1293" ht="15" customHeight="1">
      <c r="A1293" t="inlineStr">
        <is>
          <t>A 5913-2024</t>
        </is>
      </c>
      <c r="B1293" s="1" t="n">
        <v>45335</v>
      </c>
      <c r="C1293" s="1" t="n">
        <v>45787</v>
      </c>
      <c r="D1293" t="inlineStr">
        <is>
          <t>JÄMTLANDS LÄN</t>
        </is>
      </c>
      <c r="E1293" t="inlineStr">
        <is>
          <t>HÄRJEDALEN</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6218-2024</t>
        </is>
      </c>
      <c r="B1294" s="1" t="n">
        <v>45337</v>
      </c>
      <c r="C1294" s="1" t="n">
        <v>45787</v>
      </c>
      <c r="D1294" t="inlineStr">
        <is>
          <t>JÄMTLANDS LÄN</t>
        </is>
      </c>
      <c r="E1294" t="inlineStr">
        <is>
          <t>HÄRJEDALEN</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6286-2024</t>
        </is>
      </c>
      <c r="B1295" s="1" t="n">
        <v>45337</v>
      </c>
      <c r="C1295" s="1" t="n">
        <v>45787</v>
      </c>
      <c r="D1295" t="inlineStr">
        <is>
          <t>JÄMTLANDS LÄN</t>
        </is>
      </c>
      <c r="E1295" t="inlineStr">
        <is>
          <t>HÄRJEDALEN</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6313-2024</t>
        </is>
      </c>
      <c r="B1296" s="1" t="n">
        <v>45338</v>
      </c>
      <c r="C1296" s="1" t="n">
        <v>45787</v>
      </c>
      <c r="D1296" t="inlineStr">
        <is>
          <t>JÄMTLANDS LÄN</t>
        </is>
      </c>
      <c r="E1296" t="inlineStr">
        <is>
          <t>HÄRJEDALEN</t>
        </is>
      </c>
      <c r="F1296" t="inlineStr">
        <is>
          <t>Bergvik skog väst AB</t>
        </is>
      </c>
      <c r="G1296" t="n">
        <v>60.7</v>
      </c>
      <c r="H1296" t="n">
        <v>0</v>
      </c>
      <c r="I1296" t="n">
        <v>0</v>
      </c>
      <c r="J1296" t="n">
        <v>0</v>
      </c>
      <c r="K1296" t="n">
        <v>0</v>
      </c>
      <c r="L1296" t="n">
        <v>0</v>
      </c>
      <c r="M1296" t="n">
        <v>0</v>
      </c>
      <c r="N1296" t="n">
        <v>0</v>
      </c>
      <c r="O1296" t="n">
        <v>0</v>
      </c>
      <c r="P1296" t="n">
        <v>0</v>
      </c>
      <c r="Q1296" t="n">
        <v>0</v>
      </c>
      <c r="R1296" s="2" t="inlineStr"/>
    </row>
    <row r="1297" ht="15" customHeight="1">
      <c r="A1297" t="inlineStr">
        <is>
          <t>A 6304-2024</t>
        </is>
      </c>
      <c r="B1297" s="1" t="n">
        <v>45338</v>
      </c>
      <c r="C1297" s="1" t="n">
        <v>45787</v>
      </c>
      <c r="D1297" t="inlineStr">
        <is>
          <t>JÄMTLANDS LÄN</t>
        </is>
      </c>
      <c r="E1297" t="inlineStr">
        <is>
          <t>HÄRJEDALEN</t>
        </is>
      </c>
      <c r="F1297" t="inlineStr">
        <is>
          <t>Bergvik skog väst AB</t>
        </is>
      </c>
      <c r="G1297" t="n">
        <v>23.5</v>
      </c>
      <c r="H1297" t="n">
        <v>0</v>
      </c>
      <c r="I1297" t="n">
        <v>0</v>
      </c>
      <c r="J1297" t="n">
        <v>0</v>
      </c>
      <c r="K1297" t="n">
        <v>0</v>
      </c>
      <c r="L1297" t="n">
        <v>0</v>
      </c>
      <c r="M1297" t="n">
        <v>0</v>
      </c>
      <c r="N1297" t="n">
        <v>0</v>
      </c>
      <c r="O1297" t="n">
        <v>0</v>
      </c>
      <c r="P1297" t="n">
        <v>0</v>
      </c>
      <c r="Q1297" t="n">
        <v>0</v>
      </c>
      <c r="R1297" s="2" t="inlineStr"/>
    </row>
    <row r="1298" ht="15" customHeight="1">
      <c r="A1298" t="inlineStr">
        <is>
          <t>A 6756-2024</t>
        </is>
      </c>
      <c r="B1298" s="1" t="n">
        <v>45342</v>
      </c>
      <c r="C1298" s="1" t="n">
        <v>45787</v>
      </c>
      <c r="D1298" t="inlineStr">
        <is>
          <t>JÄMTLANDS LÄN</t>
        </is>
      </c>
      <c r="E1298" t="inlineStr">
        <is>
          <t>HÄRJEDALEN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7205-2024</t>
        </is>
      </c>
      <c r="B1299" s="1" t="n">
        <v>45344</v>
      </c>
      <c r="C1299" s="1" t="n">
        <v>45787</v>
      </c>
      <c r="D1299" t="inlineStr">
        <is>
          <t>JÄMTLANDS LÄN</t>
        </is>
      </c>
      <c r="E1299" t="inlineStr">
        <is>
          <t>HÄRJEDALEN</t>
        </is>
      </c>
      <c r="F1299" t="inlineStr">
        <is>
          <t>Holmen skog AB</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7199-2024</t>
        </is>
      </c>
      <c r="B1300" s="1" t="n">
        <v>45344</v>
      </c>
      <c r="C1300" s="1" t="n">
        <v>45787</v>
      </c>
      <c r="D1300" t="inlineStr">
        <is>
          <t>JÄMTLANDS LÄN</t>
        </is>
      </c>
      <c r="E1300" t="inlineStr">
        <is>
          <t>HÄRJEDALEN</t>
        </is>
      </c>
      <c r="F1300" t="inlineStr">
        <is>
          <t>Holmen skog AB</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7235-2024</t>
        </is>
      </c>
      <c r="B1301" s="1" t="n">
        <v>45344</v>
      </c>
      <c r="C1301" s="1" t="n">
        <v>45787</v>
      </c>
      <c r="D1301" t="inlineStr">
        <is>
          <t>JÄMTLANDS LÄN</t>
        </is>
      </c>
      <c r="E1301" t="inlineStr">
        <is>
          <t>HÄRJEDALEN</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7239-2024</t>
        </is>
      </c>
      <c r="B1302" s="1" t="n">
        <v>45344</v>
      </c>
      <c r="C1302" s="1" t="n">
        <v>45787</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7243-2024</t>
        </is>
      </c>
      <c r="B1303" s="1" t="n">
        <v>45344</v>
      </c>
      <c r="C1303" s="1" t="n">
        <v>45787</v>
      </c>
      <c r="D1303" t="inlineStr">
        <is>
          <t>JÄMTLANDS LÄN</t>
        </is>
      </c>
      <c r="E1303" t="inlineStr">
        <is>
          <t>HÄRJEDALEN</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7200-2024</t>
        </is>
      </c>
      <c r="B1304" s="1" t="n">
        <v>45344</v>
      </c>
      <c r="C1304" s="1" t="n">
        <v>45787</v>
      </c>
      <c r="D1304" t="inlineStr">
        <is>
          <t>JÄMTLANDS LÄN</t>
        </is>
      </c>
      <c r="E1304" t="inlineStr">
        <is>
          <t>HÄRJEDALEN</t>
        </is>
      </c>
      <c r="F1304" t="inlineStr">
        <is>
          <t>Holmen skog AB</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7313-2024</t>
        </is>
      </c>
      <c r="B1305" s="1" t="n">
        <v>45345</v>
      </c>
      <c r="C1305" s="1" t="n">
        <v>45787</v>
      </c>
      <c r="D1305" t="inlineStr">
        <is>
          <t>JÄMTLANDS LÄN</t>
        </is>
      </c>
      <c r="E1305" t="inlineStr">
        <is>
          <t>HÄRJEDALEN</t>
        </is>
      </c>
      <c r="F1305" t="inlineStr">
        <is>
          <t>Holmen skog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7311-2024</t>
        </is>
      </c>
      <c r="B1306" s="1" t="n">
        <v>45345</v>
      </c>
      <c r="C1306" s="1" t="n">
        <v>45787</v>
      </c>
      <c r="D1306" t="inlineStr">
        <is>
          <t>JÄMTLANDS LÄN</t>
        </is>
      </c>
      <c r="E1306" t="inlineStr">
        <is>
          <t>HÄRJEDALEN</t>
        </is>
      </c>
      <c r="F1306" t="inlineStr">
        <is>
          <t>Holmen skog AB</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7392-2024</t>
        </is>
      </c>
      <c r="B1307" s="1" t="n">
        <v>45345</v>
      </c>
      <c r="C1307" s="1" t="n">
        <v>45787</v>
      </c>
      <c r="D1307" t="inlineStr">
        <is>
          <t>JÄMTLANDS LÄN</t>
        </is>
      </c>
      <c r="E1307" t="inlineStr">
        <is>
          <t>HÄRJEDALEN</t>
        </is>
      </c>
      <c r="F1307" t="inlineStr">
        <is>
          <t>Holmen skog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7396-2024</t>
        </is>
      </c>
      <c r="B1308" s="1" t="n">
        <v>45345</v>
      </c>
      <c r="C1308" s="1" t="n">
        <v>45787</v>
      </c>
      <c r="D1308" t="inlineStr">
        <is>
          <t>JÄMTLANDS LÄN</t>
        </is>
      </c>
      <c r="E1308" t="inlineStr">
        <is>
          <t>HÄRJEDALEN</t>
        </is>
      </c>
      <c r="F1308" t="inlineStr">
        <is>
          <t>Holmen skog AB</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7368-2024</t>
        </is>
      </c>
      <c r="B1309" s="1" t="n">
        <v>45345</v>
      </c>
      <c r="C1309" s="1" t="n">
        <v>45787</v>
      </c>
      <c r="D1309" t="inlineStr">
        <is>
          <t>JÄMTLANDS LÄN</t>
        </is>
      </c>
      <c r="E1309" t="inlineStr">
        <is>
          <t>HÄRJEDALEN</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7433-2024</t>
        </is>
      </c>
      <c r="B1310" s="1" t="n">
        <v>45345</v>
      </c>
      <c r="C1310" s="1" t="n">
        <v>45787</v>
      </c>
      <c r="D1310" t="inlineStr">
        <is>
          <t>JÄMTLANDS LÄN</t>
        </is>
      </c>
      <c r="E1310" t="inlineStr">
        <is>
          <t>HÄRJEDALEN</t>
        </is>
      </c>
      <c r="F1310" t="inlineStr">
        <is>
          <t>Holmen skog AB</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7424-2024</t>
        </is>
      </c>
      <c r="B1311" s="1" t="n">
        <v>45345</v>
      </c>
      <c r="C1311" s="1" t="n">
        <v>45787</v>
      </c>
      <c r="D1311" t="inlineStr">
        <is>
          <t>JÄMTLANDS LÄN</t>
        </is>
      </c>
      <c r="E1311" t="inlineStr">
        <is>
          <t>HÄRJEDALEN</t>
        </is>
      </c>
      <c r="F1311" t="inlineStr">
        <is>
          <t>Holmen skog AB</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7328-2024</t>
        </is>
      </c>
      <c r="B1312" s="1" t="n">
        <v>45345</v>
      </c>
      <c r="C1312" s="1" t="n">
        <v>45787</v>
      </c>
      <c r="D1312" t="inlineStr">
        <is>
          <t>JÄMTLANDS LÄN</t>
        </is>
      </c>
      <c r="E1312" t="inlineStr">
        <is>
          <t>HÄRJEDALEN</t>
        </is>
      </c>
      <c r="F1312" t="inlineStr">
        <is>
          <t>Sveaskog</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7320-2024</t>
        </is>
      </c>
      <c r="B1313" s="1" t="n">
        <v>45345</v>
      </c>
      <c r="C1313" s="1" t="n">
        <v>45787</v>
      </c>
      <c r="D1313" t="inlineStr">
        <is>
          <t>JÄMTLANDS LÄN</t>
        </is>
      </c>
      <c r="E1313" t="inlineStr">
        <is>
          <t>HÄRJEDALEN</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7402-2024</t>
        </is>
      </c>
      <c r="B1314" s="1" t="n">
        <v>45345</v>
      </c>
      <c r="C1314" s="1" t="n">
        <v>45787</v>
      </c>
      <c r="D1314" t="inlineStr">
        <is>
          <t>JÄMTLANDS LÄN</t>
        </is>
      </c>
      <c r="E1314" t="inlineStr">
        <is>
          <t>HÄRJEDALEN</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7370-2024</t>
        </is>
      </c>
      <c r="B1315" s="1" t="n">
        <v>45345</v>
      </c>
      <c r="C1315" s="1" t="n">
        <v>45787</v>
      </c>
      <c r="D1315" t="inlineStr">
        <is>
          <t>JÄMTLANDS LÄN</t>
        </is>
      </c>
      <c r="E1315" t="inlineStr">
        <is>
          <t>HÄRJEDALEN</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7362-2024</t>
        </is>
      </c>
      <c r="B1316" s="1" t="n">
        <v>45345</v>
      </c>
      <c r="C1316" s="1" t="n">
        <v>45787</v>
      </c>
      <c r="D1316" t="inlineStr">
        <is>
          <t>JÄMTLANDS LÄN</t>
        </is>
      </c>
      <c r="E1316" t="inlineStr">
        <is>
          <t>HÄRJEDALEN</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7358-2024</t>
        </is>
      </c>
      <c r="B1317" s="1" t="n">
        <v>45345</v>
      </c>
      <c r="C1317" s="1" t="n">
        <v>45787</v>
      </c>
      <c r="D1317" t="inlineStr">
        <is>
          <t>JÄMTLANDS LÄN</t>
        </is>
      </c>
      <c r="E1317" t="inlineStr">
        <is>
          <t>HÄRJEDALEN</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7318-2024</t>
        </is>
      </c>
      <c r="B1318" s="1" t="n">
        <v>45345</v>
      </c>
      <c r="C1318" s="1" t="n">
        <v>45787</v>
      </c>
      <c r="D1318" t="inlineStr">
        <is>
          <t>JÄMTLANDS LÄN</t>
        </is>
      </c>
      <c r="E1318" t="inlineStr">
        <is>
          <t>HÄRJEDALEN</t>
        </is>
      </c>
      <c r="F1318" t="inlineStr">
        <is>
          <t>Holmen skog AB</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7430-2024</t>
        </is>
      </c>
      <c r="B1319" s="1" t="n">
        <v>45345</v>
      </c>
      <c r="C1319" s="1" t="n">
        <v>45787</v>
      </c>
      <c r="D1319" t="inlineStr">
        <is>
          <t>JÄMTLANDS LÄN</t>
        </is>
      </c>
      <c r="E1319" t="inlineStr">
        <is>
          <t>HÄRJEDALEN</t>
        </is>
      </c>
      <c r="F1319" t="inlineStr">
        <is>
          <t>Holmen skog AB</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7371-2024</t>
        </is>
      </c>
      <c r="B1320" s="1" t="n">
        <v>45345</v>
      </c>
      <c r="C1320" s="1" t="n">
        <v>45787</v>
      </c>
      <c r="D1320" t="inlineStr">
        <is>
          <t>JÄMTLANDS LÄN</t>
        </is>
      </c>
      <c r="E1320" t="inlineStr">
        <is>
          <t>HÄRJEDALEN</t>
        </is>
      </c>
      <c r="F1320" t="inlineStr">
        <is>
          <t>Holmen skog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7405-2024</t>
        </is>
      </c>
      <c r="B1321" s="1" t="n">
        <v>45345</v>
      </c>
      <c r="C1321" s="1" t="n">
        <v>45787</v>
      </c>
      <c r="D1321" t="inlineStr">
        <is>
          <t>JÄMTLANDS LÄN</t>
        </is>
      </c>
      <c r="E1321" t="inlineStr">
        <is>
          <t>HÄRJEDALEN</t>
        </is>
      </c>
      <c r="F1321" t="inlineStr">
        <is>
          <t>Holmen skog AB</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7349-2024</t>
        </is>
      </c>
      <c r="B1322" s="1" t="n">
        <v>45345</v>
      </c>
      <c r="C1322" s="1" t="n">
        <v>45787</v>
      </c>
      <c r="D1322" t="inlineStr">
        <is>
          <t>JÄMTLANDS LÄN</t>
        </is>
      </c>
      <c r="E1322" t="inlineStr">
        <is>
          <t>HÄRJEDALEN</t>
        </is>
      </c>
      <c r="F1322" t="inlineStr">
        <is>
          <t>Holmen skog AB</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7341-2024</t>
        </is>
      </c>
      <c r="B1323" s="1" t="n">
        <v>45345</v>
      </c>
      <c r="C1323" s="1" t="n">
        <v>45787</v>
      </c>
      <c r="D1323" t="inlineStr">
        <is>
          <t>JÄMTLANDS LÄN</t>
        </is>
      </c>
      <c r="E1323" t="inlineStr">
        <is>
          <t>HÄRJEDALEN</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7647-2024</t>
        </is>
      </c>
      <c r="B1324" s="1" t="n">
        <v>45348</v>
      </c>
      <c r="C1324" s="1" t="n">
        <v>45787</v>
      </c>
      <c r="D1324" t="inlineStr">
        <is>
          <t>JÄMTLANDS LÄN</t>
        </is>
      </c>
      <c r="E1324" t="inlineStr">
        <is>
          <t>HÄRJEDALEN</t>
        </is>
      </c>
      <c r="F1324" t="inlineStr">
        <is>
          <t>Holmen skog AB</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7528-2024</t>
        </is>
      </c>
      <c r="B1325" s="1" t="n">
        <v>45348</v>
      </c>
      <c r="C1325" s="1" t="n">
        <v>45787</v>
      </c>
      <c r="D1325" t="inlineStr">
        <is>
          <t>JÄMTLANDS LÄN</t>
        </is>
      </c>
      <c r="E1325" t="inlineStr">
        <is>
          <t>HÄRJEDALEN</t>
        </is>
      </c>
      <c r="F1325" t="inlineStr">
        <is>
          <t>Holmen skog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7530-2024</t>
        </is>
      </c>
      <c r="B1326" s="1" t="n">
        <v>45348</v>
      </c>
      <c r="C1326" s="1" t="n">
        <v>45787</v>
      </c>
      <c r="D1326" t="inlineStr">
        <is>
          <t>JÄMTLANDS LÄN</t>
        </is>
      </c>
      <c r="E1326" t="inlineStr">
        <is>
          <t>HÄRJEDALEN</t>
        </is>
      </c>
      <c r="F1326" t="inlineStr">
        <is>
          <t>Holmen skog AB</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7639-2024</t>
        </is>
      </c>
      <c r="B1327" s="1" t="n">
        <v>45348</v>
      </c>
      <c r="C1327" s="1" t="n">
        <v>45787</v>
      </c>
      <c r="D1327" t="inlineStr">
        <is>
          <t>JÄMTLANDS LÄN</t>
        </is>
      </c>
      <c r="E1327" t="inlineStr">
        <is>
          <t>HÄRJEDALEN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7684-2024</t>
        </is>
      </c>
      <c r="B1328" s="1" t="n">
        <v>45348</v>
      </c>
      <c r="C1328" s="1" t="n">
        <v>45787</v>
      </c>
      <c r="D1328" t="inlineStr">
        <is>
          <t>JÄMTLANDS LÄN</t>
        </is>
      </c>
      <c r="E1328" t="inlineStr">
        <is>
          <t>HÄRJEDALEN</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7896-2024</t>
        </is>
      </c>
      <c r="B1329" s="1" t="n">
        <v>45350</v>
      </c>
      <c r="C1329" s="1" t="n">
        <v>45787</v>
      </c>
      <c r="D1329" t="inlineStr">
        <is>
          <t>JÄMTLANDS LÄN</t>
        </is>
      </c>
      <c r="E1329" t="inlineStr">
        <is>
          <t>HÄRJEDALEN</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7880-2024</t>
        </is>
      </c>
      <c r="B1330" s="1" t="n">
        <v>45350</v>
      </c>
      <c r="C1330" s="1" t="n">
        <v>45787</v>
      </c>
      <c r="D1330" t="inlineStr">
        <is>
          <t>JÄMTLANDS LÄN</t>
        </is>
      </c>
      <c r="E1330" t="inlineStr">
        <is>
          <t>HÄRJEDALEN</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7995-2024</t>
        </is>
      </c>
      <c r="B1331" s="1" t="n">
        <v>45350</v>
      </c>
      <c r="C1331" s="1" t="n">
        <v>45787</v>
      </c>
      <c r="D1331" t="inlineStr">
        <is>
          <t>JÄMTLANDS LÄN</t>
        </is>
      </c>
      <c r="E1331" t="inlineStr">
        <is>
          <t>HÄRJEDALEN</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8178-2024</t>
        </is>
      </c>
      <c r="B1332" s="1" t="n">
        <v>45350</v>
      </c>
      <c r="C1332" s="1" t="n">
        <v>45787</v>
      </c>
      <c r="D1332" t="inlineStr">
        <is>
          <t>JÄMTLANDS LÄN</t>
        </is>
      </c>
      <c r="E1332" t="inlineStr">
        <is>
          <t>HÄRJEDALEN</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8158-2024</t>
        </is>
      </c>
      <c r="B1333" s="1" t="n">
        <v>45351</v>
      </c>
      <c r="C1333" s="1" t="n">
        <v>45787</v>
      </c>
      <c r="D1333" t="inlineStr">
        <is>
          <t>JÄMTLANDS LÄN</t>
        </is>
      </c>
      <c r="E1333" t="inlineStr">
        <is>
          <t>HÄRJEDALEN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8215-2024</t>
        </is>
      </c>
      <c r="B1334" s="1" t="n">
        <v>45351</v>
      </c>
      <c r="C1334" s="1" t="n">
        <v>45787</v>
      </c>
      <c r="D1334" t="inlineStr">
        <is>
          <t>JÄMTLANDS LÄN</t>
        </is>
      </c>
      <c r="E1334" t="inlineStr">
        <is>
          <t>HÄRJEDALEN</t>
        </is>
      </c>
      <c r="G1334" t="n">
        <v>49.2</v>
      </c>
      <c r="H1334" t="n">
        <v>0</v>
      </c>
      <c r="I1334" t="n">
        <v>0</v>
      </c>
      <c r="J1334" t="n">
        <v>0</v>
      </c>
      <c r="K1334" t="n">
        <v>0</v>
      </c>
      <c r="L1334" t="n">
        <v>0</v>
      </c>
      <c r="M1334" t="n">
        <v>0</v>
      </c>
      <c r="N1334" t="n">
        <v>0</v>
      </c>
      <c r="O1334" t="n">
        <v>0</v>
      </c>
      <c r="P1334" t="n">
        <v>0</v>
      </c>
      <c r="Q1334" t="n">
        <v>0</v>
      </c>
      <c r="R1334" s="2" t="inlineStr"/>
    </row>
    <row r="1335" ht="15" customHeight="1">
      <c r="A1335" t="inlineStr">
        <is>
          <t>A 8136-2024</t>
        </is>
      </c>
      <c r="B1335" s="1" t="n">
        <v>45351</v>
      </c>
      <c r="C1335" s="1" t="n">
        <v>45787</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8376-2024</t>
        </is>
      </c>
      <c r="B1336" s="1" t="n">
        <v>45352</v>
      </c>
      <c r="C1336" s="1" t="n">
        <v>45787</v>
      </c>
      <c r="D1336" t="inlineStr">
        <is>
          <t>JÄMTLANDS LÄN</t>
        </is>
      </c>
      <c r="E1336" t="inlineStr">
        <is>
          <t>HÄRJEDALEN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9013-2024</t>
        </is>
      </c>
      <c r="B1337" s="1" t="n">
        <v>45357</v>
      </c>
      <c r="C1337" s="1" t="n">
        <v>45787</v>
      </c>
      <c r="D1337" t="inlineStr">
        <is>
          <t>JÄMTLANDS LÄN</t>
        </is>
      </c>
      <c r="E1337" t="inlineStr">
        <is>
          <t>HÄRJEDALEN</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9778-2024</t>
        </is>
      </c>
      <c r="B1338" s="1" t="n">
        <v>45362</v>
      </c>
      <c r="C1338" s="1" t="n">
        <v>45787</v>
      </c>
      <c r="D1338" t="inlineStr">
        <is>
          <t>JÄMTLANDS LÄN</t>
        </is>
      </c>
      <c r="E1338" t="inlineStr">
        <is>
          <t>HÄRJEDALEN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9782-2024</t>
        </is>
      </c>
      <c r="B1339" s="1" t="n">
        <v>45362</v>
      </c>
      <c r="C1339" s="1" t="n">
        <v>45787</v>
      </c>
      <c r="D1339" t="inlineStr">
        <is>
          <t>JÄMTLANDS LÄN</t>
        </is>
      </c>
      <c r="E1339" t="inlineStr">
        <is>
          <t>HÄRJEDALEN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9767-2024</t>
        </is>
      </c>
      <c r="B1340" s="1" t="n">
        <v>45362</v>
      </c>
      <c r="C1340" s="1" t="n">
        <v>45787</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9780-2024</t>
        </is>
      </c>
      <c r="B1341" s="1" t="n">
        <v>45362</v>
      </c>
      <c r="C1341" s="1" t="n">
        <v>45787</v>
      </c>
      <c r="D1341" t="inlineStr">
        <is>
          <t>JÄMTLANDS LÄN</t>
        </is>
      </c>
      <c r="E1341" t="inlineStr">
        <is>
          <t>HÄRJEDALEN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9784-2024</t>
        </is>
      </c>
      <c r="B1342" s="1" t="n">
        <v>45362</v>
      </c>
      <c r="C1342" s="1" t="n">
        <v>45787</v>
      </c>
      <c r="D1342" t="inlineStr">
        <is>
          <t>JÄMTLANDS LÄN</t>
        </is>
      </c>
      <c r="E1342" t="inlineStr">
        <is>
          <t>HÄRJEDALEN</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9788-2024</t>
        </is>
      </c>
      <c r="B1343" s="1" t="n">
        <v>45362</v>
      </c>
      <c r="C1343" s="1" t="n">
        <v>45787</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9775-2024</t>
        </is>
      </c>
      <c r="B1344" s="1" t="n">
        <v>45362</v>
      </c>
      <c r="C1344" s="1" t="n">
        <v>45787</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10566-2024</t>
        </is>
      </c>
      <c r="B1345" s="1" t="n">
        <v>45366</v>
      </c>
      <c r="C1345" s="1" t="n">
        <v>45787</v>
      </c>
      <c r="D1345" t="inlineStr">
        <is>
          <t>JÄMTLANDS LÄN</t>
        </is>
      </c>
      <c r="E1345" t="inlineStr">
        <is>
          <t>HÄRJEDALEN</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10564-2024</t>
        </is>
      </c>
      <c r="B1346" s="1" t="n">
        <v>45366</v>
      </c>
      <c r="C1346" s="1" t="n">
        <v>45787</v>
      </c>
      <c r="D1346" t="inlineStr">
        <is>
          <t>JÄMTLANDS LÄN</t>
        </is>
      </c>
      <c r="E1346" t="inlineStr">
        <is>
          <t>HÄRJEDALEN</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10563-2024</t>
        </is>
      </c>
      <c r="B1347" s="1" t="n">
        <v>45366</v>
      </c>
      <c r="C1347" s="1" t="n">
        <v>45787</v>
      </c>
      <c r="D1347" t="inlineStr">
        <is>
          <t>JÄMTLANDS LÄN</t>
        </is>
      </c>
      <c r="E1347" t="inlineStr">
        <is>
          <t>HÄRJEDALEN</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11257-2024</t>
        </is>
      </c>
      <c r="B1348" s="1" t="n">
        <v>45371</v>
      </c>
      <c r="C1348" s="1" t="n">
        <v>45787</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11255-2024</t>
        </is>
      </c>
      <c r="B1349" s="1" t="n">
        <v>45371</v>
      </c>
      <c r="C1349" s="1" t="n">
        <v>45787</v>
      </c>
      <c r="D1349" t="inlineStr">
        <is>
          <t>JÄMTLANDS LÄN</t>
        </is>
      </c>
      <c r="E1349" t="inlineStr">
        <is>
          <t>HÄRJEDALEN</t>
        </is>
      </c>
      <c r="F1349" t="inlineStr">
        <is>
          <t>Holmen skog AB</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11494-2024</t>
        </is>
      </c>
      <c r="B1350" s="1" t="n">
        <v>45372</v>
      </c>
      <c r="C1350" s="1" t="n">
        <v>45787</v>
      </c>
      <c r="D1350" t="inlineStr">
        <is>
          <t>JÄMTLANDS LÄN</t>
        </is>
      </c>
      <c r="E1350" t="inlineStr">
        <is>
          <t>HÄRJEDALEN</t>
        </is>
      </c>
      <c r="G1350" t="n">
        <v>28.8</v>
      </c>
      <c r="H1350" t="n">
        <v>0</v>
      </c>
      <c r="I1350" t="n">
        <v>0</v>
      </c>
      <c r="J1350" t="n">
        <v>0</v>
      </c>
      <c r="K1350" t="n">
        <v>0</v>
      </c>
      <c r="L1350" t="n">
        <v>0</v>
      </c>
      <c r="M1350" t="n">
        <v>0</v>
      </c>
      <c r="N1350" t="n">
        <v>0</v>
      </c>
      <c r="O1350" t="n">
        <v>0</v>
      </c>
      <c r="P1350" t="n">
        <v>0</v>
      </c>
      <c r="Q1350" t="n">
        <v>0</v>
      </c>
      <c r="R1350" s="2" t="inlineStr"/>
    </row>
    <row r="1351" ht="15" customHeight="1">
      <c r="A1351" t="inlineStr">
        <is>
          <t>A 11624-2024</t>
        </is>
      </c>
      <c r="B1351" s="1" t="n">
        <v>45373</v>
      </c>
      <c r="C1351" s="1" t="n">
        <v>45787</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11612-2024</t>
        </is>
      </c>
      <c r="B1352" s="1" t="n">
        <v>45373</v>
      </c>
      <c r="C1352" s="1" t="n">
        <v>45787</v>
      </c>
      <c r="D1352" t="inlineStr">
        <is>
          <t>JÄMTLANDS LÄN</t>
        </is>
      </c>
      <c r="E1352" t="inlineStr">
        <is>
          <t>HÄRJEDALEN</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12043-2024</t>
        </is>
      </c>
      <c r="B1353" s="1" t="n">
        <v>45377</v>
      </c>
      <c r="C1353" s="1" t="n">
        <v>45787</v>
      </c>
      <c r="D1353" t="inlineStr">
        <is>
          <t>JÄMTLANDS LÄN</t>
        </is>
      </c>
      <c r="E1353" t="inlineStr">
        <is>
          <t>HÄRJEDALEN</t>
        </is>
      </c>
      <c r="F1353" t="inlineStr">
        <is>
          <t>Bergvik skog väst AB</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12929-2024</t>
        </is>
      </c>
      <c r="B1354" s="1" t="n">
        <v>45385</v>
      </c>
      <c r="C1354" s="1" t="n">
        <v>45787</v>
      </c>
      <c r="D1354" t="inlineStr">
        <is>
          <t>JÄMTLANDS LÄN</t>
        </is>
      </c>
      <c r="E1354" t="inlineStr">
        <is>
          <t>HÄRJEDALEN</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13542-2024</t>
        </is>
      </c>
      <c r="B1355" s="1" t="n">
        <v>45387</v>
      </c>
      <c r="C1355" s="1" t="n">
        <v>45787</v>
      </c>
      <c r="D1355" t="inlineStr">
        <is>
          <t>JÄMTLANDS LÄN</t>
        </is>
      </c>
      <c r="E1355" t="inlineStr">
        <is>
          <t>HÄRJEDALEN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13543-2024</t>
        </is>
      </c>
      <c r="B1356" s="1" t="n">
        <v>45387</v>
      </c>
      <c r="C1356" s="1" t="n">
        <v>45787</v>
      </c>
      <c r="D1356" t="inlineStr">
        <is>
          <t>JÄMTLANDS LÄN</t>
        </is>
      </c>
      <c r="E1356" t="inlineStr">
        <is>
          <t>HÄRJEDALEN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13544-2024</t>
        </is>
      </c>
      <c r="B1357" s="1" t="n">
        <v>45387</v>
      </c>
      <c r="C1357" s="1" t="n">
        <v>45787</v>
      </c>
      <c r="D1357" t="inlineStr">
        <is>
          <t>JÄMTLANDS LÄN</t>
        </is>
      </c>
      <c r="E1357" t="inlineStr">
        <is>
          <t>HÄRJEDALEN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13545-2024</t>
        </is>
      </c>
      <c r="B1358" s="1" t="n">
        <v>45387</v>
      </c>
      <c r="C1358" s="1" t="n">
        <v>45787</v>
      </c>
      <c r="D1358" t="inlineStr">
        <is>
          <t>JÄMTLANDS LÄN</t>
        </is>
      </c>
      <c r="E1358" t="inlineStr">
        <is>
          <t>HÄRJEDALEN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13541-2024</t>
        </is>
      </c>
      <c r="B1359" s="1" t="n">
        <v>45387</v>
      </c>
      <c r="C1359" s="1" t="n">
        <v>45787</v>
      </c>
      <c r="D1359" t="inlineStr">
        <is>
          <t>JÄMTLANDS LÄN</t>
        </is>
      </c>
      <c r="E1359" t="inlineStr">
        <is>
          <t>HÄRJEDALEN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13723-2024</t>
        </is>
      </c>
      <c r="B1360" s="1" t="n">
        <v>45390</v>
      </c>
      <c r="C1360" s="1" t="n">
        <v>45787</v>
      </c>
      <c r="D1360" t="inlineStr">
        <is>
          <t>JÄMTLANDS LÄN</t>
        </is>
      </c>
      <c r="E1360" t="inlineStr">
        <is>
          <t>HÄRJEDALEN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14301-2024</t>
        </is>
      </c>
      <c r="B1361" s="1" t="n">
        <v>45393</v>
      </c>
      <c r="C1361" s="1" t="n">
        <v>45787</v>
      </c>
      <c r="D1361" t="inlineStr">
        <is>
          <t>JÄMTLANDS LÄN</t>
        </is>
      </c>
      <c r="E1361" t="inlineStr">
        <is>
          <t>HÄRJEDALEN</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14306-2024</t>
        </is>
      </c>
      <c r="B1362" s="1" t="n">
        <v>45393</v>
      </c>
      <c r="C1362" s="1" t="n">
        <v>45787</v>
      </c>
      <c r="D1362" t="inlineStr">
        <is>
          <t>JÄMTLANDS LÄN</t>
        </is>
      </c>
      <c r="E1362" t="inlineStr">
        <is>
          <t>HÄRJEDALEN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14752-2024</t>
        </is>
      </c>
      <c r="B1363" s="1" t="n">
        <v>45397</v>
      </c>
      <c r="C1363" s="1" t="n">
        <v>45787</v>
      </c>
      <c r="D1363" t="inlineStr">
        <is>
          <t>JÄMTLANDS LÄN</t>
        </is>
      </c>
      <c r="E1363" t="inlineStr">
        <is>
          <t>HÄRJEDALEN</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15525-2024</t>
        </is>
      </c>
      <c r="B1364" s="1" t="n">
        <v>45401</v>
      </c>
      <c r="C1364" s="1" t="n">
        <v>45787</v>
      </c>
      <c r="D1364" t="inlineStr">
        <is>
          <t>JÄMTLANDS LÄN</t>
        </is>
      </c>
      <c r="E1364" t="inlineStr">
        <is>
          <t>HÄRJEDALEN</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16185-2024</t>
        </is>
      </c>
      <c r="B1365" s="1" t="n">
        <v>45406</v>
      </c>
      <c r="C1365" s="1" t="n">
        <v>45787</v>
      </c>
      <c r="D1365" t="inlineStr">
        <is>
          <t>JÄMTLANDS LÄN</t>
        </is>
      </c>
      <c r="E1365" t="inlineStr">
        <is>
          <t>HÄRJEDALEN</t>
        </is>
      </c>
      <c r="F1365" t="inlineStr">
        <is>
          <t>Holmen skog AB</t>
        </is>
      </c>
      <c r="G1365" t="n">
        <v>21.6</v>
      </c>
      <c r="H1365" t="n">
        <v>0</v>
      </c>
      <c r="I1365" t="n">
        <v>0</v>
      </c>
      <c r="J1365" t="n">
        <v>0</v>
      </c>
      <c r="K1365" t="n">
        <v>0</v>
      </c>
      <c r="L1365" t="n">
        <v>0</v>
      </c>
      <c r="M1365" t="n">
        <v>0</v>
      </c>
      <c r="N1365" t="n">
        <v>0</v>
      </c>
      <c r="O1365" t="n">
        <v>0</v>
      </c>
      <c r="P1365" t="n">
        <v>0</v>
      </c>
      <c r="Q1365" t="n">
        <v>0</v>
      </c>
      <c r="R1365" s="2" t="inlineStr"/>
    </row>
    <row r="1366" ht="15" customHeight="1">
      <c r="A1366" t="inlineStr">
        <is>
          <t>A 16151-2024</t>
        </is>
      </c>
      <c r="B1366" s="1" t="n">
        <v>45406</v>
      </c>
      <c r="C1366" s="1" t="n">
        <v>45787</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16175-2024</t>
        </is>
      </c>
      <c r="B1367" s="1" t="n">
        <v>45406</v>
      </c>
      <c r="C1367" s="1" t="n">
        <v>45787</v>
      </c>
      <c r="D1367" t="inlineStr">
        <is>
          <t>JÄMTLANDS LÄN</t>
        </is>
      </c>
      <c r="E1367" t="inlineStr">
        <is>
          <t>HÄRJEDALEN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16176-2024</t>
        </is>
      </c>
      <c r="B1368" s="1" t="n">
        <v>45406</v>
      </c>
      <c r="C1368" s="1" t="n">
        <v>45787</v>
      </c>
      <c r="D1368" t="inlineStr">
        <is>
          <t>JÄMTLANDS LÄN</t>
        </is>
      </c>
      <c r="E1368" t="inlineStr">
        <is>
          <t>HÄRJEDALEN</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16283-2024</t>
        </is>
      </c>
      <c r="B1369" s="1" t="n">
        <v>45407</v>
      </c>
      <c r="C1369" s="1" t="n">
        <v>45787</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16511-2024</t>
        </is>
      </c>
      <c r="B1370" s="1" t="n">
        <v>45408</v>
      </c>
      <c r="C1370" s="1" t="n">
        <v>45787</v>
      </c>
      <c r="D1370" t="inlineStr">
        <is>
          <t>JÄMTLANDS LÄN</t>
        </is>
      </c>
      <c r="E1370" t="inlineStr">
        <is>
          <t>HÄRJEDALEN</t>
        </is>
      </c>
      <c r="G1370" t="n">
        <v>54.2</v>
      </c>
      <c r="H1370" t="n">
        <v>0</v>
      </c>
      <c r="I1370" t="n">
        <v>0</v>
      </c>
      <c r="J1370" t="n">
        <v>0</v>
      </c>
      <c r="K1370" t="n">
        <v>0</v>
      </c>
      <c r="L1370" t="n">
        <v>0</v>
      </c>
      <c r="M1370" t="n">
        <v>0</v>
      </c>
      <c r="N1370" t="n">
        <v>0</v>
      </c>
      <c r="O1370" t="n">
        <v>0</v>
      </c>
      <c r="P1370" t="n">
        <v>0</v>
      </c>
      <c r="Q1370" t="n">
        <v>0</v>
      </c>
      <c r="R1370" s="2" t="inlineStr"/>
    </row>
    <row r="1371" ht="15" customHeight="1">
      <c r="A1371" t="inlineStr">
        <is>
          <t>A 16535-2024</t>
        </is>
      </c>
      <c r="B1371" s="1" t="n">
        <v>45408</v>
      </c>
      <c r="C1371" s="1" t="n">
        <v>45787</v>
      </c>
      <c r="D1371" t="inlineStr">
        <is>
          <t>JÄMTLANDS LÄN</t>
        </is>
      </c>
      <c r="E1371" t="inlineStr">
        <is>
          <t>HÄRJEDALEN</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16801-2024</t>
        </is>
      </c>
      <c r="B1372" s="1" t="n">
        <v>45411</v>
      </c>
      <c r="C1372" s="1" t="n">
        <v>45787</v>
      </c>
      <c r="D1372" t="inlineStr">
        <is>
          <t>JÄMTLANDS LÄN</t>
        </is>
      </c>
      <c r="E1372" t="inlineStr">
        <is>
          <t>HÄRJEDALEN</t>
        </is>
      </c>
      <c r="F1372" t="inlineStr">
        <is>
          <t>Bergvik skog väst AB</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17416-2024</t>
        </is>
      </c>
      <c r="B1373" s="1" t="n">
        <v>45415</v>
      </c>
      <c r="C1373" s="1" t="n">
        <v>45787</v>
      </c>
      <c r="D1373" t="inlineStr">
        <is>
          <t>JÄMTLANDS LÄN</t>
        </is>
      </c>
      <c r="E1373" t="inlineStr">
        <is>
          <t>HÄRJEDALEN</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17773-2024</t>
        </is>
      </c>
      <c r="B1374" s="1" t="n">
        <v>45418</v>
      </c>
      <c r="C1374" s="1" t="n">
        <v>45787</v>
      </c>
      <c r="D1374" t="inlineStr">
        <is>
          <t>JÄMTLANDS LÄN</t>
        </is>
      </c>
      <c r="E1374" t="inlineStr">
        <is>
          <t>HÄRJEDALEN</t>
        </is>
      </c>
      <c r="F1374" t="inlineStr">
        <is>
          <t>Holmen skog AB</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17865-2024</t>
        </is>
      </c>
      <c r="B1375" s="1" t="n">
        <v>45419</v>
      </c>
      <c r="C1375" s="1" t="n">
        <v>45787</v>
      </c>
      <c r="D1375" t="inlineStr">
        <is>
          <t>JÄMTLANDS LÄN</t>
        </is>
      </c>
      <c r="E1375" t="inlineStr">
        <is>
          <t>HÄRJEDALEN</t>
        </is>
      </c>
      <c r="F1375" t="inlineStr">
        <is>
          <t>Holmen skog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18036-2024</t>
        </is>
      </c>
      <c r="B1376" s="1" t="n">
        <v>45420</v>
      </c>
      <c r="C1376" s="1" t="n">
        <v>45787</v>
      </c>
      <c r="D1376" t="inlineStr">
        <is>
          <t>JÄMTLANDS LÄN</t>
        </is>
      </c>
      <c r="E1376" t="inlineStr">
        <is>
          <t>HÄRJEDALEN</t>
        </is>
      </c>
      <c r="F1376" t="inlineStr">
        <is>
          <t>Holmen skog AB</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18068-2024</t>
        </is>
      </c>
      <c r="B1377" s="1" t="n">
        <v>45420</v>
      </c>
      <c r="C1377" s="1" t="n">
        <v>45787</v>
      </c>
      <c r="D1377" t="inlineStr">
        <is>
          <t>JÄMTLANDS LÄN</t>
        </is>
      </c>
      <c r="E1377" t="inlineStr">
        <is>
          <t>HÄRJEDALEN</t>
        </is>
      </c>
      <c r="F1377" t="inlineStr">
        <is>
          <t>Bergvik skog väst AB</t>
        </is>
      </c>
      <c r="G1377" t="n">
        <v>14.5</v>
      </c>
      <c r="H1377" t="n">
        <v>0</v>
      </c>
      <c r="I1377" t="n">
        <v>0</v>
      </c>
      <c r="J1377" t="n">
        <v>0</v>
      </c>
      <c r="K1377" t="n">
        <v>0</v>
      </c>
      <c r="L1377" t="n">
        <v>0</v>
      </c>
      <c r="M1377" t="n">
        <v>0</v>
      </c>
      <c r="N1377" t="n">
        <v>0</v>
      </c>
      <c r="O1377" t="n">
        <v>0</v>
      </c>
      <c r="P1377" t="n">
        <v>0</v>
      </c>
      <c r="Q1377" t="n">
        <v>0</v>
      </c>
      <c r="R1377" s="2" t="inlineStr"/>
    </row>
    <row r="1378" ht="15" customHeight="1">
      <c r="A1378" t="inlineStr">
        <is>
          <t>A 18076-2024</t>
        </is>
      </c>
      <c r="B1378" s="1" t="n">
        <v>45420</v>
      </c>
      <c r="C1378" s="1" t="n">
        <v>45787</v>
      </c>
      <c r="D1378" t="inlineStr">
        <is>
          <t>JÄMTLANDS LÄN</t>
        </is>
      </c>
      <c r="E1378" t="inlineStr">
        <is>
          <t>HÄRJEDALEN</t>
        </is>
      </c>
      <c r="F1378" t="inlineStr">
        <is>
          <t>Holmen skog AB</t>
        </is>
      </c>
      <c r="G1378" t="n">
        <v>18.2</v>
      </c>
      <c r="H1378" t="n">
        <v>0</v>
      </c>
      <c r="I1378" t="n">
        <v>0</v>
      </c>
      <c r="J1378" t="n">
        <v>0</v>
      </c>
      <c r="K1378" t="n">
        <v>0</v>
      </c>
      <c r="L1378" t="n">
        <v>0</v>
      </c>
      <c r="M1378" t="n">
        <v>0</v>
      </c>
      <c r="N1378" t="n">
        <v>0</v>
      </c>
      <c r="O1378" t="n">
        <v>0</v>
      </c>
      <c r="P1378" t="n">
        <v>0</v>
      </c>
      <c r="Q1378" t="n">
        <v>0</v>
      </c>
      <c r="R1378" s="2" t="inlineStr"/>
    </row>
    <row r="1379" ht="15" customHeight="1">
      <c r="A1379" t="inlineStr">
        <is>
          <t>A 18080-2024</t>
        </is>
      </c>
      <c r="B1379" s="1" t="n">
        <v>45420</v>
      </c>
      <c r="C1379" s="1" t="n">
        <v>45787</v>
      </c>
      <c r="D1379" t="inlineStr">
        <is>
          <t>JÄMTLANDS LÄN</t>
        </is>
      </c>
      <c r="E1379" t="inlineStr">
        <is>
          <t>HÄRJEDALEN</t>
        </is>
      </c>
      <c r="F1379" t="inlineStr">
        <is>
          <t>Holmen skog AB</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18107-2024</t>
        </is>
      </c>
      <c r="B1380" s="1" t="n">
        <v>45420</v>
      </c>
      <c r="C1380" s="1" t="n">
        <v>45787</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18554-2024</t>
        </is>
      </c>
      <c r="B1381" s="1" t="n">
        <v>45425</v>
      </c>
      <c r="C1381" s="1" t="n">
        <v>45787</v>
      </c>
      <c r="D1381" t="inlineStr">
        <is>
          <t>JÄMTLANDS LÄN</t>
        </is>
      </c>
      <c r="E1381" t="inlineStr">
        <is>
          <t>HÄRJEDALEN</t>
        </is>
      </c>
      <c r="G1381" t="n">
        <v>18.7</v>
      </c>
      <c r="H1381" t="n">
        <v>0</v>
      </c>
      <c r="I1381" t="n">
        <v>0</v>
      </c>
      <c r="J1381" t="n">
        <v>0</v>
      </c>
      <c r="K1381" t="n">
        <v>0</v>
      </c>
      <c r="L1381" t="n">
        <v>0</v>
      </c>
      <c r="M1381" t="n">
        <v>0</v>
      </c>
      <c r="N1381" t="n">
        <v>0</v>
      </c>
      <c r="O1381" t="n">
        <v>0</v>
      </c>
      <c r="P1381" t="n">
        <v>0</v>
      </c>
      <c r="Q1381" t="n">
        <v>0</v>
      </c>
      <c r="R1381" s="2" t="inlineStr"/>
    </row>
    <row r="1382" ht="15" customHeight="1">
      <c r="A1382" t="inlineStr">
        <is>
          <t>A 18550-2024</t>
        </is>
      </c>
      <c r="B1382" s="1" t="n">
        <v>45425</v>
      </c>
      <c r="C1382" s="1" t="n">
        <v>45787</v>
      </c>
      <c r="D1382" t="inlineStr">
        <is>
          <t>JÄMTLANDS LÄN</t>
        </is>
      </c>
      <c r="E1382" t="inlineStr">
        <is>
          <t>HÄRJEDALEN</t>
        </is>
      </c>
      <c r="G1382" t="n">
        <v>15.7</v>
      </c>
      <c r="H1382" t="n">
        <v>0</v>
      </c>
      <c r="I1382" t="n">
        <v>0</v>
      </c>
      <c r="J1382" t="n">
        <v>0</v>
      </c>
      <c r="K1382" t="n">
        <v>0</v>
      </c>
      <c r="L1382" t="n">
        <v>0</v>
      </c>
      <c r="M1382" t="n">
        <v>0</v>
      </c>
      <c r="N1382" t="n">
        <v>0</v>
      </c>
      <c r="O1382" t="n">
        <v>0</v>
      </c>
      <c r="P1382" t="n">
        <v>0</v>
      </c>
      <c r="Q1382" t="n">
        <v>0</v>
      </c>
      <c r="R1382" s="2" t="inlineStr"/>
    </row>
    <row r="1383" ht="15" customHeight="1">
      <c r="A1383" t="inlineStr">
        <is>
          <t>A 18644-2024</t>
        </is>
      </c>
      <c r="B1383" s="1" t="n">
        <v>45426</v>
      </c>
      <c r="C1383" s="1" t="n">
        <v>45787</v>
      </c>
      <c r="D1383" t="inlineStr">
        <is>
          <t>JÄMTLANDS LÄN</t>
        </is>
      </c>
      <c r="E1383" t="inlineStr">
        <is>
          <t>HÄRJEDALEN</t>
        </is>
      </c>
      <c r="F1383" t="inlineStr">
        <is>
          <t>SCA</t>
        </is>
      </c>
      <c r="G1383" t="n">
        <v>11.4</v>
      </c>
      <c r="H1383" t="n">
        <v>0</v>
      </c>
      <c r="I1383" t="n">
        <v>0</v>
      </c>
      <c r="J1383" t="n">
        <v>0</v>
      </c>
      <c r="K1383" t="n">
        <v>0</v>
      </c>
      <c r="L1383" t="n">
        <v>0</v>
      </c>
      <c r="M1383" t="n">
        <v>0</v>
      </c>
      <c r="N1383" t="n">
        <v>0</v>
      </c>
      <c r="O1383" t="n">
        <v>0</v>
      </c>
      <c r="P1383" t="n">
        <v>0</v>
      </c>
      <c r="Q1383" t="n">
        <v>0</v>
      </c>
      <c r="R1383" s="2" t="inlineStr"/>
    </row>
    <row r="1384" ht="15" customHeight="1">
      <c r="A1384" t="inlineStr">
        <is>
          <t>A 18903-2024</t>
        </is>
      </c>
      <c r="B1384" s="1" t="n">
        <v>45427</v>
      </c>
      <c r="C1384" s="1" t="n">
        <v>45787</v>
      </c>
      <c r="D1384" t="inlineStr">
        <is>
          <t>JÄMTLANDS LÄN</t>
        </is>
      </c>
      <c r="E1384" t="inlineStr">
        <is>
          <t>HÄRJEDALEN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19001-2024</t>
        </is>
      </c>
      <c r="B1385" s="1" t="n">
        <v>45427</v>
      </c>
      <c r="C1385" s="1" t="n">
        <v>45787</v>
      </c>
      <c r="D1385" t="inlineStr">
        <is>
          <t>JÄMTLANDS LÄN</t>
        </is>
      </c>
      <c r="E1385" t="inlineStr">
        <is>
          <t>HÄRJEDALEN</t>
        </is>
      </c>
      <c r="G1385" t="n">
        <v>22.6</v>
      </c>
      <c r="H1385" t="n">
        <v>0</v>
      </c>
      <c r="I1385" t="n">
        <v>0</v>
      </c>
      <c r="J1385" t="n">
        <v>0</v>
      </c>
      <c r="K1385" t="n">
        <v>0</v>
      </c>
      <c r="L1385" t="n">
        <v>0</v>
      </c>
      <c r="M1385" t="n">
        <v>0</v>
      </c>
      <c r="N1385" t="n">
        <v>0</v>
      </c>
      <c r="O1385" t="n">
        <v>0</v>
      </c>
      <c r="P1385" t="n">
        <v>0</v>
      </c>
      <c r="Q1385" t="n">
        <v>0</v>
      </c>
      <c r="R1385" s="2" t="inlineStr"/>
    </row>
    <row r="1386" ht="15" customHeight="1">
      <c r="A1386" t="inlineStr">
        <is>
          <t>A 19453-2024</t>
        </is>
      </c>
      <c r="B1386" s="1" t="n">
        <v>45429</v>
      </c>
      <c r="C1386" s="1" t="n">
        <v>45787</v>
      </c>
      <c r="D1386" t="inlineStr">
        <is>
          <t>JÄMTLANDS LÄN</t>
        </is>
      </c>
      <c r="E1386" t="inlineStr">
        <is>
          <t>HÄRJEDALEN</t>
        </is>
      </c>
      <c r="G1386" t="n">
        <v>31.6</v>
      </c>
      <c r="H1386" t="n">
        <v>0</v>
      </c>
      <c r="I1386" t="n">
        <v>0</v>
      </c>
      <c r="J1386" t="n">
        <v>0</v>
      </c>
      <c r="K1386" t="n">
        <v>0</v>
      </c>
      <c r="L1386" t="n">
        <v>0</v>
      </c>
      <c r="M1386" t="n">
        <v>0</v>
      </c>
      <c r="N1386" t="n">
        <v>0</v>
      </c>
      <c r="O1386" t="n">
        <v>0</v>
      </c>
      <c r="P1386" t="n">
        <v>0</v>
      </c>
      <c r="Q1386" t="n">
        <v>0</v>
      </c>
      <c r="R1386" s="2" t="inlineStr"/>
    </row>
    <row r="1387" ht="15" customHeight="1">
      <c r="A1387" t="inlineStr">
        <is>
          <t>A 19488-2024</t>
        </is>
      </c>
      <c r="B1387" s="1" t="n">
        <v>45429</v>
      </c>
      <c r="C1387" s="1" t="n">
        <v>45787</v>
      </c>
      <c r="D1387" t="inlineStr">
        <is>
          <t>JÄMTLANDS LÄN</t>
        </is>
      </c>
      <c r="E1387" t="inlineStr">
        <is>
          <t>HÄRJEDALEN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19492-2024</t>
        </is>
      </c>
      <c r="B1388" s="1" t="n">
        <v>45429</v>
      </c>
      <c r="C1388" s="1" t="n">
        <v>45787</v>
      </c>
      <c r="D1388" t="inlineStr">
        <is>
          <t>JÄMTLANDS LÄN</t>
        </is>
      </c>
      <c r="E1388" t="inlineStr">
        <is>
          <t>HÄRJEDALEN</t>
        </is>
      </c>
      <c r="G1388" t="n">
        <v>58.7</v>
      </c>
      <c r="H1388" t="n">
        <v>0</v>
      </c>
      <c r="I1388" t="n">
        <v>0</v>
      </c>
      <c r="J1388" t="n">
        <v>0</v>
      </c>
      <c r="K1388" t="n">
        <v>0</v>
      </c>
      <c r="L1388" t="n">
        <v>0</v>
      </c>
      <c r="M1388" t="n">
        <v>0</v>
      </c>
      <c r="N1388" t="n">
        <v>0</v>
      </c>
      <c r="O1388" t="n">
        <v>0</v>
      </c>
      <c r="P1388" t="n">
        <v>0</v>
      </c>
      <c r="Q1388" t="n">
        <v>0</v>
      </c>
      <c r="R1388" s="2" t="inlineStr"/>
    </row>
    <row r="1389" ht="15" customHeight="1">
      <c r="A1389" t="inlineStr">
        <is>
          <t>A 19402-2024</t>
        </is>
      </c>
      <c r="B1389" s="1" t="n">
        <v>45429</v>
      </c>
      <c r="C1389" s="1" t="n">
        <v>45787</v>
      </c>
      <c r="D1389" t="inlineStr">
        <is>
          <t>JÄMTLANDS LÄN</t>
        </is>
      </c>
      <c r="E1389" t="inlineStr">
        <is>
          <t>HÄRJEDALEN</t>
        </is>
      </c>
      <c r="G1389" t="n">
        <v>9.800000000000001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19426-2024</t>
        </is>
      </c>
      <c r="B1390" s="1" t="n">
        <v>45429</v>
      </c>
      <c r="C1390" s="1" t="n">
        <v>45787</v>
      </c>
      <c r="D1390" t="inlineStr">
        <is>
          <t>JÄMTLANDS LÄN</t>
        </is>
      </c>
      <c r="E1390" t="inlineStr">
        <is>
          <t>HÄRJEDALEN</t>
        </is>
      </c>
      <c r="G1390" t="n">
        <v>30.6</v>
      </c>
      <c r="H1390" t="n">
        <v>0</v>
      </c>
      <c r="I1390" t="n">
        <v>0</v>
      </c>
      <c r="J1390" t="n">
        <v>0</v>
      </c>
      <c r="K1390" t="n">
        <v>0</v>
      </c>
      <c r="L1390" t="n">
        <v>0</v>
      </c>
      <c r="M1390" t="n">
        <v>0</v>
      </c>
      <c r="N1390" t="n">
        <v>0</v>
      </c>
      <c r="O1390" t="n">
        <v>0</v>
      </c>
      <c r="P1390" t="n">
        <v>0</v>
      </c>
      <c r="Q1390" t="n">
        <v>0</v>
      </c>
      <c r="R1390" s="2" t="inlineStr"/>
    </row>
    <row r="1391" ht="15" customHeight="1">
      <c r="A1391" t="inlineStr">
        <is>
          <t>A 19661-2024</t>
        </is>
      </c>
      <c r="B1391" s="1" t="n">
        <v>45432</v>
      </c>
      <c r="C1391" s="1" t="n">
        <v>45787</v>
      </c>
      <c r="D1391" t="inlineStr">
        <is>
          <t>JÄMTLANDS LÄN</t>
        </is>
      </c>
      <c r="E1391" t="inlineStr">
        <is>
          <t>HÄRJEDALEN</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19677-2024</t>
        </is>
      </c>
      <c r="B1392" s="1" t="n">
        <v>45432</v>
      </c>
      <c r="C1392" s="1" t="n">
        <v>45787</v>
      </c>
      <c r="D1392" t="inlineStr">
        <is>
          <t>JÄMTLANDS LÄN</t>
        </is>
      </c>
      <c r="E1392" t="inlineStr">
        <is>
          <t>HÄRJEDALEN</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20005-2024</t>
        </is>
      </c>
      <c r="B1393" s="1" t="n">
        <v>45434</v>
      </c>
      <c r="C1393" s="1" t="n">
        <v>45787</v>
      </c>
      <c r="D1393" t="inlineStr">
        <is>
          <t>JÄMTLANDS LÄN</t>
        </is>
      </c>
      <c r="E1393" t="inlineStr">
        <is>
          <t>HÄRJEDALEN</t>
        </is>
      </c>
      <c r="F1393" t="inlineStr">
        <is>
          <t>SCA</t>
        </is>
      </c>
      <c r="G1393" t="n">
        <v>20.7</v>
      </c>
      <c r="H1393" t="n">
        <v>0</v>
      </c>
      <c r="I1393" t="n">
        <v>0</v>
      </c>
      <c r="J1393" t="n">
        <v>0</v>
      </c>
      <c r="K1393" t="n">
        <v>0</v>
      </c>
      <c r="L1393" t="n">
        <v>0</v>
      </c>
      <c r="M1393" t="n">
        <v>0</v>
      </c>
      <c r="N1393" t="n">
        <v>0</v>
      </c>
      <c r="O1393" t="n">
        <v>0</v>
      </c>
      <c r="P1393" t="n">
        <v>0</v>
      </c>
      <c r="Q1393" t="n">
        <v>0</v>
      </c>
      <c r="R1393" s="2" t="inlineStr"/>
    </row>
    <row r="1394" ht="15" customHeight="1">
      <c r="A1394" t="inlineStr">
        <is>
          <t>A 20701-2024</t>
        </is>
      </c>
      <c r="B1394" s="1" t="n">
        <v>45436</v>
      </c>
      <c r="C1394" s="1" t="n">
        <v>45787</v>
      </c>
      <c r="D1394" t="inlineStr">
        <is>
          <t>JÄMTLANDS LÄN</t>
        </is>
      </c>
      <c r="E1394" t="inlineStr">
        <is>
          <t>HÄRJEDALEN</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20865-2024</t>
        </is>
      </c>
      <c r="B1395" s="1" t="n">
        <v>45439</v>
      </c>
      <c r="C1395" s="1" t="n">
        <v>45787</v>
      </c>
      <c r="D1395" t="inlineStr">
        <is>
          <t>JÄMTLANDS LÄN</t>
        </is>
      </c>
      <c r="E1395" t="inlineStr">
        <is>
          <t>HÄRJEDALEN</t>
        </is>
      </c>
      <c r="F1395" t="inlineStr">
        <is>
          <t>Holmen skog AB</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21011-2024</t>
        </is>
      </c>
      <c r="B1396" s="1" t="n">
        <v>45439</v>
      </c>
      <c r="C1396" s="1" t="n">
        <v>45787</v>
      </c>
      <c r="D1396" t="inlineStr">
        <is>
          <t>JÄMTLANDS LÄN</t>
        </is>
      </c>
      <c r="E1396" t="inlineStr">
        <is>
          <t>HÄRJEDALEN</t>
        </is>
      </c>
      <c r="G1396" t="n">
        <v>92.40000000000001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20853-2024</t>
        </is>
      </c>
      <c r="B1397" s="1" t="n">
        <v>45439</v>
      </c>
      <c r="C1397" s="1" t="n">
        <v>45787</v>
      </c>
      <c r="D1397" t="inlineStr">
        <is>
          <t>JÄMTLANDS LÄN</t>
        </is>
      </c>
      <c r="E1397" t="inlineStr">
        <is>
          <t>HÄRJEDALEN</t>
        </is>
      </c>
      <c r="F1397" t="inlineStr">
        <is>
          <t>Holmen skog AB</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21478-2024</t>
        </is>
      </c>
      <c r="B1398" s="1" t="n">
        <v>45441</v>
      </c>
      <c r="C1398" s="1" t="n">
        <v>45787</v>
      </c>
      <c r="D1398" t="inlineStr">
        <is>
          <t>JÄMTLANDS LÄN</t>
        </is>
      </c>
      <c r="E1398" t="inlineStr">
        <is>
          <t>HÄRJEDALEN</t>
        </is>
      </c>
      <c r="G1398" t="n">
        <v>44.9</v>
      </c>
      <c r="H1398" t="n">
        <v>0</v>
      </c>
      <c r="I1398" t="n">
        <v>0</v>
      </c>
      <c r="J1398" t="n">
        <v>0</v>
      </c>
      <c r="K1398" t="n">
        <v>0</v>
      </c>
      <c r="L1398" t="n">
        <v>0</v>
      </c>
      <c r="M1398" t="n">
        <v>0</v>
      </c>
      <c r="N1398" t="n">
        <v>0</v>
      </c>
      <c r="O1398" t="n">
        <v>0</v>
      </c>
      <c r="P1398" t="n">
        <v>0</v>
      </c>
      <c r="Q1398" t="n">
        <v>0</v>
      </c>
      <c r="R1398" s="2" t="inlineStr"/>
    </row>
    <row r="1399" ht="15" customHeight="1">
      <c r="A1399" t="inlineStr">
        <is>
          <t>A 21621-2024</t>
        </is>
      </c>
      <c r="B1399" s="1" t="n">
        <v>45442</v>
      </c>
      <c r="C1399" s="1" t="n">
        <v>45787</v>
      </c>
      <c r="D1399" t="inlineStr">
        <is>
          <t>JÄMTLANDS LÄN</t>
        </is>
      </c>
      <c r="E1399" t="inlineStr">
        <is>
          <t>HÄRJEDALEN</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21624-2024</t>
        </is>
      </c>
      <c r="B1400" s="1" t="n">
        <v>45442</v>
      </c>
      <c r="C1400" s="1" t="n">
        <v>45787</v>
      </c>
      <c r="D1400" t="inlineStr">
        <is>
          <t>JÄMTLANDS LÄN</t>
        </is>
      </c>
      <c r="E1400" t="inlineStr">
        <is>
          <t>HÄRJEDALEN</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21816-2024</t>
        </is>
      </c>
      <c r="B1401" s="1" t="n">
        <v>45442</v>
      </c>
      <c r="C1401" s="1" t="n">
        <v>45787</v>
      </c>
      <c r="D1401" t="inlineStr">
        <is>
          <t>JÄMTLANDS LÄN</t>
        </is>
      </c>
      <c r="E1401" t="inlineStr">
        <is>
          <t>HÄRJEDALEN</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22499-2024</t>
        </is>
      </c>
      <c r="B1402" s="1" t="n">
        <v>45447</v>
      </c>
      <c r="C1402" s="1" t="n">
        <v>45787</v>
      </c>
      <c r="D1402" t="inlineStr">
        <is>
          <t>JÄMTLANDS LÄN</t>
        </is>
      </c>
      <c r="E1402" t="inlineStr">
        <is>
          <t>HÄRJEDALEN</t>
        </is>
      </c>
      <c r="G1402" t="n">
        <v>14.1</v>
      </c>
      <c r="H1402" t="n">
        <v>0</v>
      </c>
      <c r="I1402" t="n">
        <v>0</v>
      </c>
      <c r="J1402" t="n">
        <v>0</v>
      </c>
      <c r="K1402" t="n">
        <v>0</v>
      </c>
      <c r="L1402" t="n">
        <v>0</v>
      </c>
      <c r="M1402" t="n">
        <v>0</v>
      </c>
      <c r="N1402" t="n">
        <v>0</v>
      </c>
      <c r="O1402" t="n">
        <v>0</v>
      </c>
      <c r="P1402" t="n">
        <v>0</v>
      </c>
      <c r="Q1402" t="n">
        <v>0</v>
      </c>
      <c r="R1402" s="2" t="inlineStr"/>
    </row>
    <row r="1403" ht="15" customHeight="1">
      <c r="A1403" t="inlineStr">
        <is>
          <t>A 22685-2024</t>
        </is>
      </c>
      <c r="B1403" s="1" t="n">
        <v>45448</v>
      </c>
      <c r="C1403" s="1" t="n">
        <v>45787</v>
      </c>
      <c r="D1403" t="inlineStr">
        <is>
          <t>JÄMTLANDS LÄN</t>
        </is>
      </c>
      <c r="E1403" t="inlineStr">
        <is>
          <t>HÄRJEDALEN</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22706-2024</t>
        </is>
      </c>
      <c r="B1404" s="1" t="n">
        <v>45448</v>
      </c>
      <c r="C1404" s="1" t="n">
        <v>45787</v>
      </c>
      <c r="D1404" t="inlineStr">
        <is>
          <t>JÄMTLANDS LÄN</t>
        </is>
      </c>
      <c r="E1404" t="inlineStr">
        <is>
          <t>HÄRJEDALEN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22838-2024</t>
        </is>
      </c>
      <c r="B1405" s="1" t="n">
        <v>45448</v>
      </c>
      <c r="C1405" s="1" t="n">
        <v>45787</v>
      </c>
      <c r="D1405" t="inlineStr">
        <is>
          <t>JÄMTLANDS LÄN</t>
        </is>
      </c>
      <c r="E1405" t="inlineStr">
        <is>
          <t>HÄRJEDALEN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23474-2024</t>
        </is>
      </c>
      <c r="B1406" s="1" t="n">
        <v>45453</v>
      </c>
      <c r="C1406" s="1" t="n">
        <v>45787</v>
      </c>
      <c r="D1406" t="inlineStr">
        <is>
          <t>JÄMTLANDS LÄN</t>
        </is>
      </c>
      <c r="E1406" t="inlineStr">
        <is>
          <t>HÄRJEDALEN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23467-2024</t>
        </is>
      </c>
      <c r="B1407" s="1" t="n">
        <v>45453</v>
      </c>
      <c r="C1407" s="1" t="n">
        <v>45787</v>
      </c>
      <c r="D1407" t="inlineStr">
        <is>
          <t>JÄMTLANDS LÄN</t>
        </is>
      </c>
      <c r="E1407" t="inlineStr">
        <is>
          <t>HÄRJEDALEN</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23965-2024</t>
        </is>
      </c>
      <c r="B1408" s="1" t="n">
        <v>45456</v>
      </c>
      <c r="C1408" s="1" t="n">
        <v>45787</v>
      </c>
      <c r="D1408" t="inlineStr">
        <is>
          <t>JÄMTLANDS LÄN</t>
        </is>
      </c>
      <c r="E1408" t="inlineStr">
        <is>
          <t>HÄRJEDALEN</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23964-2024</t>
        </is>
      </c>
      <c r="B1409" s="1" t="n">
        <v>45456</v>
      </c>
      <c r="C1409" s="1" t="n">
        <v>45787</v>
      </c>
      <c r="D1409" t="inlineStr">
        <is>
          <t>JÄMTLANDS LÄN</t>
        </is>
      </c>
      <c r="E1409" t="inlineStr">
        <is>
          <t>HÄRJEDALEN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24250-2024</t>
        </is>
      </c>
      <c r="B1410" s="1" t="n">
        <v>45457</v>
      </c>
      <c r="C1410" s="1" t="n">
        <v>45787</v>
      </c>
      <c r="D1410" t="inlineStr">
        <is>
          <t>JÄMTLANDS LÄN</t>
        </is>
      </c>
      <c r="E1410" t="inlineStr">
        <is>
          <t>HÄRJEDALEN</t>
        </is>
      </c>
      <c r="F1410" t="inlineStr">
        <is>
          <t>Sveaskog</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24423-2024</t>
        </is>
      </c>
      <c r="B1411" s="1" t="n">
        <v>45458</v>
      </c>
      <c r="C1411" s="1" t="n">
        <v>45787</v>
      </c>
      <c r="D1411" t="inlineStr">
        <is>
          <t>JÄMTLANDS LÄN</t>
        </is>
      </c>
      <c r="E1411" t="inlineStr">
        <is>
          <t>HÄRJEDALEN</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24453-2024</t>
        </is>
      </c>
      <c r="B1412" s="1" t="n">
        <v>45458</v>
      </c>
      <c r="C1412" s="1" t="n">
        <v>45787</v>
      </c>
      <c r="D1412" t="inlineStr">
        <is>
          <t>JÄMTLANDS LÄN</t>
        </is>
      </c>
      <c r="E1412" t="inlineStr">
        <is>
          <t>HÄRJEDALEN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24240-2024</t>
        </is>
      </c>
      <c r="B1413" s="1" t="n">
        <v>45457</v>
      </c>
      <c r="C1413" s="1" t="n">
        <v>45787</v>
      </c>
      <c r="D1413" t="inlineStr">
        <is>
          <t>JÄMTLANDS LÄN</t>
        </is>
      </c>
      <c r="E1413" t="inlineStr">
        <is>
          <t>HÄRJEDALEN</t>
        </is>
      </c>
      <c r="F1413" t="inlineStr">
        <is>
          <t>Bergvik skog väst AB</t>
        </is>
      </c>
      <c r="G1413" t="n">
        <v>27.3</v>
      </c>
      <c r="H1413" t="n">
        <v>0</v>
      </c>
      <c r="I1413" t="n">
        <v>0</v>
      </c>
      <c r="J1413" t="n">
        <v>0</v>
      </c>
      <c r="K1413" t="n">
        <v>0</v>
      </c>
      <c r="L1413" t="n">
        <v>0</v>
      </c>
      <c r="M1413" t="n">
        <v>0</v>
      </c>
      <c r="N1413" t="n">
        <v>0</v>
      </c>
      <c r="O1413" t="n">
        <v>0</v>
      </c>
      <c r="P1413" t="n">
        <v>0</v>
      </c>
      <c r="Q1413" t="n">
        <v>0</v>
      </c>
      <c r="R1413" s="2" t="inlineStr"/>
    </row>
    <row r="1414" ht="15" customHeight="1">
      <c r="A1414" t="inlineStr">
        <is>
          <t>A 24421-2024</t>
        </is>
      </c>
      <c r="B1414" s="1" t="n">
        <v>45458</v>
      </c>
      <c r="C1414" s="1" t="n">
        <v>45787</v>
      </c>
      <c r="D1414" t="inlineStr">
        <is>
          <t>JÄMTLANDS LÄN</t>
        </is>
      </c>
      <c r="E1414" t="inlineStr">
        <is>
          <t>HÄRJEDALEN</t>
        </is>
      </c>
      <c r="G1414" t="n">
        <v>11.1</v>
      </c>
      <c r="H1414" t="n">
        <v>0</v>
      </c>
      <c r="I1414" t="n">
        <v>0</v>
      </c>
      <c r="J1414" t="n">
        <v>0</v>
      </c>
      <c r="K1414" t="n">
        <v>0</v>
      </c>
      <c r="L1414" t="n">
        <v>0</v>
      </c>
      <c r="M1414" t="n">
        <v>0</v>
      </c>
      <c r="N1414" t="n">
        <v>0</v>
      </c>
      <c r="O1414" t="n">
        <v>0</v>
      </c>
      <c r="P1414" t="n">
        <v>0</v>
      </c>
      <c r="Q1414" t="n">
        <v>0</v>
      </c>
      <c r="R1414" s="2" t="inlineStr"/>
    </row>
    <row r="1415" ht="15" customHeight="1">
      <c r="A1415" t="inlineStr">
        <is>
          <t>A 24452-2024</t>
        </is>
      </c>
      <c r="B1415" s="1" t="n">
        <v>45458</v>
      </c>
      <c r="C1415" s="1" t="n">
        <v>45787</v>
      </c>
      <c r="D1415" t="inlineStr">
        <is>
          <t>JÄMTLANDS LÄN</t>
        </is>
      </c>
      <c r="E1415" t="inlineStr">
        <is>
          <t>HÄRJEDALEN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24275-2024</t>
        </is>
      </c>
      <c r="B1416" s="1" t="n">
        <v>45457</v>
      </c>
      <c r="C1416" s="1" t="n">
        <v>45787</v>
      </c>
      <c r="D1416" t="inlineStr">
        <is>
          <t>JÄMTLANDS LÄN</t>
        </is>
      </c>
      <c r="E1416" t="inlineStr">
        <is>
          <t>HÄRJEDALEN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24295-2024</t>
        </is>
      </c>
      <c r="B1417" s="1" t="n">
        <v>45457</v>
      </c>
      <c r="C1417" s="1" t="n">
        <v>45787</v>
      </c>
      <c r="D1417" t="inlineStr">
        <is>
          <t>JÄMTLANDS LÄN</t>
        </is>
      </c>
      <c r="E1417" t="inlineStr">
        <is>
          <t>HÄRJEDALEN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24335-2024</t>
        </is>
      </c>
      <c r="B1418" s="1" t="n">
        <v>45457</v>
      </c>
      <c r="C1418" s="1" t="n">
        <v>45787</v>
      </c>
      <c r="D1418" t="inlineStr">
        <is>
          <t>JÄMTLANDS LÄN</t>
        </is>
      </c>
      <c r="E1418" t="inlineStr">
        <is>
          <t>HÄRJEDALEN</t>
        </is>
      </c>
      <c r="F1418" t="inlineStr">
        <is>
          <t>Naturvårdsverket</t>
        </is>
      </c>
      <c r="G1418" t="n">
        <v>20.3</v>
      </c>
      <c r="H1418" t="n">
        <v>0</v>
      </c>
      <c r="I1418" t="n">
        <v>0</v>
      </c>
      <c r="J1418" t="n">
        <v>0</v>
      </c>
      <c r="K1418" t="n">
        <v>0</v>
      </c>
      <c r="L1418" t="n">
        <v>0</v>
      </c>
      <c r="M1418" t="n">
        <v>0</v>
      </c>
      <c r="N1418" t="n">
        <v>0</v>
      </c>
      <c r="O1418" t="n">
        <v>0</v>
      </c>
      <c r="P1418" t="n">
        <v>0</v>
      </c>
      <c r="Q1418" t="n">
        <v>0</v>
      </c>
      <c r="R1418" s="2" t="inlineStr"/>
    </row>
    <row r="1419" ht="15" customHeight="1">
      <c r="A1419" t="inlineStr">
        <is>
          <t>A 24425-2024</t>
        </is>
      </c>
      <c r="B1419" s="1" t="n">
        <v>45458</v>
      </c>
      <c r="C1419" s="1" t="n">
        <v>45787</v>
      </c>
      <c r="D1419" t="inlineStr">
        <is>
          <t>JÄMTLANDS LÄN</t>
        </is>
      </c>
      <c r="E1419" t="inlineStr">
        <is>
          <t>HÄRJEDALEN</t>
        </is>
      </c>
      <c r="G1419" t="n">
        <v>15.8</v>
      </c>
      <c r="H1419" t="n">
        <v>0</v>
      </c>
      <c r="I1419" t="n">
        <v>0</v>
      </c>
      <c r="J1419" t="n">
        <v>0</v>
      </c>
      <c r="K1419" t="n">
        <v>0</v>
      </c>
      <c r="L1419" t="n">
        <v>0</v>
      </c>
      <c r="M1419" t="n">
        <v>0</v>
      </c>
      <c r="N1419" t="n">
        <v>0</v>
      </c>
      <c r="O1419" t="n">
        <v>0</v>
      </c>
      <c r="P1419" t="n">
        <v>0</v>
      </c>
      <c r="Q1419" t="n">
        <v>0</v>
      </c>
      <c r="R1419" s="2" t="inlineStr"/>
    </row>
    <row r="1420" ht="15" customHeight="1">
      <c r="A1420" t="inlineStr">
        <is>
          <t>A 24494-2024</t>
        </is>
      </c>
      <c r="B1420" s="1" t="n">
        <v>45459</v>
      </c>
      <c r="C1420" s="1" t="n">
        <v>45787</v>
      </c>
      <c r="D1420" t="inlineStr">
        <is>
          <t>JÄMTLANDS LÄN</t>
        </is>
      </c>
      <c r="E1420" t="inlineStr">
        <is>
          <t>HÄRJEDALEN</t>
        </is>
      </c>
      <c r="G1420" t="n">
        <v>20.1</v>
      </c>
      <c r="H1420" t="n">
        <v>0</v>
      </c>
      <c r="I1420" t="n">
        <v>0</v>
      </c>
      <c r="J1420" t="n">
        <v>0</v>
      </c>
      <c r="K1420" t="n">
        <v>0</v>
      </c>
      <c r="L1420" t="n">
        <v>0</v>
      </c>
      <c r="M1420" t="n">
        <v>0</v>
      </c>
      <c r="N1420" t="n">
        <v>0</v>
      </c>
      <c r="O1420" t="n">
        <v>0</v>
      </c>
      <c r="P1420" t="n">
        <v>0</v>
      </c>
      <c r="Q1420" t="n">
        <v>0</v>
      </c>
      <c r="R1420" s="2" t="inlineStr"/>
    </row>
    <row r="1421" ht="15" customHeight="1">
      <c r="A1421" t="inlineStr">
        <is>
          <t>A 24711-2024</t>
        </is>
      </c>
      <c r="B1421" s="1" t="n">
        <v>45460</v>
      </c>
      <c r="C1421" s="1" t="n">
        <v>45787</v>
      </c>
      <c r="D1421" t="inlineStr">
        <is>
          <t>JÄMTLANDS LÄN</t>
        </is>
      </c>
      <c r="E1421" t="inlineStr">
        <is>
          <t>HÄRJEDALEN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24608-2024</t>
        </is>
      </c>
      <c r="B1422" s="1" t="n">
        <v>45460</v>
      </c>
      <c r="C1422" s="1" t="n">
        <v>45787</v>
      </c>
      <c r="D1422" t="inlineStr">
        <is>
          <t>JÄMTLANDS LÄN</t>
        </is>
      </c>
      <c r="E1422" t="inlineStr">
        <is>
          <t>HÄRJEDALEN</t>
        </is>
      </c>
      <c r="G1422" t="n">
        <v>15.7</v>
      </c>
      <c r="H1422" t="n">
        <v>0</v>
      </c>
      <c r="I1422" t="n">
        <v>0</v>
      </c>
      <c r="J1422" t="n">
        <v>0</v>
      </c>
      <c r="K1422" t="n">
        <v>0</v>
      </c>
      <c r="L1422" t="n">
        <v>0</v>
      </c>
      <c r="M1422" t="n">
        <v>0</v>
      </c>
      <c r="N1422" t="n">
        <v>0</v>
      </c>
      <c r="O1422" t="n">
        <v>0</v>
      </c>
      <c r="P1422" t="n">
        <v>0</v>
      </c>
      <c r="Q1422" t="n">
        <v>0</v>
      </c>
      <c r="R1422" s="2" t="inlineStr"/>
    </row>
    <row r="1423" ht="15" customHeight="1">
      <c r="A1423" t="inlineStr">
        <is>
          <t>A 24526-2024</t>
        </is>
      </c>
      <c r="B1423" s="1" t="n">
        <v>45460</v>
      </c>
      <c r="C1423" s="1" t="n">
        <v>45787</v>
      </c>
      <c r="D1423" t="inlineStr">
        <is>
          <t>JÄMTLANDS LÄN</t>
        </is>
      </c>
      <c r="E1423" t="inlineStr">
        <is>
          <t>HÄRJEDALEN</t>
        </is>
      </c>
      <c r="F1423" t="inlineStr">
        <is>
          <t>Kyrkan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24613-2024</t>
        </is>
      </c>
      <c r="B1424" s="1" t="n">
        <v>45460</v>
      </c>
      <c r="C1424" s="1" t="n">
        <v>45787</v>
      </c>
      <c r="D1424" t="inlineStr">
        <is>
          <t>JÄMTLANDS LÄN</t>
        </is>
      </c>
      <c r="E1424" t="inlineStr">
        <is>
          <t>HÄRJEDALEN</t>
        </is>
      </c>
      <c r="G1424" t="n">
        <v>10.3</v>
      </c>
      <c r="H1424" t="n">
        <v>0</v>
      </c>
      <c r="I1424" t="n">
        <v>0</v>
      </c>
      <c r="J1424" t="n">
        <v>0</v>
      </c>
      <c r="K1424" t="n">
        <v>0</v>
      </c>
      <c r="L1424" t="n">
        <v>0</v>
      </c>
      <c r="M1424" t="n">
        <v>0</v>
      </c>
      <c r="N1424" t="n">
        <v>0</v>
      </c>
      <c r="O1424" t="n">
        <v>0</v>
      </c>
      <c r="P1424" t="n">
        <v>0</v>
      </c>
      <c r="Q1424" t="n">
        <v>0</v>
      </c>
      <c r="R1424" s="2" t="inlineStr"/>
    </row>
    <row r="1425" ht="15" customHeight="1">
      <c r="A1425" t="inlineStr">
        <is>
          <t>A 25049-2024</t>
        </is>
      </c>
      <c r="B1425" s="1" t="n">
        <v>45462</v>
      </c>
      <c r="C1425" s="1" t="n">
        <v>45787</v>
      </c>
      <c r="D1425" t="inlineStr">
        <is>
          <t>JÄMTLANDS LÄN</t>
        </is>
      </c>
      <c r="E1425" t="inlineStr">
        <is>
          <t>HÄRJEDALEN</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25502-2024</t>
        </is>
      </c>
      <c r="B1426" s="1" t="n">
        <v>45463</v>
      </c>
      <c r="C1426" s="1" t="n">
        <v>45787</v>
      </c>
      <c r="D1426" t="inlineStr">
        <is>
          <t>JÄMTLANDS LÄN</t>
        </is>
      </c>
      <c r="E1426" t="inlineStr">
        <is>
          <t>HÄRJEDALEN</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25893-2024</t>
        </is>
      </c>
      <c r="B1427" s="1" t="n">
        <v>45467</v>
      </c>
      <c r="C1427" s="1" t="n">
        <v>45787</v>
      </c>
      <c r="D1427" t="inlineStr">
        <is>
          <t>JÄMTLANDS LÄN</t>
        </is>
      </c>
      <c r="E1427" t="inlineStr">
        <is>
          <t>HÄRJEDALEN</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26001-2024</t>
        </is>
      </c>
      <c r="B1428" s="1" t="n">
        <v>45468</v>
      </c>
      <c r="C1428" s="1" t="n">
        <v>45787</v>
      </c>
      <c r="D1428" t="inlineStr">
        <is>
          <t>JÄMTLANDS LÄN</t>
        </is>
      </c>
      <c r="E1428" t="inlineStr">
        <is>
          <t>HÄRJEDALEN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27068-2024</t>
        </is>
      </c>
      <c r="B1429" s="1" t="n">
        <v>45471</v>
      </c>
      <c r="C1429" s="1" t="n">
        <v>45787</v>
      </c>
      <c r="D1429" t="inlineStr">
        <is>
          <t>JÄMTLANDS LÄN</t>
        </is>
      </c>
      <c r="E1429" t="inlineStr">
        <is>
          <t>HÄRJEDALEN</t>
        </is>
      </c>
      <c r="F1429" t="inlineStr">
        <is>
          <t>Bergvik skog väst AB</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27075-2024</t>
        </is>
      </c>
      <c r="B1430" s="1" t="n">
        <v>45471</v>
      </c>
      <c r="C1430" s="1" t="n">
        <v>45787</v>
      </c>
      <c r="D1430" t="inlineStr">
        <is>
          <t>JÄMTLANDS LÄN</t>
        </is>
      </c>
      <c r="E1430" t="inlineStr">
        <is>
          <t>HÄRJEDALEN</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27245-2024</t>
        </is>
      </c>
      <c r="B1431" s="1" t="n">
        <v>45471</v>
      </c>
      <c r="C1431" s="1" t="n">
        <v>45787</v>
      </c>
      <c r="D1431" t="inlineStr">
        <is>
          <t>JÄMTLANDS LÄN</t>
        </is>
      </c>
      <c r="E1431" t="inlineStr">
        <is>
          <t>HÄRJEDALEN</t>
        </is>
      </c>
      <c r="F1431" t="inlineStr">
        <is>
          <t>Bergvik skog väst AB</t>
        </is>
      </c>
      <c r="G1431" t="n">
        <v>31.2</v>
      </c>
      <c r="H1431" t="n">
        <v>0</v>
      </c>
      <c r="I1431" t="n">
        <v>0</v>
      </c>
      <c r="J1431" t="n">
        <v>0</v>
      </c>
      <c r="K1431" t="n">
        <v>0</v>
      </c>
      <c r="L1431" t="n">
        <v>0</v>
      </c>
      <c r="M1431" t="n">
        <v>0</v>
      </c>
      <c r="N1431" t="n">
        <v>0</v>
      </c>
      <c r="O1431" t="n">
        <v>0</v>
      </c>
      <c r="P1431" t="n">
        <v>0</v>
      </c>
      <c r="Q1431" t="n">
        <v>0</v>
      </c>
      <c r="R1431" s="2" t="inlineStr"/>
    </row>
    <row r="1432" ht="15" customHeight="1">
      <c r="A1432" t="inlineStr">
        <is>
          <t>A 27065-2024</t>
        </is>
      </c>
      <c r="B1432" s="1" t="n">
        <v>45471</v>
      </c>
      <c r="C1432" s="1" t="n">
        <v>45787</v>
      </c>
      <c r="D1432" t="inlineStr">
        <is>
          <t>JÄMTLANDS LÄN</t>
        </is>
      </c>
      <c r="E1432" t="inlineStr">
        <is>
          <t>HÄRJEDALEN</t>
        </is>
      </c>
      <c r="F1432" t="inlineStr">
        <is>
          <t>Bergvik skog väst AB</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27066-2024</t>
        </is>
      </c>
      <c r="B1433" s="1" t="n">
        <v>45471</v>
      </c>
      <c r="C1433" s="1" t="n">
        <v>45787</v>
      </c>
      <c r="D1433" t="inlineStr">
        <is>
          <t>JÄMTLANDS LÄN</t>
        </is>
      </c>
      <c r="E1433" t="inlineStr">
        <is>
          <t>HÄRJEDALEN</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27235-2024</t>
        </is>
      </c>
      <c r="B1434" s="1" t="n">
        <v>45471</v>
      </c>
      <c r="C1434" s="1" t="n">
        <v>45787</v>
      </c>
      <c r="D1434" t="inlineStr">
        <is>
          <t>JÄMTLANDS LÄN</t>
        </is>
      </c>
      <c r="E1434" t="inlineStr">
        <is>
          <t>HÄRJEDALEN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27076-2024</t>
        </is>
      </c>
      <c r="B1435" s="1" t="n">
        <v>45471</v>
      </c>
      <c r="C1435" s="1" t="n">
        <v>45787</v>
      </c>
      <c r="D1435" t="inlineStr">
        <is>
          <t>JÄMTLANDS LÄN</t>
        </is>
      </c>
      <c r="E1435" t="inlineStr">
        <is>
          <t>HÄRJEDALEN</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27512-2024</t>
        </is>
      </c>
      <c r="B1436" s="1" t="n">
        <v>45474</v>
      </c>
      <c r="C1436" s="1" t="n">
        <v>45787</v>
      </c>
      <c r="D1436" t="inlineStr">
        <is>
          <t>JÄMTLANDS LÄN</t>
        </is>
      </c>
      <c r="E1436" t="inlineStr">
        <is>
          <t>HÄRJEDALEN</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28406-2024</t>
        </is>
      </c>
      <c r="B1437" s="1" t="n">
        <v>45477</v>
      </c>
      <c r="C1437" s="1" t="n">
        <v>45787</v>
      </c>
      <c r="D1437" t="inlineStr">
        <is>
          <t>JÄMTLANDS LÄN</t>
        </is>
      </c>
      <c r="E1437" t="inlineStr">
        <is>
          <t>HÄRJEDALEN</t>
        </is>
      </c>
      <c r="F1437" t="inlineStr">
        <is>
          <t>Holmen skog AB</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28444-2024</t>
        </is>
      </c>
      <c r="B1438" s="1" t="n">
        <v>45477</v>
      </c>
      <c r="C1438" s="1" t="n">
        <v>45787</v>
      </c>
      <c r="D1438" t="inlineStr">
        <is>
          <t>JÄMTLANDS LÄN</t>
        </is>
      </c>
      <c r="E1438" t="inlineStr">
        <is>
          <t>HÄRJEDALEN</t>
        </is>
      </c>
      <c r="F1438" t="inlineStr">
        <is>
          <t>Holmen skog AB</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28408-2024</t>
        </is>
      </c>
      <c r="B1439" s="1" t="n">
        <v>45477</v>
      </c>
      <c r="C1439" s="1" t="n">
        <v>45787</v>
      </c>
      <c r="D1439" t="inlineStr">
        <is>
          <t>JÄMTLANDS LÄN</t>
        </is>
      </c>
      <c r="E1439" t="inlineStr">
        <is>
          <t>HÄRJEDALEN</t>
        </is>
      </c>
      <c r="F1439" t="inlineStr">
        <is>
          <t>Holmen skog AB</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28400-2024</t>
        </is>
      </c>
      <c r="B1440" s="1" t="n">
        <v>45477</v>
      </c>
      <c r="C1440" s="1" t="n">
        <v>45787</v>
      </c>
      <c r="D1440" t="inlineStr">
        <is>
          <t>JÄMTLANDS LÄN</t>
        </is>
      </c>
      <c r="E1440" t="inlineStr">
        <is>
          <t>HÄRJEDALEN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28403-2024</t>
        </is>
      </c>
      <c r="B1441" s="1" t="n">
        <v>45477</v>
      </c>
      <c r="C1441" s="1" t="n">
        <v>45787</v>
      </c>
      <c r="D1441" t="inlineStr">
        <is>
          <t>JÄMTLANDS LÄN</t>
        </is>
      </c>
      <c r="E1441" t="inlineStr">
        <is>
          <t>HÄRJEDALEN</t>
        </is>
      </c>
      <c r="F1441" t="inlineStr">
        <is>
          <t>Holmen skog AB</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28426-2024</t>
        </is>
      </c>
      <c r="B1442" s="1" t="n">
        <v>45477</v>
      </c>
      <c r="C1442" s="1" t="n">
        <v>45787</v>
      </c>
      <c r="D1442" t="inlineStr">
        <is>
          <t>JÄMTLANDS LÄN</t>
        </is>
      </c>
      <c r="E1442" t="inlineStr">
        <is>
          <t>HÄRJEDALEN</t>
        </is>
      </c>
      <c r="F1442" t="inlineStr">
        <is>
          <t>Bergvik skog väst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28627-2024</t>
        </is>
      </c>
      <c r="B1443" s="1" t="n">
        <v>45478</v>
      </c>
      <c r="C1443" s="1" t="n">
        <v>45787</v>
      </c>
      <c r="D1443" t="inlineStr">
        <is>
          <t>JÄMTLANDS LÄN</t>
        </is>
      </c>
      <c r="E1443" t="inlineStr">
        <is>
          <t>HÄRJEDALEN</t>
        </is>
      </c>
      <c r="F1443" t="inlineStr">
        <is>
          <t>Bergvik skog väst AB</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28686-2024</t>
        </is>
      </c>
      <c r="B1444" s="1" t="n">
        <v>45478</v>
      </c>
      <c r="C1444" s="1" t="n">
        <v>45787</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28930-2024</t>
        </is>
      </c>
      <c r="B1445" s="1" t="n">
        <v>45481</v>
      </c>
      <c r="C1445" s="1" t="n">
        <v>45787</v>
      </c>
      <c r="D1445" t="inlineStr">
        <is>
          <t>JÄMTLANDS LÄN</t>
        </is>
      </c>
      <c r="E1445" t="inlineStr">
        <is>
          <t>HÄRJEDALEN</t>
        </is>
      </c>
      <c r="F1445" t="inlineStr">
        <is>
          <t>Holmen skog AB</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29330-2024</t>
        </is>
      </c>
      <c r="B1446" s="1" t="n">
        <v>45483</v>
      </c>
      <c r="C1446" s="1" t="n">
        <v>45787</v>
      </c>
      <c r="D1446" t="inlineStr">
        <is>
          <t>JÄMTLANDS LÄN</t>
        </is>
      </c>
      <c r="E1446" t="inlineStr">
        <is>
          <t>HÄRJEDALEN</t>
        </is>
      </c>
      <c r="G1446" t="n">
        <v>21.4</v>
      </c>
      <c r="H1446" t="n">
        <v>0</v>
      </c>
      <c r="I1446" t="n">
        <v>0</v>
      </c>
      <c r="J1446" t="n">
        <v>0</v>
      </c>
      <c r="K1446" t="n">
        <v>0</v>
      </c>
      <c r="L1446" t="n">
        <v>0</v>
      </c>
      <c r="M1446" t="n">
        <v>0</v>
      </c>
      <c r="N1446" t="n">
        <v>0</v>
      </c>
      <c r="O1446" t="n">
        <v>0</v>
      </c>
      <c r="P1446" t="n">
        <v>0</v>
      </c>
      <c r="Q1446" t="n">
        <v>0</v>
      </c>
      <c r="R1446" s="2" t="inlineStr"/>
    </row>
    <row r="1447" ht="15" customHeight="1">
      <c r="A1447" t="inlineStr">
        <is>
          <t>A 29334-2024</t>
        </is>
      </c>
      <c r="B1447" s="1" t="n">
        <v>45483</v>
      </c>
      <c r="C1447" s="1" t="n">
        <v>45787</v>
      </c>
      <c r="D1447" t="inlineStr">
        <is>
          <t>JÄMTLANDS LÄN</t>
        </is>
      </c>
      <c r="E1447" t="inlineStr">
        <is>
          <t>HÄRJEDALEN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29343-2024</t>
        </is>
      </c>
      <c r="B1448" s="1" t="n">
        <v>45483</v>
      </c>
      <c r="C1448" s="1" t="n">
        <v>45787</v>
      </c>
      <c r="D1448" t="inlineStr">
        <is>
          <t>JÄMTLANDS LÄN</t>
        </is>
      </c>
      <c r="E1448" t="inlineStr">
        <is>
          <t>HÄRJEDALEN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29304-2024</t>
        </is>
      </c>
      <c r="B1449" s="1" t="n">
        <v>45483</v>
      </c>
      <c r="C1449" s="1" t="n">
        <v>45787</v>
      </c>
      <c r="D1449" t="inlineStr">
        <is>
          <t>JÄMTLANDS LÄN</t>
        </is>
      </c>
      <c r="E1449" t="inlineStr">
        <is>
          <t>HÄRJEDALEN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29347-2024</t>
        </is>
      </c>
      <c r="B1450" s="1" t="n">
        <v>45483</v>
      </c>
      <c r="C1450" s="1" t="n">
        <v>45787</v>
      </c>
      <c r="D1450" t="inlineStr">
        <is>
          <t>JÄMTLANDS LÄN</t>
        </is>
      </c>
      <c r="E1450" t="inlineStr">
        <is>
          <t>HÄRJEDALEN</t>
        </is>
      </c>
      <c r="G1450" t="n">
        <v>35.8</v>
      </c>
      <c r="H1450" t="n">
        <v>0</v>
      </c>
      <c r="I1450" t="n">
        <v>0</v>
      </c>
      <c r="J1450" t="n">
        <v>0</v>
      </c>
      <c r="K1450" t="n">
        <v>0</v>
      </c>
      <c r="L1450" t="n">
        <v>0</v>
      </c>
      <c r="M1450" t="n">
        <v>0</v>
      </c>
      <c r="N1450" t="n">
        <v>0</v>
      </c>
      <c r="O1450" t="n">
        <v>0</v>
      </c>
      <c r="P1450" t="n">
        <v>0</v>
      </c>
      <c r="Q1450" t="n">
        <v>0</v>
      </c>
      <c r="R1450" s="2" t="inlineStr"/>
    </row>
    <row r="1451" ht="15" customHeight="1">
      <c r="A1451" t="inlineStr">
        <is>
          <t>A 29536-2024</t>
        </is>
      </c>
      <c r="B1451" s="1" t="n">
        <v>45484</v>
      </c>
      <c r="C1451" s="1" t="n">
        <v>45787</v>
      </c>
      <c r="D1451" t="inlineStr">
        <is>
          <t>JÄMTLANDS LÄN</t>
        </is>
      </c>
      <c r="E1451" t="inlineStr">
        <is>
          <t>HÄRJEDALEN</t>
        </is>
      </c>
      <c r="F1451" t="inlineStr">
        <is>
          <t>Holmen skog AB</t>
        </is>
      </c>
      <c r="G1451" t="n">
        <v>25.2</v>
      </c>
      <c r="H1451" t="n">
        <v>0</v>
      </c>
      <c r="I1451" t="n">
        <v>0</v>
      </c>
      <c r="J1451" t="n">
        <v>0</v>
      </c>
      <c r="K1451" t="n">
        <v>0</v>
      </c>
      <c r="L1451" t="n">
        <v>0</v>
      </c>
      <c r="M1451" t="n">
        <v>0</v>
      </c>
      <c r="N1451" t="n">
        <v>0</v>
      </c>
      <c r="O1451" t="n">
        <v>0</v>
      </c>
      <c r="P1451" t="n">
        <v>0</v>
      </c>
      <c r="Q1451" t="n">
        <v>0</v>
      </c>
      <c r="R1451" s="2" t="inlineStr"/>
    </row>
    <row r="1452" ht="15" customHeight="1">
      <c r="A1452" t="inlineStr">
        <is>
          <t>A 29624-2024</t>
        </is>
      </c>
      <c r="B1452" s="1" t="n">
        <v>45484</v>
      </c>
      <c r="C1452" s="1" t="n">
        <v>45787</v>
      </c>
      <c r="D1452" t="inlineStr">
        <is>
          <t>JÄMTLANDS LÄN</t>
        </is>
      </c>
      <c r="E1452" t="inlineStr">
        <is>
          <t>HÄRJEDALEN</t>
        </is>
      </c>
      <c r="F1452" t="inlineStr">
        <is>
          <t>Holmen skog AB</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29584-2024</t>
        </is>
      </c>
      <c r="B1453" s="1" t="n">
        <v>45484</v>
      </c>
      <c r="C1453" s="1" t="n">
        <v>45787</v>
      </c>
      <c r="D1453" t="inlineStr">
        <is>
          <t>JÄMTLANDS LÄN</t>
        </is>
      </c>
      <c r="E1453" t="inlineStr">
        <is>
          <t>HÄRJEDALEN</t>
        </is>
      </c>
      <c r="F1453" t="inlineStr">
        <is>
          <t>Holmen skog AB</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29580-2024</t>
        </is>
      </c>
      <c r="B1454" s="1" t="n">
        <v>45484</v>
      </c>
      <c r="C1454" s="1" t="n">
        <v>45787</v>
      </c>
      <c r="D1454" t="inlineStr">
        <is>
          <t>JÄMTLANDS LÄN</t>
        </is>
      </c>
      <c r="E1454" t="inlineStr">
        <is>
          <t>HÄRJEDALEN</t>
        </is>
      </c>
      <c r="F1454" t="inlineStr">
        <is>
          <t>Holmen skog AB</t>
        </is>
      </c>
      <c r="G1454" t="n">
        <v>38.1</v>
      </c>
      <c r="H1454" t="n">
        <v>0</v>
      </c>
      <c r="I1454" t="n">
        <v>0</v>
      </c>
      <c r="J1454" t="n">
        <v>0</v>
      </c>
      <c r="K1454" t="n">
        <v>0</v>
      </c>
      <c r="L1454" t="n">
        <v>0</v>
      </c>
      <c r="M1454" t="n">
        <v>0</v>
      </c>
      <c r="N1454" t="n">
        <v>0</v>
      </c>
      <c r="O1454" t="n">
        <v>0</v>
      </c>
      <c r="P1454" t="n">
        <v>0</v>
      </c>
      <c r="Q1454" t="n">
        <v>0</v>
      </c>
      <c r="R1454" s="2" t="inlineStr"/>
    </row>
    <row r="1455" ht="15" customHeight="1">
      <c r="A1455" t="inlineStr">
        <is>
          <t>A 29631-2024</t>
        </is>
      </c>
      <c r="B1455" s="1" t="n">
        <v>45484</v>
      </c>
      <c r="C1455" s="1" t="n">
        <v>45787</v>
      </c>
      <c r="D1455" t="inlineStr">
        <is>
          <t>JÄMTLANDS LÄN</t>
        </is>
      </c>
      <c r="E1455" t="inlineStr">
        <is>
          <t>HÄRJEDALEN</t>
        </is>
      </c>
      <c r="F1455" t="inlineStr">
        <is>
          <t>Holmen skog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29538-2024</t>
        </is>
      </c>
      <c r="B1456" s="1" t="n">
        <v>45484</v>
      </c>
      <c r="C1456" s="1" t="n">
        <v>45787</v>
      </c>
      <c r="D1456" t="inlineStr">
        <is>
          <t>JÄMTLANDS LÄN</t>
        </is>
      </c>
      <c r="E1456" t="inlineStr">
        <is>
          <t>HÄRJEDALEN</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29626-2024</t>
        </is>
      </c>
      <c r="B1457" s="1" t="n">
        <v>45484</v>
      </c>
      <c r="C1457" s="1" t="n">
        <v>45787</v>
      </c>
      <c r="D1457" t="inlineStr">
        <is>
          <t>JÄMTLANDS LÄN</t>
        </is>
      </c>
      <c r="E1457" t="inlineStr">
        <is>
          <t>HÄRJEDALEN</t>
        </is>
      </c>
      <c r="F1457" t="inlineStr">
        <is>
          <t>Holmen skog AB</t>
        </is>
      </c>
      <c r="G1457" t="n">
        <v>15.4</v>
      </c>
      <c r="H1457" t="n">
        <v>0</v>
      </c>
      <c r="I1457" t="n">
        <v>0</v>
      </c>
      <c r="J1457" t="n">
        <v>0</v>
      </c>
      <c r="K1457" t="n">
        <v>0</v>
      </c>
      <c r="L1457" t="n">
        <v>0</v>
      </c>
      <c r="M1457" t="n">
        <v>0</v>
      </c>
      <c r="N1457" t="n">
        <v>0</v>
      </c>
      <c r="O1457" t="n">
        <v>0</v>
      </c>
      <c r="P1457" t="n">
        <v>0</v>
      </c>
      <c r="Q1457" t="n">
        <v>0</v>
      </c>
      <c r="R1457" s="2" t="inlineStr"/>
    </row>
    <row r="1458" ht="15" customHeight="1">
      <c r="A1458" t="inlineStr">
        <is>
          <t>A 29602-2024</t>
        </is>
      </c>
      <c r="B1458" s="1" t="n">
        <v>45484</v>
      </c>
      <c r="C1458" s="1" t="n">
        <v>45787</v>
      </c>
      <c r="D1458" t="inlineStr">
        <is>
          <t>JÄMTLANDS LÄN</t>
        </is>
      </c>
      <c r="E1458" t="inlineStr">
        <is>
          <t>HÄRJEDALEN</t>
        </is>
      </c>
      <c r="F1458" t="inlineStr">
        <is>
          <t>Holmen skog AB</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29594-2024</t>
        </is>
      </c>
      <c r="B1459" s="1" t="n">
        <v>45484</v>
      </c>
      <c r="C1459" s="1" t="n">
        <v>45787</v>
      </c>
      <c r="D1459" t="inlineStr">
        <is>
          <t>JÄMTLANDS LÄN</t>
        </is>
      </c>
      <c r="E1459" t="inlineStr">
        <is>
          <t>HÄRJEDALEN</t>
        </is>
      </c>
      <c r="F1459" t="inlineStr">
        <is>
          <t>Holmen skog AB</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29803-2024</t>
        </is>
      </c>
      <c r="B1460" s="1" t="n">
        <v>45485</v>
      </c>
      <c r="C1460" s="1" t="n">
        <v>45787</v>
      </c>
      <c r="D1460" t="inlineStr">
        <is>
          <t>JÄMTLANDS LÄN</t>
        </is>
      </c>
      <c r="E1460" t="inlineStr">
        <is>
          <t>HÄRJEDALEN</t>
        </is>
      </c>
      <c r="G1460" t="n">
        <v>11.6</v>
      </c>
      <c r="H1460" t="n">
        <v>0</v>
      </c>
      <c r="I1460" t="n">
        <v>0</v>
      </c>
      <c r="J1460" t="n">
        <v>0</v>
      </c>
      <c r="K1460" t="n">
        <v>0</v>
      </c>
      <c r="L1460" t="n">
        <v>0</v>
      </c>
      <c r="M1460" t="n">
        <v>0</v>
      </c>
      <c r="N1460" t="n">
        <v>0</v>
      </c>
      <c r="O1460" t="n">
        <v>0</v>
      </c>
      <c r="P1460" t="n">
        <v>0</v>
      </c>
      <c r="Q1460" t="n">
        <v>0</v>
      </c>
      <c r="R1460" s="2" t="inlineStr"/>
    </row>
    <row r="1461" ht="15" customHeight="1">
      <c r="A1461" t="inlineStr">
        <is>
          <t>A 29791-2024</t>
        </is>
      </c>
      <c r="B1461" s="1" t="n">
        <v>45485</v>
      </c>
      <c r="C1461" s="1" t="n">
        <v>45787</v>
      </c>
      <c r="D1461" t="inlineStr">
        <is>
          <t>JÄMTLANDS LÄN</t>
        </is>
      </c>
      <c r="E1461" t="inlineStr">
        <is>
          <t>HÄRJEDALEN</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29706-2024</t>
        </is>
      </c>
      <c r="B1462" s="1" t="n">
        <v>45485</v>
      </c>
      <c r="C1462" s="1" t="n">
        <v>45787</v>
      </c>
      <c r="D1462" t="inlineStr">
        <is>
          <t>JÄMTLANDS LÄN</t>
        </is>
      </c>
      <c r="E1462" t="inlineStr">
        <is>
          <t>HÄRJEDALEN</t>
        </is>
      </c>
      <c r="F1462" t="inlineStr">
        <is>
          <t>Holmen skog AB</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29710-2024</t>
        </is>
      </c>
      <c r="B1463" s="1" t="n">
        <v>45485</v>
      </c>
      <c r="C1463" s="1" t="n">
        <v>45787</v>
      </c>
      <c r="D1463" t="inlineStr">
        <is>
          <t>JÄMTLANDS LÄN</t>
        </is>
      </c>
      <c r="E1463" t="inlineStr">
        <is>
          <t>HÄRJEDALEN</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29766-2024</t>
        </is>
      </c>
      <c r="B1464" s="1" t="n">
        <v>45485</v>
      </c>
      <c r="C1464" s="1" t="n">
        <v>45787</v>
      </c>
      <c r="D1464" t="inlineStr">
        <is>
          <t>JÄMTLANDS LÄN</t>
        </is>
      </c>
      <c r="E1464" t="inlineStr">
        <is>
          <t>HÄRJEDALEN</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29774-2024</t>
        </is>
      </c>
      <c r="B1465" s="1" t="n">
        <v>45485</v>
      </c>
      <c r="C1465" s="1" t="n">
        <v>45787</v>
      </c>
      <c r="D1465" t="inlineStr">
        <is>
          <t>JÄMTLANDS LÄN</t>
        </is>
      </c>
      <c r="E1465" t="inlineStr">
        <is>
          <t>HÄRJEDALEN</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29712-2024</t>
        </is>
      </c>
      <c r="B1466" s="1" t="n">
        <v>45485</v>
      </c>
      <c r="C1466" s="1" t="n">
        <v>45787</v>
      </c>
      <c r="D1466" t="inlineStr">
        <is>
          <t>JÄMTLANDS LÄN</t>
        </is>
      </c>
      <c r="E1466" t="inlineStr">
        <is>
          <t>HÄRJEDALEN</t>
        </is>
      </c>
      <c r="F1466" t="inlineStr">
        <is>
          <t>Holmen skog AB</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29768-2024</t>
        </is>
      </c>
      <c r="B1467" s="1" t="n">
        <v>45485</v>
      </c>
      <c r="C1467" s="1" t="n">
        <v>45787</v>
      </c>
      <c r="D1467" t="inlineStr">
        <is>
          <t>JÄMTLANDS LÄN</t>
        </is>
      </c>
      <c r="E1467" t="inlineStr">
        <is>
          <t>HÄRJEDALEN</t>
        </is>
      </c>
      <c r="F1467" t="inlineStr">
        <is>
          <t>Holmen skog AB</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29717-2024</t>
        </is>
      </c>
      <c r="B1468" s="1" t="n">
        <v>45485</v>
      </c>
      <c r="C1468" s="1" t="n">
        <v>45787</v>
      </c>
      <c r="D1468" t="inlineStr">
        <is>
          <t>JÄMTLANDS LÄN</t>
        </is>
      </c>
      <c r="E1468" t="inlineStr">
        <is>
          <t>HÄRJEDALEN</t>
        </is>
      </c>
      <c r="F1468" t="inlineStr">
        <is>
          <t>Holmen skog AB</t>
        </is>
      </c>
      <c r="G1468" t="n">
        <v>25.7</v>
      </c>
      <c r="H1468" t="n">
        <v>0</v>
      </c>
      <c r="I1468" t="n">
        <v>0</v>
      </c>
      <c r="J1468" t="n">
        <v>0</v>
      </c>
      <c r="K1468" t="n">
        <v>0</v>
      </c>
      <c r="L1468" t="n">
        <v>0</v>
      </c>
      <c r="M1468" t="n">
        <v>0</v>
      </c>
      <c r="N1468" t="n">
        <v>0</v>
      </c>
      <c r="O1468" t="n">
        <v>0</v>
      </c>
      <c r="P1468" t="n">
        <v>0</v>
      </c>
      <c r="Q1468" t="n">
        <v>0</v>
      </c>
      <c r="R1468" s="2" t="inlineStr"/>
    </row>
    <row r="1469" ht="15" customHeight="1">
      <c r="A1469" t="inlineStr">
        <is>
          <t>A 29729-2024</t>
        </is>
      </c>
      <c r="B1469" s="1" t="n">
        <v>45485</v>
      </c>
      <c r="C1469" s="1" t="n">
        <v>45787</v>
      </c>
      <c r="D1469" t="inlineStr">
        <is>
          <t>JÄMTLANDS LÄN</t>
        </is>
      </c>
      <c r="E1469" t="inlineStr">
        <is>
          <t>HÄRJEDALEN</t>
        </is>
      </c>
      <c r="F1469" t="inlineStr">
        <is>
          <t>Holmen skog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29749-2024</t>
        </is>
      </c>
      <c r="B1470" s="1" t="n">
        <v>45485</v>
      </c>
      <c r="C1470" s="1" t="n">
        <v>45787</v>
      </c>
      <c r="D1470" t="inlineStr">
        <is>
          <t>JÄMTLANDS LÄN</t>
        </is>
      </c>
      <c r="E1470" t="inlineStr">
        <is>
          <t>HÄRJEDALEN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29935-2024</t>
        </is>
      </c>
      <c r="B1471" s="1" t="n">
        <v>45488</v>
      </c>
      <c r="C1471" s="1" t="n">
        <v>45787</v>
      </c>
      <c r="D1471" t="inlineStr">
        <is>
          <t>JÄMTLANDS LÄN</t>
        </is>
      </c>
      <c r="E1471" t="inlineStr">
        <is>
          <t>HÄRJEDALEN</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30404-2024</t>
        </is>
      </c>
      <c r="B1472" s="1" t="n">
        <v>45491</v>
      </c>
      <c r="C1472" s="1" t="n">
        <v>45787</v>
      </c>
      <c r="D1472" t="inlineStr">
        <is>
          <t>JÄMTLANDS LÄN</t>
        </is>
      </c>
      <c r="E1472" t="inlineStr">
        <is>
          <t>HÄRJEDALEN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30626-2024</t>
        </is>
      </c>
      <c r="B1473" s="1" t="n">
        <v>45495</v>
      </c>
      <c r="C1473" s="1" t="n">
        <v>45787</v>
      </c>
      <c r="D1473" t="inlineStr">
        <is>
          <t>JÄMTLANDS LÄN</t>
        </is>
      </c>
      <c r="E1473" t="inlineStr">
        <is>
          <t>HÄRJEDALEN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30742-2024</t>
        </is>
      </c>
      <c r="B1474" s="1" t="n">
        <v>45496</v>
      </c>
      <c r="C1474" s="1" t="n">
        <v>45787</v>
      </c>
      <c r="D1474" t="inlineStr">
        <is>
          <t>JÄMTLANDS LÄN</t>
        </is>
      </c>
      <c r="E1474" t="inlineStr">
        <is>
          <t>HÄRJEDALEN</t>
        </is>
      </c>
      <c r="F1474" t="inlineStr">
        <is>
          <t>Bergvik skog väst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30776-2024</t>
        </is>
      </c>
      <c r="B1475" s="1" t="n">
        <v>45497</v>
      </c>
      <c r="C1475" s="1" t="n">
        <v>45787</v>
      </c>
      <c r="D1475" t="inlineStr">
        <is>
          <t>JÄMTLANDS LÄN</t>
        </is>
      </c>
      <c r="E1475" t="inlineStr">
        <is>
          <t>HÄRJEDALEN</t>
        </is>
      </c>
      <c r="F1475" t="inlineStr">
        <is>
          <t>SCA</t>
        </is>
      </c>
      <c r="G1475" t="n">
        <v>8.5</v>
      </c>
      <c r="H1475" t="n">
        <v>0</v>
      </c>
      <c r="I1475" t="n">
        <v>0</v>
      </c>
      <c r="J1475" t="n">
        <v>0</v>
      </c>
      <c r="K1475" t="n">
        <v>0</v>
      </c>
      <c r="L1475" t="n">
        <v>0</v>
      </c>
      <c r="M1475" t="n">
        <v>0</v>
      </c>
      <c r="N1475" t="n">
        <v>0</v>
      </c>
      <c r="O1475" t="n">
        <v>0</v>
      </c>
      <c r="P1475" t="n">
        <v>0</v>
      </c>
      <c r="Q1475" t="n">
        <v>0</v>
      </c>
      <c r="R1475" s="2" t="inlineStr"/>
    </row>
    <row r="1476" ht="15" customHeight="1">
      <c r="A1476" t="inlineStr">
        <is>
          <t>A 30744-2024</t>
        </is>
      </c>
      <c r="B1476" s="1" t="n">
        <v>45496</v>
      </c>
      <c r="C1476" s="1" t="n">
        <v>45787</v>
      </c>
      <c r="D1476" t="inlineStr">
        <is>
          <t>JÄMTLANDS LÄN</t>
        </is>
      </c>
      <c r="E1476" t="inlineStr">
        <is>
          <t>HÄRJEDALEN</t>
        </is>
      </c>
      <c r="F1476" t="inlineStr">
        <is>
          <t>Bergvik skog väst AB</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30781-2024</t>
        </is>
      </c>
      <c r="B1477" s="1" t="n">
        <v>45497</v>
      </c>
      <c r="C1477" s="1" t="n">
        <v>45787</v>
      </c>
      <c r="D1477" t="inlineStr">
        <is>
          <t>JÄMTLANDS LÄN</t>
        </is>
      </c>
      <c r="E1477" t="inlineStr">
        <is>
          <t>HÄRJEDALEN</t>
        </is>
      </c>
      <c r="F1477" t="inlineStr">
        <is>
          <t>SCA</t>
        </is>
      </c>
      <c r="G1477" t="n">
        <v>23.1</v>
      </c>
      <c r="H1477" t="n">
        <v>0</v>
      </c>
      <c r="I1477" t="n">
        <v>0</v>
      </c>
      <c r="J1477" t="n">
        <v>0</v>
      </c>
      <c r="K1477" t="n">
        <v>0</v>
      </c>
      <c r="L1477" t="n">
        <v>0</v>
      </c>
      <c r="M1477" t="n">
        <v>0</v>
      </c>
      <c r="N1477" t="n">
        <v>0</v>
      </c>
      <c r="O1477" t="n">
        <v>0</v>
      </c>
      <c r="P1477" t="n">
        <v>0</v>
      </c>
      <c r="Q1477" t="n">
        <v>0</v>
      </c>
      <c r="R1477" s="2" t="inlineStr"/>
    </row>
    <row r="1478" ht="15" customHeight="1">
      <c r="A1478" t="inlineStr">
        <is>
          <t>A 30777-2024</t>
        </is>
      </c>
      <c r="B1478" s="1" t="n">
        <v>45497</v>
      </c>
      <c r="C1478" s="1" t="n">
        <v>45787</v>
      </c>
      <c r="D1478" t="inlineStr">
        <is>
          <t>JÄMTLANDS LÄN</t>
        </is>
      </c>
      <c r="E1478" t="inlineStr">
        <is>
          <t>HÄRJEDALEN</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30743-2024</t>
        </is>
      </c>
      <c r="B1479" s="1" t="n">
        <v>45496</v>
      </c>
      <c r="C1479" s="1" t="n">
        <v>45787</v>
      </c>
      <c r="D1479" t="inlineStr">
        <is>
          <t>JÄMTLANDS LÄN</t>
        </is>
      </c>
      <c r="E1479" t="inlineStr">
        <is>
          <t>HÄRJEDALEN</t>
        </is>
      </c>
      <c r="F1479" t="inlineStr">
        <is>
          <t>Bergvik skog väst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30775-2024</t>
        </is>
      </c>
      <c r="B1480" s="1" t="n">
        <v>45497</v>
      </c>
      <c r="C1480" s="1" t="n">
        <v>45787</v>
      </c>
      <c r="D1480" t="inlineStr">
        <is>
          <t>JÄMTLANDS LÄN</t>
        </is>
      </c>
      <c r="E1480" t="inlineStr">
        <is>
          <t>HÄRJEDALEN</t>
        </is>
      </c>
      <c r="F1480" t="inlineStr">
        <is>
          <t>SCA</t>
        </is>
      </c>
      <c r="G1480" t="n">
        <v>13.2</v>
      </c>
      <c r="H1480" t="n">
        <v>0</v>
      </c>
      <c r="I1480" t="n">
        <v>0</v>
      </c>
      <c r="J1480" t="n">
        <v>0</v>
      </c>
      <c r="K1480" t="n">
        <v>0</v>
      </c>
      <c r="L1480" t="n">
        <v>0</v>
      </c>
      <c r="M1480" t="n">
        <v>0</v>
      </c>
      <c r="N1480" t="n">
        <v>0</v>
      </c>
      <c r="O1480" t="n">
        <v>0</v>
      </c>
      <c r="P1480" t="n">
        <v>0</v>
      </c>
      <c r="Q1480" t="n">
        <v>0</v>
      </c>
      <c r="R1480" s="2" t="inlineStr"/>
    </row>
    <row r="1481" ht="15" customHeight="1">
      <c r="A1481" t="inlineStr">
        <is>
          <t>A 30729-2024</t>
        </is>
      </c>
      <c r="B1481" s="1" t="n">
        <v>45496</v>
      </c>
      <c r="C1481" s="1" t="n">
        <v>45787</v>
      </c>
      <c r="D1481" t="inlineStr">
        <is>
          <t>JÄMTLANDS LÄN</t>
        </is>
      </c>
      <c r="E1481" t="inlineStr">
        <is>
          <t>HÄRJEDALEN</t>
        </is>
      </c>
      <c r="F1481" t="inlineStr">
        <is>
          <t>Bergvik skog väst AB</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31116-2024</t>
        </is>
      </c>
      <c r="B1482" s="1" t="n">
        <v>45502</v>
      </c>
      <c r="C1482" s="1" t="n">
        <v>45787</v>
      </c>
      <c r="D1482" t="inlineStr">
        <is>
          <t>JÄMTLANDS LÄN</t>
        </is>
      </c>
      <c r="E1482" t="inlineStr">
        <is>
          <t>HÄRJEDALEN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31205-2024</t>
        </is>
      </c>
      <c r="B1483" s="1" t="n">
        <v>45503</v>
      </c>
      <c r="C1483" s="1" t="n">
        <v>45787</v>
      </c>
      <c r="D1483" t="inlineStr">
        <is>
          <t>JÄMTLANDS LÄN</t>
        </is>
      </c>
      <c r="E1483" t="inlineStr">
        <is>
          <t>HÄRJEDALEN</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31301-2024</t>
        </is>
      </c>
      <c r="B1484" s="1" t="n">
        <v>45504</v>
      </c>
      <c r="C1484" s="1" t="n">
        <v>45787</v>
      </c>
      <c r="D1484" t="inlineStr">
        <is>
          <t>JÄMTLANDS LÄN</t>
        </is>
      </c>
      <c r="E1484" t="inlineStr">
        <is>
          <t>HÄRJEDALEN</t>
        </is>
      </c>
      <c r="G1484" t="n">
        <v>32.9</v>
      </c>
      <c r="H1484" t="n">
        <v>0</v>
      </c>
      <c r="I1484" t="n">
        <v>0</v>
      </c>
      <c r="J1484" t="n">
        <v>0</v>
      </c>
      <c r="K1484" t="n">
        <v>0</v>
      </c>
      <c r="L1484" t="n">
        <v>0</v>
      </c>
      <c r="M1484" t="n">
        <v>0</v>
      </c>
      <c r="N1484" t="n">
        <v>0</v>
      </c>
      <c r="O1484" t="n">
        <v>0</v>
      </c>
      <c r="P1484" t="n">
        <v>0</v>
      </c>
      <c r="Q1484" t="n">
        <v>0</v>
      </c>
      <c r="R1484" s="2" t="inlineStr"/>
    </row>
    <row r="1485" ht="15" customHeight="1">
      <c r="A1485" t="inlineStr">
        <is>
          <t>A 31460-2024</t>
        </is>
      </c>
      <c r="B1485" s="1" t="n">
        <v>45505</v>
      </c>
      <c r="C1485" s="1" t="n">
        <v>45787</v>
      </c>
      <c r="D1485" t="inlineStr">
        <is>
          <t>JÄMTLANDS LÄN</t>
        </is>
      </c>
      <c r="E1485" t="inlineStr">
        <is>
          <t>HÄRJEDALEN</t>
        </is>
      </c>
      <c r="F1485" t="inlineStr">
        <is>
          <t>SCA</t>
        </is>
      </c>
      <c r="G1485" t="n">
        <v>30.3</v>
      </c>
      <c r="H1485" t="n">
        <v>0</v>
      </c>
      <c r="I1485" t="n">
        <v>0</v>
      </c>
      <c r="J1485" t="n">
        <v>0</v>
      </c>
      <c r="K1485" t="n">
        <v>0</v>
      </c>
      <c r="L1485" t="n">
        <v>0</v>
      </c>
      <c r="M1485" t="n">
        <v>0</v>
      </c>
      <c r="N1485" t="n">
        <v>0</v>
      </c>
      <c r="O1485" t="n">
        <v>0</v>
      </c>
      <c r="P1485" t="n">
        <v>0</v>
      </c>
      <c r="Q1485" t="n">
        <v>0</v>
      </c>
      <c r="R1485" s="2" t="inlineStr"/>
    </row>
    <row r="1486" ht="15" customHeight="1">
      <c r="A1486" t="inlineStr">
        <is>
          <t>A 31527-2024</t>
        </is>
      </c>
      <c r="B1486" s="1" t="n">
        <v>45505</v>
      </c>
      <c r="C1486" s="1" t="n">
        <v>45787</v>
      </c>
      <c r="D1486" t="inlineStr">
        <is>
          <t>JÄMTLANDS LÄN</t>
        </is>
      </c>
      <c r="E1486" t="inlineStr">
        <is>
          <t>HÄRJEDALEN</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31462-2024</t>
        </is>
      </c>
      <c r="B1487" s="1" t="n">
        <v>45505</v>
      </c>
      <c r="C1487" s="1" t="n">
        <v>45787</v>
      </c>
      <c r="D1487" t="inlineStr">
        <is>
          <t>JÄMTLANDS LÄN</t>
        </is>
      </c>
      <c r="E1487" t="inlineStr">
        <is>
          <t>HÄRJEDALEN</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31473-2024</t>
        </is>
      </c>
      <c r="B1488" s="1" t="n">
        <v>45505</v>
      </c>
      <c r="C1488" s="1" t="n">
        <v>45787</v>
      </c>
      <c r="D1488" t="inlineStr">
        <is>
          <t>JÄMTLANDS LÄN</t>
        </is>
      </c>
      <c r="E1488" t="inlineStr">
        <is>
          <t>HÄRJEDALEN</t>
        </is>
      </c>
      <c r="F1488" t="inlineStr">
        <is>
          <t>SCA</t>
        </is>
      </c>
      <c r="G1488" t="n">
        <v>30.4</v>
      </c>
      <c r="H1488" t="n">
        <v>0</v>
      </c>
      <c r="I1488" t="n">
        <v>0</v>
      </c>
      <c r="J1488" t="n">
        <v>0</v>
      </c>
      <c r="K1488" t="n">
        <v>0</v>
      </c>
      <c r="L1488" t="n">
        <v>0</v>
      </c>
      <c r="M1488" t="n">
        <v>0</v>
      </c>
      <c r="N1488" t="n">
        <v>0</v>
      </c>
      <c r="O1488" t="n">
        <v>0</v>
      </c>
      <c r="P1488" t="n">
        <v>0</v>
      </c>
      <c r="Q1488" t="n">
        <v>0</v>
      </c>
      <c r="R1488" s="2" t="inlineStr"/>
    </row>
    <row r="1489" ht="15" customHeight="1">
      <c r="A1489" t="inlineStr">
        <is>
          <t>A 31459-2024</t>
        </is>
      </c>
      <c r="B1489" s="1" t="n">
        <v>45505</v>
      </c>
      <c r="C1489" s="1" t="n">
        <v>45787</v>
      </c>
      <c r="D1489" t="inlineStr">
        <is>
          <t>JÄMTLANDS LÄN</t>
        </is>
      </c>
      <c r="E1489" t="inlineStr">
        <is>
          <t>HÄRJEDALEN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31672-2024</t>
        </is>
      </c>
      <c r="B1490" s="1" t="n">
        <v>45506</v>
      </c>
      <c r="C1490" s="1" t="n">
        <v>45787</v>
      </c>
      <c r="D1490" t="inlineStr">
        <is>
          <t>JÄMTLANDS LÄN</t>
        </is>
      </c>
      <c r="E1490" t="inlineStr">
        <is>
          <t>HÄRJEDALEN</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31581-2024</t>
        </is>
      </c>
      <c r="B1491" s="1" t="n">
        <v>45506</v>
      </c>
      <c r="C1491" s="1" t="n">
        <v>45787</v>
      </c>
      <c r="D1491" t="inlineStr">
        <is>
          <t>JÄMTLANDS LÄN</t>
        </is>
      </c>
      <c r="E1491" t="inlineStr">
        <is>
          <t>HÄRJEDALEN</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31683-2024</t>
        </is>
      </c>
      <c r="B1492" s="1" t="n">
        <v>45506</v>
      </c>
      <c r="C1492" s="1" t="n">
        <v>45787</v>
      </c>
      <c r="D1492" t="inlineStr">
        <is>
          <t>JÄMTLANDS LÄN</t>
        </is>
      </c>
      <c r="E1492" t="inlineStr">
        <is>
          <t>HÄRJEDALEN</t>
        </is>
      </c>
      <c r="F1492" t="inlineStr">
        <is>
          <t>SCA</t>
        </is>
      </c>
      <c r="G1492" t="n">
        <v>37.4</v>
      </c>
      <c r="H1492" t="n">
        <v>0</v>
      </c>
      <c r="I1492" t="n">
        <v>0</v>
      </c>
      <c r="J1492" t="n">
        <v>0</v>
      </c>
      <c r="K1492" t="n">
        <v>0</v>
      </c>
      <c r="L1492" t="n">
        <v>0</v>
      </c>
      <c r="M1492" t="n">
        <v>0</v>
      </c>
      <c r="N1492" t="n">
        <v>0</v>
      </c>
      <c r="O1492" t="n">
        <v>0</v>
      </c>
      <c r="P1492" t="n">
        <v>0</v>
      </c>
      <c r="Q1492" t="n">
        <v>0</v>
      </c>
      <c r="R1492" s="2" t="inlineStr"/>
    </row>
    <row r="1493" ht="15" customHeight="1">
      <c r="A1493" t="inlineStr">
        <is>
          <t>A 31588-2024</t>
        </is>
      </c>
      <c r="B1493" s="1" t="n">
        <v>45506</v>
      </c>
      <c r="C1493" s="1" t="n">
        <v>45787</v>
      </c>
      <c r="D1493" t="inlineStr">
        <is>
          <t>JÄMTLANDS LÄN</t>
        </is>
      </c>
      <c r="E1493" t="inlineStr">
        <is>
          <t>HÄRJEDALEN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31587-2024</t>
        </is>
      </c>
      <c r="B1494" s="1" t="n">
        <v>45506</v>
      </c>
      <c r="C1494" s="1" t="n">
        <v>45787</v>
      </c>
      <c r="D1494" t="inlineStr">
        <is>
          <t>JÄMTLANDS LÄN</t>
        </is>
      </c>
      <c r="E1494" t="inlineStr">
        <is>
          <t>HÄRJEDALEN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31586-2024</t>
        </is>
      </c>
      <c r="B1495" s="1" t="n">
        <v>45506</v>
      </c>
      <c r="C1495" s="1" t="n">
        <v>45787</v>
      </c>
      <c r="D1495" t="inlineStr">
        <is>
          <t>JÄMTLANDS LÄN</t>
        </is>
      </c>
      <c r="E1495" t="inlineStr">
        <is>
          <t>HÄRJEDALEN</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31682-2024</t>
        </is>
      </c>
      <c r="B1496" s="1" t="n">
        <v>45506</v>
      </c>
      <c r="C1496" s="1" t="n">
        <v>45787</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31777-2024</t>
        </is>
      </c>
      <c r="B1497" s="1" t="n">
        <v>45509</v>
      </c>
      <c r="C1497" s="1" t="n">
        <v>45787</v>
      </c>
      <c r="D1497" t="inlineStr">
        <is>
          <t>JÄMTLANDS LÄN</t>
        </is>
      </c>
      <c r="E1497" t="inlineStr">
        <is>
          <t>HÄRJEDALEN</t>
        </is>
      </c>
      <c r="F1497" t="inlineStr">
        <is>
          <t>Övriga statliga verk och myndigheter</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31743-2024</t>
        </is>
      </c>
      <c r="B1498" s="1" t="n">
        <v>45509</v>
      </c>
      <c r="C1498" s="1" t="n">
        <v>45787</v>
      </c>
      <c r="D1498" t="inlineStr">
        <is>
          <t>JÄMTLANDS LÄN</t>
        </is>
      </c>
      <c r="E1498" t="inlineStr">
        <is>
          <t>HÄRJEDALEN</t>
        </is>
      </c>
      <c r="F1498" t="inlineStr">
        <is>
          <t>Bergvik skog väst AB</t>
        </is>
      </c>
      <c r="G1498" t="n">
        <v>16.1</v>
      </c>
      <c r="H1498" t="n">
        <v>0</v>
      </c>
      <c r="I1498" t="n">
        <v>0</v>
      </c>
      <c r="J1498" t="n">
        <v>0</v>
      </c>
      <c r="K1498" t="n">
        <v>0</v>
      </c>
      <c r="L1498" t="n">
        <v>0</v>
      </c>
      <c r="M1498" t="n">
        <v>0</v>
      </c>
      <c r="N1498" t="n">
        <v>0</v>
      </c>
      <c r="O1498" t="n">
        <v>0</v>
      </c>
      <c r="P1498" t="n">
        <v>0</v>
      </c>
      <c r="Q1498" t="n">
        <v>0</v>
      </c>
      <c r="R1498" s="2" t="inlineStr"/>
    </row>
    <row r="1499" ht="15" customHeight="1">
      <c r="A1499" t="inlineStr">
        <is>
          <t>A 31747-2024</t>
        </is>
      </c>
      <c r="B1499" s="1" t="n">
        <v>45509</v>
      </c>
      <c r="C1499" s="1" t="n">
        <v>45787</v>
      </c>
      <c r="D1499" t="inlineStr">
        <is>
          <t>JÄMTLANDS LÄN</t>
        </is>
      </c>
      <c r="E1499" t="inlineStr">
        <is>
          <t>HÄRJEDALEN</t>
        </is>
      </c>
      <c r="F1499" t="inlineStr">
        <is>
          <t>Övriga statliga verk och myndigheter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31759-2024</t>
        </is>
      </c>
      <c r="B1500" s="1" t="n">
        <v>45509</v>
      </c>
      <c r="C1500" s="1" t="n">
        <v>45787</v>
      </c>
      <c r="D1500" t="inlineStr">
        <is>
          <t>JÄMTLANDS LÄN</t>
        </is>
      </c>
      <c r="E1500" t="inlineStr">
        <is>
          <t>HÄRJEDALEN</t>
        </is>
      </c>
      <c r="F1500" t="inlineStr">
        <is>
          <t>Övriga statliga verk och myndigheter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31783-2024</t>
        </is>
      </c>
      <c r="B1501" s="1" t="n">
        <v>45509</v>
      </c>
      <c r="C1501" s="1" t="n">
        <v>45787</v>
      </c>
      <c r="D1501" t="inlineStr">
        <is>
          <t>JÄMTLANDS LÄN</t>
        </is>
      </c>
      <c r="E1501" t="inlineStr">
        <is>
          <t>HÄRJEDALEN</t>
        </is>
      </c>
      <c r="F1501" t="inlineStr">
        <is>
          <t>Övriga statliga verk och myndigheter</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31791-2024</t>
        </is>
      </c>
      <c r="B1502" s="1" t="n">
        <v>45509</v>
      </c>
      <c r="C1502" s="1" t="n">
        <v>45787</v>
      </c>
      <c r="D1502" t="inlineStr">
        <is>
          <t>JÄMTLANDS LÄN</t>
        </is>
      </c>
      <c r="E1502" t="inlineStr">
        <is>
          <t>HÄRJEDALEN</t>
        </is>
      </c>
      <c r="F1502" t="inlineStr">
        <is>
          <t>Övriga statliga verk och myndigheter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31819-2024</t>
        </is>
      </c>
      <c r="B1503" s="1" t="n">
        <v>45509</v>
      </c>
      <c r="C1503" s="1" t="n">
        <v>45787</v>
      </c>
      <c r="D1503" t="inlineStr">
        <is>
          <t>JÄMTLANDS LÄN</t>
        </is>
      </c>
      <c r="E1503" t="inlineStr">
        <is>
          <t>HÄRJEDALEN</t>
        </is>
      </c>
      <c r="F1503" t="inlineStr">
        <is>
          <t>Bergvik skog väst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31816-2024</t>
        </is>
      </c>
      <c r="B1504" s="1" t="n">
        <v>45509</v>
      </c>
      <c r="C1504" s="1" t="n">
        <v>45787</v>
      </c>
      <c r="D1504" t="inlineStr">
        <is>
          <t>JÄMTLANDS LÄN</t>
        </is>
      </c>
      <c r="E1504" t="inlineStr">
        <is>
          <t>HÄRJEDALEN</t>
        </is>
      </c>
      <c r="F1504" t="inlineStr">
        <is>
          <t>Bergvik skog väst AB</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31764-2024</t>
        </is>
      </c>
      <c r="B1505" s="1" t="n">
        <v>45509</v>
      </c>
      <c r="C1505" s="1" t="n">
        <v>45787</v>
      </c>
      <c r="D1505" t="inlineStr">
        <is>
          <t>JÄMTLANDS LÄN</t>
        </is>
      </c>
      <c r="E1505" t="inlineStr">
        <is>
          <t>HÄRJEDALEN</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31732-2024</t>
        </is>
      </c>
      <c r="B1506" s="1" t="n">
        <v>45509</v>
      </c>
      <c r="C1506" s="1" t="n">
        <v>45787</v>
      </c>
      <c r="D1506" t="inlineStr">
        <is>
          <t>JÄMTLANDS LÄN</t>
        </is>
      </c>
      <c r="E1506" t="inlineStr">
        <is>
          <t>HÄRJEDALEN</t>
        </is>
      </c>
      <c r="F1506" t="inlineStr">
        <is>
          <t>Bergvik skog väst AB</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31834-2024</t>
        </is>
      </c>
      <c r="B1507" s="1" t="n">
        <v>45509</v>
      </c>
      <c r="C1507" s="1" t="n">
        <v>45787</v>
      </c>
      <c r="D1507" t="inlineStr">
        <is>
          <t>JÄMTLANDS LÄN</t>
        </is>
      </c>
      <c r="E1507" t="inlineStr">
        <is>
          <t>HÄRJEDALEN</t>
        </is>
      </c>
      <c r="F1507" t="inlineStr">
        <is>
          <t>Kommuner</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31806-2024</t>
        </is>
      </c>
      <c r="B1508" s="1" t="n">
        <v>45509</v>
      </c>
      <c r="C1508" s="1" t="n">
        <v>45787</v>
      </c>
      <c r="D1508" t="inlineStr">
        <is>
          <t>JÄMTLANDS LÄN</t>
        </is>
      </c>
      <c r="E1508" t="inlineStr">
        <is>
          <t>HÄRJEDALEN</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31891-2024</t>
        </is>
      </c>
      <c r="B1509" s="1" t="n">
        <v>45509</v>
      </c>
      <c r="C1509" s="1" t="n">
        <v>45787</v>
      </c>
      <c r="D1509" t="inlineStr">
        <is>
          <t>JÄMTLANDS LÄN</t>
        </is>
      </c>
      <c r="E1509" t="inlineStr">
        <is>
          <t>HÄRJEDALEN</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32064-2024</t>
        </is>
      </c>
      <c r="B1510" s="1" t="n">
        <v>45510</v>
      </c>
      <c r="C1510" s="1" t="n">
        <v>45787</v>
      </c>
      <c r="D1510" t="inlineStr">
        <is>
          <t>JÄMTLANDS LÄN</t>
        </is>
      </c>
      <c r="E1510" t="inlineStr">
        <is>
          <t>HÄRJEDALEN</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31920-2024</t>
        </is>
      </c>
      <c r="B1511" s="1" t="n">
        <v>45510</v>
      </c>
      <c r="C1511" s="1" t="n">
        <v>45787</v>
      </c>
      <c r="D1511" t="inlineStr">
        <is>
          <t>JÄMTLANDS LÄN</t>
        </is>
      </c>
      <c r="E1511" t="inlineStr">
        <is>
          <t>HÄRJEDALEN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32135-2024</t>
        </is>
      </c>
      <c r="B1512" s="1" t="n">
        <v>45511</v>
      </c>
      <c r="C1512" s="1" t="n">
        <v>45787</v>
      </c>
      <c r="D1512" t="inlineStr">
        <is>
          <t>JÄMTLANDS LÄN</t>
        </is>
      </c>
      <c r="E1512" t="inlineStr">
        <is>
          <t>HÄRJEDALEN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32122-2024</t>
        </is>
      </c>
      <c r="B1513" s="1" t="n">
        <v>45511</v>
      </c>
      <c r="C1513" s="1" t="n">
        <v>45787</v>
      </c>
      <c r="D1513" t="inlineStr">
        <is>
          <t>JÄMTLANDS LÄN</t>
        </is>
      </c>
      <c r="E1513" t="inlineStr">
        <is>
          <t>HÄRJEDALEN</t>
        </is>
      </c>
      <c r="F1513" t="inlineStr">
        <is>
          <t>Bergvik skog väst AB</t>
        </is>
      </c>
      <c r="G1513" t="n">
        <v>16.7</v>
      </c>
      <c r="H1513" t="n">
        <v>0</v>
      </c>
      <c r="I1513" t="n">
        <v>0</v>
      </c>
      <c r="J1513" t="n">
        <v>0</v>
      </c>
      <c r="K1513" t="n">
        <v>0</v>
      </c>
      <c r="L1513" t="n">
        <v>0</v>
      </c>
      <c r="M1513" t="n">
        <v>0</v>
      </c>
      <c r="N1513" t="n">
        <v>0</v>
      </c>
      <c r="O1513" t="n">
        <v>0</v>
      </c>
      <c r="P1513" t="n">
        <v>0</v>
      </c>
      <c r="Q1513" t="n">
        <v>0</v>
      </c>
      <c r="R1513" s="2" t="inlineStr"/>
    </row>
    <row r="1514" ht="15" customHeight="1">
      <c r="A1514" t="inlineStr">
        <is>
          <t>A 32233-2024</t>
        </is>
      </c>
      <c r="B1514" s="1" t="n">
        <v>45512</v>
      </c>
      <c r="C1514" s="1" t="n">
        <v>45787</v>
      </c>
      <c r="D1514" t="inlineStr">
        <is>
          <t>JÄMTLANDS LÄN</t>
        </is>
      </c>
      <c r="E1514" t="inlineStr">
        <is>
          <t>HÄRJEDALEN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32382-2024</t>
        </is>
      </c>
      <c r="B1515" s="1" t="n">
        <v>45512</v>
      </c>
      <c r="C1515" s="1" t="n">
        <v>45787</v>
      </c>
      <c r="D1515" t="inlineStr">
        <is>
          <t>JÄMTLANDS LÄN</t>
        </is>
      </c>
      <c r="E1515" t="inlineStr">
        <is>
          <t>HÄRJEDALEN</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32403-2024</t>
        </is>
      </c>
      <c r="B1516" s="1" t="n">
        <v>45512</v>
      </c>
      <c r="C1516" s="1" t="n">
        <v>45787</v>
      </c>
      <c r="D1516" t="inlineStr">
        <is>
          <t>JÄMTLANDS LÄN</t>
        </is>
      </c>
      <c r="E1516" t="inlineStr">
        <is>
          <t>HÄRJEDALEN</t>
        </is>
      </c>
      <c r="F1516" t="inlineStr">
        <is>
          <t>Bergvik skog väst AB</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32765-2024</t>
        </is>
      </c>
      <c r="B1517" s="1" t="n">
        <v>45516</v>
      </c>
      <c r="C1517" s="1" t="n">
        <v>45787</v>
      </c>
      <c r="D1517" t="inlineStr">
        <is>
          <t>JÄMTLANDS LÄN</t>
        </is>
      </c>
      <c r="E1517" t="inlineStr">
        <is>
          <t>HÄRJEDALEN</t>
        </is>
      </c>
      <c r="F1517" t="inlineStr">
        <is>
          <t>Bergvik skog väst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32735-2024</t>
        </is>
      </c>
      <c r="B1518" s="1" t="n">
        <v>45516</v>
      </c>
      <c r="C1518" s="1" t="n">
        <v>45787</v>
      </c>
      <c r="D1518" t="inlineStr">
        <is>
          <t>JÄMTLANDS LÄN</t>
        </is>
      </c>
      <c r="E1518" t="inlineStr">
        <is>
          <t>HÄRJEDALEN</t>
        </is>
      </c>
      <c r="F1518" t="inlineStr">
        <is>
          <t>Bergvik skog väst AB</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33096-2024</t>
        </is>
      </c>
      <c r="B1519" s="1" t="n">
        <v>45517</v>
      </c>
      <c r="C1519" s="1" t="n">
        <v>45787</v>
      </c>
      <c r="D1519" t="inlineStr">
        <is>
          <t>JÄMTLANDS LÄN</t>
        </is>
      </c>
      <c r="E1519" t="inlineStr">
        <is>
          <t>HÄRJEDALEN</t>
        </is>
      </c>
      <c r="F1519" t="inlineStr">
        <is>
          <t>Övriga Aktiebolag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33123-2024</t>
        </is>
      </c>
      <c r="B1520" s="1" t="n">
        <v>45518</v>
      </c>
      <c r="C1520" s="1" t="n">
        <v>45787</v>
      </c>
      <c r="D1520" t="inlineStr">
        <is>
          <t>JÄMTLANDS LÄN</t>
        </is>
      </c>
      <c r="E1520" t="inlineStr">
        <is>
          <t>HÄRJEDALEN</t>
        </is>
      </c>
      <c r="G1520" t="n">
        <v>11.7</v>
      </c>
      <c r="H1520" t="n">
        <v>0</v>
      </c>
      <c r="I1520" t="n">
        <v>0</v>
      </c>
      <c r="J1520" t="n">
        <v>0</v>
      </c>
      <c r="K1520" t="n">
        <v>0</v>
      </c>
      <c r="L1520" t="n">
        <v>0</v>
      </c>
      <c r="M1520" t="n">
        <v>0</v>
      </c>
      <c r="N1520" t="n">
        <v>0</v>
      </c>
      <c r="O1520" t="n">
        <v>0</v>
      </c>
      <c r="P1520" t="n">
        <v>0</v>
      </c>
      <c r="Q1520" t="n">
        <v>0</v>
      </c>
      <c r="R1520" s="2" t="inlineStr"/>
    </row>
    <row r="1521" ht="15" customHeight="1">
      <c r="A1521" t="inlineStr">
        <is>
          <t>A 33125-2024</t>
        </is>
      </c>
      <c r="B1521" s="1" t="n">
        <v>45518</v>
      </c>
      <c r="C1521" s="1" t="n">
        <v>45787</v>
      </c>
      <c r="D1521" t="inlineStr">
        <is>
          <t>JÄMTLANDS LÄN</t>
        </is>
      </c>
      <c r="E1521" t="inlineStr">
        <is>
          <t>HÄRJEDALEN</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32962-2024</t>
        </is>
      </c>
      <c r="B1522" s="1" t="n">
        <v>45517</v>
      </c>
      <c r="C1522" s="1" t="n">
        <v>45787</v>
      </c>
      <c r="D1522" t="inlineStr">
        <is>
          <t>JÄMTLANDS LÄN</t>
        </is>
      </c>
      <c r="E1522" t="inlineStr">
        <is>
          <t>HÄRJEDALEN</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32964-2024</t>
        </is>
      </c>
      <c r="B1523" s="1" t="n">
        <v>45517</v>
      </c>
      <c r="C1523" s="1" t="n">
        <v>45787</v>
      </c>
      <c r="D1523" t="inlineStr">
        <is>
          <t>JÄMTLANDS LÄN</t>
        </is>
      </c>
      <c r="E1523" t="inlineStr">
        <is>
          <t>HÄRJEDALEN</t>
        </is>
      </c>
      <c r="F1523" t="inlineStr">
        <is>
          <t>Kommuner</t>
        </is>
      </c>
      <c r="G1523" t="n">
        <v>30.3</v>
      </c>
      <c r="H1523" t="n">
        <v>0</v>
      </c>
      <c r="I1523" t="n">
        <v>0</v>
      </c>
      <c r="J1523" t="n">
        <v>0</v>
      </c>
      <c r="K1523" t="n">
        <v>0</v>
      </c>
      <c r="L1523" t="n">
        <v>0</v>
      </c>
      <c r="M1523" t="n">
        <v>0</v>
      </c>
      <c r="N1523" t="n">
        <v>0</v>
      </c>
      <c r="O1523" t="n">
        <v>0</v>
      </c>
      <c r="P1523" t="n">
        <v>0</v>
      </c>
      <c r="Q1523" t="n">
        <v>0</v>
      </c>
      <c r="R1523" s="2" t="inlineStr"/>
    </row>
    <row r="1524" ht="15" customHeight="1">
      <c r="A1524" t="inlineStr">
        <is>
          <t>A 33124-2024</t>
        </is>
      </c>
      <c r="B1524" s="1" t="n">
        <v>45518</v>
      </c>
      <c r="C1524" s="1" t="n">
        <v>45787</v>
      </c>
      <c r="D1524" t="inlineStr">
        <is>
          <t>JÄMTLANDS LÄN</t>
        </is>
      </c>
      <c r="E1524" t="inlineStr">
        <is>
          <t>HÄRJEDALEN</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33307-2024</t>
        </is>
      </c>
      <c r="B1525" s="1" t="n">
        <v>45519</v>
      </c>
      <c r="C1525" s="1" t="n">
        <v>45787</v>
      </c>
      <c r="D1525" t="inlineStr">
        <is>
          <t>JÄMTLANDS LÄN</t>
        </is>
      </c>
      <c r="E1525" t="inlineStr">
        <is>
          <t>HÄRJEDALEN</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33308-2024</t>
        </is>
      </c>
      <c r="B1526" s="1" t="n">
        <v>45519</v>
      </c>
      <c r="C1526" s="1" t="n">
        <v>45787</v>
      </c>
      <c r="D1526" t="inlineStr">
        <is>
          <t>JÄMTLANDS LÄN</t>
        </is>
      </c>
      <c r="E1526" t="inlineStr">
        <is>
          <t>HÄRJEDALEN</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33502-2024</t>
        </is>
      </c>
      <c r="B1527" s="1" t="n">
        <v>45519</v>
      </c>
      <c r="C1527" s="1" t="n">
        <v>45787</v>
      </c>
      <c r="D1527" t="inlineStr">
        <is>
          <t>JÄMTLANDS LÄN</t>
        </is>
      </c>
      <c r="E1527" t="inlineStr">
        <is>
          <t>HÄRJEDALEN</t>
        </is>
      </c>
      <c r="F1527" t="inlineStr">
        <is>
          <t>SCA</t>
        </is>
      </c>
      <c r="G1527" t="n">
        <v>18.9</v>
      </c>
      <c r="H1527" t="n">
        <v>0</v>
      </c>
      <c r="I1527" t="n">
        <v>0</v>
      </c>
      <c r="J1527" t="n">
        <v>0</v>
      </c>
      <c r="K1527" t="n">
        <v>0</v>
      </c>
      <c r="L1527" t="n">
        <v>0</v>
      </c>
      <c r="M1527" t="n">
        <v>0</v>
      </c>
      <c r="N1527" t="n">
        <v>0</v>
      </c>
      <c r="O1527" t="n">
        <v>0</v>
      </c>
      <c r="P1527" t="n">
        <v>0</v>
      </c>
      <c r="Q1527" t="n">
        <v>0</v>
      </c>
      <c r="R1527" s="2" t="inlineStr"/>
    </row>
    <row r="1528" ht="15" customHeight="1">
      <c r="A1528" t="inlineStr">
        <is>
          <t>A 33523-2024</t>
        </is>
      </c>
      <c r="B1528" s="1" t="n">
        <v>45519</v>
      </c>
      <c r="C1528" s="1" t="n">
        <v>45787</v>
      </c>
      <c r="D1528" t="inlineStr">
        <is>
          <t>JÄMTLANDS LÄN</t>
        </is>
      </c>
      <c r="E1528" t="inlineStr">
        <is>
          <t>HÄRJEDALEN</t>
        </is>
      </c>
      <c r="F1528" t="inlineStr">
        <is>
          <t>SCA</t>
        </is>
      </c>
      <c r="G1528" t="n">
        <v>19.4</v>
      </c>
      <c r="H1528" t="n">
        <v>0</v>
      </c>
      <c r="I1528" t="n">
        <v>0</v>
      </c>
      <c r="J1528" t="n">
        <v>0</v>
      </c>
      <c r="K1528" t="n">
        <v>0</v>
      </c>
      <c r="L1528" t="n">
        <v>0</v>
      </c>
      <c r="M1528" t="n">
        <v>0</v>
      </c>
      <c r="N1528" t="n">
        <v>0</v>
      </c>
      <c r="O1528" t="n">
        <v>0</v>
      </c>
      <c r="P1528" t="n">
        <v>0</v>
      </c>
      <c r="Q1528" t="n">
        <v>0</v>
      </c>
      <c r="R1528" s="2" t="inlineStr"/>
    </row>
    <row r="1529" ht="15" customHeight="1">
      <c r="A1529" t="inlineStr">
        <is>
          <t>A 34291-2024</t>
        </is>
      </c>
      <c r="B1529" s="1" t="n">
        <v>45524</v>
      </c>
      <c r="C1529" s="1" t="n">
        <v>45787</v>
      </c>
      <c r="D1529" t="inlineStr">
        <is>
          <t>JÄMTLANDS LÄN</t>
        </is>
      </c>
      <c r="E1529" t="inlineStr">
        <is>
          <t>HÄRJEDALEN</t>
        </is>
      </c>
      <c r="G1529" t="n">
        <v>11.5</v>
      </c>
      <c r="H1529" t="n">
        <v>0</v>
      </c>
      <c r="I1529" t="n">
        <v>0</v>
      </c>
      <c r="J1529" t="n">
        <v>0</v>
      </c>
      <c r="K1529" t="n">
        <v>0</v>
      </c>
      <c r="L1529" t="n">
        <v>0</v>
      </c>
      <c r="M1529" t="n">
        <v>0</v>
      </c>
      <c r="N1529" t="n">
        <v>0</v>
      </c>
      <c r="O1529" t="n">
        <v>0</v>
      </c>
      <c r="P1529" t="n">
        <v>0</v>
      </c>
      <c r="Q1529" t="n">
        <v>0</v>
      </c>
      <c r="R1529" s="2" t="inlineStr"/>
    </row>
    <row r="1530" ht="15" customHeight="1">
      <c r="A1530" t="inlineStr">
        <is>
          <t>A 34523-2024</t>
        </is>
      </c>
      <c r="B1530" s="1" t="n">
        <v>45525</v>
      </c>
      <c r="C1530" s="1" t="n">
        <v>45787</v>
      </c>
      <c r="D1530" t="inlineStr">
        <is>
          <t>JÄMTLANDS LÄN</t>
        </is>
      </c>
      <c r="E1530" t="inlineStr">
        <is>
          <t>HÄRJEDALEN</t>
        </is>
      </c>
      <c r="G1530" t="n">
        <v>31.5</v>
      </c>
      <c r="H1530" t="n">
        <v>0</v>
      </c>
      <c r="I1530" t="n">
        <v>0</v>
      </c>
      <c r="J1530" t="n">
        <v>0</v>
      </c>
      <c r="K1530" t="n">
        <v>0</v>
      </c>
      <c r="L1530" t="n">
        <v>0</v>
      </c>
      <c r="M1530" t="n">
        <v>0</v>
      </c>
      <c r="N1530" t="n">
        <v>0</v>
      </c>
      <c r="O1530" t="n">
        <v>0</v>
      </c>
      <c r="P1530" t="n">
        <v>0</v>
      </c>
      <c r="Q1530" t="n">
        <v>0</v>
      </c>
      <c r="R1530" s="2" t="inlineStr"/>
    </row>
    <row r="1531" ht="15" customHeight="1">
      <c r="A1531" t="inlineStr">
        <is>
          <t>A 34660-2024</t>
        </is>
      </c>
      <c r="B1531" s="1" t="n">
        <v>45526</v>
      </c>
      <c r="C1531" s="1" t="n">
        <v>45787</v>
      </c>
      <c r="D1531" t="inlineStr">
        <is>
          <t>JÄMTLANDS LÄN</t>
        </is>
      </c>
      <c r="E1531" t="inlineStr">
        <is>
          <t>HÄRJEDALEN</t>
        </is>
      </c>
      <c r="F1531" t="inlineStr">
        <is>
          <t>Bergvik skog väst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34775-2024</t>
        </is>
      </c>
      <c r="B1532" s="1" t="n">
        <v>45526</v>
      </c>
      <c r="C1532" s="1" t="n">
        <v>45787</v>
      </c>
      <c r="D1532" t="inlineStr">
        <is>
          <t>JÄMTLANDS LÄN</t>
        </is>
      </c>
      <c r="E1532" t="inlineStr">
        <is>
          <t>HÄRJEDALEN</t>
        </is>
      </c>
      <c r="F1532" t="inlineStr">
        <is>
          <t>Bergvik skog väst AB</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35015-2024</t>
        </is>
      </c>
      <c r="B1533" s="1" t="n">
        <v>45527</v>
      </c>
      <c r="C1533" s="1" t="n">
        <v>45787</v>
      </c>
      <c r="D1533" t="inlineStr">
        <is>
          <t>JÄMTLANDS LÄN</t>
        </is>
      </c>
      <c r="E1533" t="inlineStr">
        <is>
          <t>HÄRJEDALEN</t>
        </is>
      </c>
      <c r="G1533" t="n">
        <v>23.2</v>
      </c>
      <c r="H1533" t="n">
        <v>0</v>
      </c>
      <c r="I1533" t="n">
        <v>0</v>
      </c>
      <c r="J1533" t="n">
        <v>0</v>
      </c>
      <c r="K1533" t="n">
        <v>0</v>
      </c>
      <c r="L1533" t="n">
        <v>0</v>
      </c>
      <c r="M1533" t="n">
        <v>0</v>
      </c>
      <c r="N1533" t="n">
        <v>0</v>
      </c>
      <c r="O1533" t="n">
        <v>0</v>
      </c>
      <c r="P1533" t="n">
        <v>0</v>
      </c>
      <c r="Q1533" t="n">
        <v>0</v>
      </c>
      <c r="R1533" s="2" t="inlineStr"/>
    </row>
    <row r="1534" ht="15" customHeight="1">
      <c r="A1534" t="inlineStr">
        <is>
          <t>A 35046-2024</t>
        </is>
      </c>
      <c r="B1534" s="1" t="n">
        <v>45527</v>
      </c>
      <c r="C1534" s="1" t="n">
        <v>45787</v>
      </c>
      <c r="D1534" t="inlineStr">
        <is>
          <t>JÄMTLANDS LÄN</t>
        </is>
      </c>
      <c r="E1534" t="inlineStr">
        <is>
          <t>HÄRJEDALEN</t>
        </is>
      </c>
      <c r="F1534" t="inlineStr">
        <is>
          <t>Bergvik skog väst AB</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35454-2024</t>
        </is>
      </c>
      <c r="B1535" s="1" t="n">
        <v>45531</v>
      </c>
      <c r="C1535" s="1" t="n">
        <v>45787</v>
      </c>
      <c r="D1535" t="inlineStr">
        <is>
          <t>JÄMTLANDS LÄN</t>
        </is>
      </c>
      <c r="E1535" t="inlineStr">
        <is>
          <t>HÄRJEDALEN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35457-2024</t>
        </is>
      </c>
      <c r="B1536" s="1" t="n">
        <v>45531</v>
      </c>
      <c r="C1536" s="1" t="n">
        <v>45787</v>
      </c>
      <c r="D1536" t="inlineStr">
        <is>
          <t>JÄMTLANDS LÄN</t>
        </is>
      </c>
      <c r="E1536" t="inlineStr">
        <is>
          <t>HÄRJEDALEN</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35599-2024</t>
        </is>
      </c>
      <c r="B1537" s="1" t="n">
        <v>45531</v>
      </c>
      <c r="C1537" s="1" t="n">
        <v>45787</v>
      </c>
      <c r="D1537" t="inlineStr">
        <is>
          <t>JÄMTLANDS LÄN</t>
        </is>
      </c>
      <c r="E1537" t="inlineStr">
        <is>
          <t>HÄRJEDALEN</t>
        </is>
      </c>
      <c r="F1537" t="inlineStr">
        <is>
          <t>Bergvik skog väst AB</t>
        </is>
      </c>
      <c r="G1537" t="n">
        <v>8.699999999999999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35635-2024</t>
        </is>
      </c>
      <c r="B1538" s="1" t="n">
        <v>45531</v>
      </c>
      <c r="C1538" s="1" t="n">
        <v>45787</v>
      </c>
      <c r="D1538" t="inlineStr">
        <is>
          <t>JÄMTLANDS LÄN</t>
        </is>
      </c>
      <c r="E1538" t="inlineStr">
        <is>
          <t>HÄRJEDALEN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35726-2024</t>
        </is>
      </c>
      <c r="B1539" s="1" t="n">
        <v>45532</v>
      </c>
      <c r="C1539" s="1" t="n">
        <v>45787</v>
      </c>
      <c r="D1539" t="inlineStr">
        <is>
          <t>JÄMTLANDS LÄN</t>
        </is>
      </c>
      <c r="E1539" t="inlineStr">
        <is>
          <t>HÄRJEDALEN</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35947-2024</t>
        </is>
      </c>
      <c r="B1540" s="1" t="n">
        <v>45533</v>
      </c>
      <c r="C1540" s="1" t="n">
        <v>45787</v>
      </c>
      <c r="D1540" t="inlineStr">
        <is>
          <t>JÄMTLANDS LÄN</t>
        </is>
      </c>
      <c r="E1540" t="inlineStr">
        <is>
          <t>HÄRJEDALEN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35971-2024</t>
        </is>
      </c>
      <c r="B1541" s="1" t="n">
        <v>45533</v>
      </c>
      <c r="C1541" s="1" t="n">
        <v>45787</v>
      </c>
      <c r="D1541" t="inlineStr">
        <is>
          <t>JÄMTLANDS LÄN</t>
        </is>
      </c>
      <c r="E1541" t="inlineStr">
        <is>
          <t>HÄRJEDALEN</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36083-2024</t>
        </is>
      </c>
      <c r="B1542" s="1" t="n">
        <v>45533</v>
      </c>
      <c r="C1542" s="1" t="n">
        <v>45787</v>
      </c>
      <c r="D1542" t="inlineStr">
        <is>
          <t>JÄMTLANDS LÄN</t>
        </is>
      </c>
      <c r="E1542" t="inlineStr">
        <is>
          <t>HÄRJEDALEN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36097-2024</t>
        </is>
      </c>
      <c r="B1543" s="1" t="n">
        <v>45533</v>
      </c>
      <c r="C1543" s="1" t="n">
        <v>45787</v>
      </c>
      <c r="D1543" t="inlineStr">
        <is>
          <t>JÄMTLANDS LÄN</t>
        </is>
      </c>
      <c r="E1543" t="inlineStr">
        <is>
          <t>HÄRJEDALEN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36123-2024</t>
        </is>
      </c>
      <c r="B1544" s="1" t="n">
        <v>45534</v>
      </c>
      <c r="C1544" s="1" t="n">
        <v>45787</v>
      </c>
      <c r="D1544" t="inlineStr">
        <is>
          <t>JÄMTLANDS LÄN</t>
        </is>
      </c>
      <c r="E1544" t="inlineStr">
        <is>
          <t>HÄRJEDALEN</t>
        </is>
      </c>
      <c r="F1544" t="inlineStr">
        <is>
          <t>Bergvik skog väst AB</t>
        </is>
      </c>
      <c r="G1544" t="n">
        <v>25.7</v>
      </c>
      <c r="H1544" t="n">
        <v>0</v>
      </c>
      <c r="I1544" t="n">
        <v>0</v>
      </c>
      <c r="J1544" t="n">
        <v>0</v>
      </c>
      <c r="K1544" t="n">
        <v>0</v>
      </c>
      <c r="L1544" t="n">
        <v>0</v>
      </c>
      <c r="M1544" t="n">
        <v>0</v>
      </c>
      <c r="N1544" t="n">
        <v>0</v>
      </c>
      <c r="O1544" t="n">
        <v>0</v>
      </c>
      <c r="P1544" t="n">
        <v>0</v>
      </c>
      <c r="Q1544" t="n">
        <v>0</v>
      </c>
      <c r="R1544" s="2" t="inlineStr"/>
    </row>
    <row r="1545" ht="15" customHeight="1">
      <c r="A1545" t="inlineStr">
        <is>
          <t>A 36239-2024</t>
        </is>
      </c>
      <c r="B1545" s="1" t="n">
        <v>45534</v>
      </c>
      <c r="C1545" s="1" t="n">
        <v>45787</v>
      </c>
      <c r="D1545" t="inlineStr">
        <is>
          <t>JÄMTLANDS LÄN</t>
        </is>
      </c>
      <c r="E1545" t="inlineStr">
        <is>
          <t>HÄRJEDALEN</t>
        </is>
      </c>
      <c r="F1545" t="inlineStr">
        <is>
          <t>Bergvik skog väst AB</t>
        </is>
      </c>
      <c r="G1545" t="n">
        <v>8.699999999999999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36645-2024</t>
        </is>
      </c>
      <c r="B1546" s="1" t="n">
        <v>45537</v>
      </c>
      <c r="C1546" s="1" t="n">
        <v>45787</v>
      </c>
      <c r="D1546" t="inlineStr">
        <is>
          <t>JÄMTLANDS LÄN</t>
        </is>
      </c>
      <c r="E1546" t="inlineStr">
        <is>
          <t>HÄRJEDALEN</t>
        </is>
      </c>
      <c r="F1546" t="inlineStr">
        <is>
          <t>Holmen skog AB</t>
        </is>
      </c>
      <c r="G1546" t="n">
        <v>16.8</v>
      </c>
      <c r="H1546" t="n">
        <v>0</v>
      </c>
      <c r="I1546" t="n">
        <v>0</v>
      </c>
      <c r="J1546" t="n">
        <v>0</v>
      </c>
      <c r="K1546" t="n">
        <v>0</v>
      </c>
      <c r="L1546" t="n">
        <v>0</v>
      </c>
      <c r="M1546" t="n">
        <v>0</v>
      </c>
      <c r="N1546" t="n">
        <v>0</v>
      </c>
      <c r="O1546" t="n">
        <v>0</v>
      </c>
      <c r="P1546" t="n">
        <v>0</v>
      </c>
      <c r="Q1546" t="n">
        <v>0</v>
      </c>
      <c r="R1546" s="2" t="inlineStr"/>
    </row>
    <row r="1547" ht="15" customHeight="1">
      <c r="A1547" t="inlineStr">
        <is>
          <t>A 36911-2024</t>
        </is>
      </c>
      <c r="B1547" s="1" t="n">
        <v>45538</v>
      </c>
      <c r="C1547" s="1" t="n">
        <v>45787</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36941-2024</t>
        </is>
      </c>
      <c r="B1548" s="1" t="n">
        <v>45538</v>
      </c>
      <c r="C1548" s="1" t="n">
        <v>45787</v>
      </c>
      <c r="D1548" t="inlineStr">
        <is>
          <t>JÄMTLANDS LÄN</t>
        </is>
      </c>
      <c r="E1548" t="inlineStr">
        <is>
          <t>HÄRJEDALEN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37054-2024</t>
        </is>
      </c>
      <c r="B1549" s="1" t="n">
        <v>45539</v>
      </c>
      <c r="C1549" s="1" t="n">
        <v>45787</v>
      </c>
      <c r="D1549" t="inlineStr">
        <is>
          <t>JÄMTLANDS LÄN</t>
        </is>
      </c>
      <c r="E1549" t="inlineStr">
        <is>
          <t>HÄRJEDALEN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37281-2024</t>
        </is>
      </c>
      <c r="B1550" s="1" t="n">
        <v>45540</v>
      </c>
      <c r="C1550" s="1" t="n">
        <v>45787</v>
      </c>
      <c r="D1550" t="inlineStr">
        <is>
          <t>JÄMTLANDS LÄN</t>
        </is>
      </c>
      <c r="E1550" t="inlineStr">
        <is>
          <t>HÄRJEDALEN</t>
        </is>
      </c>
      <c r="F1550" t="inlineStr">
        <is>
          <t>Bergvik skog väst AB</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38507-2024</t>
        </is>
      </c>
      <c r="B1551" s="1" t="n">
        <v>45546</v>
      </c>
      <c r="C1551" s="1" t="n">
        <v>45787</v>
      </c>
      <c r="D1551" t="inlineStr">
        <is>
          <t>JÄMTLANDS LÄN</t>
        </is>
      </c>
      <c r="E1551" t="inlineStr">
        <is>
          <t>HÄRJEDALEN</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38609-2024</t>
        </is>
      </c>
      <c r="B1552" s="1" t="n">
        <v>45546</v>
      </c>
      <c r="C1552" s="1" t="n">
        <v>45787</v>
      </c>
      <c r="D1552" t="inlineStr">
        <is>
          <t>JÄMTLANDS LÄN</t>
        </is>
      </c>
      <c r="E1552" t="inlineStr">
        <is>
          <t>HÄRJEDALEN</t>
        </is>
      </c>
      <c r="F1552" t="inlineStr">
        <is>
          <t>Bergvik skog väst AB</t>
        </is>
      </c>
      <c r="G1552" t="n">
        <v>32.4</v>
      </c>
      <c r="H1552" t="n">
        <v>0</v>
      </c>
      <c r="I1552" t="n">
        <v>0</v>
      </c>
      <c r="J1552" t="n">
        <v>0</v>
      </c>
      <c r="K1552" t="n">
        <v>0</v>
      </c>
      <c r="L1552" t="n">
        <v>0</v>
      </c>
      <c r="M1552" t="n">
        <v>0</v>
      </c>
      <c r="N1552" t="n">
        <v>0</v>
      </c>
      <c r="O1552" t="n">
        <v>0</v>
      </c>
      <c r="P1552" t="n">
        <v>0</v>
      </c>
      <c r="Q1552" t="n">
        <v>0</v>
      </c>
      <c r="R1552" s="2" t="inlineStr"/>
    </row>
    <row r="1553" ht="15" customHeight="1">
      <c r="A1553" t="inlineStr">
        <is>
          <t>A 38841-2024</t>
        </is>
      </c>
      <c r="B1553" s="1" t="n">
        <v>45547</v>
      </c>
      <c r="C1553" s="1" t="n">
        <v>45787</v>
      </c>
      <c r="D1553" t="inlineStr">
        <is>
          <t>JÄMTLANDS LÄN</t>
        </is>
      </c>
      <c r="E1553" t="inlineStr">
        <is>
          <t>HÄRJEDALEN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38827-2024</t>
        </is>
      </c>
      <c r="B1554" s="1" t="n">
        <v>45547</v>
      </c>
      <c r="C1554" s="1" t="n">
        <v>45787</v>
      </c>
      <c r="D1554" t="inlineStr">
        <is>
          <t>JÄMTLANDS LÄN</t>
        </is>
      </c>
      <c r="E1554" t="inlineStr">
        <is>
          <t>HÄRJEDALEN</t>
        </is>
      </c>
      <c r="F1554" t="inlineStr">
        <is>
          <t>Bergvik skog väst AB</t>
        </is>
      </c>
      <c r="G1554" t="n">
        <v>30</v>
      </c>
      <c r="H1554" t="n">
        <v>0</v>
      </c>
      <c r="I1554" t="n">
        <v>0</v>
      </c>
      <c r="J1554" t="n">
        <v>0</v>
      </c>
      <c r="K1554" t="n">
        <v>0</v>
      </c>
      <c r="L1554" t="n">
        <v>0</v>
      </c>
      <c r="M1554" t="n">
        <v>0</v>
      </c>
      <c r="N1554" t="n">
        <v>0</v>
      </c>
      <c r="O1554" t="n">
        <v>0</v>
      </c>
      <c r="P1554" t="n">
        <v>0</v>
      </c>
      <c r="Q1554" t="n">
        <v>0</v>
      </c>
      <c r="R1554" s="2" t="inlineStr"/>
    </row>
    <row r="1555" ht="15" customHeight="1">
      <c r="A1555" t="inlineStr">
        <is>
          <t>A 38851-2024</t>
        </is>
      </c>
      <c r="B1555" s="1" t="n">
        <v>45547</v>
      </c>
      <c r="C1555" s="1" t="n">
        <v>45787</v>
      </c>
      <c r="D1555" t="inlineStr">
        <is>
          <t>JÄMTLANDS LÄN</t>
        </is>
      </c>
      <c r="E1555" t="inlineStr">
        <is>
          <t>HÄRJEDALEN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38840-2024</t>
        </is>
      </c>
      <c r="B1556" s="1" t="n">
        <v>45547</v>
      </c>
      <c r="C1556" s="1" t="n">
        <v>45787</v>
      </c>
      <c r="D1556" t="inlineStr">
        <is>
          <t>JÄMTLANDS LÄN</t>
        </is>
      </c>
      <c r="E1556" t="inlineStr">
        <is>
          <t>HÄRJEDALEN</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40037-2024</t>
        </is>
      </c>
      <c r="B1557" s="1" t="n">
        <v>45553</v>
      </c>
      <c r="C1557" s="1" t="n">
        <v>45787</v>
      </c>
      <c r="D1557" t="inlineStr">
        <is>
          <t>JÄMTLANDS LÄN</t>
        </is>
      </c>
      <c r="E1557" t="inlineStr">
        <is>
          <t>HÄRJEDALEN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40114-2024</t>
        </is>
      </c>
      <c r="B1558" s="1" t="n">
        <v>45554</v>
      </c>
      <c r="C1558" s="1" t="n">
        <v>45787</v>
      </c>
      <c r="D1558" t="inlineStr">
        <is>
          <t>JÄMTLANDS LÄN</t>
        </is>
      </c>
      <c r="E1558" t="inlineStr">
        <is>
          <t>HÄRJEDALEN</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41259-2024</t>
        </is>
      </c>
      <c r="B1559" s="1" t="n">
        <v>45559</v>
      </c>
      <c r="C1559" s="1" t="n">
        <v>45787</v>
      </c>
      <c r="D1559" t="inlineStr">
        <is>
          <t>JÄMTLANDS LÄN</t>
        </is>
      </c>
      <c r="E1559" t="inlineStr">
        <is>
          <t>HÄRJEDALEN</t>
        </is>
      </c>
      <c r="F1559" t="inlineStr">
        <is>
          <t>Bergvik skog väst AB</t>
        </is>
      </c>
      <c r="G1559" t="n">
        <v>30.7</v>
      </c>
      <c r="H1559" t="n">
        <v>0</v>
      </c>
      <c r="I1559" t="n">
        <v>0</v>
      </c>
      <c r="J1559" t="n">
        <v>0</v>
      </c>
      <c r="K1559" t="n">
        <v>0</v>
      </c>
      <c r="L1559" t="n">
        <v>0</v>
      </c>
      <c r="M1559" t="n">
        <v>0</v>
      </c>
      <c r="N1559" t="n">
        <v>0</v>
      </c>
      <c r="O1559" t="n">
        <v>0</v>
      </c>
      <c r="P1559" t="n">
        <v>0</v>
      </c>
      <c r="Q1559" t="n">
        <v>0</v>
      </c>
      <c r="R1559" s="2" t="inlineStr"/>
    </row>
    <row r="1560" ht="15" customHeight="1">
      <c r="A1560" t="inlineStr">
        <is>
          <t>A 41329-2024</t>
        </is>
      </c>
      <c r="B1560" s="1" t="n">
        <v>45559</v>
      </c>
      <c r="C1560" s="1" t="n">
        <v>45787</v>
      </c>
      <c r="D1560" t="inlineStr">
        <is>
          <t>JÄMTLANDS LÄN</t>
        </is>
      </c>
      <c r="E1560" t="inlineStr">
        <is>
          <t>HÄRJEDALEN</t>
        </is>
      </c>
      <c r="G1560" t="n">
        <v>47.1</v>
      </c>
      <c r="H1560" t="n">
        <v>0</v>
      </c>
      <c r="I1560" t="n">
        <v>0</v>
      </c>
      <c r="J1560" t="n">
        <v>0</v>
      </c>
      <c r="K1560" t="n">
        <v>0</v>
      </c>
      <c r="L1560" t="n">
        <v>0</v>
      </c>
      <c r="M1560" t="n">
        <v>0</v>
      </c>
      <c r="N1560" t="n">
        <v>0</v>
      </c>
      <c r="O1560" t="n">
        <v>0</v>
      </c>
      <c r="P1560" t="n">
        <v>0</v>
      </c>
      <c r="Q1560" t="n">
        <v>0</v>
      </c>
      <c r="R1560" s="2" t="inlineStr"/>
    </row>
    <row r="1561" ht="15" customHeight="1">
      <c r="A1561" t="inlineStr">
        <is>
          <t>A 41101-2024</t>
        </is>
      </c>
      <c r="B1561" s="1" t="n">
        <v>45559</v>
      </c>
      <c r="C1561" s="1" t="n">
        <v>45787</v>
      </c>
      <c r="D1561" t="inlineStr">
        <is>
          <t>JÄMTLANDS LÄN</t>
        </is>
      </c>
      <c r="E1561" t="inlineStr">
        <is>
          <t>HÄRJEDALEN</t>
        </is>
      </c>
      <c r="F1561" t="inlineStr">
        <is>
          <t>Holmen skog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41604-2024</t>
        </is>
      </c>
      <c r="B1562" s="1" t="n">
        <v>45560</v>
      </c>
      <c r="C1562" s="1" t="n">
        <v>45787</v>
      </c>
      <c r="D1562" t="inlineStr">
        <is>
          <t>JÄMTLANDS LÄN</t>
        </is>
      </c>
      <c r="E1562" t="inlineStr">
        <is>
          <t>HÄRJEDALEN</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41401-2024</t>
        </is>
      </c>
      <c r="B1563" s="1" t="n">
        <v>45560</v>
      </c>
      <c r="C1563" s="1" t="n">
        <v>45787</v>
      </c>
      <c r="D1563" t="inlineStr">
        <is>
          <t>JÄMTLANDS LÄN</t>
        </is>
      </c>
      <c r="E1563" t="inlineStr">
        <is>
          <t>HÄRJEDALEN</t>
        </is>
      </c>
      <c r="F1563" t="inlineStr">
        <is>
          <t>Bergvik skog väst AB</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41615-2024</t>
        </is>
      </c>
      <c r="B1564" s="1" t="n">
        <v>45560</v>
      </c>
      <c r="C1564" s="1" t="n">
        <v>45787</v>
      </c>
      <c r="D1564" t="inlineStr">
        <is>
          <t>JÄMTLANDS LÄN</t>
        </is>
      </c>
      <c r="E1564" t="inlineStr">
        <is>
          <t>HÄRJEDALEN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41647-2024</t>
        </is>
      </c>
      <c r="B1565" s="1" t="n">
        <v>45560</v>
      </c>
      <c r="C1565" s="1" t="n">
        <v>45787</v>
      </c>
      <c r="D1565" t="inlineStr">
        <is>
          <t>JÄMTLANDS LÄN</t>
        </is>
      </c>
      <c r="E1565" t="inlineStr">
        <is>
          <t>HÄRJEDALEN</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41761-2024</t>
        </is>
      </c>
      <c r="B1566" s="1" t="n">
        <v>45561</v>
      </c>
      <c r="C1566" s="1" t="n">
        <v>45787</v>
      </c>
      <c r="D1566" t="inlineStr">
        <is>
          <t>JÄMTLANDS LÄN</t>
        </is>
      </c>
      <c r="E1566" t="inlineStr">
        <is>
          <t>HÄRJEDALEN</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41887-2024</t>
        </is>
      </c>
      <c r="B1567" s="1" t="n">
        <v>45561</v>
      </c>
      <c r="C1567" s="1" t="n">
        <v>45787</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41895-2024</t>
        </is>
      </c>
      <c r="B1568" s="1" t="n">
        <v>45561</v>
      </c>
      <c r="C1568" s="1" t="n">
        <v>45787</v>
      </c>
      <c r="D1568" t="inlineStr">
        <is>
          <t>JÄMTLANDS LÄN</t>
        </is>
      </c>
      <c r="E1568" t="inlineStr">
        <is>
          <t>HÄRJEDALEN</t>
        </is>
      </c>
      <c r="G1568" t="n">
        <v>39.3</v>
      </c>
      <c r="H1568" t="n">
        <v>0</v>
      </c>
      <c r="I1568" t="n">
        <v>0</v>
      </c>
      <c r="J1568" t="n">
        <v>0</v>
      </c>
      <c r="K1568" t="n">
        <v>0</v>
      </c>
      <c r="L1568" t="n">
        <v>0</v>
      </c>
      <c r="M1568" t="n">
        <v>0</v>
      </c>
      <c r="N1568" t="n">
        <v>0</v>
      </c>
      <c r="O1568" t="n">
        <v>0</v>
      </c>
      <c r="P1568" t="n">
        <v>0</v>
      </c>
      <c r="Q1568" t="n">
        <v>0</v>
      </c>
      <c r="R1568" s="2" t="inlineStr"/>
    </row>
    <row r="1569" ht="15" customHeight="1">
      <c r="A1569" t="inlineStr">
        <is>
          <t>A 41885-2024</t>
        </is>
      </c>
      <c r="B1569" s="1" t="n">
        <v>45561</v>
      </c>
      <c r="C1569" s="1" t="n">
        <v>45787</v>
      </c>
      <c r="D1569" t="inlineStr">
        <is>
          <t>JÄMTLANDS LÄN</t>
        </is>
      </c>
      <c r="E1569" t="inlineStr">
        <is>
          <t>HÄRJEDALEN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41785-2024</t>
        </is>
      </c>
      <c r="B1570" s="1" t="n">
        <v>45561</v>
      </c>
      <c r="C1570" s="1" t="n">
        <v>45787</v>
      </c>
      <c r="D1570" t="inlineStr">
        <is>
          <t>JÄMTLANDS LÄN</t>
        </is>
      </c>
      <c r="E1570" t="inlineStr">
        <is>
          <t>HÄRJEDALEN</t>
        </is>
      </c>
      <c r="F1570" t="inlineStr">
        <is>
          <t>SCA</t>
        </is>
      </c>
      <c r="G1570" t="n">
        <v>45.1</v>
      </c>
      <c r="H1570" t="n">
        <v>0</v>
      </c>
      <c r="I1570" t="n">
        <v>0</v>
      </c>
      <c r="J1570" t="n">
        <v>0</v>
      </c>
      <c r="K1570" t="n">
        <v>0</v>
      </c>
      <c r="L1570" t="n">
        <v>0</v>
      </c>
      <c r="M1570" t="n">
        <v>0</v>
      </c>
      <c r="N1570" t="n">
        <v>0</v>
      </c>
      <c r="O1570" t="n">
        <v>0</v>
      </c>
      <c r="P1570" t="n">
        <v>0</v>
      </c>
      <c r="Q1570" t="n">
        <v>0</v>
      </c>
      <c r="R1570" s="2" t="inlineStr"/>
    </row>
    <row r="1571" ht="15" customHeight="1">
      <c r="A1571" t="inlineStr">
        <is>
          <t>A 42332-2024</t>
        </is>
      </c>
      <c r="B1571" s="1" t="n">
        <v>45562</v>
      </c>
      <c r="C1571" s="1" t="n">
        <v>45787</v>
      </c>
      <c r="D1571" t="inlineStr">
        <is>
          <t>JÄMTLANDS LÄN</t>
        </is>
      </c>
      <c r="E1571" t="inlineStr">
        <is>
          <t>HÄRJEDALEN</t>
        </is>
      </c>
      <c r="F1571" t="inlineStr">
        <is>
          <t>Sveaskog</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42333-2024</t>
        </is>
      </c>
      <c r="B1572" s="1" t="n">
        <v>45562</v>
      </c>
      <c r="C1572" s="1" t="n">
        <v>45787</v>
      </c>
      <c r="D1572" t="inlineStr">
        <is>
          <t>JÄMTLANDS LÄN</t>
        </is>
      </c>
      <c r="E1572" t="inlineStr">
        <is>
          <t>HÄRJEDALEN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42789-2024</t>
        </is>
      </c>
      <c r="B1573" s="1" t="n">
        <v>45566</v>
      </c>
      <c r="C1573" s="1" t="n">
        <v>45787</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42803-2024</t>
        </is>
      </c>
      <c r="B1574" s="1" t="n">
        <v>45566</v>
      </c>
      <c r="C1574" s="1" t="n">
        <v>45787</v>
      </c>
      <c r="D1574" t="inlineStr">
        <is>
          <t>JÄMTLANDS LÄN</t>
        </is>
      </c>
      <c r="E1574" t="inlineStr">
        <is>
          <t>HÄRJEDALEN</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43036-2024</t>
        </is>
      </c>
      <c r="B1575" s="1" t="n">
        <v>45567</v>
      </c>
      <c r="C1575" s="1" t="n">
        <v>45787</v>
      </c>
      <c r="D1575" t="inlineStr">
        <is>
          <t>JÄMTLANDS LÄN</t>
        </is>
      </c>
      <c r="E1575" t="inlineStr">
        <is>
          <t>HÄRJEDALEN</t>
        </is>
      </c>
      <c r="F1575" t="inlineStr">
        <is>
          <t>Bergvik skog väst AB</t>
        </is>
      </c>
      <c r="G1575" t="n">
        <v>28.4</v>
      </c>
      <c r="H1575" t="n">
        <v>0</v>
      </c>
      <c r="I1575" t="n">
        <v>0</v>
      </c>
      <c r="J1575" t="n">
        <v>0</v>
      </c>
      <c r="K1575" t="n">
        <v>0</v>
      </c>
      <c r="L1575" t="n">
        <v>0</v>
      </c>
      <c r="M1575" t="n">
        <v>0</v>
      </c>
      <c r="N1575" t="n">
        <v>0</v>
      </c>
      <c r="O1575" t="n">
        <v>0</v>
      </c>
      <c r="P1575" t="n">
        <v>0</v>
      </c>
      <c r="Q1575" t="n">
        <v>0</v>
      </c>
      <c r="R1575" s="2" t="inlineStr"/>
    </row>
    <row r="1576" ht="15" customHeight="1">
      <c r="A1576" t="inlineStr">
        <is>
          <t>A 43287-2024</t>
        </is>
      </c>
      <c r="B1576" s="1" t="n">
        <v>45568</v>
      </c>
      <c r="C1576" s="1" t="n">
        <v>45787</v>
      </c>
      <c r="D1576" t="inlineStr">
        <is>
          <t>JÄMTLANDS LÄN</t>
        </is>
      </c>
      <c r="E1576" t="inlineStr">
        <is>
          <t>HÄRJEDALEN</t>
        </is>
      </c>
      <c r="F1576" t="inlineStr">
        <is>
          <t>SCA</t>
        </is>
      </c>
      <c r="G1576" t="n">
        <v>19.7</v>
      </c>
      <c r="H1576" t="n">
        <v>0</v>
      </c>
      <c r="I1576" t="n">
        <v>0</v>
      </c>
      <c r="J1576" t="n">
        <v>0</v>
      </c>
      <c r="K1576" t="n">
        <v>0</v>
      </c>
      <c r="L1576" t="n">
        <v>0</v>
      </c>
      <c r="M1576" t="n">
        <v>0</v>
      </c>
      <c r="N1576" t="n">
        <v>0</v>
      </c>
      <c r="O1576" t="n">
        <v>0</v>
      </c>
      <c r="P1576" t="n">
        <v>0</v>
      </c>
      <c r="Q1576" t="n">
        <v>0</v>
      </c>
      <c r="R1576" s="2" t="inlineStr"/>
    </row>
    <row r="1577" ht="15" customHeight="1">
      <c r="A1577" t="inlineStr">
        <is>
          <t>A 43297-2024</t>
        </is>
      </c>
      <c r="B1577" s="1" t="n">
        <v>45568</v>
      </c>
      <c r="C1577" s="1" t="n">
        <v>45787</v>
      </c>
      <c r="D1577" t="inlineStr">
        <is>
          <t>JÄMTLANDS LÄN</t>
        </is>
      </c>
      <c r="E1577" t="inlineStr">
        <is>
          <t>HÄRJEDALEN</t>
        </is>
      </c>
      <c r="F1577" t="inlineStr">
        <is>
          <t>SCA</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43309-2024</t>
        </is>
      </c>
      <c r="B1578" s="1" t="n">
        <v>45568</v>
      </c>
      <c r="C1578" s="1" t="n">
        <v>45787</v>
      </c>
      <c r="D1578" t="inlineStr">
        <is>
          <t>JÄMTLANDS LÄN</t>
        </is>
      </c>
      <c r="E1578" t="inlineStr">
        <is>
          <t>HÄRJEDALEN</t>
        </is>
      </c>
      <c r="F1578" t="inlineStr">
        <is>
          <t>Bergvik skog väst AB</t>
        </is>
      </c>
      <c r="G1578" t="n">
        <v>79.8</v>
      </c>
      <c r="H1578" t="n">
        <v>0</v>
      </c>
      <c r="I1578" t="n">
        <v>0</v>
      </c>
      <c r="J1578" t="n">
        <v>0</v>
      </c>
      <c r="K1578" t="n">
        <v>0</v>
      </c>
      <c r="L1578" t="n">
        <v>0</v>
      </c>
      <c r="M1578" t="n">
        <v>0</v>
      </c>
      <c r="N1578" t="n">
        <v>0</v>
      </c>
      <c r="O1578" t="n">
        <v>0</v>
      </c>
      <c r="P1578" t="n">
        <v>0</v>
      </c>
      <c r="Q1578" t="n">
        <v>0</v>
      </c>
      <c r="R1578" s="2" t="inlineStr"/>
    </row>
    <row r="1579" ht="15" customHeight="1">
      <c r="A1579" t="inlineStr">
        <is>
          <t>A 43390-2024</t>
        </is>
      </c>
      <c r="B1579" s="1" t="n">
        <v>45568</v>
      </c>
      <c r="C1579" s="1" t="n">
        <v>45787</v>
      </c>
      <c r="D1579" t="inlineStr">
        <is>
          <t>JÄMTLANDS LÄN</t>
        </is>
      </c>
      <c r="E1579" t="inlineStr">
        <is>
          <t>HÄRJEDALEN</t>
        </is>
      </c>
      <c r="F1579" t="inlineStr">
        <is>
          <t>Bergvik skog väst AB</t>
        </is>
      </c>
      <c r="G1579" t="n">
        <v>10.9</v>
      </c>
      <c r="H1579" t="n">
        <v>0</v>
      </c>
      <c r="I1579" t="n">
        <v>0</v>
      </c>
      <c r="J1579" t="n">
        <v>0</v>
      </c>
      <c r="K1579" t="n">
        <v>0</v>
      </c>
      <c r="L1579" t="n">
        <v>0</v>
      </c>
      <c r="M1579" t="n">
        <v>0</v>
      </c>
      <c r="N1579" t="n">
        <v>0</v>
      </c>
      <c r="O1579" t="n">
        <v>0</v>
      </c>
      <c r="P1579" t="n">
        <v>0</v>
      </c>
      <c r="Q1579" t="n">
        <v>0</v>
      </c>
      <c r="R1579" s="2" t="inlineStr"/>
    </row>
    <row r="1580" ht="15" customHeight="1">
      <c r="A1580" t="inlineStr">
        <is>
          <t>A 43294-2024</t>
        </is>
      </c>
      <c r="B1580" s="1" t="n">
        <v>45568</v>
      </c>
      <c r="C1580" s="1" t="n">
        <v>45787</v>
      </c>
      <c r="D1580" t="inlineStr">
        <is>
          <t>JÄMTLANDS LÄN</t>
        </is>
      </c>
      <c r="E1580" t="inlineStr">
        <is>
          <t>HÄRJEDALEN</t>
        </is>
      </c>
      <c r="F1580" t="inlineStr">
        <is>
          <t>SCA</t>
        </is>
      </c>
      <c r="G1580" t="n">
        <v>18.5</v>
      </c>
      <c r="H1580" t="n">
        <v>0</v>
      </c>
      <c r="I1580" t="n">
        <v>0</v>
      </c>
      <c r="J1580" t="n">
        <v>0</v>
      </c>
      <c r="K1580" t="n">
        <v>0</v>
      </c>
      <c r="L1580" t="n">
        <v>0</v>
      </c>
      <c r="M1580" t="n">
        <v>0</v>
      </c>
      <c r="N1580" t="n">
        <v>0</v>
      </c>
      <c r="O1580" t="n">
        <v>0</v>
      </c>
      <c r="P1580" t="n">
        <v>0</v>
      </c>
      <c r="Q1580" t="n">
        <v>0</v>
      </c>
      <c r="R1580" s="2" t="inlineStr"/>
    </row>
    <row r="1581" ht="15" customHeight="1">
      <c r="A1581" t="inlineStr">
        <is>
          <t>A 43316-2024</t>
        </is>
      </c>
      <c r="B1581" s="1" t="n">
        <v>45568</v>
      </c>
      <c r="C1581" s="1" t="n">
        <v>45787</v>
      </c>
      <c r="D1581" t="inlineStr">
        <is>
          <t>JÄMTLANDS LÄN</t>
        </is>
      </c>
      <c r="E1581" t="inlineStr">
        <is>
          <t>HÄRJEDALEN</t>
        </is>
      </c>
      <c r="F1581" t="inlineStr">
        <is>
          <t>Bergvik skog väst AB</t>
        </is>
      </c>
      <c r="G1581" t="n">
        <v>79.90000000000001</v>
      </c>
      <c r="H1581" t="n">
        <v>0</v>
      </c>
      <c r="I1581" t="n">
        <v>0</v>
      </c>
      <c r="J1581" t="n">
        <v>0</v>
      </c>
      <c r="K1581" t="n">
        <v>0</v>
      </c>
      <c r="L1581" t="n">
        <v>0</v>
      </c>
      <c r="M1581" t="n">
        <v>0</v>
      </c>
      <c r="N1581" t="n">
        <v>0</v>
      </c>
      <c r="O1581" t="n">
        <v>0</v>
      </c>
      <c r="P1581" t="n">
        <v>0</v>
      </c>
      <c r="Q1581" t="n">
        <v>0</v>
      </c>
      <c r="R1581" s="2" t="inlineStr"/>
    </row>
    <row r="1582" ht="15" customHeight="1">
      <c r="A1582" t="inlineStr">
        <is>
          <t>A 43623-2024</t>
        </is>
      </c>
      <c r="B1582" s="1" t="n">
        <v>45569</v>
      </c>
      <c r="C1582" s="1" t="n">
        <v>45787</v>
      </c>
      <c r="D1582" t="inlineStr">
        <is>
          <t>JÄMTLANDS LÄN</t>
        </is>
      </c>
      <c r="E1582" t="inlineStr">
        <is>
          <t>HÄRJEDALEN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43555-2024</t>
        </is>
      </c>
      <c r="B1583" s="1" t="n">
        <v>45569</v>
      </c>
      <c r="C1583" s="1" t="n">
        <v>45787</v>
      </c>
      <c r="D1583" t="inlineStr">
        <is>
          <t>JÄMTLANDS LÄN</t>
        </is>
      </c>
      <c r="E1583" t="inlineStr">
        <is>
          <t>HÄRJEDALEN</t>
        </is>
      </c>
      <c r="G1583" t="n">
        <v>30.3</v>
      </c>
      <c r="H1583" t="n">
        <v>0</v>
      </c>
      <c r="I1583" t="n">
        <v>0</v>
      </c>
      <c r="J1583" t="n">
        <v>0</v>
      </c>
      <c r="K1583" t="n">
        <v>0</v>
      </c>
      <c r="L1583" t="n">
        <v>0</v>
      </c>
      <c r="M1583" t="n">
        <v>0</v>
      </c>
      <c r="N1583" t="n">
        <v>0</v>
      </c>
      <c r="O1583" t="n">
        <v>0</v>
      </c>
      <c r="P1583" t="n">
        <v>0</v>
      </c>
      <c r="Q1583" t="n">
        <v>0</v>
      </c>
      <c r="R1583" s="2" t="inlineStr"/>
    </row>
    <row r="1584" ht="15" customHeight="1">
      <c r="A1584" t="inlineStr">
        <is>
          <t>A 43574-2024</t>
        </is>
      </c>
      <c r="B1584" s="1" t="n">
        <v>45569</v>
      </c>
      <c r="C1584" s="1" t="n">
        <v>45787</v>
      </c>
      <c r="D1584" t="inlineStr">
        <is>
          <t>JÄMTLANDS LÄN</t>
        </is>
      </c>
      <c r="E1584" t="inlineStr">
        <is>
          <t>HÄRJEDALEN</t>
        </is>
      </c>
      <c r="F1584" t="inlineStr">
        <is>
          <t>Bergvik skog väst AB</t>
        </is>
      </c>
      <c r="G1584" t="n">
        <v>258.3</v>
      </c>
      <c r="H1584" t="n">
        <v>0</v>
      </c>
      <c r="I1584" t="n">
        <v>0</v>
      </c>
      <c r="J1584" t="n">
        <v>0</v>
      </c>
      <c r="K1584" t="n">
        <v>0</v>
      </c>
      <c r="L1584" t="n">
        <v>0</v>
      </c>
      <c r="M1584" t="n">
        <v>0</v>
      </c>
      <c r="N1584" t="n">
        <v>0</v>
      </c>
      <c r="O1584" t="n">
        <v>0</v>
      </c>
      <c r="P1584" t="n">
        <v>0</v>
      </c>
      <c r="Q1584" t="n">
        <v>0</v>
      </c>
      <c r="R1584" s="2" t="inlineStr"/>
    </row>
    <row r="1585" ht="15" customHeight="1">
      <c r="A1585" t="inlineStr">
        <is>
          <t>A 43586-2024</t>
        </is>
      </c>
      <c r="B1585" s="1" t="n">
        <v>45569</v>
      </c>
      <c r="C1585" s="1" t="n">
        <v>45787</v>
      </c>
      <c r="D1585" t="inlineStr">
        <is>
          <t>JÄMTLANDS LÄN</t>
        </is>
      </c>
      <c r="E1585" t="inlineStr">
        <is>
          <t>HÄRJEDALEN</t>
        </is>
      </c>
      <c r="F1585" t="inlineStr">
        <is>
          <t>Bergvik skog väst AB</t>
        </is>
      </c>
      <c r="G1585" t="n">
        <v>96.2</v>
      </c>
      <c r="H1585" t="n">
        <v>0</v>
      </c>
      <c r="I1585" t="n">
        <v>0</v>
      </c>
      <c r="J1585" t="n">
        <v>0</v>
      </c>
      <c r="K1585" t="n">
        <v>0</v>
      </c>
      <c r="L1585" t="n">
        <v>0</v>
      </c>
      <c r="M1585" t="n">
        <v>0</v>
      </c>
      <c r="N1585" t="n">
        <v>0</v>
      </c>
      <c r="O1585" t="n">
        <v>0</v>
      </c>
      <c r="P1585" t="n">
        <v>0</v>
      </c>
      <c r="Q1585" t="n">
        <v>0</v>
      </c>
      <c r="R1585" s="2" t="inlineStr"/>
    </row>
    <row r="1586" ht="15" customHeight="1">
      <c r="A1586" t="inlineStr">
        <is>
          <t>A 43760-2024</t>
        </is>
      </c>
      <c r="B1586" s="1" t="n">
        <v>45569</v>
      </c>
      <c r="C1586" s="1" t="n">
        <v>45787</v>
      </c>
      <c r="D1586" t="inlineStr">
        <is>
          <t>JÄMTLANDS LÄN</t>
        </is>
      </c>
      <c r="E1586" t="inlineStr">
        <is>
          <t>HÄRJEDALEN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43758-2024</t>
        </is>
      </c>
      <c r="B1587" s="1" t="n">
        <v>45569</v>
      </c>
      <c r="C1587" s="1" t="n">
        <v>45787</v>
      </c>
      <c r="D1587" t="inlineStr">
        <is>
          <t>JÄMTLANDS LÄN</t>
        </is>
      </c>
      <c r="E1587" t="inlineStr">
        <is>
          <t>HÄRJEDALEN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43591-2024</t>
        </is>
      </c>
      <c r="B1588" s="1" t="n">
        <v>45569</v>
      </c>
      <c r="C1588" s="1" t="n">
        <v>45787</v>
      </c>
      <c r="D1588" t="inlineStr">
        <is>
          <t>JÄMTLANDS LÄN</t>
        </is>
      </c>
      <c r="E1588" t="inlineStr">
        <is>
          <t>HÄRJEDALEN</t>
        </is>
      </c>
      <c r="F1588" t="inlineStr">
        <is>
          <t>Bergvik skog väst AB</t>
        </is>
      </c>
      <c r="G1588" t="n">
        <v>50.5</v>
      </c>
      <c r="H1588" t="n">
        <v>0</v>
      </c>
      <c r="I1588" t="n">
        <v>0</v>
      </c>
      <c r="J1588" t="n">
        <v>0</v>
      </c>
      <c r="K1588" t="n">
        <v>0</v>
      </c>
      <c r="L1588" t="n">
        <v>0</v>
      </c>
      <c r="M1588" t="n">
        <v>0</v>
      </c>
      <c r="N1588" t="n">
        <v>0</v>
      </c>
      <c r="O1588" t="n">
        <v>0</v>
      </c>
      <c r="P1588" t="n">
        <v>0</v>
      </c>
      <c r="Q1588" t="n">
        <v>0</v>
      </c>
      <c r="R1588" s="2" t="inlineStr"/>
    </row>
    <row r="1589" ht="15" customHeight="1">
      <c r="A1589" t="inlineStr">
        <is>
          <t>A 43607-2024</t>
        </is>
      </c>
      <c r="B1589" s="1" t="n">
        <v>45569</v>
      </c>
      <c r="C1589" s="1" t="n">
        <v>45787</v>
      </c>
      <c r="D1589" t="inlineStr">
        <is>
          <t>JÄMTLANDS LÄN</t>
        </is>
      </c>
      <c r="E1589" t="inlineStr">
        <is>
          <t>HÄRJEDALEN</t>
        </is>
      </c>
      <c r="F1589" t="inlineStr">
        <is>
          <t>Bergvik skog väst AB</t>
        </is>
      </c>
      <c r="G1589" t="n">
        <v>189.8</v>
      </c>
      <c r="H1589" t="n">
        <v>0</v>
      </c>
      <c r="I1589" t="n">
        <v>0</v>
      </c>
      <c r="J1589" t="n">
        <v>0</v>
      </c>
      <c r="K1589" t="n">
        <v>0</v>
      </c>
      <c r="L1589" t="n">
        <v>0</v>
      </c>
      <c r="M1589" t="n">
        <v>0</v>
      </c>
      <c r="N1589" t="n">
        <v>0</v>
      </c>
      <c r="O1589" t="n">
        <v>0</v>
      </c>
      <c r="P1589" t="n">
        <v>0</v>
      </c>
      <c r="Q1589" t="n">
        <v>0</v>
      </c>
      <c r="R1589" s="2" t="inlineStr"/>
    </row>
    <row r="1590" ht="15" customHeight="1">
      <c r="A1590" t="inlineStr">
        <is>
          <t>A 44056-2024</t>
        </is>
      </c>
      <c r="B1590" s="1" t="n">
        <v>45572</v>
      </c>
      <c r="C1590" s="1" t="n">
        <v>45787</v>
      </c>
      <c r="D1590" t="inlineStr">
        <is>
          <t>JÄMTLANDS LÄN</t>
        </is>
      </c>
      <c r="E1590" t="inlineStr">
        <is>
          <t>HÄRJEDALEN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44060-2024</t>
        </is>
      </c>
      <c r="B1591" s="1" t="n">
        <v>45572</v>
      </c>
      <c r="C1591" s="1" t="n">
        <v>45787</v>
      </c>
      <c r="D1591" t="inlineStr">
        <is>
          <t>JÄMTLANDS LÄN</t>
        </is>
      </c>
      <c r="E1591" t="inlineStr">
        <is>
          <t>HÄRJEDALEN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44222-2024</t>
        </is>
      </c>
      <c r="B1592" s="1" t="n">
        <v>45573</v>
      </c>
      <c r="C1592" s="1" t="n">
        <v>45787</v>
      </c>
      <c r="D1592" t="inlineStr">
        <is>
          <t>JÄMTLANDS LÄN</t>
        </is>
      </c>
      <c r="E1592" t="inlineStr">
        <is>
          <t>HÄRJEDALEN</t>
        </is>
      </c>
      <c r="G1592" t="n">
        <v>15.3</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45787</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45787</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45787</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45787</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45787</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45787</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45787</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45787</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45787</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45787</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45787</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45787</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45787</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45787</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45787</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45787</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45787</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45787</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45787</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45787</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45787</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45787</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45787</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45787</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45787</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45787</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45787</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45787</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45787</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45787</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45787</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45787</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45787</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45787</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45787</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45787</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45787</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45787</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45787</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45787</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45787</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45787</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45787</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45787</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45787</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45787</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45787</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45787</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45787</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45787</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45787</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45787</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45787</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45787</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45787</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45787</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45787</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45787</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45787</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45787</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45787</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45787</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45787</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45787</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45787</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45787</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45787</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45787</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45787</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45787</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45787</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45787</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45787</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45787</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45787</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45787</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45787</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45787</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45787</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45787</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45787</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45787</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45787</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45787</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45787</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45787</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45787</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45787</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45787</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45787</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45787</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45787</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45787</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45787</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45787</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45787</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45787</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45787</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45787</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45787</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45787</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45787</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45787</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45787</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45787</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45787</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45787</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45787</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45787</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45787</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45787</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45787</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45787</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45787</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45787</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45787</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45787</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45787</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45787</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45787</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45787</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45787</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45787</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45787</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45787</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45787</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45787</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45787</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45787</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45787</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45787</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45787</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45787</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45787</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45787</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45787</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45787</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45787</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45787</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45787</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45787</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45787</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45787</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45787</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45787</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45787</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45787</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45787</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45787</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45787</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45787</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45787</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45787</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45787</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45787</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45787</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45787</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45787</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45787</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45787</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45787</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45787</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45787</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45787</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45787</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45787</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45787</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45787</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45787</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45787</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45787</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45787</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45787</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45787</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45787</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45787</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45787</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45787</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45787</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45787</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45787</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45787</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45787</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45787</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45787</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45787</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45787</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45787</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45787</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45787</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45787</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45787</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45787</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45787</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45787</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45787</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45787</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45787</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45787</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45787</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45787</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45787</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45787</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45787</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45787</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45787</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45787</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45787</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45787</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45787</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45787</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45787</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45787</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45787</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45787</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45787</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45787</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45787</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45787</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45787</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45787</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45787</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45787</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45787</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45787</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45787</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45787</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45787</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45787</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45787</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45787</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45787</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45787</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45787</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45787</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45787</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45787</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45787</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45787</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45787</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45787</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45787</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45787</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45787</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45787</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45787</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45787</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45787</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45787</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45787</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45787</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45787</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45787</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45787</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45787</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45787</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45787</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45787</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45787</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45787</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45787</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45787</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45787</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45787</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45787</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45787</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45787</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45787</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45787</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45787</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45787</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45787</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45787</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45787</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45787</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45787</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45787</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45787</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45787</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45787</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45787</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45787</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45787</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45787</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45787</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45787</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45787</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45787</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45787</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45787</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45787</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45787</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45787</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45787</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45787</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45787</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45787</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45787</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45787</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45787</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45787</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45787</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45787</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45787</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45787</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45787</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45787</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45787</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45787</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45787</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45787</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45787</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45787</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45787</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45787</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45787</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17896-2025</t>
        </is>
      </c>
      <c r="B1909" s="1" t="n">
        <v>45758</v>
      </c>
      <c r="C1909" s="1" t="n">
        <v>45787</v>
      </c>
      <c r="D1909" t="inlineStr">
        <is>
          <t>JÄMTLANDS LÄN</t>
        </is>
      </c>
      <c r="E1909" t="inlineStr">
        <is>
          <t>HÄRJEDALEN</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17895-2025</t>
        </is>
      </c>
      <c r="B1910" s="1" t="n">
        <v>45758</v>
      </c>
      <c r="C1910" s="1" t="n">
        <v>45787</v>
      </c>
      <c r="D1910" t="inlineStr">
        <is>
          <t>JÄMTLANDS LÄN</t>
        </is>
      </c>
      <c r="E1910" t="inlineStr">
        <is>
          <t>HÄRJEDALEN</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17885-2025</t>
        </is>
      </c>
      <c r="B1911" s="1" t="n">
        <v>45758</v>
      </c>
      <c r="C1911" s="1" t="n">
        <v>45787</v>
      </c>
      <c r="D1911" t="inlineStr">
        <is>
          <t>JÄMTLANDS LÄN</t>
        </is>
      </c>
      <c r="E1911" t="inlineStr">
        <is>
          <t>HÄRJEDALEN</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17854-2025</t>
        </is>
      </c>
      <c r="B1912" s="1" t="n">
        <v>45758</v>
      </c>
      <c r="C1912" s="1" t="n">
        <v>45787</v>
      </c>
      <c r="D1912" t="inlineStr">
        <is>
          <t>JÄMTLANDS LÄN</t>
        </is>
      </c>
      <c r="E1912" t="inlineStr">
        <is>
          <t>HÄRJEDALEN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45787</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45787</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45787</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45787</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45787</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45787</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18953-2025</t>
        </is>
      </c>
      <c r="B1919" s="1" t="n">
        <v>45764</v>
      </c>
      <c r="C1919" s="1" t="n">
        <v>45787</v>
      </c>
      <c r="D1919" t="inlineStr">
        <is>
          <t>JÄMTLANDS LÄN</t>
        </is>
      </c>
      <c r="E1919" t="inlineStr">
        <is>
          <t>HÄRJEDALEN</t>
        </is>
      </c>
      <c r="G1919" t="n">
        <v>14.3</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45787</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18893-2025</t>
        </is>
      </c>
      <c r="B1921" s="1" t="n">
        <v>45764</v>
      </c>
      <c r="C1921" s="1" t="n">
        <v>45787</v>
      </c>
      <c r="D1921" t="inlineStr">
        <is>
          <t>JÄMTLANDS LÄN</t>
        </is>
      </c>
      <c r="E1921" t="inlineStr">
        <is>
          <t>HÄRJEDALEN</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19100-2025</t>
        </is>
      </c>
      <c r="B1922" s="1" t="n">
        <v>45768</v>
      </c>
      <c r="C1922" s="1" t="n">
        <v>45787</v>
      </c>
      <c r="D1922" t="inlineStr">
        <is>
          <t>JÄMTLANDS LÄN</t>
        </is>
      </c>
      <c r="E1922" t="inlineStr">
        <is>
          <t>HÄRJEDALEN</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19101-2025</t>
        </is>
      </c>
      <c r="B1923" s="1" t="n">
        <v>45768</v>
      </c>
      <c r="C1923" s="1" t="n">
        <v>45787</v>
      </c>
      <c r="D1923" t="inlineStr">
        <is>
          <t>JÄMTLANDS LÄN</t>
        </is>
      </c>
      <c r="E1923" t="inlineStr">
        <is>
          <t>HÄRJEDALEN</t>
        </is>
      </c>
      <c r="F1923" t="inlineStr">
        <is>
          <t>Sveaskog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45787</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45787</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45787</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19102-2025</t>
        </is>
      </c>
      <c r="B1927" s="1" t="n">
        <v>45768</v>
      </c>
      <c r="C1927" s="1" t="n">
        <v>45787</v>
      </c>
      <c r="D1927" t="inlineStr">
        <is>
          <t>JÄMTLANDS LÄN</t>
        </is>
      </c>
      <c r="E1927" t="inlineStr">
        <is>
          <t>HÄRJEDALEN</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19103-2025</t>
        </is>
      </c>
      <c r="B1928" s="1" t="n">
        <v>45768</v>
      </c>
      <c r="C1928" s="1" t="n">
        <v>45787</v>
      </c>
      <c r="D1928" t="inlineStr">
        <is>
          <t>JÄMTLANDS LÄN</t>
        </is>
      </c>
      <c r="E1928" t="inlineStr">
        <is>
          <t>HÄRJEDALEN</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45787</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45787</v>
      </c>
      <c r="D1930" t="inlineStr">
        <is>
          <t>JÄMTLANDS LÄN</t>
        </is>
      </c>
      <c r="E1930" t="inlineStr">
        <is>
          <t>HÄRJEDALEN</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20103-2025</t>
        </is>
      </c>
      <c r="B1931" s="1" t="n">
        <v>45772</v>
      </c>
      <c r="C1931" s="1" t="n">
        <v>45787</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20238-2025</t>
        </is>
      </c>
      <c r="B1932" s="1" t="n">
        <v>45772</v>
      </c>
      <c r="C1932" s="1" t="n">
        <v>45787</v>
      </c>
      <c r="D1932" t="inlineStr">
        <is>
          <t>JÄMTLANDS LÄN</t>
        </is>
      </c>
      <c r="E1932" t="inlineStr">
        <is>
          <t>HÄRJEDALEN</t>
        </is>
      </c>
      <c r="F1932" t="inlineStr">
        <is>
          <t>Sveaskog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20104-2025</t>
        </is>
      </c>
      <c r="B1933" s="1" t="n">
        <v>45772</v>
      </c>
      <c r="C1933" s="1" t="n">
        <v>45787</v>
      </c>
      <c r="D1933" t="inlineStr">
        <is>
          <t>JÄMTLANDS LÄN</t>
        </is>
      </c>
      <c r="E1933" t="inlineStr">
        <is>
          <t>HÄRJEDALEN</t>
        </is>
      </c>
      <c r="F1933" t="inlineStr">
        <is>
          <t>SCA</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20106-2025</t>
        </is>
      </c>
      <c r="B1934" s="1" t="n">
        <v>45772</v>
      </c>
      <c r="C1934" s="1" t="n">
        <v>45787</v>
      </c>
      <c r="D1934" t="inlineStr">
        <is>
          <t>JÄMTLANDS LÄN</t>
        </is>
      </c>
      <c r="E1934" t="inlineStr">
        <is>
          <t>HÄRJEDALEN</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20033-2025</t>
        </is>
      </c>
      <c r="B1935" s="1" t="n">
        <v>45772</v>
      </c>
      <c r="C1935" s="1" t="n">
        <v>45787</v>
      </c>
      <c r="D1935" t="inlineStr">
        <is>
          <t>JÄMTLANDS LÄN</t>
        </is>
      </c>
      <c r="E1935" t="inlineStr">
        <is>
          <t>HÄRJEDALEN</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45787</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45787</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20672-2025</t>
        </is>
      </c>
      <c r="B1938" s="1" t="n">
        <v>45776</v>
      </c>
      <c r="C1938" s="1" t="n">
        <v>45787</v>
      </c>
      <c r="D1938" t="inlineStr">
        <is>
          <t>JÄMTLANDS LÄN</t>
        </is>
      </c>
      <c r="E1938" t="inlineStr">
        <is>
          <t>HÄRJEDALEN</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45787</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21201-2025</t>
        </is>
      </c>
      <c r="B1940" s="1" t="n">
        <v>45779</v>
      </c>
      <c r="C1940" s="1" t="n">
        <v>45787</v>
      </c>
      <c r="D1940" t="inlineStr">
        <is>
          <t>JÄMTLANDS LÄN</t>
        </is>
      </c>
      <c r="E1940" t="inlineStr">
        <is>
          <t>HÄRJEDALEN</t>
        </is>
      </c>
      <c r="F1940" t="inlineStr">
        <is>
          <t>Holmen skog AB</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21223-2025</t>
        </is>
      </c>
      <c r="B1941" s="1" t="n">
        <v>45779</v>
      </c>
      <c r="C1941" s="1" t="n">
        <v>45787</v>
      </c>
      <c r="D1941" t="inlineStr">
        <is>
          <t>JÄMTLANDS LÄN</t>
        </is>
      </c>
      <c r="E1941" t="inlineStr">
        <is>
          <t>HÄRJEDALEN</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21225-2025</t>
        </is>
      </c>
      <c r="B1942" s="1" t="n">
        <v>45779</v>
      </c>
      <c r="C1942" s="1" t="n">
        <v>45787</v>
      </c>
      <c r="D1942" t="inlineStr">
        <is>
          <t>JÄMTLANDS LÄN</t>
        </is>
      </c>
      <c r="E1942" t="inlineStr">
        <is>
          <t>HÄRJEDALEN</t>
        </is>
      </c>
      <c r="F1942" t="inlineStr">
        <is>
          <t>Holmen skog AB</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21226-2025</t>
        </is>
      </c>
      <c r="B1943" s="1" t="n">
        <v>45779</v>
      </c>
      <c r="C1943" s="1" t="n">
        <v>45787</v>
      </c>
      <c r="D1943" t="inlineStr">
        <is>
          <t>JÄMTLANDS LÄN</t>
        </is>
      </c>
      <c r="E1943" t="inlineStr">
        <is>
          <t>HÄRJEDALEN</t>
        </is>
      </c>
      <c r="F1943" t="inlineStr">
        <is>
          <t>Holmen skog AB</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21227-2025</t>
        </is>
      </c>
      <c r="B1944" s="1" t="n">
        <v>45779</v>
      </c>
      <c r="C1944" s="1" t="n">
        <v>45787</v>
      </c>
      <c r="D1944" t="inlineStr">
        <is>
          <t>JÄMTLANDS LÄN</t>
        </is>
      </c>
      <c r="E1944" t="inlineStr">
        <is>
          <t>HÄRJEDALEN</t>
        </is>
      </c>
      <c r="F1944" t="inlineStr">
        <is>
          <t>Holmen skog AB</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21161-2025</t>
        </is>
      </c>
      <c r="B1945" s="1" t="n">
        <v>45779</v>
      </c>
      <c r="C1945" s="1" t="n">
        <v>45787</v>
      </c>
      <c r="D1945" t="inlineStr">
        <is>
          <t>JÄMTLANDS LÄN</t>
        </is>
      </c>
      <c r="E1945" t="inlineStr">
        <is>
          <t>HÄRJEDALEN</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21208-2025</t>
        </is>
      </c>
      <c r="B1946" s="1" t="n">
        <v>45779</v>
      </c>
      <c r="C1946" s="1" t="n">
        <v>45787</v>
      </c>
      <c r="D1946" t="inlineStr">
        <is>
          <t>JÄMTLANDS LÄN</t>
        </is>
      </c>
      <c r="E1946" t="inlineStr">
        <is>
          <t>HÄRJEDALEN</t>
        </is>
      </c>
      <c r="F1946" t="inlineStr">
        <is>
          <t>Holmen skog AB</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21169-2025</t>
        </is>
      </c>
      <c r="B1947" s="1" t="n">
        <v>45779</v>
      </c>
      <c r="C1947" s="1" t="n">
        <v>45787</v>
      </c>
      <c r="D1947" t="inlineStr">
        <is>
          <t>JÄMTLANDS LÄN</t>
        </is>
      </c>
      <c r="E1947" t="inlineStr">
        <is>
          <t>HÄRJEDALEN</t>
        </is>
      </c>
      <c r="F1947" t="inlineStr">
        <is>
          <t>Holmen skog AB</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45787</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45787</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45787</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45787</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45787</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45787</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45787</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45787</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22505-2025</t>
        </is>
      </c>
      <c r="B1956" s="1" t="n">
        <v>45786</v>
      </c>
      <c r="C1956" s="1" t="n">
        <v>45787</v>
      </c>
      <c r="D1956" t="inlineStr">
        <is>
          <t>JÄMTLANDS LÄN</t>
        </is>
      </c>
      <c r="E1956" t="inlineStr">
        <is>
          <t>HÄRJEDALEN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45787</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45787</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c r="A1959" t="inlineStr">
        <is>
          <t>A 22504-2025</t>
        </is>
      </c>
      <c r="B1959" s="1" t="n">
        <v>45786</v>
      </c>
      <c r="C1959" s="1" t="n">
        <v>45787</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2025-05-10T17:18:39Z</dcterms:created>
  <dcterms:modified xmlns:dcterms="http://purl.org/dc/terms/" xmlns:xsi="http://www.w3.org/2001/XMLSchema-instance" xsi:type="dcterms:W3CDTF">2025-05-10T17:18:40Z</dcterms:modified>
</cp:coreProperties>
</file>