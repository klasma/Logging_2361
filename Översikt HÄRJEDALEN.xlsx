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45904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45904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45904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45904</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45904</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45904</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45904</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45904</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45904</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45904</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45904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45904</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45904</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45904</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45904</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45904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45904</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45904</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45904</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45904</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45904</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45904</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45904</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45904</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45904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45904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45904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45904</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45904</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56499-2024</t>
        </is>
      </c>
      <c r="B35" s="1" t="n">
        <v>45625.49736111111</v>
      </c>
      <c r="C35" s="1" t="n">
        <v>45904</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45904</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45904</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45904</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45904</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45904</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45904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45904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45904</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28713-2021</t>
        </is>
      </c>
      <c r="B44" s="1" t="n">
        <v>44357</v>
      </c>
      <c r="C44" s="1" t="n">
        <v>45904</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24249-2024</t>
        </is>
      </c>
      <c r="B45" s="1" t="n">
        <v>45457.38396990741</v>
      </c>
      <c r="C45" s="1" t="n">
        <v>45904</v>
      </c>
      <c r="D45" t="inlineStr">
        <is>
          <t>JÄMTLANDS LÄN</t>
        </is>
      </c>
      <c r="E45" t="inlineStr">
        <is>
          <t>HÄRJEDALEN</t>
        </is>
      </c>
      <c r="F45" t="inlineStr">
        <is>
          <t>Sveaskog</t>
        </is>
      </c>
      <c r="G45" t="n">
        <v>15.1</v>
      </c>
      <c r="H45" t="n">
        <v>3</v>
      </c>
      <c r="I45" t="n">
        <v>0</v>
      </c>
      <c r="J45" t="n">
        <v>9</v>
      </c>
      <c r="K45" t="n">
        <v>1</v>
      </c>
      <c r="L45" t="n">
        <v>0</v>
      </c>
      <c r="M45" t="n">
        <v>0</v>
      </c>
      <c r="N45" t="n">
        <v>0</v>
      </c>
      <c r="O45" t="n">
        <v>10</v>
      </c>
      <c r="P45" t="n">
        <v>1</v>
      </c>
      <c r="Q45" t="n">
        <v>11</v>
      </c>
      <c r="R45" s="2" t="inlineStr">
        <is>
          <t>Doftticka
Blågrå svartspik
Garnlav
Knottrig blåslav
Kolflarnlav
Lunglav
Skrovellav
Tretåig hackspett
Vedskivlav
Vitgrynig nållav
Tjäder</t>
        </is>
      </c>
      <c r="S45">
        <f>HYPERLINK("https://klasma.github.io/Logging_2361/artfynd/A 24249-2024 artfynd.xlsx", "A 24249-2024")</f>
        <v/>
      </c>
      <c r="T45">
        <f>HYPERLINK("https://klasma.github.io/Logging_2361/kartor/A 24249-2024 karta.png", "A 24249-2024")</f>
        <v/>
      </c>
      <c r="V45">
        <f>HYPERLINK("https://klasma.github.io/Logging_2361/klagomål/A 24249-2024 FSC-klagomål.docx", "A 24249-2024")</f>
        <v/>
      </c>
      <c r="W45">
        <f>HYPERLINK("https://klasma.github.io/Logging_2361/klagomålsmail/A 24249-2024 FSC-klagomål mail.docx", "A 24249-2024")</f>
        <v/>
      </c>
      <c r="X45">
        <f>HYPERLINK("https://klasma.github.io/Logging_2361/tillsyn/A 24249-2024 tillsynsbegäran.docx", "A 24249-2024")</f>
        <v/>
      </c>
      <c r="Y45">
        <f>HYPERLINK("https://klasma.github.io/Logging_2361/tillsynsmail/A 24249-2024 tillsynsbegäran mail.docx", "A 24249-2024")</f>
        <v/>
      </c>
      <c r="Z45">
        <f>HYPERLINK("https://klasma.github.io/Logging_2361/fåglar/A 24249-2024 prioriterade fågelarter.docx", "A 24249-2024")</f>
        <v/>
      </c>
    </row>
    <row r="46" ht="15" customHeight="1">
      <c r="A46" t="inlineStr">
        <is>
          <t>A 38070-2024</t>
        </is>
      </c>
      <c r="B46" s="1" t="n">
        <v>45544</v>
      </c>
      <c r="C46" s="1" t="n">
        <v>45904</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45904</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41555-2023</t>
        </is>
      </c>
      <c r="B48" s="1" t="n">
        <v>45175</v>
      </c>
      <c r="C48" s="1" t="n">
        <v>45904</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27191-2024</t>
        </is>
      </c>
      <c r="B49" s="1" t="n">
        <v>45471.59034722222</v>
      </c>
      <c r="C49" s="1" t="n">
        <v>45904</v>
      </c>
      <c r="D49" t="inlineStr">
        <is>
          <t>JÄMTLANDS LÄN</t>
        </is>
      </c>
      <c r="E49" t="inlineStr">
        <is>
          <t>HÄRJEDALEN</t>
        </is>
      </c>
      <c r="F49" t="inlineStr">
        <is>
          <t>Holmen skog AB</t>
        </is>
      </c>
      <c r="G49" t="n">
        <v>18.7</v>
      </c>
      <c r="H49" t="n">
        <v>1</v>
      </c>
      <c r="I49" t="n">
        <v>1</v>
      </c>
      <c r="J49" t="n">
        <v>7</v>
      </c>
      <c r="K49" t="n">
        <v>2</v>
      </c>
      <c r="L49" t="n">
        <v>0</v>
      </c>
      <c r="M49" t="n">
        <v>0</v>
      </c>
      <c r="N49" t="n">
        <v>0</v>
      </c>
      <c r="O49" t="n">
        <v>9</v>
      </c>
      <c r="P49" t="n">
        <v>2</v>
      </c>
      <c r="Q49" t="n">
        <v>10</v>
      </c>
      <c r="R49" s="2" t="inlineStr">
        <is>
          <t>Knärot
Tallgråticka
Blå taggsvamp
Dvärgbägarlav
Kolflarnlav
Mörk kolflarnlav
Nordtagging
Talltaggsvamp
Vedskivlav
Skarp dropptaggsvamp</t>
        </is>
      </c>
      <c r="S49">
        <f>HYPERLINK("https://klasma.github.io/Logging_2361/artfynd/A 27191-2024 artfynd.xlsx", "A 27191-2024")</f>
        <v/>
      </c>
      <c r="T49">
        <f>HYPERLINK("https://klasma.github.io/Logging_2361/kartor/A 27191-2024 karta.png", "A 27191-2024")</f>
        <v/>
      </c>
      <c r="U49">
        <f>HYPERLINK("https://klasma.github.io/Logging_2361/knärot/A 27191-2024 karta knärot.png", "A 27191-2024")</f>
        <v/>
      </c>
      <c r="V49">
        <f>HYPERLINK("https://klasma.github.io/Logging_2361/klagomål/A 27191-2024 FSC-klagomål.docx", "A 27191-2024")</f>
        <v/>
      </c>
      <c r="W49">
        <f>HYPERLINK("https://klasma.github.io/Logging_2361/klagomålsmail/A 27191-2024 FSC-klagomål mail.docx", "A 27191-2024")</f>
        <v/>
      </c>
      <c r="X49">
        <f>HYPERLINK("https://klasma.github.io/Logging_2361/tillsyn/A 27191-2024 tillsynsbegäran.docx", "A 27191-2024")</f>
        <v/>
      </c>
      <c r="Y49">
        <f>HYPERLINK("https://klasma.github.io/Logging_2361/tillsynsmail/A 27191-2024 tillsynsbegäran mail.docx", "A 27191-2024")</f>
        <v/>
      </c>
    </row>
    <row r="50" ht="15" customHeight="1">
      <c r="A50" t="inlineStr">
        <is>
          <t>A 35369-2024</t>
        </is>
      </c>
      <c r="B50" s="1" t="n">
        <v>45531</v>
      </c>
      <c r="C50" s="1" t="n">
        <v>45904</v>
      </c>
      <c r="D50" t="inlineStr">
        <is>
          <t>JÄMTLANDS LÄN</t>
        </is>
      </c>
      <c r="E50" t="inlineStr">
        <is>
          <t>HÄRJEDALEN</t>
        </is>
      </c>
      <c r="G50" t="n">
        <v>1.7</v>
      </c>
      <c r="H50" t="n">
        <v>1</v>
      </c>
      <c r="I50" t="n">
        <v>2</v>
      </c>
      <c r="J50" t="n">
        <v>6</v>
      </c>
      <c r="K50" t="n">
        <v>2</v>
      </c>
      <c r="L50" t="n">
        <v>0</v>
      </c>
      <c r="M50" t="n">
        <v>0</v>
      </c>
      <c r="N50" t="n">
        <v>0</v>
      </c>
      <c r="O50" t="n">
        <v>8</v>
      </c>
      <c r="P50" t="n">
        <v>2</v>
      </c>
      <c r="Q50" t="n">
        <v>10</v>
      </c>
      <c r="R50" s="2" t="inlineStr">
        <is>
          <t>Rynkskinn
Sprickporing
Garnlav
Granticka
Skrovellav
Tretåig hackspett
Ullticka
Vitgrynig nållav
Vedticka
Ögonpyrola</t>
        </is>
      </c>
      <c r="S50">
        <f>HYPERLINK("https://klasma.github.io/Logging_2361/artfynd/A 35369-2024 artfynd.xlsx", "A 35369-2024")</f>
        <v/>
      </c>
      <c r="T50">
        <f>HYPERLINK("https://klasma.github.io/Logging_2361/kartor/A 35369-2024 karta.png", "A 35369-2024")</f>
        <v/>
      </c>
      <c r="V50">
        <f>HYPERLINK("https://klasma.github.io/Logging_2361/klagomål/A 35369-2024 FSC-klagomål.docx", "A 35369-2024")</f>
        <v/>
      </c>
      <c r="W50">
        <f>HYPERLINK("https://klasma.github.io/Logging_2361/klagomålsmail/A 35369-2024 FSC-klagomål mail.docx", "A 35369-2024")</f>
        <v/>
      </c>
      <c r="X50">
        <f>HYPERLINK("https://klasma.github.io/Logging_2361/tillsyn/A 35369-2024 tillsynsbegäran.docx", "A 35369-2024")</f>
        <v/>
      </c>
      <c r="Y50">
        <f>HYPERLINK("https://klasma.github.io/Logging_2361/tillsynsmail/A 35369-2024 tillsynsbegäran mail.docx", "A 35369-2024")</f>
        <v/>
      </c>
      <c r="Z50">
        <f>HYPERLINK("https://klasma.github.io/Logging_2361/fåglar/A 35369-2024 prioriterade fågelarter.docx", "A 35369-2024")</f>
        <v/>
      </c>
    </row>
    <row r="51" ht="15" customHeight="1">
      <c r="A51" t="inlineStr">
        <is>
          <t>A 28288-2024</t>
        </is>
      </c>
      <c r="B51" s="1" t="n">
        <v>45477.46537037037</v>
      </c>
      <c r="C51" s="1" t="n">
        <v>45904</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45904</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45904</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45904</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74002-2021</t>
        </is>
      </c>
      <c r="B55" s="1" t="n">
        <v>44553</v>
      </c>
      <c r="C55" s="1" t="n">
        <v>45904</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65905-2021</t>
        </is>
      </c>
      <c r="B56" s="1" t="n">
        <v>44517</v>
      </c>
      <c r="C56" s="1" t="n">
        <v>45904</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45904</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53354-2024</t>
        </is>
      </c>
      <c r="B58" s="1" t="n">
        <v>45614.45413194445</v>
      </c>
      <c r="C58" s="1" t="n">
        <v>45904</v>
      </c>
      <c r="D58" t="inlineStr">
        <is>
          <t>JÄMTLANDS LÄN</t>
        </is>
      </c>
      <c r="E58" t="inlineStr">
        <is>
          <t>HÄRJEDALEN</t>
        </is>
      </c>
      <c r="F58" t="inlineStr">
        <is>
          <t>Sveaskog</t>
        </is>
      </c>
      <c r="G58" t="n">
        <v>15.3</v>
      </c>
      <c r="H58" t="n">
        <v>5</v>
      </c>
      <c r="I58" t="n">
        <v>1</v>
      </c>
      <c r="J58" t="n">
        <v>5</v>
      </c>
      <c r="K58" t="n">
        <v>1</v>
      </c>
      <c r="L58" t="n">
        <v>0</v>
      </c>
      <c r="M58" t="n">
        <v>0</v>
      </c>
      <c r="N58" t="n">
        <v>0</v>
      </c>
      <c r="O58" t="n">
        <v>6</v>
      </c>
      <c r="P58" t="n">
        <v>1</v>
      </c>
      <c r="Q58" t="n">
        <v>9</v>
      </c>
      <c r="R58" s="2" t="inlineStr">
        <is>
          <t>Knärot
Kolflarnlav
Mörk kolflarnlav
Talltita
Varglav
Vedskivlav
Skarp dropptaggsvamp
Orre
Tjäder</t>
        </is>
      </c>
      <c r="S58">
        <f>HYPERLINK("https://klasma.github.io/Logging_2361/artfynd/A 53354-2024 artfynd.xlsx", "A 53354-2024")</f>
        <v/>
      </c>
      <c r="T58">
        <f>HYPERLINK("https://klasma.github.io/Logging_2361/kartor/A 53354-2024 karta.png", "A 53354-2024")</f>
        <v/>
      </c>
      <c r="U58">
        <f>HYPERLINK("https://klasma.github.io/Logging_2361/knärot/A 53354-2024 karta knärot.png", "A 53354-2024")</f>
        <v/>
      </c>
      <c r="V58">
        <f>HYPERLINK("https://klasma.github.io/Logging_2361/klagomål/A 53354-2024 FSC-klagomål.docx", "A 53354-2024")</f>
        <v/>
      </c>
      <c r="W58">
        <f>HYPERLINK("https://klasma.github.io/Logging_2361/klagomålsmail/A 53354-2024 FSC-klagomål mail.docx", "A 53354-2024")</f>
        <v/>
      </c>
      <c r="X58">
        <f>HYPERLINK("https://klasma.github.io/Logging_2361/tillsyn/A 53354-2024 tillsynsbegäran.docx", "A 53354-2024")</f>
        <v/>
      </c>
      <c r="Y58">
        <f>HYPERLINK("https://klasma.github.io/Logging_2361/tillsynsmail/A 53354-2024 tillsynsbegäran mail.docx", "A 53354-2024")</f>
        <v/>
      </c>
      <c r="Z58">
        <f>HYPERLINK("https://klasma.github.io/Logging_2361/fåglar/A 53354-2024 prioriterade fågelarter.docx", "A 53354-2024")</f>
        <v/>
      </c>
    </row>
    <row r="59" ht="15" customHeight="1">
      <c r="A59" t="inlineStr">
        <is>
          <t>A 74075-2021</t>
        </is>
      </c>
      <c r="B59" s="1" t="n">
        <v>44553</v>
      </c>
      <c r="C59" s="1" t="n">
        <v>45904</v>
      </c>
      <c r="D59" t="inlineStr">
        <is>
          <t>JÄMTLANDS LÄN</t>
        </is>
      </c>
      <c r="E59" t="inlineStr">
        <is>
          <t>HÄRJEDALEN</t>
        </is>
      </c>
      <c r="F59" t="inlineStr">
        <is>
          <t>Sveaskog</t>
        </is>
      </c>
      <c r="G59" t="n">
        <v>16</v>
      </c>
      <c r="H59" t="n">
        <v>1</v>
      </c>
      <c r="I59" t="n">
        <v>0</v>
      </c>
      <c r="J59" t="n">
        <v>8</v>
      </c>
      <c r="K59" t="n">
        <v>0</v>
      </c>
      <c r="L59" t="n">
        <v>0</v>
      </c>
      <c r="M59" t="n">
        <v>0</v>
      </c>
      <c r="N59" t="n">
        <v>0</v>
      </c>
      <c r="O59" t="n">
        <v>8</v>
      </c>
      <c r="P59" t="n">
        <v>0</v>
      </c>
      <c r="Q59" t="n">
        <v>8</v>
      </c>
      <c r="R59" s="2" t="inlineStr">
        <is>
          <t>Blanksvart spiklav
Garnlav
Kolflarnlav
Kortskaftad ärgspik
Mörk kolflarnlav
Varglav
Vedflamlav
Vedskivlav</t>
        </is>
      </c>
      <c r="S59">
        <f>HYPERLINK("https://klasma.github.io/Logging_2361/artfynd/A 74075-2021 artfynd.xlsx", "A 74075-2021")</f>
        <v/>
      </c>
      <c r="T59">
        <f>HYPERLINK("https://klasma.github.io/Logging_2361/kartor/A 74075-2021 karta.png", "A 74075-2021")</f>
        <v/>
      </c>
      <c r="V59">
        <f>HYPERLINK("https://klasma.github.io/Logging_2361/klagomål/A 74075-2021 FSC-klagomål.docx", "A 74075-2021")</f>
        <v/>
      </c>
      <c r="W59">
        <f>HYPERLINK("https://klasma.github.io/Logging_2361/klagomålsmail/A 74075-2021 FSC-klagomål mail.docx", "A 74075-2021")</f>
        <v/>
      </c>
      <c r="X59">
        <f>HYPERLINK("https://klasma.github.io/Logging_2361/tillsyn/A 74075-2021 tillsynsbegäran.docx", "A 74075-2021")</f>
        <v/>
      </c>
      <c r="Y59">
        <f>HYPERLINK("https://klasma.github.io/Logging_2361/tillsynsmail/A 74075-2021 tillsynsbegäran mail.docx", "A 74075-2021")</f>
        <v/>
      </c>
    </row>
    <row r="60" ht="15" customHeight="1">
      <c r="A60" t="inlineStr">
        <is>
          <t>A 33422-2021</t>
        </is>
      </c>
      <c r="B60" s="1" t="n">
        <v>44377</v>
      </c>
      <c r="C60" s="1" t="n">
        <v>45904</v>
      </c>
      <c r="D60" t="inlineStr">
        <is>
          <t>JÄMTLANDS LÄN</t>
        </is>
      </c>
      <c r="E60" t="inlineStr">
        <is>
          <t>HÄRJEDALEN</t>
        </is>
      </c>
      <c r="G60" t="n">
        <v>13.3</v>
      </c>
      <c r="H60" t="n">
        <v>2</v>
      </c>
      <c r="I60" t="n">
        <v>1</v>
      </c>
      <c r="J60" t="n">
        <v>7</v>
      </c>
      <c r="K60" t="n">
        <v>0</v>
      </c>
      <c r="L60" t="n">
        <v>0</v>
      </c>
      <c r="M60" t="n">
        <v>0</v>
      </c>
      <c r="N60" t="n">
        <v>0</v>
      </c>
      <c r="O60" t="n">
        <v>7</v>
      </c>
      <c r="P60" t="n">
        <v>0</v>
      </c>
      <c r="Q60" t="n">
        <v>8</v>
      </c>
      <c r="R60" s="2" t="inlineStr">
        <is>
          <t>Blanksvart spiklav
Garnlav
Knottrig blåslav
Parknål
Skrovellav
Spillkråka
Vitgrynig nållav
Plattlummer</t>
        </is>
      </c>
      <c r="S60">
        <f>HYPERLINK("https://klasma.github.io/Logging_2361/artfynd/A 33422-2021 artfynd.xlsx", "A 33422-2021")</f>
        <v/>
      </c>
      <c r="T60">
        <f>HYPERLINK("https://klasma.github.io/Logging_2361/kartor/A 33422-2021 karta.png", "A 33422-2021")</f>
        <v/>
      </c>
      <c r="V60">
        <f>HYPERLINK("https://klasma.github.io/Logging_2361/klagomål/A 33422-2021 FSC-klagomål.docx", "A 33422-2021")</f>
        <v/>
      </c>
      <c r="W60">
        <f>HYPERLINK("https://klasma.github.io/Logging_2361/klagomålsmail/A 33422-2021 FSC-klagomål mail.docx", "A 33422-2021")</f>
        <v/>
      </c>
      <c r="X60">
        <f>HYPERLINK("https://klasma.github.io/Logging_2361/tillsyn/A 33422-2021 tillsynsbegäran.docx", "A 33422-2021")</f>
        <v/>
      </c>
      <c r="Y60">
        <f>HYPERLINK("https://klasma.github.io/Logging_2361/tillsynsmail/A 33422-2021 tillsynsbegäran mail.docx", "A 33422-2021")</f>
        <v/>
      </c>
      <c r="Z60">
        <f>HYPERLINK("https://klasma.github.io/Logging_2361/fåglar/A 33422-2021 prioriterade fågelarter.docx", "A 33422-2021")</f>
        <v/>
      </c>
    </row>
    <row r="61" ht="15" customHeight="1">
      <c r="A61" t="inlineStr">
        <is>
          <t>A 14565-2025</t>
        </is>
      </c>
      <c r="B61" s="1" t="n">
        <v>45741.82913194445</v>
      </c>
      <c r="C61" s="1" t="n">
        <v>45904</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45904</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18885-2024</t>
        </is>
      </c>
      <c r="B63" s="1" t="n">
        <v>45426</v>
      </c>
      <c r="C63" s="1" t="n">
        <v>45904</v>
      </c>
      <c r="D63" t="inlineStr">
        <is>
          <t>JÄMTLANDS LÄN</t>
        </is>
      </c>
      <c r="E63" t="inlineStr">
        <is>
          <t>HÄRJEDALEN</t>
        </is>
      </c>
      <c r="G63" t="n">
        <v>9.4</v>
      </c>
      <c r="H63" t="n">
        <v>8</v>
      </c>
      <c r="I63" t="n">
        <v>3</v>
      </c>
      <c r="J63" t="n">
        <v>0</v>
      </c>
      <c r="K63" t="n">
        <v>0</v>
      </c>
      <c r="L63" t="n">
        <v>0</v>
      </c>
      <c r="M63" t="n">
        <v>0</v>
      </c>
      <c r="N63" t="n">
        <v>0</v>
      </c>
      <c r="O63" t="n">
        <v>0</v>
      </c>
      <c r="P63" t="n">
        <v>0</v>
      </c>
      <c r="Q63" t="n">
        <v>8</v>
      </c>
      <c r="R63" s="2" t="inlineStr">
        <is>
          <t>Korallrot
Spindelblomster
Tvåblad
Vanlig groda
Brudsporre
Fläcknycklar
Ängsnycklar
Revlummer</t>
        </is>
      </c>
      <c r="S63">
        <f>HYPERLINK("https://klasma.github.io/Logging_2361/artfynd/A 18885-2024 artfynd.xlsx", "A 18885-2024")</f>
        <v/>
      </c>
      <c r="T63">
        <f>HYPERLINK("https://klasma.github.io/Logging_2361/kartor/A 18885-2024 karta.png", "A 18885-2024")</f>
        <v/>
      </c>
      <c r="V63">
        <f>HYPERLINK("https://klasma.github.io/Logging_2361/klagomål/A 18885-2024 FSC-klagomål.docx", "A 18885-2024")</f>
        <v/>
      </c>
      <c r="W63">
        <f>HYPERLINK("https://klasma.github.io/Logging_2361/klagomålsmail/A 18885-2024 FSC-klagomål mail.docx", "A 18885-2024")</f>
        <v/>
      </c>
      <c r="X63">
        <f>HYPERLINK("https://klasma.github.io/Logging_2361/tillsyn/A 18885-2024 tillsynsbegäran.docx", "A 18885-2024")</f>
        <v/>
      </c>
      <c r="Y63">
        <f>HYPERLINK("https://klasma.github.io/Logging_2361/tillsynsmail/A 18885-2024 tillsynsbegäran mail.docx", "A 18885-2024")</f>
        <v/>
      </c>
    </row>
    <row r="64" ht="15" customHeight="1">
      <c r="A64" t="inlineStr">
        <is>
          <t>A 42828-2021</t>
        </is>
      </c>
      <c r="B64" s="1" t="n">
        <v>44430</v>
      </c>
      <c r="C64" s="1" t="n">
        <v>45904</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45904</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9618-2025</t>
        </is>
      </c>
      <c r="B66" s="1" t="n">
        <v>45715</v>
      </c>
      <c r="C66" s="1" t="n">
        <v>45904</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14058-2023</t>
        </is>
      </c>
      <c r="B67" s="1" t="n">
        <v>45007</v>
      </c>
      <c r="C67" s="1" t="n">
        <v>45904</v>
      </c>
      <c r="D67" t="inlineStr">
        <is>
          <t>JÄMTLANDS LÄN</t>
        </is>
      </c>
      <c r="E67" t="inlineStr">
        <is>
          <t>HÄRJEDALEN</t>
        </is>
      </c>
      <c r="F67" t="inlineStr">
        <is>
          <t>Bergvik skog väst AB</t>
        </is>
      </c>
      <c r="G67" t="n">
        <v>33.9</v>
      </c>
      <c r="H67" t="n">
        <v>1</v>
      </c>
      <c r="I67" t="n">
        <v>1</v>
      </c>
      <c r="J67" t="n">
        <v>5</v>
      </c>
      <c r="K67" t="n">
        <v>1</v>
      </c>
      <c r="L67" t="n">
        <v>0</v>
      </c>
      <c r="M67" t="n">
        <v>0</v>
      </c>
      <c r="N67" t="n">
        <v>0</v>
      </c>
      <c r="O67" t="n">
        <v>6</v>
      </c>
      <c r="P67" t="n">
        <v>1</v>
      </c>
      <c r="Q67" t="n">
        <v>7</v>
      </c>
      <c r="R67" s="2" t="inlineStr">
        <is>
          <t>Gräddporing
Björktrast
Kolflarnlav
Mörk kolflarnlav
Nordtagging
Vedflamlav
Skarp dropptaggsvamp</t>
        </is>
      </c>
      <c r="S67">
        <f>HYPERLINK("https://klasma.github.io/Logging_2361/artfynd/A 14058-2023 artfynd.xlsx", "A 14058-2023")</f>
        <v/>
      </c>
      <c r="T67">
        <f>HYPERLINK("https://klasma.github.io/Logging_2361/kartor/A 14058-2023 karta.png", "A 14058-2023")</f>
        <v/>
      </c>
      <c r="V67">
        <f>HYPERLINK("https://klasma.github.io/Logging_2361/klagomål/A 14058-2023 FSC-klagomål.docx", "A 14058-2023")</f>
        <v/>
      </c>
      <c r="W67">
        <f>HYPERLINK("https://klasma.github.io/Logging_2361/klagomålsmail/A 14058-2023 FSC-klagomål mail.docx", "A 14058-2023")</f>
        <v/>
      </c>
      <c r="X67">
        <f>HYPERLINK("https://klasma.github.io/Logging_2361/tillsyn/A 14058-2023 tillsynsbegäran.docx", "A 14058-2023")</f>
        <v/>
      </c>
      <c r="Y67">
        <f>HYPERLINK("https://klasma.github.io/Logging_2361/tillsynsmail/A 14058-2023 tillsynsbegäran mail.docx", "A 14058-2023")</f>
        <v/>
      </c>
      <c r="Z67">
        <f>HYPERLINK("https://klasma.github.io/Logging_2361/fåglar/A 14058-2023 prioriterade fågelarter.docx", "A 14058-2023")</f>
        <v/>
      </c>
    </row>
    <row r="68" ht="15" customHeight="1">
      <c r="A68" t="inlineStr">
        <is>
          <t>A 35454-2024</t>
        </is>
      </c>
      <c r="B68" s="1" t="n">
        <v>45531.45444444445</v>
      </c>
      <c r="C68" s="1" t="n">
        <v>45904</v>
      </c>
      <c r="D68" t="inlineStr">
        <is>
          <t>JÄMTLANDS LÄN</t>
        </is>
      </c>
      <c r="E68" t="inlineStr">
        <is>
          <t>HÄRJEDALEN</t>
        </is>
      </c>
      <c r="G68" t="n">
        <v>4.4</v>
      </c>
      <c r="H68" t="n">
        <v>3</v>
      </c>
      <c r="I68" t="n">
        <v>2</v>
      </c>
      <c r="J68" t="n">
        <v>5</v>
      </c>
      <c r="K68" t="n">
        <v>0</v>
      </c>
      <c r="L68" t="n">
        <v>0</v>
      </c>
      <c r="M68" t="n">
        <v>0</v>
      </c>
      <c r="N68" t="n">
        <v>0</v>
      </c>
      <c r="O68" t="n">
        <v>5</v>
      </c>
      <c r="P68" t="n">
        <v>0</v>
      </c>
      <c r="Q68" t="n">
        <v>7</v>
      </c>
      <c r="R68" s="2" t="inlineStr">
        <is>
          <t>Garnlav
Knottrig blåslav
Mörk kolflarnlav
Skrovellav
Tretåig hackspett
Korallrot
Spindelblomster</t>
        </is>
      </c>
      <c r="S68">
        <f>HYPERLINK("https://klasma.github.io/Logging_2361/artfynd/A 35454-2024 artfynd.xlsx", "A 35454-2024")</f>
        <v/>
      </c>
      <c r="T68">
        <f>HYPERLINK("https://klasma.github.io/Logging_2361/kartor/A 35454-2024 karta.png", "A 35454-2024")</f>
        <v/>
      </c>
      <c r="V68">
        <f>HYPERLINK("https://klasma.github.io/Logging_2361/klagomål/A 35454-2024 FSC-klagomål.docx", "A 35454-2024")</f>
        <v/>
      </c>
      <c r="W68">
        <f>HYPERLINK("https://klasma.github.io/Logging_2361/klagomålsmail/A 35454-2024 FSC-klagomål mail.docx", "A 35454-2024")</f>
        <v/>
      </c>
      <c r="X68">
        <f>HYPERLINK("https://klasma.github.io/Logging_2361/tillsyn/A 35454-2024 tillsynsbegäran.docx", "A 35454-2024")</f>
        <v/>
      </c>
      <c r="Y68">
        <f>HYPERLINK("https://klasma.github.io/Logging_2361/tillsynsmail/A 35454-2024 tillsynsbegäran mail.docx", "A 35454-2024")</f>
        <v/>
      </c>
      <c r="Z68">
        <f>HYPERLINK("https://klasma.github.io/Logging_2361/fåglar/A 35454-2024 prioriterade fågelarter.docx", "A 35454-2024")</f>
        <v/>
      </c>
    </row>
    <row r="69" ht="15" customHeight="1">
      <c r="A69" t="inlineStr">
        <is>
          <t>A 7732-2021</t>
        </is>
      </c>
      <c r="B69" s="1" t="n">
        <v>44242</v>
      </c>
      <c r="C69" s="1" t="n">
        <v>45904</v>
      </c>
      <c r="D69" t="inlineStr">
        <is>
          <t>JÄMTLANDS LÄN</t>
        </is>
      </c>
      <c r="E69" t="inlineStr">
        <is>
          <t>HÄRJEDALEN</t>
        </is>
      </c>
      <c r="G69" t="n">
        <v>30.5</v>
      </c>
      <c r="H69" t="n">
        <v>0</v>
      </c>
      <c r="I69" t="n">
        <v>2</v>
      </c>
      <c r="J69" t="n">
        <v>4</v>
      </c>
      <c r="K69" t="n">
        <v>0</v>
      </c>
      <c r="L69" t="n">
        <v>0</v>
      </c>
      <c r="M69" t="n">
        <v>0</v>
      </c>
      <c r="N69" t="n">
        <v>0</v>
      </c>
      <c r="O69" t="n">
        <v>4</v>
      </c>
      <c r="P69" t="n">
        <v>0</v>
      </c>
      <c r="Q69" t="n">
        <v>6</v>
      </c>
      <c r="R69" s="2" t="inlineStr">
        <is>
          <t>Garnlav
Granticka
Knottrig blåslav
Vitgrynig nållav
Stuplav
Vedticka</t>
        </is>
      </c>
      <c r="S69">
        <f>HYPERLINK("https://klasma.github.io/Logging_2361/artfynd/A 7732-2021 artfynd.xlsx", "A 7732-2021")</f>
        <v/>
      </c>
      <c r="T69">
        <f>HYPERLINK("https://klasma.github.io/Logging_2361/kartor/A 7732-2021 karta.png", "A 7732-2021")</f>
        <v/>
      </c>
      <c r="V69">
        <f>HYPERLINK("https://klasma.github.io/Logging_2361/klagomål/A 7732-2021 FSC-klagomål.docx", "A 7732-2021")</f>
        <v/>
      </c>
      <c r="W69">
        <f>HYPERLINK("https://klasma.github.io/Logging_2361/klagomålsmail/A 7732-2021 FSC-klagomål mail.docx", "A 7732-2021")</f>
        <v/>
      </c>
      <c r="X69">
        <f>HYPERLINK("https://klasma.github.io/Logging_2361/tillsyn/A 7732-2021 tillsynsbegäran.docx", "A 7732-2021")</f>
        <v/>
      </c>
      <c r="Y69">
        <f>HYPERLINK("https://klasma.github.io/Logging_2361/tillsynsmail/A 7732-2021 tillsynsbegäran mail.docx", "A 7732-2021")</f>
        <v/>
      </c>
    </row>
    <row r="70" ht="15" customHeight="1">
      <c r="A70" t="inlineStr">
        <is>
          <t>A 54196-2024</t>
        </is>
      </c>
      <c r="B70" s="1" t="n">
        <v>45616.6450462963</v>
      </c>
      <c r="C70" s="1" t="n">
        <v>45904</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45904</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41185-2024</t>
        </is>
      </c>
      <c r="B72" s="1" t="n">
        <v>45559</v>
      </c>
      <c r="C72" s="1" t="n">
        <v>45904</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20135-2025</t>
        </is>
      </c>
      <c r="B73" s="1" t="n">
        <v>45772.51116898148</v>
      </c>
      <c r="C73" s="1" t="n">
        <v>45904</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36522-2025</t>
        </is>
      </c>
      <c r="B74" s="1" t="n">
        <v>45869</v>
      </c>
      <c r="C74" s="1" t="n">
        <v>45904</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10010-2025</t>
        </is>
      </c>
      <c r="B75" s="1" t="n">
        <v>45719</v>
      </c>
      <c r="C75" s="1" t="n">
        <v>45904</v>
      </c>
      <c r="D75" t="inlineStr">
        <is>
          <t>JÄMTLANDS LÄN</t>
        </is>
      </c>
      <c r="E75" t="inlineStr">
        <is>
          <t>HÄRJEDALEN</t>
        </is>
      </c>
      <c r="G75" t="n">
        <v>14.4</v>
      </c>
      <c r="H75" t="n">
        <v>2</v>
      </c>
      <c r="I75" t="n">
        <v>0</v>
      </c>
      <c r="J75" t="n">
        <v>5</v>
      </c>
      <c r="K75" t="n">
        <v>0</v>
      </c>
      <c r="L75" t="n">
        <v>0</v>
      </c>
      <c r="M75" t="n">
        <v>0</v>
      </c>
      <c r="N75" t="n">
        <v>0</v>
      </c>
      <c r="O75" t="n">
        <v>5</v>
      </c>
      <c r="P75" t="n">
        <v>0</v>
      </c>
      <c r="Q75" t="n">
        <v>6</v>
      </c>
      <c r="R75" s="2" t="inlineStr">
        <is>
          <t>Blanksvart spiklav
Blågrå svartspik
Garnlav
Tretåig hackspett
Vitgrynig nållav
Tjäder</t>
        </is>
      </c>
      <c r="S75">
        <f>HYPERLINK("https://klasma.github.io/Logging_2361/artfynd/A 10010-2025 artfynd.xlsx", "A 10010-2025")</f>
        <v/>
      </c>
      <c r="T75">
        <f>HYPERLINK("https://klasma.github.io/Logging_2361/kartor/A 10010-2025 karta.png", "A 10010-2025")</f>
        <v/>
      </c>
      <c r="V75">
        <f>HYPERLINK("https://klasma.github.io/Logging_2361/klagomål/A 10010-2025 FSC-klagomål.docx", "A 10010-2025")</f>
        <v/>
      </c>
      <c r="W75">
        <f>HYPERLINK("https://klasma.github.io/Logging_2361/klagomålsmail/A 10010-2025 FSC-klagomål mail.docx", "A 10010-2025")</f>
        <v/>
      </c>
      <c r="X75">
        <f>HYPERLINK("https://klasma.github.io/Logging_2361/tillsyn/A 10010-2025 tillsynsbegäran.docx", "A 10010-2025")</f>
        <v/>
      </c>
      <c r="Y75">
        <f>HYPERLINK("https://klasma.github.io/Logging_2361/tillsynsmail/A 10010-2025 tillsynsbegäran mail.docx", "A 10010-2025")</f>
        <v/>
      </c>
      <c r="Z75">
        <f>HYPERLINK("https://klasma.github.io/Logging_2361/fåglar/A 10010-2025 prioriterade fågelarter.docx", "A 10010-2025")</f>
        <v/>
      </c>
    </row>
    <row r="76" ht="15" customHeight="1">
      <c r="A76" t="inlineStr">
        <is>
          <t>A 44450-2024</t>
        </is>
      </c>
      <c r="B76" s="1" t="n">
        <v>45574</v>
      </c>
      <c r="C76" s="1" t="n">
        <v>45904</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45904</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55383-2022</t>
        </is>
      </c>
      <c r="B78" s="1" t="n">
        <v>44882</v>
      </c>
      <c r="C78" s="1" t="n">
        <v>45904</v>
      </c>
      <c r="D78" t="inlineStr">
        <is>
          <t>JÄMTLANDS LÄN</t>
        </is>
      </c>
      <c r="E78" t="inlineStr">
        <is>
          <t>HÄRJEDALEN</t>
        </is>
      </c>
      <c r="G78" t="n">
        <v>11</v>
      </c>
      <c r="H78" t="n">
        <v>1</v>
      </c>
      <c r="I78" t="n">
        <v>1</v>
      </c>
      <c r="J78" t="n">
        <v>3</v>
      </c>
      <c r="K78" t="n">
        <v>1</v>
      </c>
      <c r="L78" t="n">
        <v>0</v>
      </c>
      <c r="M78" t="n">
        <v>0</v>
      </c>
      <c r="N78" t="n">
        <v>0</v>
      </c>
      <c r="O78" t="n">
        <v>4</v>
      </c>
      <c r="P78" t="n">
        <v>1</v>
      </c>
      <c r="Q78" t="n">
        <v>5</v>
      </c>
      <c r="R78" s="2" t="inlineStr">
        <is>
          <t>Grantickeporing
Garnlav
Granticka
Tretåig hackspett
Svavelriska</t>
        </is>
      </c>
      <c r="S78">
        <f>HYPERLINK("https://klasma.github.io/Logging_2361/artfynd/A 55383-2022 artfynd.xlsx", "A 55383-2022")</f>
        <v/>
      </c>
      <c r="T78">
        <f>HYPERLINK("https://klasma.github.io/Logging_2361/kartor/A 55383-2022 karta.png", "A 55383-2022")</f>
        <v/>
      </c>
      <c r="V78">
        <f>HYPERLINK("https://klasma.github.io/Logging_2361/klagomål/A 55383-2022 FSC-klagomål.docx", "A 55383-2022")</f>
        <v/>
      </c>
      <c r="W78">
        <f>HYPERLINK("https://klasma.github.io/Logging_2361/klagomålsmail/A 55383-2022 FSC-klagomål mail.docx", "A 55383-2022")</f>
        <v/>
      </c>
      <c r="X78">
        <f>HYPERLINK("https://klasma.github.io/Logging_2361/tillsyn/A 55383-2022 tillsynsbegäran.docx", "A 55383-2022")</f>
        <v/>
      </c>
      <c r="Y78">
        <f>HYPERLINK("https://klasma.github.io/Logging_2361/tillsynsmail/A 55383-2022 tillsynsbegäran mail.docx", "A 55383-2022")</f>
        <v/>
      </c>
      <c r="Z78">
        <f>HYPERLINK("https://klasma.github.io/Logging_2361/fåglar/A 55383-2022 prioriterade fågelarter.docx", "A 55383-2022")</f>
        <v/>
      </c>
    </row>
    <row r="79" ht="15" customHeight="1">
      <c r="A79" t="inlineStr">
        <is>
          <t>A 65899-2021</t>
        </is>
      </c>
      <c r="B79" s="1" t="n">
        <v>44517</v>
      </c>
      <c r="C79" s="1" t="n">
        <v>45904</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56483-2023</t>
        </is>
      </c>
      <c r="B80" s="1" t="n">
        <v>45243</v>
      </c>
      <c r="C80" s="1" t="n">
        <v>45904</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10023-2023</t>
        </is>
      </c>
      <c r="B81" s="1" t="n">
        <v>44979</v>
      </c>
      <c r="C81" s="1" t="n">
        <v>45904</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19799-2024</t>
        </is>
      </c>
      <c r="B82" s="1" t="n">
        <v>45432.94736111111</v>
      </c>
      <c r="C82" s="1" t="n">
        <v>45904</v>
      </c>
      <c r="D82" t="inlineStr">
        <is>
          <t>JÄMTLANDS LÄN</t>
        </is>
      </c>
      <c r="E82" t="inlineStr">
        <is>
          <t>HÄRJEDALEN</t>
        </is>
      </c>
      <c r="F82" t="inlineStr">
        <is>
          <t>SCA</t>
        </is>
      </c>
      <c r="G82" t="n">
        <v>2</v>
      </c>
      <c r="H82" t="n">
        <v>1</v>
      </c>
      <c r="I82" t="n">
        <v>1</v>
      </c>
      <c r="J82" t="n">
        <v>3</v>
      </c>
      <c r="K82" t="n">
        <v>1</v>
      </c>
      <c r="L82" t="n">
        <v>0</v>
      </c>
      <c r="M82" t="n">
        <v>0</v>
      </c>
      <c r="N82" t="n">
        <v>0</v>
      </c>
      <c r="O82" t="n">
        <v>4</v>
      </c>
      <c r="P82" t="n">
        <v>1</v>
      </c>
      <c r="Q82" t="n">
        <v>5</v>
      </c>
      <c r="R82" s="2" t="inlineStr">
        <is>
          <t>Knärot
Garnlav
Lunglav
Mörk kolflarnlav
Stuplav</t>
        </is>
      </c>
      <c r="S82">
        <f>HYPERLINK("https://klasma.github.io/Logging_2361/artfynd/A 19799-2024 artfynd.xlsx", "A 19799-2024")</f>
        <v/>
      </c>
      <c r="T82">
        <f>HYPERLINK("https://klasma.github.io/Logging_2361/kartor/A 19799-2024 karta.png", "A 19799-2024")</f>
        <v/>
      </c>
      <c r="U82">
        <f>HYPERLINK("https://klasma.github.io/Logging_2361/knärot/A 19799-2024 karta knärot.png", "A 19799-2024")</f>
        <v/>
      </c>
      <c r="V82">
        <f>HYPERLINK("https://klasma.github.io/Logging_2361/klagomål/A 19799-2024 FSC-klagomål.docx", "A 19799-2024")</f>
        <v/>
      </c>
      <c r="W82">
        <f>HYPERLINK("https://klasma.github.io/Logging_2361/klagomålsmail/A 19799-2024 FSC-klagomål mail.docx", "A 19799-2024")</f>
        <v/>
      </c>
      <c r="X82">
        <f>HYPERLINK("https://klasma.github.io/Logging_2361/tillsyn/A 19799-2024 tillsynsbegäran.docx", "A 19799-2024")</f>
        <v/>
      </c>
      <c r="Y82">
        <f>HYPERLINK("https://klasma.github.io/Logging_2361/tillsynsmail/A 19799-2024 tillsynsbegäran mail.docx", "A 19799-2024")</f>
        <v/>
      </c>
    </row>
    <row r="83" ht="15" customHeight="1">
      <c r="A83" t="inlineStr">
        <is>
          <t>A 42826-2021</t>
        </is>
      </c>
      <c r="B83" s="1" t="n">
        <v>44430</v>
      </c>
      <c r="C83" s="1" t="n">
        <v>45904</v>
      </c>
      <c r="D83" t="inlineStr">
        <is>
          <t>JÄMTLANDS LÄN</t>
        </is>
      </c>
      <c r="E83" t="inlineStr">
        <is>
          <t>HÄRJEDALEN</t>
        </is>
      </c>
      <c r="F83" t="inlineStr">
        <is>
          <t>Sveaskog</t>
        </is>
      </c>
      <c r="G83" t="n">
        <v>8.1</v>
      </c>
      <c r="H83" t="n">
        <v>2</v>
      </c>
      <c r="I83" t="n">
        <v>0</v>
      </c>
      <c r="J83" t="n">
        <v>3</v>
      </c>
      <c r="K83" t="n">
        <v>1</v>
      </c>
      <c r="L83" t="n">
        <v>0</v>
      </c>
      <c r="M83" t="n">
        <v>0</v>
      </c>
      <c r="N83" t="n">
        <v>0</v>
      </c>
      <c r="O83" t="n">
        <v>4</v>
      </c>
      <c r="P83" t="n">
        <v>1</v>
      </c>
      <c r="Q83" t="n">
        <v>4</v>
      </c>
      <c r="R83" s="2" t="inlineStr">
        <is>
          <t>Knärot
Garnlav
Kungsörn
Motaggsvamp</t>
        </is>
      </c>
      <c r="S83">
        <f>HYPERLINK("https://klasma.github.io/Logging_2361/artfynd/A 42826-2021 artfynd.xlsx", "A 42826-2021")</f>
        <v/>
      </c>
      <c r="T83">
        <f>HYPERLINK("https://klasma.github.io/Logging_2361/kartor/A 42826-2021 karta.png", "A 42826-2021")</f>
        <v/>
      </c>
      <c r="U83">
        <f>HYPERLINK("https://klasma.github.io/Logging_2361/knärot/A 42826-2021 karta knärot.png", "A 42826-2021")</f>
        <v/>
      </c>
      <c r="V83">
        <f>HYPERLINK("https://klasma.github.io/Logging_2361/klagomål/A 42826-2021 FSC-klagomål.docx", "A 42826-2021")</f>
        <v/>
      </c>
      <c r="W83">
        <f>HYPERLINK("https://klasma.github.io/Logging_2361/klagomålsmail/A 42826-2021 FSC-klagomål mail.docx", "A 42826-2021")</f>
        <v/>
      </c>
      <c r="X83">
        <f>HYPERLINK("https://klasma.github.io/Logging_2361/tillsyn/A 42826-2021 tillsynsbegäran.docx", "A 42826-2021")</f>
        <v/>
      </c>
      <c r="Y83">
        <f>HYPERLINK("https://klasma.github.io/Logging_2361/tillsynsmail/A 42826-2021 tillsynsbegäran mail.docx", "A 42826-2021")</f>
        <v/>
      </c>
      <c r="Z83">
        <f>HYPERLINK("https://klasma.github.io/Logging_2361/fåglar/A 42826-2021 prioriterade fågelarter.docx", "A 42826-2021")</f>
        <v/>
      </c>
    </row>
    <row r="84" ht="15" customHeight="1">
      <c r="A84" t="inlineStr">
        <is>
          <t>A 16691-2021</t>
        </is>
      </c>
      <c r="B84" s="1" t="n">
        <v>44294</v>
      </c>
      <c r="C84" s="1" t="n">
        <v>45904</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16680-2021</t>
        </is>
      </c>
      <c r="B85" s="1" t="n">
        <v>44294</v>
      </c>
      <c r="C85" s="1" t="n">
        <v>45904</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999-2025</t>
        </is>
      </c>
      <c r="B86" s="1" t="n">
        <v>45666</v>
      </c>
      <c r="C86" s="1" t="n">
        <v>45904</v>
      </c>
      <c r="D86" t="inlineStr">
        <is>
          <t>JÄMTLANDS LÄN</t>
        </is>
      </c>
      <c r="E86" t="inlineStr">
        <is>
          <t>HÄRJEDALEN</t>
        </is>
      </c>
      <c r="F86" t="inlineStr">
        <is>
          <t>Holmen skog AB</t>
        </is>
      </c>
      <c r="G86" t="n">
        <v>3.9</v>
      </c>
      <c r="H86" t="n">
        <v>1</v>
      </c>
      <c r="I86" t="n">
        <v>0</v>
      </c>
      <c r="J86" t="n">
        <v>4</v>
      </c>
      <c r="K86" t="n">
        <v>0</v>
      </c>
      <c r="L86" t="n">
        <v>0</v>
      </c>
      <c r="M86" t="n">
        <v>0</v>
      </c>
      <c r="N86" t="n">
        <v>0</v>
      </c>
      <c r="O86" t="n">
        <v>4</v>
      </c>
      <c r="P86" t="n">
        <v>0</v>
      </c>
      <c r="Q86" t="n">
        <v>4</v>
      </c>
      <c r="R86" s="2" t="inlineStr">
        <is>
          <t>Lunglav
Tretåig hackspett
Ullticka
Violettgrå tagellav</t>
        </is>
      </c>
      <c r="S86">
        <f>HYPERLINK("https://klasma.github.io/Logging_2361/artfynd/A 999-2025 artfynd.xlsx", "A 999-2025")</f>
        <v/>
      </c>
      <c r="T86">
        <f>HYPERLINK("https://klasma.github.io/Logging_2361/kartor/A 999-2025 karta.png", "A 999-2025")</f>
        <v/>
      </c>
      <c r="V86">
        <f>HYPERLINK("https://klasma.github.io/Logging_2361/klagomål/A 999-2025 FSC-klagomål.docx", "A 999-2025")</f>
        <v/>
      </c>
      <c r="W86">
        <f>HYPERLINK("https://klasma.github.io/Logging_2361/klagomålsmail/A 999-2025 FSC-klagomål mail.docx", "A 999-2025")</f>
        <v/>
      </c>
      <c r="X86">
        <f>HYPERLINK("https://klasma.github.io/Logging_2361/tillsyn/A 999-2025 tillsynsbegäran.docx", "A 999-2025")</f>
        <v/>
      </c>
      <c r="Y86">
        <f>HYPERLINK("https://klasma.github.io/Logging_2361/tillsynsmail/A 999-2025 tillsynsbegäran mail.docx", "A 999-2025")</f>
        <v/>
      </c>
      <c r="Z86">
        <f>HYPERLINK("https://klasma.github.io/Logging_2361/fåglar/A 999-2025 prioriterade fågelarter.docx", "A 999-2025")</f>
        <v/>
      </c>
    </row>
    <row r="87" ht="15" customHeight="1">
      <c r="A87" t="inlineStr">
        <is>
          <t>A 25864-2024</t>
        </is>
      </c>
      <c r="B87" s="1" t="n">
        <v>45467.47204861111</v>
      </c>
      <c r="C87" s="1" t="n">
        <v>45904</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4757-2023</t>
        </is>
      </c>
      <c r="B88" s="1" t="n">
        <v>44957</v>
      </c>
      <c r="C88" s="1" t="n">
        <v>45904</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24955-2023</t>
        </is>
      </c>
      <c r="B89" s="1" t="n">
        <v>45085</v>
      </c>
      <c r="C89" s="1" t="n">
        <v>45904</v>
      </c>
      <c r="D89" t="inlineStr">
        <is>
          <t>JÄMTLANDS LÄN</t>
        </is>
      </c>
      <c r="E89" t="inlineStr">
        <is>
          <t>HÄRJEDALEN</t>
        </is>
      </c>
      <c r="G89" t="n">
        <v>7.7</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24955-2023 artfynd.xlsx", "A 24955-2023")</f>
        <v/>
      </c>
      <c r="T89">
        <f>HYPERLINK("https://klasma.github.io/Logging_2361/kartor/A 24955-2023 karta.png", "A 24955-2023")</f>
        <v/>
      </c>
      <c r="V89">
        <f>HYPERLINK("https://klasma.github.io/Logging_2361/klagomål/A 24955-2023 FSC-klagomål.docx", "A 24955-2023")</f>
        <v/>
      </c>
      <c r="W89">
        <f>HYPERLINK("https://klasma.github.io/Logging_2361/klagomålsmail/A 24955-2023 FSC-klagomål mail.docx", "A 24955-2023")</f>
        <v/>
      </c>
      <c r="X89">
        <f>HYPERLINK("https://klasma.github.io/Logging_2361/tillsyn/A 24955-2023 tillsynsbegäran.docx", "A 24955-2023")</f>
        <v/>
      </c>
      <c r="Y89">
        <f>HYPERLINK("https://klasma.github.io/Logging_2361/tillsynsmail/A 24955-2023 tillsynsbegäran mail.docx", "A 24955-2023")</f>
        <v/>
      </c>
      <c r="Z89">
        <f>HYPERLINK("https://klasma.github.io/Logging_2361/fåglar/A 24955-2023 prioriterade fågelarter.docx", "A 24955-2023")</f>
        <v/>
      </c>
    </row>
    <row r="90" ht="15" customHeight="1">
      <c r="A90" t="inlineStr">
        <is>
          <t>A 32676-2025</t>
        </is>
      </c>
      <c r="B90" s="1" t="n">
        <v>45838.73927083334</v>
      </c>
      <c r="C90" s="1" t="n">
        <v>45904</v>
      </c>
      <c r="D90" t="inlineStr">
        <is>
          <t>JÄMTLANDS LÄN</t>
        </is>
      </c>
      <c r="E90" t="inlineStr">
        <is>
          <t>HÄRJEDALEN</t>
        </is>
      </c>
      <c r="F90" t="inlineStr">
        <is>
          <t>Sveaskog</t>
        </is>
      </c>
      <c r="G90" t="n">
        <v>51</v>
      </c>
      <c r="H90" t="n">
        <v>1</v>
      </c>
      <c r="I90" t="n">
        <v>0</v>
      </c>
      <c r="J90" t="n">
        <v>2</v>
      </c>
      <c r="K90" t="n">
        <v>0</v>
      </c>
      <c r="L90" t="n">
        <v>1</v>
      </c>
      <c r="M90" t="n">
        <v>0</v>
      </c>
      <c r="N90" t="n">
        <v>0</v>
      </c>
      <c r="O90" t="n">
        <v>3</v>
      </c>
      <c r="P90" t="n">
        <v>1</v>
      </c>
      <c r="Q90" t="n">
        <v>4</v>
      </c>
      <c r="R90" s="2" t="inlineStr">
        <is>
          <t>Broktagel
Knottrig blåslav
Lunglav
Fläcknycklar</t>
        </is>
      </c>
      <c r="S90">
        <f>HYPERLINK("https://klasma.github.io/Logging_2361/artfynd/A 32676-2025 artfynd.xlsx", "A 32676-2025")</f>
        <v/>
      </c>
      <c r="T90">
        <f>HYPERLINK("https://klasma.github.io/Logging_2361/kartor/A 32676-2025 karta.png", "A 32676-2025")</f>
        <v/>
      </c>
      <c r="V90">
        <f>HYPERLINK("https://klasma.github.io/Logging_2361/klagomål/A 32676-2025 FSC-klagomål.docx", "A 32676-2025")</f>
        <v/>
      </c>
      <c r="W90">
        <f>HYPERLINK("https://klasma.github.io/Logging_2361/klagomålsmail/A 32676-2025 FSC-klagomål mail.docx", "A 32676-2025")</f>
        <v/>
      </c>
      <c r="X90">
        <f>HYPERLINK("https://klasma.github.io/Logging_2361/tillsyn/A 32676-2025 tillsynsbegäran.docx", "A 32676-2025")</f>
        <v/>
      </c>
      <c r="Y90">
        <f>HYPERLINK("https://klasma.github.io/Logging_2361/tillsynsmail/A 32676-2025 tillsynsbegäran mail.docx", "A 32676-2025")</f>
        <v/>
      </c>
    </row>
    <row r="91" ht="15" customHeight="1">
      <c r="A91" t="inlineStr">
        <is>
          <t>A 33421-2021</t>
        </is>
      </c>
      <c r="B91" s="1" t="n">
        <v>44377</v>
      </c>
      <c r="C91" s="1" t="n">
        <v>45904</v>
      </c>
      <c r="D91" t="inlineStr">
        <is>
          <t>JÄMTLANDS LÄN</t>
        </is>
      </c>
      <c r="E91" t="inlineStr">
        <is>
          <t>HÄRJEDALEN</t>
        </is>
      </c>
      <c r="G91" t="n">
        <v>47.1</v>
      </c>
      <c r="H91" t="n">
        <v>3</v>
      </c>
      <c r="I91" t="n">
        <v>0</v>
      </c>
      <c r="J91" t="n">
        <v>3</v>
      </c>
      <c r="K91" t="n">
        <v>0</v>
      </c>
      <c r="L91" t="n">
        <v>0</v>
      </c>
      <c r="M91" t="n">
        <v>0</v>
      </c>
      <c r="N91" t="n">
        <v>0</v>
      </c>
      <c r="O91" t="n">
        <v>3</v>
      </c>
      <c r="P91" t="n">
        <v>0</v>
      </c>
      <c r="Q91" t="n">
        <v>4</v>
      </c>
      <c r="R91" s="2" t="inlineStr">
        <is>
          <t>Gultoppig fingersvamp
Svartvit flugsnappare
Talltita
Lavskrika</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38234-2025</t>
        </is>
      </c>
      <c r="B92" s="1" t="n">
        <v>45883.35789351852</v>
      </c>
      <c r="C92" s="1" t="n">
        <v>45904</v>
      </c>
      <c r="D92" t="inlineStr">
        <is>
          <t>JÄMTLANDS LÄN</t>
        </is>
      </c>
      <c r="E92" t="inlineStr">
        <is>
          <t>HÄRJEDALEN</t>
        </is>
      </c>
      <c r="G92" t="n">
        <v>14.1</v>
      </c>
      <c r="H92" t="n">
        <v>1</v>
      </c>
      <c r="I92" t="n">
        <v>0</v>
      </c>
      <c r="J92" t="n">
        <v>4</v>
      </c>
      <c r="K92" t="n">
        <v>0</v>
      </c>
      <c r="L92" t="n">
        <v>0</v>
      </c>
      <c r="M92" t="n">
        <v>0</v>
      </c>
      <c r="N92" t="n">
        <v>0</v>
      </c>
      <c r="O92" t="n">
        <v>4</v>
      </c>
      <c r="P92" t="n">
        <v>0</v>
      </c>
      <c r="Q92" t="n">
        <v>4</v>
      </c>
      <c r="R92" s="2" t="inlineStr">
        <is>
          <t>Garnlav
Mörk kolflarnlav
Tretåig hackspett
Vedflamlav</t>
        </is>
      </c>
      <c r="S92">
        <f>HYPERLINK("https://klasma.github.io/Logging_2361/artfynd/A 38234-2025 artfynd.xlsx", "A 38234-2025")</f>
        <v/>
      </c>
      <c r="T92">
        <f>HYPERLINK("https://klasma.github.io/Logging_2361/kartor/A 38234-2025 karta.png", "A 38234-2025")</f>
        <v/>
      </c>
      <c r="V92">
        <f>HYPERLINK("https://klasma.github.io/Logging_2361/klagomål/A 38234-2025 FSC-klagomål.docx", "A 38234-2025")</f>
        <v/>
      </c>
      <c r="W92">
        <f>HYPERLINK("https://klasma.github.io/Logging_2361/klagomålsmail/A 38234-2025 FSC-klagomål mail.docx", "A 38234-2025")</f>
        <v/>
      </c>
      <c r="X92">
        <f>HYPERLINK("https://klasma.github.io/Logging_2361/tillsyn/A 38234-2025 tillsynsbegäran.docx", "A 38234-2025")</f>
        <v/>
      </c>
      <c r="Y92">
        <f>HYPERLINK("https://klasma.github.io/Logging_2361/tillsynsmail/A 38234-2025 tillsynsbegäran mail.docx", "A 38234-2025")</f>
        <v/>
      </c>
      <c r="Z92">
        <f>HYPERLINK("https://klasma.github.io/Logging_2361/fåglar/A 38234-2025 prioriterade fågelarter.docx", "A 38234-2025")</f>
        <v/>
      </c>
    </row>
    <row r="93" ht="15" customHeight="1">
      <c r="A93" t="inlineStr">
        <is>
          <t>A 39687-2024</t>
        </is>
      </c>
      <c r="B93" s="1" t="n">
        <v>45552</v>
      </c>
      <c r="C93" s="1" t="n">
        <v>45904</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41068-2024</t>
        </is>
      </c>
      <c r="B94" s="1" t="n">
        <v>45559.38894675926</v>
      </c>
      <c r="C94" s="1" t="n">
        <v>45904</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35457-2024</t>
        </is>
      </c>
      <c r="B95" s="1" t="n">
        <v>45531.45752314815</v>
      </c>
      <c r="C95" s="1" t="n">
        <v>45904</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36538-2024</t>
        </is>
      </c>
      <c r="B96" s="1" t="n">
        <v>45537.45818287037</v>
      </c>
      <c r="C96" s="1" t="n">
        <v>45904</v>
      </c>
      <c r="D96" t="inlineStr">
        <is>
          <t>JÄMTLANDS LÄN</t>
        </is>
      </c>
      <c r="E96" t="inlineStr">
        <is>
          <t>HÄRJEDALEN</t>
        </is>
      </c>
      <c r="F96" t="inlineStr">
        <is>
          <t>Holmen skog AB</t>
        </is>
      </c>
      <c r="G96" t="n">
        <v>7.4</v>
      </c>
      <c r="H96" t="n">
        <v>2</v>
      </c>
      <c r="I96" t="n">
        <v>0</v>
      </c>
      <c r="J96" t="n">
        <v>2</v>
      </c>
      <c r="K96" t="n">
        <v>1</v>
      </c>
      <c r="L96" t="n">
        <v>0</v>
      </c>
      <c r="M96" t="n">
        <v>0</v>
      </c>
      <c r="N96" t="n">
        <v>0</v>
      </c>
      <c r="O96" t="n">
        <v>3</v>
      </c>
      <c r="P96" t="n">
        <v>1</v>
      </c>
      <c r="Q96" t="n">
        <v>4</v>
      </c>
      <c r="R96" s="2" t="inlineStr">
        <is>
          <t>Knärot
Knottrig blåslav
Violettgrå tagellav
Fläcknycklar</t>
        </is>
      </c>
      <c r="S96">
        <f>HYPERLINK("https://klasma.github.io/Logging_2361/artfynd/A 36538-2024 artfynd.xlsx", "A 36538-2024")</f>
        <v/>
      </c>
      <c r="T96">
        <f>HYPERLINK("https://klasma.github.io/Logging_2361/kartor/A 36538-2024 karta.png", "A 36538-2024")</f>
        <v/>
      </c>
      <c r="U96">
        <f>HYPERLINK("https://klasma.github.io/Logging_2361/knärot/A 36538-2024 karta knärot.png", "A 36538-2024")</f>
        <v/>
      </c>
      <c r="V96">
        <f>HYPERLINK("https://klasma.github.io/Logging_2361/klagomål/A 36538-2024 FSC-klagomål.docx", "A 36538-2024")</f>
        <v/>
      </c>
      <c r="W96">
        <f>HYPERLINK("https://klasma.github.io/Logging_2361/klagomålsmail/A 36538-2024 FSC-klagomål mail.docx", "A 36538-2024")</f>
        <v/>
      </c>
      <c r="X96">
        <f>HYPERLINK("https://klasma.github.io/Logging_2361/tillsyn/A 36538-2024 tillsynsbegäran.docx", "A 36538-2024")</f>
        <v/>
      </c>
      <c r="Y96">
        <f>HYPERLINK("https://klasma.github.io/Logging_2361/tillsynsmail/A 36538-2024 tillsynsbegäran mail.docx", "A 36538-2024")</f>
        <v/>
      </c>
    </row>
    <row r="97" ht="15" customHeight="1">
      <c r="A97" t="inlineStr">
        <is>
          <t>A 5795-2025</t>
        </is>
      </c>
      <c r="B97" s="1" t="n">
        <v>45694</v>
      </c>
      <c r="C97" s="1" t="n">
        <v>45904</v>
      </c>
      <c r="D97" t="inlineStr">
        <is>
          <t>JÄMTLANDS LÄN</t>
        </is>
      </c>
      <c r="E97" t="inlineStr">
        <is>
          <t>HÄRJEDALEN</t>
        </is>
      </c>
      <c r="G97" t="n">
        <v>8.4</v>
      </c>
      <c r="H97" t="n">
        <v>0</v>
      </c>
      <c r="I97" t="n">
        <v>1</v>
      </c>
      <c r="J97" t="n">
        <v>3</v>
      </c>
      <c r="K97" t="n">
        <v>0</v>
      </c>
      <c r="L97" t="n">
        <v>0</v>
      </c>
      <c r="M97" t="n">
        <v>0</v>
      </c>
      <c r="N97" t="n">
        <v>0</v>
      </c>
      <c r="O97" t="n">
        <v>3</v>
      </c>
      <c r="P97" t="n">
        <v>0</v>
      </c>
      <c r="Q97" t="n">
        <v>4</v>
      </c>
      <c r="R97" s="2" t="inlineStr">
        <is>
          <t>Garnlav
Granticka
Ullticka
Vedticka</t>
        </is>
      </c>
      <c r="S97">
        <f>HYPERLINK("https://klasma.github.io/Logging_2361/artfynd/A 5795-2025 artfynd.xlsx", "A 5795-2025")</f>
        <v/>
      </c>
      <c r="T97">
        <f>HYPERLINK("https://klasma.github.io/Logging_2361/kartor/A 5795-2025 karta.png", "A 5795-2025")</f>
        <v/>
      </c>
      <c r="V97">
        <f>HYPERLINK("https://klasma.github.io/Logging_2361/klagomål/A 5795-2025 FSC-klagomål.docx", "A 5795-2025")</f>
        <v/>
      </c>
      <c r="W97">
        <f>HYPERLINK("https://klasma.github.io/Logging_2361/klagomålsmail/A 5795-2025 FSC-klagomål mail.docx", "A 5795-2025")</f>
        <v/>
      </c>
      <c r="X97">
        <f>HYPERLINK("https://klasma.github.io/Logging_2361/tillsyn/A 5795-2025 tillsynsbegäran.docx", "A 5795-2025")</f>
        <v/>
      </c>
      <c r="Y97">
        <f>HYPERLINK("https://klasma.github.io/Logging_2361/tillsynsmail/A 5795-2025 tillsynsbegäran mail.docx", "A 5795-2025")</f>
        <v/>
      </c>
    </row>
    <row r="98" ht="15" customHeight="1">
      <c r="A98" t="inlineStr">
        <is>
          <t>A 14059-2023</t>
        </is>
      </c>
      <c r="B98" s="1" t="n">
        <v>45007</v>
      </c>
      <c r="C98" s="1" t="n">
        <v>45904</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31584-2024</t>
        </is>
      </c>
      <c r="B99" s="1" t="n">
        <v>45506.35658564815</v>
      </c>
      <c r="C99" s="1" t="n">
        <v>45904</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55641-2021</t>
        </is>
      </c>
      <c r="B100" s="1" t="n">
        <v>44476</v>
      </c>
      <c r="C100" s="1" t="n">
        <v>45904</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8587-2023</t>
        </is>
      </c>
      <c r="B101" s="1" t="n">
        <v>44977</v>
      </c>
      <c r="C101" s="1" t="n">
        <v>45904</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55244-2021</t>
        </is>
      </c>
      <c r="B102" s="1" t="n">
        <v>44475</v>
      </c>
      <c r="C102" s="1" t="n">
        <v>45904</v>
      </c>
      <c r="D102" t="inlineStr">
        <is>
          <t>JÄMTLANDS LÄN</t>
        </is>
      </c>
      <c r="E102" t="inlineStr">
        <is>
          <t>HÄRJEDALEN</t>
        </is>
      </c>
      <c r="G102" t="n">
        <v>1.6</v>
      </c>
      <c r="H102" t="n">
        <v>1</v>
      </c>
      <c r="I102" t="n">
        <v>0</v>
      </c>
      <c r="J102" t="n">
        <v>3</v>
      </c>
      <c r="K102" t="n">
        <v>0</v>
      </c>
      <c r="L102" t="n">
        <v>0</v>
      </c>
      <c r="M102" t="n">
        <v>0</v>
      </c>
      <c r="N102" t="n">
        <v>0</v>
      </c>
      <c r="O102" t="n">
        <v>3</v>
      </c>
      <c r="P102" t="n">
        <v>0</v>
      </c>
      <c r="Q102" t="n">
        <v>3</v>
      </c>
      <c r="R102" s="2" t="inlineStr">
        <is>
          <t>Tallticka
Varglav
Vedflamlav</t>
        </is>
      </c>
      <c r="S102">
        <f>HYPERLINK("https://klasma.github.io/Logging_2361/artfynd/A 55244-2021 artfynd.xlsx", "A 55244-2021")</f>
        <v/>
      </c>
      <c r="T102">
        <f>HYPERLINK("https://klasma.github.io/Logging_2361/kartor/A 55244-2021 karta.png", "A 55244-2021")</f>
        <v/>
      </c>
      <c r="V102">
        <f>HYPERLINK("https://klasma.github.io/Logging_2361/klagomål/A 55244-2021 FSC-klagomål.docx", "A 55244-2021")</f>
        <v/>
      </c>
      <c r="W102">
        <f>HYPERLINK("https://klasma.github.io/Logging_2361/klagomålsmail/A 55244-2021 FSC-klagomål mail.docx", "A 55244-2021")</f>
        <v/>
      </c>
      <c r="X102">
        <f>HYPERLINK("https://klasma.github.io/Logging_2361/tillsyn/A 55244-2021 tillsynsbegäran.docx", "A 55244-2021")</f>
        <v/>
      </c>
      <c r="Y102">
        <f>HYPERLINK("https://klasma.github.io/Logging_2361/tillsynsmail/A 55244-2021 tillsynsbegäran mail.docx", "A 55244-2021")</f>
        <v/>
      </c>
    </row>
    <row r="103" ht="15" customHeight="1">
      <c r="A103" t="inlineStr">
        <is>
          <t>A 45717-2021</t>
        </is>
      </c>
      <c r="B103" s="1" t="n">
        <v>44441</v>
      </c>
      <c r="C103" s="1" t="n">
        <v>45904</v>
      </c>
      <c r="D103" t="inlineStr">
        <is>
          <t>JÄMTLANDS LÄN</t>
        </is>
      </c>
      <c r="E103" t="inlineStr">
        <is>
          <t>HÄRJEDALEN</t>
        </is>
      </c>
      <c r="G103" t="n">
        <v>1</v>
      </c>
      <c r="H103" t="n">
        <v>1</v>
      </c>
      <c r="I103" t="n">
        <v>2</v>
      </c>
      <c r="J103" t="n">
        <v>1</v>
      </c>
      <c r="K103" t="n">
        <v>0</v>
      </c>
      <c r="L103" t="n">
        <v>0</v>
      </c>
      <c r="M103" t="n">
        <v>0</v>
      </c>
      <c r="N103" t="n">
        <v>0</v>
      </c>
      <c r="O103" t="n">
        <v>1</v>
      </c>
      <c r="P103" t="n">
        <v>0</v>
      </c>
      <c r="Q103" t="n">
        <v>3</v>
      </c>
      <c r="R103" s="2" t="inlineStr">
        <is>
          <t>Granticka
Spindelblomster
Ögonpyrola</t>
        </is>
      </c>
      <c r="S103">
        <f>HYPERLINK("https://klasma.github.io/Logging_2361/artfynd/A 45717-2021 artfynd.xlsx", "A 45717-2021")</f>
        <v/>
      </c>
      <c r="T103">
        <f>HYPERLINK("https://klasma.github.io/Logging_2361/kartor/A 45717-2021 karta.png", "A 45717-2021")</f>
        <v/>
      </c>
      <c r="V103">
        <f>HYPERLINK("https://klasma.github.io/Logging_2361/klagomål/A 45717-2021 FSC-klagomål.docx", "A 45717-2021")</f>
        <v/>
      </c>
      <c r="W103">
        <f>HYPERLINK("https://klasma.github.io/Logging_2361/klagomålsmail/A 45717-2021 FSC-klagomål mail.docx", "A 45717-2021")</f>
        <v/>
      </c>
      <c r="X103">
        <f>HYPERLINK("https://klasma.github.io/Logging_2361/tillsyn/A 45717-2021 tillsynsbegäran.docx", "A 45717-2021")</f>
        <v/>
      </c>
      <c r="Y103">
        <f>HYPERLINK("https://klasma.github.io/Logging_2361/tillsynsmail/A 45717-2021 tillsynsbegäran mail.docx", "A 45717-2021")</f>
        <v/>
      </c>
    </row>
    <row r="104" ht="15" customHeight="1">
      <c r="A104" t="inlineStr">
        <is>
          <t>A 55394-2021</t>
        </is>
      </c>
      <c r="B104" s="1" t="n">
        <v>44475</v>
      </c>
      <c r="C104" s="1" t="n">
        <v>45904</v>
      </c>
      <c r="D104" t="inlineStr">
        <is>
          <t>JÄMTLANDS LÄN</t>
        </is>
      </c>
      <c r="E104" t="inlineStr">
        <is>
          <t>HÄRJEDALEN</t>
        </is>
      </c>
      <c r="G104" t="n">
        <v>2.7</v>
      </c>
      <c r="H104" t="n">
        <v>1</v>
      </c>
      <c r="I104" t="n">
        <v>0</v>
      </c>
      <c r="J104" t="n">
        <v>3</v>
      </c>
      <c r="K104" t="n">
        <v>0</v>
      </c>
      <c r="L104" t="n">
        <v>0</v>
      </c>
      <c r="M104" t="n">
        <v>0</v>
      </c>
      <c r="N104" t="n">
        <v>0</v>
      </c>
      <c r="O104" t="n">
        <v>3</v>
      </c>
      <c r="P104" t="n">
        <v>0</v>
      </c>
      <c r="Q104" t="n">
        <v>3</v>
      </c>
      <c r="R104" s="2" t="inlineStr">
        <is>
          <t>Blanksvart spiklav
Varglav
Vedflamlav</t>
        </is>
      </c>
      <c r="S104">
        <f>HYPERLINK("https://klasma.github.io/Logging_2361/artfynd/A 55394-2021 artfynd.xlsx", "A 55394-2021")</f>
        <v/>
      </c>
      <c r="T104">
        <f>HYPERLINK("https://klasma.github.io/Logging_2361/kartor/A 55394-2021 karta.png", "A 55394-2021")</f>
        <v/>
      </c>
      <c r="V104">
        <f>HYPERLINK("https://klasma.github.io/Logging_2361/klagomål/A 55394-2021 FSC-klagomål.docx", "A 55394-2021")</f>
        <v/>
      </c>
      <c r="W104">
        <f>HYPERLINK("https://klasma.github.io/Logging_2361/klagomålsmail/A 55394-2021 FSC-klagomål mail.docx", "A 55394-2021")</f>
        <v/>
      </c>
      <c r="X104">
        <f>HYPERLINK("https://klasma.github.io/Logging_2361/tillsyn/A 55394-2021 tillsynsbegäran.docx", "A 55394-2021")</f>
        <v/>
      </c>
      <c r="Y104">
        <f>HYPERLINK("https://klasma.github.io/Logging_2361/tillsynsmail/A 55394-2021 tillsynsbegäran mail.docx", "A 55394-2021")</f>
        <v/>
      </c>
    </row>
    <row r="105" ht="15" customHeight="1">
      <c r="A105" t="inlineStr">
        <is>
          <t>A 55233-2021</t>
        </is>
      </c>
      <c r="B105" s="1" t="n">
        <v>44475</v>
      </c>
      <c r="C105" s="1" t="n">
        <v>45904</v>
      </c>
      <c r="D105" t="inlineStr">
        <is>
          <t>JÄMTLANDS LÄN</t>
        </is>
      </c>
      <c r="E105" t="inlineStr">
        <is>
          <t>HÄRJEDALEN</t>
        </is>
      </c>
      <c r="G105" t="n">
        <v>15.3</v>
      </c>
      <c r="H105" t="n">
        <v>1</v>
      </c>
      <c r="I105" t="n">
        <v>0</v>
      </c>
      <c r="J105" t="n">
        <v>3</v>
      </c>
      <c r="K105" t="n">
        <v>0</v>
      </c>
      <c r="L105" t="n">
        <v>0</v>
      </c>
      <c r="M105" t="n">
        <v>0</v>
      </c>
      <c r="N105" t="n">
        <v>0</v>
      </c>
      <c r="O105" t="n">
        <v>3</v>
      </c>
      <c r="P105" t="n">
        <v>0</v>
      </c>
      <c r="Q105" t="n">
        <v>3</v>
      </c>
      <c r="R105" s="2" t="inlineStr">
        <is>
          <t>Reliktbock
Varglav
Vedflamlav</t>
        </is>
      </c>
      <c r="S105">
        <f>HYPERLINK("https://klasma.github.io/Logging_2361/artfynd/A 55233-2021 artfynd.xlsx", "A 55233-2021")</f>
        <v/>
      </c>
      <c r="T105">
        <f>HYPERLINK("https://klasma.github.io/Logging_2361/kartor/A 55233-2021 karta.png", "A 55233-2021")</f>
        <v/>
      </c>
      <c r="V105">
        <f>HYPERLINK("https://klasma.github.io/Logging_2361/klagomål/A 55233-2021 FSC-klagomål.docx", "A 55233-2021")</f>
        <v/>
      </c>
      <c r="W105">
        <f>HYPERLINK("https://klasma.github.io/Logging_2361/klagomålsmail/A 55233-2021 FSC-klagomål mail.docx", "A 55233-2021")</f>
        <v/>
      </c>
      <c r="X105">
        <f>HYPERLINK("https://klasma.github.io/Logging_2361/tillsyn/A 55233-2021 tillsynsbegäran.docx", "A 55233-2021")</f>
        <v/>
      </c>
      <c r="Y105">
        <f>HYPERLINK("https://klasma.github.io/Logging_2361/tillsynsmail/A 55233-2021 tillsynsbegäran mail.docx", "A 55233-2021")</f>
        <v/>
      </c>
    </row>
    <row r="106" ht="15" customHeight="1">
      <c r="A106" t="inlineStr">
        <is>
          <t>A 22464-2022</t>
        </is>
      </c>
      <c r="B106" s="1" t="n">
        <v>44713</v>
      </c>
      <c r="C106" s="1" t="n">
        <v>45904</v>
      </c>
      <c r="D106" t="inlineStr">
        <is>
          <t>JÄMTLANDS LÄN</t>
        </is>
      </c>
      <c r="E106" t="inlineStr">
        <is>
          <t>HÄRJEDALEN</t>
        </is>
      </c>
      <c r="F106" t="inlineStr">
        <is>
          <t>Sveaskog</t>
        </is>
      </c>
      <c r="G106" t="n">
        <v>4.3</v>
      </c>
      <c r="H106" t="n">
        <v>1</v>
      </c>
      <c r="I106" t="n">
        <v>1</v>
      </c>
      <c r="J106" t="n">
        <v>2</v>
      </c>
      <c r="K106" t="n">
        <v>0</v>
      </c>
      <c r="L106" t="n">
        <v>0</v>
      </c>
      <c r="M106" t="n">
        <v>0</v>
      </c>
      <c r="N106" t="n">
        <v>0</v>
      </c>
      <c r="O106" t="n">
        <v>2</v>
      </c>
      <c r="P106" t="n">
        <v>0</v>
      </c>
      <c r="Q106" t="n">
        <v>3</v>
      </c>
      <c r="R106" s="2" t="inlineStr">
        <is>
          <t>Lunglav
Tretåig hackspett
Dropptaggsvamp</t>
        </is>
      </c>
      <c r="S106">
        <f>HYPERLINK("https://klasma.github.io/Logging_2361/artfynd/A 22464-2022 artfynd.xlsx", "A 22464-2022")</f>
        <v/>
      </c>
      <c r="T106">
        <f>HYPERLINK("https://klasma.github.io/Logging_2361/kartor/A 22464-2022 karta.png", "A 22464-2022")</f>
        <v/>
      </c>
      <c r="U106">
        <f>HYPERLINK("https://klasma.github.io/Logging_2361/knärot/A 22464-2022 karta knärot.png", "A 22464-2022")</f>
        <v/>
      </c>
      <c r="V106">
        <f>HYPERLINK("https://klasma.github.io/Logging_2361/klagomål/A 22464-2022 FSC-klagomål.docx", "A 22464-2022")</f>
        <v/>
      </c>
      <c r="W106">
        <f>HYPERLINK("https://klasma.github.io/Logging_2361/klagomålsmail/A 22464-2022 FSC-klagomål mail.docx", "A 22464-2022")</f>
        <v/>
      </c>
      <c r="X106">
        <f>HYPERLINK("https://klasma.github.io/Logging_2361/tillsyn/A 22464-2022 tillsynsbegäran.docx", "A 22464-2022")</f>
        <v/>
      </c>
      <c r="Y106">
        <f>HYPERLINK("https://klasma.github.io/Logging_2361/tillsynsmail/A 22464-2022 tillsynsbegäran mail.docx", "A 22464-2022")</f>
        <v/>
      </c>
      <c r="Z106">
        <f>HYPERLINK("https://klasma.github.io/Logging_2361/fåglar/A 22464-2022 prioriterade fågelarter.docx", "A 22464-2022")</f>
        <v/>
      </c>
    </row>
    <row r="107" ht="15" customHeight="1">
      <c r="A107" t="inlineStr">
        <is>
          <t>A 23337-2025</t>
        </is>
      </c>
      <c r="B107" s="1" t="n">
        <v>45791</v>
      </c>
      <c r="C107" s="1" t="n">
        <v>45904</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25107-2025</t>
        </is>
      </c>
      <c r="B108" s="1" t="n">
        <v>45800.3484375</v>
      </c>
      <c r="C108" s="1" t="n">
        <v>45904</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45904</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29098-2025</t>
        </is>
      </c>
      <c r="B110" s="1" t="n">
        <v>45821.56523148148</v>
      </c>
      <c r="C110" s="1" t="n">
        <v>45904</v>
      </c>
      <c r="D110" t="inlineStr">
        <is>
          <t>JÄMTLANDS LÄN</t>
        </is>
      </c>
      <c r="E110" t="inlineStr">
        <is>
          <t>HÄRJEDALEN</t>
        </is>
      </c>
      <c r="F110" t="inlineStr">
        <is>
          <t>Sveaskog</t>
        </is>
      </c>
      <c r="G110" t="n">
        <v>27.4</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HYPERLINK("https://klasma.github.io/Logging_2361/artfynd/A 29098-2025 artfynd.xlsx", "A 29098-2025")</f>
        <v/>
      </c>
      <c r="T110">
        <f>HYPERLINK("https://klasma.github.io/Logging_2361/kartor/A 29098-2025 karta.png", "A 29098-2025")</f>
        <v/>
      </c>
      <c r="V110">
        <f>HYPERLINK("https://klasma.github.io/Logging_2361/klagomål/A 29098-2025 FSC-klagomål.docx", "A 29098-2025")</f>
        <v/>
      </c>
      <c r="W110">
        <f>HYPERLINK("https://klasma.github.io/Logging_2361/klagomålsmail/A 29098-2025 FSC-klagomål mail.docx", "A 29098-2025")</f>
        <v/>
      </c>
      <c r="X110">
        <f>HYPERLINK("https://klasma.github.io/Logging_2361/tillsyn/A 29098-2025 tillsynsbegäran.docx", "A 29098-2025")</f>
        <v/>
      </c>
      <c r="Y110">
        <f>HYPERLINK("https://klasma.github.io/Logging_2361/tillsynsmail/A 29098-2025 tillsynsbegäran mail.docx", "A 29098-2025")</f>
        <v/>
      </c>
    </row>
    <row r="111" ht="15" customHeight="1">
      <c r="A111" t="inlineStr">
        <is>
          <t>A 33393-2025</t>
        </is>
      </c>
      <c r="B111" s="1" t="n">
        <v>45841.41003472222</v>
      </c>
      <c r="C111" s="1" t="n">
        <v>45904</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33393-2025 artfynd.xlsx", "A 33393-2025")</f>
        <v/>
      </c>
      <c r="T111">
        <f>HYPERLINK("https://klasma.github.io/Logging_2361/kartor/A 33393-2025 karta.png", "A 33393-2025")</f>
        <v/>
      </c>
      <c r="V111">
        <f>HYPERLINK("https://klasma.github.io/Logging_2361/klagomål/A 33393-2025 FSC-klagomål.docx", "A 33393-2025")</f>
        <v/>
      </c>
      <c r="W111">
        <f>HYPERLINK("https://klasma.github.io/Logging_2361/klagomålsmail/A 33393-2025 FSC-klagomål mail.docx", "A 33393-2025")</f>
        <v/>
      </c>
      <c r="X111">
        <f>HYPERLINK("https://klasma.github.io/Logging_2361/tillsyn/A 33393-2025 tillsynsbegäran.docx", "A 33393-2025")</f>
        <v/>
      </c>
      <c r="Y111">
        <f>HYPERLINK("https://klasma.github.io/Logging_2361/tillsynsmail/A 33393-2025 tillsynsbegäran mail.docx", "A 33393-2025")</f>
        <v/>
      </c>
    </row>
    <row r="112" ht="15" customHeight="1">
      <c r="A112" t="inlineStr">
        <is>
          <t>A 49863-2020</t>
        </is>
      </c>
      <c r="B112" s="1" t="n">
        <v>44107</v>
      </c>
      <c r="C112" s="1" t="n">
        <v>45904</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34814-2025</t>
        </is>
      </c>
      <c r="B113" s="1" t="n">
        <v>45849.35011574074</v>
      </c>
      <c r="C113" s="1" t="n">
        <v>45904</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34814-2025 artfynd.xlsx", "A 34814-2025")</f>
        <v/>
      </c>
      <c r="T113">
        <f>HYPERLINK("https://klasma.github.io/Logging_2361/kartor/A 34814-2025 karta.png", "A 34814-2025")</f>
        <v/>
      </c>
      <c r="V113">
        <f>HYPERLINK("https://klasma.github.io/Logging_2361/klagomål/A 34814-2025 FSC-klagomål.docx", "A 34814-2025")</f>
        <v/>
      </c>
      <c r="W113">
        <f>HYPERLINK("https://klasma.github.io/Logging_2361/klagomålsmail/A 34814-2025 FSC-klagomål mail.docx", "A 34814-2025")</f>
        <v/>
      </c>
      <c r="X113">
        <f>HYPERLINK("https://klasma.github.io/Logging_2361/tillsyn/A 34814-2025 tillsynsbegäran.docx", "A 34814-2025")</f>
        <v/>
      </c>
      <c r="Y113">
        <f>HYPERLINK("https://klasma.github.io/Logging_2361/tillsynsmail/A 34814-2025 tillsynsbegäran mail.docx", "A 34814-2025")</f>
        <v/>
      </c>
    </row>
    <row r="114" ht="15" customHeight="1">
      <c r="A114" t="inlineStr">
        <is>
          <t>A 26225-2024</t>
        </is>
      </c>
      <c r="B114" s="1" t="n">
        <v>45468</v>
      </c>
      <c r="C114" s="1" t="n">
        <v>45904</v>
      </c>
      <c r="D114" t="inlineStr">
        <is>
          <t>JÄMTLANDS LÄN</t>
        </is>
      </c>
      <c r="E114" t="inlineStr">
        <is>
          <t>HÄRJEDALEN</t>
        </is>
      </c>
      <c r="G114" t="n">
        <v>21.2</v>
      </c>
      <c r="H114" t="n">
        <v>1</v>
      </c>
      <c r="I114" t="n">
        <v>3</v>
      </c>
      <c r="J114" t="n">
        <v>0</v>
      </c>
      <c r="K114" t="n">
        <v>0</v>
      </c>
      <c r="L114" t="n">
        <v>0</v>
      </c>
      <c r="M114" t="n">
        <v>0</v>
      </c>
      <c r="N114" t="n">
        <v>0</v>
      </c>
      <c r="O114" t="n">
        <v>0</v>
      </c>
      <c r="P114" t="n">
        <v>0</v>
      </c>
      <c r="Q114" t="n">
        <v>3</v>
      </c>
      <c r="R114" s="2" t="inlineStr">
        <is>
          <t>Gräsull
Tibast
Tvåblad</t>
        </is>
      </c>
      <c r="S114">
        <f>HYPERLINK("https://klasma.github.io/Logging_2361/artfynd/A 26225-2024 artfynd.xlsx", "A 26225-2024")</f>
        <v/>
      </c>
      <c r="T114">
        <f>HYPERLINK("https://klasma.github.io/Logging_2361/kartor/A 26225-2024 karta.png", "A 26225-2024")</f>
        <v/>
      </c>
      <c r="V114">
        <f>HYPERLINK("https://klasma.github.io/Logging_2361/klagomål/A 26225-2024 FSC-klagomål.docx", "A 26225-2024")</f>
        <v/>
      </c>
      <c r="W114">
        <f>HYPERLINK("https://klasma.github.io/Logging_2361/klagomålsmail/A 26225-2024 FSC-klagomål mail.docx", "A 26225-2024")</f>
        <v/>
      </c>
      <c r="X114">
        <f>HYPERLINK("https://klasma.github.io/Logging_2361/tillsyn/A 26225-2024 tillsynsbegäran.docx", "A 26225-2024")</f>
        <v/>
      </c>
      <c r="Y114">
        <f>HYPERLINK("https://klasma.github.io/Logging_2361/tillsynsmail/A 26225-2024 tillsynsbegäran mail.docx", "A 26225-2024")</f>
        <v/>
      </c>
    </row>
    <row r="115" ht="15" customHeight="1">
      <c r="A115" t="inlineStr">
        <is>
          <t>A 67126-2020</t>
        </is>
      </c>
      <c r="B115" s="1" t="n">
        <v>44180</v>
      </c>
      <c r="C115" s="1" t="n">
        <v>45904</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45904</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45904</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45904</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50438-2022</t>
        </is>
      </c>
      <c r="B119" s="1" t="n">
        <v>44866.46503472222</v>
      </c>
      <c r="C119" s="1" t="n">
        <v>45904</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45904</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45904</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22508-2025</t>
        </is>
      </c>
      <c r="B122" s="1" t="n">
        <v>45786.66594907407</v>
      </c>
      <c r="C122" s="1" t="n">
        <v>45904</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22511-2025</t>
        </is>
      </c>
      <c r="B123" s="1" t="n">
        <v>45786.67016203704</v>
      </c>
      <c r="C123" s="1" t="n">
        <v>45904</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22511-2025 artfynd.xlsx", "A 22511-2025")</f>
        <v/>
      </c>
      <c r="T123">
        <f>HYPERLINK("https://klasma.github.io/Logging_2361/kartor/A 22511-2025 karta.png", "A 22511-2025")</f>
        <v/>
      </c>
      <c r="V123">
        <f>HYPERLINK("https://klasma.github.io/Logging_2361/klagomål/A 22511-2025 FSC-klagomål.docx", "A 22511-2025")</f>
        <v/>
      </c>
      <c r="W123">
        <f>HYPERLINK("https://klasma.github.io/Logging_2361/klagomålsmail/A 22511-2025 FSC-klagomål mail.docx", "A 22511-2025")</f>
        <v/>
      </c>
      <c r="X123">
        <f>HYPERLINK("https://klasma.github.io/Logging_2361/tillsyn/A 22511-2025 tillsynsbegäran.docx", "A 22511-2025")</f>
        <v/>
      </c>
      <c r="Y123">
        <f>HYPERLINK("https://klasma.github.io/Logging_2361/tillsynsmail/A 22511-2025 tillsynsbegäran mail.docx", "A 22511-2025")</f>
        <v/>
      </c>
    </row>
    <row r="124" ht="15" customHeight="1">
      <c r="A124" t="inlineStr">
        <is>
          <t>A 22513-2025</t>
        </is>
      </c>
      <c r="B124" s="1" t="n">
        <v>45786.6768287037</v>
      </c>
      <c r="C124" s="1" t="n">
        <v>45904</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22501-2025</t>
        </is>
      </c>
      <c r="B125" s="1" t="n">
        <v>45786.6590625</v>
      </c>
      <c r="C125" s="1" t="n">
        <v>45904</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22494-2025</t>
        </is>
      </c>
      <c r="B126" s="1" t="n">
        <v>45786.65452546296</v>
      </c>
      <c r="C126" s="1" t="n">
        <v>45904</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22512-2025</t>
        </is>
      </c>
      <c r="B127" s="1" t="n">
        <v>45786.67261574074</v>
      </c>
      <c r="C127" s="1" t="n">
        <v>45904</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48065-2021</t>
        </is>
      </c>
      <c r="B128" s="1" t="n">
        <v>44449</v>
      </c>
      <c r="C128" s="1" t="n">
        <v>45904</v>
      </c>
      <c r="D128" t="inlineStr">
        <is>
          <t>JÄMTLANDS LÄN</t>
        </is>
      </c>
      <c r="E128" t="inlineStr">
        <is>
          <t>HÄRJEDALEN</t>
        </is>
      </c>
      <c r="G128" t="n">
        <v>24.8</v>
      </c>
      <c r="H128" t="n">
        <v>0</v>
      </c>
      <c r="I128" t="n">
        <v>0</v>
      </c>
      <c r="J128" t="n">
        <v>2</v>
      </c>
      <c r="K128" t="n">
        <v>0</v>
      </c>
      <c r="L128" t="n">
        <v>0</v>
      </c>
      <c r="M128" t="n">
        <v>0</v>
      </c>
      <c r="N128" t="n">
        <v>0</v>
      </c>
      <c r="O128" t="n">
        <v>2</v>
      </c>
      <c r="P128" t="n">
        <v>0</v>
      </c>
      <c r="Q128" t="n">
        <v>2</v>
      </c>
      <c r="R128" s="2" t="inlineStr">
        <is>
          <t>Garnlav
Vitplätt</t>
        </is>
      </c>
      <c r="S128">
        <f>HYPERLINK("https://klasma.github.io/Logging_2361/artfynd/A 48065-2021 artfynd.xlsx", "A 48065-2021")</f>
        <v/>
      </c>
      <c r="T128">
        <f>HYPERLINK("https://klasma.github.io/Logging_2361/kartor/A 48065-2021 karta.png", "A 48065-2021")</f>
        <v/>
      </c>
      <c r="V128">
        <f>HYPERLINK("https://klasma.github.io/Logging_2361/klagomål/A 48065-2021 FSC-klagomål.docx", "A 48065-2021")</f>
        <v/>
      </c>
      <c r="W128">
        <f>HYPERLINK("https://klasma.github.io/Logging_2361/klagomålsmail/A 48065-2021 FSC-klagomål mail.docx", "A 48065-2021")</f>
        <v/>
      </c>
      <c r="X128">
        <f>HYPERLINK("https://klasma.github.io/Logging_2361/tillsyn/A 48065-2021 tillsynsbegäran.docx", "A 48065-2021")</f>
        <v/>
      </c>
      <c r="Y128">
        <f>HYPERLINK("https://klasma.github.io/Logging_2361/tillsynsmail/A 48065-2021 tillsynsbegäran mail.docx", "A 48065-2021")</f>
        <v/>
      </c>
    </row>
    <row r="129" ht="15" customHeight="1">
      <c r="A129" t="inlineStr">
        <is>
          <t>A 47348-2022</t>
        </is>
      </c>
      <c r="B129" s="1" t="n">
        <v>44853</v>
      </c>
      <c r="C129" s="1" t="n">
        <v>45904</v>
      </c>
      <c r="D129" t="inlineStr">
        <is>
          <t>JÄMTLANDS LÄN</t>
        </is>
      </c>
      <c r="E129" t="inlineStr">
        <is>
          <t>HÄRJEDALEN</t>
        </is>
      </c>
      <c r="G129" t="n">
        <v>2</v>
      </c>
      <c r="H129" t="n">
        <v>1</v>
      </c>
      <c r="I129" t="n">
        <v>0</v>
      </c>
      <c r="J129" t="n">
        <v>1</v>
      </c>
      <c r="K129" t="n">
        <v>1</v>
      </c>
      <c r="L129" t="n">
        <v>0</v>
      </c>
      <c r="M129" t="n">
        <v>0</v>
      </c>
      <c r="N129" t="n">
        <v>0</v>
      </c>
      <c r="O129" t="n">
        <v>2</v>
      </c>
      <c r="P129" t="n">
        <v>1</v>
      </c>
      <c r="Q129" t="n">
        <v>2</v>
      </c>
      <c r="R129" s="2" t="inlineStr">
        <is>
          <t>Knärot
Lunglav</t>
        </is>
      </c>
      <c r="S129">
        <f>HYPERLINK("https://klasma.github.io/Logging_2361/artfynd/A 47348-2022 artfynd.xlsx", "A 47348-2022")</f>
        <v/>
      </c>
      <c r="T129">
        <f>HYPERLINK("https://klasma.github.io/Logging_2361/kartor/A 47348-2022 karta.png", "A 47348-2022")</f>
        <v/>
      </c>
      <c r="U129">
        <f>HYPERLINK("https://klasma.github.io/Logging_2361/knärot/A 47348-2022 karta knärot.png", "A 47348-2022")</f>
        <v/>
      </c>
      <c r="V129">
        <f>HYPERLINK("https://klasma.github.io/Logging_2361/klagomål/A 47348-2022 FSC-klagomål.docx", "A 47348-2022")</f>
        <v/>
      </c>
      <c r="W129">
        <f>HYPERLINK("https://klasma.github.io/Logging_2361/klagomålsmail/A 47348-2022 FSC-klagomål mail.docx", "A 47348-2022")</f>
        <v/>
      </c>
      <c r="X129">
        <f>HYPERLINK("https://klasma.github.io/Logging_2361/tillsyn/A 47348-2022 tillsynsbegäran.docx", "A 47348-2022")</f>
        <v/>
      </c>
      <c r="Y129">
        <f>HYPERLINK("https://klasma.github.io/Logging_2361/tillsynsmail/A 47348-2022 tillsynsbegäran mail.docx", "A 47348-2022")</f>
        <v/>
      </c>
    </row>
    <row r="130" ht="15" customHeight="1">
      <c r="A130" t="inlineStr">
        <is>
          <t>A 60750-2024</t>
        </is>
      </c>
      <c r="B130" s="1" t="n">
        <v>45644.56555555556</v>
      </c>
      <c r="C130" s="1" t="n">
        <v>45904</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36750-2023</t>
        </is>
      </c>
      <c r="B131" s="1" t="n">
        <v>45153</v>
      </c>
      <c r="C131" s="1" t="n">
        <v>45904</v>
      </c>
      <c r="D131" t="inlineStr">
        <is>
          <t>JÄMTLANDS LÄN</t>
        </is>
      </c>
      <c r="E131" t="inlineStr">
        <is>
          <t>HÄRJEDALEN</t>
        </is>
      </c>
      <c r="G131" t="n">
        <v>8.199999999999999</v>
      </c>
      <c r="H131" t="n">
        <v>1</v>
      </c>
      <c r="I131" t="n">
        <v>0</v>
      </c>
      <c r="J131" t="n">
        <v>2</v>
      </c>
      <c r="K131" t="n">
        <v>0</v>
      </c>
      <c r="L131" t="n">
        <v>0</v>
      </c>
      <c r="M131" t="n">
        <v>0</v>
      </c>
      <c r="N131" t="n">
        <v>0</v>
      </c>
      <c r="O131" t="n">
        <v>2</v>
      </c>
      <c r="P131" t="n">
        <v>0</v>
      </c>
      <c r="Q131" t="n">
        <v>2</v>
      </c>
      <c r="R131" s="2" t="inlineStr">
        <is>
          <t>Järpe
Lunglav</t>
        </is>
      </c>
      <c r="S131">
        <f>HYPERLINK("https://klasma.github.io/Logging_2361/artfynd/A 36750-2023 artfynd.xlsx", "A 36750-2023")</f>
        <v/>
      </c>
      <c r="T131">
        <f>HYPERLINK("https://klasma.github.io/Logging_2361/kartor/A 36750-2023 karta.png", "A 36750-2023")</f>
        <v/>
      </c>
      <c r="V131">
        <f>HYPERLINK("https://klasma.github.io/Logging_2361/klagomål/A 36750-2023 FSC-klagomål.docx", "A 36750-2023")</f>
        <v/>
      </c>
      <c r="W131">
        <f>HYPERLINK("https://klasma.github.io/Logging_2361/klagomålsmail/A 36750-2023 FSC-klagomål mail.docx", "A 36750-2023")</f>
        <v/>
      </c>
      <c r="X131">
        <f>HYPERLINK("https://klasma.github.io/Logging_2361/tillsyn/A 36750-2023 tillsynsbegäran.docx", "A 36750-2023")</f>
        <v/>
      </c>
      <c r="Y131">
        <f>HYPERLINK("https://klasma.github.io/Logging_2361/tillsynsmail/A 36750-2023 tillsynsbegäran mail.docx", "A 36750-2023")</f>
        <v/>
      </c>
      <c r="Z131">
        <f>HYPERLINK("https://klasma.github.io/Logging_2361/fåglar/A 36750-2023 prioriterade fågelarter.docx", "A 36750-2023")</f>
        <v/>
      </c>
    </row>
    <row r="132" ht="15" customHeight="1">
      <c r="A132" t="inlineStr">
        <is>
          <t>A 26346-2025</t>
        </is>
      </c>
      <c r="B132" s="1" t="n">
        <v>45805.73822916667</v>
      </c>
      <c r="C132" s="1" t="n">
        <v>45904</v>
      </c>
      <c r="D132" t="inlineStr">
        <is>
          <t>JÄMTLANDS LÄN</t>
        </is>
      </c>
      <c r="E132" t="inlineStr">
        <is>
          <t>HÄRJEDALEN</t>
        </is>
      </c>
      <c r="F132" t="inlineStr">
        <is>
          <t>Sveaskog</t>
        </is>
      </c>
      <c r="G132" t="n">
        <v>3.6</v>
      </c>
      <c r="H132" t="n">
        <v>0</v>
      </c>
      <c r="I132" t="n">
        <v>0</v>
      </c>
      <c r="J132" t="n">
        <v>2</v>
      </c>
      <c r="K132" t="n">
        <v>0</v>
      </c>
      <c r="L132" t="n">
        <v>0</v>
      </c>
      <c r="M132" t="n">
        <v>0</v>
      </c>
      <c r="N132" t="n">
        <v>0</v>
      </c>
      <c r="O132" t="n">
        <v>2</v>
      </c>
      <c r="P132" t="n">
        <v>0</v>
      </c>
      <c r="Q132" t="n">
        <v>2</v>
      </c>
      <c r="R132" s="2" t="inlineStr">
        <is>
          <t>Garnlav
Lunglav</t>
        </is>
      </c>
      <c r="S132">
        <f>HYPERLINK("https://klasma.github.io/Logging_2361/artfynd/A 26346-2025 artfynd.xlsx", "A 26346-2025")</f>
        <v/>
      </c>
      <c r="T132">
        <f>HYPERLINK("https://klasma.github.io/Logging_2361/kartor/A 26346-2025 karta.png", "A 26346-2025")</f>
        <v/>
      </c>
      <c r="V132">
        <f>HYPERLINK("https://klasma.github.io/Logging_2361/klagomål/A 26346-2025 FSC-klagomål.docx", "A 26346-2025")</f>
        <v/>
      </c>
      <c r="W132">
        <f>HYPERLINK("https://klasma.github.io/Logging_2361/klagomålsmail/A 26346-2025 FSC-klagomål mail.docx", "A 26346-2025")</f>
        <v/>
      </c>
      <c r="X132">
        <f>HYPERLINK("https://klasma.github.io/Logging_2361/tillsyn/A 26346-2025 tillsynsbegäran.docx", "A 26346-2025")</f>
        <v/>
      </c>
      <c r="Y132">
        <f>HYPERLINK("https://klasma.github.io/Logging_2361/tillsynsmail/A 26346-2025 tillsynsbegäran mail.docx", "A 26346-2025")</f>
        <v/>
      </c>
    </row>
    <row r="133" ht="15" customHeight="1">
      <c r="A133" t="inlineStr">
        <is>
          <t>A 31414-2025</t>
        </is>
      </c>
      <c r="B133" s="1" t="n">
        <v>45833</v>
      </c>
      <c r="C133" s="1" t="n">
        <v>45904</v>
      </c>
      <c r="D133" t="inlineStr">
        <is>
          <t>JÄMTLANDS LÄN</t>
        </is>
      </c>
      <c r="E133" t="inlineStr">
        <is>
          <t>HÄRJEDALEN</t>
        </is>
      </c>
      <c r="G133" t="n">
        <v>40.4</v>
      </c>
      <c r="H133" t="n">
        <v>0</v>
      </c>
      <c r="I133" t="n">
        <v>0</v>
      </c>
      <c r="J133" t="n">
        <v>2</v>
      </c>
      <c r="K133" t="n">
        <v>0</v>
      </c>
      <c r="L133" t="n">
        <v>0</v>
      </c>
      <c r="M133" t="n">
        <v>0</v>
      </c>
      <c r="N133" t="n">
        <v>0</v>
      </c>
      <c r="O133" t="n">
        <v>2</v>
      </c>
      <c r="P133" t="n">
        <v>0</v>
      </c>
      <c r="Q133" t="n">
        <v>2</v>
      </c>
      <c r="R133" s="2" t="inlineStr">
        <is>
          <t>Blanksvart spiklav
Granticka</t>
        </is>
      </c>
      <c r="S133">
        <f>HYPERLINK("https://klasma.github.io/Logging_2361/artfynd/A 31414-2025 artfynd.xlsx", "A 31414-2025")</f>
        <v/>
      </c>
      <c r="T133">
        <f>HYPERLINK("https://klasma.github.io/Logging_2361/kartor/A 31414-2025 karta.png", "A 31414-2025")</f>
        <v/>
      </c>
      <c r="V133">
        <f>HYPERLINK("https://klasma.github.io/Logging_2361/klagomål/A 31414-2025 FSC-klagomål.docx", "A 31414-2025")</f>
        <v/>
      </c>
      <c r="W133">
        <f>HYPERLINK("https://klasma.github.io/Logging_2361/klagomålsmail/A 31414-2025 FSC-klagomål mail.docx", "A 31414-2025")</f>
        <v/>
      </c>
      <c r="X133">
        <f>HYPERLINK("https://klasma.github.io/Logging_2361/tillsyn/A 31414-2025 tillsynsbegäran.docx", "A 31414-2025")</f>
        <v/>
      </c>
      <c r="Y133">
        <f>HYPERLINK("https://klasma.github.io/Logging_2361/tillsynsmail/A 31414-2025 tillsynsbegäran mail.docx", "A 31414-2025")</f>
        <v/>
      </c>
    </row>
    <row r="134" ht="15" customHeight="1">
      <c r="A134" t="inlineStr">
        <is>
          <t>A 10344-2023</t>
        </is>
      </c>
      <c r="B134" s="1" t="n">
        <v>44987</v>
      </c>
      <c r="C134" s="1" t="n">
        <v>45904</v>
      </c>
      <c r="D134" t="inlineStr">
        <is>
          <t>JÄMTLANDS LÄN</t>
        </is>
      </c>
      <c r="E134" t="inlineStr">
        <is>
          <t>HÄRJEDALEN</t>
        </is>
      </c>
      <c r="F134" t="inlineStr">
        <is>
          <t>Holmen skog AB</t>
        </is>
      </c>
      <c r="G134" t="n">
        <v>7.2</v>
      </c>
      <c r="H134" t="n">
        <v>0</v>
      </c>
      <c r="I134" t="n">
        <v>0</v>
      </c>
      <c r="J134" t="n">
        <v>2</v>
      </c>
      <c r="K134" t="n">
        <v>0</v>
      </c>
      <c r="L134" t="n">
        <v>0</v>
      </c>
      <c r="M134" t="n">
        <v>0</v>
      </c>
      <c r="N134" t="n">
        <v>0</v>
      </c>
      <c r="O134" t="n">
        <v>2</v>
      </c>
      <c r="P134" t="n">
        <v>0</v>
      </c>
      <c r="Q134" t="n">
        <v>2</v>
      </c>
      <c r="R134" s="2" t="inlineStr">
        <is>
          <t>Lunglav
Skrovellav</t>
        </is>
      </c>
      <c r="S134">
        <f>HYPERLINK("https://klasma.github.io/Logging_2361/artfynd/A 10344-2023 artfynd.xlsx", "A 10344-2023")</f>
        <v/>
      </c>
      <c r="T134">
        <f>HYPERLINK("https://klasma.github.io/Logging_2361/kartor/A 10344-2023 karta.png", "A 10344-2023")</f>
        <v/>
      </c>
      <c r="U134">
        <f>HYPERLINK("https://klasma.github.io/Logging_2361/knärot/A 10344-2023 karta knärot.png", "A 10344-2023")</f>
        <v/>
      </c>
      <c r="V134">
        <f>HYPERLINK("https://klasma.github.io/Logging_2361/klagomål/A 10344-2023 FSC-klagomål.docx", "A 10344-2023")</f>
        <v/>
      </c>
      <c r="W134">
        <f>HYPERLINK("https://klasma.github.io/Logging_2361/klagomålsmail/A 10344-2023 FSC-klagomål mail.docx", "A 10344-2023")</f>
        <v/>
      </c>
      <c r="X134">
        <f>HYPERLINK("https://klasma.github.io/Logging_2361/tillsyn/A 10344-2023 tillsynsbegäran.docx", "A 10344-2023")</f>
        <v/>
      </c>
      <c r="Y134">
        <f>HYPERLINK("https://klasma.github.io/Logging_2361/tillsynsmail/A 10344-2023 tillsynsbegäran mail.docx", "A 10344-2023")</f>
        <v/>
      </c>
    </row>
    <row r="135" ht="15" customHeight="1">
      <c r="A135" t="inlineStr">
        <is>
          <t>A 20035-2025</t>
        </is>
      </c>
      <c r="B135" s="1" t="n">
        <v>45772.36488425926</v>
      </c>
      <c r="C135" s="1" t="n">
        <v>45904</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49329-2024</t>
        </is>
      </c>
      <c r="B136" s="1" t="n">
        <v>45595.58056712963</v>
      </c>
      <c r="C136" s="1" t="n">
        <v>45904</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17368-2023</t>
        </is>
      </c>
      <c r="B137" s="1" t="n">
        <v>45035</v>
      </c>
      <c r="C137" s="1" t="n">
        <v>45904</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45904</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37572-2025</t>
        </is>
      </c>
      <c r="B139" s="1" t="n">
        <v>45880.37559027778</v>
      </c>
      <c r="C139" s="1" t="n">
        <v>45904</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39718-2024</t>
        </is>
      </c>
      <c r="B140" s="1" t="n">
        <v>45552</v>
      </c>
      <c r="C140" s="1" t="n">
        <v>45904</v>
      </c>
      <c r="D140" t="inlineStr">
        <is>
          <t>JÄMTLANDS LÄN</t>
        </is>
      </c>
      <c r="E140" t="inlineStr">
        <is>
          <t>HÄRJEDALEN</t>
        </is>
      </c>
      <c r="G140" t="n">
        <v>9.4</v>
      </c>
      <c r="H140" t="n">
        <v>0</v>
      </c>
      <c r="I140" t="n">
        <v>0</v>
      </c>
      <c r="J140" t="n">
        <v>1</v>
      </c>
      <c r="K140" t="n">
        <v>1</v>
      </c>
      <c r="L140" t="n">
        <v>0</v>
      </c>
      <c r="M140" t="n">
        <v>0</v>
      </c>
      <c r="N140" t="n">
        <v>0</v>
      </c>
      <c r="O140" t="n">
        <v>2</v>
      </c>
      <c r="P140" t="n">
        <v>1</v>
      </c>
      <c r="Q140" t="n">
        <v>2</v>
      </c>
      <c r="R140" s="2" t="inlineStr">
        <is>
          <t>Gräddporing
Slåtterfibbla</t>
        </is>
      </c>
      <c r="S140">
        <f>HYPERLINK("https://klasma.github.io/Logging_2361/artfynd/A 39718-2024 artfynd.xlsx", "A 39718-2024")</f>
        <v/>
      </c>
      <c r="T140">
        <f>HYPERLINK("https://klasma.github.io/Logging_2361/kartor/A 39718-2024 karta.png", "A 39718-2024")</f>
        <v/>
      </c>
      <c r="U140">
        <f>HYPERLINK("https://klasma.github.io/Logging_2361/knärot/A 39718-2024 karta knärot.png", "A 39718-2024")</f>
        <v/>
      </c>
      <c r="V140">
        <f>HYPERLINK("https://klasma.github.io/Logging_2361/klagomål/A 39718-2024 FSC-klagomål.docx", "A 39718-2024")</f>
        <v/>
      </c>
      <c r="W140">
        <f>HYPERLINK("https://klasma.github.io/Logging_2361/klagomålsmail/A 39718-2024 FSC-klagomål mail.docx", "A 39718-2024")</f>
        <v/>
      </c>
      <c r="X140">
        <f>HYPERLINK("https://klasma.github.io/Logging_2361/tillsyn/A 39718-2024 tillsynsbegäran.docx", "A 39718-2024")</f>
        <v/>
      </c>
      <c r="Y140">
        <f>HYPERLINK("https://klasma.github.io/Logging_2361/tillsynsmail/A 39718-2024 tillsynsbegäran mail.docx", "A 39718-2024")</f>
        <v/>
      </c>
    </row>
    <row r="141" ht="15" customHeight="1">
      <c r="A141" t="inlineStr">
        <is>
          <t>A 5781-2025</t>
        </is>
      </c>
      <c r="B141" s="1" t="n">
        <v>45694</v>
      </c>
      <c r="C141" s="1" t="n">
        <v>45904</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55298-2024</t>
        </is>
      </c>
      <c r="B142" s="1" t="n">
        <v>45621</v>
      </c>
      <c r="C142" s="1" t="n">
        <v>45904</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36924-2024</t>
        </is>
      </c>
      <c r="B143" s="1" t="n">
        <v>45538</v>
      </c>
      <c r="C143" s="1" t="n">
        <v>45904</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45904</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3699-2021</t>
        </is>
      </c>
      <c r="B145" s="1" t="n">
        <v>44221</v>
      </c>
      <c r="C145" s="1" t="n">
        <v>45904</v>
      </c>
      <c r="D145" t="inlineStr">
        <is>
          <t>JÄMTLANDS LÄN</t>
        </is>
      </c>
      <c r="E145" t="inlineStr">
        <is>
          <t>HÄRJEDALEN</t>
        </is>
      </c>
      <c r="G145" t="n">
        <v>10.1</v>
      </c>
      <c r="H145" t="n">
        <v>0</v>
      </c>
      <c r="I145" t="n">
        <v>0</v>
      </c>
      <c r="J145" t="n">
        <v>0</v>
      </c>
      <c r="K145" t="n">
        <v>2</v>
      </c>
      <c r="L145" t="n">
        <v>0</v>
      </c>
      <c r="M145" t="n">
        <v>0</v>
      </c>
      <c r="N145" t="n">
        <v>0</v>
      </c>
      <c r="O145" t="n">
        <v>2</v>
      </c>
      <c r="P145" t="n">
        <v>2</v>
      </c>
      <c r="Q145" t="n">
        <v>2</v>
      </c>
      <c r="R145" s="2" t="inlineStr">
        <is>
          <t>Fläckporing
Gräddporing</t>
        </is>
      </c>
      <c r="S145">
        <f>HYPERLINK("https://klasma.github.io/Logging_2361/artfynd/A 3699-2021 artfynd.xlsx", "A 3699-2021")</f>
        <v/>
      </c>
      <c r="T145">
        <f>HYPERLINK("https://klasma.github.io/Logging_2361/kartor/A 3699-2021 karta.png", "A 3699-2021")</f>
        <v/>
      </c>
      <c r="V145">
        <f>HYPERLINK("https://klasma.github.io/Logging_2361/klagomål/A 3699-2021 FSC-klagomål.docx", "A 3699-2021")</f>
        <v/>
      </c>
      <c r="W145">
        <f>HYPERLINK("https://klasma.github.io/Logging_2361/klagomålsmail/A 3699-2021 FSC-klagomål mail.docx", "A 3699-2021")</f>
        <v/>
      </c>
      <c r="X145">
        <f>HYPERLINK("https://klasma.github.io/Logging_2361/tillsyn/A 3699-2021 tillsynsbegäran.docx", "A 3699-2021")</f>
        <v/>
      </c>
      <c r="Y145">
        <f>HYPERLINK("https://klasma.github.io/Logging_2361/tillsynsmail/A 3699-2021 tillsynsbegäran mail.docx", "A 3699-2021")</f>
        <v/>
      </c>
    </row>
    <row r="146" ht="15" customHeight="1">
      <c r="A146" t="inlineStr">
        <is>
          <t>A 55228-2021</t>
        </is>
      </c>
      <c r="B146" s="1" t="n">
        <v>44475</v>
      </c>
      <c r="C146" s="1" t="n">
        <v>45904</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47685-2020</t>
        </is>
      </c>
      <c r="B147" s="1" t="n">
        <v>44096</v>
      </c>
      <c r="C147" s="1" t="n">
        <v>45904</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45904</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45904</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45904</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21572-2021</t>
        </is>
      </c>
      <c r="B151" s="1" t="n">
        <v>44321</v>
      </c>
      <c r="C151" s="1" t="n">
        <v>45904</v>
      </c>
      <c r="D151" t="inlineStr">
        <is>
          <t>JÄMTLANDS LÄN</t>
        </is>
      </c>
      <c r="E151" t="inlineStr">
        <is>
          <t>HÄRJEDALEN</t>
        </is>
      </c>
      <c r="F151" t="inlineStr">
        <is>
          <t>Holmen skog AB</t>
        </is>
      </c>
      <c r="G151" t="n">
        <v>29</v>
      </c>
      <c r="H151" t="n">
        <v>0</v>
      </c>
      <c r="I151" t="n">
        <v>0</v>
      </c>
      <c r="J151" t="n">
        <v>1</v>
      </c>
      <c r="K151" t="n">
        <v>0</v>
      </c>
      <c r="L151" t="n">
        <v>0</v>
      </c>
      <c r="M151" t="n">
        <v>0</v>
      </c>
      <c r="N151" t="n">
        <v>0</v>
      </c>
      <c r="O151" t="n">
        <v>1</v>
      </c>
      <c r="P151" t="n">
        <v>0</v>
      </c>
      <c r="Q151" t="n">
        <v>1</v>
      </c>
      <c r="R151" s="2" t="inlineStr">
        <is>
          <t>Skrovlig taggsvamp</t>
        </is>
      </c>
      <c r="S151">
        <f>HYPERLINK("https://klasma.github.io/Logging_2361/artfynd/A 21572-2021 artfynd.xlsx", "A 21572-2021")</f>
        <v/>
      </c>
      <c r="T151">
        <f>HYPERLINK("https://klasma.github.io/Logging_2361/kartor/A 21572-2021 karta.png", "A 21572-2021")</f>
        <v/>
      </c>
      <c r="V151">
        <f>HYPERLINK("https://klasma.github.io/Logging_2361/klagomål/A 21572-2021 FSC-klagomål.docx", "A 21572-2021")</f>
        <v/>
      </c>
      <c r="W151">
        <f>HYPERLINK("https://klasma.github.io/Logging_2361/klagomålsmail/A 21572-2021 FSC-klagomål mail.docx", "A 21572-2021")</f>
        <v/>
      </c>
      <c r="X151">
        <f>HYPERLINK("https://klasma.github.io/Logging_2361/tillsyn/A 21572-2021 tillsynsbegäran.docx", "A 21572-2021")</f>
        <v/>
      </c>
      <c r="Y151">
        <f>HYPERLINK("https://klasma.github.io/Logging_2361/tillsynsmail/A 21572-2021 tillsynsbegäran mail.docx", "A 21572-2021")</f>
        <v/>
      </c>
    </row>
    <row r="152" ht="15" customHeight="1">
      <c r="A152" t="inlineStr">
        <is>
          <t>A 51387-2020</t>
        </is>
      </c>
      <c r="B152" s="1" t="n">
        <v>44113</v>
      </c>
      <c r="C152" s="1" t="n">
        <v>45904</v>
      </c>
      <c r="D152" t="inlineStr">
        <is>
          <t>JÄMTLANDS LÄN</t>
        </is>
      </c>
      <c r="E152" t="inlineStr">
        <is>
          <t>HÄRJEDALEN</t>
        </is>
      </c>
      <c r="G152" t="n">
        <v>1</v>
      </c>
      <c r="H152" t="n">
        <v>0</v>
      </c>
      <c r="I152" t="n">
        <v>0</v>
      </c>
      <c r="J152" t="n">
        <v>0</v>
      </c>
      <c r="K152" t="n">
        <v>1</v>
      </c>
      <c r="L152" t="n">
        <v>0</v>
      </c>
      <c r="M152" t="n">
        <v>0</v>
      </c>
      <c r="N152" t="n">
        <v>0</v>
      </c>
      <c r="O152" t="n">
        <v>1</v>
      </c>
      <c r="P152" t="n">
        <v>1</v>
      </c>
      <c r="Q152" t="n">
        <v>1</v>
      </c>
      <c r="R152" s="2" t="inlineStr">
        <is>
          <t>Goliatmusseron</t>
        </is>
      </c>
      <c r="S152">
        <f>HYPERLINK("https://klasma.github.io/Logging_2361/artfynd/A 51387-2020 artfynd.xlsx", "A 51387-2020")</f>
        <v/>
      </c>
      <c r="T152">
        <f>HYPERLINK("https://klasma.github.io/Logging_2361/kartor/A 51387-2020 karta.png", "A 51387-2020")</f>
        <v/>
      </c>
      <c r="V152">
        <f>HYPERLINK("https://klasma.github.io/Logging_2361/klagomål/A 51387-2020 FSC-klagomål.docx", "A 51387-2020")</f>
        <v/>
      </c>
      <c r="W152">
        <f>HYPERLINK("https://klasma.github.io/Logging_2361/klagomålsmail/A 51387-2020 FSC-klagomål mail.docx", "A 51387-2020")</f>
        <v/>
      </c>
      <c r="X152">
        <f>HYPERLINK("https://klasma.github.io/Logging_2361/tillsyn/A 51387-2020 tillsynsbegäran.docx", "A 51387-2020")</f>
        <v/>
      </c>
      <c r="Y152">
        <f>HYPERLINK("https://klasma.github.io/Logging_2361/tillsynsmail/A 51387-2020 tillsynsbegäran mail.docx", "A 51387-2020")</f>
        <v/>
      </c>
    </row>
    <row r="153" ht="15" customHeight="1">
      <c r="A153" t="inlineStr">
        <is>
          <t>A 49246-2020</t>
        </is>
      </c>
      <c r="B153" s="1" t="n">
        <v>44105</v>
      </c>
      <c r="C153" s="1" t="n">
        <v>45904</v>
      </c>
      <c r="D153" t="inlineStr">
        <is>
          <t>JÄMTLANDS LÄN</t>
        </is>
      </c>
      <c r="E153" t="inlineStr">
        <is>
          <t>HÄRJEDALEN</t>
        </is>
      </c>
      <c r="G153" t="n">
        <v>3.7</v>
      </c>
      <c r="H153" t="n">
        <v>0</v>
      </c>
      <c r="I153" t="n">
        <v>0</v>
      </c>
      <c r="J153" t="n">
        <v>1</v>
      </c>
      <c r="K153" t="n">
        <v>0</v>
      </c>
      <c r="L153" t="n">
        <v>0</v>
      </c>
      <c r="M153" t="n">
        <v>0</v>
      </c>
      <c r="N153" t="n">
        <v>0</v>
      </c>
      <c r="O153" t="n">
        <v>1</v>
      </c>
      <c r="P153" t="n">
        <v>0</v>
      </c>
      <c r="Q153" t="n">
        <v>1</v>
      </c>
      <c r="R153" s="2" t="inlineStr">
        <is>
          <t>Granticka</t>
        </is>
      </c>
      <c r="S153">
        <f>HYPERLINK("https://klasma.github.io/Logging_2361/artfynd/A 49246-2020 artfynd.xlsx", "A 49246-2020")</f>
        <v/>
      </c>
      <c r="T153">
        <f>HYPERLINK("https://klasma.github.io/Logging_2361/kartor/A 49246-2020 karta.png", "A 49246-2020")</f>
        <v/>
      </c>
      <c r="V153">
        <f>HYPERLINK("https://klasma.github.io/Logging_2361/klagomål/A 49246-2020 FSC-klagomål.docx", "A 49246-2020")</f>
        <v/>
      </c>
      <c r="W153">
        <f>HYPERLINK("https://klasma.github.io/Logging_2361/klagomålsmail/A 49246-2020 FSC-klagomål mail.docx", "A 49246-2020")</f>
        <v/>
      </c>
      <c r="X153">
        <f>HYPERLINK("https://klasma.github.io/Logging_2361/tillsyn/A 49246-2020 tillsynsbegäran.docx", "A 49246-2020")</f>
        <v/>
      </c>
      <c r="Y153">
        <f>HYPERLINK("https://klasma.github.io/Logging_2361/tillsynsmail/A 49246-2020 tillsynsbegäran mail.docx", "A 49246-2020")</f>
        <v/>
      </c>
    </row>
    <row r="154" ht="15" customHeight="1">
      <c r="A154" t="inlineStr">
        <is>
          <t>A 31061-2022</t>
        </is>
      </c>
      <c r="B154" s="1" t="n">
        <v>44769.48783564815</v>
      </c>
      <c r="C154" s="1" t="n">
        <v>45904</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59367-2024</t>
        </is>
      </c>
      <c r="B155" s="1" t="n">
        <v>45638.33607638889</v>
      </c>
      <c r="C155" s="1" t="n">
        <v>45904</v>
      </c>
      <c r="D155" t="inlineStr">
        <is>
          <t>JÄMTLANDS LÄN</t>
        </is>
      </c>
      <c r="E155" t="inlineStr">
        <is>
          <t>HÄRJEDALEN</t>
        </is>
      </c>
      <c r="F155" t="inlineStr">
        <is>
          <t>Holmen skog AB</t>
        </is>
      </c>
      <c r="G155" t="n">
        <v>5.9</v>
      </c>
      <c r="H155" t="n">
        <v>0</v>
      </c>
      <c r="I155" t="n">
        <v>0</v>
      </c>
      <c r="J155" t="n">
        <v>1</v>
      </c>
      <c r="K155" t="n">
        <v>0</v>
      </c>
      <c r="L155" t="n">
        <v>0</v>
      </c>
      <c r="M155" t="n">
        <v>0</v>
      </c>
      <c r="N155" t="n">
        <v>0</v>
      </c>
      <c r="O155" t="n">
        <v>1</v>
      </c>
      <c r="P155" t="n">
        <v>0</v>
      </c>
      <c r="Q155" t="n">
        <v>1</v>
      </c>
      <c r="R155" s="2" t="inlineStr">
        <is>
          <t>Vedflamlav</t>
        </is>
      </c>
      <c r="S155">
        <f>HYPERLINK("https://klasma.github.io/Logging_2361/artfynd/A 59367-2024 artfynd.xlsx", "A 59367-2024")</f>
        <v/>
      </c>
      <c r="T155">
        <f>HYPERLINK("https://klasma.github.io/Logging_2361/kartor/A 59367-2024 karta.png", "A 59367-2024")</f>
        <v/>
      </c>
      <c r="V155">
        <f>HYPERLINK("https://klasma.github.io/Logging_2361/klagomål/A 59367-2024 FSC-klagomål.docx", "A 59367-2024")</f>
        <v/>
      </c>
      <c r="W155">
        <f>HYPERLINK("https://klasma.github.io/Logging_2361/klagomålsmail/A 59367-2024 FSC-klagomål mail.docx", "A 59367-2024")</f>
        <v/>
      </c>
      <c r="X155">
        <f>HYPERLINK("https://klasma.github.io/Logging_2361/tillsyn/A 59367-2024 tillsynsbegäran.docx", "A 59367-2024")</f>
        <v/>
      </c>
      <c r="Y155">
        <f>HYPERLINK("https://klasma.github.io/Logging_2361/tillsynsmail/A 59367-2024 tillsynsbegäran mail.docx", "A 59367-2024")</f>
        <v/>
      </c>
    </row>
    <row r="156" ht="15" customHeight="1">
      <c r="A156" t="inlineStr">
        <is>
          <t>A 3593-2024</t>
        </is>
      </c>
      <c r="B156" s="1" t="n">
        <v>45320</v>
      </c>
      <c r="C156" s="1" t="n">
        <v>45904</v>
      </c>
      <c r="D156" t="inlineStr">
        <is>
          <t>JÄMTLANDS LÄN</t>
        </is>
      </c>
      <c r="E156" t="inlineStr">
        <is>
          <t>HÄRJEDALEN</t>
        </is>
      </c>
      <c r="G156" t="n">
        <v>15.1</v>
      </c>
      <c r="H156" t="n">
        <v>0</v>
      </c>
      <c r="I156" t="n">
        <v>0</v>
      </c>
      <c r="J156" t="n">
        <v>1</v>
      </c>
      <c r="K156" t="n">
        <v>0</v>
      </c>
      <c r="L156" t="n">
        <v>0</v>
      </c>
      <c r="M156" t="n">
        <v>0</v>
      </c>
      <c r="N156" t="n">
        <v>0</v>
      </c>
      <c r="O156" t="n">
        <v>1</v>
      </c>
      <c r="P156" t="n">
        <v>0</v>
      </c>
      <c r="Q156" t="n">
        <v>1</v>
      </c>
      <c r="R156" s="2" t="inlineStr">
        <is>
          <t>Nordtagging</t>
        </is>
      </c>
      <c r="S156">
        <f>HYPERLINK("https://klasma.github.io/Logging_2361/artfynd/A 3593-2024 artfynd.xlsx", "A 3593-2024")</f>
        <v/>
      </c>
      <c r="T156">
        <f>HYPERLINK("https://klasma.github.io/Logging_2361/kartor/A 3593-2024 karta.png", "A 3593-2024")</f>
        <v/>
      </c>
      <c r="V156">
        <f>HYPERLINK("https://klasma.github.io/Logging_2361/klagomål/A 3593-2024 FSC-klagomål.docx", "A 3593-2024")</f>
        <v/>
      </c>
      <c r="W156">
        <f>HYPERLINK("https://klasma.github.io/Logging_2361/klagomålsmail/A 3593-2024 FSC-klagomål mail.docx", "A 3593-2024")</f>
        <v/>
      </c>
      <c r="X156">
        <f>HYPERLINK("https://klasma.github.io/Logging_2361/tillsyn/A 3593-2024 tillsynsbegäran.docx", "A 3593-2024")</f>
        <v/>
      </c>
      <c r="Y156">
        <f>HYPERLINK("https://klasma.github.io/Logging_2361/tillsynsmail/A 3593-2024 tillsynsbegäran mail.docx", "A 3593-2024")</f>
        <v/>
      </c>
    </row>
    <row r="157" ht="15" customHeight="1">
      <c r="A157" t="inlineStr">
        <is>
          <t>A 12274-2025</t>
        </is>
      </c>
      <c r="B157" s="1" t="n">
        <v>45729.64623842593</v>
      </c>
      <c r="C157" s="1" t="n">
        <v>45904</v>
      </c>
      <c r="D157" t="inlineStr">
        <is>
          <t>JÄMTLANDS LÄN</t>
        </is>
      </c>
      <c r="E157" t="inlineStr">
        <is>
          <t>HÄRJEDALEN</t>
        </is>
      </c>
      <c r="F157" t="inlineStr">
        <is>
          <t>Holmen skog AB</t>
        </is>
      </c>
      <c r="G157" t="n">
        <v>1</v>
      </c>
      <c r="H157" t="n">
        <v>0</v>
      </c>
      <c r="I157" t="n">
        <v>0</v>
      </c>
      <c r="J157" t="n">
        <v>1</v>
      </c>
      <c r="K157" t="n">
        <v>0</v>
      </c>
      <c r="L157" t="n">
        <v>0</v>
      </c>
      <c r="M157" t="n">
        <v>0</v>
      </c>
      <c r="N157" t="n">
        <v>0</v>
      </c>
      <c r="O157" t="n">
        <v>1</v>
      </c>
      <c r="P157" t="n">
        <v>0</v>
      </c>
      <c r="Q157" t="n">
        <v>1</v>
      </c>
      <c r="R157" s="2" t="inlineStr">
        <is>
          <t>Garnlav</t>
        </is>
      </c>
      <c r="S157">
        <f>HYPERLINK("https://klasma.github.io/Logging_2361/artfynd/A 12274-2025 artfynd.xlsx", "A 12274-2025")</f>
        <v/>
      </c>
      <c r="T157">
        <f>HYPERLINK("https://klasma.github.io/Logging_2361/kartor/A 12274-2025 karta.png", "A 12274-2025")</f>
        <v/>
      </c>
      <c r="V157">
        <f>HYPERLINK("https://klasma.github.io/Logging_2361/klagomål/A 12274-2025 FSC-klagomål.docx", "A 12274-2025")</f>
        <v/>
      </c>
      <c r="W157">
        <f>HYPERLINK("https://klasma.github.io/Logging_2361/klagomålsmail/A 12274-2025 FSC-klagomål mail.docx", "A 12274-2025")</f>
        <v/>
      </c>
      <c r="X157">
        <f>HYPERLINK("https://klasma.github.io/Logging_2361/tillsyn/A 12274-2025 tillsynsbegäran.docx", "A 12274-2025")</f>
        <v/>
      </c>
      <c r="Y157">
        <f>HYPERLINK("https://klasma.github.io/Logging_2361/tillsynsmail/A 12274-2025 tillsynsbegäran mail.docx", "A 12274-2025")</f>
        <v/>
      </c>
    </row>
    <row r="158" ht="15" customHeight="1">
      <c r="A158" t="inlineStr">
        <is>
          <t>A 30330-2023</t>
        </is>
      </c>
      <c r="B158" s="1" t="n">
        <v>45111</v>
      </c>
      <c r="C158" s="1" t="n">
        <v>45904</v>
      </c>
      <c r="D158" t="inlineStr">
        <is>
          <t>JÄMTLANDS LÄN</t>
        </is>
      </c>
      <c r="E158" t="inlineStr">
        <is>
          <t>HÄRJEDALEN</t>
        </is>
      </c>
      <c r="F158" t="inlineStr">
        <is>
          <t>Bergvik skog väst AB</t>
        </is>
      </c>
      <c r="G158" t="n">
        <v>7.7</v>
      </c>
      <c r="H158" t="n">
        <v>1</v>
      </c>
      <c r="I158" t="n">
        <v>0</v>
      </c>
      <c r="J158" t="n">
        <v>0</v>
      </c>
      <c r="K158" t="n">
        <v>0</v>
      </c>
      <c r="L158" t="n">
        <v>1</v>
      </c>
      <c r="M158" t="n">
        <v>0</v>
      </c>
      <c r="N158" t="n">
        <v>0</v>
      </c>
      <c r="O158" t="n">
        <v>1</v>
      </c>
      <c r="P158" t="n">
        <v>1</v>
      </c>
      <c r="Q158" t="n">
        <v>1</v>
      </c>
      <c r="R158" s="2" t="inlineStr">
        <is>
          <t>Mosippa</t>
        </is>
      </c>
      <c r="S158">
        <f>HYPERLINK("https://klasma.github.io/Logging_2361/artfynd/A 30330-2023 artfynd.xlsx", "A 30330-2023")</f>
        <v/>
      </c>
      <c r="T158">
        <f>HYPERLINK("https://klasma.github.io/Logging_2361/kartor/A 30330-2023 karta.png", "A 30330-2023")</f>
        <v/>
      </c>
      <c r="V158">
        <f>HYPERLINK("https://klasma.github.io/Logging_2361/klagomål/A 30330-2023 FSC-klagomål.docx", "A 30330-2023")</f>
        <v/>
      </c>
      <c r="W158">
        <f>HYPERLINK("https://klasma.github.io/Logging_2361/klagomålsmail/A 30330-2023 FSC-klagomål mail.docx", "A 30330-2023")</f>
        <v/>
      </c>
      <c r="X158">
        <f>HYPERLINK("https://klasma.github.io/Logging_2361/tillsyn/A 30330-2023 tillsynsbegäran.docx", "A 30330-2023")</f>
        <v/>
      </c>
      <c r="Y158">
        <f>HYPERLINK("https://klasma.github.io/Logging_2361/tillsynsmail/A 30330-2023 tillsynsbegäran mail.docx", "A 30330-2023")</f>
        <v/>
      </c>
    </row>
    <row r="159" ht="15" customHeight="1">
      <c r="A159" t="inlineStr">
        <is>
          <t>A 9233-2025</t>
        </is>
      </c>
      <c r="B159" s="1" t="n">
        <v>45714.55248842593</v>
      </c>
      <c r="C159" s="1" t="n">
        <v>45904</v>
      </c>
      <c r="D159" t="inlineStr">
        <is>
          <t>JÄMTLANDS LÄN</t>
        </is>
      </c>
      <c r="E159" t="inlineStr">
        <is>
          <t>HÄRJEDALEN</t>
        </is>
      </c>
      <c r="F159" t="inlineStr">
        <is>
          <t>SCA</t>
        </is>
      </c>
      <c r="G159" t="n">
        <v>16.8</v>
      </c>
      <c r="H159" t="n">
        <v>1</v>
      </c>
      <c r="I159" t="n">
        <v>0</v>
      </c>
      <c r="J159" t="n">
        <v>1</v>
      </c>
      <c r="K159" t="n">
        <v>0</v>
      </c>
      <c r="L159" t="n">
        <v>0</v>
      </c>
      <c r="M159" t="n">
        <v>0</v>
      </c>
      <c r="N159" t="n">
        <v>0</v>
      </c>
      <c r="O159" t="n">
        <v>1</v>
      </c>
      <c r="P159" t="n">
        <v>0</v>
      </c>
      <c r="Q159" t="n">
        <v>1</v>
      </c>
      <c r="R159" s="2" t="inlineStr">
        <is>
          <t>Järpe</t>
        </is>
      </c>
      <c r="S159">
        <f>HYPERLINK("https://klasma.github.io/Logging_2361/artfynd/A 9233-2025 artfynd.xlsx", "A 9233-2025")</f>
        <v/>
      </c>
      <c r="T159">
        <f>HYPERLINK("https://klasma.github.io/Logging_2361/kartor/A 9233-2025 karta.png", "A 9233-2025")</f>
        <v/>
      </c>
      <c r="V159">
        <f>HYPERLINK("https://klasma.github.io/Logging_2361/klagomål/A 9233-2025 FSC-klagomål.docx", "A 9233-2025")</f>
        <v/>
      </c>
      <c r="W159">
        <f>HYPERLINK("https://klasma.github.io/Logging_2361/klagomålsmail/A 9233-2025 FSC-klagomål mail.docx", "A 9233-2025")</f>
        <v/>
      </c>
      <c r="X159">
        <f>HYPERLINK("https://klasma.github.io/Logging_2361/tillsyn/A 9233-2025 tillsynsbegäran.docx", "A 9233-2025")</f>
        <v/>
      </c>
      <c r="Y159">
        <f>HYPERLINK("https://klasma.github.io/Logging_2361/tillsynsmail/A 9233-2025 tillsynsbegäran mail.docx", "A 9233-2025")</f>
        <v/>
      </c>
      <c r="Z159">
        <f>HYPERLINK("https://klasma.github.io/Logging_2361/fåglar/A 9233-2025 prioriterade fågelarter.docx", "A 9233-2025")</f>
        <v/>
      </c>
    </row>
    <row r="160" ht="15" customHeight="1">
      <c r="A160" t="inlineStr">
        <is>
          <t>A 2066-2024</t>
        </is>
      </c>
      <c r="B160" s="1" t="n">
        <v>45308</v>
      </c>
      <c r="C160" s="1" t="n">
        <v>45904</v>
      </c>
      <c r="D160" t="inlineStr">
        <is>
          <t>JÄMTLANDS LÄN</t>
        </is>
      </c>
      <c r="E160" t="inlineStr">
        <is>
          <t>HÄRJEDALEN</t>
        </is>
      </c>
      <c r="G160" t="n">
        <v>23.2</v>
      </c>
      <c r="H160" t="n">
        <v>1</v>
      </c>
      <c r="I160" t="n">
        <v>0</v>
      </c>
      <c r="J160" t="n">
        <v>1</v>
      </c>
      <c r="K160" t="n">
        <v>0</v>
      </c>
      <c r="L160" t="n">
        <v>0</v>
      </c>
      <c r="M160" t="n">
        <v>0</v>
      </c>
      <c r="N160" t="n">
        <v>0</v>
      </c>
      <c r="O160" t="n">
        <v>1</v>
      </c>
      <c r="P160" t="n">
        <v>0</v>
      </c>
      <c r="Q160" t="n">
        <v>1</v>
      </c>
      <c r="R160" s="2" t="inlineStr">
        <is>
          <t>Spillkråka</t>
        </is>
      </c>
      <c r="S160">
        <f>HYPERLINK("https://klasma.github.io/Logging_2361/artfynd/A 2066-2024 artfynd.xlsx", "A 2066-2024")</f>
        <v/>
      </c>
      <c r="T160">
        <f>HYPERLINK("https://klasma.github.io/Logging_2361/kartor/A 2066-2024 karta.png", "A 2066-2024")</f>
        <v/>
      </c>
      <c r="V160">
        <f>HYPERLINK("https://klasma.github.io/Logging_2361/klagomål/A 2066-2024 FSC-klagomål.docx", "A 2066-2024")</f>
        <v/>
      </c>
      <c r="W160">
        <f>HYPERLINK("https://klasma.github.io/Logging_2361/klagomålsmail/A 2066-2024 FSC-klagomål mail.docx", "A 2066-2024")</f>
        <v/>
      </c>
      <c r="X160">
        <f>HYPERLINK("https://klasma.github.io/Logging_2361/tillsyn/A 2066-2024 tillsynsbegäran.docx", "A 2066-2024")</f>
        <v/>
      </c>
      <c r="Y160">
        <f>HYPERLINK("https://klasma.github.io/Logging_2361/tillsynsmail/A 2066-2024 tillsynsbegäran mail.docx", "A 2066-2024")</f>
        <v/>
      </c>
      <c r="Z160">
        <f>HYPERLINK("https://klasma.github.io/Logging_2361/fåglar/A 2066-2024 prioriterade fågelarter.docx", "A 2066-2024")</f>
        <v/>
      </c>
    </row>
    <row r="161" ht="15" customHeight="1">
      <c r="A161" t="inlineStr">
        <is>
          <t>A 24251-2024</t>
        </is>
      </c>
      <c r="B161" s="1" t="n">
        <v>45457.38677083333</v>
      </c>
      <c r="C161" s="1" t="n">
        <v>45904</v>
      </c>
      <c r="D161" t="inlineStr">
        <is>
          <t>JÄMTLANDS LÄN</t>
        </is>
      </c>
      <c r="E161" t="inlineStr">
        <is>
          <t>HÄRJEDALEN</t>
        </is>
      </c>
      <c r="F161" t="inlineStr">
        <is>
          <t>Sveaskog</t>
        </is>
      </c>
      <c r="G161" t="n">
        <v>4.7</v>
      </c>
      <c r="H161" t="n">
        <v>0</v>
      </c>
      <c r="I161" t="n">
        <v>0</v>
      </c>
      <c r="J161" t="n">
        <v>1</v>
      </c>
      <c r="K161" t="n">
        <v>0</v>
      </c>
      <c r="L161" t="n">
        <v>0</v>
      </c>
      <c r="M161" t="n">
        <v>0</v>
      </c>
      <c r="N161" t="n">
        <v>0</v>
      </c>
      <c r="O161" t="n">
        <v>1</v>
      </c>
      <c r="P161" t="n">
        <v>0</v>
      </c>
      <c r="Q161" t="n">
        <v>1</v>
      </c>
      <c r="R161" s="2" t="inlineStr">
        <is>
          <t>Garnlav</t>
        </is>
      </c>
      <c r="S161">
        <f>HYPERLINK("https://klasma.github.io/Logging_2361/artfynd/A 24251-2024 artfynd.xlsx", "A 24251-2024")</f>
        <v/>
      </c>
      <c r="T161">
        <f>HYPERLINK("https://klasma.github.io/Logging_2361/kartor/A 24251-2024 karta.png", "A 24251-2024")</f>
        <v/>
      </c>
      <c r="V161">
        <f>HYPERLINK("https://klasma.github.io/Logging_2361/klagomål/A 24251-2024 FSC-klagomål.docx", "A 24251-2024")</f>
        <v/>
      </c>
      <c r="W161">
        <f>HYPERLINK("https://klasma.github.io/Logging_2361/klagomålsmail/A 24251-2024 FSC-klagomål mail.docx", "A 24251-2024")</f>
        <v/>
      </c>
      <c r="X161">
        <f>HYPERLINK("https://klasma.github.io/Logging_2361/tillsyn/A 24251-2024 tillsynsbegäran.docx", "A 24251-2024")</f>
        <v/>
      </c>
      <c r="Y161">
        <f>HYPERLINK("https://klasma.github.io/Logging_2361/tillsynsmail/A 24251-2024 tillsynsbegäran mail.docx", "A 24251-2024")</f>
        <v/>
      </c>
    </row>
    <row r="162" ht="15" customHeight="1">
      <c r="A162" t="inlineStr">
        <is>
          <t>A 37451-2024</t>
        </is>
      </c>
      <c r="B162" s="1" t="n">
        <v>45540.69512731482</v>
      </c>
      <c r="C162" s="1" t="n">
        <v>45904</v>
      </c>
      <c r="D162" t="inlineStr">
        <is>
          <t>JÄMTLANDS LÄN</t>
        </is>
      </c>
      <c r="E162" t="inlineStr">
        <is>
          <t>HÄRJEDALEN</t>
        </is>
      </c>
      <c r="F162" t="inlineStr">
        <is>
          <t>Sveaskog</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HYPERLINK("https://klasma.github.io/Logging_2361/artfynd/A 37451-2024 artfynd.xlsx", "A 37451-2024")</f>
        <v/>
      </c>
      <c r="T162">
        <f>HYPERLINK("https://klasma.github.io/Logging_2361/kartor/A 37451-2024 karta.png", "A 37451-2024")</f>
        <v/>
      </c>
      <c r="V162">
        <f>HYPERLINK("https://klasma.github.io/Logging_2361/klagomål/A 37451-2024 FSC-klagomål.docx", "A 37451-2024")</f>
        <v/>
      </c>
      <c r="W162">
        <f>HYPERLINK("https://klasma.github.io/Logging_2361/klagomålsmail/A 37451-2024 FSC-klagomål mail.docx", "A 37451-2024")</f>
        <v/>
      </c>
      <c r="X162">
        <f>HYPERLINK("https://klasma.github.io/Logging_2361/tillsyn/A 37451-2024 tillsynsbegäran.docx", "A 37451-2024")</f>
        <v/>
      </c>
      <c r="Y162">
        <f>HYPERLINK("https://klasma.github.io/Logging_2361/tillsynsmail/A 37451-2024 tillsynsbegäran mail.docx", "A 37451-2024")</f>
        <v/>
      </c>
    </row>
    <row r="163" ht="15" customHeight="1">
      <c r="A163" t="inlineStr">
        <is>
          <t>A 25368-2025</t>
        </is>
      </c>
      <c r="B163" s="1" t="n">
        <v>45800.63043981481</v>
      </c>
      <c r="C163" s="1" t="n">
        <v>45904</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26325-2025</t>
        </is>
      </c>
      <c r="B164" s="1" t="n">
        <v>45805.66601851852</v>
      </c>
      <c r="C164" s="1" t="n">
        <v>45904</v>
      </c>
      <c r="D164" t="inlineStr">
        <is>
          <t>JÄMTLANDS LÄN</t>
        </is>
      </c>
      <c r="E164" t="inlineStr">
        <is>
          <t>HÄRJEDALEN</t>
        </is>
      </c>
      <c r="F164" t="inlineStr">
        <is>
          <t>Övriga Aktiebolag</t>
        </is>
      </c>
      <c r="G164" t="n">
        <v>34</v>
      </c>
      <c r="H164" t="n">
        <v>1</v>
      </c>
      <c r="I164" t="n">
        <v>0</v>
      </c>
      <c r="J164" t="n">
        <v>0</v>
      </c>
      <c r="K164" t="n">
        <v>0</v>
      </c>
      <c r="L164" t="n">
        <v>0</v>
      </c>
      <c r="M164" t="n">
        <v>0</v>
      </c>
      <c r="N164" t="n">
        <v>0</v>
      </c>
      <c r="O164" t="n">
        <v>0</v>
      </c>
      <c r="P164" t="n">
        <v>0</v>
      </c>
      <c r="Q164" t="n">
        <v>1</v>
      </c>
      <c r="R164" s="2" t="inlineStr">
        <is>
          <t>Tjäder</t>
        </is>
      </c>
      <c r="S164">
        <f>HYPERLINK("https://klasma.github.io/Logging_2361/artfynd/A 26325-2025 artfynd.xlsx", "A 26325-2025")</f>
        <v/>
      </c>
      <c r="T164">
        <f>HYPERLINK("https://klasma.github.io/Logging_2361/kartor/A 26325-2025 karta.png", "A 26325-2025")</f>
        <v/>
      </c>
      <c r="V164">
        <f>HYPERLINK("https://klasma.github.io/Logging_2361/klagomål/A 26325-2025 FSC-klagomål.docx", "A 26325-2025")</f>
        <v/>
      </c>
      <c r="W164">
        <f>HYPERLINK("https://klasma.github.io/Logging_2361/klagomålsmail/A 26325-2025 FSC-klagomål mail.docx", "A 26325-2025")</f>
        <v/>
      </c>
      <c r="X164">
        <f>HYPERLINK("https://klasma.github.io/Logging_2361/tillsyn/A 26325-2025 tillsynsbegäran.docx", "A 26325-2025")</f>
        <v/>
      </c>
      <c r="Y164">
        <f>HYPERLINK("https://klasma.github.io/Logging_2361/tillsynsmail/A 26325-2025 tillsynsbegäran mail.docx", "A 26325-2025")</f>
        <v/>
      </c>
      <c r="Z164">
        <f>HYPERLINK("https://klasma.github.io/Logging_2361/fåglar/A 26325-2025 prioriterade fågelarter.docx", "A 26325-2025")</f>
        <v/>
      </c>
    </row>
    <row r="165" ht="15" customHeight="1">
      <c r="A165" t="inlineStr">
        <is>
          <t>A 26345-2025</t>
        </is>
      </c>
      <c r="B165" s="1" t="n">
        <v>45805.73546296296</v>
      </c>
      <c r="C165" s="1" t="n">
        <v>45904</v>
      </c>
      <c r="D165" t="inlineStr">
        <is>
          <t>JÄMTLANDS LÄN</t>
        </is>
      </c>
      <c r="E165" t="inlineStr">
        <is>
          <t>HÄRJEDALEN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HYPERLINK("https://klasma.github.io/Logging_2361/artfynd/A 26345-2025 artfynd.xlsx", "A 26345-2025")</f>
        <v/>
      </c>
      <c r="T165">
        <f>HYPERLINK("https://klasma.github.io/Logging_2361/kartor/A 26345-2025 karta.png", "A 26345-2025")</f>
        <v/>
      </c>
      <c r="V165">
        <f>HYPERLINK("https://klasma.github.io/Logging_2361/klagomål/A 26345-2025 FSC-klagomål.docx", "A 26345-2025")</f>
        <v/>
      </c>
      <c r="W165">
        <f>HYPERLINK("https://klasma.github.io/Logging_2361/klagomålsmail/A 26345-2025 FSC-klagomål mail.docx", "A 26345-2025")</f>
        <v/>
      </c>
      <c r="X165">
        <f>HYPERLINK("https://klasma.github.io/Logging_2361/tillsyn/A 26345-2025 tillsynsbegäran.docx", "A 26345-2025")</f>
        <v/>
      </c>
      <c r="Y165">
        <f>HYPERLINK("https://klasma.github.io/Logging_2361/tillsynsmail/A 26345-2025 tillsynsbegäran mail.docx", "A 26345-2025")</f>
        <v/>
      </c>
    </row>
    <row r="166" ht="15" customHeight="1">
      <c r="A166" t="inlineStr">
        <is>
          <t>A 54520-2024</t>
        </is>
      </c>
      <c r="B166" s="1" t="n">
        <v>45617</v>
      </c>
      <c r="C166" s="1" t="n">
        <v>45904</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45904</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27412-2025</t>
        </is>
      </c>
      <c r="B168" s="1" t="n">
        <v>45812.82244212963</v>
      </c>
      <c r="C168" s="1" t="n">
        <v>45904</v>
      </c>
      <c r="D168" t="inlineStr">
        <is>
          <t>JÄMTLANDS LÄN</t>
        </is>
      </c>
      <c r="E168" t="inlineStr">
        <is>
          <t>HÄRJEDALEN</t>
        </is>
      </c>
      <c r="F168" t="inlineStr">
        <is>
          <t>Sveaskog</t>
        </is>
      </c>
      <c r="G168" t="n">
        <v>6.2</v>
      </c>
      <c r="H168" t="n">
        <v>0</v>
      </c>
      <c r="I168" t="n">
        <v>0</v>
      </c>
      <c r="J168" t="n">
        <v>1</v>
      </c>
      <c r="K168" t="n">
        <v>0</v>
      </c>
      <c r="L168" t="n">
        <v>0</v>
      </c>
      <c r="M168" t="n">
        <v>0</v>
      </c>
      <c r="N168" t="n">
        <v>0</v>
      </c>
      <c r="O168" t="n">
        <v>1</v>
      </c>
      <c r="P168" t="n">
        <v>0</v>
      </c>
      <c r="Q168" t="n">
        <v>1</v>
      </c>
      <c r="R168" s="2" t="inlineStr">
        <is>
          <t>Kolflarnlav</t>
        </is>
      </c>
      <c r="S168">
        <f>HYPERLINK("https://klasma.github.io/Logging_2361/artfynd/A 27412-2025 artfynd.xlsx", "A 27412-2025")</f>
        <v/>
      </c>
      <c r="T168">
        <f>HYPERLINK("https://klasma.github.io/Logging_2361/kartor/A 27412-2025 karta.png", "A 27412-2025")</f>
        <v/>
      </c>
      <c r="V168">
        <f>HYPERLINK("https://klasma.github.io/Logging_2361/klagomål/A 27412-2025 FSC-klagomål.docx", "A 27412-2025")</f>
        <v/>
      </c>
      <c r="W168">
        <f>HYPERLINK("https://klasma.github.io/Logging_2361/klagomålsmail/A 27412-2025 FSC-klagomål mail.docx", "A 27412-2025")</f>
        <v/>
      </c>
      <c r="X168">
        <f>HYPERLINK("https://klasma.github.io/Logging_2361/tillsyn/A 27412-2025 tillsynsbegäran.docx", "A 27412-2025")</f>
        <v/>
      </c>
      <c r="Y168">
        <f>HYPERLINK("https://klasma.github.io/Logging_2361/tillsynsmail/A 27412-2025 tillsynsbegäran mail.docx", "A 27412-2025")</f>
        <v/>
      </c>
    </row>
    <row r="169" ht="15" customHeight="1">
      <c r="A169" t="inlineStr">
        <is>
          <t>A 23331-2025</t>
        </is>
      </c>
      <c r="B169" s="1" t="n">
        <v>45791</v>
      </c>
      <c r="C169" s="1" t="n">
        <v>45904</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32310-2025</t>
        </is>
      </c>
      <c r="B170" s="1" t="n">
        <v>45835.7499537037</v>
      </c>
      <c r="C170" s="1" t="n">
        <v>45904</v>
      </c>
      <c r="D170" t="inlineStr">
        <is>
          <t>JÄMTLANDS LÄN</t>
        </is>
      </c>
      <c r="E170" t="inlineStr">
        <is>
          <t>HÄRJEDALEN</t>
        </is>
      </c>
      <c r="F170" t="inlineStr">
        <is>
          <t>Sveaskog</t>
        </is>
      </c>
      <c r="G170" t="n">
        <v>1.6</v>
      </c>
      <c r="H170" t="n">
        <v>0</v>
      </c>
      <c r="I170" t="n">
        <v>0</v>
      </c>
      <c r="J170" t="n">
        <v>1</v>
      </c>
      <c r="K170" t="n">
        <v>0</v>
      </c>
      <c r="L170" t="n">
        <v>0</v>
      </c>
      <c r="M170" t="n">
        <v>0</v>
      </c>
      <c r="N170" t="n">
        <v>0</v>
      </c>
      <c r="O170" t="n">
        <v>1</v>
      </c>
      <c r="P170" t="n">
        <v>0</v>
      </c>
      <c r="Q170" t="n">
        <v>1</v>
      </c>
      <c r="R170" s="2" t="inlineStr">
        <is>
          <t>Kolflarnlav</t>
        </is>
      </c>
      <c r="S170">
        <f>HYPERLINK("https://klasma.github.io/Logging_2361/artfynd/A 32310-2025 artfynd.xlsx", "A 32310-2025")</f>
        <v/>
      </c>
      <c r="T170">
        <f>HYPERLINK("https://klasma.github.io/Logging_2361/kartor/A 32310-2025 karta.png", "A 32310-2025")</f>
        <v/>
      </c>
      <c r="V170">
        <f>HYPERLINK("https://klasma.github.io/Logging_2361/klagomål/A 32310-2025 FSC-klagomål.docx", "A 32310-2025")</f>
        <v/>
      </c>
      <c r="W170">
        <f>HYPERLINK("https://klasma.github.io/Logging_2361/klagomålsmail/A 32310-2025 FSC-klagomål mail.docx", "A 32310-2025")</f>
        <v/>
      </c>
      <c r="X170">
        <f>HYPERLINK("https://klasma.github.io/Logging_2361/tillsyn/A 32310-2025 tillsynsbegäran.docx", "A 32310-2025")</f>
        <v/>
      </c>
      <c r="Y170">
        <f>HYPERLINK("https://klasma.github.io/Logging_2361/tillsynsmail/A 32310-2025 tillsynsbegäran mail.docx", "A 32310-2025")</f>
        <v/>
      </c>
    </row>
    <row r="171" ht="15" customHeight="1">
      <c r="A171" t="inlineStr">
        <is>
          <t>A 32678-2025</t>
        </is>
      </c>
      <c r="B171" s="1" t="n">
        <v>45838.773125</v>
      </c>
      <c r="C171" s="1" t="n">
        <v>45904</v>
      </c>
      <c r="D171" t="inlineStr">
        <is>
          <t>JÄMTLANDS LÄN</t>
        </is>
      </c>
      <c r="E171" t="inlineStr">
        <is>
          <t>HÄRJEDALEN</t>
        </is>
      </c>
      <c r="F171" t="inlineStr">
        <is>
          <t>Sveaskog</t>
        </is>
      </c>
      <c r="G171" t="n">
        <v>12.8</v>
      </c>
      <c r="H171" t="n">
        <v>0</v>
      </c>
      <c r="I171" t="n">
        <v>0</v>
      </c>
      <c r="J171" t="n">
        <v>1</v>
      </c>
      <c r="K171" t="n">
        <v>0</v>
      </c>
      <c r="L171" t="n">
        <v>0</v>
      </c>
      <c r="M171" t="n">
        <v>0</v>
      </c>
      <c r="N171" t="n">
        <v>0</v>
      </c>
      <c r="O171" t="n">
        <v>1</v>
      </c>
      <c r="P171" t="n">
        <v>0</v>
      </c>
      <c r="Q171" t="n">
        <v>1</v>
      </c>
      <c r="R171" s="2" t="inlineStr">
        <is>
          <t>Kolflarnlav</t>
        </is>
      </c>
      <c r="S171">
        <f>HYPERLINK("https://klasma.github.io/Logging_2361/artfynd/A 32678-2025 artfynd.xlsx", "A 32678-2025")</f>
        <v/>
      </c>
      <c r="T171">
        <f>HYPERLINK("https://klasma.github.io/Logging_2361/kartor/A 32678-2025 karta.png", "A 32678-2025")</f>
        <v/>
      </c>
      <c r="V171">
        <f>HYPERLINK("https://klasma.github.io/Logging_2361/klagomål/A 32678-2025 FSC-klagomål.docx", "A 32678-2025")</f>
        <v/>
      </c>
      <c r="W171">
        <f>HYPERLINK("https://klasma.github.io/Logging_2361/klagomålsmail/A 32678-2025 FSC-klagomål mail.docx", "A 32678-2025")</f>
        <v/>
      </c>
      <c r="X171">
        <f>HYPERLINK("https://klasma.github.io/Logging_2361/tillsyn/A 32678-2025 tillsynsbegäran.docx", "A 32678-2025")</f>
        <v/>
      </c>
      <c r="Y171">
        <f>HYPERLINK("https://klasma.github.io/Logging_2361/tillsynsmail/A 32678-2025 tillsynsbegäran mail.docx", "A 32678-2025")</f>
        <v/>
      </c>
    </row>
    <row r="172" ht="15" customHeight="1">
      <c r="A172" t="inlineStr">
        <is>
          <t>A 2041-2025</t>
        </is>
      </c>
      <c r="B172" s="1" t="n">
        <v>45672.50416666667</v>
      </c>
      <c r="C172" s="1" t="n">
        <v>45904</v>
      </c>
      <c r="D172" t="inlineStr">
        <is>
          <t>JÄMTLANDS LÄN</t>
        </is>
      </c>
      <c r="E172" t="inlineStr">
        <is>
          <t>HÄRJEDALEN</t>
        </is>
      </c>
      <c r="G172" t="n">
        <v>10</v>
      </c>
      <c r="H172" t="n">
        <v>0</v>
      </c>
      <c r="I172" t="n">
        <v>0</v>
      </c>
      <c r="J172" t="n">
        <v>1</v>
      </c>
      <c r="K172" t="n">
        <v>0</v>
      </c>
      <c r="L172" t="n">
        <v>0</v>
      </c>
      <c r="M172" t="n">
        <v>0</v>
      </c>
      <c r="N172" t="n">
        <v>0</v>
      </c>
      <c r="O172" t="n">
        <v>1</v>
      </c>
      <c r="P172" t="n">
        <v>0</v>
      </c>
      <c r="Q172" t="n">
        <v>1</v>
      </c>
      <c r="R172" s="2" t="inlineStr">
        <is>
          <t>Gränsticka</t>
        </is>
      </c>
      <c r="S172">
        <f>HYPERLINK("https://klasma.github.io/Logging_2361/artfynd/A 2041-2025 artfynd.xlsx", "A 2041-2025")</f>
        <v/>
      </c>
      <c r="T172">
        <f>HYPERLINK("https://klasma.github.io/Logging_2361/kartor/A 2041-2025 karta.png", "A 2041-2025")</f>
        <v/>
      </c>
      <c r="V172">
        <f>HYPERLINK("https://klasma.github.io/Logging_2361/klagomål/A 2041-2025 FSC-klagomål.docx", "A 2041-2025")</f>
        <v/>
      </c>
      <c r="W172">
        <f>HYPERLINK("https://klasma.github.io/Logging_2361/klagomålsmail/A 2041-2025 FSC-klagomål mail.docx", "A 2041-2025")</f>
        <v/>
      </c>
      <c r="X172">
        <f>HYPERLINK("https://klasma.github.io/Logging_2361/tillsyn/A 2041-2025 tillsynsbegäran.docx", "A 2041-2025")</f>
        <v/>
      </c>
      <c r="Y172">
        <f>HYPERLINK("https://klasma.github.io/Logging_2361/tillsynsmail/A 2041-2025 tillsynsbegäran mail.docx", "A 2041-2025")</f>
        <v/>
      </c>
    </row>
    <row r="173" ht="15" customHeight="1">
      <c r="A173" t="inlineStr">
        <is>
          <t>A 36533-2025</t>
        </is>
      </c>
      <c r="B173" s="1" t="n">
        <v>45869</v>
      </c>
      <c r="C173" s="1" t="n">
        <v>45904</v>
      </c>
      <c r="D173" t="inlineStr">
        <is>
          <t>JÄMTLANDS LÄN</t>
        </is>
      </c>
      <c r="E173" t="inlineStr">
        <is>
          <t>HÄRJEDALEN</t>
        </is>
      </c>
      <c r="G173" t="n">
        <v>3.7</v>
      </c>
      <c r="H173" t="n">
        <v>0</v>
      </c>
      <c r="I173" t="n">
        <v>0</v>
      </c>
      <c r="J173" t="n">
        <v>1</v>
      </c>
      <c r="K173" t="n">
        <v>0</v>
      </c>
      <c r="L173" t="n">
        <v>0</v>
      </c>
      <c r="M173" t="n">
        <v>0</v>
      </c>
      <c r="N173" t="n">
        <v>0</v>
      </c>
      <c r="O173" t="n">
        <v>1</v>
      </c>
      <c r="P173" t="n">
        <v>0</v>
      </c>
      <c r="Q173" t="n">
        <v>1</v>
      </c>
      <c r="R173" s="2" t="inlineStr">
        <is>
          <t>Lunglav</t>
        </is>
      </c>
      <c r="S173">
        <f>HYPERLINK("https://klasma.github.io/Logging_2361/artfynd/A 36533-2025 artfynd.xlsx", "A 36533-2025")</f>
        <v/>
      </c>
      <c r="T173">
        <f>HYPERLINK("https://klasma.github.io/Logging_2361/kartor/A 36533-2025 karta.png", "A 36533-2025")</f>
        <v/>
      </c>
      <c r="V173">
        <f>HYPERLINK("https://klasma.github.io/Logging_2361/klagomål/A 36533-2025 FSC-klagomål.docx", "A 36533-2025")</f>
        <v/>
      </c>
      <c r="W173">
        <f>HYPERLINK("https://klasma.github.io/Logging_2361/klagomålsmail/A 36533-2025 FSC-klagomål mail.docx", "A 36533-2025")</f>
        <v/>
      </c>
      <c r="X173">
        <f>HYPERLINK("https://klasma.github.io/Logging_2361/tillsyn/A 36533-2025 tillsynsbegäran.docx", "A 36533-2025")</f>
        <v/>
      </c>
      <c r="Y173">
        <f>HYPERLINK("https://klasma.github.io/Logging_2361/tillsynsmail/A 36533-2025 tillsynsbegäran mail.docx", "A 36533-2025")</f>
        <v/>
      </c>
    </row>
    <row r="174" ht="15" customHeight="1">
      <c r="A174" t="inlineStr">
        <is>
          <t>A 39362-2025</t>
        </is>
      </c>
      <c r="B174" s="1" t="n">
        <v>45889.56214120371</v>
      </c>
      <c r="C174" s="1" t="n">
        <v>45904</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37092-2025</t>
        </is>
      </c>
      <c r="B175" s="1" t="n">
        <v>45875</v>
      </c>
      <c r="C175" s="1" t="n">
        <v>45904</v>
      </c>
      <c r="D175" t="inlineStr">
        <is>
          <t>JÄMTLANDS LÄN</t>
        </is>
      </c>
      <c r="E175" t="inlineStr">
        <is>
          <t>HÄRJEDALEN</t>
        </is>
      </c>
      <c r="G175" t="n">
        <v>25.4</v>
      </c>
      <c r="H175" t="n">
        <v>1</v>
      </c>
      <c r="I175" t="n">
        <v>0</v>
      </c>
      <c r="J175" t="n">
        <v>0</v>
      </c>
      <c r="K175" t="n">
        <v>0</v>
      </c>
      <c r="L175" t="n">
        <v>0</v>
      </c>
      <c r="M175" t="n">
        <v>0</v>
      </c>
      <c r="N175" t="n">
        <v>0</v>
      </c>
      <c r="O175" t="n">
        <v>0</v>
      </c>
      <c r="P175" t="n">
        <v>0</v>
      </c>
      <c r="Q175" t="n">
        <v>1</v>
      </c>
      <c r="R175" s="2" t="inlineStr">
        <is>
          <t>Orre</t>
        </is>
      </c>
      <c r="S175">
        <f>HYPERLINK("https://klasma.github.io/Logging_2361/artfynd/A 37092-2025 artfynd.xlsx", "A 37092-2025")</f>
        <v/>
      </c>
      <c r="T175">
        <f>HYPERLINK("https://klasma.github.io/Logging_2361/kartor/A 37092-2025 karta.png", "A 37092-2025")</f>
        <v/>
      </c>
      <c r="V175">
        <f>HYPERLINK("https://klasma.github.io/Logging_2361/klagomål/A 37092-2025 FSC-klagomål.docx", "A 37092-2025")</f>
        <v/>
      </c>
      <c r="W175">
        <f>HYPERLINK("https://klasma.github.io/Logging_2361/klagomålsmail/A 37092-2025 FSC-klagomål mail.docx", "A 37092-2025")</f>
        <v/>
      </c>
      <c r="X175">
        <f>HYPERLINK("https://klasma.github.io/Logging_2361/tillsyn/A 37092-2025 tillsynsbegäran.docx", "A 37092-2025")</f>
        <v/>
      </c>
      <c r="Y175">
        <f>HYPERLINK("https://klasma.github.io/Logging_2361/tillsynsmail/A 37092-2025 tillsynsbegäran mail.docx", "A 37092-2025")</f>
        <v/>
      </c>
      <c r="Z175">
        <f>HYPERLINK("https://klasma.github.io/Logging_2361/fåglar/A 37092-2025 prioriterade fågelarter.docx", "A 37092-2025")</f>
        <v/>
      </c>
    </row>
    <row r="176" ht="15" customHeight="1">
      <c r="A176" t="inlineStr">
        <is>
          <t>A 17902-2025</t>
        </is>
      </c>
      <c r="B176" s="1" t="n">
        <v>45758.70164351852</v>
      </c>
      <c r="C176" s="1" t="n">
        <v>45904</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36941-2024</t>
        </is>
      </c>
      <c r="B177" s="1" t="n">
        <v>45538.57630787037</v>
      </c>
      <c r="C177" s="1" t="n">
        <v>45904</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55135-2024</t>
        </is>
      </c>
      <c r="B178" s="1" t="n">
        <v>45621.47555555555</v>
      </c>
      <c r="C178" s="1" t="n">
        <v>45904</v>
      </c>
      <c r="D178" t="inlineStr">
        <is>
          <t>JÄMTLANDS LÄN</t>
        </is>
      </c>
      <c r="E178" t="inlineStr">
        <is>
          <t>HÄRJEDALEN</t>
        </is>
      </c>
      <c r="F178" t="inlineStr">
        <is>
          <t>Sveaskog</t>
        </is>
      </c>
      <c r="G178" t="n">
        <v>12.6</v>
      </c>
      <c r="H178" t="n">
        <v>0</v>
      </c>
      <c r="I178" t="n">
        <v>1</v>
      </c>
      <c r="J178" t="n">
        <v>0</v>
      </c>
      <c r="K178" t="n">
        <v>0</v>
      </c>
      <c r="L178" t="n">
        <v>0</v>
      </c>
      <c r="M178" t="n">
        <v>0</v>
      </c>
      <c r="N178" t="n">
        <v>0</v>
      </c>
      <c r="O178" t="n">
        <v>0</v>
      </c>
      <c r="P178" t="n">
        <v>0</v>
      </c>
      <c r="Q178" t="n">
        <v>1</v>
      </c>
      <c r="R178" s="2" t="inlineStr">
        <is>
          <t>Skarp dropptaggsvamp</t>
        </is>
      </c>
      <c r="S178">
        <f>HYPERLINK("https://klasma.github.io/Logging_2361/artfynd/A 55135-2024 artfynd.xlsx", "A 55135-2024")</f>
        <v/>
      </c>
      <c r="T178">
        <f>HYPERLINK("https://klasma.github.io/Logging_2361/kartor/A 55135-2024 karta.png", "A 55135-2024")</f>
        <v/>
      </c>
      <c r="V178">
        <f>HYPERLINK("https://klasma.github.io/Logging_2361/klagomål/A 55135-2024 FSC-klagomål.docx", "A 55135-2024")</f>
        <v/>
      </c>
      <c r="W178">
        <f>HYPERLINK("https://klasma.github.io/Logging_2361/klagomålsmail/A 55135-2024 FSC-klagomål mail.docx", "A 55135-2024")</f>
        <v/>
      </c>
      <c r="X178">
        <f>HYPERLINK("https://klasma.github.io/Logging_2361/tillsyn/A 55135-2024 tillsynsbegäran.docx", "A 55135-2024")</f>
        <v/>
      </c>
      <c r="Y178">
        <f>HYPERLINK("https://klasma.github.io/Logging_2361/tillsynsmail/A 55135-2024 tillsynsbegäran mail.docx", "A 55135-2024")</f>
        <v/>
      </c>
    </row>
    <row r="179" ht="15" customHeight="1">
      <c r="A179" t="inlineStr">
        <is>
          <t>A 51234-2024</t>
        </is>
      </c>
      <c r="B179" s="1" t="n">
        <v>45603</v>
      </c>
      <c r="C179" s="1" t="n">
        <v>45904</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55223-2021</t>
        </is>
      </c>
      <c r="B180" s="1" t="n">
        <v>44475</v>
      </c>
      <c r="C180" s="1" t="n">
        <v>45904</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7327-2024</t>
        </is>
      </c>
      <c r="B181" s="1" t="n">
        <v>45345</v>
      </c>
      <c r="C181" s="1" t="n">
        <v>45904</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21334-2021</t>
        </is>
      </c>
      <c r="B182" s="1" t="n">
        <v>44320</v>
      </c>
      <c r="C182" s="1" t="n">
        <v>45904</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45904</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45904</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45904</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45904</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45904</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71756-2021</t>
        </is>
      </c>
      <c r="B188" s="1" t="n">
        <v>44543</v>
      </c>
      <c r="C188" s="1" t="n">
        <v>45904</v>
      </c>
      <c r="D188" t="inlineStr">
        <is>
          <t>JÄMTLANDS LÄN</t>
        </is>
      </c>
      <c r="E188" t="inlineStr">
        <is>
          <t>HÄRJEDALEN</t>
        </is>
      </c>
      <c r="G188" t="n">
        <v>2.4</v>
      </c>
      <c r="H188" t="n">
        <v>0</v>
      </c>
      <c r="I188" t="n">
        <v>0</v>
      </c>
      <c r="J188" t="n">
        <v>0</v>
      </c>
      <c r="K188" t="n">
        <v>0</v>
      </c>
      <c r="L188" t="n">
        <v>0</v>
      </c>
      <c r="M188" t="n">
        <v>0</v>
      </c>
      <c r="N188" t="n">
        <v>0</v>
      </c>
      <c r="O188" t="n">
        <v>0</v>
      </c>
      <c r="P188" t="n">
        <v>0</v>
      </c>
      <c r="Q188" t="n">
        <v>0</v>
      </c>
      <c r="R188" s="2" t="inlineStr"/>
    </row>
    <row r="189" ht="15" customHeight="1">
      <c r="A189" t="inlineStr">
        <is>
          <t>A 8823-2022</t>
        </is>
      </c>
      <c r="B189" s="1" t="n">
        <v>44614</v>
      </c>
      <c r="C189" s="1" t="n">
        <v>45904</v>
      </c>
      <c r="D189" t="inlineStr">
        <is>
          <t>JÄMTLANDS LÄN</t>
        </is>
      </c>
      <c r="E189" t="inlineStr">
        <is>
          <t>HÄRJEDALEN</t>
        </is>
      </c>
      <c r="F189" t="inlineStr">
        <is>
          <t>Naturvårdsverket</t>
        </is>
      </c>
      <c r="G189" t="n">
        <v>23.7</v>
      </c>
      <c r="H189" t="n">
        <v>0</v>
      </c>
      <c r="I189" t="n">
        <v>0</v>
      </c>
      <c r="J189" t="n">
        <v>0</v>
      </c>
      <c r="K189" t="n">
        <v>0</v>
      </c>
      <c r="L189" t="n">
        <v>0</v>
      </c>
      <c r="M189" t="n">
        <v>0</v>
      </c>
      <c r="N189" t="n">
        <v>0</v>
      </c>
      <c r="O189" t="n">
        <v>0</v>
      </c>
      <c r="P189" t="n">
        <v>0</v>
      </c>
      <c r="Q189" t="n">
        <v>0</v>
      </c>
      <c r="R189" s="2" t="inlineStr"/>
    </row>
    <row r="190" ht="15" customHeight="1">
      <c r="A190" t="inlineStr">
        <is>
          <t>A 42827-2021</t>
        </is>
      </c>
      <c r="B190" s="1" t="n">
        <v>44430</v>
      </c>
      <c r="C190" s="1" t="n">
        <v>45904</v>
      </c>
      <c r="D190" t="inlineStr">
        <is>
          <t>JÄMTLANDS LÄN</t>
        </is>
      </c>
      <c r="E190" t="inlineStr">
        <is>
          <t>HÄRJEDALEN</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45904</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45904</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45904</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45904</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45904</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45904</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45904</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71467-2021</t>
        </is>
      </c>
      <c r="B198" s="1" t="n">
        <v>44540</v>
      </c>
      <c r="C198" s="1" t="n">
        <v>45904</v>
      </c>
      <c r="D198" t="inlineStr">
        <is>
          <t>JÄMTLANDS LÄN</t>
        </is>
      </c>
      <c r="E198" t="inlineStr">
        <is>
          <t>HÄRJEDALEN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29585-2021</t>
        </is>
      </c>
      <c r="B199" s="1" t="n">
        <v>44361</v>
      </c>
      <c r="C199" s="1" t="n">
        <v>45904</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45904</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45904</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45904</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71668-2021</t>
        </is>
      </c>
      <c r="B203" s="1" t="n">
        <v>44538</v>
      </c>
      <c r="C203" s="1" t="n">
        <v>45904</v>
      </c>
      <c r="D203" t="inlineStr">
        <is>
          <t>JÄMTLANDS LÄN</t>
        </is>
      </c>
      <c r="E203" t="inlineStr">
        <is>
          <t>HÄRJEDALEN</t>
        </is>
      </c>
      <c r="F203" t="inlineStr">
        <is>
          <t>Övriga statliga verk och myndigheter</t>
        </is>
      </c>
      <c r="G203" t="n">
        <v>3.1</v>
      </c>
      <c r="H203" t="n">
        <v>0</v>
      </c>
      <c r="I203" t="n">
        <v>0</v>
      </c>
      <c r="J203" t="n">
        <v>0</v>
      </c>
      <c r="K203" t="n">
        <v>0</v>
      </c>
      <c r="L203" t="n">
        <v>0</v>
      </c>
      <c r="M203" t="n">
        <v>0</v>
      </c>
      <c r="N203" t="n">
        <v>0</v>
      </c>
      <c r="O203" t="n">
        <v>0</v>
      </c>
      <c r="P203" t="n">
        <v>0</v>
      </c>
      <c r="Q203" t="n">
        <v>0</v>
      </c>
      <c r="R203" s="2" t="inlineStr"/>
    </row>
    <row r="204" ht="15" customHeight="1">
      <c r="A204" t="inlineStr">
        <is>
          <t>A 55393-2021</t>
        </is>
      </c>
      <c r="B204" s="1" t="n">
        <v>44475</v>
      </c>
      <c r="C204" s="1" t="n">
        <v>45904</v>
      </c>
      <c r="D204" t="inlineStr">
        <is>
          <t>JÄMTLANDS LÄN</t>
        </is>
      </c>
      <c r="E204" t="inlineStr">
        <is>
          <t>HÄRJEDALEN</t>
        </is>
      </c>
      <c r="G204" t="n">
        <v>3</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45904</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45904</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45904</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45904</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45904</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45904</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45904</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45904</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45904</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45904</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45904</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45904</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45904</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45904</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45904</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45904</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45904</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45904</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45904</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45904</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45904</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45904</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45904</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11541-2022</t>
        </is>
      </c>
      <c r="B228" s="1" t="n">
        <v>44631.41535879629</v>
      </c>
      <c r="C228" s="1" t="n">
        <v>45904</v>
      </c>
      <c r="D228" t="inlineStr">
        <is>
          <t>JÄMTLANDS LÄN</t>
        </is>
      </c>
      <c r="E228" t="inlineStr">
        <is>
          <t>HÄRJEDALEN</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37690-2022</t>
        </is>
      </c>
      <c r="B229" s="1" t="n">
        <v>44810</v>
      </c>
      <c r="C229" s="1" t="n">
        <v>45904</v>
      </c>
      <c r="D229" t="inlineStr">
        <is>
          <t>JÄMTLANDS LÄN</t>
        </is>
      </c>
      <c r="E229" t="inlineStr">
        <is>
          <t>HÄRJEDALEN</t>
        </is>
      </c>
      <c r="F229" t="inlineStr">
        <is>
          <t>Holmen skog AB</t>
        </is>
      </c>
      <c r="G229" t="n">
        <v>7.8</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45904</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26167-2021</t>
        </is>
      </c>
      <c r="B231" s="1" t="n">
        <v>44344</v>
      </c>
      <c r="C231" s="1" t="n">
        <v>45904</v>
      </c>
      <c r="D231" t="inlineStr">
        <is>
          <t>JÄMTLANDS LÄN</t>
        </is>
      </c>
      <c r="E231" t="inlineStr">
        <is>
          <t>HÄRJEDALEN</t>
        </is>
      </c>
      <c r="G231" t="n">
        <v>2.6</v>
      </c>
      <c r="H231" t="n">
        <v>0</v>
      </c>
      <c r="I231" t="n">
        <v>0</v>
      </c>
      <c r="J231" t="n">
        <v>0</v>
      </c>
      <c r="K231" t="n">
        <v>0</v>
      </c>
      <c r="L231" t="n">
        <v>0</v>
      </c>
      <c r="M231" t="n">
        <v>0</v>
      </c>
      <c r="N231" t="n">
        <v>0</v>
      </c>
      <c r="O231" t="n">
        <v>0</v>
      </c>
      <c r="P231" t="n">
        <v>0</v>
      </c>
      <c r="Q231" t="n">
        <v>0</v>
      </c>
      <c r="R231" s="2" t="inlineStr"/>
    </row>
    <row r="232" ht="15" customHeight="1">
      <c r="A232" t="inlineStr">
        <is>
          <t>A 39618-2021</t>
        </is>
      </c>
      <c r="B232" s="1" t="n">
        <v>44417.37519675926</v>
      </c>
      <c r="C232" s="1" t="n">
        <v>45904</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45904</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45904</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45904</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43417-2020</t>
        </is>
      </c>
      <c r="B236" s="1" t="n">
        <v>44078</v>
      </c>
      <c r="C236" s="1" t="n">
        <v>45904</v>
      </c>
      <c r="D236" t="inlineStr">
        <is>
          <t>JÄMTLANDS LÄN</t>
        </is>
      </c>
      <c r="E236" t="inlineStr">
        <is>
          <t>HÄRJEDALEN</t>
        </is>
      </c>
      <c r="G236" t="n">
        <v>8</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45904</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45904</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45904</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45904</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45904</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45904</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45904</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45904</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45904</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45904</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45904</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45904</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45904</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45904</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45904</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54537-2020</t>
        </is>
      </c>
      <c r="B252" s="1" t="n">
        <v>44126</v>
      </c>
      <c r="C252" s="1" t="n">
        <v>45904</v>
      </c>
      <c r="D252" t="inlineStr">
        <is>
          <t>JÄMTLANDS LÄN</t>
        </is>
      </c>
      <c r="E252" t="inlineStr">
        <is>
          <t>HÄRJEDALEN</t>
        </is>
      </c>
      <c r="G252" t="n">
        <v>1.1</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45904</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45904</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45904</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45904</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45904</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45904</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45904</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45904</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45904</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45904</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45904</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40497-2021</t>
        </is>
      </c>
      <c r="B264" s="1" t="n">
        <v>44420.33096064815</v>
      </c>
      <c r="C264" s="1" t="n">
        <v>45904</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71989-2021</t>
        </is>
      </c>
      <c r="B265" s="1" t="n">
        <v>44544</v>
      </c>
      <c r="C265" s="1" t="n">
        <v>45904</v>
      </c>
      <c r="D265" t="inlineStr">
        <is>
          <t>JÄMTLANDS LÄN</t>
        </is>
      </c>
      <c r="E265" t="inlineStr">
        <is>
          <t>HÄRJEDALEN</t>
        </is>
      </c>
      <c r="F265" t="inlineStr">
        <is>
          <t>Holmen skog AB</t>
        </is>
      </c>
      <c r="G265" t="n">
        <v>0.3</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45904</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45904</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45904</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45904</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45904</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45904</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45904</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45904</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45904</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45904</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24693-2022</t>
        </is>
      </c>
      <c r="B276" s="1" t="n">
        <v>44727.71858796296</v>
      </c>
      <c r="C276" s="1" t="n">
        <v>45904</v>
      </c>
      <c r="D276" t="inlineStr">
        <is>
          <t>JÄMTLANDS LÄN</t>
        </is>
      </c>
      <c r="E276" t="inlineStr">
        <is>
          <t>HÄRJEDALEN</t>
        </is>
      </c>
      <c r="F276" t="inlineStr">
        <is>
          <t>Kyrkan</t>
        </is>
      </c>
      <c r="G276" t="n">
        <v>0.9</v>
      </c>
      <c r="H276" t="n">
        <v>0</v>
      </c>
      <c r="I276" t="n">
        <v>0</v>
      </c>
      <c r="J276" t="n">
        <v>0</v>
      </c>
      <c r="K276" t="n">
        <v>0</v>
      </c>
      <c r="L276" t="n">
        <v>0</v>
      </c>
      <c r="M276" t="n">
        <v>0</v>
      </c>
      <c r="N276" t="n">
        <v>0</v>
      </c>
      <c r="O276" t="n">
        <v>0</v>
      </c>
      <c r="P276" t="n">
        <v>0</v>
      </c>
      <c r="Q276" t="n">
        <v>0</v>
      </c>
      <c r="R276" s="2" t="inlineStr"/>
    </row>
    <row r="277" ht="15" customHeight="1">
      <c r="A277" t="inlineStr">
        <is>
          <t>A 47975-2022</t>
        </is>
      </c>
      <c r="B277" s="1" t="n">
        <v>44855.60383101852</v>
      </c>
      <c r="C277" s="1" t="n">
        <v>45904</v>
      </c>
      <c r="D277" t="inlineStr">
        <is>
          <t>JÄMTLANDS LÄN</t>
        </is>
      </c>
      <c r="E277" t="inlineStr">
        <is>
          <t>HÄRJEDALEN</t>
        </is>
      </c>
      <c r="G277" t="n">
        <v>3</v>
      </c>
      <c r="H277" t="n">
        <v>0</v>
      </c>
      <c r="I277" t="n">
        <v>0</v>
      </c>
      <c r="J277" t="n">
        <v>0</v>
      </c>
      <c r="K277" t="n">
        <v>0</v>
      </c>
      <c r="L277" t="n">
        <v>0</v>
      </c>
      <c r="M277" t="n">
        <v>0</v>
      </c>
      <c r="N277" t="n">
        <v>0</v>
      </c>
      <c r="O277" t="n">
        <v>0</v>
      </c>
      <c r="P277" t="n">
        <v>0</v>
      </c>
      <c r="Q277" t="n">
        <v>0</v>
      </c>
      <c r="R277" s="2" t="inlineStr"/>
    </row>
    <row r="278" ht="15" customHeight="1">
      <c r="A278" t="inlineStr">
        <is>
          <t>A 56001-2020</t>
        </is>
      </c>
      <c r="B278" s="1" t="n">
        <v>44133</v>
      </c>
      <c r="C278" s="1" t="n">
        <v>45904</v>
      </c>
      <c r="D278" t="inlineStr">
        <is>
          <t>JÄMTLANDS LÄN</t>
        </is>
      </c>
      <c r="E278" t="inlineStr">
        <is>
          <t>HÄRJEDALEN</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45904</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55542-2021</t>
        </is>
      </c>
      <c r="B280" s="1" t="n">
        <v>44475</v>
      </c>
      <c r="C280" s="1" t="n">
        <v>45904</v>
      </c>
      <c r="D280" t="inlineStr">
        <is>
          <t>JÄMTLANDS LÄN</t>
        </is>
      </c>
      <c r="E280" t="inlineStr">
        <is>
          <t>HÄRJEDALEN</t>
        </is>
      </c>
      <c r="G280" t="n">
        <v>1.3</v>
      </c>
      <c r="H280" t="n">
        <v>0</v>
      </c>
      <c r="I280" t="n">
        <v>0</v>
      </c>
      <c r="J280" t="n">
        <v>0</v>
      </c>
      <c r="K280" t="n">
        <v>0</v>
      </c>
      <c r="L280" t="n">
        <v>0</v>
      </c>
      <c r="M280" t="n">
        <v>0</v>
      </c>
      <c r="N280" t="n">
        <v>0</v>
      </c>
      <c r="O280" t="n">
        <v>0</v>
      </c>
      <c r="P280" t="n">
        <v>0</v>
      </c>
      <c r="Q280" t="n">
        <v>0</v>
      </c>
      <c r="R280" s="2" t="inlineStr"/>
    </row>
    <row r="281" ht="15" customHeight="1">
      <c r="A281" t="inlineStr">
        <is>
          <t>A 30962-2022</t>
        </is>
      </c>
      <c r="B281" s="1" t="n">
        <v>44768.44859953703</v>
      </c>
      <c r="C281" s="1" t="n">
        <v>45904</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45904</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31212-2021</t>
        </is>
      </c>
      <c r="B283" s="1" t="n">
        <v>44368</v>
      </c>
      <c r="C283" s="1" t="n">
        <v>45904</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45904</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45904</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55100-2022</t>
        </is>
      </c>
      <c r="B286" s="1" t="n">
        <v>44886.62578703704</v>
      </c>
      <c r="C286" s="1" t="n">
        <v>45904</v>
      </c>
      <c r="D286" t="inlineStr">
        <is>
          <t>JÄMTLANDS LÄN</t>
        </is>
      </c>
      <c r="E286" t="inlineStr">
        <is>
          <t>HÄRJEDALEN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55103-2022</t>
        </is>
      </c>
      <c r="B287" s="1" t="n">
        <v>44886.629375</v>
      </c>
      <c r="C287" s="1" t="n">
        <v>45904</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55381-2021</t>
        </is>
      </c>
      <c r="B288" s="1" t="n">
        <v>44475</v>
      </c>
      <c r="C288" s="1" t="n">
        <v>45904</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55396-2021</t>
        </is>
      </c>
      <c r="B289" s="1" t="n">
        <v>44475</v>
      </c>
      <c r="C289" s="1" t="n">
        <v>45904</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45904</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5519-2021</t>
        </is>
      </c>
      <c r="B291" s="1" t="n">
        <v>44230</v>
      </c>
      <c r="C291" s="1" t="n">
        <v>45904</v>
      </c>
      <c r="D291" t="inlineStr">
        <is>
          <t>JÄMTLANDS LÄN</t>
        </is>
      </c>
      <c r="E291" t="inlineStr">
        <is>
          <t>HÄRJEDALEN</t>
        </is>
      </c>
      <c r="G291" t="n">
        <v>10.8</v>
      </c>
      <c r="H291" t="n">
        <v>0</v>
      </c>
      <c r="I291" t="n">
        <v>0</v>
      </c>
      <c r="J291" t="n">
        <v>0</v>
      </c>
      <c r="K291" t="n">
        <v>0</v>
      </c>
      <c r="L291" t="n">
        <v>0</v>
      </c>
      <c r="M291" t="n">
        <v>0</v>
      </c>
      <c r="N291" t="n">
        <v>0</v>
      </c>
      <c r="O291" t="n">
        <v>0</v>
      </c>
      <c r="P291" t="n">
        <v>0</v>
      </c>
      <c r="Q291" t="n">
        <v>0</v>
      </c>
      <c r="R291" s="2" t="inlineStr"/>
    </row>
    <row r="292" ht="15" customHeight="1">
      <c r="A292" t="inlineStr">
        <is>
          <t>A 56852-2021</t>
        </is>
      </c>
      <c r="B292" s="1" t="n">
        <v>44481.67951388889</v>
      </c>
      <c r="C292" s="1" t="n">
        <v>45904</v>
      </c>
      <c r="D292" t="inlineStr">
        <is>
          <t>JÄMTLANDS LÄN</t>
        </is>
      </c>
      <c r="E292" t="inlineStr">
        <is>
          <t>HÄRJEDALEN</t>
        </is>
      </c>
      <c r="G292" t="n">
        <v>2.8</v>
      </c>
      <c r="H292" t="n">
        <v>0</v>
      </c>
      <c r="I292" t="n">
        <v>0</v>
      </c>
      <c r="J292" t="n">
        <v>0</v>
      </c>
      <c r="K292" t="n">
        <v>0</v>
      </c>
      <c r="L292" t="n">
        <v>0</v>
      </c>
      <c r="M292" t="n">
        <v>0</v>
      </c>
      <c r="N292" t="n">
        <v>0</v>
      </c>
      <c r="O292" t="n">
        <v>0</v>
      </c>
      <c r="P292" t="n">
        <v>0</v>
      </c>
      <c r="Q292" t="n">
        <v>0</v>
      </c>
      <c r="R292" s="2" t="inlineStr"/>
    </row>
    <row r="293" ht="15" customHeight="1">
      <c r="A293" t="inlineStr">
        <is>
          <t>A 54481-2020</t>
        </is>
      </c>
      <c r="B293" s="1" t="n">
        <v>44126</v>
      </c>
      <c r="C293" s="1" t="n">
        <v>45904</v>
      </c>
      <c r="D293" t="inlineStr">
        <is>
          <t>JÄMTLANDS LÄN</t>
        </is>
      </c>
      <c r="E293" t="inlineStr">
        <is>
          <t>HÄRJEDALEN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11527-2022</t>
        </is>
      </c>
      <c r="B294" s="1" t="n">
        <v>44631.37421296296</v>
      </c>
      <c r="C294" s="1" t="n">
        <v>45904</v>
      </c>
      <c r="D294" t="inlineStr">
        <is>
          <t>JÄMTLANDS LÄN</t>
        </is>
      </c>
      <c r="E294" t="inlineStr">
        <is>
          <t>HÄRJEDALEN</t>
        </is>
      </c>
      <c r="F294" t="inlineStr">
        <is>
          <t>Holmen skog AB</t>
        </is>
      </c>
      <c r="G294" t="n">
        <v>4.6</v>
      </c>
      <c r="H294" t="n">
        <v>0</v>
      </c>
      <c r="I294" t="n">
        <v>0</v>
      </c>
      <c r="J294" t="n">
        <v>0</v>
      </c>
      <c r="K294" t="n">
        <v>0</v>
      </c>
      <c r="L294" t="n">
        <v>0</v>
      </c>
      <c r="M294" t="n">
        <v>0</v>
      </c>
      <c r="N294" t="n">
        <v>0</v>
      </c>
      <c r="O294" t="n">
        <v>0</v>
      </c>
      <c r="P294" t="n">
        <v>0</v>
      </c>
      <c r="Q294" t="n">
        <v>0</v>
      </c>
      <c r="R294" s="2" t="inlineStr"/>
    </row>
    <row r="295" ht="15" customHeight="1">
      <c r="A295" t="inlineStr">
        <is>
          <t>A 71493-2021</t>
        </is>
      </c>
      <c r="B295" s="1" t="n">
        <v>44540.56034722222</v>
      </c>
      <c r="C295" s="1" t="n">
        <v>45904</v>
      </c>
      <c r="D295" t="inlineStr">
        <is>
          <t>JÄMTLANDS LÄN</t>
        </is>
      </c>
      <c r="E295" t="inlineStr">
        <is>
          <t>HÄRJEDALEN</t>
        </is>
      </c>
      <c r="G295" t="n">
        <v>0.4</v>
      </c>
      <c r="H295" t="n">
        <v>0</v>
      </c>
      <c r="I295" t="n">
        <v>0</v>
      </c>
      <c r="J295" t="n">
        <v>0</v>
      </c>
      <c r="K295" t="n">
        <v>0</v>
      </c>
      <c r="L295" t="n">
        <v>0</v>
      </c>
      <c r="M295" t="n">
        <v>0</v>
      </c>
      <c r="N295" t="n">
        <v>0</v>
      </c>
      <c r="O295" t="n">
        <v>0</v>
      </c>
      <c r="P295" t="n">
        <v>0</v>
      </c>
      <c r="Q295" t="n">
        <v>0</v>
      </c>
      <c r="R295" s="2" t="inlineStr"/>
    </row>
    <row r="296" ht="15" customHeight="1">
      <c r="A296" t="inlineStr">
        <is>
          <t>A 52852-2022</t>
        </is>
      </c>
      <c r="B296" s="1" t="n">
        <v>44872</v>
      </c>
      <c r="C296" s="1" t="n">
        <v>45904</v>
      </c>
      <c r="D296" t="inlineStr">
        <is>
          <t>JÄMTLANDS LÄN</t>
        </is>
      </c>
      <c r="E296" t="inlineStr">
        <is>
          <t>HÄRJEDALEN</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71649-2021</t>
        </is>
      </c>
      <c r="B297" s="1" t="n">
        <v>44538</v>
      </c>
      <c r="C297" s="1" t="n">
        <v>45904</v>
      </c>
      <c r="D297" t="inlineStr">
        <is>
          <t>JÄMTLANDS LÄN</t>
        </is>
      </c>
      <c r="E297" t="inlineStr">
        <is>
          <t>HÄRJEDALEN</t>
        </is>
      </c>
      <c r="F297" t="inlineStr">
        <is>
          <t>Övriga statliga verk och myndigheter</t>
        </is>
      </c>
      <c r="G297" t="n">
        <v>3.7</v>
      </c>
      <c r="H297" t="n">
        <v>0</v>
      </c>
      <c r="I297" t="n">
        <v>0</v>
      </c>
      <c r="J297" t="n">
        <v>0</v>
      </c>
      <c r="K297" t="n">
        <v>0</v>
      </c>
      <c r="L297" t="n">
        <v>0</v>
      </c>
      <c r="M297" t="n">
        <v>0</v>
      </c>
      <c r="N297" t="n">
        <v>0</v>
      </c>
      <c r="O297" t="n">
        <v>0</v>
      </c>
      <c r="P297" t="n">
        <v>0</v>
      </c>
      <c r="Q297" t="n">
        <v>0</v>
      </c>
      <c r="R297" s="2" t="inlineStr"/>
    </row>
    <row r="298" ht="15" customHeight="1">
      <c r="A298" t="inlineStr">
        <is>
          <t>A 27483-2022</t>
        </is>
      </c>
      <c r="B298" s="1" t="n">
        <v>44742</v>
      </c>
      <c r="C298" s="1" t="n">
        <v>45904</v>
      </c>
      <c r="D298" t="inlineStr">
        <is>
          <t>JÄMTLANDS LÄN</t>
        </is>
      </c>
      <c r="E298" t="inlineStr">
        <is>
          <t>HÄRJEDALEN</t>
        </is>
      </c>
      <c r="F298" t="inlineStr">
        <is>
          <t>Holmen skog AB</t>
        </is>
      </c>
      <c r="G298" t="n">
        <v>0</v>
      </c>
      <c r="H298" t="n">
        <v>0</v>
      </c>
      <c r="I298" t="n">
        <v>0</v>
      </c>
      <c r="J298" t="n">
        <v>0</v>
      </c>
      <c r="K298" t="n">
        <v>0</v>
      </c>
      <c r="L298" t="n">
        <v>0</v>
      </c>
      <c r="M298" t="n">
        <v>0</v>
      </c>
      <c r="N298" t="n">
        <v>0</v>
      </c>
      <c r="O298" t="n">
        <v>0</v>
      </c>
      <c r="P298" t="n">
        <v>0</v>
      </c>
      <c r="Q298" t="n">
        <v>0</v>
      </c>
      <c r="R298" s="2" t="inlineStr"/>
    </row>
    <row r="299" ht="15" customHeight="1">
      <c r="A299" t="inlineStr">
        <is>
          <t>A 64300-2020</t>
        </is>
      </c>
      <c r="B299" s="1" t="n">
        <v>44166</v>
      </c>
      <c r="C299" s="1" t="n">
        <v>45904</v>
      </c>
      <c r="D299" t="inlineStr">
        <is>
          <t>JÄMTLANDS LÄN</t>
        </is>
      </c>
      <c r="E299" t="inlineStr">
        <is>
          <t>HÄRJEDALEN</t>
        </is>
      </c>
      <c r="F299" t="inlineStr">
        <is>
          <t>Övriga statliga verk och myndigheter</t>
        </is>
      </c>
      <c r="G299" t="n">
        <v>58</v>
      </c>
      <c r="H299" t="n">
        <v>0</v>
      </c>
      <c r="I299" t="n">
        <v>0</v>
      </c>
      <c r="J299" t="n">
        <v>0</v>
      </c>
      <c r="K299" t="n">
        <v>0</v>
      </c>
      <c r="L299" t="n">
        <v>0</v>
      </c>
      <c r="M299" t="n">
        <v>0</v>
      </c>
      <c r="N299" t="n">
        <v>0</v>
      </c>
      <c r="O299" t="n">
        <v>0</v>
      </c>
      <c r="P299" t="n">
        <v>0</v>
      </c>
      <c r="Q299" t="n">
        <v>0</v>
      </c>
      <c r="R299" s="2" t="inlineStr"/>
    </row>
    <row r="300" ht="15" customHeight="1">
      <c r="A300" t="inlineStr">
        <is>
          <t>A 55238-2021</t>
        </is>
      </c>
      <c r="B300" s="1" t="n">
        <v>44475</v>
      </c>
      <c r="C300" s="1" t="n">
        <v>45904</v>
      </c>
      <c r="D300" t="inlineStr">
        <is>
          <t>JÄMTLANDS LÄN</t>
        </is>
      </c>
      <c r="E300" t="inlineStr">
        <is>
          <t>HÄRJEDALEN</t>
        </is>
      </c>
      <c r="G300" t="n">
        <v>2.2</v>
      </c>
      <c r="H300" t="n">
        <v>0</v>
      </c>
      <c r="I300" t="n">
        <v>0</v>
      </c>
      <c r="J300" t="n">
        <v>0</v>
      </c>
      <c r="K300" t="n">
        <v>0</v>
      </c>
      <c r="L300" t="n">
        <v>0</v>
      </c>
      <c r="M300" t="n">
        <v>0</v>
      </c>
      <c r="N300" t="n">
        <v>0</v>
      </c>
      <c r="O300" t="n">
        <v>0</v>
      </c>
      <c r="P300" t="n">
        <v>0</v>
      </c>
      <c r="Q300" t="n">
        <v>0</v>
      </c>
      <c r="R300" s="2" t="inlineStr"/>
    </row>
    <row r="301" ht="15" customHeight="1">
      <c r="A301" t="inlineStr">
        <is>
          <t>A 55246-2021</t>
        </is>
      </c>
      <c r="B301" s="1" t="n">
        <v>44475</v>
      </c>
      <c r="C301" s="1" t="n">
        <v>45904</v>
      </c>
      <c r="D301" t="inlineStr">
        <is>
          <t>JÄMTLANDS LÄN</t>
        </is>
      </c>
      <c r="E301" t="inlineStr">
        <is>
          <t>HÄRJEDALEN</t>
        </is>
      </c>
      <c r="G301" t="n">
        <v>3.8</v>
      </c>
      <c r="H301" t="n">
        <v>0</v>
      </c>
      <c r="I301" t="n">
        <v>0</v>
      </c>
      <c r="J301" t="n">
        <v>0</v>
      </c>
      <c r="K301" t="n">
        <v>0</v>
      </c>
      <c r="L301" t="n">
        <v>0</v>
      </c>
      <c r="M301" t="n">
        <v>0</v>
      </c>
      <c r="N301" t="n">
        <v>0</v>
      </c>
      <c r="O301" t="n">
        <v>0</v>
      </c>
      <c r="P301" t="n">
        <v>0</v>
      </c>
      <c r="Q301" t="n">
        <v>0</v>
      </c>
      <c r="R301" s="2" t="inlineStr"/>
    </row>
    <row r="302" ht="15" customHeight="1">
      <c r="A302" t="inlineStr">
        <is>
          <t>A 55252-2021</t>
        </is>
      </c>
      <c r="B302" s="1" t="n">
        <v>44475</v>
      </c>
      <c r="C302" s="1" t="n">
        <v>45904</v>
      </c>
      <c r="D302" t="inlineStr">
        <is>
          <t>JÄMTLANDS LÄN</t>
        </is>
      </c>
      <c r="E302" t="inlineStr">
        <is>
          <t>HÄRJEDALEN</t>
        </is>
      </c>
      <c r="G302" t="n">
        <v>0.2</v>
      </c>
      <c r="H302" t="n">
        <v>0</v>
      </c>
      <c r="I302" t="n">
        <v>0</v>
      </c>
      <c r="J302" t="n">
        <v>0</v>
      </c>
      <c r="K302" t="n">
        <v>0</v>
      </c>
      <c r="L302" t="n">
        <v>0</v>
      </c>
      <c r="M302" t="n">
        <v>0</v>
      </c>
      <c r="N302" t="n">
        <v>0</v>
      </c>
      <c r="O302" t="n">
        <v>0</v>
      </c>
      <c r="P302" t="n">
        <v>0</v>
      </c>
      <c r="Q302" t="n">
        <v>0</v>
      </c>
      <c r="R302" s="2" t="inlineStr"/>
    </row>
    <row r="303" ht="15" customHeight="1">
      <c r="A303" t="inlineStr">
        <is>
          <t>A 55257-2021</t>
        </is>
      </c>
      <c r="B303" s="1" t="n">
        <v>44475</v>
      </c>
      <c r="C303" s="1" t="n">
        <v>45904</v>
      </c>
      <c r="D303" t="inlineStr">
        <is>
          <t>JÄMTLANDS LÄN</t>
        </is>
      </c>
      <c r="E303" t="inlineStr">
        <is>
          <t>HÄRJEDALEN</t>
        </is>
      </c>
      <c r="G303" t="n">
        <v>0</v>
      </c>
      <c r="H303" t="n">
        <v>0</v>
      </c>
      <c r="I303" t="n">
        <v>0</v>
      </c>
      <c r="J303" t="n">
        <v>0</v>
      </c>
      <c r="K303" t="n">
        <v>0</v>
      </c>
      <c r="L303" t="n">
        <v>0</v>
      </c>
      <c r="M303" t="n">
        <v>0</v>
      </c>
      <c r="N303" t="n">
        <v>0</v>
      </c>
      <c r="O303" t="n">
        <v>0</v>
      </c>
      <c r="P303" t="n">
        <v>0</v>
      </c>
      <c r="Q303" t="n">
        <v>0</v>
      </c>
      <c r="R303" s="2" t="inlineStr"/>
    </row>
    <row r="304" ht="15" customHeight="1">
      <c r="A304" t="inlineStr">
        <is>
          <t>A 69101-2020</t>
        </is>
      </c>
      <c r="B304" s="1" t="n">
        <v>44188</v>
      </c>
      <c r="C304" s="1" t="n">
        <v>45904</v>
      </c>
      <c r="D304" t="inlineStr">
        <is>
          <t>JÄMTLANDS LÄN</t>
        </is>
      </c>
      <c r="E304" t="inlineStr">
        <is>
          <t>HÄRJEDALEN</t>
        </is>
      </c>
      <c r="G304" t="n">
        <v>3.1</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45904</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68858-2021</t>
        </is>
      </c>
      <c r="B306" s="1" t="n">
        <v>44530.40607638889</v>
      </c>
      <c r="C306" s="1" t="n">
        <v>45904</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21610-2022</t>
        </is>
      </c>
      <c r="B307" s="1" t="n">
        <v>44706.66417824074</v>
      </c>
      <c r="C307" s="1" t="n">
        <v>45904</v>
      </c>
      <c r="D307" t="inlineStr">
        <is>
          <t>JÄMTLANDS LÄN</t>
        </is>
      </c>
      <c r="E307" t="inlineStr">
        <is>
          <t>HÄRJEDALEN</t>
        </is>
      </c>
      <c r="F307" t="inlineStr">
        <is>
          <t>Holmen skog AB</t>
        </is>
      </c>
      <c r="G307" t="n">
        <v>15.3</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45904</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45904</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21770-2022</t>
        </is>
      </c>
      <c r="B310" s="1" t="n">
        <v>44708.46081018518</v>
      </c>
      <c r="C310" s="1" t="n">
        <v>45904</v>
      </c>
      <c r="D310" t="inlineStr">
        <is>
          <t>JÄMTLANDS LÄN</t>
        </is>
      </c>
      <c r="E310" t="inlineStr">
        <is>
          <t>HÄRJEDALEN</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55250-2021</t>
        </is>
      </c>
      <c r="B311" s="1" t="n">
        <v>44475</v>
      </c>
      <c r="C311" s="1" t="n">
        <v>45904</v>
      </c>
      <c r="D311" t="inlineStr">
        <is>
          <t>JÄMTLANDS LÄN</t>
        </is>
      </c>
      <c r="E311" t="inlineStr">
        <is>
          <t>HÄRJEDALEN</t>
        </is>
      </c>
      <c r="G311" t="n">
        <v>0.7</v>
      </c>
      <c r="H311" t="n">
        <v>0</v>
      </c>
      <c r="I311" t="n">
        <v>0</v>
      </c>
      <c r="J311" t="n">
        <v>0</v>
      </c>
      <c r="K311" t="n">
        <v>0</v>
      </c>
      <c r="L311" t="n">
        <v>0</v>
      </c>
      <c r="M311" t="n">
        <v>0</v>
      </c>
      <c r="N311" t="n">
        <v>0</v>
      </c>
      <c r="O311" t="n">
        <v>0</v>
      </c>
      <c r="P311" t="n">
        <v>0</v>
      </c>
      <c r="Q311" t="n">
        <v>0</v>
      </c>
      <c r="R311" s="2" t="inlineStr"/>
    </row>
    <row r="312" ht="15" customHeight="1">
      <c r="A312" t="inlineStr">
        <is>
          <t>A 36249-2022</t>
        </is>
      </c>
      <c r="B312" s="1" t="n">
        <v>44803</v>
      </c>
      <c r="C312" s="1" t="n">
        <v>45904</v>
      </c>
      <c r="D312" t="inlineStr">
        <is>
          <t>JÄMTLANDS LÄN</t>
        </is>
      </c>
      <c r="E312" t="inlineStr">
        <is>
          <t>HÄRJEDALEN</t>
        </is>
      </c>
      <c r="G312" t="n">
        <v>7.2</v>
      </c>
      <c r="H312" t="n">
        <v>0</v>
      </c>
      <c r="I312" t="n">
        <v>0</v>
      </c>
      <c r="J312" t="n">
        <v>0</v>
      </c>
      <c r="K312" t="n">
        <v>0</v>
      </c>
      <c r="L312" t="n">
        <v>0</v>
      </c>
      <c r="M312" t="n">
        <v>0</v>
      </c>
      <c r="N312" t="n">
        <v>0</v>
      </c>
      <c r="O312" t="n">
        <v>0</v>
      </c>
      <c r="P312" t="n">
        <v>0</v>
      </c>
      <c r="Q312" t="n">
        <v>0</v>
      </c>
      <c r="R312" s="2" t="inlineStr"/>
    </row>
    <row r="313" ht="15" customHeight="1">
      <c r="A313" t="inlineStr">
        <is>
          <t>A 18169-2022</t>
        </is>
      </c>
      <c r="B313" s="1" t="n">
        <v>44684</v>
      </c>
      <c r="C313" s="1" t="n">
        <v>45904</v>
      </c>
      <c r="D313" t="inlineStr">
        <is>
          <t>JÄMTLANDS LÄN</t>
        </is>
      </c>
      <c r="E313" t="inlineStr">
        <is>
          <t>HÄRJEDALEN</t>
        </is>
      </c>
      <c r="F313" t="inlineStr">
        <is>
          <t>Kyrkan</t>
        </is>
      </c>
      <c r="G313" t="n">
        <v>2.4</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45904</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21843-2021</t>
        </is>
      </c>
      <c r="B315" s="1" t="n">
        <v>44316</v>
      </c>
      <c r="C315" s="1" t="n">
        <v>45904</v>
      </c>
      <c r="D315" t="inlineStr">
        <is>
          <t>JÄMTLANDS LÄN</t>
        </is>
      </c>
      <c r="E315" t="inlineStr">
        <is>
          <t>HÄRJEDALEN</t>
        </is>
      </c>
      <c r="G315" t="n">
        <v>15.1</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45904</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15594-2021</t>
        </is>
      </c>
      <c r="B317" s="1" t="n">
        <v>44285</v>
      </c>
      <c r="C317" s="1" t="n">
        <v>45904</v>
      </c>
      <c r="D317" t="inlineStr">
        <is>
          <t>JÄMTLANDS LÄN</t>
        </is>
      </c>
      <c r="E317" t="inlineStr">
        <is>
          <t>HÄRJEDALEN</t>
        </is>
      </c>
      <c r="G317" t="n">
        <v>28.5</v>
      </c>
      <c r="H317" t="n">
        <v>0</v>
      </c>
      <c r="I317" t="n">
        <v>0</v>
      </c>
      <c r="J317" t="n">
        <v>0</v>
      </c>
      <c r="K317" t="n">
        <v>0</v>
      </c>
      <c r="L317" t="n">
        <v>0</v>
      </c>
      <c r="M317" t="n">
        <v>0</v>
      </c>
      <c r="N317" t="n">
        <v>0</v>
      </c>
      <c r="O317" t="n">
        <v>0</v>
      </c>
      <c r="P317" t="n">
        <v>0</v>
      </c>
      <c r="Q317" t="n">
        <v>0</v>
      </c>
      <c r="R317" s="2" t="inlineStr"/>
    </row>
    <row r="318" ht="15" customHeight="1">
      <c r="A318" t="inlineStr">
        <is>
          <t>A 33424-2021</t>
        </is>
      </c>
      <c r="B318" s="1" t="n">
        <v>44377</v>
      </c>
      <c r="C318" s="1" t="n">
        <v>45904</v>
      </c>
      <c r="D318" t="inlineStr">
        <is>
          <t>JÄMTLANDS LÄN</t>
        </is>
      </c>
      <c r="E318" t="inlineStr">
        <is>
          <t>HÄRJEDALEN</t>
        </is>
      </c>
      <c r="G318" t="n">
        <v>2.5</v>
      </c>
      <c r="H318" t="n">
        <v>0</v>
      </c>
      <c r="I318" t="n">
        <v>0</v>
      </c>
      <c r="J318" t="n">
        <v>0</v>
      </c>
      <c r="K318" t="n">
        <v>0</v>
      </c>
      <c r="L318" t="n">
        <v>0</v>
      </c>
      <c r="M318" t="n">
        <v>0</v>
      </c>
      <c r="N318" t="n">
        <v>0</v>
      </c>
      <c r="O318" t="n">
        <v>0</v>
      </c>
      <c r="P318" t="n">
        <v>0</v>
      </c>
      <c r="Q318" t="n">
        <v>0</v>
      </c>
      <c r="R318" s="2" t="inlineStr"/>
    </row>
    <row r="319" ht="15" customHeight="1">
      <c r="A319" t="inlineStr">
        <is>
          <t>A 12629-2021</t>
        </is>
      </c>
      <c r="B319" s="1" t="n">
        <v>44270</v>
      </c>
      <c r="C319" s="1" t="n">
        <v>45904</v>
      </c>
      <c r="D319" t="inlineStr">
        <is>
          <t>JÄMTLANDS LÄN</t>
        </is>
      </c>
      <c r="E319" t="inlineStr">
        <is>
          <t>HÄRJEDALEN</t>
        </is>
      </c>
      <c r="G319" t="n">
        <v>20.7</v>
      </c>
      <c r="H319" t="n">
        <v>0</v>
      </c>
      <c r="I319" t="n">
        <v>0</v>
      </c>
      <c r="J319" t="n">
        <v>0</v>
      </c>
      <c r="K319" t="n">
        <v>0</v>
      </c>
      <c r="L319" t="n">
        <v>0</v>
      </c>
      <c r="M319" t="n">
        <v>0</v>
      </c>
      <c r="N319" t="n">
        <v>0</v>
      </c>
      <c r="O319" t="n">
        <v>0</v>
      </c>
      <c r="P319" t="n">
        <v>0</v>
      </c>
      <c r="Q319" t="n">
        <v>0</v>
      </c>
      <c r="R319" s="2" t="inlineStr"/>
    </row>
    <row r="320" ht="15" customHeight="1">
      <c r="A320" t="inlineStr">
        <is>
          <t>A 64539-2020</t>
        </is>
      </c>
      <c r="B320" s="1" t="n">
        <v>44169</v>
      </c>
      <c r="C320" s="1" t="n">
        <v>45904</v>
      </c>
      <c r="D320" t="inlineStr">
        <is>
          <t>JÄMTLANDS LÄN</t>
        </is>
      </c>
      <c r="E320" t="inlineStr">
        <is>
          <t>HÄRJEDALEN</t>
        </is>
      </c>
      <c r="G320" t="n">
        <v>5.6</v>
      </c>
      <c r="H320" t="n">
        <v>0</v>
      </c>
      <c r="I320" t="n">
        <v>0</v>
      </c>
      <c r="J320" t="n">
        <v>0</v>
      </c>
      <c r="K320" t="n">
        <v>0</v>
      </c>
      <c r="L320" t="n">
        <v>0</v>
      </c>
      <c r="M320" t="n">
        <v>0</v>
      </c>
      <c r="N320" t="n">
        <v>0</v>
      </c>
      <c r="O320" t="n">
        <v>0</v>
      </c>
      <c r="P320" t="n">
        <v>0</v>
      </c>
      <c r="Q320" t="n">
        <v>0</v>
      </c>
      <c r="R320" s="2" t="inlineStr"/>
    </row>
    <row r="321" ht="15" customHeight="1">
      <c r="A321" t="inlineStr">
        <is>
          <t>A 33465-2022</t>
        </is>
      </c>
      <c r="B321" s="1" t="n">
        <v>44788.67976851852</v>
      </c>
      <c r="C321" s="1" t="n">
        <v>45904</v>
      </c>
      <c r="D321" t="inlineStr">
        <is>
          <t>JÄMTLANDS LÄN</t>
        </is>
      </c>
      <c r="E321" t="inlineStr">
        <is>
          <t>HÄRJEDALEN</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67182-2020</t>
        </is>
      </c>
      <c r="B322" s="1" t="n">
        <v>44180</v>
      </c>
      <c r="C322" s="1" t="n">
        <v>45904</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45904</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21702-2021</t>
        </is>
      </c>
      <c r="B324" s="1" t="n">
        <v>44316</v>
      </c>
      <c r="C324" s="1" t="n">
        <v>45904</v>
      </c>
      <c r="D324" t="inlineStr">
        <is>
          <t>JÄMTLANDS LÄN</t>
        </is>
      </c>
      <c r="E324" t="inlineStr">
        <is>
          <t>HÄRJEDALEN</t>
        </is>
      </c>
      <c r="G324" t="n">
        <v>2.9</v>
      </c>
      <c r="H324" t="n">
        <v>0</v>
      </c>
      <c r="I324" t="n">
        <v>0</v>
      </c>
      <c r="J324" t="n">
        <v>0</v>
      </c>
      <c r="K324" t="n">
        <v>0</v>
      </c>
      <c r="L324" t="n">
        <v>0</v>
      </c>
      <c r="M324" t="n">
        <v>0</v>
      </c>
      <c r="N324" t="n">
        <v>0</v>
      </c>
      <c r="O324" t="n">
        <v>0</v>
      </c>
      <c r="P324" t="n">
        <v>0</v>
      </c>
      <c r="Q324" t="n">
        <v>0</v>
      </c>
      <c r="R324" s="2" t="inlineStr"/>
    </row>
    <row r="325" ht="15" customHeight="1">
      <c r="A325" t="inlineStr">
        <is>
          <t>A 58930-2023</t>
        </is>
      </c>
      <c r="B325" s="1" t="n">
        <v>45252</v>
      </c>
      <c r="C325" s="1" t="n">
        <v>45904</v>
      </c>
      <c r="D325" t="inlineStr">
        <is>
          <t>JÄMTLANDS LÄN</t>
        </is>
      </c>
      <c r="E325" t="inlineStr">
        <is>
          <t>HÄRJEDALEN</t>
        </is>
      </c>
      <c r="G325" t="n">
        <v>4.8</v>
      </c>
      <c r="H325" t="n">
        <v>0</v>
      </c>
      <c r="I325" t="n">
        <v>0</v>
      </c>
      <c r="J325" t="n">
        <v>0</v>
      </c>
      <c r="K325" t="n">
        <v>0</v>
      </c>
      <c r="L325" t="n">
        <v>0</v>
      </c>
      <c r="M325" t="n">
        <v>0</v>
      </c>
      <c r="N325" t="n">
        <v>0</v>
      </c>
      <c r="O325" t="n">
        <v>0</v>
      </c>
      <c r="P325" t="n">
        <v>0</v>
      </c>
      <c r="Q325" t="n">
        <v>0</v>
      </c>
      <c r="R325" s="2" t="inlineStr"/>
    </row>
    <row r="326" ht="15" customHeight="1">
      <c r="A326" t="inlineStr">
        <is>
          <t>A 41604-2024</t>
        </is>
      </c>
      <c r="B326" s="1" t="n">
        <v>45560</v>
      </c>
      <c r="C326" s="1" t="n">
        <v>45904</v>
      </c>
      <c r="D326" t="inlineStr">
        <is>
          <t>JÄMTLANDS LÄN</t>
        </is>
      </c>
      <c r="E326" t="inlineStr">
        <is>
          <t>HÄRJEDALEN</t>
        </is>
      </c>
      <c r="G326" t="n">
        <v>6.3</v>
      </c>
      <c r="H326" t="n">
        <v>0</v>
      </c>
      <c r="I326" t="n">
        <v>0</v>
      </c>
      <c r="J326" t="n">
        <v>0</v>
      </c>
      <c r="K326" t="n">
        <v>0</v>
      </c>
      <c r="L326" t="n">
        <v>0</v>
      </c>
      <c r="M326" t="n">
        <v>0</v>
      </c>
      <c r="N326" t="n">
        <v>0</v>
      </c>
      <c r="O326" t="n">
        <v>0</v>
      </c>
      <c r="P326" t="n">
        <v>0</v>
      </c>
      <c r="Q326" t="n">
        <v>0</v>
      </c>
      <c r="R326" s="2" t="inlineStr"/>
    </row>
    <row r="327" ht="15" customHeight="1">
      <c r="A327" t="inlineStr">
        <is>
          <t>A 63133-2020</t>
        </is>
      </c>
      <c r="B327" s="1" t="n">
        <v>44162.65819444445</v>
      </c>
      <c r="C327" s="1" t="n">
        <v>45904</v>
      </c>
      <c r="D327" t="inlineStr">
        <is>
          <t>JÄMTLANDS LÄN</t>
        </is>
      </c>
      <c r="E327" t="inlineStr">
        <is>
          <t>HÄRJEDALEN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16552-2025</t>
        </is>
      </c>
      <c r="B328" s="1" t="n">
        <v>45751.69827546296</v>
      </c>
      <c r="C328" s="1" t="n">
        <v>45904</v>
      </c>
      <c r="D328" t="inlineStr">
        <is>
          <t>JÄMTLANDS LÄN</t>
        </is>
      </c>
      <c r="E328" t="inlineStr">
        <is>
          <t>HÄRJEDALEN</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45904</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46447-2024</t>
        </is>
      </c>
      <c r="B330" s="1" t="n">
        <v>45582.49792824074</v>
      </c>
      <c r="C330" s="1" t="n">
        <v>45904</v>
      </c>
      <c r="D330" t="inlineStr">
        <is>
          <t>JÄMTLANDS LÄN</t>
        </is>
      </c>
      <c r="E330" t="inlineStr">
        <is>
          <t>HÄRJEDALEN</t>
        </is>
      </c>
      <c r="F330" t="inlineStr">
        <is>
          <t>Bergvik skog väst AB</t>
        </is>
      </c>
      <c r="G330" t="n">
        <v>19.2</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45904</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57373-2021</t>
        </is>
      </c>
      <c r="B332" s="1" t="n">
        <v>44483</v>
      </c>
      <c r="C332" s="1" t="n">
        <v>45904</v>
      </c>
      <c r="D332" t="inlineStr">
        <is>
          <t>JÄMTLANDS LÄN</t>
        </is>
      </c>
      <c r="E332" t="inlineStr">
        <is>
          <t>HÄRJEDALEN</t>
        </is>
      </c>
      <c r="G332" t="n">
        <v>10.8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45904</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45904</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45904</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14039-2025</t>
        </is>
      </c>
      <c r="B336" s="1" t="n">
        <v>45740.36546296296</v>
      </c>
      <c r="C336" s="1" t="n">
        <v>45904</v>
      </c>
      <c r="D336" t="inlineStr">
        <is>
          <t>JÄMTLANDS LÄN</t>
        </is>
      </c>
      <c r="E336" t="inlineStr">
        <is>
          <t>HÄRJEDALEN</t>
        </is>
      </c>
      <c r="F336" t="inlineStr">
        <is>
          <t>Holmen skog AB</t>
        </is>
      </c>
      <c r="G336" t="n">
        <v>7.5</v>
      </c>
      <c r="H336" t="n">
        <v>0</v>
      </c>
      <c r="I336" t="n">
        <v>0</v>
      </c>
      <c r="J336" t="n">
        <v>0</v>
      </c>
      <c r="K336" t="n">
        <v>0</v>
      </c>
      <c r="L336" t="n">
        <v>0</v>
      </c>
      <c r="M336" t="n">
        <v>0</v>
      </c>
      <c r="N336" t="n">
        <v>0</v>
      </c>
      <c r="O336" t="n">
        <v>0</v>
      </c>
      <c r="P336" t="n">
        <v>0</v>
      </c>
      <c r="Q336" t="n">
        <v>0</v>
      </c>
      <c r="R336" s="2" t="inlineStr"/>
    </row>
    <row r="337" ht="15" customHeight="1">
      <c r="A337" t="inlineStr">
        <is>
          <t>A 58404-2024</t>
        </is>
      </c>
      <c r="B337" s="1" t="n">
        <v>45634.65831018519</v>
      </c>
      <c r="C337" s="1" t="n">
        <v>45904</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45904</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7744-2025</t>
        </is>
      </c>
      <c r="B339" s="1" t="n">
        <v>45706</v>
      </c>
      <c r="C339" s="1" t="n">
        <v>45904</v>
      </c>
      <c r="D339" t="inlineStr">
        <is>
          <t>JÄMTLANDS LÄN</t>
        </is>
      </c>
      <c r="E339" t="inlineStr">
        <is>
          <t>HÄRJEDALEN</t>
        </is>
      </c>
      <c r="G339" t="n">
        <v>5.5</v>
      </c>
      <c r="H339" t="n">
        <v>0</v>
      </c>
      <c r="I339" t="n">
        <v>0</v>
      </c>
      <c r="J339" t="n">
        <v>0</v>
      </c>
      <c r="K339" t="n">
        <v>0</v>
      </c>
      <c r="L339" t="n">
        <v>0</v>
      </c>
      <c r="M339" t="n">
        <v>0</v>
      </c>
      <c r="N339" t="n">
        <v>0</v>
      </c>
      <c r="O339" t="n">
        <v>0</v>
      </c>
      <c r="P339" t="n">
        <v>0</v>
      </c>
      <c r="Q339" t="n">
        <v>0</v>
      </c>
      <c r="R339" s="2" t="inlineStr"/>
    </row>
    <row r="340" ht="15" customHeight="1">
      <c r="A340" t="inlineStr">
        <is>
          <t>A 31459-2024</t>
        </is>
      </c>
      <c r="B340" s="1" t="n">
        <v>45505</v>
      </c>
      <c r="C340" s="1" t="n">
        <v>45904</v>
      </c>
      <c r="D340" t="inlineStr">
        <is>
          <t>JÄMTLANDS LÄN</t>
        </is>
      </c>
      <c r="E340" t="inlineStr">
        <is>
          <t>HÄRJEDALEN</t>
        </is>
      </c>
      <c r="G340" t="n">
        <v>1.5</v>
      </c>
      <c r="H340" t="n">
        <v>0</v>
      </c>
      <c r="I340" t="n">
        <v>0</v>
      </c>
      <c r="J340" t="n">
        <v>0</v>
      </c>
      <c r="K340" t="n">
        <v>0</v>
      </c>
      <c r="L340" t="n">
        <v>0</v>
      </c>
      <c r="M340" t="n">
        <v>0</v>
      </c>
      <c r="N340" t="n">
        <v>0</v>
      </c>
      <c r="O340" t="n">
        <v>0</v>
      </c>
      <c r="P340" t="n">
        <v>0</v>
      </c>
      <c r="Q340" t="n">
        <v>0</v>
      </c>
      <c r="R340" s="2" t="inlineStr"/>
    </row>
    <row r="341" ht="15" customHeight="1">
      <c r="A341" t="inlineStr">
        <is>
          <t>A 20672-2025</t>
        </is>
      </c>
      <c r="B341" s="1" t="n">
        <v>45776.43898148148</v>
      </c>
      <c r="C341" s="1" t="n">
        <v>45904</v>
      </c>
      <c r="D341" t="inlineStr">
        <is>
          <t>JÄMTLANDS LÄN</t>
        </is>
      </c>
      <c r="E341" t="inlineStr">
        <is>
          <t>HÄRJEDALEN</t>
        </is>
      </c>
      <c r="G341" t="n">
        <v>6.4</v>
      </c>
      <c r="H341" t="n">
        <v>0</v>
      </c>
      <c r="I341" t="n">
        <v>0</v>
      </c>
      <c r="J341" t="n">
        <v>0</v>
      </c>
      <c r="K341" t="n">
        <v>0</v>
      </c>
      <c r="L341" t="n">
        <v>0</v>
      </c>
      <c r="M341" t="n">
        <v>0</v>
      </c>
      <c r="N341" t="n">
        <v>0</v>
      </c>
      <c r="O341" t="n">
        <v>0</v>
      </c>
      <c r="P341" t="n">
        <v>0</v>
      </c>
      <c r="Q341" t="n">
        <v>0</v>
      </c>
      <c r="R341" s="2" t="inlineStr"/>
    </row>
    <row r="342" ht="15" customHeight="1">
      <c r="A342" t="inlineStr">
        <is>
          <t>A 52867-2022</t>
        </is>
      </c>
      <c r="B342" s="1" t="n">
        <v>44872</v>
      </c>
      <c r="C342" s="1" t="n">
        <v>45904</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20817-2025</t>
        </is>
      </c>
      <c r="B343" s="1" t="n">
        <v>45776.69569444445</v>
      </c>
      <c r="C343" s="1" t="n">
        <v>45904</v>
      </c>
      <c r="D343" t="inlineStr">
        <is>
          <t>JÄMTLANDS LÄN</t>
        </is>
      </c>
      <c r="E343" t="inlineStr">
        <is>
          <t>HÄRJEDALEN</t>
        </is>
      </c>
      <c r="G343" t="n">
        <v>26.4</v>
      </c>
      <c r="H343" t="n">
        <v>0</v>
      </c>
      <c r="I343" t="n">
        <v>0</v>
      </c>
      <c r="J343" t="n">
        <v>0</v>
      </c>
      <c r="K343" t="n">
        <v>0</v>
      </c>
      <c r="L343" t="n">
        <v>0</v>
      </c>
      <c r="M343" t="n">
        <v>0</v>
      </c>
      <c r="N343" t="n">
        <v>0</v>
      </c>
      <c r="O343" t="n">
        <v>0</v>
      </c>
      <c r="P343" t="n">
        <v>0</v>
      </c>
      <c r="Q343" t="n">
        <v>0</v>
      </c>
      <c r="R343" s="2" t="inlineStr"/>
    </row>
    <row r="344" ht="15" customHeight="1">
      <c r="A344" t="inlineStr">
        <is>
          <t>A 54640-2024</t>
        </is>
      </c>
      <c r="B344" s="1" t="n">
        <v>45617.89371527778</v>
      </c>
      <c r="C344" s="1" t="n">
        <v>45904</v>
      </c>
      <c r="D344" t="inlineStr">
        <is>
          <t>JÄMTLANDS LÄN</t>
        </is>
      </c>
      <c r="E344" t="inlineStr">
        <is>
          <t>HÄRJEDALEN</t>
        </is>
      </c>
      <c r="G344" t="n">
        <v>3.9</v>
      </c>
      <c r="H344" t="n">
        <v>0</v>
      </c>
      <c r="I344" t="n">
        <v>0</v>
      </c>
      <c r="J344" t="n">
        <v>0</v>
      </c>
      <c r="K344" t="n">
        <v>0</v>
      </c>
      <c r="L344" t="n">
        <v>0</v>
      </c>
      <c r="M344" t="n">
        <v>0</v>
      </c>
      <c r="N344" t="n">
        <v>0</v>
      </c>
      <c r="O344" t="n">
        <v>0</v>
      </c>
      <c r="P344" t="n">
        <v>0</v>
      </c>
      <c r="Q344" t="n">
        <v>0</v>
      </c>
      <c r="R344" s="2" t="inlineStr"/>
    </row>
    <row r="345" ht="15" customHeight="1">
      <c r="A345" t="inlineStr">
        <is>
          <t>A 51322-2024</t>
        </is>
      </c>
      <c r="B345" s="1" t="n">
        <v>45604.33195601852</v>
      </c>
      <c r="C345" s="1" t="n">
        <v>45904</v>
      </c>
      <c r="D345" t="inlineStr">
        <is>
          <t>JÄMTLANDS LÄN</t>
        </is>
      </c>
      <c r="E345" t="inlineStr">
        <is>
          <t>HÄRJEDALEN</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14204-2025</t>
        </is>
      </c>
      <c r="B346" s="1" t="n">
        <v>45740.57487268518</v>
      </c>
      <c r="C346" s="1" t="n">
        <v>45904</v>
      </c>
      <c r="D346" t="inlineStr">
        <is>
          <t>JÄMTLANDS LÄN</t>
        </is>
      </c>
      <c r="E346" t="inlineStr">
        <is>
          <t>HÄRJEDALEN</t>
        </is>
      </c>
      <c r="F346" t="inlineStr">
        <is>
          <t>Övriga Aktiebolag</t>
        </is>
      </c>
      <c r="G346" t="n">
        <v>10.2</v>
      </c>
      <c r="H346" t="n">
        <v>0</v>
      </c>
      <c r="I346" t="n">
        <v>0</v>
      </c>
      <c r="J346" t="n">
        <v>0</v>
      </c>
      <c r="K346" t="n">
        <v>0</v>
      </c>
      <c r="L346" t="n">
        <v>0</v>
      </c>
      <c r="M346" t="n">
        <v>0</v>
      </c>
      <c r="N346" t="n">
        <v>0</v>
      </c>
      <c r="O346" t="n">
        <v>0</v>
      </c>
      <c r="P346" t="n">
        <v>0</v>
      </c>
      <c r="Q346" t="n">
        <v>0</v>
      </c>
      <c r="R346" s="2" t="inlineStr"/>
    </row>
    <row r="347" ht="15" customHeight="1">
      <c r="A347" t="inlineStr">
        <is>
          <t>A 31960-2023</t>
        </is>
      </c>
      <c r="B347" s="1" t="n">
        <v>45119.39105324074</v>
      </c>
      <c r="C347" s="1" t="n">
        <v>45904</v>
      </c>
      <c r="D347" t="inlineStr">
        <is>
          <t>JÄMTLANDS LÄN</t>
        </is>
      </c>
      <c r="E347" t="inlineStr">
        <is>
          <t>HÄRJEDALEN</t>
        </is>
      </c>
      <c r="F347" t="inlineStr">
        <is>
          <t>Bergvik skog väst AB</t>
        </is>
      </c>
      <c r="G347" t="n">
        <v>3.6</v>
      </c>
      <c r="H347" t="n">
        <v>0</v>
      </c>
      <c r="I347" t="n">
        <v>0</v>
      </c>
      <c r="J347" t="n">
        <v>0</v>
      </c>
      <c r="K347" t="n">
        <v>0</v>
      </c>
      <c r="L347" t="n">
        <v>0</v>
      </c>
      <c r="M347" t="n">
        <v>0</v>
      </c>
      <c r="N347" t="n">
        <v>0</v>
      </c>
      <c r="O347" t="n">
        <v>0</v>
      </c>
      <c r="P347" t="n">
        <v>0</v>
      </c>
      <c r="Q347" t="n">
        <v>0</v>
      </c>
      <c r="R347" s="2" t="inlineStr"/>
    </row>
    <row r="348" ht="15" customHeight="1">
      <c r="A348" t="inlineStr">
        <is>
          <t>A 21169-2025</t>
        </is>
      </c>
      <c r="B348" s="1" t="n">
        <v>45779.41844907407</v>
      </c>
      <c r="C348" s="1" t="n">
        <v>45904</v>
      </c>
      <c r="D348" t="inlineStr">
        <is>
          <t>JÄMTLANDS LÄN</t>
        </is>
      </c>
      <c r="E348" t="inlineStr">
        <is>
          <t>HÄRJEDALEN</t>
        </is>
      </c>
      <c r="F348" t="inlineStr">
        <is>
          <t>Holmen skog AB</t>
        </is>
      </c>
      <c r="G348" t="n">
        <v>4.4</v>
      </c>
      <c r="H348" t="n">
        <v>0</v>
      </c>
      <c r="I348" t="n">
        <v>0</v>
      </c>
      <c r="J348" t="n">
        <v>0</v>
      </c>
      <c r="K348" t="n">
        <v>0</v>
      </c>
      <c r="L348" t="n">
        <v>0</v>
      </c>
      <c r="M348" t="n">
        <v>0</v>
      </c>
      <c r="N348" t="n">
        <v>0</v>
      </c>
      <c r="O348" t="n">
        <v>0</v>
      </c>
      <c r="P348" t="n">
        <v>0</v>
      </c>
      <c r="Q348" t="n">
        <v>0</v>
      </c>
      <c r="R348" s="2" t="inlineStr"/>
    </row>
    <row r="349" ht="15" customHeight="1">
      <c r="A349" t="inlineStr">
        <is>
          <t>A 21161-2025</t>
        </is>
      </c>
      <c r="B349" s="1" t="n">
        <v>45779.38211805555</v>
      </c>
      <c r="C349" s="1" t="n">
        <v>45904</v>
      </c>
      <c r="D349" t="inlineStr">
        <is>
          <t>JÄMTLANDS LÄN</t>
        </is>
      </c>
      <c r="E349" t="inlineStr">
        <is>
          <t>HÄRJEDALEN</t>
        </is>
      </c>
      <c r="F349" t="inlineStr">
        <is>
          <t>Holmen skog AB</t>
        </is>
      </c>
      <c r="G349" t="n">
        <v>2.3</v>
      </c>
      <c r="H349" t="n">
        <v>0</v>
      </c>
      <c r="I349" t="n">
        <v>0</v>
      </c>
      <c r="J349" t="n">
        <v>0</v>
      </c>
      <c r="K349" t="n">
        <v>0</v>
      </c>
      <c r="L349" t="n">
        <v>0</v>
      </c>
      <c r="M349" t="n">
        <v>0</v>
      </c>
      <c r="N349" t="n">
        <v>0</v>
      </c>
      <c r="O349" t="n">
        <v>0</v>
      </c>
      <c r="P349" t="n">
        <v>0</v>
      </c>
      <c r="Q349" t="n">
        <v>0</v>
      </c>
      <c r="R349" s="2" t="inlineStr"/>
    </row>
    <row r="350" ht="15" customHeight="1">
      <c r="A350" t="inlineStr">
        <is>
          <t>A 21223-2025</t>
        </is>
      </c>
      <c r="B350" s="1" t="n">
        <v>45779.50886574074</v>
      </c>
      <c r="C350" s="1" t="n">
        <v>45904</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21226-2025</t>
        </is>
      </c>
      <c r="B351" s="1" t="n">
        <v>45779.51943287037</v>
      </c>
      <c r="C351" s="1" t="n">
        <v>45904</v>
      </c>
      <c r="D351" t="inlineStr">
        <is>
          <t>JÄMTLANDS LÄN</t>
        </is>
      </c>
      <c r="E351" t="inlineStr">
        <is>
          <t>HÄRJEDALEN</t>
        </is>
      </c>
      <c r="F351" t="inlineStr">
        <is>
          <t>Holmen skog AB</t>
        </is>
      </c>
      <c r="G351" t="n">
        <v>4.5</v>
      </c>
      <c r="H351" t="n">
        <v>0</v>
      </c>
      <c r="I351" t="n">
        <v>0</v>
      </c>
      <c r="J351" t="n">
        <v>0</v>
      </c>
      <c r="K351" t="n">
        <v>0</v>
      </c>
      <c r="L351" t="n">
        <v>0</v>
      </c>
      <c r="M351" t="n">
        <v>0</v>
      </c>
      <c r="N351" t="n">
        <v>0</v>
      </c>
      <c r="O351" t="n">
        <v>0</v>
      </c>
      <c r="P351" t="n">
        <v>0</v>
      </c>
      <c r="Q351" t="n">
        <v>0</v>
      </c>
      <c r="R351" s="2" t="inlineStr"/>
    </row>
    <row r="352" ht="15" customHeight="1">
      <c r="A352" t="inlineStr">
        <is>
          <t>A 21227-2025</t>
        </is>
      </c>
      <c r="B352" s="1" t="n">
        <v>45779.52488425926</v>
      </c>
      <c r="C352" s="1" t="n">
        <v>45904</v>
      </c>
      <c r="D352" t="inlineStr">
        <is>
          <t>JÄMTLANDS LÄN</t>
        </is>
      </c>
      <c r="E352" t="inlineStr">
        <is>
          <t>HÄRJEDALEN</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44955-2024</t>
        </is>
      </c>
      <c r="B353" s="1" t="n">
        <v>45575</v>
      </c>
      <c r="C353" s="1" t="n">
        <v>45904</v>
      </c>
      <c r="D353" t="inlineStr">
        <is>
          <t>JÄMTLANDS LÄN</t>
        </is>
      </c>
      <c r="E353" t="inlineStr">
        <is>
          <t>HÄRJEDALEN</t>
        </is>
      </c>
      <c r="G353" t="n">
        <v>0.4</v>
      </c>
      <c r="H353" t="n">
        <v>0</v>
      </c>
      <c r="I353" t="n">
        <v>0</v>
      </c>
      <c r="J353" t="n">
        <v>0</v>
      </c>
      <c r="K353" t="n">
        <v>0</v>
      </c>
      <c r="L353" t="n">
        <v>0</v>
      </c>
      <c r="M353" t="n">
        <v>0</v>
      </c>
      <c r="N353" t="n">
        <v>0</v>
      </c>
      <c r="O353" t="n">
        <v>0</v>
      </c>
      <c r="P353" t="n">
        <v>0</v>
      </c>
      <c r="Q353" t="n">
        <v>0</v>
      </c>
      <c r="R353" s="2" t="inlineStr"/>
    </row>
    <row r="354" ht="15" customHeight="1">
      <c r="A354" t="inlineStr">
        <is>
          <t>A 21221-2025</t>
        </is>
      </c>
      <c r="B354" s="1" t="n">
        <v>45779.50052083333</v>
      </c>
      <c r="C354" s="1" t="n">
        <v>45904</v>
      </c>
      <c r="D354" t="inlineStr">
        <is>
          <t>JÄMTLANDS LÄN</t>
        </is>
      </c>
      <c r="E354" t="inlineStr">
        <is>
          <t>HÄRJEDALEN</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13783-2025</t>
        </is>
      </c>
      <c r="B355" s="1" t="n">
        <v>45737</v>
      </c>
      <c r="C355" s="1" t="n">
        <v>45904</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51191-2024</t>
        </is>
      </c>
      <c r="B356" s="1" t="n">
        <v>45603</v>
      </c>
      <c r="C356" s="1" t="n">
        <v>45904</v>
      </c>
      <c r="D356" t="inlineStr">
        <is>
          <t>JÄMTLANDS LÄN</t>
        </is>
      </c>
      <c r="E356" t="inlineStr">
        <is>
          <t>HÄRJEDALEN</t>
        </is>
      </c>
      <c r="F356" t="inlineStr">
        <is>
          <t>Holmen skog AB</t>
        </is>
      </c>
      <c r="G356" t="n">
        <v>9.1</v>
      </c>
      <c r="H356" t="n">
        <v>0</v>
      </c>
      <c r="I356" t="n">
        <v>0</v>
      </c>
      <c r="J356" t="n">
        <v>0</v>
      </c>
      <c r="K356" t="n">
        <v>0</v>
      </c>
      <c r="L356" t="n">
        <v>0</v>
      </c>
      <c r="M356" t="n">
        <v>0</v>
      </c>
      <c r="N356" t="n">
        <v>0</v>
      </c>
      <c r="O356" t="n">
        <v>0</v>
      </c>
      <c r="P356" t="n">
        <v>0</v>
      </c>
      <c r="Q356" t="n">
        <v>0</v>
      </c>
      <c r="R356" s="2" t="inlineStr"/>
    </row>
    <row r="357" ht="15" customHeight="1">
      <c r="A357" t="inlineStr">
        <is>
          <t>A 4252-2025</t>
        </is>
      </c>
      <c r="B357" s="1" t="n">
        <v>45685</v>
      </c>
      <c r="C357" s="1" t="n">
        <v>45904</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7731-2021</t>
        </is>
      </c>
      <c r="B358" s="1" t="n">
        <v>44242</v>
      </c>
      <c r="C358" s="1" t="n">
        <v>45904</v>
      </c>
      <c r="D358" t="inlineStr">
        <is>
          <t>JÄMTLANDS LÄN</t>
        </is>
      </c>
      <c r="E358" t="inlineStr">
        <is>
          <t>HÄRJEDALEN</t>
        </is>
      </c>
      <c r="G358" t="n">
        <v>13.6</v>
      </c>
      <c r="H358" t="n">
        <v>0</v>
      </c>
      <c r="I358" t="n">
        <v>0</v>
      </c>
      <c r="J358" t="n">
        <v>0</v>
      </c>
      <c r="K358" t="n">
        <v>0</v>
      </c>
      <c r="L358" t="n">
        <v>0</v>
      </c>
      <c r="M358" t="n">
        <v>0</v>
      </c>
      <c r="N358" t="n">
        <v>0</v>
      </c>
      <c r="O358" t="n">
        <v>0</v>
      </c>
      <c r="P358" t="n">
        <v>0</v>
      </c>
      <c r="Q358" t="n">
        <v>0</v>
      </c>
      <c r="R358" s="2" t="inlineStr"/>
    </row>
    <row r="359" ht="15" customHeight="1">
      <c r="A359" t="inlineStr">
        <is>
          <t>A 13081-2022</t>
        </is>
      </c>
      <c r="B359" s="1" t="n">
        <v>44643.81518518519</v>
      </c>
      <c r="C359" s="1" t="n">
        <v>45904</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9980-2025</t>
        </is>
      </c>
      <c r="B360" s="1" t="n">
        <v>45719.40480324074</v>
      </c>
      <c r="C360" s="1" t="n">
        <v>45904</v>
      </c>
      <c r="D360" t="inlineStr">
        <is>
          <t>JÄMTLANDS LÄN</t>
        </is>
      </c>
      <c r="E360" t="inlineStr">
        <is>
          <t>HÄRJEDALEN</t>
        </is>
      </c>
      <c r="G360" t="n">
        <v>1.2</v>
      </c>
      <c r="H360" t="n">
        <v>0</v>
      </c>
      <c r="I360" t="n">
        <v>0</v>
      </c>
      <c r="J360" t="n">
        <v>0</v>
      </c>
      <c r="K360" t="n">
        <v>0</v>
      </c>
      <c r="L360" t="n">
        <v>0</v>
      </c>
      <c r="M360" t="n">
        <v>0</v>
      </c>
      <c r="N360" t="n">
        <v>0</v>
      </c>
      <c r="O360" t="n">
        <v>0</v>
      </c>
      <c r="P360" t="n">
        <v>0</v>
      </c>
      <c r="Q360" t="n">
        <v>0</v>
      </c>
      <c r="R360" s="2" t="inlineStr"/>
    </row>
    <row r="361" ht="15" customHeight="1">
      <c r="A361" t="inlineStr">
        <is>
          <t>A 38840-2024</t>
        </is>
      </c>
      <c r="B361" s="1" t="n">
        <v>45547.59543981482</v>
      </c>
      <c r="C361" s="1" t="n">
        <v>45904</v>
      </c>
      <c r="D361" t="inlineStr">
        <is>
          <t>JÄMTLANDS LÄN</t>
        </is>
      </c>
      <c r="E361" t="inlineStr">
        <is>
          <t>HÄRJEDALEN</t>
        </is>
      </c>
      <c r="G361" t="n">
        <v>4.1</v>
      </c>
      <c r="H361" t="n">
        <v>0</v>
      </c>
      <c r="I361" t="n">
        <v>0</v>
      </c>
      <c r="J361" t="n">
        <v>0</v>
      </c>
      <c r="K361" t="n">
        <v>0</v>
      </c>
      <c r="L361" t="n">
        <v>0</v>
      </c>
      <c r="M361" t="n">
        <v>0</v>
      </c>
      <c r="N361" t="n">
        <v>0</v>
      </c>
      <c r="O361" t="n">
        <v>0</v>
      </c>
      <c r="P361" t="n">
        <v>0</v>
      </c>
      <c r="Q361" t="n">
        <v>0</v>
      </c>
      <c r="R361" s="2" t="inlineStr"/>
    </row>
    <row r="362" ht="15" customHeight="1">
      <c r="A362" t="inlineStr">
        <is>
          <t>A 21201-2025</t>
        </is>
      </c>
      <c r="B362" s="1" t="n">
        <v>45779.47704861111</v>
      </c>
      <c r="C362" s="1" t="n">
        <v>45904</v>
      </c>
      <c r="D362" t="inlineStr">
        <is>
          <t>JÄMTLANDS LÄN</t>
        </is>
      </c>
      <c r="E362" t="inlineStr">
        <is>
          <t>HÄRJEDALEN</t>
        </is>
      </c>
      <c r="F362" t="inlineStr">
        <is>
          <t>Holmen skog AB</t>
        </is>
      </c>
      <c r="G362" t="n">
        <v>10.9</v>
      </c>
      <c r="H362" t="n">
        <v>0</v>
      </c>
      <c r="I362" t="n">
        <v>0</v>
      </c>
      <c r="J362" t="n">
        <v>0</v>
      </c>
      <c r="K362" t="n">
        <v>0</v>
      </c>
      <c r="L362" t="n">
        <v>0</v>
      </c>
      <c r="M362" t="n">
        <v>0</v>
      </c>
      <c r="N362" t="n">
        <v>0</v>
      </c>
      <c r="O362" t="n">
        <v>0</v>
      </c>
      <c r="P362" t="n">
        <v>0</v>
      </c>
      <c r="Q362" t="n">
        <v>0</v>
      </c>
      <c r="R362" s="2" t="inlineStr"/>
    </row>
    <row r="363" ht="15" customHeight="1">
      <c r="A363" t="inlineStr">
        <is>
          <t>A 21225-2025</t>
        </is>
      </c>
      <c r="B363" s="1" t="n">
        <v>45779.51357638889</v>
      </c>
      <c r="C363" s="1" t="n">
        <v>45904</v>
      </c>
      <c r="D363" t="inlineStr">
        <is>
          <t>JÄMTLANDS LÄN</t>
        </is>
      </c>
      <c r="E363" t="inlineStr">
        <is>
          <t>HÄRJEDALEN</t>
        </is>
      </c>
      <c r="F363" t="inlineStr">
        <is>
          <t>Holmen skog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21208-2025</t>
        </is>
      </c>
      <c r="B364" s="1" t="n">
        <v>45779.48611111111</v>
      </c>
      <c r="C364" s="1" t="n">
        <v>45904</v>
      </c>
      <c r="D364" t="inlineStr">
        <is>
          <t>JÄMTLANDS LÄN</t>
        </is>
      </c>
      <c r="E364" t="inlineStr">
        <is>
          <t>HÄRJEDALEN</t>
        </is>
      </c>
      <c r="F364" t="inlineStr">
        <is>
          <t>Holmen skog AB</t>
        </is>
      </c>
      <c r="G364" t="n">
        <v>8.5</v>
      </c>
      <c r="H364" t="n">
        <v>0</v>
      </c>
      <c r="I364" t="n">
        <v>0</v>
      </c>
      <c r="J364" t="n">
        <v>0</v>
      </c>
      <c r="K364" t="n">
        <v>0</v>
      </c>
      <c r="L364" t="n">
        <v>0</v>
      </c>
      <c r="M364" t="n">
        <v>0</v>
      </c>
      <c r="N364" t="n">
        <v>0</v>
      </c>
      <c r="O364" t="n">
        <v>0</v>
      </c>
      <c r="P364" t="n">
        <v>0</v>
      </c>
      <c r="Q364" t="n">
        <v>0</v>
      </c>
      <c r="R364" s="2" t="inlineStr"/>
    </row>
    <row r="365" ht="15" customHeight="1">
      <c r="A365" t="inlineStr">
        <is>
          <t>A 29347-2024</t>
        </is>
      </c>
      <c r="B365" s="1" t="n">
        <v>45483.47572916667</v>
      </c>
      <c r="C365" s="1" t="n">
        <v>45904</v>
      </c>
      <c r="D365" t="inlineStr">
        <is>
          <t>JÄMTLANDS LÄN</t>
        </is>
      </c>
      <c r="E365" t="inlineStr">
        <is>
          <t>HÄRJEDALEN</t>
        </is>
      </c>
      <c r="G365" t="n">
        <v>35.8</v>
      </c>
      <c r="H365" t="n">
        <v>0</v>
      </c>
      <c r="I365" t="n">
        <v>0</v>
      </c>
      <c r="J365" t="n">
        <v>0</v>
      </c>
      <c r="K365" t="n">
        <v>0</v>
      </c>
      <c r="L365" t="n">
        <v>0</v>
      </c>
      <c r="M365" t="n">
        <v>0</v>
      </c>
      <c r="N365" t="n">
        <v>0</v>
      </c>
      <c r="O365" t="n">
        <v>0</v>
      </c>
      <c r="P365" t="n">
        <v>0</v>
      </c>
      <c r="Q365" t="n">
        <v>0</v>
      </c>
      <c r="R365" s="2" t="inlineStr"/>
    </row>
    <row r="366" ht="15" customHeight="1">
      <c r="A366" t="inlineStr">
        <is>
          <t>A 1366-2024</t>
        </is>
      </c>
      <c r="B366" s="1" t="n">
        <v>45303.52626157407</v>
      </c>
      <c r="C366" s="1" t="n">
        <v>45904</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21797-2025</t>
        </is>
      </c>
      <c r="B367" s="1" t="n">
        <v>45783.68547453704</v>
      </c>
      <c r="C367" s="1" t="n">
        <v>45904</v>
      </c>
      <c r="D367" t="inlineStr">
        <is>
          <t>JÄMTLANDS LÄN</t>
        </is>
      </c>
      <c r="E367" t="inlineStr">
        <is>
          <t>HÄRJEDALEN</t>
        </is>
      </c>
      <c r="F367" t="inlineStr">
        <is>
          <t>Sveaskog</t>
        </is>
      </c>
      <c r="G367" t="n">
        <v>15.1</v>
      </c>
      <c r="H367" t="n">
        <v>0</v>
      </c>
      <c r="I367" t="n">
        <v>0</v>
      </c>
      <c r="J367" t="n">
        <v>0</v>
      </c>
      <c r="K367" t="n">
        <v>0</v>
      </c>
      <c r="L367" t="n">
        <v>0</v>
      </c>
      <c r="M367" t="n">
        <v>0</v>
      </c>
      <c r="N367" t="n">
        <v>0</v>
      </c>
      <c r="O367" t="n">
        <v>0</v>
      </c>
      <c r="P367" t="n">
        <v>0</v>
      </c>
      <c r="Q367" t="n">
        <v>0</v>
      </c>
      <c r="R367" s="2" t="inlineStr"/>
    </row>
    <row r="368" ht="15" customHeight="1">
      <c r="A368" t="inlineStr">
        <is>
          <t>A 31956-2023</t>
        </is>
      </c>
      <c r="B368" s="1" t="n">
        <v>45119.38151620371</v>
      </c>
      <c r="C368" s="1" t="n">
        <v>45904</v>
      </c>
      <c r="D368" t="inlineStr">
        <is>
          <t>JÄMTLANDS LÄN</t>
        </is>
      </c>
      <c r="E368" t="inlineStr">
        <is>
          <t>HÄRJEDALEN</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54684-2024</t>
        </is>
      </c>
      <c r="B369" s="1" t="n">
        <v>45618.35961805555</v>
      </c>
      <c r="C369" s="1" t="n">
        <v>45904</v>
      </c>
      <c r="D369" t="inlineStr">
        <is>
          <t>JÄMTLANDS LÄN</t>
        </is>
      </c>
      <c r="E369" t="inlineStr">
        <is>
          <t>HÄRJEDALEN</t>
        </is>
      </c>
      <c r="G369" t="n">
        <v>18.1</v>
      </c>
      <c r="H369" t="n">
        <v>0</v>
      </c>
      <c r="I369" t="n">
        <v>0</v>
      </c>
      <c r="J369" t="n">
        <v>0</v>
      </c>
      <c r="K369" t="n">
        <v>0</v>
      </c>
      <c r="L369" t="n">
        <v>0</v>
      </c>
      <c r="M369" t="n">
        <v>0</v>
      </c>
      <c r="N369" t="n">
        <v>0</v>
      </c>
      <c r="O369" t="n">
        <v>0</v>
      </c>
      <c r="P369" t="n">
        <v>0</v>
      </c>
      <c r="Q369" t="n">
        <v>0</v>
      </c>
      <c r="R369" s="2" t="inlineStr"/>
    </row>
    <row r="370" ht="15" customHeight="1">
      <c r="A370" t="inlineStr">
        <is>
          <t>A 21355-2025</t>
        </is>
      </c>
      <c r="B370" s="1" t="n">
        <v>45782.41581018519</v>
      </c>
      <c r="C370" s="1" t="n">
        <v>45904</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17705-2021</t>
        </is>
      </c>
      <c r="B371" s="1" t="n">
        <v>44300</v>
      </c>
      <c r="C371" s="1" t="n">
        <v>45904</v>
      </c>
      <c r="D371" t="inlineStr">
        <is>
          <t>JÄMTLANDS LÄN</t>
        </is>
      </c>
      <c r="E371" t="inlineStr">
        <is>
          <t>HÄRJEDALEN</t>
        </is>
      </c>
      <c r="G371" t="n">
        <v>5.2</v>
      </c>
      <c r="H371" t="n">
        <v>0</v>
      </c>
      <c r="I371" t="n">
        <v>0</v>
      </c>
      <c r="J371" t="n">
        <v>0</v>
      </c>
      <c r="K371" t="n">
        <v>0</v>
      </c>
      <c r="L371" t="n">
        <v>0</v>
      </c>
      <c r="M371" t="n">
        <v>0</v>
      </c>
      <c r="N371" t="n">
        <v>0</v>
      </c>
      <c r="O371" t="n">
        <v>0</v>
      </c>
      <c r="P371" t="n">
        <v>0</v>
      </c>
      <c r="Q371" t="n">
        <v>0</v>
      </c>
      <c r="R371" s="2" t="inlineStr"/>
    </row>
    <row r="372" ht="15" customHeight="1">
      <c r="A372" t="inlineStr">
        <is>
          <t>A 21358-2025</t>
        </is>
      </c>
      <c r="B372" s="1" t="n">
        <v>45782.42744212963</v>
      </c>
      <c r="C372" s="1" t="n">
        <v>45904</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21054-2023</t>
        </is>
      </c>
      <c r="B373" s="1" t="n">
        <v>45061.61002314815</v>
      </c>
      <c r="C373" s="1" t="n">
        <v>45904</v>
      </c>
      <c r="D373" t="inlineStr">
        <is>
          <t>JÄMTLANDS LÄN</t>
        </is>
      </c>
      <c r="E373" t="inlineStr">
        <is>
          <t>HÄRJEDALEN</t>
        </is>
      </c>
      <c r="F373" t="inlineStr">
        <is>
          <t>Sveaskog</t>
        </is>
      </c>
      <c r="G373" t="n">
        <v>0.3</v>
      </c>
      <c r="H373" t="n">
        <v>0</v>
      </c>
      <c r="I373" t="n">
        <v>0</v>
      </c>
      <c r="J373" t="n">
        <v>0</v>
      </c>
      <c r="K373" t="n">
        <v>0</v>
      </c>
      <c r="L373" t="n">
        <v>0</v>
      </c>
      <c r="M373" t="n">
        <v>0</v>
      </c>
      <c r="N373" t="n">
        <v>0</v>
      </c>
      <c r="O373" t="n">
        <v>0</v>
      </c>
      <c r="P373" t="n">
        <v>0</v>
      </c>
      <c r="Q373" t="n">
        <v>0</v>
      </c>
      <c r="R373" s="2" t="inlineStr"/>
    </row>
    <row r="374" ht="15" customHeight="1">
      <c r="A374" t="inlineStr">
        <is>
          <t>A 24425-2024</t>
        </is>
      </c>
      <c r="B374" s="1" t="n">
        <v>45457.92854166667</v>
      </c>
      <c r="C374" s="1" t="n">
        <v>45904</v>
      </c>
      <c r="D374" t="inlineStr">
        <is>
          <t>JÄMTLANDS LÄN</t>
        </is>
      </c>
      <c r="E374" t="inlineStr">
        <is>
          <t>HÄRJEDALEN</t>
        </is>
      </c>
      <c r="G374" t="n">
        <v>15.8</v>
      </c>
      <c r="H374" t="n">
        <v>0</v>
      </c>
      <c r="I374" t="n">
        <v>0</v>
      </c>
      <c r="J374" t="n">
        <v>0</v>
      </c>
      <c r="K374" t="n">
        <v>0</v>
      </c>
      <c r="L374" t="n">
        <v>0</v>
      </c>
      <c r="M374" t="n">
        <v>0</v>
      </c>
      <c r="N374" t="n">
        <v>0</v>
      </c>
      <c r="O374" t="n">
        <v>0</v>
      </c>
      <c r="P374" t="n">
        <v>0</v>
      </c>
      <c r="Q374" t="n">
        <v>0</v>
      </c>
      <c r="R374" s="2" t="inlineStr"/>
    </row>
    <row r="375" ht="15" customHeight="1">
      <c r="A375" t="inlineStr">
        <is>
          <t>A 13543-2024</t>
        </is>
      </c>
      <c r="B375" s="1" t="n">
        <v>45387</v>
      </c>
      <c r="C375" s="1" t="n">
        <v>45904</v>
      </c>
      <c r="D375" t="inlineStr">
        <is>
          <t>JÄMTLANDS LÄN</t>
        </is>
      </c>
      <c r="E375" t="inlineStr">
        <is>
          <t>HÄRJEDALEN</t>
        </is>
      </c>
      <c r="G375" t="n">
        <v>1.3</v>
      </c>
      <c r="H375" t="n">
        <v>0</v>
      </c>
      <c r="I375" t="n">
        <v>0</v>
      </c>
      <c r="J375" t="n">
        <v>0</v>
      </c>
      <c r="K375" t="n">
        <v>0</v>
      </c>
      <c r="L375" t="n">
        <v>0</v>
      </c>
      <c r="M375" t="n">
        <v>0</v>
      </c>
      <c r="N375" t="n">
        <v>0</v>
      </c>
      <c r="O375" t="n">
        <v>0</v>
      </c>
      <c r="P375" t="n">
        <v>0</v>
      </c>
      <c r="Q375" t="n">
        <v>0</v>
      </c>
      <c r="R375" s="2" t="inlineStr"/>
    </row>
    <row r="376" ht="15" customHeight="1">
      <c r="A376" t="inlineStr">
        <is>
          <t>A 7433-2024</t>
        </is>
      </c>
      <c r="B376" s="1" t="n">
        <v>45345.66555555556</v>
      </c>
      <c r="C376" s="1" t="n">
        <v>45904</v>
      </c>
      <c r="D376" t="inlineStr">
        <is>
          <t>JÄMTLANDS LÄN</t>
        </is>
      </c>
      <c r="E376" t="inlineStr">
        <is>
          <t>HÄRJEDALEN</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576-2025</t>
        </is>
      </c>
      <c r="B377" s="1" t="n">
        <v>45664.56502314815</v>
      </c>
      <c r="C377" s="1" t="n">
        <v>45904</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45120-2024</t>
        </is>
      </c>
      <c r="B378" s="1" t="n">
        <v>45575.60996527778</v>
      </c>
      <c r="C378" s="1" t="n">
        <v>45904</v>
      </c>
      <c r="D378" t="inlineStr">
        <is>
          <t>JÄMTLANDS LÄN</t>
        </is>
      </c>
      <c r="E378" t="inlineStr">
        <is>
          <t>HÄRJEDALEN</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60611-2023</t>
        </is>
      </c>
      <c r="B379" s="1" t="n">
        <v>45260.35777777778</v>
      </c>
      <c r="C379" s="1" t="n">
        <v>45904</v>
      </c>
      <c r="D379" t="inlineStr">
        <is>
          <t>JÄMTLANDS LÄN</t>
        </is>
      </c>
      <c r="E379" t="inlineStr">
        <is>
          <t>HÄRJEDALEN</t>
        </is>
      </c>
      <c r="G379" t="n">
        <v>7.2</v>
      </c>
      <c r="H379" t="n">
        <v>0</v>
      </c>
      <c r="I379" t="n">
        <v>0</v>
      </c>
      <c r="J379" t="n">
        <v>0</v>
      </c>
      <c r="K379" t="n">
        <v>0</v>
      </c>
      <c r="L379" t="n">
        <v>0</v>
      </c>
      <c r="M379" t="n">
        <v>0</v>
      </c>
      <c r="N379" t="n">
        <v>0</v>
      </c>
      <c r="O379" t="n">
        <v>0</v>
      </c>
      <c r="P379" t="n">
        <v>0</v>
      </c>
      <c r="Q379" t="n">
        <v>0</v>
      </c>
      <c r="R379" s="2" t="inlineStr"/>
    </row>
    <row r="380" ht="15" customHeight="1">
      <c r="A380" t="inlineStr">
        <is>
          <t>A 22040-2025</t>
        </is>
      </c>
      <c r="B380" s="1" t="n">
        <v>45785.33164351852</v>
      </c>
      <c r="C380" s="1" t="n">
        <v>45904</v>
      </c>
      <c r="D380" t="inlineStr">
        <is>
          <t>JÄMTLANDS LÄN</t>
        </is>
      </c>
      <c r="E380" t="inlineStr">
        <is>
          <t>HÄRJEDALEN</t>
        </is>
      </c>
      <c r="G380" t="n">
        <v>6</v>
      </c>
      <c r="H380" t="n">
        <v>0</v>
      </c>
      <c r="I380" t="n">
        <v>0</v>
      </c>
      <c r="J380" t="n">
        <v>0</v>
      </c>
      <c r="K380" t="n">
        <v>0</v>
      </c>
      <c r="L380" t="n">
        <v>0</v>
      </c>
      <c r="M380" t="n">
        <v>0</v>
      </c>
      <c r="N380" t="n">
        <v>0</v>
      </c>
      <c r="O380" t="n">
        <v>0</v>
      </c>
      <c r="P380" t="n">
        <v>0</v>
      </c>
      <c r="Q380" t="n">
        <v>0</v>
      </c>
      <c r="R380" s="2" t="inlineStr"/>
    </row>
    <row r="381" ht="15" customHeight="1">
      <c r="A381" t="inlineStr">
        <is>
          <t>A 10014-2023</t>
        </is>
      </c>
      <c r="B381" s="1" t="n">
        <v>44985.61403935185</v>
      </c>
      <c r="C381" s="1" t="n">
        <v>45904</v>
      </c>
      <c r="D381" t="inlineStr">
        <is>
          <t>JÄMTLANDS LÄN</t>
        </is>
      </c>
      <c r="E381" t="inlineStr">
        <is>
          <t>HÄRJEDALEN</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59293-2024</t>
        </is>
      </c>
      <c r="B382" s="1" t="n">
        <v>45637</v>
      </c>
      <c r="C382" s="1" t="n">
        <v>45904</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22045-2025</t>
        </is>
      </c>
      <c r="B383" s="1" t="n">
        <v>45785.34165509259</v>
      </c>
      <c r="C383" s="1" t="n">
        <v>45904</v>
      </c>
      <c r="D383" t="inlineStr">
        <is>
          <t>JÄMTLANDS LÄN</t>
        </is>
      </c>
      <c r="E383" t="inlineStr">
        <is>
          <t>HÄRJEDALEN</t>
        </is>
      </c>
      <c r="G383" t="n">
        <v>4.8</v>
      </c>
      <c r="H383" t="n">
        <v>0</v>
      </c>
      <c r="I383" t="n">
        <v>0</v>
      </c>
      <c r="J383" t="n">
        <v>0</v>
      </c>
      <c r="K383" t="n">
        <v>0</v>
      </c>
      <c r="L383" t="n">
        <v>0</v>
      </c>
      <c r="M383" t="n">
        <v>0</v>
      </c>
      <c r="N383" t="n">
        <v>0</v>
      </c>
      <c r="O383" t="n">
        <v>0</v>
      </c>
      <c r="P383" t="n">
        <v>0</v>
      </c>
      <c r="Q383" t="n">
        <v>0</v>
      </c>
      <c r="R383" s="2" t="inlineStr"/>
    </row>
    <row r="384" ht="15" customHeight="1">
      <c r="A384" t="inlineStr">
        <is>
          <t>A 10483-2025</t>
        </is>
      </c>
      <c r="B384" s="1" t="n">
        <v>45721.33868055556</v>
      </c>
      <c r="C384" s="1" t="n">
        <v>45904</v>
      </c>
      <c r="D384" t="inlineStr">
        <is>
          <t>JÄMTLANDS LÄN</t>
        </is>
      </c>
      <c r="E384" t="inlineStr">
        <is>
          <t>HÄRJEDALEN</t>
        </is>
      </c>
      <c r="G384" t="n">
        <v>5.2</v>
      </c>
      <c r="H384" t="n">
        <v>0</v>
      </c>
      <c r="I384" t="n">
        <v>0</v>
      </c>
      <c r="J384" t="n">
        <v>0</v>
      </c>
      <c r="K384" t="n">
        <v>0</v>
      </c>
      <c r="L384" t="n">
        <v>0</v>
      </c>
      <c r="M384" t="n">
        <v>0</v>
      </c>
      <c r="N384" t="n">
        <v>0</v>
      </c>
      <c r="O384" t="n">
        <v>0</v>
      </c>
      <c r="P384" t="n">
        <v>0</v>
      </c>
      <c r="Q384" t="n">
        <v>0</v>
      </c>
      <c r="R384" s="2" t="inlineStr"/>
    </row>
    <row r="385" ht="15" customHeight="1">
      <c r="A385" t="inlineStr">
        <is>
          <t>A 4898-2025</t>
        </is>
      </c>
      <c r="B385" s="1" t="n">
        <v>45688.67932870371</v>
      </c>
      <c r="C385" s="1" t="n">
        <v>45904</v>
      </c>
      <c r="D385" t="inlineStr">
        <is>
          <t>JÄMTLANDS LÄN</t>
        </is>
      </c>
      <c r="E385" t="inlineStr">
        <is>
          <t>HÄRJEDALEN</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21944-2025</t>
        </is>
      </c>
      <c r="B386" s="1" t="n">
        <v>45784.59012731481</v>
      </c>
      <c r="C386" s="1" t="n">
        <v>45904</v>
      </c>
      <c r="D386" t="inlineStr">
        <is>
          <t>JÄMTLANDS LÄN</t>
        </is>
      </c>
      <c r="E386" t="inlineStr">
        <is>
          <t>HÄRJEDALEN</t>
        </is>
      </c>
      <c r="F386" t="inlineStr">
        <is>
          <t>Holmen skog AB</t>
        </is>
      </c>
      <c r="G386" t="n">
        <v>22.9</v>
      </c>
      <c r="H386" t="n">
        <v>0</v>
      </c>
      <c r="I386" t="n">
        <v>0</v>
      </c>
      <c r="J386" t="n">
        <v>0</v>
      </c>
      <c r="K386" t="n">
        <v>0</v>
      </c>
      <c r="L386" t="n">
        <v>0</v>
      </c>
      <c r="M386" t="n">
        <v>0</v>
      </c>
      <c r="N386" t="n">
        <v>0</v>
      </c>
      <c r="O386" t="n">
        <v>0</v>
      </c>
      <c r="P386" t="n">
        <v>0</v>
      </c>
      <c r="Q386" t="n">
        <v>0</v>
      </c>
      <c r="R386" s="2" t="inlineStr"/>
    </row>
    <row r="387" ht="15" customHeight="1">
      <c r="A387" t="inlineStr">
        <is>
          <t>A 1459-2025</t>
        </is>
      </c>
      <c r="B387" s="1" t="n">
        <v>45670.34313657408</v>
      </c>
      <c r="C387" s="1" t="n">
        <v>45904</v>
      </c>
      <c r="D387" t="inlineStr">
        <is>
          <t>JÄMTLANDS LÄN</t>
        </is>
      </c>
      <c r="E387" t="inlineStr">
        <is>
          <t>HÄRJEDALEN</t>
        </is>
      </c>
      <c r="G387" t="n">
        <v>1.6</v>
      </c>
      <c r="H387" t="n">
        <v>0</v>
      </c>
      <c r="I387" t="n">
        <v>0</v>
      </c>
      <c r="J387" t="n">
        <v>0</v>
      </c>
      <c r="K387" t="n">
        <v>0</v>
      </c>
      <c r="L387" t="n">
        <v>0</v>
      </c>
      <c r="M387" t="n">
        <v>0</v>
      </c>
      <c r="N387" t="n">
        <v>0</v>
      </c>
      <c r="O387" t="n">
        <v>0</v>
      </c>
      <c r="P387" t="n">
        <v>0</v>
      </c>
      <c r="Q387" t="n">
        <v>0</v>
      </c>
      <c r="R387" s="2" t="inlineStr"/>
    </row>
    <row r="388" ht="15" customHeight="1">
      <c r="A388" t="inlineStr">
        <is>
          <t>A 58341-2024</t>
        </is>
      </c>
      <c r="B388" s="1" t="n">
        <v>45632.64078703704</v>
      </c>
      <c r="C388" s="1" t="n">
        <v>45904</v>
      </c>
      <c r="D388" t="inlineStr">
        <is>
          <t>JÄMTLANDS LÄN</t>
        </is>
      </c>
      <c r="E388" t="inlineStr">
        <is>
          <t>HÄRJEDALEN</t>
        </is>
      </c>
      <c r="G388" t="n">
        <v>7.9</v>
      </c>
      <c r="H388" t="n">
        <v>0</v>
      </c>
      <c r="I388" t="n">
        <v>0</v>
      </c>
      <c r="J388" t="n">
        <v>0</v>
      </c>
      <c r="K388" t="n">
        <v>0</v>
      </c>
      <c r="L388" t="n">
        <v>0</v>
      </c>
      <c r="M388" t="n">
        <v>0</v>
      </c>
      <c r="N388" t="n">
        <v>0</v>
      </c>
      <c r="O388" t="n">
        <v>0</v>
      </c>
      <c r="P388" t="n">
        <v>0</v>
      </c>
      <c r="Q388" t="n">
        <v>0</v>
      </c>
      <c r="R388" s="2" t="inlineStr"/>
    </row>
    <row r="389" ht="15" customHeight="1">
      <c r="A389" t="inlineStr">
        <is>
          <t>A 27245-2024</t>
        </is>
      </c>
      <c r="B389" s="1" t="n">
        <v>45471.66556712963</v>
      </c>
      <c r="C389" s="1" t="n">
        <v>45904</v>
      </c>
      <c r="D389" t="inlineStr">
        <is>
          <t>JÄMTLANDS LÄN</t>
        </is>
      </c>
      <c r="E389" t="inlineStr">
        <is>
          <t>HÄRJEDALEN</t>
        </is>
      </c>
      <c r="F389" t="inlineStr">
        <is>
          <t>Bergvik skog väst AB</t>
        </is>
      </c>
      <c r="G389" t="n">
        <v>31.2</v>
      </c>
      <c r="H389" t="n">
        <v>0</v>
      </c>
      <c r="I389" t="n">
        <v>0</v>
      </c>
      <c r="J389" t="n">
        <v>0</v>
      </c>
      <c r="K389" t="n">
        <v>0</v>
      </c>
      <c r="L389" t="n">
        <v>0</v>
      </c>
      <c r="M389" t="n">
        <v>0</v>
      </c>
      <c r="N389" t="n">
        <v>0</v>
      </c>
      <c r="O389" t="n">
        <v>0</v>
      </c>
      <c r="P389" t="n">
        <v>0</v>
      </c>
      <c r="Q389" t="n">
        <v>0</v>
      </c>
      <c r="R389" s="2" t="inlineStr"/>
    </row>
    <row r="390" ht="15" customHeight="1">
      <c r="A390" t="inlineStr">
        <is>
          <t>A 60054-2024</t>
        </is>
      </c>
      <c r="B390" s="1" t="n">
        <v>45642</v>
      </c>
      <c r="C390" s="1" t="n">
        <v>45904</v>
      </c>
      <c r="D390" t="inlineStr">
        <is>
          <t>JÄMTLANDS LÄN</t>
        </is>
      </c>
      <c r="E390" t="inlineStr">
        <is>
          <t>HÄRJEDALEN</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19955-2021</t>
        </is>
      </c>
      <c r="B391" s="1" t="n">
        <v>44312</v>
      </c>
      <c r="C391" s="1" t="n">
        <v>45904</v>
      </c>
      <c r="D391" t="inlineStr">
        <is>
          <t>JÄMTLANDS LÄN</t>
        </is>
      </c>
      <c r="E391" t="inlineStr">
        <is>
          <t>HÄRJEDALEN</t>
        </is>
      </c>
      <c r="G391" t="n">
        <v>4.6</v>
      </c>
      <c r="H391" t="n">
        <v>0</v>
      </c>
      <c r="I391" t="n">
        <v>0</v>
      </c>
      <c r="J391" t="n">
        <v>0</v>
      </c>
      <c r="K391" t="n">
        <v>0</v>
      </c>
      <c r="L391" t="n">
        <v>0</v>
      </c>
      <c r="M391" t="n">
        <v>0</v>
      </c>
      <c r="N391" t="n">
        <v>0</v>
      </c>
      <c r="O391" t="n">
        <v>0</v>
      </c>
      <c r="P391" t="n">
        <v>0</v>
      </c>
      <c r="Q391" t="n">
        <v>0</v>
      </c>
      <c r="R391" s="2" t="inlineStr"/>
    </row>
    <row r="392" ht="15" customHeight="1">
      <c r="A392" t="inlineStr">
        <is>
          <t>A 23467-2024</t>
        </is>
      </c>
      <c r="B392" s="1" t="n">
        <v>45453.6619212963</v>
      </c>
      <c r="C392" s="1" t="n">
        <v>45904</v>
      </c>
      <c r="D392" t="inlineStr">
        <is>
          <t>JÄMTLANDS LÄN</t>
        </is>
      </c>
      <c r="E392" t="inlineStr">
        <is>
          <t>HÄRJEDALEN</t>
        </is>
      </c>
      <c r="G392" t="n">
        <v>8</v>
      </c>
      <c r="H392" t="n">
        <v>0</v>
      </c>
      <c r="I392" t="n">
        <v>0</v>
      </c>
      <c r="J392" t="n">
        <v>0</v>
      </c>
      <c r="K392" t="n">
        <v>0</v>
      </c>
      <c r="L392" t="n">
        <v>0</v>
      </c>
      <c r="M392" t="n">
        <v>0</v>
      </c>
      <c r="N392" t="n">
        <v>0</v>
      </c>
      <c r="O392" t="n">
        <v>0</v>
      </c>
      <c r="P392" t="n">
        <v>0</v>
      </c>
      <c r="Q392" t="n">
        <v>0</v>
      </c>
      <c r="R392" s="2" t="inlineStr"/>
    </row>
    <row r="393" ht="15" customHeight="1">
      <c r="A393" t="inlineStr">
        <is>
          <t>A 29-2023</t>
        </is>
      </c>
      <c r="B393" s="1" t="n">
        <v>44928</v>
      </c>
      <c r="C393" s="1" t="n">
        <v>45904</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103-2023</t>
        </is>
      </c>
      <c r="B394" s="1" t="n">
        <v>44928</v>
      </c>
      <c r="C394" s="1" t="n">
        <v>45904</v>
      </c>
      <c r="D394" t="inlineStr">
        <is>
          <t>JÄMTLANDS LÄN</t>
        </is>
      </c>
      <c r="E394" t="inlineStr">
        <is>
          <t>HÄRJEDALEN</t>
        </is>
      </c>
      <c r="F394" t="inlineStr">
        <is>
          <t>Holmen skog AB</t>
        </is>
      </c>
      <c r="G394" t="n">
        <v>6.9</v>
      </c>
      <c r="H394" t="n">
        <v>0</v>
      </c>
      <c r="I394" t="n">
        <v>0</v>
      </c>
      <c r="J394" t="n">
        <v>0</v>
      </c>
      <c r="K394" t="n">
        <v>0</v>
      </c>
      <c r="L394" t="n">
        <v>0</v>
      </c>
      <c r="M394" t="n">
        <v>0</v>
      </c>
      <c r="N394" t="n">
        <v>0</v>
      </c>
      <c r="O394" t="n">
        <v>0</v>
      </c>
      <c r="P394" t="n">
        <v>0</v>
      </c>
      <c r="Q394" t="n">
        <v>0</v>
      </c>
      <c r="R394" s="2" t="inlineStr"/>
    </row>
    <row r="395" ht="15" customHeight="1">
      <c r="A395" t="inlineStr">
        <is>
          <t>A 43760-2024</t>
        </is>
      </c>
      <c r="B395" s="1" t="n">
        <v>45569.6909837963</v>
      </c>
      <c r="C395" s="1" t="n">
        <v>45904</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65248-2023</t>
        </is>
      </c>
      <c r="B396" s="1" t="n">
        <v>45290.39024305555</v>
      </c>
      <c r="C396" s="1" t="n">
        <v>45904</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51769-2024</t>
        </is>
      </c>
      <c r="B397" s="1" t="n">
        <v>45607.44832175926</v>
      </c>
      <c r="C397" s="1" t="n">
        <v>45904</v>
      </c>
      <c r="D397" t="inlineStr">
        <is>
          <t>JÄMTLANDS LÄN</t>
        </is>
      </c>
      <c r="E397" t="inlineStr">
        <is>
          <t>HÄRJEDALEN</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46058-2024</t>
        </is>
      </c>
      <c r="B398" s="1" t="n">
        <v>45580.92037037037</v>
      </c>
      <c r="C398" s="1" t="n">
        <v>45904</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41766-2022</t>
        </is>
      </c>
      <c r="B399" s="1" t="n">
        <v>44827</v>
      </c>
      <c r="C399" s="1" t="n">
        <v>45904</v>
      </c>
      <c r="D399" t="inlineStr">
        <is>
          <t>JÄMTLANDS LÄN</t>
        </is>
      </c>
      <c r="E399" t="inlineStr">
        <is>
          <t>HÄRJEDALEN</t>
        </is>
      </c>
      <c r="G399" t="n">
        <v>12.5</v>
      </c>
      <c r="H399" t="n">
        <v>0</v>
      </c>
      <c r="I399" t="n">
        <v>0</v>
      </c>
      <c r="J399" t="n">
        <v>0</v>
      </c>
      <c r="K399" t="n">
        <v>0</v>
      </c>
      <c r="L399" t="n">
        <v>0</v>
      </c>
      <c r="M399" t="n">
        <v>0</v>
      </c>
      <c r="N399" t="n">
        <v>0</v>
      </c>
      <c r="O399" t="n">
        <v>0</v>
      </c>
      <c r="P399" t="n">
        <v>0</v>
      </c>
      <c r="Q399" t="n">
        <v>0</v>
      </c>
      <c r="R399" s="2" t="inlineStr"/>
    </row>
    <row r="400" ht="15" customHeight="1">
      <c r="A400" t="inlineStr">
        <is>
          <t>A 19105-2025</t>
        </is>
      </c>
      <c r="B400" s="1" t="n">
        <v>45768.30814814815</v>
      </c>
      <c r="C400" s="1" t="n">
        <v>45904</v>
      </c>
      <c r="D400" t="inlineStr">
        <is>
          <t>JÄMTLANDS LÄN</t>
        </is>
      </c>
      <c r="E400" t="inlineStr">
        <is>
          <t>HÄRJEDALEN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41771-2022</t>
        </is>
      </c>
      <c r="B401" s="1" t="n">
        <v>44827</v>
      </c>
      <c r="C401" s="1" t="n">
        <v>45904</v>
      </c>
      <c r="D401" t="inlineStr">
        <is>
          <t>JÄMTLANDS LÄN</t>
        </is>
      </c>
      <c r="E401" t="inlineStr">
        <is>
          <t>HÄRJEDALEN</t>
        </is>
      </c>
      <c r="G401" t="n">
        <v>1.4</v>
      </c>
      <c r="H401" t="n">
        <v>0</v>
      </c>
      <c r="I401" t="n">
        <v>0</v>
      </c>
      <c r="J401" t="n">
        <v>0</v>
      </c>
      <c r="K401" t="n">
        <v>0</v>
      </c>
      <c r="L401" t="n">
        <v>0</v>
      </c>
      <c r="M401" t="n">
        <v>0</v>
      </c>
      <c r="N401" t="n">
        <v>0</v>
      </c>
      <c r="O401" t="n">
        <v>0</v>
      </c>
      <c r="P401" t="n">
        <v>0</v>
      </c>
      <c r="Q401" t="n">
        <v>0</v>
      </c>
      <c r="R401" s="2" t="inlineStr"/>
    </row>
    <row r="402" ht="15" customHeight="1">
      <c r="A402" t="inlineStr">
        <is>
          <t>A 58507-2024</t>
        </is>
      </c>
      <c r="B402" s="1" t="n">
        <v>45635.42027777778</v>
      </c>
      <c r="C402" s="1" t="n">
        <v>45904</v>
      </c>
      <c r="D402" t="inlineStr">
        <is>
          <t>JÄMTLANDS LÄN</t>
        </is>
      </c>
      <c r="E402" t="inlineStr">
        <is>
          <t>HÄRJEDALEN</t>
        </is>
      </c>
      <c r="F402" t="inlineStr">
        <is>
          <t>Holmen skog AB</t>
        </is>
      </c>
      <c r="G402" t="n">
        <v>0.5</v>
      </c>
      <c r="H402" t="n">
        <v>0</v>
      </c>
      <c r="I402" t="n">
        <v>0</v>
      </c>
      <c r="J402" t="n">
        <v>0</v>
      </c>
      <c r="K402" t="n">
        <v>0</v>
      </c>
      <c r="L402" t="n">
        <v>0</v>
      </c>
      <c r="M402" t="n">
        <v>0</v>
      </c>
      <c r="N402" t="n">
        <v>0</v>
      </c>
      <c r="O402" t="n">
        <v>0</v>
      </c>
      <c r="P402" t="n">
        <v>0</v>
      </c>
      <c r="Q402" t="n">
        <v>0</v>
      </c>
      <c r="R402" s="2" t="inlineStr"/>
    </row>
    <row r="403" ht="15" customHeight="1">
      <c r="A403" t="inlineStr">
        <is>
          <t>A 58581-2024</t>
        </is>
      </c>
      <c r="B403" s="1" t="n">
        <v>45635.4916087963</v>
      </c>
      <c r="C403" s="1" t="n">
        <v>45904</v>
      </c>
      <c r="D403" t="inlineStr">
        <is>
          <t>JÄMTLANDS LÄN</t>
        </is>
      </c>
      <c r="E403" t="inlineStr">
        <is>
          <t>HÄRJEDALEN</t>
        </is>
      </c>
      <c r="G403" t="n">
        <v>1.5</v>
      </c>
      <c r="H403" t="n">
        <v>0</v>
      </c>
      <c r="I403" t="n">
        <v>0</v>
      </c>
      <c r="J403" t="n">
        <v>0</v>
      </c>
      <c r="K403" t="n">
        <v>0</v>
      </c>
      <c r="L403" t="n">
        <v>0</v>
      </c>
      <c r="M403" t="n">
        <v>0</v>
      </c>
      <c r="N403" t="n">
        <v>0</v>
      </c>
      <c r="O403" t="n">
        <v>0</v>
      </c>
      <c r="P403" t="n">
        <v>0</v>
      </c>
      <c r="Q403" t="n">
        <v>0</v>
      </c>
      <c r="R403" s="2" t="inlineStr"/>
    </row>
    <row r="404" ht="15" customHeight="1">
      <c r="A404" t="inlineStr">
        <is>
          <t>A 8178-2024</t>
        </is>
      </c>
      <c r="B404" s="1" t="n">
        <v>45350</v>
      </c>
      <c r="C404" s="1" t="n">
        <v>45904</v>
      </c>
      <c r="D404" t="inlineStr">
        <is>
          <t>JÄMTLANDS LÄN</t>
        </is>
      </c>
      <c r="E404" t="inlineStr">
        <is>
          <t>HÄRJEDALEN</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8215-2024</t>
        </is>
      </c>
      <c r="B405" s="1" t="n">
        <v>45351</v>
      </c>
      <c r="C405" s="1" t="n">
        <v>45904</v>
      </c>
      <c r="D405" t="inlineStr">
        <is>
          <t>JÄMTLANDS LÄN</t>
        </is>
      </c>
      <c r="E405" t="inlineStr">
        <is>
          <t>HÄRJEDALEN</t>
        </is>
      </c>
      <c r="G405" t="n">
        <v>49.2</v>
      </c>
      <c r="H405" t="n">
        <v>0</v>
      </c>
      <c r="I405" t="n">
        <v>0</v>
      </c>
      <c r="J405" t="n">
        <v>0</v>
      </c>
      <c r="K405" t="n">
        <v>0</v>
      </c>
      <c r="L405" t="n">
        <v>0</v>
      </c>
      <c r="M405" t="n">
        <v>0</v>
      </c>
      <c r="N405" t="n">
        <v>0</v>
      </c>
      <c r="O405" t="n">
        <v>0</v>
      </c>
      <c r="P405" t="n">
        <v>0</v>
      </c>
      <c r="Q405" t="n">
        <v>0</v>
      </c>
      <c r="R405" s="2" t="inlineStr"/>
    </row>
    <row r="406" ht="15" customHeight="1">
      <c r="A406" t="inlineStr">
        <is>
          <t>A 22505-2025</t>
        </is>
      </c>
      <c r="B406" s="1" t="n">
        <v>45786.66425925926</v>
      </c>
      <c r="C406" s="1" t="n">
        <v>45904</v>
      </c>
      <c r="D406" t="inlineStr">
        <is>
          <t>JÄMTLANDS LÄN</t>
        </is>
      </c>
      <c r="E406" t="inlineStr">
        <is>
          <t>HÄRJEDALEN</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12279-2025</t>
        </is>
      </c>
      <c r="B407" s="1" t="n">
        <v>45729.65261574074</v>
      </c>
      <c r="C407" s="1" t="n">
        <v>45904</v>
      </c>
      <c r="D407" t="inlineStr">
        <is>
          <t>JÄMTLANDS LÄN</t>
        </is>
      </c>
      <c r="E407" t="inlineStr">
        <is>
          <t>HÄRJEDALEN</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43623-2024</t>
        </is>
      </c>
      <c r="B408" s="1" t="n">
        <v>45569.48626157407</v>
      </c>
      <c r="C408" s="1" t="n">
        <v>45904</v>
      </c>
      <c r="D408" t="inlineStr">
        <is>
          <t>JÄMTLANDS LÄN</t>
        </is>
      </c>
      <c r="E408" t="inlineStr">
        <is>
          <t>HÄRJEDALEN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60887-2022</t>
        </is>
      </c>
      <c r="B409" s="1" t="n">
        <v>44914</v>
      </c>
      <c r="C409" s="1" t="n">
        <v>45904</v>
      </c>
      <c r="D409" t="inlineStr">
        <is>
          <t>JÄMTLANDS LÄN</t>
        </is>
      </c>
      <c r="E409" t="inlineStr">
        <is>
          <t>HÄRJEDALEN</t>
        </is>
      </c>
      <c r="G409" t="n">
        <v>0.9</v>
      </c>
      <c r="H409" t="n">
        <v>0</v>
      </c>
      <c r="I409" t="n">
        <v>0</v>
      </c>
      <c r="J409" t="n">
        <v>0</v>
      </c>
      <c r="K409" t="n">
        <v>0</v>
      </c>
      <c r="L409" t="n">
        <v>0</v>
      </c>
      <c r="M409" t="n">
        <v>0</v>
      </c>
      <c r="N409" t="n">
        <v>0</v>
      </c>
      <c r="O409" t="n">
        <v>0</v>
      </c>
      <c r="P409" t="n">
        <v>0</v>
      </c>
      <c r="Q409" t="n">
        <v>0</v>
      </c>
      <c r="R409" s="2" t="inlineStr"/>
    </row>
    <row r="410" ht="15" customHeight="1">
      <c r="A410" t="inlineStr">
        <is>
          <t>A 8420-2023</t>
        </is>
      </c>
      <c r="B410" s="1" t="n">
        <v>44977.44643518519</v>
      </c>
      <c r="C410" s="1" t="n">
        <v>45904</v>
      </c>
      <c r="D410" t="inlineStr">
        <is>
          <t>JÄMTLANDS LÄN</t>
        </is>
      </c>
      <c r="E410" t="inlineStr">
        <is>
          <t>HÄRJEDALEN</t>
        </is>
      </c>
      <c r="F410" t="inlineStr">
        <is>
          <t>Holmen skog AB</t>
        </is>
      </c>
      <c r="G410" t="n">
        <v>0.6</v>
      </c>
      <c r="H410" t="n">
        <v>0</v>
      </c>
      <c r="I410" t="n">
        <v>0</v>
      </c>
      <c r="J410" t="n">
        <v>0</v>
      </c>
      <c r="K410" t="n">
        <v>0</v>
      </c>
      <c r="L410" t="n">
        <v>0</v>
      </c>
      <c r="M410" t="n">
        <v>0</v>
      </c>
      <c r="N410" t="n">
        <v>0</v>
      </c>
      <c r="O410" t="n">
        <v>0</v>
      </c>
      <c r="P410" t="n">
        <v>0</v>
      </c>
      <c r="Q410" t="n">
        <v>0</v>
      </c>
      <c r="R410" s="2" t="inlineStr"/>
    </row>
    <row r="411" ht="15" customHeight="1">
      <c r="A411" t="inlineStr">
        <is>
          <t>A 21699-2021</t>
        </is>
      </c>
      <c r="B411" s="1" t="n">
        <v>44316</v>
      </c>
      <c r="C411" s="1" t="n">
        <v>45904</v>
      </c>
      <c r="D411" t="inlineStr">
        <is>
          <t>JÄMTLANDS LÄN</t>
        </is>
      </c>
      <c r="E411" t="inlineStr">
        <is>
          <t>HÄRJEDALEN</t>
        </is>
      </c>
      <c r="G411" t="n">
        <v>6.8</v>
      </c>
      <c r="H411" t="n">
        <v>0</v>
      </c>
      <c r="I411" t="n">
        <v>0</v>
      </c>
      <c r="J411" t="n">
        <v>0</v>
      </c>
      <c r="K411" t="n">
        <v>0</v>
      </c>
      <c r="L411" t="n">
        <v>0</v>
      </c>
      <c r="M411" t="n">
        <v>0</v>
      </c>
      <c r="N411" t="n">
        <v>0</v>
      </c>
      <c r="O411" t="n">
        <v>0</v>
      </c>
      <c r="P411" t="n">
        <v>0</v>
      </c>
      <c r="Q411" t="n">
        <v>0</v>
      </c>
      <c r="R411" s="2" t="inlineStr"/>
    </row>
    <row r="412" ht="15" customHeight="1">
      <c r="A412" t="inlineStr">
        <is>
          <t>A 16801-2024</t>
        </is>
      </c>
      <c r="B412" s="1" t="n">
        <v>45411.44549768518</v>
      </c>
      <c r="C412" s="1" t="n">
        <v>45904</v>
      </c>
      <c r="D412" t="inlineStr">
        <is>
          <t>JÄMTLANDS LÄN</t>
        </is>
      </c>
      <c r="E412" t="inlineStr">
        <is>
          <t>HÄRJEDALEN</t>
        </is>
      </c>
      <c r="F412" t="inlineStr">
        <is>
          <t>Bergvik skog väst AB</t>
        </is>
      </c>
      <c r="G412" t="n">
        <v>15.2</v>
      </c>
      <c r="H412" t="n">
        <v>0</v>
      </c>
      <c r="I412" t="n">
        <v>0</v>
      </c>
      <c r="J412" t="n">
        <v>0</v>
      </c>
      <c r="K412" t="n">
        <v>0</v>
      </c>
      <c r="L412" t="n">
        <v>0</v>
      </c>
      <c r="M412" t="n">
        <v>0</v>
      </c>
      <c r="N412" t="n">
        <v>0</v>
      </c>
      <c r="O412" t="n">
        <v>0</v>
      </c>
      <c r="P412" t="n">
        <v>0</v>
      </c>
      <c r="Q412" t="n">
        <v>0</v>
      </c>
      <c r="R412" s="2" t="inlineStr"/>
    </row>
    <row r="413" ht="15" customHeight="1">
      <c r="A413" t="inlineStr">
        <is>
          <t>A 22509-2025</t>
        </is>
      </c>
      <c r="B413" s="1" t="n">
        <v>45786.66853009259</v>
      </c>
      <c r="C413" s="1" t="n">
        <v>45904</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19099-2025</t>
        </is>
      </c>
      <c r="B414" s="1" t="n">
        <v>45768.29469907407</v>
      </c>
      <c r="C414" s="1" t="n">
        <v>45904</v>
      </c>
      <c r="D414" t="inlineStr">
        <is>
          <t>JÄMTLANDS LÄN</t>
        </is>
      </c>
      <c r="E414" t="inlineStr">
        <is>
          <t>HÄRJEDALEN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19102-2025</t>
        </is>
      </c>
      <c r="B415" s="1" t="n">
        <v>45768.30260416667</v>
      </c>
      <c r="C415" s="1" t="n">
        <v>45904</v>
      </c>
      <c r="D415" t="inlineStr">
        <is>
          <t>JÄMTLANDS LÄN</t>
        </is>
      </c>
      <c r="E415" t="inlineStr">
        <is>
          <t>HÄRJEDALEN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19103-2025</t>
        </is>
      </c>
      <c r="B416" s="1" t="n">
        <v>45768.30388888889</v>
      </c>
      <c r="C416" s="1" t="n">
        <v>45904</v>
      </c>
      <c r="D416" t="inlineStr">
        <is>
          <t>JÄMTLANDS LÄN</t>
        </is>
      </c>
      <c r="E416" t="inlineStr">
        <is>
          <t>HÄRJEDALEN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15747-2023</t>
        </is>
      </c>
      <c r="B417" s="1" t="n">
        <v>45020</v>
      </c>
      <c r="C417" s="1" t="n">
        <v>45904</v>
      </c>
      <c r="D417" t="inlineStr">
        <is>
          <t>JÄMTLANDS LÄN</t>
        </is>
      </c>
      <c r="E417" t="inlineStr">
        <is>
          <t>HÄRJEDALEN</t>
        </is>
      </c>
      <c r="G417" t="n">
        <v>0.1</v>
      </c>
      <c r="H417" t="n">
        <v>0</v>
      </c>
      <c r="I417" t="n">
        <v>0</v>
      </c>
      <c r="J417" t="n">
        <v>0</v>
      </c>
      <c r="K417" t="n">
        <v>0</v>
      </c>
      <c r="L417" t="n">
        <v>0</v>
      </c>
      <c r="M417" t="n">
        <v>0</v>
      </c>
      <c r="N417" t="n">
        <v>0</v>
      </c>
      <c r="O417" t="n">
        <v>0</v>
      </c>
      <c r="P417" t="n">
        <v>0</v>
      </c>
      <c r="Q417" t="n">
        <v>0</v>
      </c>
      <c r="R417" s="2" t="inlineStr"/>
    </row>
    <row r="418" ht="15" customHeight="1">
      <c r="A418" t="inlineStr">
        <is>
          <t>A 53537-2024</t>
        </is>
      </c>
      <c r="B418" s="1" t="n">
        <v>45614.62445601852</v>
      </c>
      <c r="C418" s="1" t="n">
        <v>45904</v>
      </c>
      <c r="D418" t="inlineStr">
        <is>
          <t>JÄMTLANDS LÄN</t>
        </is>
      </c>
      <c r="E418" t="inlineStr">
        <is>
          <t>HÄRJEDALEN</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16517-2025</t>
        </is>
      </c>
      <c r="B419" s="1" t="n">
        <v>45751.63266203704</v>
      </c>
      <c r="C419" s="1" t="n">
        <v>45904</v>
      </c>
      <c r="D419" t="inlineStr">
        <is>
          <t>JÄMTLANDS LÄN</t>
        </is>
      </c>
      <c r="E419" t="inlineStr">
        <is>
          <t>HÄRJEDALEN</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22504-2025</t>
        </is>
      </c>
      <c r="B420" s="1" t="n">
        <v>45786.66209490741</v>
      </c>
      <c r="C420" s="1" t="n">
        <v>45904</v>
      </c>
      <c r="D420" t="inlineStr">
        <is>
          <t>JÄMTLANDS LÄN</t>
        </is>
      </c>
      <c r="E420" t="inlineStr">
        <is>
          <t>HÄRJEDALEN</t>
        </is>
      </c>
      <c r="F420" t="inlineStr">
        <is>
          <t>Sveaskog</t>
        </is>
      </c>
      <c r="G420" t="n">
        <v>9.4</v>
      </c>
      <c r="H420" t="n">
        <v>0</v>
      </c>
      <c r="I420" t="n">
        <v>0</v>
      </c>
      <c r="J420" t="n">
        <v>0</v>
      </c>
      <c r="K420" t="n">
        <v>0</v>
      </c>
      <c r="L420" t="n">
        <v>0</v>
      </c>
      <c r="M420" t="n">
        <v>0</v>
      </c>
      <c r="N420" t="n">
        <v>0</v>
      </c>
      <c r="O420" t="n">
        <v>0</v>
      </c>
      <c r="P420" t="n">
        <v>0</v>
      </c>
      <c r="Q420" t="n">
        <v>0</v>
      </c>
      <c r="R420" s="2" t="inlineStr"/>
    </row>
    <row r="421" ht="15" customHeight="1">
      <c r="A421" t="inlineStr">
        <is>
          <t>A 22502-2025</t>
        </is>
      </c>
      <c r="B421" s="1" t="n">
        <v>45786.66032407407</v>
      </c>
      <c r="C421" s="1" t="n">
        <v>45904</v>
      </c>
      <c r="D421" t="inlineStr">
        <is>
          <t>JÄMTLANDS LÄN</t>
        </is>
      </c>
      <c r="E421" t="inlineStr">
        <is>
          <t>HÄRJEDALEN</t>
        </is>
      </c>
      <c r="F421" t="inlineStr">
        <is>
          <t>Sveaskog</t>
        </is>
      </c>
      <c r="G421" t="n">
        <v>20.1</v>
      </c>
      <c r="H421" t="n">
        <v>0</v>
      </c>
      <c r="I421" t="n">
        <v>0</v>
      </c>
      <c r="J421" t="n">
        <v>0</v>
      </c>
      <c r="K421" t="n">
        <v>0</v>
      </c>
      <c r="L421" t="n">
        <v>0</v>
      </c>
      <c r="M421" t="n">
        <v>0</v>
      </c>
      <c r="N421" t="n">
        <v>0</v>
      </c>
      <c r="O421" t="n">
        <v>0</v>
      </c>
      <c r="P421" t="n">
        <v>0</v>
      </c>
      <c r="Q421" t="n">
        <v>0</v>
      </c>
      <c r="R421" s="2" t="inlineStr"/>
    </row>
    <row r="422" ht="15" customHeight="1">
      <c r="A422" t="inlineStr">
        <is>
          <t>A 62500-2022</t>
        </is>
      </c>
      <c r="B422" s="1" t="n">
        <v>44924.59140046296</v>
      </c>
      <c r="C422" s="1" t="n">
        <v>45904</v>
      </c>
      <c r="D422" t="inlineStr">
        <is>
          <t>JÄMTLANDS LÄN</t>
        </is>
      </c>
      <c r="E422" t="inlineStr">
        <is>
          <t>HÄRJEDALEN</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31958-2023</t>
        </is>
      </c>
      <c r="B423" s="1" t="n">
        <v>45119.38675925926</v>
      </c>
      <c r="C423" s="1" t="n">
        <v>45904</v>
      </c>
      <c r="D423" t="inlineStr">
        <is>
          <t>JÄMTLANDS LÄN</t>
        </is>
      </c>
      <c r="E423" t="inlineStr">
        <is>
          <t>HÄRJEDALEN</t>
        </is>
      </c>
      <c r="F423" t="inlineStr">
        <is>
          <t>Bergvik skog väst AB</t>
        </is>
      </c>
      <c r="G423" t="n">
        <v>2.4</v>
      </c>
      <c r="H423" t="n">
        <v>0</v>
      </c>
      <c r="I423" t="n">
        <v>0</v>
      </c>
      <c r="J423" t="n">
        <v>0</v>
      </c>
      <c r="K423" t="n">
        <v>0</v>
      </c>
      <c r="L423" t="n">
        <v>0</v>
      </c>
      <c r="M423" t="n">
        <v>0</v>
      </c>
      <c r="N423" t="n">
        <v>0</v>
      </c>
      <c r="O423" t="n">
        <v>0</v>
      </c>
      <c r="P423" t="n">
        <v>0</v>
      </c>
      <c r="Q423" t="n">
        <v>0</v>
      </c>
      <c r="R423" s="2" t="inlineStr"/>
    </row>
    <row r="424" ht="15" customHeight="1">
      <c r="A424" t="inlineStr">
        <is>
          <t>A 47351-2022</t>
        </is>
      </c>
      <c r="B424" s="1" t="n">
        <v>44853.41693287037</v>
      </c>
      <c r="C424" s="1" t="n">
        <v>45904</v>
      </c>
      <c r="D424" t="inlineStr">
        <is>
          <t>JÄMTLANDS LÄN</t>
        </is>
      </c>
      <c r="E424" t="inlineStr">
        <is>
          <t>HÄRJEDALEN</t>
        </is>
      </c>
      <c r="G424" t="n">
        <v>1</v>
      </c>
      <c r="H424" t="n">
        <v>0</v>
      </c>
      <c r="I424" t="n">
        <v>0</v>
      </c>
      <c r="J424" t="n">
        <v>0</v>
      </c>
      <c r="K424" t="n">
        <v>0</v>
      </c>
      <c r="L424" t="n">
        <v>0</v>
      </c>
      <c r="M424" t="n">
        <v>0</v>
      </c>
      <c r="N424" t="n">
        <v>0</v>
      </c>
      <c r="O424" t="n">
        <v>0</v>
      </c>
      <c r="P424" t="n">
        <v>0</v>
      </c>
      <c r="Q424" t="n">
        <v>0</v>
      </c>
      <c r="R424" s="2" t="inlineStr"/>
    </row>
    <row r="425" ht="15" customHeight="1">
      <c r="A425" t="inlineStr">
        <is>
          <t>A 64484-2023</t>
        </is>
      </c>
      <c r="B425" s="1" t="n">
        <v>45280</v>
      </c>
      <c r="C425" s="1" t="n">
        <v>45904</v>
      </c>
      <c r="D425" t="inlineStr">
        <is>
          <t>JÄMTLANDS LÄN</t>
        </is>
      </c>
      <c r="E425" t="inlineStr">
        <is>
          <t>HÄRJEDALEN</t>
        </is>
      </c>
      <c r="G425" t="n">
        <v>7.1</v>
      </c>
      <c r="H425" t="n">
        <v>0</v>
      </c>
      <c r="I425" t="n">
        <v>0</v>
      </c>
      <c r="J425" t="n">
        <v>0</v>
      </c>
      <c r="K425" t="n">
        <v>0</v>
      </c>
      <c r="L425" t="n">
        <v>0</v>
      </c>
      <c r="M425" t="n">
        <v>0</v>
      </c>
      <c r="N425" t="n">
        <v>0</v>
      </c>
      <c r="O425" t="n">
        <v>0</v>
      </c>
      <c r="P425" t="n">
        <v>0</v>
      </c>
      <c r="Q425" t="n">
        <v>0</v>
      </c>
      <c r="R425" s="2" t="inlineStr"/>
    </row>
    <row r="426" ht="15" customHeight="1">
      <c r="A426" t="inlineStr">
        <is>
          <t>A 25500-2022</t>
        </is>
      </c>
      <c r="B426" s="1" t="n">
        <v>44732</v>
      </c>
      <c r="C426" s="1" t="n">
        <v>45904</v>
      </c>
      <c r="D426" t="inlineStr">
        <is>
          <t>JÄMTLANDS LÄN</t>
        </is>
      </c>
      <c r="E426" t="inlineStr">
        <is>
          <t>HÄRJEDALEN</t>
        </is>
      </c>
      <c r="G426" t="n">
        <v>2.6</v>
      </c>
      <c r="H426" t="n">
        <v>0</v>
      </c>
      <c r="I426" t="n">
        <v>0</v>
      </c>
      <c r="J426" t="n">
        <v>0</v>
      </c>
      <c r="K426" t="n">
        <v>0</v>
      </c>
      <c r="L426" t="n">
        <v>0</v>
      </c>
      <c r="M426" t="n">
        <v>0</v>
      </c>
      <c r="N426" t="n">
        <v>0</v>
      </c>
      <c r="O426" t="n">
        <v>0</v>
      </c>
      <c r="P426" t="n">
        <v>0</v>
      </c>
      <c r="Q426" t="n">
        <v>0</v>
      </c>
      <c r="R426" s="2" t="inlineStr"/>
    </row>
    <row r="427" ht="15" customHeight="1">
      <c r="A427" t="inlineStr">
        <is>
          <t>A 7385-2025</t>
        </is>
      </c>
      <c r="B427" s="1" t="n">
        <v>45705.32643518518</v>
      </c>
      <c r="C427" s="1" t="n">
        <v>45904</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54364-2024</t>
        </is>
      </c>
      <c r="B428" s="1" t="n">
        <v>45617</v>
      </c>
      <c r="C428" s="1" t="n">
        <v>45904</v>
      </c>
      <c r="D428" t="inlineStr">
        <is>
          <t>JÄMTLANDS LÄN</t>
        </is>
      </c>
      <c r="E428" t="inlineStr">
        <is>
          <t>HÄRJEDALEN</t>
        </is>
      </c>
      <c r="F428" t="inlineStr">
        <is>
          <t>Holmen skog AB</t>
        </is>
      </c>
      <c r="G428" t="n">
        <v>41.1</v>
      </c>
      <c r="H428" t="n">
        <v>0</v>
      </c>
      <c r="I428" t="n">
        <v>0</v>
      </c>
      <c r="J428" t="n">
        <v>0</v>
      </c>
      <c r="K428" t="n">
        <v>0</v>
      </c>
      <c r="L428" t="n">
        <v>0</v>
      </c>
      <c r="M428" t="n">
        <v>0</v>
      </c>
      <c r="N428" t="n">
        <v>0</v>
      </c>
      <c r="O428" t="n">
        <v>0</v>
      </c>
      <c r="P428" t="n">
        <v>0</v>
      </c>
      <c r="Q428" t="n">
        <v>0</v>
      </c>
      <c r="R428" s="2" t="inlineStr"/>
    </row>
    <row r="429" ht="15" customHeight="1">
      <c r="A429" t="inlineStr">
        <is>
          <t>A 36083-2024</t>
        </is>
      </c>
      <c r="B429" s="1" t="n">
        <v>45533.67138888889</v>
      </c>
      <c r="C429" s="1" t="n">
        <v>45904</v>
      </c>
      <c r="D429" t="inlineStr">
        <is>
          <t>JÄMTLANDS LÄN</t>
        </is>
      </c>
      <c r="E429" t="inlineStr">
        <is>
          <t>HÄRJEDALEN</t>
        </is>
      </c>
      <c r="G429" t="n">
        <v>0.9</v>
      </c>
      <c r="H429" t="n">
        <v>0</v>
      </c>
      <c r="I429" t="n">
        <v>0</v>
      </c>
      <c r="J429" t="n">
        <v>0</v>
      </c>
      <c r="K429" t="n">
        <v>0</v>
      </c>
      <c r="L429" t="n">
        <v>0</v>
      </c>
      <c r="M429" t="n">
        <v>0</v>
      </c>
      <c r="N429" t="n">
        <v>0</v>
      </c>
      <c r="O429" t="n">
        <v>0</v>
      </c>
      <c r="P429" t="n">
        <v>0</v>
      </c>
      <c r="Q429" t="n">
        <v>0</v>
      </c>
      <c r="R429" s="2" t="inlineStr"/>
    </row>
    <row r="430" ht="15" customHeight="1">
      <c r="A430" t="inlineStr">
        <is>
          <t>A 41387-2021</t>
        </is>
      </c>
      <c r="B430" s="1" t="n">
        <v>44424</v>
      </c>
      <c r="C430" s="1" t="n">
        <v>45904</v>
      </c>
      <c r="D430" t="inlineStr">
        <is>
          <t>JÄMTLANDS LÄN</t>
        </is>
      </c>
      <c r="E430" t="inlineStr">
        <is>
          <t>HÄRJEDALEN</t>
        </is>
      </c>
      <c r="G430" t="n">
        <v>9.5</v>
      </c>
      <c r="H430" t="n">
        <v>0</v>
      </c>
      <c r="I430" t="n">
        <v>0</v>
      </c>
      <c r="J430" t="n">
        <v>0</v>
      </c>
      <c r="K430" t="n">
        <v>0</v>
      </c>
      <c r="L430" t="n">
        <v>0</v>
      </c>
      <c r="M430" t="n">
        <v>0</v>
      </c>
      <c r="N430" t="n">
        <v>0</v>
      </c>
      <c r="O430" t="n">
        <v>0</v>
      </c>
      <c r="P430" t="n">
        <v>0</v>
      </c>
      <c r="Q430" t="n">
        <v>0</v>
      </c>
      <c r="R430" s="2" t="inlineStr"/>
    </row>
    <row r="431" ht="15" customHeight="1">
      <c r="A431" t="inlineStr">
        <is>
          <t>A 22915-2025</t>
        </is>
      </c>
      <c r="B431" s="1" t="n">
        <v>45790.43</v>
      </c>
      <c r="C431" s="1" t="n">
        <v>45904</v>
      </c>
      <c r="D431" t="inlineStr">
        <is>
          <t>JÄMTLANDS LÄN</t>
        </is>
      </c>
      <c r="E431" t="inlineStr">
        <is>
          <t>HÄRJEDALEN</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45999-2023</t>
        </is>
      </c>
      <c r="B432" s="1" t="n">
        <v>45196</v>
      </c>
      <c r="C432" s="1" t="n">
        <v>45904</v>
      </c>
      <c r="D432" t="inlineStr">
        <is>
          <t>JÄMTLANDS LÄN</t>
        </is>
      </c>
      <c r="E432" t="inlineStr">
        <is>
          <t>HÄRJEDALEN</t>
        </is>
      </c>
      <c r="F432" t="inlineStr">
        <is>
          <t>Bergvik skog väst AB</t>
        </is>
      </c>
      <c r="G432" t="n">
        <v>11.4</v>
      </c>
      <c r="H432" t="n">
        <v>0</v>
      </c>
      <c r="I432" t="n">
        <v>0</v>
      </c>
      <c r="J432" t="n">
        <v>0</v>
      </c>
      <c r="K432" t="n">
        <v>0</v>
      </c>
      <c r="L432" t="n">
        <v>0</v>
      </c>
      <c r="M432" t="n">
        <v>0</v>
      </c>
      <c r="N432" t="n">
        <v>0</v>
      </c>
      <c r="O432" t="n">
        <v>0</v>
      </c>
      <c r="P432" t="n">
        <v>0</v>
      </c>
      <c r="Q432" t="n">
        <v>0</v>
      </c>
      <c r="R432" s="2" t="inlineStr"/>
    </row>
    <row r="433" ht="15" customHeight="1">
      <c r="A433" t="inlineStr">
        <is>
          <t>A 64144-2023</t>
        </is>
      </c>
      <c r="B433" s="1" t="n">
        <v>45279.57732638889</v>
      </c>
      <c r="C433" s="1" t="n">
        <v>45904</v>
      </c>
      <c r="D433" t="inlineStr">
        <is>
          <t>JÄMTLANDS LÄN</t>
        </is>
      </c>
      <c r="E433" t="inlineStr">
        <is>
          <t>HÄRJEDALEN</t>
        </is>
      </c>
      <c r="G433" t="n">
        <v>0.5</v>
      </c>
      <c r="H433" t="n">
        <v>0</v>
      </c>
      <c r="I433" t="n">
        <v>0</v>
      </c>
      <c r="J433" t="n">
        <v>0</v>
      </c>
      <c r="K433" t="n">
        <v>0</v>
      </c>
      <c r="L433" t="n">
        <v>0</v>
      </c>
      <c r="M433" t="n">
        <v>0</v>
      </c>
      <c r="N433" t="n">
        <v>0</v>
      </c>
      <c r="O433" t="n">
        <v>0</v>
      </c>
      <c r="P433" t="n">
        <v>0</v>
      </c>
      <c r="Q433" t="n">
        <v>0</v>
      </c>
      <c r="R433" s="2" t="inlineStr"/>
    </row>
    <row r="434" ht="15" customHeight="1">
      <c r="A434" t="inlineStr">
        <is>
          <t>A 55228-2024</t>
        </is>
      </c>
      <c r="B434" s="1" t="n">
        <v>45621</v>
      </c>
      <c r="C434" s="1" t="n">
        <v>45904</v>
      </c>
      <c r="D434" t="inlineStr">
        <is>
          <t>JÄMTLANDS LÄN</t>
        </is>
      </c>
      <c r="E434" t="inlineStr">
        <is>
          <t>HÄRJEDALEN</t>
        </is>
      </c>
      <c r="G434" t="n">
        <v>4.8</v>
      </c>
      <c r="H434" t="n">
        <v>0</v>
      </c>
      <c r="I434" t="n">
        <v>0</v>
      </c>
      <c r="J434" t="n">
        <v>0</v>
      </c>
      <c r="K434" t="n">
        <v>0</v>
      </c>
      <c r="L434" t="n">
        <v>0</v>
      </c>
      <c r="M434" t="n">
        <v>0</v>
      </c>
      <c r="N434" t="n">
        <v>0</v>
      </c>
      <c r="O434" t="n">
        <v>0</v>
      </c>
      <c r="P434" t="n">
        <v>0</v>
      </c>
      <c r="Q434" t="n">
        <v>0</v>
      </c>
      <c r="R434" s="2" t="inlineStr"/>
    </row>
    <row r="435" ht="15" customHeight="1">
      <c r="A435" t="inlineStr">
        <is>
          <t>A 55246-2024</t>
        </is>
      </c>
      <c r="B435" s="1" t="n">
        <v>45621</v>
      </c>
      <c r="C435" s="1" t="n">
        <v>45904</v>
      </c>
      <c r="D435" t="inlineStr">
        <is>
          <t>JÄMTLANDS LÄN</t>
        </is>
      </c>
      <c r="E435" t="inlineStr">
        <is>
          <t>HÄRJEDALEN</t>
        </is>
      </c>
      <c r="G435" t="n">
        <v>2.9</v>
      </c>
      <c r="H435" t="n">
        <v>0</v>
      </c>
      <c r="I435" t="n">
        <v>0</v>
      </c>
      <c r="J435" t="n">
        <v>0</v>
      </c>
      <c r="K435" t="n">
        <v>0</v>
      </c>
      <c r="L435" t="n">
        <v>0</v>
      </c>
      <c r="M435" t="n">
        <v>0</v>
      </c>
      <c r="N435" t="n">
        <v>0</v>
      </c>
      <c r="O435" t="n">
        <v>0</v>
      </c>
      <c r="P435" t="n">
        <v>0</v>
      </c>
      <c r="Q435" t="n">
        <v>0</v>
      </c>
      <c r="R435" s="2" t="inlineStr"/>
    </row>
    <row r="436" ht="15" customHeight="1">
      <c r="A436" t="inlineStr">
        <is>
          <t>A 4196-2023</t>
        </is>
      </c>
      <c r="B436" s="1" t="n">
        <v>44953</v>
      </c>
      <c r="C436" s="1" t="n">
        <v>45904</v>
      </c>
      <c r="D436" t="inlineStr">
        <is>
          <t>JÄMTLANDS LÄN</t>
        </is>
      </c>
      <c r="E436" t="inlineStr">
        <is>
          <t>HÄRJEDALEN</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37638-2023</t>
        </is>
      </c>
      <c r="B437" s="1" t="n">
        <v>45159.46996527778</v>
      </c>
      <c r="C437" s="1" t="n">
        <v>45904</v>
      </c>
      <c r="D437" t="inlineStr">
        <is>
          <t>JÄMTLANDS LÄN</t>
        </is>
      </c>
      <c r="E437" t="inlineStr">
        <is>
          <t>HÄRJEDALEN</t>
        </is>
      </c>
      <c r="F437" t="inlineStr">
        <is>
          <t>Bergvik skog väst AB</t>
        </is>
      </c>
      <c r="G437" t="n">
        <v>4.3</v>
      </c>
      <c r="H437" t="n">
        <v>0</v>
      </c>
      <c r="I437" t="n">
        <v>0</v>
      </c>
      <c r="J437" t="n">
        <v>0</v>
      </c>
      <c r="K437" t="n">
        <v>0</v>
      </c>
      <c r="L437" t="n">
        <v>0</v>
      </c>
      <c r="M437" t="n">
        <v>0</v>
      </c>
      <c r="N437" t="n">
        <v>0</v>
      </c>
      <c r="O437" t="n">
        <v>0</v>
      </c>
      <c r="P437" t="n">
        <v>0</v>
      </c>
      <c r="Q437" t="n">
        <v>0</v>
      </c>
      <c r="R437" s="2" t="inlineStr"/>
    </row>
    <row r="438" ht="15" customHeight="1">
      <c r="A438" t="inlineStr">
        <is>
          <t>A 30435-2023</t>
        </is>
      </c>
      <c r="B438" s="1" t="n">
        <v>45111</v>
      </c>
      <c r="C438" s="1" t="n">
        <v>45904</v>
      </c>
      <c r="D438" t="inlineStr">
        <is>
          <t>JÄMTLANDS LÄN</t>
        </is>
      </c>
      <c r="E438" t="inlineStr">
        <is>
          <t>HÄRJEDALEN</t>
        </is>
      </c>
      <c r="G438" t="n">
        <v>20</v>
      </c>
      <c r="H438" t="n">
        <v>0</v>
      </c>
      <c r="I438" t="n">
        <v>0</v>
      </c>
      <c r="J438" t="n">
        <v>0</v>
      </c>
      <c r="K438" t="n">
        <v>0</v>
      </c>
      <c r="L438" t="n">
        <v>0</v>
      </c>
      <c r="M438" t="n">
        <v>0</v>
      </c>
      <c r="N438" t="n">
        <v>0</v>
      </c>
      <c r="O438" t="n">
        <v>0</v>
      </c>
      <c r="P438" t="n">
        <v>0</v>
      </c>
      <c r="Q438" t="n">
        <v>0</v>
      </c>
      <c r="R438" s="2" t="inlineStr"/>
    </row>
    <row r="439" ht="15" customHeight="1">
      <c r="A439" t="inlineStr">
        <is>
          <t>A 59738-2023</t>
        </is>
      </c>
      <c r="B439" s="1" t="n">
        <v>45257</v>
      </c>
      <c r="C439" s="1" t="n">
        <v>45904</v>
      </c>
      <c r="D439" t="inlineStr">
        <is>
          <t>JÄMTLANDS LÄN</t>
        </is>
      </c>
      <c r="E439" t="inlineStr">
        <is>
          <t>HÄRJEDALEN</t>
        </is>
      </c>
      <c r="F439" t="inlineStr">
        <is>
          <t>Bergvik skog väst AB</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32964-2024</t>
        </is>
      </c>
      <c r="B440" s="1" t="n">
        <v>45517.39274305556</v>
      </c>
      <c r="C440" s="1" t="n">
        <v>45904</v>
      </c>
      <c r="D440" t="inlineStr">
        <is>
          <t>JÄMTLANDS LÄN</t>
        </is>
      </c>
      <c r="E440" t="inlineStr">
        <is>
          <t>HÄRJEDALEN</t>
        </is>
      </c>
      <c r="F440" t="inlineStr">
        <is>
          <t>Kommuner</t>
        </is>
      </c>
      <c r="G440" t="n">
        <v>30.3</v>
      </c>
      <c r="H440" t="n">
        <v>0</v>
      </c>
      <c r="I440" t="n">
        <v>0</v>
      </c>
      <c r="J440" t="n">
        <v>0</v>
      </c>
      <c r="K440" t="n">
        <v>0</v>
      </c>
      <c r="L440" t="n">
        <v>0</v>
      </c>
      <c r="M440" t="n">
        <v>0</v>
      </c>
      <c r="N440" t="n">
        <v>0</v>
      </c>
      <c r="O440" t="n">
        <v>0</v>
      </c>
      <c r="P440" t="n">
        <v>0</v>
      </c>
      <c r="Q440" t="n">
        <v>0</v>
      </c>
      <c r="R440" s="2" t="inlineStr"/>
    </row>
    <row r="441" ht="15" customHeight="1">
      <c r="A441" t="inlineStr">
        <is>
          <t>A 23068-2025</t>
        </is>
      </c>
      <c r="B441" s="1" t="n">
        <v>45790.87653935186</v>
      </c>
      <c r="C441" s="1" t="n">
        <v>45904</v>
      </c>
      <c r="D441" t="inlineStr">
        <is>
          <t>JÄMTLANDS LÄN</t>
        </is>
      </c>
      <c r="E441" t="inlineStr">
        <is>
          <t>HÄRJEDALEN</t>
        </is>
      </c>
      <c r="G441" t="n">
        <v>3.8</v>
      </c>
      <c r="H441" t="n">
        <v>0</v>
      </c>
      <c r="I441" t="n">
        <v>0</v>
      </c>
      <c r="J441" t="n">
        <v>0</v>
      </c>
      <c r="K441" t="n">
        <v>0</v>
      </c>
      <c r="L441" t="n">
        <v>0</v>
      </c>
      <c r="M441" t="n">
        <v>0</v>
      </c>
      <c r="N441" t="n">
        <v>0</v>
      </c>
      <c r="O441" t="n">
        <v>0</v>
      </c>
      <c r="P441" t="n">
        <v>0</v>
      </c>
      <c r="Q441" t="n">
        <v>0</v>
      </c>
      <c r="R441" s="2" t="inlineStr"/>
    </row>
    <row r="442" ht="15" customHeight="1">
      <c r="A442" t="inlineStr">
        <is>
          <t>A 57637-2024</t>
        </is>
      </c>
      <c r="B442" s="1" t="n">
        <v>45630.5731712963</v>
      </c>
      <c r="C442" s="1" t="n">
        <v>45904</v>
      </c>
      <c r="D442" t="inlineStr">
        <is>
          <t>JÄMTLANDS LÄN</t>
        </is>
      </c>
      <c r="E442" t="inlineStr">
        <is>
          <t>HÄRJEDALEN</t>
        </is>
      </c>
      <c r="F442" t="inlineStr">
        <is>
          <t>Bergvik skog väst AB</t>
        </is>
      </c>
      <c r="G442" t="n">
        <v>6.5</v>
      </c>
      <c r="H442" t="n">
        <v>0</v>
      </c>
      <c r="I442" t="n">
        <v>0</v>
      </c>
      <c r="J442" t="n">
        <v>0</v>
      </c>
      <c r="K442" t="n">
        <v>0</v>
      </c>
      <c r="L442" t="n">
        <v>0</v>
      </c>
      <c r="M442" t="n">
        <v>0</v>
      </c>
      <c r="N442" t="n">
        <v>0</v>
      </c>
      <c r="O442" t="n">
        <v>0</v>
      </c>
      <c r="P442" t="n">
        <v>0</v>
      </c>
      <c r="Q442" t="n">
        <v>0</v>
      </c>
      <c r="R442" s="2" t="inlineStr"/>
    </row>
    <row r="443" ht="15" customHeight="1">
      <c r="A443" t="inlineStr">
        <is>
          <t>A 43287-2024</t>
        </is>
      </c>
      <c r="B443" s="1" t="n">
        <v>45568</v>
      </c>
      <c r="C443" s="1" t="n">
        <v>45904</v>
      </c>
      <c r="D443" t="inlineStr">
        <is>
          <t>JÄMTLANDS LÄN</t>
        </is>
      </c>
      <c r="E443" t="inlineStr">
        <is>
          <t>HÄRJEDALEN</t>
        </is>
      </c>
      <c r="F443" t="inlineStr">
        <is>
          <t>SCA</t>
        </is>
      </c>
      <c r="G443" t="n">
        <v>19.7</v>
      </c>
      <c r="H443" t="n">
        <v>0</v>
      </c>
      <c r="I443" t="n">
        <v>0</v>
      </c>
      <c r="J443" t="n">
        <v>0</v>
      </c>
      <c r="K443" t="n">
        <v>0</v>
      </c>
      <c r="L443" t="n">
        <v>0</v>
      </c>
      <c r="M443" t="n">
        <v>0</v>
      </c>
      <c r="N443" t="n">
        <v>0</v>
      </c>
      <c r="O443" t="n">
        <v>0</v>
      </c>
      <c r="P443" t="n">
        <v>0</v>
      </c>
      <c r="Q443" t="n">
        <v>0</v>
      </c>
      <c r="R443" s="2" t="inlineStr"/>
    </row>
    <row r="444" ht="15" customHeight="1">
      <c r="A444" t="inlineStr">
        <is>
          <t>A 23596-2025</t>
        </is>
      </c>
      <c r="B444" s="1" t="n">
        <v>45792.64795138889</v>
      </c>
      <c r="C444" s="1" t="n">
        <v>45904</v>
      </c>
      <c r="D444" t="inlineStr">
        <is>
          <t>JÄMTLANDS LÄN</t>
        </is>
      </c>
      <c r="E444" t="inlineStr">
        <is>
          <t>HÄRJEDALEN</t>
        </is>
      </c>
      <c r="G444" t="n">
        <v>3.4</v>
      </c>
      <c r="H444" t="n">
        <v>0</v>
      </c>
      <c r="I444" t="n">
        <v>0</v>
      </c>
      <c r="J444" t="n">
        <v>0</v>
      </c>
      <c r="K444" t="n">
        <v>0</v>
      </c>
      <c r="L444" t="n">
        <v>0</v>
      </c>
      <c r="M444" t="n">
        <v>0</v>
      </c>
      <c r="N444" t="n">
        <v>0</v>
      </c>
      <c r="O444" t="n">
        <v>0</v>
      </c>
      <c r="P444" t="n">
        <v>0</v>
      </c>
      <c r="Q444" t="n">
        <v>0</v>
      </c>
      <c r="R444" s="2" t="inlineStr"/>
    </row>
    <row r="445" ht="15" customHeight="1">
      <c r="A445" t="inlineStr">
        <is>
          <t>A 23518-2025</t>
        </is>
      </c>
      <c r="B445" s="1" t="n">
        <v>45792.50942129629</v>
      </c>
      <c r="C445" s="1" t="n">
        <v>45904</v>
      </c>
      <c r="D445" t="inlineStr">
        <is>
          <t>JÄMTLANDS LÄN</t>
        </is>
      </c>
      <c r="E445" t="inlineStr">
        <is>
          <t>HÄRJEDALEN</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60429-2020</t>
        </is>
      </c>
      <c r="B446" s="1" t="n">
        <v>44153</v>
      </c>
      <c r="C446" s="1" t="n">
        <v>45904</v>
      </c>
      <c r="D446" t="inlineStr">
        <is>
          <t>JÄMTLANDS LÄN</t>
        </is>
      </c>
      <c r="E446" t="inlineStr">
        <is>
          <t>HÄRJEDALEN</t>
        </is>
      </c>
      <c r="G446" t="n">
        <v>1.1</v>
      </c>
      <c r="H446" t="n">
        <v>0</v>
      </c>
      <c r="I446" t="n">
        <v>0</v>
      </c>
      <c r="J446" t="n">
        <v>0</v>
      </c>
      <c r="K446" t="n">
        <v>0</v>
      </c>
      <c r="L446" t="n">
        <v>0</v>
      </c>
      <c r="M446" t="n">
        <v>0</v>
      </c>
      <c r="N446" t="n">
        <v>0</v>
      </c>
      <c r="O446" t="n">
        <v>0</v>
      </c>
      <c r="P446" t="n">
        <v>0</v>
      </c>
      <c r="Q446" t="n">
        <v>0</v>
      </c>
      <c r="R446" s="2" t="inlineStr"/>
    </row>
    <row r="447" ht="15" customHeight="1">
      <c r="A447" t="inlineStr">
        <is>
          <t>A 23731-2025</t>
        </is>
      </c>
      <c r="B447" s="1" t="n">
        <v>45793.41994212963</v>
      </c>
      <c r="C447" s="1" t="n">
        <v>45904</v>
      </c>
      <c r="D447" t="inlineStr">
        <is>
          <t>JÄMTLANDS LÄN</t>
        </is>
      </c>
      <c r="E447" t="inlineStr">
        <is>
          <t>HÄRJEDALEN</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23600-2025</t>
        </is>
      </c>
      <c r="B448" s="1" t="n">
        <v>45792.65047453704</v>
      </c>
      <c r="C448" s="1" t="n">
        <v>45904</v>
      </c>
      <c r="D448" t="inlineStr">
        <is>
          <t>JÄMTLANDS LÄN</t>
        </is>
      </c>
      <c r="E448" t="inlineStr">
        <is>
          <t>HÄRJEDALEN</t>
        </is>
      </c>
      <c r="G448" t="n">
        <v>0.7</v>
      </c>
      <c r="H448" t="n">
        <v>0</v>
      </c>
      <c r="I448" t="n">
        <v>0</v>
      </c>
      <c r="J448" t="n">
        <v>0</v>
      </c>
      <c r="K448" t="n">
        <v>0</v>
      </c>
      <c r="L448" t="n">
        <v>0</v>
      </c>
      <c r="M448" t="n">
        <v>0</v>
      </c>
      <c r="N448" t="n">
        <v>0</v>
      </c>
      <c r="O448" t="n">
        <v>0</v>
      </c>
      <c r="P448" t="n">
        <v>0</v>
      </c>
      <c r="Q448" t="n">
        <v>0</v>
      </c>
      <c r="R448" s="2" t="inlineStr"/>
    </row>
    <row r="449" ht="15" customHeight="1">
      <c r="A449" t="inlineStr">
        <is>
          <t>A 21778-2022</t>
        </is>
      </c>
      <c r="B449" s="1" t="n">
        <v>44708.48859953704</v>
      </c>
      <c r="C449" s="1" t="n">
        <v>45904</v>
      </c>
      <c r="D449" t="inlineStr">
        <is>
          <t>JÄMTLANDS LÄN</t>
        </is>
      </c>
      <c r="E449" t="inlineStr">
        <is>
          <t>HÄRJEDALEN</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32064-2024</t>
        </is>
      </c>
      <c r="B450" s="1" t="n">
        <v>45510</v>
      </c>
      <c r="C450" s="1" t="n">
        <v>45904</v>
      </c>
      <c r="D450" t="inlineStr">
        <is>
          <t>JÄMTLANDS LÄN</t>
        </is>
      </c>
      <c r="E450" t="inlineStr">
        <is>
          <t>HÄRJEDALEN</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57849-2024</t>
        </is>
      </c>
      <c r="B451" s="1" t="n">
        <v>45631</v>
      </c>
      <c r="C451" s="1" t="n">
        <v>45904</v>
      </c>
      <c r="D451" t="inlineStr">
        <is>
          <t>JÄMTLANDS LÄN</t>
        </is>
      </c>
      <c r="E451" t="inlineStr">
        <is>
          <t>HÄRJEDALEN</t>
        </is>
      </c>
      <c r="F451" t="inlineStr">
        <is>
          <t>Bergvik skog väst AB</t>
        </is>
      </c>
      <c r="G451" t="n">
        <v>36.7</v>
      </c>
      <c r="H451" t="n">
        <v>0</v>
      </c>
      <c r="I451" t="n">
        <v>0</v>
      </c>
      <c r="J451" t="n">
        <v>0</v>
      </c>
      <c r="K451" t="n">
        <v>0</v>
      </c>
      <c r="L451" t="n">
        <v>0</v>
      </c>
      <c r="M451" t="n">
        <v>0</v>
      </c>
      <c r="N451" t="n">
        <v>0</v>
      </c>
      <c r="O451" t="n">
        <v>0</v>
      </c>
      <c r="P451" t="n">
        <v>0</v>
      </c>
      <c r="Q451" t="n">
        <v>0</v>
      </c>
      <c r="R451" s="2" t="inlineStr"/>
    </row>
    <row r="452" ht="15" customHeight="1">
      <c r="A452" t="inlineStr">
        <is>
          <t>A 4711-2023</t>
        </is>
      </c>
      <c r="B452" s="1" t="n">
        <v>44957</v>
      </c>
      <c r="C452" s="1" t="n">
        <v>45904</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13723-2025</t>
        </is>
      </c>
      <c r="B453" s="1" t="n">
        <v>45737.37006944444</v>
      </c>
      <c r="C453" s="1" t="n">
        <v>45904</v>
      </c>
      <c r="D453" t="inlineStr">
        <is>
          <t>JÄMTLANDS LÄN</t>
        </is>
      </c>
      <c r="E453" t="inlineStr">
        <is>
          <t>HÄRJEDALEN</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41329-2024</t>
        </is>
      </c>
      <c r="B454" s="1" t="n">
        <v>45559</v>
      </c>
      <c r="C454" s="1" t="n">
        <v>45904</v>
      </c>
      <c r="D454" t="inlineStr">
        <is>
          <t>JÄMTLANDS LÄN</t>
        </is>
      </c>
      <c r="E454" t="inlineStr">
        <is>
          <t>HÄRJEDALEN</t>
        </is>
      </c>
      <c r="G454" t="n">
        <v>47.1</v>
      </c>
      <c r="H454" t="n">
        <v>0</v>
      </c>
      <c r="I454" t="n">
        <v>0</v>
      </c>
      <c r="J454" t="n">
        <v>0</v>
      </c>
      <c r="K454" t="n">
        <v>0</v>
      </c>
      <c r="L454" t="n">
        <v>0</v>
      </c>
      <c r="M454" t="n">
        <v>0</v>
      </c>
      <c r="N454" t="n">
        <v>0</v>
      </c>
      <c r="O454" t="n">
        <v>0</v>
      </c>
      <c r="P454" t="n">
        <v>0</v>
      </c>
      <c r="Q454" t="n">
        <v>0</v>
      </c>
      <c r="R454" s="2" t="inlineStr"/>
    </row>
    <row r="455" ht="15" customHeight="1">
      <c r="A455" t="inlineStr">
        <is>
          <t>A 63979-2020</t>
        </is>
      </c>
      <c r="B455" s="1" t="n">
        <v>44167</v>
      </c>
      <c r="C455" s="1" t="n">
        <v>45904</v>
      </c>
      <c r="D455" t="inlineStr">
        <is>
          <t>JÄMTLANDS LÄN</t>
        </is>
      </c>
      <c r="E455" t="inlineStr">
        <is>
          <t>HÄRJEDALEN</t>
        </is>
      </c>
      <c r="G455" t="n">
        <v>10</v>
      </c>
      <c r="H455" t="n">
        <v>0</v>
      </c>
      <c r="I455" t="n">
        <v>0</v>
      </c>
      <c r="J455" t="n">
        <v>0</v>
      </c>
      <c r="K455" t="n">
        <v>0</v>
      </c>
      <c r="L455" t="n">
        <v>0</v>
      </c>
      <c r="M455" t="n">
        <v>0</v>
      </c>
      <c r="N455" t="n">
        <v>0</v>
      </c>
      <c r="O455" t="n">
        <v>0</v>
      </c>
      <c r="P455" t="n">
        <v>0</v>
      </c>
      <c r="Q455" t="n">
        <v>0</v>
      </c>
      <c r="R455" s="2" t="inlineStr"/>
    </row>
    <row r="456" ht="15" customHeight="1">
      <c r="A456" t="inlineStr">
        <is>
          <t>A 43591-2024</t>
        </is>
      </c>
      <c r="B456" s="1" t="n">
        <v>45569</v>
      </c>
      <c r="C456" s="1" t="n">
        <v>45904</v>
      </c>
      <c r="D456" t="inlineStr">
        <is>
          <t>JÄMTLANDS LÄN</t>
        </is>
      </c>
      <c r="E456" t="inlineStr">
        <is>
          <t>HÄRJEDALEN</t>
        </is>
      </c>
      <c r="F456" t="inlineStr">
        <is>
          <t>Bergvik skog väst AB</t>
        </is>
      </c>
      <c r="G456" t="n">
        <v>50.5</v>
      </c>
      <c r="H456" t="n">
        <v>0</v>
      </c>
      <c r="I456" t="n">
        <v>0</v>
      </c>
      <c r="J456" t="n">
        <v>0</v>
      </c>
      <c r="K456" t="n">
        <v>0</v>
      </c>
      <c r="L456" t="n">
        <v>0</v>
      </c>
      <c r="M456" t="n">
        <v>0</v>
      </c>
      <c r="N456" t="n">
        <v>0</v>
      </c>
      <c r="O456" t="n">
        <v>0</v>
      </c>
      <c r="P456" t="n">
        <v>0</v>
      </c>
      <c r="Q456" t="n">
        <v>0</v>
      </c>
      <c r="R456" s="2" t="inlineStr"/>
    </row>
    <row r="457" ht="15" customHeight="1">
      <c r="A457" t="inlineStr">
        <is>
          <t>A 26656-2021</t>
        </is>
      </c>
      <c r="B457" s="1" t="n">
        <v>44348</v>
      </c>
      <c r="C457" s="1" t="n">
        <v>45904</v>
      </c>
      <c r="D457" t="inlineStr">
        <is>
          <t>JÄMTLANDS LÄN</t>
        </is>
      </c>
      <c r="E457" t="inlineStr">
        <is>
          <t>HÄRJEDALEN</t>
        </is>
      </c>
      <c r="G457" t="n">
        <v>1.6</v>
      </c>
      <c r="H457" t="n">
        <v>0</v>
      </c>
      <c r="I457" t="n">
        <v>0</v>
      </c>
      <c r="J457" t="n">
        <v>0</v>
      </c>
      <c r="K457" t="n">
        <v>0</v>
      </c>
      <c r="L457" t="n">
        <v>0</v>
      </c>
      <c r="M457" t="n">
        <v>0</v>
      </c>
      <c r="N457" t="n">
        <v>0</v>
      </c>
      <c r="O457" t="n">
        <v>0</v>
      </c>
      <c r="P457" t="n">
        <v>0</v>
      </c>
      <c r="Q457" t="n">
        <v>0</v>
      </c>
      <c r="R457" s="2" t="inlineStr"/>
    </row>
    <row r="458" ht="15" customHeight="1">
      <c r="A458" t="inlineStr">
        <is>
          <t>A 54678-2024</t>
        </is>
      </c>
      <c r="B458" s="1" t="n">
        <v>45618.35097222222</v>
      </c>
      <c r="C458" s="1" t="n">
        <v>45904</v>
      </c>
      <c r="D458" t="inlineStr">
        <is>
          <t>JÄMTLANDS LÄN</t>
        </is>
      </c>
      <c r="E458" t="inlineStr">
        <is>
          <t>HÄRJEDALEN</t>
        </is>
      </c>
      <c r="G458" t="n">
        <v>16.9</v>
      </c>
      <c r="H458" t="n">
        <v>0</v>
      </c>
      <c r="I458" t="n">
        <v>0</v>
      </c>
      <c r="J458" t="n">
        <v>0</v>
      </c>
      <c r="K458" t="n">
        <v>0</v>
      </c>
      <c r="L458" t="n">
        <v>0</v>
      </c>
      <c r="M458" t="n">
        <v>0</v>
      </c>
      <c r="N458" t="n">
        <v>0</v>
      </c>
      <c r="O458" t="n">
        <v>0</v>
      </c>
      <c r="P458" t="n">
        <v>0</v>
      </c>
      <c r="Q458" t="n">
        <v>0</v>
      </c>
      <c r="R458" s="2" t="inlineStr"/>
    </row>
    <row r="459" ht="15" customHeight="1">
      <c r="A459" t="inlineStr">
        <is>
          <t>A 32962-2024</t>
        </is>
      </c>
      <c r="B459" s="1" t="n">
        <v>45517.38320601852</v>
      </c>
      <c r="C459" s="1" t="n">
        <v>45904</v>
      </c>
      <c r="D459" t="inlineStr">
        <is>
          <t>JÄMTLANDS LÄN</t>
        </is>
      </c>
      <c r="E459" t="inlineStr">
        <is>
          <t>HÄRJEDALEN</t>
        </is>
      </c>
      <c r="G459" t="n">
        <v>7</v>
      </c>
      <c r="H459" t="n">
        <v>0</v>
      </c>
      <c r="I459" t="n">
        <v>0</v>
      </c>
      <c r="J459" t="n">
        <v>0</v>
      </c>
      <c r="K459" t="n">
        <v>0</v>
      </c>
      <c r="L459" t="n">
        <v>0</v>
      </c>
      <c r="M459" t="n">
        <v>0</v>
      </c>
      <c r="N459" t="n">
        <v>0</v>
      </c>
      <c r="O459" t="n">
        <v>0</v>
      </c>
      <c r="P459" t="n">
        <v>0</v>
      </c>
      <c r="Q459" t="n">
        <v>0</v>
      </c>
      <c r="R459" s="2" t="inlineStr"/>
    </row>
    <row r="460" ht="15" customHeight="1">
      <c r="A460" t="inlineStr">
        <is>
          <t>A 23986-2025</t>
        </is>
      </c>
      <c r="B460" s="1" t="n">
        <v>45796.39770833333</v>
      </c>
      <c r="C460" s="1" t="n">
        <v>45904</v>
      </c>
      <c r="D460" t="inlineStr">
        <is>
          <t>JÄMTLANDS LÄN</t>
        </is>
      </c>
      <c r="E460" t="inlineStr">
        <is>
          <t>HÄRJEDALEN</t>
        </is>
      </c>
      <c r="G460" t="n">
        <v>5.1</v>
      </c>
      <c r="H460" t="n">
        <v>0</v>
      </c>
      <c r="I460" t="n">
        <v>0</v>
      </c>
      <c r="J460" t="n">
        <v>0</v>
      </c>
      <c r="K460" t="n">
        <v>0</v>
      </c>
      <c r="L460" t="n">
        <v>0</v>
      </c>
      <c r="M460" t="n">
        <v>0</v>
      </c>
      <c r="N460" t="n">
        <v>0</v>
      </c>
      <c r="O460" t="n">
        <v>0</v>
      </c>
      <c r="P460" t="n">
        <v>0</v>
      </c>
      <c r="Q460" t="n">
        <v>0</v>
      </c>
      <c r="R460" s="2" t="inlineStr"/>
    </row>
    <row r="461" ht="15" customHeight="1">
      <c r="A461" t="inlineStr">
        <is>
          <t>A 61042-2024</t>
        </is>
      </c>
      <c r="B461" s="1" t="n">
        <v>45645.47609953704</v>
      </c>
      <c r="C461" s="1" t="n">
        <v>45904</v>
      </c>
      <c r="D461" t="inlineStr">
        <is>
          <t>JÄMTLANDS LÄN</t>
        </is>
      </c>
      <c r="E461" t="inlineStr">
        <is>
          <t>HÄRJEDALEN</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57840-2024</t>
        </is>
      </c>
      <c r="B462" s="1" t="n">
        <v>45631</v>
      </c>
      <c r="C462" s="1" t="n">
        <v>45904</v>
      </c>
      <c r="D462" t="inlineStr">
        <is>
          <t>JÄMTLANDS LÄN</t>
        </is>
      </c>
      <c r="E462" t="inlineStr">
        <is>
          <t>HÄRJEDALEN</t>
        </is>
      </c>
      <c r="F462" t="inlineStr">
        <is>
          <t>Bergvik skog väst AB</t>
        </is>
      </c>
      <c r="G462" t="n">
        <v>98.8</v>
      </c>
      <c r="H462" t="n">
        <v>0</v>
      </c>
      <c r="I462" t="n">
        <v>0</v>
      </c>
      <c r="J462" t="n">
        <v>0</v>
      </c>
      <c r="K462" t="n">
        <v>0</v>
      </c>
      <c r="L462" t="n">
        <v>0</v>
      </c>
      <c r="M462" t="n">
        <v>0</v>
      </c>
      <c r="N462" t="n">
        <v>0</v>
      </c>
      <c r="O462" t="n">
        <v>0</v>
      </c>
      <c r="P462" t="n">
        <v>0</v>
      </c>
      <c r="Q462" t="n">
        <v>0</v>
      </c>
      <c r="R462" s="2" t="inlineStr"/>
    </row>
    <row r="463" ht="15" customHeight="1">
      <c r="A463" t="inlineStr">
        <is>
          <t>A 23351-2025</t>
        </is>
      </c>
      <c r="B463" s="1" t="n">
        <v>45791</v>
      </c>
      <c r="C463" s="1" t="n">
        <v>45904</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24096-2025</t>
        </is>
      </c>
      <c r="B464" s="1" t="n">
        <v>45796.57802083333</v>
      </c>
      <c r="C464" s="1" t="n">
        <v>45904</v>
      </c>
      <c r="D464" t="inlineStr">
        <is>
          <t>JÄMTLANDS LÄN</t>
        </is>
      </c>
      <c r="E464" t="inlineStr">
        <is>
          <t>HÄRJEDALEN</t>
        </is>
      </c>
      <c r="G464" t="n">
        <v>14.4</v>
      </c>
      <c r="H464" t="n">
        <v>0</v>
      </c>
      <c r="I464" t="n">
        <v>0</v>
      </c>
      <c r="J464" t="n">
        <v>0</v>
      </c>
      <c r="K464" t="n">
        <v>0</v>
      </c>
      <c r="L464" t="n">
        <v>0</v>
      </c>
      <c r="M464" t="n">
        <v>0</v>
      </c>
      <c r="N464" t="n">
        <v>0</v>
      </c>
      <c r="O464" t="n">
        <v>0</v>
      </c>
      <c r="P464" t="n">
        <v>0</v>
      </c>
      <c r="Q464" t="n">
        <v>0</v>
      </c>
      <c r="R464" s="2" t="inlineStr"/>
    </row>
    <row r="465" ht="15" customHeight="1">
      <c r="A465" t="inlineStr">
        <is>
          <t>A 56587-2023</t>
        </is>
      </c>
      <c r="B465" s="1" t="n">
        <v>45243.63798611111</v>
      </c>
      <c r="C465" s="1" t="n">
        <v>45904</v>
      </c>
      <c r="D465" t="inlineStr">
        <is>
          <t>JÄMTLANDS LÄN</t>
        </is>
      </c>
      <c r="E465" t="inlineStr">
        <is>
          <t>HÄRJEDALEN</t>
        </is>
      </c>
      <c r="G465" t="n">
        <v>13.4</v>
      </c>
      <c r="H465" t="n">
        <v>0</v>
      </c>
      <c r="I465" t="n">
        <v>0</v>
      </c>
      <c r="J465" t="n">
        <v>0</v>
      </c>
      <c r="K465" t="n">
        <v>0</v>
      </c>
      <c r="L465" t="n">
        <v>0</v>
      </c>
      <c r="M465" t="n">
        <v>0</v>
      </c>
      <c r="N465" t="n">
        <v>0</v>
      </c>
      <c r="O465" t="n">
        <v>0</v>
      </c>
      <c r="P465" t="n">
        <v>0</v>
      </c>
      <c r="Q465" t="n">
        <v>0</v>
      </c>
      <c r="R465" s="2" t="inlineStr"/>
    </row>
    <row r="466" ht="15" customHeight="1">
      <c r="A466" t="inlineStr">
        <is>
          <t>A 40596-2022</t>
        </is>
      </c>
      <c r="B466" s="1" t="n">
        <v>44823.84673611111</v>
      </c>
      <c r="C466" s="1" t="n">
        <v>45904</v>
      </c>
      <c r="D466" t="inlineStr">
        <is>
          <t>JÄMTLANDS LÄN</t>
        </is>
      </c>
      <c r="E466" t="inlineStr">
        <is>
          <t>HÄRJEDALEN</t>
        </is>
      </c>
      <c r="G466" t="n">
        <v>2.9</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45904</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24226-2025</t>
        </is>
      </c>
      <c r="B468" s="1" t="n">
        <v>45797.37096064815</v>
      </c>
      <c r="C468" s="1" t="n">
        <v>45904</v>
      </c>
      <c r="D468" t="inlineStr">
        <is>
          <t>JÄMTLANDS LÄN</t>
        </is>
      </c>
      <c r="E468" t="inlineStr">
        <is>
          <t>HÄRJEDALEN</t>
        </is>
      </c>
      <c r="G468" t="n">
        <v>28.7</v>
      </c>
      <c r="H468" t="n">
        <v>0</v>
      </c>
      <c r="I468" t="n">
        <v>0</v>
      </c>
      <c r="J468" t="n">
        <v>0</v>
      </c>
      <c r="K468" t="n">
        <v>0</v>
      </c>
      <c r="L468" t="n">
        <v>0</v>
      </c>
      <c r="M468" t="n">
        <v>0</v>
      </c>
      <c r="N468" t="n">
        <v>0</v>
      </c>
      <c r="O468" t="n">
        <v>0</v>
      </c>
      <c r="P468" t="n">
        <v>0</v>
      </c>
      <c r="Q468" t="n">
        <v>0</v>
      </c>
      <c r="R468" s="2" t="inlineStr"/>
    </row>
    <row r="469" ht="15" customHeight="1">
      <c r="A469" t="inlineStr">
        <is>
          <t>A 11528-2022</t>
        </is>
      </c>
      <c r="B469" s="1" t="n">
        <v>44631.37701388889</v>
      </c>
      <c r="C469" s="1" t="n">
        <v>45904</v>
      </c>
      <c r="D469" t="inlineStr">
        <is>
          <t>JÄMTLANDS LÄN</t>
        </is>
      </c>
      <c r="E469" t="inlineStr">
        <is>
          <t>HÄRJEDALEN</t>
        </is>
      </c>
      <c r="F469" t="inlineStr">
        <is>
          <t>Holmen skog AB</t>
        </is>
      </c>
      <c r="G469" t="n">
        <v>6.1</v>
      </c>
      <c r="H469" t="n">
        <v>0</v>
      </c>
      <c r="I469" t="n">
        <v>0</v>
      </c>
      <c r="J469" t="n">
        <v>0</v>
      </c>
      <c r="K469" t="n">
        <v>0</v>
      </c>
      <c r="L469" t="n">
        <v>0</v>
      </c>
      <c r="M469" t="n">
        <v>0</v>
      </c>
      <c r="N469" t="n">
        <v>0</v>
      </c>
      <c r="O469" t="n">
        <v>0</v>
      </c>
      <c r="P469" t="n">
        <v>0</v>
      </c>
      <c r="Q469" t="n">
        <v>0</v>
      </c>
      <c r="R469" s="2" t="inlineStr"/>
    </row>
    <row r="470" ht="15" customHeight="1">
      <c r="A470" t="inlineStr">
        <is>
          <t>A 55318-2024</t>
        </is>
      </c>
      <c r="B470" s="1" t="n">
        <v>45621</v>
      </c>
      <c r="C470" s="1" t="n">
        <v>45904</v>
      </c>
      <c r="D470" t="inlineStr">
        <is>
          <t>JÄMTLANDS LÄN</t>
        </is>
      </c>
      <c r="E470" t="inlineStr">
        <is>
          <t>HÄRJEDALEN</t>
        </is>
      </c>
      <c r="F470" t="inlineStr">
        <is>
          <t>Bergvik skog väst AB</t>
        </is>
      </c>
      <c r="G470" t="n">
        <v>136.1</v>
      </c>
      <c r="H470" t="n">
        <v>0</v>
      </c>
      <c r="I470" t="n">
        <v>0</v>
      </c>
      <c r="J470" t="n">
        <v>0</v>
      </c>
      <c r="K470" t="n">
        <v>0</v>
      </c>
      <c r="L470" t="n">
        <v>0</v>
      </c>
      <c r="M470" t="n">
        <v>0</v>
      </c>
      <c r="N470" t="n">
        <v>0</v>
      </c>
      <c r="O470" t="n">
        <v>0</v>
      </c>
      <c r="P470" t="n">
        <v>0</v>
      </c>
      <c r="Q470" t="n">
        <v>0</v>
      </c>
      <c r="R470" s="2" t="inlineStr"/>
    </row>
    <row r="471" ht="15" customHeight="1">
      <c r="A471" t="inlineStr">
        <is>
          <t>A 4752-2025</t>
        </is>
      </c>
      <c r="B471" s="1" t="n">
        <v>45688.46570601852</v>
      </c>
      <c r="C471" s="1" t="n">
        <v>45904</v>
      </c>
      <c r="D471" t="inlineStr">
        <is>
          <t>JÄMTLANDS LÄN</t>
        </is>
      </c>
      <c r="E471" t="inlineStr">
        <is>
          <t>HÄRJEDALEN</t>
        </is>
      </c>
      <c r="F471" t="inlineStr">
        <is>
          <t>Bergvik skog väst AB</t>
        </is>
      </c>
      <c r="G471" t="n">
        <v>7.1</v>
      </c>
      <c r="H471" t="n">
        <v>0</v>
      </c>
      <c r="I471" t="n">
        <v>0</v>
      </c>
      <c r="J471" t="n">
        <v>0</v>
      </c>
      <c r="K471" t="n">
        <v>0</v>
      </c>
      <c r="L471" t="n">
        <v>0</v>
      </c>
      <c r="M471" t="n">
        <v>0</v>
      </c>
      <c r="N471" t="n">
        <v>0</v>
      </c>
      <c r="O471" t="n">
        <v>0</v>
      </c>
      <c r="P471" t="n">
        <v>0</v>
      </c>
      <c r="Q471" t="n">
        <v>0</v>
      </c>
      <c r="R471" s="2" t="inlineStr"/>
    </row>
    <row r="472" ht="15" customHeight="1">
      <c r="A472" t="inlineStr">
        <is>
          <t>A 51601-2024</t>
        </is>
      </c>
      <c r="B472" s="1" t="n">
        <v>45604.66936342593</v>
      </c>
      <c r="C472" s="1" t="n">
        <v>45904</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48213-2023</t>
        </is>
      </c>
      <c r="B473" s="1" t="n">
        <v>45205</v>
      </c>
      <c r="C473" s="1" t="n">
        <v>45904</v>
      </c>
      <c r="D473" t="inlineStr">
        <is>
          <t>JÄMTLANDS LÄN</t>
        </is>
      </c>
      <c r="E473" t="inlineStr">
        <is>
          <t>HÄRJEDALEN</t>
        </is>
      </c>
      <c r="G473" t="n">
        <v>12.2</v>
      </c>
      <c r="H473" t="n">
        <v>0</v>
      </c>
      <c r="I473" t="n">
        <v>0</v>
      </c>
      <c r="J473" t="n">
        <v>0</v>
      </c>
      <c r="K473" t="n">
        <v>0</v>
      </c>
      <c r="L473" t="n">
        <v>0</v>
      </c>
      <c r="M473" t="n">
        <v>0</v>
      </c>
      <c r="N473" t="n">
        <v>0</v>
      </c>
      <c r="O473" t="n">
        <v>0</v>
      </c>
      <c r="P473" t="n">
        <v>0</v>
      </c>
      <c r="Q473" t="n">
        <v>0</v>
      </c>
      <c r="R473" s="2" t="inlineStr"/>
    </row>
    <row r="474" ht="15" customHeight="1">
      <c r="A474" t="inlineStr">
        <is>
          <t>A 30499-2025</t>
        </is>
      </c>
      <c r="B474" s="1" t="n">
        <v>45830</v>
      </c>
      <c r="C474" s="1" t="n">
        <v>45904</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30500-2025</t>
        </is>
      </c>
      <c r="B475" s="1" t="n">
        <v>45830</v>
      </c>
      <c r="C475" s="1" t="n">
        <v>45904</v>
      </c>
      <c r="D475" t="inlineStr">
        <is>
          <t>JÄMTLANDS LÄN</t>
        </is>
      </c>
      <c r="E475" t="inlineStr">
        <is>
          <t>HÄRJEDALEN</t>
        </is>
      </c>
      <c r="G475" t="n">
        <v>2</v>
      </c>
      <c r="H475" t="n">
        <v>0</v>
      </c>
      <c r="I475" t="n">
        <v>0</v>
      </c>
      <c r="J475" t="n">
        <v>0</v>
      </c>
      <c r="K475" t="n">
        <v>0</v>
      </c>
      <c r="L475" t="n">
        <v>0</v>
      </c>
      <c r="M475" t="n">
        <v>0</v>
      </c>
      <c r="N475" t="n">
        <v>0</v>
      </c>
      <c r="O475" t="n">
        <v>0</v>
      </c>
      <c r="P475" t="n">
        <v>0</v>
      </c>
      <c r="Q475" t="n">
        <v>0</v>
      </c>
      <c r="R475" s="2" t="inlineStr"/>
    </row>
    <row r="476" ht="15" customHeight="1">
      <c r="A476" t="inlineStr">
        <is>
          <t>A 30501-2025</t>
        </is>
      </c>
      <c r="B476" s="1" t="n">
        <v>45830</v>
      </c>
      <c r="C476" s="1" t="n">
        <v>45904</v>
      </c>
      <c r="D476" t="inlineStr">
        <is>
          <t>JÄMTLANDS LÄN</t>
        </is>
      </c>
      <c r="E476" t="inlineStr">
        <is>
          <t>HÄRJEDALEN</t>
        </is>
      </c>
      <c r="G476" t="n">
        <v>17</v>
      </c>
      <c r="H476" t="n">
        <v>0</v>
      </c>
      <c r="I476" t="n">
        <v>0</v>
      </c>
      <c r="J476" t="n">
        <v>0</v>
      </c>
      <c r="K476" t="n">
        <v>0</v>
      </c>
      <c r="L476" t="n">
        <v>0</v>
      </c>
      <c r="M476" t="n">
        <v>0</v>
      </c>
      <c r="N476" t="n">
        <v>0</v>
      </c>
      <c r="O476" t="n">
        <v>0</v>
      </c>
      <c r="P476" t="n">
        <v>0</v>
      </c>
      <c r="Q476" t="n">
        <v>0</v>
      </c>
      <c r="R476" s="2" t="inlineStr"/>
    </row>
    <row r="477" ht="15" customHeight="1">
      <c r="A477" t="inlineStr">
        <is>
          <t>A 23474-2024</t>
        </is>
      </c>
      <c r="B477" s="1" t="n">
        <v>45453.6672800926</v>
      </c>
      <c r="C477" s="1" t="n">
        <v>45904</v>
      </c>
      <c r="D477" t="inlineStr">
        <is>
          <t>JÄMTLANDS LÄN</t>
        </is>
      </c>
      <c r="E477" t="inlineStr">
        <is>
          <t>HÄRJEDALEN</t>
        </is>
      </c>
      <c r="G477" t="n">
        <v>8.5</v>
      </c>
      <c r="H477" t="n">
        <v>0</v>
      </c>
      <c r="I477" t="n">
        <v>0</v>
      </c>
      <c r="J477" t="n">
        <v>0</v>
      </c>
      <c r="K477" t="n">
        <v>0</v>
      </c>
      <c r="L477" t="n">
        <v>0</v>
      </c>
      <c r="M477" t="n">
        <v>0</v>
      </c>
      <c r="N477" t="n">
        <v>0</v>
      </c>
      <c r="O477" t="n">
        <v>0</v>
      </c>
      <c r="P477" t="n">
        <v>0</v>
      </c>
      <c r="Q477" t="n">
        <v>0</v>
      </c>
      <c r="R477" s="2" t="inlineStr"/>
    </row>
    <row r="478" ht="15" customHeight="1">
      <c r="A478" t="inlineStr">
        <is>
          <t>A 10012-2023</t>
        </is>
      </c>
      <c r="B478" s="1" t="n">
        <v>44985.6125</v>
      </c>
      <c r="C478" s="1" t="n">
        <v>45904</v>
      </c>
      <c r="D478" t="inlineStr">
        <is>
          <t>JÄMTLANDS LÄN</t>
        </is>
      </c>
      <c r="E478" t="inlineStr">
        <is>
          <t>HÄRJEDALEN</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62708-2022</t>
        </is>
      </c>
      <c r="B479" s="1" t="n">
        <v>44925.60457175926</v>
      </c>
      <c r="C479" s="1" t="n">
        <v>45904</v>
      </c>
      <c r="D479" t="inlineStr">
        <is>
          <t>JÄMTLANDS LÄN</t>
        </is>
      </c>
      <c r="E479" t="inlineStr">
        <is>
          <t>HÄRJEDALEN</t>
        </is>
      </c>
      <c r="F479" t="inlineStr">
        <is>
          <t>Holmen skog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62724-2022</t>
        </is>
      </c>
      <c r="B480" s="1" t="n">
        <v>44925.64309027778</v>
      </c>
      <c r="C480" s="1" t="n">
        <v>45904</v>
      </c>
      <c r="D480" t="inlineStr">
        <is>
          <t>JÄMTLANDS LÄN</t>
        </is>
      </c>
      <c r="E480" t="inlineStr">
        <is>
          <t>HÄRJEDALEN</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35-2023</t>
        </is>
      </c>
      <c r="B481" s="1" t="n">
        <v>44928.36418981481</v>
      </c>
      <c r="C481" s="1" t="n">
        <v>45904</v>
      </c>
      <c r="D481" t="inlineStr">
        <is>
          <t>JÄMTLANDS LÄN</t>
        </is>
      </c>
      <c r="E481" t="inlineStr">
        <is>
          <t>HÄRJEDALEN</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25024-2025</t>
        </is>
      </c>
      <c r="B482" s="1" t="n">
        <v>45799.64804398148</v>
      </c>
      <c r="C482" s="1" t="n">
        <v>45904</v>
      </c>
      <c r="D482" t="inlineStr">
        <is>
          <t>JÄMTLANDS LÄN</t>
        </is>
      </c>
      <c r="E482" t="inlineStr">
        <is>
          <t>HÄRJEDALEN</t>
        </is>
      </c>
      <c r="F482" t="inlineStr">
        <is>
          <t>Bergvik skog väst AB</t>
        </is>
      </c>
      <c r="G482" t="n">
        <v>31.2</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45904</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45904</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53002-2024</t>
        </is>
      </c>
      <c r="B485" s="1" t="n">
        <v>45611.38759259259</v>
      </c>
      <c r="C485" s="1" t="n">
        <v>45904</v>
      </c>
      <c r="D485" t="inlineStr">
        <is>
          <t>JÄMTLANDS LÄN</t>
        </is>
      </c>
      <c r="E485" t="inlineStr">
        <is>
          <t>HÄRJEDALEN</t>
        </is>
      </c>
      <c r="G485" t="n">
        <v>7.7</v>
      </c>
      <c r="H485" t="n">
        <v>0</v>
      </c>
      <c r="I485" t="n">
        <v>0</v>
      </c>
      <c r="J485" t="n">
        <v>0</v>
      </c>
      <c r="K485" t="n">
        <v>0</v>
      </c>
      <c r="L485" t="n">
        <v>0</v>
      </c>
      <c r="M485" t="n">
        <v>0</v>
      </c>
      <c r="N485" t="n">
        <v>0</v>
      </c>
      <c r="O485" t="n">
        <v>0</v>
      </c>
      <c r="P485" t="n">
        <v>0</v>
      </c>
      <c r="Q485" t="n">
        <v>0</v>
      </c>
      <c r="R485" s="2" t="inlineStr"/>
    </row>
    <row r="486" ht="15" customHeight="1">
      <c r="A486" t="inlineStr">
        <is>
          <t>A 2510-2025</t>
        </is>
      </c>
      <c r="B486" s="1" t="n">
        <v>45674.57393518519</v>
      </c>
      <c r="C486" s="1" t="n">
        <v>45904</v>
      </c>
      <c r="D486" t="inlineStr">
        <is>
          <t>JÄMTLANDS LÄN</t>
        </is>
      </c>
      <c r="E486" t="inlineStr">
        <is>
          <t>HÄRJEDALEN</t>
        </is>
      </c>
      <c r="G486" t="n">
        <v>0.8</v>
      </c>
      <c r="H486" t="n">
        <v>0</v>
      </c>
      <c r="I486" t="n">
        <v>0</v>
      </c>
      <c r="J486" t="n">
        <v>0</v>
      </c>
      <c r="K486" t="n">
        <v>0</v>
      </c>
      <c r="L486" t="n">
        <v>0</v>
      </c>
      <c r="M486" t="n">
        <v>0</v>
      </c>
      <c r="N486" t="n">
        <v>0</v>
      </c>
      <c r="O486" t="n">
        <v>0</v>
      </c>
      <c r="P486" t="n">
        <v>0</v>
      </c>
      <c r="Q486" t="n">
        <v>0</v>
      </c>
      <c r="R486" s="2" t="inlineStr"/>
    </row>
    <row r="487" ht="15" customHeight="1">
      <c r="A487" t="inlineStr">
        <is>
          <t>A 24842-2025</t>
        </is>
      </c>
      <c r="B487" s="1" t="n">
        <v>45799.4658912037</v>
      </c>
      <c r="C487" s="1" t="n">
        <v>45904</v>
      </c>
      <c r="D487" t="inlineStr">
        <is>
          <t>JÄMTLANDS LÄN</t>
        </is>
      </c>
      <c r="E487" t="inlineStr">
        <is>
          <t>HÄRJEDALEN</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24844-2025</t>
        </is>
      </c>
      <c r="B488" s="1" t="n">
        <v>45799.46642361111</v>
      </c>
      <c r="C488" s="1" t="n">
        <v>45904</v>
      </c>
      <c r="D488" t="inlineStr">
        <is>
          <t>JÄMTLANDS LÄN</t>
        </is>
      </c>
      <c r="E488" t="inlineStr">
        <is>
          <t>HÄRJEDALEN</t>
        </is>
      </c>
      <c r="G488" t="n">
        <v>3.6</v>
      </c>
      <c r="H488" t="n">
        <v>0</v>
      </c>
      <c r="I488" t="n">
        <v>0</v>
      </c>
      <c r="J488" t="n">
        <v>0</v>
      </c>
      <c r="K488" t="n">
        <v>0</v>
      </c>
      <c r="L488" t="n">
        <v>0</v>
      </c>
      <c r="M488" t="n">
        <v>0</v>
      </c>
      <c r="N488" t="n">
        <v>0</v>
      </c>
      <c r="O488" t="n">
        <v>0</v>
      </c>
      <c r="P488" t="n">
        <v>0</v>
      </c>
      <c r="Q488" t="n">
        <v>0</v>
      </c>
      <c r="R488" s="2" t="inlineStr"/>
    </row>
    <row r="489" ht="15" customHeight="1">
      <c r="A489" t="inlineStr">
        <is>
          <t>A 30498-2025</t>
        </is>
      </c>
      <c r="B489" s="1" t="n">
        <v>45830</v>
      </c>
      <c r="C489" s="1" t="n">
        <v>45904</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16535-2024</t>
        </is>
      </c>
      <c r="B490" s="1" t="n">
        <v>45408</v>
      </c>
      <c r="C490" s="1" t="n">
        <v>45904</v>
      </c>
      <c r="D490" t="inlineStr">
        <is>
          <t>JÄMTLANDS LÄN</t>
        </is>
      </c>
      <c r="E490" t="inlineStr">
        <is>
          <t>HÄRJEDALEN</t>
        </is>
      </c>
      <c r="G490" t="n">
        <v>3.7</v>
      </c>
      <c r="H490" t="n">
        <v>0</v>
      </c>
      <c r="I490" t="n">
        <v>0</v>
      </c>
      <c r="J490" t="n">
        <v>0</v>
      </c>
      <c r="K490" t="n">
        <v>0</v>
      </c>
      <c r="L490" t="n">
        <v>0</v>
      </c>
      <c r="M490" t="n">
        <v>0</v>
      </c>
      <c r="N490" t="n">
        <v>0</v>
      </c>
      <c r="O490" t="n">
        <v>0</v>
      </c>
      <c r="P490" t="n">
        <v>0</v>
      </c>
      <c r="Q490" t="n">
        <v>0</v>
      </c>
      <c r="R490" s="2" t="inlineStr"/>
    </row>
    <row r="491" ht="15" customHeight="1">
      <c r="A491" t="inlineStr">
        <is>
          <t>A 29631-2024</t>
        </is>
      </c>
      <c r="B491" s="1" t="n">
        <v>45484.66521990741</v>
      </c>
      <c r="C491" s="1" t="n">
        <v>45904</v>
      </c>
      <c r="D491" t="inlineStr">
        <is>
          <t>JÄMTLANDS LÄN</t>
        </is>
      </c>
      <c r="E491" t="inlineStr">
        <is>
          <t>HÄRJEDALEN</t>
        </is>
      </c>
      <c r="F491" t="inlineStr">
        <is>
          <t>Holmen skog AB</t>
        </is>
      </c>
      <c r="G491" t="n">
        <v>0.9</v>
      </c>
      <c r="H491" t="n">
        <v>0</v>
      </c>
      <c r="I491" t="n">
        <v>0</v>
      </c>
      <c r="J491" t="n">
        <v>0</v>
      </c>
      <c r="K491" t="n">
        <v>0</v>
      </c>
      <c r="L491" t="n">
        <v>0</v>
      </c>
      <c r="M491" t="n">
        <v>0</v>
      </c>
      <c r="N491" t="n">
        <v>0</v>
      </c>
      <c r="O491" t="n">
        <v>0</v>
      </c>
      <c r="P491" t="n">
        <v>0</v>
      </c>
      <c r="Q491" t="n">
        <v>0</v>
      </c>
      <c r="R491" s="2" t="inlineStr"/>
    </row>
    <row r="492" ht="15" customHeight="1">
      <c r="A492" t="inlineStr">
        <is>
          <t>A 31588-2024</t>
        </is>
      </c>
      <c r="B492" s="1" t="n">
        <v>45506.36702546296</v>
      </c>
      <c r="C492" s="1" t="n">
        <v>45904</v>
      </c>
      <c r="D492" t="inlineStr">
        <is>
          <t>JÄMTLANDS LÄN</t>
        </is>
      </c>
      <c r="E492" t="inlineStr">
        <is>
          <t>HÄRJEDALEN</t>
        </is>
      </c>
      <c r="G492" t="n">
        <v>11</v>
      </c>
      <c r="H492" t="n">
        <v>0</v>
      </c>
      <c r="I492" t="n">
        <v>0</v>
      </c>
      <c r="J492" t="n">
        <v>0</v>
      </c>
      <c r="K492" t="n">
        <v>0</v>
      </c>
      <c r="L492" t="n">
        <v>0</v>
      </c>
      <c r="M492" t="n">
        <v>0</v>
      </c>
      <c r="N492" t="n">
        <v>0</v>
      </c>
      <c r="O492" t="n">
        <v>0</v>
      </c>
      <c r="P492" t="n">
        <v>0</v>
      </c>
      <c r="Q492" t="n">
        <v>0</v>
      </c>
      <c r="R492" s="2" t="inlineStr"/>
    </row>
    <row r="493" ht="15" customHeight="1">
      <c r="A493" t="inlineStr">
        <is>
          <t>A 24796-2025</t>
        </is>
      </c>
      <c r="B493" s="1" t="n">
        <v>45799.43550925926</v>
      </c>
      <c r="C493" s="1" t="n">
        <v>45904</v>
      </c>
      <c r="D493" t="inlineStr">
        <is>
          <t>JÄMTLANDS LÄN</t>
        </is>
      </c>
      <c r="E493" t="inlineStr">
        <is>
          <t>HÄRJEDALEN</t>
        </is>
      </c>
      <c r="F493" t="inlineStr">
        <is>
          <t>Holmen skog AB</t>
        </is>
      </c>
      <c r="G493" t="n">
        <v>5.3</v>
      </c>
      <c r="H493" t="n">
        <v>0</v>
      </c>
      <c r="I493" t="n">
        <v>0</v>
      </c>
      <c r="J493" t="n">
        <v>0</v>
      </c>
      <c r="K493" t="n">
        <v>0</v>
      </c>
      <c r="L493" t="n">
        <v>0</v>
      </c>
      <c r="M493" t="n">
        <v>0</v>
      </c>
      <c r="N493" t="n">
        <v>0</v>
      </c>
      <c r="O493" t="n">
        <v>0</v>
      </c>
      <c r="P493" t="n">
        <v>0</v>
      </c>
      <c r="Q493" t="n">
        <v>0</v>
      </c>
      <c r="R493" s="2" t="inlineStr"/>
    </row>
    <row r="494" ht="15" customHeight="1">
      <c r="A494" t="inlineStr">
        <is>
          <t>A 24853-2025</t>
        </is>
      </c>
      <c r="B494" s="1" t="n">
        <v>45799.47225694444</v>
      </c>
      <c r="C494" s="1" t="n">
        <v>45904</v>
      </c>
      <c r="D494" t="inlineStr">
        <is>
          <t>JÄMTLANDS LÄN</t>
        </is>
      </c>
      <c r="E494" t="inlineStr">
        <is>
          <t>HÄRJEDALEN</t>
        </is>
      </c>
      <c r="F494" t="inlineStr">
        <is>
          <t>Holmen skog AB</t>
        </is>
      </c>
      <c r="G494" t="n">
        <v>57.7</v>
      </c>
      <c r="H494" t="n">
        <v>0</v>
      </c>
      <c r="I494" t="n">
        <v>0</v>
      </c>
      <c r="J494" t="n">
        <v>0</v>
      </c>
      <c r="K494" t="n">
        <v>0</v>
      </c>
      <c r="L494" t="n">
        <v>0</v>
      </c>
      <c r="M494" t="n">
        <v>0</v>
      </c>
      <c r="N494" t="n">
        <v>0</v>
      </c>
      <c r="O494" t="n">
        <v>0</v>
      </c>
      <c r="P494" t="n">
        <v>0</v>
      </c>
      <c r="Q494" t="n">
        <v>0</v>
      </c>
      <c r="R494" s="2" t="inlineStr"/>
    </row>
    <row r="495" ht="15" customHeight="1">
      <c r="A495" t="inlineStr">
        <is>
          <t>A 29580-2024</t>
        </is>
      </c>
      <c r="B495" s="1" t="n">
        <v>45484.57285879629</v>
      </c>
      <c r="C495" s="1" t="n">
        <v>45904</v>
      </c>
      <c r="D495" t="inlineStr">
        <is>
          <t>JÄMTLANDS LÄN</t>
        </is>
      </c>
      <c r="E495" t="inlineStr">
        <is>
          <t>HÄRJEDALEN</t>
        </is>
      </c>
      <c r="F495" t="inlineStr">
        <is>
          <t>Holmen skog AB</t>
        </is>
      </c>
      <c r="G495" t="n">
        <v>38.1</v>
      </c>
      <c r="H495" t="n">
        <v>0</v>
      </c>
      <c r="I495" t="n">
        <v>0</v>
      </c>
      <c r="J495" t="n">
        <v>0</v>
      </c>
      <c r="K495" t="n">
        <v>0</v>
      </c>
      <c r="L495" t="n">
        <v>0</v>
      </c>
      <c r="M495" t="n">
        <v>0</v>
      </c>
      <c r="N495" t="n">
        <v>0</v>
      </c>
      <c r="O495" t="n">
        <v>0</v>
      </c>
      <c r="P495" t="n">
        <v>0</v>
      </c>
      <c r="Q495" t="n">
        <v>0</v>
      </c>
      <c r="R495" s="2" t="inlineStr"/>
    </row>
    <row r="496" ht="15" customHeight="1">
      <c r="A496" t="inlineStr">
        <is>
          <t>A 24828-2025</t>
        </is>
      </c>
      <c r="B496" s="1" t="n">
        <v>45799.45770833334</v>
      </c>
      <c r="C496" s="1" t="n">
        <v>45904</v>
      </c>
      <c r="D496" t="inlineStr">
        <is>
          <t>JÄMTLANDS LÄN</t>
        </is>
      </c>
      <c r="E496" t="inlineStr">
        <is>
          <t>HÄRJEDALEN</t>
        </is>
      </c>
      <c r="F496" t="inlineStr">
        <is>
          <t>Holmen skog AB</t>
        </is>
      </c>
      <c r="G496" t="n">
        <v>6.2</v>
      </c>
      <c r="H496" t="n">
        <v>0</v>
      </c>
      <c r="I496" t="n">
        <v>0</v>
      </c>
      <c r="J496" t="n">
        <v>0</v>
      </c>
      <c r="K496" t="n">
        <v>0</v>
      </c>
      <c r="L496" t="n">
        <v>0</v>
      </c>
      <c r="M496" t="n">
        <v>0</v>
      </c>
      <c r="N496" t="n">
        <v>0</v>
      </c>
      <c r="O496" t="n">
        <v>0</v>
      </c>
      <c r="P496" t="n">
        <v>0</v>
      </c>
      <c r="Q496" t="n">
        <v>0</v>
      </c>
      <c r="R496" s="2" t="inlineStr"/>
    </row>
    <row r="497" ht="15" customHeight="1">
      <c r="A497" t="inlineStr">
        <is>
          <t>A 23358-2025</t>
        </is>
      </c>
      <c r="B497" s="1" t="n">
        <v>45791</v>
      </c>
      <c r="C497" s="1" t="n">
        <v>45904</v>
      </c>
      <c r="D497" t="inlineStr">
        <is>
          <t>JÄMTLANDS LÄN</t>
        </is>
      </c>
      <c r="E497" t="inlineStr">
        <is>
          <t>HÄRJEDALEN</t>
        </is>
      </c>
      <c r="G497" t="n">
        <v>1.2</v>
      </c>
      <c r="H497" t="n">
        <v>0</v>
      </c>
      <c r="I497" t="n">
        <v>0</v>
      </c>
      <c r="J497" t="n">
        <v>0</v>
      </c>
      <c r="K497" t="n">
        <v>0</v>
      </c>
      <c r="L497" t="n">
        <v>0</v>
      </c>
      <c r="M497" t="n">
        <v>0</v>
      </c>
      <c r="N497" t="n">
        <v>0</v>
      </c>
      <c r="O497" t="n">
        <v>0</v>
      </c>
      <c r="P497" t="n">
        <v>0</v>
      </c>
      <c r="Q497" t="n">
        <v>0</v>
      </c>
      <c r="R497" s="2" t="inlineStr"/>
    </row>
    <row r="498" ht="15" customHeight="1">
      <c r="A498" t="inlineStr">
        <is>
          <t>A 21531-2023</t>
        </is>
      </c>
      <c r="B498" s="1" t="n">
        <v>45063</v>
      </c>
      <c r="C498" s="1" t="n">
        <v>45904</v>
      </c>
      <c r="D498" t="inlineStr">
        <is>
          <t>JÄMTLANDS LÄN</t>
        </is>
      </c>
      <c r="E498" t="inlineStr">
        <is>
          <t>HÄRJEDALEN</t>
        </is>
      </c>
      <c r="G498" t="n">
        <v>14.6</v>
      </c>
      <c r="H498" t="n">
        <v>0</v>
      </c>
      <c r="I498" t="n">
        <v>0</v>
      </c>
      <c r="J498" t="n">
        <v>0</v>
      </c>
      <c r="K498" t="n">
        <v>0</v>
      </c>
      <c r="L498" t="n">
        <v>0</v>
      </c>
      <c r="M498" t="n">
        <v>0</v>
      </c>
      <c r="N498" t="n">
        <v>0</v>
      </c>
      <c r="O498" t="n">
        <v>0</v>
      </c>
      <c r="P498" t="n">
        <v>0</v>
      </c>
      <c r="Q498" t="n">
        <v>0</v>
      </c>
      <c r="R498" s="2" t="inlineStr"/>
    </row>
    <row r="499" ht="15" customHeight="1">
      <c r="A499" t="inlineStr">
        <is>
          <t>A 60752-2024</t>
        </is>
      </c>
      <c r="B499" s="1" t="n">
        <v>45644.56674768519</v>
      </c>
      <c r="C499" s="1" t="n">
        <v>45904</v>
      </c>
      <c r="D499" t="inlineStr">
        <is>
          <t>JÄMTLANDS LÄN</t>
        </is>
      </c>
      <c r="E499" t="inlineStr">
        <is>
          <t>HÄRJEDALEN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24963-2025</t>
        </is>
      </c>
      <c r="B500" s="1" t="n">
        <v>45799.57883101852</v>
      </c>
      <c r="C500" s="1" t="n">
        <v>45904</v>
      </c>
      <c r="D500" t="inlineStr">
        <is>
          <t>JÄMTLANDS LÄN</t>
        </is>
      </c>
      <c r="E500" t="inlineStr">
        <is>
          <t>HÄRJEDALEN</t>
        </is>
      </c>
      <c r="G500" t="n">
        <v>3.5</v>
      </c>
      <c r="H500" t="n">
        <v>0</v>
      </c>
      <c r="I500" t="n">
        <v>0</v>
      </c>
      <c r="J500" t="n">
        <v>0</v>
      </c>
      <c r="K500" t="n">
        <v>0</v>
      </c>
      <c r="L500" t="n">
        <v>0</v>
      </c>
      <c r="M500" t="n">
        <v>0</v>
      </c>
      <c r="N500" t="n">
        <v>0</v>
      </c>
      <c r="O500" t="n">
        <v>0</v>
      </c>
      <c r="P500" t="n">
        <v>0</v>
      </c>
      <c r="Q500" t="n">
        <v>0</v>
      </c>
      <c r="R500" s="2" t="inlineStr"/>
    </row>
    <row r="501" ht="15" customHeight="1">
      <c r="A501" t="inlineStr">
        <is>
          <t>A 8091-2025</t>
        </is>
      </c>
      <c r="B501" s="1" t="n">
        <v>45707</v>
      </c>
      <c r="C501" s="1" t="n">
        <v>45904</v>
      </c>
      <c r="D501" t="inlineStr">
        <is>
          <t>JÄMTLANDS LÄN</t>
        </is>
      </c>
      <c r="E501" t="inlineStr">
        <is>
          <t>HÄRJEDALEN</t>
        </is>
      </c>
      <c r="G501" t="n">
        <v>3.3</v>
      </c>
      <c r="H501" t="n">
        <v>0</v>
      </c>
      <c r="I501" t="n">
        <v>0</v>
      </c>
      <c r="J501" t="n">
        <v>0</v>
      </c>
      <c r="K501" t="n">
        <v>0</v>
      </c>
      <c r="L501" t="n">
        <v>0</v>
      </c>
      <c r="M501" t="n">
        <v>0</v>
      </c>
      <c r="N501" t="n">
        <v>0</v>
      </c>
      <c r="O501" t="n">
        <v>0</v>
      </c>
      <c r="P501" t="n">
        <v>0</v>
      </c>
      <c r="Q501" t="n">
        <v>0</v>
      </c>
      <c r="R501" s="2" t="inlineStr"/>
    </row>
    <row r="502" ht="15" customHeight="1">
      <c r="A502" t="inlineStr">
        <is>
          <t>A 8095-2025</t>
        </is>
      </c>
      <c r="B502" s="1" t="n">
        <v>45707</v>
      </c>
      <c r="C502" s="1" t="n">
        <v>45904</v>
      </c>
      <c r="D502" t="inlineStr">
        <is>
          <t>JÄMTLANDS LÄN</t>
        </is>
      </c>
      <c r="E502" t="inlineStr">
        <is>
          <t>HÄRJEDALEN</t>
        </is>
      </c>
      <c r="G502" t="n">
        <v>2.4</v>
      </c>
      <c r="H502" t="n">
        <v>0</v>
      </c>
      <c r="I502" t="n">
        <v>0</v>
      </c>
      <c r="J502" t="n">
        <v>0</v>
      </c>
      <c r="K502" t="n">
        <v>0</v>
      </c>
      <c r="L502" t="n">
        <v>0</v>
      </c>
      <c r="M502" t="n">
        <v>0</v>
      </c>
      <c r="N502" t="n">
        <v>0</v>
      </c>
      <c r="O502" t="n">
        <v>0</v>
      </c>
      <c r="P502" t="n">
        <v>0</v>
      </c>
      <c r="Q502" t="n">
        <v>0</v>
      </c>
      <c r="R502" s="2" t="inlineStr"/>
    </row>
    <row r="503" ht="15" customHeight="1">
      <c r="A503" t="inlineStr">
        <is>
          <t>A 24791-2025</t>
        </is>
      </c>
      <c r="B503" s="1" t="n">
        <v>45799.43086805556</v>
      </c>
      <c r="C503" s="1" t="n">
        <v>45904</v>
      </c>
      <c r="D503" t="inlineStr">
        <is>
          <t>JÄMTLANDS LÄN</t>
        </is>
      </c>
      <c r="E503" t="inlineStr">
        <is>
          <t>HÄRJEDALEN</t>
        </is>
      </c>
      <c r="F503" t="inlineStr">
        <is>
          <t>Holmen skog AB</t>
        </is>
      </c>
      <c r="G503" t="n">
        <v>5.1</v>
      </c>
      <c r="H503" t="n">
        <v>0</v>
      </c>
      <c r="I503" t="n">
        <v>0</v>
      </c>
      <c r="J503" t="n">
        <v>0</v>
      </c>
      <c r="K503" t="n">
        <v>0</v>
      </c>
      <c r="L503" t="n">
        <v>0</v>
      </c>
      <c r="M503" t="n">
        <v>0</v>
      </c>
      <c r="N503" t="n">
        <v>0</v>
      </c>
      <c r="O503" t="n">
        <v>0</v>
      </c>
      <c r="P503" t="n">
        <v>0</v>
      </c>
      <c r="Q503" t="n">
        <v>0</v>
      </c>
      <c r="R503" s="2" t="inlineStr"/>
    </row>
    <row r="504" ht="15" customHeight="1">
      <c r="A504" t="inlineStr">
        <is>
          <t>A 15003-2025</t>
        </is>
      </c>
      <c r="B504" s="1" t="n">
        <v>45743.61899305556</v>
      </c>
      <c r="C504" s="1" t="n">
        <v>45904</v>
      </c>
      <c r="D504" t="inlineStr">
        <is>
          <t>JÄMTLANDS LÄN</t>
        </is>
      </c>
      <c r="E504" t="inlineStr">
        <is>
          <t>HÄRJEDALEN</t>
        </is>
      </c>
      <c r="G504" t="n">
        <v>0.3</v>
      </c>
      <c r="H504" t="n">
        <v>0</v>
      </c>
      <c r="I504" t="n">
        <v>0</v>
      </c>
      <c r="J504" t="n">
        <v>0</v>
      </c>
      <c r="K504" t="n">
        <v>0</v>
      </c>
      <c r="L504" t="n">
        <v>0</v>
      </c>
      <c r="M504" t="n">
        <v>0</v>
      </c>
      <c r="N504" t="n">
        <v>0</v>
      </c>
      <c r="O504" t="n">
        <v>0</v>
      </c>
      <c r="P504" t="n">
        <v>0</v>
      </c>
      <c r="Q504" t="n">
        <v>0</v>
      </c>
      <c r="R504" s="2" t="inlineStr"/>
    </row>
    <row r="505" ht="15" customHeight="1">
      <c r="A505" t="inlineStr">
        <is>
          <t>A 15004-2025</t>
        </is>
      </c>
      <c r="B505" s="1" t="n">
        <v>45743.62116898148</v>
      </c>
      <c r="C505" s="1" t="n">
        <v>45904</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4221-2025</t>
        </is>
      </c>
      <c r="B506" s="1" t="n">
        <v>45685.52405092592</v>
      </c>
      <c r="C506" s="1" t="n">
        <v>45904</v>
      </c>
      <c r="D506" t="inlineStr">
        <is>
          <t>JÄMTLANDS LÄN</t>
        </is>
      </c>
      <c r="E506" t="inlineStr">
        <is>
          <t>HÄRJEDALEN</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25383-2025</t>
        </is>
      </c>
      <c r="B507" s="1" t="n">
        <v>45800.64065972222</v>
      </c>
      <c r="C507" s="1" t="n">
        <v>45904</v>
      </c>
      <c r="D507" t="inlineStr">
        <is>
          <t>JÄMTLANDS LÄN</t>
        </is>
      </c>
      <c r="E507" t="inlineStr">
        <is>
          <t>HÄRJEDALEN</t>
        </is>
      </c>
      <c r="F507" t="inlineStr">
        <is>
          <t>Holmen skog AB</t>
        </is>
      </c>
      <c r="G507" t="n">
        <v>6.2</v>
      </c>
      <c r="H507" t="n">
        <v>0</v>
      </c>
      <c r="I507" t="n">
        <v>0</v>
      </c>
      <c r="J507" t="n">
        <v>0</v>
      </c>
      <c r="K507" t="n">
        <v>0</v>
      </c>
      <c r="L507" t="n">
        <v>0</v>
      </c>
      <c r="M507" t="n">
        <v>0</v>
      </c>
      <c r="N507" t="n">
        <v>0</v>
      </c>
      <c r="O507" t="n">
        <v>0</v>
      </c>
      <c r="P507" t="n">
        <v>0</v>
      </c>
      <c r="Q507" t="n">
        <v>0</v>
      </c>
      <c r="R507" s="2" t="inlineStr"/>
    </row>
    <row r="508" ht="15" customHeight="1">
      <c r="A508" t="inlineStr">
        <is>
          <t>A 51964-2024</t>
        </is>
      </c>
      <c r="B508" s="1" t="n">
        <v>45607</v>
      </c>
      <c r="C508" s="1" t="n">
        <v>45904</v>
      </c>
      <c r="D508" t="inlineStr">
        <is>
          <t>JÄMTLANDS LÄN</t>
        </is>
      </c>
      <c r="E508" t="inlineStr">
        <is>
          <t>HÄRJEDALEN</t>
        </is>
      </c>
      <c r="F508" t="inlineStr">
        <is>
          <t>Holmen skog AB</t>
        </is>
      </c>
      <c r="G508" t="n">
        <v>5</v>
      </c>
      <c r="H508" t="n">
        <v>0</v>
      </c>
      <c r="I508" t="n">
        <v>0</v>
      </c>
      <c r="J508" t="n">
        <v>0</v>
      </c>
      <c r="K508" t="n">
        <v>0</v>
      </c>
      <c r="L508" t="n">
        <v>0</v>
      </c>
      <c r="M508" t="n">
        <v>0</v>
      </c>
      <c r="N508" t="n">
        <v>0</v>
      </c>
      <c r="O508" t="n">
        <v>0</v>
      </c>
      <c r="P508" t="n">
        <v>0</v>
      </c>
      <c r="Q508" t="n">
        <v>0</v>
      </c>
      <c r="R508" s="2" t="inlineStr"/>
    </row>
    <row r="509" ht="15" customHeight="1">
      <c r="A509" t="inlineStr">
        <is>
          <t>A 44519-2021</t>
        </is>
      </c>
      <c r="B509" s="1" t="n">
        <v>44435</v>
      </c>
      <c r="C509" s="1" t="n">
        <v>45904</v>
      </c>
      <c r="D509" t="inlineStr">
        <is>
          <t>JÄMTLANDS LÄN</t>
        </is>
      </c>
      <c r="E509" t="inlineStr">
        <is>
          <t>HÄRJEDALEN</t>
        </is>
      </c>
      <c r="F509" t="inlineStr">
        <is>
          <t>Kyrkan</t>
        </is>
      </c>
      <c r="G509" t="n">
        <v>6.7</v>
      </c>
      <c r="H509" t="n">
        <v>0</v>
      </c>
      <c r="I509" t="n">
        <v>0</v>
      </c>
      <c r="J509" t="n">
        <v>0</v>
      </c>
      <c r="K509" t="n">
        <v>0</v>
      </c>
      <c r="L509" t="n">
        <v>0</v>
      </c>
      <c r="M509" t="n">
        <v>0</v>
      </c>
      <c r="N509" t="n">
        <v>0</v>
      </c>
      <c r="O509" t="n">
        <v>0</v>
      </c>
      <c r="P509" t="n">
        <v>0</v>
      </c>
      <c r="Q509" t="n">
        <v>0</v>
      </c>
      <c r="R509" s="2" t="inlineStr"/>
    </row>
    <row r="510" ht="15" customHeight="1">
      <c r="A510" t="inlineStr">
        <is>
          <t>A 16842-2025</t>
        </is>
      </c>
      <c r="B510" s="1" t="n">
        <v>45754.67329861111</v>
      </c>
      <c r="C510" s="1" t="n">
        <v>45904</v>
      </c>
      <c r="D510" t="inlineStr">
        <is>
          <t>JÄMTLANDS LÄN</t>
        </is>
      </c>
      <c r="E510" t="inlineStr">
        <is>
          <t>HÄRJEDALEN</t>
        </is>
      </c>
      <c r="G510" t="n">
        <v>18.6</v>
      </c>
      <c r="H510" t="n">
        <v>0</v>
      </c>
      <c r="I510" t="n">
        <v>0</v>
      </c>
      <c r="J510" t="n">
        <v>0</v>
      </c>
      <c r="K510" t="n">
        <v>0</v>
      </c>
      <c r="L510" t="n">
        <v>0</v>
      </c>
      <c r="M510" t="n">
        <v>0</v>
      </c>
      <c r="N510" t="n">
        <v>0</v>
      </c>
      <c r="O510" t="n">
        <v>0</v>
      </c>
      <c r="P510" t="n">
        <v>0</v>
      </c>
      <c r="Q510" t="n">
        <v>0</v>
      </c>
      <c r="R510" s="2" t="inlineStr"/>
    </row>
    <row r="511" ht="15" customHeight="1">
      <c r="A511" t="inlineStr">
        <is>
          <t>A 31811-2023</t>
        </is>
      </c>
      <c r="B511" s="1" t="n">
        <v>45118.47491898148</v>
      </c>
      <c r="C511" s="1" t="n">
        <v>45904</v>
      </c>
      <c r="D511" t="inlineStr">
        <is>
          <t>JÄMTLANDS LÄN</t>
        </is>
      </c>
      <c r="E511" t="inlineStr">
        <is>
          <t>HÄRJEDALEN</t>
        </is>
      </c>
      <c r="F511" t="inlineStr">
        <is>
          <t>Bergvik skog väst AB</t>
        </is>
      </c>
      <c r="G511" t="n">
        <v>12.5</v>
      </c>
      <c r="H511" t="n">
        <v>0</v>
      </c>
      <c r="I511" t="n">
        <v>0</v>
      </c>
      <c r="J511" t="n">
        <v>0</v>
      </c>
      <c r="K511" t="n">
        <v>0</v>
      </c>
      <c r="L511" t="n">
        <v>0</v>
      </c>
      <c r="M511" t="n">
        <v>0</v>
      </c>
      <c r="N511" t="n">
        <v>0</v>
      </c>
      <c r="O511" t="n">
        <v>0</v>
      </c>
      <c r="P511" t="n">
        <v>0</v>
      </c>
      <c r="Q511" t="n">
        <v>0</v>
      </c>
      <c r="R511" s="2" t="inlineStr"/>
    </row>
    <row r="512" ht="15" customHeight="1">
      <c r="A512" t="inlineStr">
        <is>
          <t>A 12462-2023</t>
        </is>
      </c>
      <c r="B512" s="1" t="n">
        <v>44999.60127314815</v>
      </c>
      <c r="C512" s="1" t="n">
        <v>45904</v>
      </c>
      <c r="D512" t="inlineStr">
        <is>
          <t>JÄMTLANDS LÄN</t>
        </is>
      </c>
      <c r="E512" t="inlineStr">
        <is>
          <t>HÄRJEDALEN</t>
        </is>
      </c>
      <c r="G512" t="n">
        <v>7.8</v>
      </c>
      <c r="H512" t="n">
        <v>0</v>
      </c>
      <c r="I512" t="n">
        <v>0</v>
      </c>
      <c r="J512" t="n">
        <v>0</v>
      </c>
      <c r="K512" t="n">
        <v>0</v>
      </c>
      <c r="L512" t="n">
        <v>0</v>
      </c>
      <c r="M512" t="n">
        <v>0</v>
      </c>
      <c r="N512" t="n">
        <v>0</v>
      </c>
      <c r="O512" t="n">
        <v>0</v>
      </c>
      <c r="P512" t="n">
        <v>0</v>
      </c>
      <c r="Q512" t="n">
        <v>0</v>
      </c>
      <c r="R512" s="2" t="inlineStr"/>
    </row>
    <row r="513" ht="15" customHeight="1">
      <c r="A513" t="inlineStr">
        <is>
          <t>A 848-2025</t>
        </is>
      </c>
      <c r="B513" s="1" t="n">
        <v>45665.59925925926</v>
      </c>
      <c r="C513" s="1" t="n">
        <v>45904</v>
      </c>
      <c r="D513" t="inlineStr">
        <is>
          <t>JÄMTLANDS LÄN</t>
        </is>
      </c>
      <c r="E513" t="inlineStr">
        <is>
          <t>HÄRJEDALEN</t>
        </is>
      </c>
      <c r="G513" t="n">
        <v>1.1</v>
      </c>
      <c r="H513" t="n">
        <v>0</v>
      </c>
      <c r="I513" t="n">
        <v>0</v>
      </c>
      <c r="J513" t="n">
        <v>0</v>
      </c>
      <c r="K513" t="n">
        <v>0</v>
      </c>
      <c r="L513" t="n">
        <v>0</v>
      </c>
      <c r="M513" t="n">
        <v>0</v>
      </c>
      <c r="N513" t="n">
        <v>0</v>
      </c>
      <c r="O513" t="n">
        <v>0</v>
      </c>
      <c r="P513" t="n">
        <v>0</v>
      </c>
      <c r="Q513" t="n">
        <v>0</v>
      </c>
      <c r="R513" s="2" t="inlineStr"/>
    </row>
    <row r="514" ht="15" customHeight="1">
      <c r="A514" t="inlineStr">
        <is>
          <t>A 25516-2025</t>
        </is>
      </c>
      <c r="B514" s="1" t="n">
        <v>45803.37480324074</v>
      </c>
      <c r="C514" s="1" t="n">
        <v>45904</v>
      </c>
      <c r="D514" t="inlineStr">
        <is>
          <t>JÄMTLANDS LÄN</t>
        </is>
      </c>
      <c r="E514" t="inlineStr">
        <is>
          <t>HÄRJEDALEN</t>
        </is>
      </c>
      <c r="G514" t="n">
        <v>5</v>
      </c>
      <c r="H514" t="n">
        <v>0</v>
      </c>
      <c r="I514" t="n">
        <v>0</v>
      </c>
      <c r="J514" t="n">
        <v>0</v>
      </c>
      <c r="K514" t="n">
        <v>0</v>
      </c>
      <c r="L514" t="n">
        <v>0</v>
      </c>
      <c r="M514" t="n">
        <v>0</v>
      </c>
      <c r="N514" t="n">
        <v>0</v>
      </c>
      <c r="O514" t="n">
        <v>0</v>
      </c>
      <c r="P514" t="n">
        <v>0</v>
      </c>
      <c r="Q514" t="n">
        <v>0</v>
      </c>
      <c r="R514" s="2" t="inlineStr"/>
    </row>
    <row r="515" ht="15" customHeight="1">
      <c r="A515" t="inlineStr">
        <is>
          <t>A 14632-2025</t>
        </is>
      </c>
      <c r="B515" s="1" t="n">
        <v>45742.42793981481</v>
      </c>
      <c r="C515" s="1" t="n">
        <v>45904</v>
      </c>
      <c r="D515" t="inlineStr">
        <is>
          <t>JÄMTLANDS LÄN</t>
        </is>
      </c>
      <c r="E515" t="inlineStr">
        <is>
          <t>HÄRJEDALEN</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55193-2023</t>
        </is>
      </c>
      <c r="B516" s="1" t="n">
        <v>45237.5815162037</v>
      </c>
      <c r="C516" s="1" t="n">
        <v>45904</v>
      </c>
      <c r="D516" t="inlineStr">
        <is>
          <t>JÄMTLANDS LÄN</t>
        </is>
      </c>
      <c r="E516" t="inlineStr">
        <is>
          <t>HÄRJEDALEN</t>
        </is>
      </c>
      <c r="G516" t="n">
        <v>2.1</v>
      </c>
      <c r="H516" t="n">
        <v>0</v>
      </c>
      <c r="I516" t="n">
        <v>0</v>
      </c>
      <c r="J516" t="n">
        <v>0</v>
      </c>
      <c r="K516" t="n">
        <v>0</v>
      </c>
      <c r="L516" t="n">
        <v>0</v>
      </c>
      <c r="M516" t="n">
        <v>0</v>
      </c>
      <c r="N516" t="n">
        <v>0</v>
      </c>
      <c r="O516" t="n">
        <v>0</v>
      </c>
      <c r="P516" t="n">
        <v>0</v>
      </c>
      <c r="Q516" t="n">
        <v>0</v>
      </c>
      <c r="R516" s="2" t="inlineStr"/>
    </row>
    <row r="517" ht="15" customHeight="1">
      <c r="A517" t="inlineStr">
        <is>
          <t>A 35813-2023</t>
        </is>
      </c>
      <c r="B517" s="1" t="n">
        <v>45147</v>
      </c>
      <c r="C517" s="1" t="n">
        <v>45904</v>
      </c>
      <c r="D517" t="inlineStr">
        <is>
          <t>JÄMTLANDS LÄN</t>
        </is>
      </c>
      <c r="E517" t="inlineStr">
        <is>
          <t>HÄRJEDALEN</t>
        </is>
      </c>
      <c r="G517" t="n">
        <v>15.1</v>
      </c>
      <c r="H517" t="n">
        <v>0</v>
      </c>
      <c r="I517" t="n">
        <v>0</v>
      </c>
      <c r="J517" t="n">
        <v>0</v>
      </c>
      <c r="K517" t="n">
        <v>0</v>
      </c>
      <c r="L517" t="n">
        <v>0</v>
      </c>
      <c r="M517" t="n">
        <v>0</v>
      </c>
      <c r="N517" t="n">
        <v>0</v>
      </c>
      <c r="O517" t="n">
        <v>0</v>
      </c>
      <c r="P517" t="n">
        <v>0</v>
      </c>
      <c r="Q517" t="n">
        <v>0</v>
      </c>
      <c r="R517" s="2" t="inlineStr"/>
    </row>
    <row r="518" ht="15" customHeight="1">
      <c r="A518" t="inlineStr">
        <is>
          <t>A 32341-2025</t>
        </is>
      </c>
      <c r="B518" s="1" t="n">
        <v>45837</v>
      </c>
      <c r="C518" s="1" t="n">
        <v>45904</v>
      </c>
      <c r="D518" t="inlineStr">
        <is>
          <t>JÄMTLANDS LÄN</t>
        </is>
      </c>
      <c r="E518" t="inlineStr">
        <is>
          <t>HÄRJEDALEN</t>
        </is>
      </c>
      <c r="G518" t="n">
        <v>19.5</v>
      </c>
      <c r="H518" t="n">
        <v>0</v>
      </c>
      <c r="I518" t="n">
        <v>0</v>
      </c>
      <c r="J518" t="n">
        <v>0</v>
      </c>
      <c r="K518" t="n">
        <v>0</v>
      </c>
      <c r="L518" t="n">
        <v>0</v>
      </c>
      <c r="M518" t="n">
        <v>0</v>
      </c>
      <c r="N518" t="n">
        <v>0</v>
      </c>
      <c r="O518" t="n">
        <v>0</v>
      </c>
      <c r="P518" t="n">
        <v>0</v>
      </c>
      <c r="Q518" t="n">
        <v>0</v>
      </c>
      <c r="R518" s="2" t="inlineStr"/>
    </row>
    <row r="519" ht="15" customHeight="1">
      <c r="A519" t="inlineStr">
        <is>
          <t>A 31723-2025</t>
        </is>
      </c>
      <c r="B519" s="1" t="n">
        <v>45834</v>
      </c>
      <c r="C519" s="1" t="n">
        <v>45904</v>
      </c>
      <c r="D519" t="inlineStr">
        <is>
          <t>JÄMTLANDS LÄN</t>
        </is>
      </c>
      <c r="E519" t="inlineStr">
        <is>
          <t>HÄRJEDALEN</t>
        </is>
      </c>
      <c r="G519" t="n">
        <v>8.9</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45904</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25380-2025</t>
        </is>
      </c>
      <c r="B521" s="1" t="n">
        <v>45800.63738425926</v>
      </c>
      <c r="C521" s="1" t="n">
        <v>45904</v>
      </c>
      <c r="D521" t="inlineStr">
        <is>
          <t>JÄMTLANDS LÄN</t>
        </is>
      </c>
      <c r="E521" t="inlineStr">
        <is>
          <t>HÄRJEDALEN</t>
        </is>
      </c>
      <c r="F521" t="inlineStr">
        <is>
          <t>Sveaskog</t>
        </is>
      </c>
      <c r="G521" t="n">
        <v>6.8</v>
      </c>
      <c r="H521" t="n">
        <v>0</v>
      </c>
      <c r="I521" t="n">
        <v>0</v>
      </c>
      <c r="J521" t="n">
        <v>0</v>
      </c>
      <c r="K521" t="n">
        <v>0</v>
      </c>
      <c r="L521" t="n">
        <v>0</v>
      </c>
      <c r="M521" t="n">
        <v>0</v>
      </c>
      <c r="N521" t="n">
        <v>0</v>
      </c>
      <c r="O521" t="n">
        <v>0</v>
      </c>
      <c r="P521" t="n">
        <v>0</v>
      </c>
      <c r="Q521" t="n">
        <v>0</v>
      </c>
      <c r="R521" s="2" t="inlineStr"/>
    </row>
    <row r="522" ht="15" customHeight="1">
      <c r="A522" t="inlineStr">
        <is>
          <t>A 25123-2025</t>
        </is>
      </c>
      <c r="B522" s="1" t="n">
        <v>45800.37524305555</v>
      </c>
      <c r="C522" s="1" t="n">
        <v>45904</v>
      </c>
      <c r="D522" t="inlineStr">
        <is>
          <t>JÄMTLANDS LÄN</t>
        </is>
      </c>
      <c r="E522" t="inlineStr">
        <is>
          <t>HÄRJEDALEN</t>
        </is>
      </c>
      <c r="F522" t="inlineStr">
        <is>
          <t>Holmen skog AB</t>
        </is>
      </c>
      <c r="G522" t="n">
        <v>4.4</v>
      </c>
      <c r="H522" t="n">
        <v>0</v>
      </c>
      <c r="I522" t="n">
        <v>0</v>
      </c>
      <c r="J522" t="n">
        <v>0</v>
      </c>
      <c r="K522" t="n">
        <v>0</v>
      </c>
      <c r="L522" t="n">
        <v>0</v>
      </c>
      <c r="M522" t="n">
        <v>0</v>
      </c>
      <c r="N522" t="n">
        <v>0</v>
      </c>
      <c r="O522" t="n">
        <v>0</v>
      </c>
      <c r="P522" t="n">
        <v>0</v>
      </c>
      <c r="Q522" t="n">
        <v>0</v>
      </c>
      <c r="R522" s="2" t="inlineStr"/>
    </row>
    <row r="523" ht="15" customHeight="1">
      <c r="A523" t="inlineStr">
        <is>
          <t>A 25325-2025</t>
        </is>
      </c>
      <c r="B523" s="1" t="n">
        <v>45800.58859953703</v>
      </c>
      <c r="C523" s="1" t="n">
        <v>45904</v>
      </c>
      <c r="D523" t="inlineStr">
        <is>
          <t>JÄMTLANDS LÄN</t>
        </is>
      </c>
      <c r="E523" t="inlineStr">
        <is>
          <t>HÄRJEDALEN</t>
        </is>
      </c>
      <c r="G523" t="n">
        <v>5.6</v>
      </c>
      <c r="H523" t="n">
        <v>0</v>
      </c>
      <c r="I523" t="n">
        <v>0</v>
      </c>
      <c r="J523" t="n">
        <v>0</v>
      </c>
      <c r="K523" t="n">
        <v>0</v>
      </c>
      <c r="L523" t="n">
        <v>0</v>
      </c>
      <c r="M523" t="n">
        <v>0</v>
      </c>
      <c r="N523" t="n">
        <v>0</v>
      </c>
      <c r="O523" t="n">
        <v>0</v>
      </c>
      <c r="P523" t="n">
        <v>0</v>
      </c>
      <c r="Q523" t="n">
        <v>0</v>
      </c>
      <c r="R523" s="2" t="inlineStr"/>
    </row>
    <row r="524" ht="15" customHeight="1">
      <c r="A524" t="inlineStr">
        <is>
          <t>A 25334-2025</t>
        </is>
      </c>
      <c r="B524" s="1" t="n">
        <v>45800.59567129629</v>
      </c>
      <c r="C524" s="1" t="n">
        <v>45904</v>
      </c>
      <c r="D524" t="inlineStr">
        <is>
          <t>JÄMTLANDS LÄN</t>
        </is>
      </c>
      <c r="E524" t="inlineStr">
        <is>
          <t>HÄRJEDALEN</t>
        </is>
      </c>
      <c r="F524" t="inlineStr">
        <is>
          <t>Holmen skog AB</t>
        </is>
      </c>
      <c r="G524" t="n">
        <v>3.6</v>
      </c>
      <c r="H524" t="n">
        <v>0</v>
      </c>
      <c r="I524" t="n">
        <v>0</v>
      </c>
      <c r="J524" t="n">
        <v>0</v>
      </c>
      <c r="K524" t="n">
        <v>0</v>
      </c>
      <c r="L524" t="n">
        <v>0</v>
      </c>
      <c r="M524" t="n">
        <v>0</v>
      </c>
      <c r="N524" t="n">
        <v>0</v>
      </c>
      <c r="O524" t="n">
        <v>0</v>
      </c>
      <c r="P524" t="n">
        <v>0</v>
      </c>
      <c r="Q524" t="n">
        <v>0</v>
      </c>
      <c r="R524" s="2" t="inlineStr"/>
    </row>
    <row r="525" ht="15" customHeight="1">
      <c r="A525" t="inlineStr">
        <is>
          <t>A 25392-2025</t>
        </is>
      </c>
      <c r="B525" s="1" t="n">
        <v>45800.64719907408</v>
      </c>
      <c r="C525" s="1" t="n">
        <v>45904</v>
      </c>
      <c r="D525" t="inlineStr">
        <is>
          <t>JÄMTLANDS LÄN</t>
        </is>
      </c>
      <c r="E525" t="inlineStr">
        <is>
          <t>HÄRJEDALEN</t>
        </is>
      </c>
      <c r="F525" t="inlineStr">
        <is>
          <t>Holmen skog AB</t>
        </is>
      </c>
      <c r="G525" t="n">
        <v>10.3</v>
      </c>
      <c r="H525" t="n">
        <v>0</v>
      </c>
      <c r="I525" t="n">
        <v>0</v>
      </c>
      <c r="J525" t="n">
        <v>0</v>
      </c>
      <c r="K525" t="n">
        <v>0</v>
      </c>
      <c r="L525" t="n">
        <v>0</v>
      </c>
      <c r="M525" t="n">
        <v>0</v>
      </c>
      <c r="N525" t="n">
        <v>0</v>
      </c>
      <c r="O525" t="n">
        <v>0</v>
      </c>
      <c r="P525" t="n">
        <v>0</v>
      </c>
      <c r="Q525" t="n">
        <v>0</v>
      </c>
      <c r="R525" s="2" t="inlineStr"/>
    </row>
    <row r="526" ht="15" customHeight="1">
      <c r="A526" t="inlineStr">
        <is>
          <t>A 25399-2025</t>
        </is>
      </c>
      <c r="B526" s="1" t="n">
        <v>45800.65341435185</v>
      </c>
      <c r="C526" s="1" t="n">
        <v>45904</v>
      </c>
      <c r="D526" t="inlineStr">
        <is>
          <t>JÄMTLANDS LÄN</t>
        </is>
      </c>
      <c r="E526" t="inlineStr">
        <is>
          <t>HÄRJEDALEN</t>
        </is>
      </c>
      <c r="F526" t="inlineStr">
        <is>
          <t>Holmen skog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25158-2025</t>
        </is>
      </c>
      <c r="B527" s="1" t="n">
        <v>45800.42797453704</v>
      </c>
      <c r="C527" s="1" t="n">
        <v>45904</v>
      </c>
      <c r="D527" t="inlineStr">
        <is>
          <t>JÄMTLANDS LÄN</t>
        </is>
      </c>
      <c r="E527" t="inlineStr">
        <is>
          <t>HÄRJEDALEN</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25171-2025</t>
        </is>
      </c>
      <c r="B528" s="1" t="n">
        <v>45800.44090277778</v>
      </c>
      <c r="C528" s="1" t="n">
        <v>45904</v>
      </c>
      <c r="D528" t="inlineStr">
        <is>
          <t>JÄMTLANDS LÄN</t>
        </is>
      </c>
      <c r="E528" t="inlineStr">
        <is>
          <t>HÄRJEDALEN</t>
        </is>
      </c>
      <c r="G528" t="n">
        <v>12.3</v>
      </c>
      <c r="H528" t="n">
        <v>0</v>
      </c>
      <c r="I528" t="n">
        <v>0</v>
      </c>
      <c r="J528" t="n">
        <v>0</v>
      </c>
      <c r="K528" t="n">
        <v>0</v>
      </c>
      <c r="L528" t="n">
        <v>0</v>
      </c>
      <c r="M528" t="n">
        <v>0</v>
      </c>
      <c r="N528" t="n">
        <v>0</v>
      </c>
      <c r="O528" t="n">
        <v>0</v>
      </c>
      <c r="P528" t="n">
        <v>0</v>
      </c>
      <c r="Q528" t="n">
        <v>0</v>
      </c>
      <c r="R528" s="2" t="inlineStr"/>
    </row>
    <row r="529" ht="15" customHeight="1">
      <c r="A529" t="inlineStr">
        <is>
          <t>A 25409-2025</t>
        </is>
      </c>
      <c r="B529" s="1" t="n">
        <v>45800.66043981481</v>
      </c>
      <c r="C529" s="1" t="n">
        <v>45904</v>
      </c>
      <c r="D529" t="inlineStr">
        <is>
          <t>JÄMTLANDS LÄN</t>
        </is>
      </c>
      <c r="E529" t="inlineStr">
        <is>
          <t>HÄRJEDALEN</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25094-2025</t>
        </is>
      </c>
      <c r="B530" s="1" t="n">
        <v>45800.33436342593</v>
      </c>
      <c r="C530" s="1" t="n">
        <v>45904</v>
      </c>
      <c r="D530" t="inlineStr">
        <is>
          <t>JÄMTLANDS LÄN</t>
        </is>
      </c>
      <c r="E530" t="inlineStr">
        <is>
          <t>HÄRJEDALEN</t>
        </is>
      </c>
      <c r="F530" t="inlineStr">
        <is>
          <t>Holmen skog AB</t>
        </is>
      </c>
      <c r="G530" t="n">
        <v>6.4</v>
      </c>
      <c r="H530" t="n">
        <v>0</v>
      </c>
      <c r="I530" t="n">
        <v>0</v>
      </c>
      <c r="J530" t="n">
        <v>0</v>
      </c>
      <c r="K530" t="n">
        <v>0</v>
      </c>
      <c r="L530" t="n">
        <v>0</v>
      </c>
      <c r="M530" t="n">
        <v>0</v>
      </c>
      <c r="N530" t="n">
        <v>0</v>
      </c>
      <c r="O530" t="n">
        <v>0</v>
      </c>
      <c r="P530" t="n">
        <v>0</v>
      </c>
      <c r="Q530" t="n">
        <v>0</v>
      </c>
      <c r="R530" s="2" t="inlineStr"/>
    </row>
    <row r="531" ht="15" customHeight="1">
      <c r="A531" t="inlineStr">
        <is>
          <t>A 25098-2025</t>
        </is>
      </c>
      <c r="B531" s="1" t="n">
        <v>45800.3425</v>
      </c>
      <c r="C531" s="1" t="n">
        <v>45904</v>
      </c>
      <c r="D531" t="inlineStr">
        <is>
          <t>JÄMTLANDS LÄN</t>
        </is>
      </c>
      <c r="E531" t="inlineStr">
        <is>
          <t>HÄRJEDALEN</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25178-2025</t>
        </is>
      </c>
      <c r="B532" s="1" t="n">
        <v>45800.44868055556</v>
      </c>
      <c r="C532" s="1" t="n">
        <v>45904</v>
      </c>
      <c r="D532" t="inlineStr">
        <is>
          <t>JÄMTLANDS LÄN</t>
        </is>
      </c>
      <c r="E532" t="inlineStr">
        <is>
          <t>HÄRJEDALEN</t>
        </is>
      </c>
      <c r="F532" t="inlineStr">
        <is>
          <t>Holmen skog AB</t>
        </is>
      </c>
      <c r="G532" t="n">
        <v>5.1</v>
      </c>
      <c r="H532" t="n">
        <v>0</v>
      </c>
      <c r="I532" t="n">
        <v>0</v>
      </c>
      <c r="J532" t="n">
        <v>0</v>
      </c>
      <c r="K532" t="n">
        <v>0</v>
      </c>
      <c r="L532" t="n">
        <v>0</v>
      </c>
      <c r="M532" t="n">
        <v>0</v>
      </c>
      <c r="N532" t="n">
        <v>0</v>
      </c>
      <c r="O532" t="n">
        <v>0</v>
      </c>
      <c r="P532" t="n">
        <v>0</v>
      </c>
      <c r="Q532" t="n">
        <v>0</v>
      </c>
      <c r="R532" s="2" t="inlineStr"/>
    </row>
    <row r="533" ht="15" customHeight="1">
      <c r="A533" t="inlineStr">
        <is>
          <t>A 25204-2025</t>
        </is>
      </c>
      <c r="B533" s="1" t="n">
        <v>45800.4687962963</v>
      </c>
      <c r="C533" s="1" t="n">
        <v>45904</v>
      </c>
      <c r="D533" t="inlineStr">
        <is>
          <t>JÄMTLANDS LÄN</t>
        </is>
      </c>
      <c r="E533" t="inlineStr">
        <is>
          <t>HÄRJEDALEN</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25286-2025</t>
        </is>
      </c>
      <c r="B534" s="1" t="n">
        <v>45800.56222222222</v>
      </c>
      <c r="C534" s="1" t="n">
        <v>45904</v>
      </c>
      <c r="D534" t="inlineStr">
        <is>
          <t>JÄMTLANDS LÄN</t>
        </is>
      </c>
      <c r="E534" t="inlineStr">
        <is>
          <t>HÄRJEDALEN</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2718-2025</t>
        </is>
      </c>
      <c r="B535" s="1" t="n">
        <v>45677.43028935185</v>
      </c>
      <c r="C535" s="1" t="n">
        <v>45904</v>
      </c>
      <c r="D535" t="inlineStr">
        <is>
          <t>JÄMTLANDS LÄN</t>
        </is>
      </c>
      <c r="E535" t="inlineStr">
        <is>
          <t>HÄRJEDALEN</t>
        </is>
      </c>
      <c r="G535" t="n">
        <v>0.7</v>
      </c>
      <c r="H535" t="n">
        <v>0</v>
      </c>
      <c r="I535" t="n">
        <v>0</v>
      </c>
      <c r="J535" t="n">
        <v>0</v>
      </c>
      <c r="K535" t="n">
        <v>0</v>
      </c>
      <c r="L535" t="n">
        <v>0</v>
      </c>
      <c r="M535" t="n">
        <v>0</v>
      </c>
      <c r="N535" t="n">
        <v>0</v>
      </c>
      <c r="O535" t="n">
        <v>0</v>
      </c>
      <c r="P535" t="n">
        <v>0</v>
      </c>
      <c r="Q535" t="n">
        <v>0</v>
      </c>
      <c r="R535" s="2" t="inlineStr"/>
    </row>
    <row r="536" ht="15" customHeight="1">
      <c r="A536" t="inlineStr">
        <is>
          <t>A 25198-2025</t>
        </is>
      </c>
      <c r="B536" s="1" t="n">
        <v>45800.46069444445</v>
      </c>
      <c r="C536" s="1" t="n">
        <v>45904</v>
      </c>
      <c r="D536" t="inlineStr">
        <is>
          <t>JÄMTLANDS LÄN</t>
        </is>
      </c>
      <c r="E536" t="inlineStr">
        <is>
          <t>HÄRJEDALEN</t>
        </is>
      </c>
      <c r="F536" t="inlineStr">
        <is>
          <t>Holmen skog AB</t>
        </is>
      </c>
      <c r="G536" t="n">
        <v>4.7</v>
      </c>
      <c r="H536" t="n">
        <v>0</v>
      </c>
      <c r="I536" t="n">
        <v>0</v>
      </c>
      <c r="J536" t="n">
        <v>0</v>
      </c>
      <c r="K536" t="n">
        <v>0</v>
      </c>
      <c r="L536" t="n">
        <v>0</v>
      </c>
      <c r="M536" t="n">
        <v>0</v>
      </c>
      <c r="N536" t="n">
        <v>0</v>
      </c>
      <c r="O536" t="n">
        <v>0</v>
      </c>
      <c r="P536" t="n">
        <v>0</v>
      </c>
      <c r="Q536" t="n">
        <v>0</v>
      </c>
      <c r="R536" s="2" t="inlineStr"/>
    </row>
    <row r="537" ht="15" customHeight="1">
      <c r="A537" t="inlineStr">
        <is>
          <t>A 25298-2025</t>
        </is>
      </c>
      <c r="B537" s="1" t="n">
        <v>45800.56995370371</v>
      </c>
      <c r="C537" s="1" t="n">
        <v>45904</v>
      </c>
      <c r="D537" t="inlineStr">
        <is>
          <t>JÄMTLANDS LÄN</t>
        </is>
      </c>
      <c r="E537" t="inlineStr">
        <is>
          <t>HÄRJEDALEN</t>
        </is>
      </c>
      <c r="F537" t="inlineStr">
        <is>
          <t>Holmen skog AB</t>
        </is>
      </c>
      <c r="G537" t="n">
        <v>5</v>
      </c>
      <c r="H537" t="n">
        <v>0</v>
      </c>
      <c r="I537" t="n">
        <v>0</v>
      </c>
      <c r="J537" t="n">
        <v>0</v>
      </c>
      <c r="K537" t="n">
        <v>0</v>
      </c>
      <c r="L537" t="n">
        <v>0</v>
      </c>
      <c r="M537" t="n">
        <v>0</v>
      </c>
      <c r="N537" t="n">
        <v>0</v>
      </c>
      <c r="O537" t="n">
        <v>0</v>
      </c>
      <c r="P537" t="n">
        <v>0</v>
      </c>
      <c r="Q537" t="n">
        <v>0</v>
      </c>
      <c r="R537" s="2" t="inlineStr"/>
    </row>
    <row r="538" ht="15" customHeight="1">
      <c r="A538" t="inlineStr">
        <is>
          <t>A 25112-2025</t>
        </is>
      </c>
      <c r="B538" s="1" t="n">
        <v>45800.35670138889</v>
      </c>
      <c r="C538" s="1" t="n">
        <v>45904</v>
      </c>
      <c r="D538" t="inlineStr">
        <is>
          <t>JÄMTLANDS LÄN</t>
        </is>
      </c>
      <c r="E538" t="inlineStr">
        <is>
          <t>HÄRJEDALEN</t>
        </is>
      </c>
      <c r="F538" t="inlineStr">
        <is>
          <t>Holmen skog AB</t>
        </is>
      </c>
      <c r="G538" t="n">
        <v>5.2</v>
      </c>
      <c r="H538" t="n">
        <v>0</v>
      </c>
      <c r="I538" t="n">
        <v>0</v>
      </c>
      <c r="J538" t="n">
        <v>0</v>
      </c>
      <c r="K538" t="n">
        <v>0</v>
      </c>
      <c r="L538" t="n">
        <v>0</v>
      </c>
      <c r="M538" t="n">
        <v>0</v>
      </c>
      <c r="N538" t="n">
        <v>0</v>
      </c>
      <c r="O538" t="n">
        <v>0</v>
      </c>
      <c r="P538" t="n">
        <v>0</v>
      </c>
      <c r="Q538" t="n">
        <v>0</v>
      </c>
      <c r="R538" s="2" t="inlineStr"/>
    </row>
    <row r="539" ht="15" customHeight="1">
      <c r="A539" t="inlineStr">
        <is>
          <t>A 25515-2025</t>
        </is>
      </c>
      <c r="B539" s="1" t="n">
        <v>45803.37258101852</v>
      </c>
      <c r="C539" s="1" t="n">
        <v>45904</v>
      </c>
      <c r="D539" t="inlineStr">
        <is>
          <t>JÄMTLANDS LÄN</t>
        </is>
      </c>
      <c r="E539" t="inlineStr">
        <is>
          <t>HÄRJEDALEN</t>
        </is>
      </c>
      <c r="G539" t="n">
        <v>2.3</v>
      </c>
      <c r="H539" t="n">
        <v>0</v>
      </c>
      <c r="I539" t="n">
        <v>0</v>
      </c>
      <c r="J539" t="n">
        <v>0</v>
      </c>
      <c r="K539" t="n">
        <v>0</v>
      </c>
      <c r="L539" t="n">
        <v>0</v>
      </c>
      <c r="M539" t="n">
        <v>0</v>
      </c>
      <c r="N539" t="n">
        <v>0</v>
      </c>
      <c r="O539" t="n">
        <v>0</v>
      </c>
      <c r="P539" t="n">
        <v>0</v>
      </c>
      <c r="Q539" t="n">
        <v>0</v>
      </c>
      <c r="R539" s="2" t="inlineStr"/>
    </row>
    <row r="540" ht="15" customHeight="1">
      <c r="A540" t="inlineStr">
        <is>
          <t>A 25223-2025</t>
        </is>
      </c>
      <c r="B540" s="1" t="n">
        <v>45800.48060185185</v>
      </c>
      <c r="C540" s="1" t="n">
        <v>45904</v>
      </c>
      <c r="D540" t="inlineStr">
        <is>
          <t>JÄMTLANDS LÄN</t>
        </is>
      </c>
      <c r="E540" t="inlineStr">
        <is>
          <t>HÄRJEDALEN</t>
        </is>
      </c>
      <c r="F540" t="inlineStr">
        <is>
          <t>Holmen skog AB</t>
        </is>
      </c>
      <c r="G540" t="n">
        <v>7.9</v>
      </c>
      <c r="H540" t="n">
        <v>0</v>
      </c>
      <c r="I540" t="n">
        <v>0</v>
      </c>
      <c r="J540" t="n">
        <v>0</v>
      </c>
      <c r="K540" t="n">
        <v>0</v>
      </c>
      <c r="L540" t="n">
        <v>0</v>
      </c>
      <c r="M540" t="n">
        <v>0</v>
      </c>
      <c r="N540" t="n">
        <v>0</v>
      </c>
      <c r="O540" t="n">
        <v>0</v>
      </c>
      <c r="P540" t="n">
        <v>0</v>
      </c>
      <c r="Q540" t="n">
        <v>0</v>
      </c>
      <c r="R540" s="2" t="inlineStr"/>
    </row>
    <row r="541" ht="15" customHeight="1">
      <c r="A541" t="inlineStr">
        <is>
          <t>A 7430-2024</t>
        </is>
      </c>
      <c r="B541" s="1" t="n">
        <v>45345.65929398148</v>
      </c>
      <c r="C541" s="1" t="n">
        <v>45904</v>
      </c>
      <c r="D541" t="inlineStr">
        <is>
          <t>JÄMTLANDS LÄN</t>
        </is>
      </c>
      <c r="E541" t="inlineStr">
        <is>
          <t>HÄRJEDALEN</t>
        </is>
      </c>
      <c r="F541" t="inlineStr">
        <is>
          <t>Holmen skog AB</t>
        </is>
      </c>
      <c r="G541" t="n">
        <v>12.1</v>
      </c>
      <c r="H541" t="n">
        <v>0</v>
      </c>
      <c r="I541" t="n">
        <v>0</v>
      </c>
      <c r="J541" t="n">
        <v>0</v>
      </c>
      <c r="K541" t="n">
        <v>0</v>
      </c>
      <c r="L541" t="n">
        <v>0</v>
      </c>
      <c r="M541" t="n">
        <v>0</v>
      </c>
      <c r="N541" t="n">
        <v>0</v>
      </c>
      <c r="O541" t="n">
        <v>0</v>
      </c>
      <c r="P541" t="n">
        <v>0</v>
      </c>
      <c r="Q541" t="n">
        <v>0</v>
      </c>
      <c r="R541" s="2" t="inlineStr"/>
    </row>
    <row r="542" ht="15" customHeight="1">
      <c r="A542" t="inlineStr">
        <is>
          <t>A 25109-2025</t>
        </is>
      </c>
      <c r="B542" s="1" t="n">
        <v>45800.3503587963</v>
      </c>
      <c r="C542" s="1" t="n">
        <v>45904</v>
      </c>
      <c r="D542" t="inlineStr">
        <is>
          <t>JÄMTLANDS LÄN</t>
        </is>
      </c>
      <c r="E542" t="inlineStr">
        <is>
          <t>HÄRJEDALEN</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25253-2025</t>
        </is>
      </c>
      <c r="B543" s="1" t="n">
        <v>45800.50431712963</v>
      </c>
      <c r="C543" s="1" t="n">
        <v>45904</v>
      </c>
      <c r="D543" t="inlineStr">
        <is>
          <t>JÄMTLANDS LÄN</t>
        </is>
      </c>
      <c r="E543" t="inlineStr">
        <is>
          <t>HÄRJEDALEN</t>
        </is>
      </c>
      <c r="F543" t="inlineStr">
        <is>
          <t>Holmen skog AB</t>
        </is>
      </c>
      <c r="G543" t="n">
        <v>0.7</v>
      </c>
      <c r="H543" t="n">
        <v>0</v>
      </c>
      <c r="I543" t="n">
        <v>0</v>
      </c>
      <c r="J543" t="n">
        <v>0</v>
      </c>
      <c r="K543" t="n">
        <v>0</v>
      </c>
      <c r="L543" t="n">
        <v>0</v>
      </c>
      <c r="M543" t="n">
        <v>0</v>
      </c>
      <c r="N543" t="n">
        <v>0</v>
      </c>
      <c r="O543" t="n">
        <v>0</v>
      </c>
      <c r="P543" t="n">
        <v>0</v>
      </c>
      <c r="Q543" t="n">
        <v>0</v>
      </c>
      <c r="R543" s="2" t="inlineStr"/>
    </row>
    <row r="544" ht="15" customHeight="1">
      <c r="A544" t="inlineStr">
        <is>
          <t>A 25343-2025</t>
        </is>
      </c>
      <c r="B544" s="1" t="n">
        <v>45800.60508101852</v>
      </c>
      <c r="C544" s="1" t="n">
        <v>45904</v>
      </c>
      <c r="D544" t="inlineStr">
        <is>
          <t>JÄMTLANDS LÄN</t>
        </is>
      </c>
      <c r="E544" t="inlineStr">
        <is>
          <t>HÄRJEDALEN</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25288-2025</t>
        </is>
      </c>
      <c r="B545" s="1" t="n">
        <v>45800.56313657408</v>
      </c>
      <c r="C545" s="1" t="n">
        <v>45904</v>
      </c>
      <c r="D545" t="inlineStr">
        <is>
          <t>JÄMTLANDS LÄN</t>
        </is>
      </c>
      <c r="E545" t="inlineStr">
        <is>
          <t>HÄRJEDALEN</t>
        </is>
      </c>
      <c r="G545" t="n">
        <v>4.6</v>
      </c>
      <c r="H545" t="n">
        <v>0</v>
      </c>
      <c r="I545" t="n">
        <v>0</v>
      </c>
      <c r="J545" t="n">
        <v>0</v>
      </c>
      <c r="K545" t="n">
        <v>0</v>
      </c>
      <c r="L545" t="n">
        <v>0</v>
      </c>
      <c r="M545" t="n">
        <v>0</v>
      </c>
      <c r="N545" t="n">
        <v>0</v>
      </c>
      <c r="O545" t="n">
        <v>0</v>
      </c>
      <c r="P545" t="n">
        <v>0</v>
      </c>
      <c r="Q545" t="n">
        <v>0</v>
      </c>
      <c r="R545" s="2" t="inlineStr"/>
    </row>
    <row r="546" ht="15" customHeight="1">
      <c r="A546" t="inlineStr">
        <is>
          <t>A 5277-2021</t>
        </is>
      </c>
      <c r="B546" s="1" t="n">
        <v>44225</v>
      </c>
      <c r="C546" s="1" t="n">
        <v>45904</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25315-2025</t>
        </is>
      </c>
      <c r="B547" s="1" t="n">
        <v>45800.57837962963</v>
      </c>
      <c r="C547" s="1" t="n">
        <v>45904</v>
      </c>
      <c r="D547" t="inlineStr">
        <is>
          <t>JÄMTLANDS LÄN</t>
        </is>
      </c>
      <c r="E547" t="inlineStr">
        <is>
          <t>HÄRJEDALEN</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25127-2025</t>
        </is>
      </c>
      <c r="B548" s="1" t="n">
        <v>45800.3787037037</v>
      </c>
      <c r="C548" s="1" t="n">
        <v>45904</v>
      </c>
      <c r="D548" t="inlineStr">
        <is>
          <t>JÄMTLANDS LÄN</t>
        </is>
      </c>
      <c r="E548" t="inlineStr">
        <is>
          <t>HÄRJEDALEN</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25147-2025</t>
        </is>
      </c>
      <c r="B549" s="1" t="n">
        <v>45800.41883101852</v>
      </c>
      <c r="C549" s="1" t="n">
        <v>45904</v>
      </c>
      <c r="D549" t="inlineStr">
        <is>
          <t>JÄMTLANDS LÄN</t>
        </is>
      </c>
      <c r="E549" t="inlineStr">
        <is>
          <t>HÄRJEDALEN</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25232-2025</t>
        </is>
      </c>
      <c r="B550" s="1" t="n">
        <v>45800.48515046296</v>
      </c>
      <c r="C550" s="1" t="n">
        <v>45904</v>
      </c>
      <c r="D550" t="inlineStr">
        <is>
          <t>JÄMTLANDS LÄN</t>
        </is>
      </c>
      <c r="E550" t="inlineStr">
        <is>
          <t>HÄRJEDALEN</t>
        </is>
      </c>
      <c r="F550" t="inlineStr">
        <is>
          <t>Holmen skog AB</t>
        </is>
      </c>
      <c r="G550" t="n">
        <v>3.6</v>
      </c>
      <c r="H550" t="n">
        <v>0</v>
      </c>
      <c r="I550" t="n">
        <v>0</v>
      </c>
      <c r="J550" t="n">
        <v>0</v>
      </c>
      <c r="K550" t="n">
        <v>0</v>
      </c>
      <c r="L550" t="n">
        <v>0</v>
      </c>
      <c r="M550" t="n">
        <v>0</v>
      </c>
      <c r="N550" t="n">
        <v>0</v>
      </c>
      <c r="O550" t="n">
        <v>0</v>
      </c>
      <c r="P550" t="n">
        <v>0</v>
      </c>
      <c r="Q550" t="n">
        <v>0</v>
      </c>
      <c r="R550" s="2" t="inlineStr"/>
    </row>
    <row r="551" ht="15" customHeight="1">
      <c r="A551" t="inlineStr">
        <is>
          <t>A 20103-2025</t>
        </is>
      </c>
      <c r="B551" s="1" t="n">
        <v>45772.46951388889</v>
      </c>
      <c r="C551" s="1" t="n">
        <v>45904</v>
      </c>
      <c r="D551" t="inlineStr">
        <is>
          <t>JÄMTLANDS LÄN</t>
        </is>
      </c>
      <c r="E551" t="inlineStr">
        <is>
          <t>HÄRJEDALEN</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2336-2025</t>
        </is>
      </c>
      <c r="B552" s="1" t="n">
        <v>45673.65925925926</v>
      </c>
      <c r="C552" s="1" t="n">
        <v>45904</v>
      </c>
      <c r="D552" t="inlineStr">
        <is>
          <t>JÄMTLANDS LÄN</t>
        </is>
      </c>
      <c r="E552" t="inlineStr">
        <is>
          <t>HÄRJEDALEN</t>
        </is>
      </c>
      <c r="F552" t="inlineStr">
        <is>
          <t>Bergvik skog väst AB</t>
        </is>
      </c>
      <c r="G552" t="n">
        <v>19</v>
      </c>
      <c r="H552" t="n">
        <v>0</v>
      </c>
      <c r="I552" t="n">
        <v>0</v>
      </c>
      <c r="J552" t="n">
        <v>0</v>
      </c>
      <c r="K552" t="n">
        <v>0</v>
      </c>
      <c r="L552" t="n">
        <v>0</v>
      </c>
      <c r="M552" t="n">
        <v>0</v>
      </c>
      <c r="N552" t="n">
        <v>0</v>
      </c>
      <c r="O552" t="n">
        <v>0</v>
      </c>
      <c r="P552" t="n">
        <v>0</v>
      </c>
      <c r="Q552" t="n">
        <v>0</v>
      </c>
      <c r="R552" s="2" t="inlineStr"/>
    </row>
    <row r="553" ht="15" customHeight="1">
      <c r="A553" t="inlineStr">
        <is>
          <t>A 41094-2023</t>
        </is>
      </c>
      <c r="B553" s="1" t="n">
        <v>45173</v>
      </c>
      <c r="C553" s="1" t="n">
        <v>45904</v>
      </c>
      <c r="D553" t="inlineStr">
        <is>
          <t>JÄMTLANDS LÄN</t>
        </is>
      </c>
      <c r="E553" t="inlineStr">
        <is>
          <t>HÄRJEDALEN</t>
        </is>
      </c>
      <c r="F553" t="inlineStr">
        <is>
          <t>Sveaskog</t>
        </is>
      </c>
      <c r="G553" t="n">
        <v>0.2</v>
      </c>
      <c r="H553" t="n">
        <v>0</v>
      </c>
      <c r="I553" t="n">
        <v>0</v>
      </c>
      <c r="J553" t="n">
        <v>0</v>
      </c>
      <c r="K553" t="n">
        <v>0</v>
      </c>
      <c r="L553" t="n">
        <v>0</v>
      </c>
      <c r="M553" t="n">
        <v>0</v>
      </c>
      <c r="N553" t="n">
        <v>0</v>
      </c>
      <c r="O553" t="n">
        <v>0</v>
      </c>
      <c r="P553" t="n">
        <v>0</v>
      </c>
      <c r="Q553" t="n">
        <v>0</v>
      </c>
      <c r="R553" s="2" t="inlineStr"/>
    </row>
    <row r="554" ht="15" customHeight="1">
      <c r="A554" t="inlineStr">
        <is>
          <t>A 25933-2025</t>
        </is>
      </c>
      <c r="B554" s="1" t="n">
        <v>45804.589375</v>
      </c>
      <c r="C554" s="1" t="n">
        <v>45904</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1954-2023</t>
        </is>
      </c>
      <c r="B555" s="1" t="n">
        <v>44939.45376157408</v>
      </c>
      <c r="C555" s="1" t="n">
        <v>45904</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12781-2025</t>
        </is>
      </c>
      <c r="B556" s="1" t="n">
        <v>45733.59667824074</v>
      </c>
      <c r="C556" s="1" t="n">
        <v>45904</v>
      </c>
      <c r="D556" t="inlineStr">
        <is>
          <t>JÄMTLANDS LÄN</t>
        </is>
      </c>
      <c r="E556" t="inlineStr">
        <is>
          <t>HÄRJEDALEN</t>
        </is>
      </c>
      <c r="F556" t="inlineStr">
        <is>
          <t>Holmen skog AB</t>
        </is>
      </c>
      <c r="G556" t="n">
        <v>1.4</v>
      </c>
      <c r="H556" t="n">
        <v>0</v>
      </c>
      <c r="I556" t="n">
        <v>0</v>
      </c>
      <c r="J556" t="n">
        <v>0</v>
      </c>
      <c r="K556" t="n">
        <v>0</v>
      </c>
      <c r="L556" t="n">
        <v>0</v>
      </c>
      <c r="M556" t="n">
        <v>0</v>
      </c>
      <c r="N556" t="n">
        <v>0</v>
      </c>
      <c r="O556" t="n">
        <v>0</v>
      </c>
      <c r="P556" t="n">
        <v>0</v>
      </c>
      <c r="Q556" t="n">
        <v>0</v>
      </c>
      <c r="R556" s="2" t="inlineStr"/>
    </row>
    <row r="557" ht="15" customHeight="1">
      <c r="A557" t="inlineStr">
        <is>
          <t>A 48867-2023</t>
        </is>
      </c>
      <c r="B557" s="1" t="n">
        <v>45209.45420138889</v>
      </c>
      <c r="C557" s="1" t="n">
        <v>45904</v>
      </c>
      <c r="D557" t="inlineStr">
        <is>
          <t>JÄMTLANDS LÄN</t>
        </is>
      </c>
      <c r="E557" t="inlineStr">
        <is>
          <t>HÄRJEDALEN</t>
        </is>
      </c>
      <c r="G557" t="n">
        <v>9.1</v>
      </c>
      <c r="H557" t="n">
        <v>0</v>
      </c>
      <c r="I557" t="n">
        <v>0</v>
      </c>
      <c r="J557" t="n">
        <v>0</v>
      </c>
      <c r="K557" t="n">
        <v>0</v>
      </c>
      <c r="L557" t="n">
        <v>0</v>
      </c>
      <c r="M557" t="n">
        <v>0</v>
      </c>
      <c r="N557" t="n">
        <v>0</v>
      </c>
      <c r="O557" t="n">
        <v>0</v>
      </c>
      <c r="P557" t="n">
        <v>0</v>
      </c>
      <c r="Q557" t="n">
        <v>0</v>
      </c>
      <c r="R557" s="2" t="inlineStr"/>
    </row>
    <row r="558" ht="15" customHeight="1">
      <c r="A558" t="inlineStr">
        <is>
          <t>A 25931-2025</t>
        </is>
      </c>
      <c r="B558" s="1" t="n">
        <v>45804.5813425926</v>
      </c>
      <c r="C558" s="1" t="n">
        <v>45904</v>
      </c>
      <c r="D558" t="inlineStr">
        <is>
          <t>JÄMTLANDS LÄN</t>
        </is>
      </c>
      <c r="E558" t="inlineStr">
        <is>
          <t>HÄRJEDALEN</t>
        </is>
      </c>
      <c r="F558" t="inlineStr">
        <is>
          <t>Bergvik skog väst AB</t>
        </is>
      </c>
      <c r="G558" t="n">
        <v>14.2</v>
      </c>
      <c r="H558" t="n">
        <v>0</v>
      </c>
      <c r="I558" t="n">
        <v>0</v>
      </c>
      <c r="J558" t="n">
        <v>0</v>
      </c>
      <c r="K558" t="n">
        <v>0</v>
      </c>
      <c r="L558" t="n">
        <v>0</v>
      </c>
      <c r="M558" t="n">
        <v>0</v>
      </c>
      <c r="N558" t="n">
        <v>0</v>
      </c>
      <c r="O558" t="n">
        <v>0</v>
      </c>
      <c r="P558" t="n">
        <v>0</v>
      </c>
      <c r="Q558" t="n">
        <v>0</v>
      </c>
      <c r="R558" s="2" t="inlineStr"/>
    </row>
    <row r="559" ht="15" customHeight="1">
      <c r="A559" t="inlineStr">
        <is>
          <t>A 26209-2025</t>
        </is>
      </c>
      <c r="B559" s="1" t="n">
        <v>45805.53280092592</v>
      </c>
      <c r="C559" s="1" t="n">
        <v>45904</v>
      </c>
      <c r="D559" t="inlineStr">
        <is>
          <t>JÄMTLANDS LÄN</t>
        </is>
      </c>
      <c r="E559" t="inlineStr">
        <is>
          <t>HÄRJEDALEN</t>
        </is>
      </c>
      <c r="F559" t="inlineStr">
        <is>
          <t>Bergvik skog väst AB</t>
        </is>
      </c>
      <c r="G559" t="n">
        <v>27.3</v>
      </c>
      <c r="H559" t="n">
        <v>0</v>
      </c>
      <c r="I559" t="n">
        <v>0</v>
      </c>
      <c r="J559" t="n">
        <v>0</v>
      </c>
      <c r="K559" t="n">
        <v>0</v>
      </c>
      <c r="L559" t="n">
        <v>0</v>
      </c>
      <c r="M559" t="n">
        <v>0</v>
      </c>
      <c r="N559" t="n">
        <v>0</v>
      </c>
      <c r="O559" t="n">
        <v>0</v>
      </c>
      <c r="P559" t="n">
        <v>0</v>
      </c>
      <c r="Q559" t="n">
        <v>0</v>
      </c>
      <c r="R559" s="2" t="inlineStr"/>
    </row>
    <row r="560" ht="15" customHeight="1">
      <c r="A560" t="inlineStr">
        <is>
          <t>A 4220-2025</t>
        </is>
      </c>
      <c r="B560" s="1" t="n">
        <v>45685</v>
      </c>
      <c r="C560" s="1" t="n">
        <v>45904</v>
      </c>
      <c r="D560" t="inlineStr">
        <is>
          <t>JÄMTLANDS LÄN</t>
        </is>
      </c>
      <c r="E560" t="inlineStr">
        <is>
          <t>HÄRJEDALEN</t>
        </is>
      </c>
      <c r="F560" t="inlineStr">
        <is>
          <t>Bergvik skog väst AB</t>
        </is>
      </c>
      <c r="G560" t="n">
        <v>19.8</v>
      </c>
      <c r="H560" t="n">
        <v>0</v>
      </c>
      <c r="I560" t="n">
        <v>0</v>
      </c>
      <c r="J560" t="n">
        <v>0</v>
      </c>
      <c r="K560" t="n">
        <v>0</v>
      </c>
      <c r="L560" t="n">
        <v>0</v>
      </c>
      <c r="M560" t="n">
        <v>0</v>
      </c>
      <c r="N560" t="n">
        <v>0</v>
      </c>
      <c r="O560" t="n">
        <v>0</v>
      </c>
      <c r="P560" t="n">
        <v>0</v>
      </c>
      <c r="Q560" t="n">
        <v>0</v>
      </c>
      <c r="R560" s="2" t="inlineStr"/>
    </row>
    <row r="561" ht="15" customHeight="1">
      <c r="A561" t="inlineStr">
        <is>
          <t>A 19677-2024</t>
        </is>
      </c>
      <c r="B561" s="1" t="n">
        <v>45432</v>
      </c>
      <c r="C561" s="1" t="n">
        <v>45904</v>
      </c>
      <c r="D561" t="inlineStr">
        <is>
          <t>JÄMTLANDS LÄN</t>
        </is>
      </c>
      <c r="E561" t="inlineStr">
        <is>
          <t>HÄRJEDALEN</t>
        </is>
      </c>
      <c r="F561" t="inlineStr">
        <is>
          <t>Bergvik skog väst AB</t>
        </is>
      </c>
      <c r="G561" t="n">
        <v>1.7</v>
      </c>
      <c r="H561" t="n">
        <v>0</v>
      </c>
      <c r="I561" t="n">
        <v>0</v>
      </c>
      <c r="J561" t="n">
        <v>0</v>
      </c>
      <c r="K561" t="n">
        <v>0</v>
      </c>
      <c r="L561" t="n">
        <v>0</v>
      </c>
      <c r="M561" t="n">
        <v>0</v>
      </c>
      <c r="N561" t="n">
        <v>0</v>
      </c>
      <c r="O561" t="n">
        <v>0</v>
      </c>
      <c r="P561" t="n">
        <v>0</v>
      </c>
      <c r="Q561" t="n">
        <v>0</v>
      </c>
      <c r="R561" s="2" t="inlineStr"/>
    </row>
    <row r="562" ht="15" customHeight="1">
      <c r="A562" t="inlineStr">
        <is>
          <t>A 26540-2025</t>
        </is>
      </c>
      <c r="B562" s="1" t="n">
        <v>45807.58393518518</v>
      </c>
      <c r="C562" s="1" t="n">
        <v>45904</v>
      </c>
      <c r="D562" t="inlineStr">
        <is>
          <t>JÄMTLANDS LÄN</t>
        </is>
      </c>
      <c r="E562" t="inlineStr">
        <is>
          <t>HÄRJEDALEN</t>
        </is>
      </c>
      <c r="F562" t="inlineStr">
        <is>
          <t>Holmen skog AB</t>
        </is>
      </c>
      <c r="G562" t="n">
        <v>6</v>
      </c>
      <c r="H562" t="n">
        <v>0</v>
      </c>
      <c r="I562" t="n">
        <v>0</v>
      </c>
      <c r="J562" t="n">
        <v>0</v>
      </c>
      <c r="K562" t="n">
        <v>0</v>
      </c>
      <c r="L562" t="n">
        <v>0</v>
      </c>
      <c r="M562" t="n">
        <v>0</v>
      </c>
      <c r="N562" t="n">
        <v>0</v>
      </c>
      <c r="O562" t="n">
        <v>0</v>
      </c>
      <c r="P562" t="n">
        <v>0</v>
      </c>
      <c r="Q562" t="n">
        <v>0</v>
      </c>
      <c r="R562" s="2" t="inlineStr"/>
    </row>
    <row r="563" ht="15" customHeight="1">
      <c r="A563" t="inlineStr">
        <is>
          <t>A 26486-2025</t>
        </is>
      </c>
      <c r="B563" s="1" t="n">
        <v>45807.47479166667</v>
      </c>
      <c r="C563" s="1" t="n">
        <v>45904</v>
      </c>
      <c r="D563" t="inlineStr">
        <is>
          <t>JÄMTLANDS LÄN</t>
        </is>
      </c>
      <c r="E563" t="inlineStr">
        <is>
          <t>HÄRJEDALEN</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26404-2025</t>
        </is>
      </c>
      <c r="B564" s="1" t="n">
        <v>45807.3409837963</v>
      </c>
      <c r="C564" s="1" t="n">
        <v>45904</v>
      </c>
      <c r="D564" t="inlineStr">
        <is>
          <t>JÄMTLANDS LÄN</t>
        </is>
      </c>
      <c r="E564" t="inlineStr">
        <is>
          <t>HÄRJEDALEN</t>
        </is>
      </c>
      <c r="F564" t="inlineStr">
        <is>
          <t>Holmen skog AB</t>
        </is>
      </c>
      <c r="G564" t="n">
        <v>4.1</v>
      </c>
      <c r="H564" t="n">
        <v>0</v>
      </c>
      <c r="I564" t="n">
        <v>0</v>
      </c>
      <c r="J564" t="n">
        <v>0</v>
      </c>
      <c r="K564" t="n">
        <v>0</v>
      </c>
      <c r="L564" t="n">
        <v>0</v>
      </c>
      <c r="M564" t="n">
        <v>0</v>
      </c>
      <c r="N564" t="n">
        <v>0</v>
      </c>
      <c r="O564" t="n">
        <v>0</v>
      </c>
      <c r="P564" t="n">
        <v>0</v>
      </c>
      <c r="Q564" t="n">
        <v>0</v>
      </c>
      <c r="R564" s="2" t="inlineStr"/>
    </row>
    <row r="565" ht="15" customHeight="1">
      <c r="A565" t="inlineStr">
        <is>
          <t>A 26411-2025</t>
        </is>
      </c>
      <c r="B565" s="1" t="n">
        <v>45807.35476851852</v>
      </c>
      <c r="C565" s="1" t="n">
        <v>45904</v>
      </c>
      <c r="D565" t="inlineStr">
        <is>
          <t>JÄMTLANDS LÄN</t>
        </is>
      </c>
      <c r="E565" t="inlineStr">
        <is>
          <t>HÄRJEDALEN</t>
        </is>
      </c>
      <c r="F565" t="inlineStr">
        <is>
          <t>Holmen skog AB</t>
        </is>
      </c>
      <c r="G565" t="n">
        <v>12.4</v>
      </c>
      <c r="H565" t="n">
        <v>0</v>
      </c>
      <c r="I565" t="n">
        <v>0</v>
      </c>
      <c r="J565" t="n">
        <v>0</v>
      </c>
      <c r="K565" t="n">
        <v>0</v>
      </c>
      <c r="L565" t="n">
        <v>0</v>
      </c>
      <c r="M565" t="n">
        <v>0</v>
      </c>
      <c r="N565" t="n">
        <v>0</v>
      </c>
      <c r="O565" t="n">
        <v>0</v>
      </c>
      <c r="P565" t="n">
        <v>0</v>
      </c>
      <c r="Q565" t="n">
        <v>0</v>
      </c>
      <c r="R565" s="2" t="inlineStr"/>
    </row>
    <row r="566" ht="15" customHeight="1">
      <c r="A566" t="inlineStr">
        <is>
          <t>A 26443-2025</t>
        </is>
      </c>
      <c r="B566" s="1" t="n">
        <v>45807.41287037037</v>
      </c>
      <c r="C566" s="1" t="n">
        <v>45904</v>
      </c>
      <c r="D566" t="inlineStr">
        <is>
          <t>JÄMTLANDS LÄN</t>
        </is>
      </c>
      <c r="E566" t="inlineStr">
        <is>
          <t>HÄRJEDALEN</t>
        </is>
      </c>
      <c r="F566" t="inlineStr">
        <is>
          <t>Holmen skog AB</t>
        </is>
      </c>
      <c r="G566" t="n">
        <v>2.6</v>
      </c>
      <c r="H566" t="n">
        <v>0</v>
      </c>
      <c r="I566" t="n">
        <v>0</v>
      </c>
      <c r="J566" t="n">
        <v>0</v>
      </c>
      <c r="K566" t="n">
        <v>0</v>
      </c>
      <c r="L566" t="n">
        <v>0</v>
      </c>
      <c r="M566" t="n">
        <v>0</v>
      </c>
      <c r="N566" t="n">
        <v>0</v>
      </c>
      <c r="O566" t="n">
        <v>0</v>
      </c>
      <c r="P566" t="n">
        <v>0</v>
      </c>
      <c r="Q566" t="n">
        <v>0</v>
      </c>
      <c r="R566" s="2" t="inlineStr"/>
    </row>
    <row r="567" ht="15" customHeight="1">
      <c r="A567" t="inlineStr">
        <is>
          <t>A 26451-2025</t>
        </is>
      </c>
      <c r="B567" s="1" t="n">
        <v>45807.42212962963</v>
      </c>
      <c r="C567" s="1" t="n">
        <v>45904</v>
      </c>
      <c r="D567" t="inlineStr">
        <is>
          <t>JÄMTLANDS LÄN</t>
        </is>
      </c>
      <c r="E567" t="inlineStr">
        <is>
          <t>HÄRJEDALEN</t>
        </is>
      </c>
      <c r="F567" t="inlineStr">
        <is>
          <t>Holmen skog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26495-2025</t>
        </is>
      </c>
      <c r="B568" s="1" t="n">
        <v>45807.49436342593</v>
      </c>
      <c r="C568" s="1" t="n">
        <v>45904</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26523-2025</t>
        </is>
      </c>
      <c r="B569" s="1" t="n">
        <v>45807.56403935186</v>
      </c>
      <c r="C569" s="1" t="n">
        <v>45904</v>
      </c>
      <c r="D569" t="inlineStr">
        <is>
          <t>JÄMTLANDS LÄN</t>
        </is>
      </c>
      <c r="E569" t="inlineStr">
        <is>
          <t>HÄRJEDALEN</t>
        </is>
      </c>
      <c r="F569" t="inlineStr">
        <is>
          <t>Holmen skog AB</t>
        </is>
      </c>
      <c r="G569" t="n">
        <v>7.4</v>
      </c>
      <c r="H569" t="n">
        <v>0</v>
      </c>
      <c r="I569" t="n">
        <v>0</v>
      </c>
      <c r="J569" t="n">
        <v>0</v>
      </c>
      <c r="K569" t="n">
        <v>0</v>
      </c>
      <c r="L569" t="n">
        <v>0</v>
      </c>
      <c r="M569" t="n">
        <v>0</v>
      </c>
      <c r="N569" t="n">
        <v>0</v>
      </c>
      <c r="O569" t="n">
        <v>0</v>
      </c>
      <c r="P569" t="n">
        <v>0</v>
      </c>
      <c r="Q569" t="n">
        <v>0</v>
      </c>
      <c r="R569" s="2" t="inlineStr"/>
    </row>
    <row r="570" ht="15" customHeight="1">
      <c r="A570" t="inlineStr">
        <is>
          <t>A 26561-2025</t>
        </is>
      </c>
      <c r="B570" s="1" t="n">
        <v>45807.65438657408</v>
      </c>
      <c r="C570" s="1" t="n">
        <v>45904</v>
      </c>
      <c r="D570" t="inlineStr">
        <is>
          <t>JÄMTLANDS LÄN</t>
        </is>
      </c>
      <c r="E570" t="inlineStr">
        <is>
          <t>HÄRJEDALEN</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26551-2025</t>
        </is>
      </c>
      <c r="B571" s="1" t="n">
        <v>45807.60333333333</v>
      </c>
      <c r="C571" s="1" t="n">
        <v>45904</v>
      </c>
      <c r="D571" t="inlineStr">
        <is>
          <t>JÄMTLANDS LÄN</t>
        </is>
      </c>
      <c r="E571" t="inlineStr">
        <is>
          <t>HÄRJEDALEN</t>
        </is>
      </c>
      <c r="F571" t="inlineStr">
        <is>
          <t>Holmen skog AB</t>
        </is>
      </c>
      <c r="G571" t="n">
        <v>12.3</v>
      </c>
      <c r="H571" t="n">
        <v>0</v>
      </c>
      <c r="I571" t="n">
        <v>0</v>
      </c>
      <c r="J571" t="n">
        <v>0</v>
      </c>
      <c r="K571" t="n">
        <v>0</v>
      </c>
      <c r="L571" t="n">
        <v>0</v>
      </c>
      <c r="M571" t="n">
        <v>0</v>
      </c>
      <c r="N571" t="n">
        <v>0</v>
      </c>
      <c r="O571" t="n">
        <v>0</v>
      </c>
      <c r="P571" t="n">
        <v>0</v>
      </c>
      <c r="Q571" t="n">
        <v>0</v>
      </c>
      <c r="R571" s="2" t="inlineStr"/>
    </row>
    <row r="572" ht="15" customHeight="1">
      <c r="A572" t="inlineStr">
        <is>
          <t>A 26518-2025</t>
        </is>
      </c>
      <c r="B572" s="1" t="n">
        <v>45807.55893518519</v>
      </c>
      <c r="C572" s="1" t="n">
        <v>45904</v>
      </c>
      <c r="D572" t="inlineStr">
        <is>
          <t>JÄMTLANDS LÄN</t>
        </is>
      </c>
      <c r="E572" t="inlineStr">
        <is>
          <t>HÄRJEDALEN</t>
        </is>
      </c>
      <c r="F572" t="inlineStr">
        <is>
          <t>Holmen skog AB</t>
        </is>
      </c>
      <c r="G572" t="n">
        <v>1.4</v>
      </c>
      <c r="H572" t="n">
        <v>0</v>
      </c>
      <c r="I572" t="n">
        <v>0</v>
      </c>
      <c r="J572" t="n">
        <v>0</v>
      </c>
      <c r="K572" t="n">
        <v>0</v>
      </c>
      <c r="L572" t="n">
        <v>0</v>
      </c>
      <c r="M572" t="n">
        <v>0</v>
      </c>
      <c r="N572" t="n">
        <v>0</v>
      </c>
      <c r="O572" t="n">
        <v>0</v>
      </c>
      <c r="P572" t="n">
        <v>0</v>
      </c>
      <c r="Q572" t="n">
        <v>0</v>
      </c>
      <c r="R572" s="2" t="inlineStr"/>
    </row>
    <row r="573" ht="15" customHeight="1">
      <c r="A573" t="inlineStr">
        <is>
          <t>A 26417-2025</t>
        </is>
      </c>
      <c r="B573" s="1" t="n">
        <v>45807.36304398148</v>
      </c>
      <c r="C573" s="1" t="n">
        <v>45904</v>
      </c>
      <c r="D573" t="inlineStr">
        <is>
          <t>JÄMTLANDS LÄN</t>
        </is>
      </c>
      <c r="E573" t="inlineStr">
        <is>
          <t>HÄRJEDALEN</t>
        </is>
      </c>
      <c r="F573" t="inlineStr">
        <is>
          <t>Holmen skog AB</t>
        </is>
      </c>
      <c r="G573" t="n">
        <v>2.3</v>
      </c>
      <c r="H573" t="n">
        <v>0</v>
      </c>
      <c r="I573" t="n">
        <v>0</v>
      </c>
      <c r="J573" t="n">
        <v>0</v>
      </c>
      <c r="K573" t="n">
        <v>0</v>
      </c>
      <c r="L573" t="n">
        <v>0</v>
      </c>
      <c r="M573" t="n">
        <v>0</v>
      </c>
      <c r="N573" t="n">
        <v>0</v>
      </c>
      <c r="O573" t="n">
        <v>0</v>
      </c>
      <c r="P573" t="n">
        <v>0</v>
      </c>
      <c r="Q573" t="n">
        <v>0</v>
      </c>
      <c r="R573" s="2" t="inlineStr"/>
    </row>
    <row r="574" ht="15" customHeight="1">
      <c r="A574" t="inlineStr">
        <is>
          <t>A 26493-2025</t>
        </is>
      </c>
      <c r="B574" s="1" t="n">
        <v>45807.49045138889</v>
      </c>
      <c r="C574" s="1" t="n">
        <v>45904</v>
      </c>
      <c r="D574" t="inlineStr">
        <is>
          <t>JÄMTLANDS LÄN</t>
        </is>
      </c>
      <c r="E574" t="inlineStr">
        <is>
          <t>HÄRJEDALEN</t>
        </is>
      </c>
      <c r="F574" t="inlineStr">
        <is>
          <t>Holmen skog AB</t>
        </is>
      </c>
      <c r="G574" t="n">
        <v>4.8</v>
      </c>
      <c r="H574" t="n">
        <v>0</v>
      </c>
      <c r="I574" t="n">
        <v>0</v>
      </c>
      <c r="J574" t="n">
        <v>0</v>
      </c>
      <c r="K574" t="n">
        <v>0</v>
      </c>
      <c r="L574" t="n">
        <v>0</v>
      </c>
      <c r="M574" t="n">
        <v>0</v>
      </c>
      <c r="N574" t="n">
        <v>0</v>
      </c>
      <c r="O574" t="n">
        <v>0</v>
      </c>
      <c r="P574" t="n">
        <v>0</v>
      </c>
      <c r="Q574" t="n">
        <v>0</v>
      </c>
      <c r="R574" s="2" t="inlineStr"/>
    </row>
    <row r="575" ht="15" customHeight="1">
      <c r="A575" t="inlineStr">
        <is>
          <t>A 26528-2025</t>
        </is>
      </c>
      <c r="B575" s="1" t="n">
        <v>45807.5684375</v>
      </c>
      <c r="C575" s="1" t="n">
        <v>45904</v>
      </c>
      <c r="D575" t="inlineStr">
        <is>
          <t>JÄMTLANDS LÄN</t>
        </is>
      </c>
      <c r="E575" t="inlineStr">
        <is>
          <t>HÄRJEDALEN</t>
        </is>
      </c>
      <c r="F575" t="inlineStr">
        <is>
          <t>Holmen skog AB</t>
        </is>
      </c>
      <c r="G575" t="n">
        <v>3.5</v>
      </c>
      <c r="H575" t="n">
        <v>0</v>
      </c>
      <c r="I575" t="n">
        <v>0</v>
      </c>
      <c r="J575" t="n">
        <v>0</v>
      </c>
      <c r="K575" t="n">
        <v>0</v>
      </c>
      <c r="L575" t="n">
        <v>0</v>
      </c>
      <c r="M575" t="n">
        <v>0</v>
      </c>
      <c r="N575" t="n">
        <v>0</v>
      </c>
      <c r="O575" t="n">
        <v>0</v>
      </c>
      <c r="P575" t="n">
        <v>0</v>
      </c>
      <c r="Q575" t="n">
        <v>0</v>
      </c>
      <c r="R575" s="2" t="inlineStr"/>
    </row>
    <row r="576" ht="15" customHeight="1">
      <c r="A576" t="inlineStr">
        <is>
          <t>A 26558-2025</t>
        </is>
      </c>
      <c r="B576" s="1" t="n">
        <v>45807.63334490741</v>
      </c>
      <c r="C576" s="1" t="n">
        <v>45904</v>
      </c>
      <c r="D576" t="inlineStr">
        <is>
          <t>JÄMTLANDS LÄN</t>
        </is>
      </c>
      <c r="E576" t="inlineStr">
        <is>
          <t>HÄRJEDALEN</t>
        </is>
      </c>
      <c r="F576" t="inlineStr">
        <is>
          <t>Holmen skog AB</t>
        </is>
      </c>
      <c r="G576" t="n">
        <v>7.4</v>
      </c>
      <c r="H576" t="n">
        <v>0</v>
      </c>
      <c r="I576" t="n">
        <v>0</v>
      </c>
      <c r="J576" t="n">
        <v>0</v>
      </c>
      <c r="K576" t="n">
        <v>0</v>
      </c>
      <c r="L576" t="n">
        <v>0</v>
      </c>
      <c r="M576" t="n">
        <v>0</v>
      </c>
      <c r="N576" t="n">
        <v>0</v>
      </c>
      <c r="O576" t="n">
        <v>0</v>
      </c>
      <c r="P576" t="n">
        <v>0</v>
      </c>
      <c r="Q576" t="n">
        <v>0</v>
      </c>
      <c r="R576" s="2" t="inlineStr"/>
    </row>
    <row r="577" ht="15" customHeight="1">
      <c r="A577" t="inlineStr">
        <is>
          <t>A 35635-2024</t>
        </is>
      </c>
      <c r="B577" s="1" t="n">
        <v>45531.78386574074</v>
      </c>
      <c r="C577" s="1" t="n">
        <v>45904</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26468-2025</t>
        </is>
      </c>
      <c r="B578" s="1" t="n">
        <v>45807.45288194445</v>
      </c>
      <c r="C578" s="1" t="n">
        <v>45904</v>
      </c>
      <c r="D578" t="inlineStr">
        <is>
          <t>JÄMTLANDS LÄN</t>
        </is>
      </c>
      <c r="E578" t="inlineStr">
        <is>
          <t>HÄRJEDALEN</t>
        </is>
      </c>
      <c r="F578" t="inlineStr">
        <is>
          <t>Holmen skog AB</t>
        </is>
      </c>
      <c r="G578" t="n">
        <v>11.7</v>
      </c>
      <c r="H578" t="n">
        <v>0</v>
      </c>
      <c r="I578" t="n">
        <v>0</v>
      </c>
      <c r="J578" t="n">
        <v>0</v>
      </c>
      <c r="K578" t="n">
        <v>0</v>
      </c>
      <c r="L578" t="n">
        <v>0</v>
      </c>
      <c r="M578" t="n">
        <v>0</v>
      </c>
      <c r="N578" t="n">
        <v>0</v>
      </c>
      <c r="O578" t="n">
        <v>0</v>
      </c>
      <c r="P578" t="n">
        <v>0</v>
      </c>
      <c r="Q578" t="n">
        <v>0</v>
      </c>
      <c r="R578" s="2" t="inlineStr"/>
    </row>
    <row r="579" ht="15" customHeight="1">
      <c r="A579" t="inlineStr">
        <is>
          <t>A 12468-2022</t>
        </is>
      </c>
      <c r="B579" s="1" t="n">
        <v>44638.44958333333</v>
      </c>
      <c r="C579" s="1" t="n">
        <v>45904</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54502-2024</t>
        </is>
      </c>
      <c r="B580" s="1" t="n">
        <v>45617</v>
      </c>
      <c r="C580" s="1" t="n">
        <v>45904</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31910-2023</t>
        </is>
      </c>
      <c r="B581" s="1" t="n">
        <v>45118.91633101852</v>
      </c>
      <c r="C581" s="1" t="n">
        <v>45904</v>
      </c>
      <c r="D581" t="inlineStr">
        <is>
          <t>JÄMTLANDS LÄN</t>
        </is>
      </c>
      <c r="E581" t="inlineStr">
        <is>
          <t>HÄRJEDALEN</t>
        </is>
      </c>
      <c r="G581" t="n">
        <v>5</v>
      </c>
      <c r="H581" t="n">
        <v>0</v>
      </c>
      <c r="I581" t="n">
        <v>0</v>
      </c>
      <c r="J581" t="n">
        <v>0</v>
      </c>
      <c r="K581" t="n">
        <v>0</v>
      </c>
      <c r="L581" t="n">
        <v>0</v>
      </c>
      <c r="M581" t="n">
        <v>0</v>
      </c>
      <c r="N581" t="n">
        <v>0</v>
      </c>
      <c r="O581" t="n">
        <v>0</v>
      </c>
      <c r="P581" t="n">
        <v>0</v>
      </c>
      <c r="Q581" t="n">
        <v>0</v>
      </c>
      <c r="R581" s="2" t="inlineStr"/>
    </row>
    <row r="582" ht="15" customHeight="1">
      <c r="A582" t="inlineStr">
        <is>
          <t>A 54527-2024</t>
        </is>
      </c>
      <c r="B582" s="1" t="n">
        <v>45617</v>
      </c>
      <c r="C582" s="1" t="n">
        <v>45904</v>
      </c>
      <c r="D582" t="inlineStr">
        <is>
          <t>JÄMTLANDS LÄN</t>
        </is>
      </c>
      <c r="E582" t="inlineStr">
        <is>
          <t>HÄRJEDALEN</t>
        </is>
      </c>
      <c r="F582" t="inlineStr">
        <is>
          <t>Holmen skog AB</t>
        </is>
      </c>
      <c r="G582" t="n">
        <v>8.5</v>
      </c>
      <c r="H582" t="n">
        <v>0</v>
      </c>
      <c r="I582" t="n">
        <v>0</v>
      </c>
      <c r="J582" t="n">
        <v>0</v>
      </c>
      <c r="K582" t="n">
        <v>0</v>
      </c>
      <c r="L582" t="n">
        <v>0</v>
      </c>
      <c r="M582" t="n">
        <v>0</v>
      </c>
      <c r="N582" t="n">
        <v>0</v>
      </c>
      <c r="O582" t="n">
        <v>0</v>
      </c>
      <c r="P582" t="n">
        <v>0</v>
      </c>
      <c r="Q582" t="n">
        <v>0</v>
      </c>
      <c r="R582" s="2" t="inlineStr"/>
    </row>
    <row r="583" ht="15" customHeight="1">
      <c r="A583" t="inlineStr">
        <is>
          <t>A 36097-2024</t>
        </is>
      </c>
      <c r="B583" s="1" t="n">
        <v>45533.75398148148</v>
      </c>
      <c r="C583" s="1" t="n">
        <v>45904</v>
      </c>
      <c r="D583" t="inlineStr">
        <is>
          <t>JÄMTLANDS LÄN</t>
        </is>
      </c>
      <c r="E583" t="inlineStr">
        <is>
          <t>HÄRJEDALEN</t>
        </is>
      </c>
      <c r="G583" t="n">
        <v>2.9</v>
      </c>
      <c r="H583" t="n">
        <v>0</v>
      </c>
      <c r="I583" t="n">
        <v>0</v>
      </c>
      <c r="J583" t="n">
        <v>0</v>
      </c>
      <c r="K583" t="n">
        <v>0</v>
      </c>
      <c r="L583" t="n">
        <v>0</v>
      </c>
      <c r="M583" t="n">
        <v>0</v>
      </c>
      <c r="N583" t="n">
        <v>0</v>
      </c>
      <c r="O583" t="n">
        <v>0</v>
      </c>
      <c r="P583" t="n">
        <v>0</v>
      </c>
      <c r="Q583" t="n">
        <v>0</v>
      </c>
      <c r="R583" s="2" t="inlineStr"/>
    </row>
    <row r="584" ht="15" customHeight="1">
      <c r="A584" t="inlineStr">
        <is>
          <t>A 50331-2023</t>
        </is>
      </c>
      <c r="B584" s="1" t="n">
        <v>45216</v>
      </c>
      <c r="C584" s="1" t="n">
        <v>45904</v>
      </c>
      <c r="D584" t="inlineStr">
        <is>
          <t>JÄMTLANDS LÄN</t>
        </is>
      </c>
      <c r="E584" t="inlineStr">
        <is>
          <t>HÄRJEDALEN</t>
        </is>
      </c>
      <c r="G584" t="n">
        <v>2.3</v>
      </c>
      <c r="H584" t="n">
        <v>0</v>
      </c>
      <c r="I584" t="n">
        <v>0</v>
      </c>
      <c r="J584" t="n">
        <v>0</v>
      </c>
      <c r="K584" t="n">
        <v>0</v>
      </c>
      <c r="L584" t="n">
        <v>0</v>
      </c>
      <c r="M584" t="n">
        <v>0</v>
      </c>
      <c r="N584" t="n">
        <v>0</v>
      </c>
      <c r="O584" t="n">
        <v>0</v>
      </c>
      <c r="P584" t="n">
        <v>0</v>
      </c>
      <c r="Q584" t="n">
        <v>0</v>
      </c>
      <c r="R584" s="2" t="inlineStr"/>
    </row>
    <row r="585" ht="15" customHeight="1">
      <c r="A585" t="inlineStr">
        <is>
          <t>A 29624-2024</t>
        </is>
      </c>
      <c r="B585" s="1" t="n">
        <v>45484.65768518519</v>
      </c>
      <c r="C585" s="1" t="n">
        <v>45904</v>
      </c>
      <c r="D585" t="inlineStr">
        <is>
          <t>JÄMTLANDS LÄN</t>
        </is>
      </c>
      <c r="E585" t="inlineStr">
        <is>
          <t>HÄRJEDALEN</t>
        </is>
      </c>
      <c r="F585" t="inlineStr">
        <is>
          <t>Holmen skog AB</t>
        </is>
      </c>
      <c r="G585" t="n">
        <v>7.7</v>
      </c>
      <c r="H585" t="n">
        <v>0</v>
      </c>
      <c r="I585" t="n">
        <v>0</v>
      </c>
      <c r="J585" t="n">
        <v>0</v>
      </c>
      <c r="K585" t="n">
        <v>0</v>
      </c>
      <c r="L585" t="n">
        <v>0</v>
      </c>
      <c r="M585" t="n">
        <v>0</v>
      </c>
      <c r="N585" t="n">
        <v>0</v>
      </c>
      <c r="O585" t="n">
        <v>0</v>
      </c>
      <c r="P585" t="n">
        <v>0</v>
      </c>
      <c r="Q585" t="n">
        <v>0</v>
      </c>
      <c r="R585" s="2" t="inlineStr"/>
    </row>
    <row r="586" ht="15" customHeight="1">
      <c r="A586" t="inlineStr">
        <is>
          <t>A 26448-2025</t>
        </is>
      </c>
      <c r="B586" s="1" t="n">
        <v>45807.41717592593</v>
      </c>
      <c r="C586" s="1" t="n">
        <v>45904</v>
      </c>
      <c r="D586" t="inlineStr">
        <is>
          <t>JÄMTLANDS LÄN</t>
        </is>
      </c>
      <c r="E586" t="inlineStr">
        <is>
          <t>HÄRJEDALEN</t>
        </is>
      </c>
      <c r="F586" t="inlineStr">
        <is>
          <t>Holmen skog AB</t>
        </is>
      </c>
      <c r="G586" t="n">
        <v>1.7</v>
      </c>
      <c r="H586" t="n">
        <v>0</v>
      </c>
      <c r="I586" t="n">
        <v>0</v>
      </c>
      <c r="J586" t="n">
        <v>0</v>
      </c>
      <c r="K586" t="n">
        <v>0</v>
      </c>
      <c r="L586" t="n">
        <v>0</v>
      </c>
      <c r="M586" t="n">
        <v>0</v>
      </c>
      <c r="N586" t="n">
        <v>0</v>
      </c>
      <c r="O586" t="n">
        <v>0</v>
      </c>
      <c r="P586" t="n">
        <v>0</v>
      </c>
      <c r="Q586" t="n">
        <v>0</v>
      </c>
      <c r="R586" s="2" t="inlineStr"/>
    </row>
    <row r="587" ht="15" customHeight="1">
      <c r="A587" t="inlineStr">
        <is>
          <t>A 26462-2025</t>
        </is>
      </c>
      <c r="B587" s="1" t="n">
        <v>45807.43461805556</v>
      </c>
      <c r="C587" s="1" t="n">
        <v>45904</v>
      </c>
      <c r="D587" t="inlineStr">
        <is>
          <t>JÄMTLANDS LÄN</t>
        </is>
      </c>
      <c r="E587" t="inlineStr">
        <is>
          <t>HÄRJEDALEN</t>
        </is>
      </c>
      <c r="F587" t="inlineStr">
        <is>
          <t>Holmen skog AB</t>
        </is>
      </c>
      <c r="G587" t="n">
        <v>4</v>
      </c>
      <c r="H587" t="n">
        <v>0</v>
      </c>
      <c r="I587" t="n">
        <v>0</v>
      </c>
      <c r="J587" t="n">
        <v>0</v>
      </c>
      <c r="K587" t="n">
        <v>0</v>
      </c>
      <c r="L587" t="n">
        <v>0</v>
      </c>
      <c r="M587" t="n">
        <v>0</v>
      </c>
      <c r="N587" t="n">
        <v>0</v>
      </c>
      <c r="O587" t="n">
        <v>0</v>
      </c>
      <c r="P587" t="n">
        <v>0</v>
      </c>
      <c r="Q587" t="n">
        <v>0</v>
      </c>
      <c r="R587" s="2" t="inlineStr"/>
    </row>
    <row r="588" ht="15" customHeight="1">
      <c r="A588" t="inlineStr">
        <is>
          <t>A 26464-2025</t>
        </is>
      </c>
      <c r="B588" s="1" t="n">
        <v>45807.44070601852</v>
      </c>
      <c r="C588" s="1" t="n">
        <v>45904</v>
      </c>
      <c r="D588" t="inlineStr">
        <is>
          <t>JÄMTLANDS LÄN</t>
        </is>
      </c>
      <c r="E588" t="inlineStr">
        <is>
          <t>HÄRJEDALEN</t>
        </is>
      </c>
      <c r="F588" t="inlineStr">
        <is>
          <t>Holmen skog AB</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26466-2025</t>
        </is>
      </c>
      <c r="B589" s="1" t="n">
        <v>45807.44608796296</v>
      </c>
      <c r="C589" s="1" t="n">
        <v>45904</v>
      </c>
      <c r="D589" t="inlineStr">
        <is>
          <t>JÄMTLANDS LÄN</t>
        </is>
      </c>
      <c r="E589" t="inlineStr">
        <is>
          <t>HÄRJEDALEN</t>
        </is>
      </c>
      <c r="F589" t="inlineStr">
        <is>
          <t>Holmen skog AB</t>
        </is>
      </c>
      <c r="G589" t="n">
        <v>4</v>
      </c>
      <c r="H589" t="n">
        <v>0</v>
      </c>
      <c r="I589" t="n">
        <v>0</v>
      </c>
      <c r="J589" t="n">
        <v>0</v>
      </c>
      <c r="K589" t="n">
        <v>0</v>
      </c>
      <c r="L589" t="n">
        <v>0</v>
      </c>
      <c r="M589" t="n">
        <v>0</v>
      </c>
      <c r="N589" t="n">
        <v>0</v>
      </c>
      <c r="O589" t="n">
        <v>0</v>
      </c>
      <c r="P589" t="n">
        <v>0</v>
      </c>
      <c r="Q589" t="n">
        <v>0</v>
      </c>
      <c r="R589" s="2" t="inlineStr"/>
    </row>
    <row r="590" ht="15" customHeight="1">
      <c r="A590" t="inlineStr">
        <is>
          <t>A 26496-2025</t>
        </is>
      </c>
      <c r="B590" s="1" t="n">
        <v>45807.49832175926</v>
      </c>
      <c r="C590" s="1" t="n">
        <v>45904</v>
      </c>
      <c r="D590" t="inlineStr">
        <is>
          <t>JÄMTLANDS LÄN</t>
        </is>
      </c>
      <c r="E590" t="inlineStr">
        <is>
          <t>HÄRJEDALEN</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49792-2023</t>
        </is>
      </c>
      <c r="B591" s="1" t="n">
        <v>45212</v>
      </c>
      <c r="C591" s="1" t="n">
        <v>45904</v>
      </c>
      <c r="D591" t="inlineStr">
        <is>
          <t>JÄMTLANDS LÄN</t>
        </is>
      </c>
      <c r="E591" t="inlineStr">
        <is>
          <t>HÄRJEDALEN</t>
        </is>
      </c>
      <c r="G591" t="n">
        <v>5.6</v>
      </c>
      <c r="H591" t="n">
        <v>0</v>
      </c>
      <c r="I591" t="n">
        <v>0</v>
      </c>
      <c r="J591" t="n">
        <v>0</v>
      </c>
      <c r="K591" t="n">
        <v>0</v>
      </c>
      <c r="L591" t="n">
        <v>0</v>
      </c>
      <c r="M591" t="n">
        <v>0</v>
      </c>
      <c r="N591" t="n">
        <v>0</v>
      </c>
      <c r="O591" t="n">
        <v>0</v>
      </c>
      <c r="P591" t="n">
        <v>0</v>
      </c>
      <c r="Q591" t="n">
        <v>0</v>
      </c>
      <c r="R591" s="2" t="inlineStr"/>
    </row>
    <row r="592" ht="15" customHeight="1">
      <c r="A592" t="inlineStr">
        <is>
          <t>A 12428-2025</t>
        </is>
      </c>
      <c r="B592" s="1" t="n">
        <v>45730</v>
      </c>
      <c r="C592" s="1" t="n">
        <v>45904</v>
      </c>
      <c r="D592" t="inlineStr">
        <is>
          <t>JÄMTLANDS LÄN</t>
        </is>
      </c>
      <c r="E592" t="inlineStr">
        <is>
          <t>HÄRJEDALEN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61465-2023</t>
        </is>
      </c>
      <c r="B593" s="1" t="n">
        <v>45264.92637731481</v>
      </c>
      <c r="C593" s="1" t="n">
        <v>45904</v>
      </c>
      <c r="D593" t="inlineStr">
        <is>
          <t>JÄMTLANDS LÄN</t>
        </is>
      </c>
      <c r="E593" t="inlineStr">
        <is>
          <t>HÄRJEDALEN</t>
        </is>
      </c>
      <c r="G593" t="n">
        <v>5.9</v>
      </c>
      <c r="H593" t="n">
        <v>0</v>
      </c>
      <c r="I593" t="n">
        <v>0</v>
      </c>
      <c r="J593" t="n">
        <v>0</v>
      </c>
      <c r="K593" t="n">
        <v>0</v>
      </c>
      <c r="L593" t="n">
        <v>0</v>
      </c>
      <c r="M593" t="n">
        <v>0</v>
      </c>
      <c r="N593" t="n">
        <v>0</v>
      </c>
      <c r="O593" t="n">
        <v>0</v>
      </c>
      <c r="P593" t="n">
        <v>0</v>
      </c>
      <c r="Q593" t="n">
        <v>0</v>
      </c>
      <c r="R593" s="2" t="inlineStr"/>
    </row>
    <row r="594" ht="15" customHeight="1">
      <c r="A594" t="inlineStr">
        <is>
          <t>A 38507-2024</t>
        </is>
      </c>
      <c r="B594" s="1" t="n">
        <v>45546.54530092593</v>
      </c>
      <c r="C594" s="1" t="n">
        <v>45904</v>
      </c>
      <c r="D594" t="inlineStr">
        <is>
          <t>JÄMTLANDS LÄN</t>
        </is>
      </c>
      <c r="E594" t="inlineStr">
        <is>
          <t>HÄRJEDALEN</t>
        </is>
      </c>
      <c r="G594" t="n">
        <v>6.4</v>
      </c>
      <c r="H594" t="n">
        <v>0</v>
      </c>
      <c r="I594" t="n">
        <v>0</v>
      </c>
      <c r="J594" t="n">
        <v>0</v>
      </c>
      <c r="K594" t="n">
        <v>0</v>
      </c>
      <c r="L594" t="n">
        <v>0</v>
      </c>
      <c r="M594" t="n">
        <v>0</v>
      </c>
      <c r="N594" t="n">
        <v>0</v>
      </c>
      <c r="O594" t="n">
        <v>0</v>
      </c>
      <c r="P594" t="n">
        <v>0</v>
      </c>
      <c r="Q594" t="n">
        <v>0</v>
      </c>
      <c r="R594" s="2" t="inlineStr"/>
    </row>
    <row r="595" ht="15" customHeight="1">
      <c r="A595" t="inlineStr">
        <is>
          <t>A 19098-2025</t>
        </is>
      </c>
      <c r="B595" s="1" t="n">
        <v>45768.29289351852</v>
      </c>
      <c r="C595" s="1" t="n">
        <v>45904</v>
      </c>
      <c r="D595" t="inlineStr">
        <is>
          <t>JÄMTLANDS LÄN</t>
        </is>
      </c>
      <c r="E595" t="inlineStr">
        <is>
          <t>HÄRJEDALEN</t>
        </is>
      </c>
      <c r="F595" t="inlineStr">
        <is>
          <t>Sveaskog</t>
        </is>
      </c>
      <c r="G595" t="n">
        <v>4</v>
      </c>
      <c r="H595" t="n">
        <v>0</v>
      </c>
      <c r="I595" t="n">
        <v>0</v>
      </c>
      <c r="J595" t="n">
        <v>0</v>
      </c>
      <c r="K595" t="n">
        <v>0</v>
      </c>
      <c r="L595" t="n">
        <v>0</v>
      </c>
      <c r="M595" t="n">
        <v>0</v>
      </c>
      <c r="N595" t="n">
        <v>0</v>
      </c>
      <c r="O595" t="n">
        <v>0</v>
      </c>
      <c r="P595" t="n">
        <v>0</v>
      </c>
      <c r="Q595" t="n">
        <v>0</v>
      </c>
      <c r="R595" s="2" t="inlineStr"/>
    </row>
    <row r="596" ht="15" customHeight="1">
      <c r="A596" t="inlineStr">
        <is>
          <t>A 19101-2025</t>
        </is>
      </c>
      <c r="B596" s="1" t="n">
        <v>45768.30086805556</v>
      </c>
      <c r="C596" s="1" t="n">
        <v>45904</v>
      </c>
      <c r="D596" t="inlineStr">
        <is>
          <t>JÄMTLANDS LÄN</t>
        </is>
      </c>
      <c r="E596" t="inlineStr">
        <is>
          <t>HÄRJEDALEN</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26543-2025</t>
        </is>
      </c>
      <c r="B597" s="1" t="n">
        <v>45807.58868055556</v>
      </c>
      <c r="C597" s="1" t="n">
        <v>45904</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26548-2025</t>
        </is>
      </c>
      <c r="B598" s="1" t="n">
        <v>45807.59407407408</v>
      </c>
      <c r="C598" s="1" t="n">
        <v>45904</v>
      </c>
      <c r="D598" t="inlineStr">
        <is>
          <t>JÄMTLANDS LÄN</t>
        </is>
      </c>
      <c r="E598" t="inlineStr">
        <is>
          <t>HÄRJEDALEN</t>
        </is>
      </c>
      <c r="F598" t="inlineStr">
        <is>
          <t>Holmen skog AB</t>
        </is>
      </c>
      <c r="G598" t="n">
        <v>10.5</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44474.59423611111</v>
      </c>
      <c r="C599" s="1" t="n">
        <v>45904</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16185-2024</t>
        </is>
      </c>
      <c r="B600" s="1" t="n">
        <v>45406</v>
      </c>
      <c r="C600" s="1" t="n">
        <v>45904</v>
      </c>
      <c r="D600" t="inlineStr">
        <is>
          <t>JÄMTLANDS LÄN</t>
        </is>
      </c>
      <c r="E600" t="inlineStr">
        <is>
          <t>HÄRJEDALEN</t>
        </is>
      </c>
      <c r="F600" t="inlineStr">
        <is>
          <t>Holmen skog AB</t>
        </is>
      </c>
      <c r="G600" t="n">
        <v>21.6</v>
      </c>
      <c r="H600" t="n">
        <v>0</v>
      </c>
      <c r="I600" t="n">
        <v>0</v>
      </c>
      <c r="J600" t="n">
        <v>0</v>
      </c>
      <c r="K600" t="n">
        <v>0</v>
      </c>
      <c r="L600" t="n">
        <v>0</v>
      </c>
      <c r="M600" t="n">
        <v>0</v>
      </c>
      <c r="N600" t="n">
        <v>0</v>
      </c>
      <c r="O600" t="n">
        <v>0</v>
      </c>
      <c r="P600" t="n">
        <v>0</v>
      </c>
      <c r="Q600" t="n">
        <v>0</v>
      </c>
      <c r="R600" s="2" t="inlineStr"/>
    </row>
    <row r="601" ht="15" customHeight="1">
      <c r="A601" t="inlineStr">
        <is>
          <t>A 26907-2025</t>
        </is>
      </c>
      <c r="B601" s="1" t="n">
        <v>45811.34564814815</v>
      </c>
      <c r="C601" s="1" t="n">
        <v>45904</v>
      </c>
      <c r="D601" t="inlineStr">
        <is>
          <t>JÄMTLANDS LÄN</t>
        </is>
      </c>
      <c r="E601" t="inlineStr">
        <is>
          <t>HÄRJEDALEN</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78-2023</t>
        </is>
      </c>
      <c r="B602" s="1" t="n">
        <v>44928</v>
      </c>
      <c r="C602" s="1" t="n">
        <v>45904</v>
      </c>
      <c r="D602" t="inlineStr">
        <is>
          <t>JÄMTLANDS LÄN</t>
        </is>
      </c>
      <c r="E602" t="inlineStr">
        <is>
          <t>HÄRJEDALEN</t>
        </is>
      </c>
      <c r="F602" t="inlineStr">
        <is>
          <t>Holmen skog AB</t>
        </is>
      </c>
      <c r="G602" t="n">
        <v>3.1</v>
      </c>
      <c r="H602" t="n">
        <v>0</v>
      </c>
      <c r="I602" t="n">
        <v>0</v>
      </c>
      <c r="J602" t="n">
        <v>0</v>
      </c>
      <c r="K602" t="n">
        <v>0</v>
      </c>
      <c r="L602" t="n">
        <v>0</v>
      </c>
      <c r="M602" t="n">
        <v>0</v>
      </c>
      <c r="N602" t="n">
        <v>0</v>
      </c>
      <c r="O602" t="n">
        <v>0</v>
      </c>
      <c r="P602" t="n">
        <v>0</v>
      </c>
      <c r="Q602" t="n">
        <v>0</v>
      </c>
      <c r="R602" s="2" t="inlineStr"/>
    </row>
    <row r="603" ht="15" customHeight="1">
      <c r="A603" t="inlineStr">
        <is>
          <t>A 105-2023</t>
        </is>
      </c>
      <c r="B603" s="1" t="n">
        <v>44928.48072916667</v>
      </c>
      <c r="C603" s="1" t="n">
        <v>45904</v>
      </c>
      <c r="D603" t="inlineStr">
        <is>
          <t>JÄMTLANDS LÄN</t>
        </is>
      </c>
      <c r="E603" t="inlineStr">
        <is>
          <t>HÄRJEDALEN</t>
        </is>
      </c>
      <c r="F603" t="inlineStr">
        <is>
          <t>Holmen skog AB</t>
        </is>
      </c>
      <c r="G603" t="n">
        <v>17.5</v>
      </c>
      <c r="H603" t="n">
        <v>0</v>
      </c>
      <c r="I603" t="n">
        <v>0</v>
      </c>
      <c r="J603" t="n">
        <v>0</v>
      </c>
      <c r="K603" t="n">
        <v>0</v>
      </c>
      <c r="L603" t="n">
        <v>0</v>
      </c>
      <c r="M603" t="n">
        <v>0</v>
      </c>
      <c r="N603" t="n">
        <v>0</v>
      </c>
      <c r="O603" t="n">
        <v>0</v>
      </c>
      <c r="P603" t="n">
        <v>0</v>
      </c>
      <c r="Q603" t="n">
        <v>0</v>
      </c>
      <c r="R603" s="2" t="inlineStr"/>
    </row>
    <row r="604" ht="15" customHeight="1">
      <c r="A604" t="inlineStr">
        <is>
          <t>A 10000-2023</t>
        </is>
      </c>
      <c r="B604" s="1" t="n">
        <v>44985</v>
      </c>
      <c r="C604" s="1" t="n">
        <v>45904</v>
      </c>
      <c r="D604" t="inlineStr">
        <is>
          <t>JÄMTLANDS LÄN</t>
        </is>
      </c>
      <c r="E604" t="inlineStr">
        <is>
          <t>HÄRJEDALEN</t>
        </is>
      </c>
      <c r="F604" t="inlineStr">
        <is>
          <t>Holmen skog AB</t>
        </is>
      </c>
      <c r="G604" t="n">
        <v>12.6</v>
      </c>
      <c r="H604" t="n">
        <v>0</v>
      </c>
      <c r="I604" t="n">
        <v>0</v>
      </c>
      <c r="J604" t="n">
        <v>0</v>
      </c>
      <c r="K604" t="n">
        <v>0</v>
      </c>
      <c r="L604" t="n">
        <v>0</v>
      </c>
      <c r="M604" t="n">
        <v>0</v>
      </c>
      <c r="N604" t="n">
        <v>0</v>
      </c>
      <c r="O604" t="n">
        <v>0</v>
      </c>
      <c r="P604" t="n">
        <v>0</v>
      </c>
      <c r="Q604" t="n">
        <v>0</v>
      </c>
      <c r="R604" s="2" t="inlineStr"/>
    </row>
    <row r="605" ht="15" customHeight="1">
      <c r="A605" t="inlineStr">
        <is>
          <t>A 5013-2023</t>
        </is>
      </c>
      <c r="B605" s="1" t="n">
        <v>44958</v>
      </c>
      <c r="C605" s="1" t="n">
        <v>45904</v>
      </c>
      <c r="D605" t="inlineStr">
        <is>
          <t>JÄMTLANDS LÄN</t>
        </is>
      </c>
      <c r="E605" t="inlineStr">
        <is>
          <t>HÄRJEDALEN</t>
        </is>
      </c>
      <c r="F605" t="inlineStr">
        <is>
          <t>Bergvik skog väst AB</t>
        </is>
      </c>
      <c r="G605" t="n">
        <v>0.2</v>
      </c>
      <c r="H605" t="n">
        <v>0</v>
      </c>
      <c r="I605" t="n">
        <v>0</v>
      </c>
      <c r="J605" t="n">
        <v>0</v>
      </c>
      <c r="K605" t="n">
        <v>0</v>
      </c>
      <c r="L605" t="n">
        <v>0</v>
      </c>
      <c r="M605" t="n">
        <v>0</v>
      </c>
      <c r="N605" t="n">
        <v>0</v>
      </c>
      <c r="O605" t="n">
        <v>0</v>
      </c>
      <c r="P605" t="n">
        <v>0</v>
      </c>
      <c r="Q605" t="n">
        <v>0</v>
      </c>
      <c r="R605" s="2" t="inlineStr"/>
    </row>
    <row r="606" ht="15" customHeight="1">
      <c r="A606" t="inlineStr">
        <is>
          <t>A 14752-2024</t>
        </is>
      </c>
      <c r="B606" s="1" t="n">
        <v>45397.64855324074</v>
      </c>
      <c r="C606" s="1" t="n">
        <v>45904</v>
      </c>
      <c r="D606" t="inlineStr">
        <is>
          <t>JÄMTLANDS LÄN</t>
        </is>
      </c>
      <c r="E606" t="inlineStr">
        <is>
          <t>HÄRJEDALEN</t>
        </is>
      </c>
      <c r="G606" t="n">
        <v>5</v>
      </c>
      <c r="H606" t="n">
        <v>0</v>
      </c>
      <c r="I606" t="n">
        <v>0</v>
      </c>
      <c r="J606" t="n">
        <v>0</v>
      </c>
      <c r="K606" t="n">
        <v>0</v>
      </c>
      <c r="L606" t="n">
        <v>0</v>
      </c>
      <c r="M606" t="n">
        <v>0</v>
      </c>
      <c r="N606" t="n">
        <v>0</v>
      </c>
      <c r="O606" t="n">
        <v>0</v>
      </c>
      <c r="P606" t="n">
        <v>0</v>
      </c>
      <c r="Q606" t="n">
        <v>0</v>
      </c>
      <c r="R606" s="2" t="inlineStr"/>
    </row>
    <row r="607" ht="15" customHeight="1">
      <c r="A607" t="inlineStr">
        <is>
          <t>A 27512-2024</t>
        </is>
      </c>
      <c r="B607" s="1" t="n">
        <v>45474.54432870371</v>
      </c>
      <c r="C607" s="1" t="n">
        <v>45904</v>
      </c>
      <c r="D607" t="inlineStr">
        <is>
          <t>JÄMTLANDS LÄN</t>
        </is>
      </c>
      <c r="E607" t="inlineStr">
        <is>
          <t>HÄRJEDALEN</t>
        </is>
      </c>
      <c r="G607" t="n">
        <v>19.3</v>
      </c>
      <c r="H607" t="n">
        <v>0</v>
      </c>
      <c r="I607" t="n">
        <v>0</v>
      </c>
      <c r="J607" t="n">
        <v>0</v>
      </c>
      <c r="K607" t="n">
        <v>0</v>
      </c>
      <c r="L607" t="n">
        <v>0</v>
      </c>
      <c r="M607" t="n">
        <v>0</v>
      </c>
      <c r="N607" t="n">
        <v>0</v>
      </c>
      <c r="O607" t="n">
        <v>0</v>
      </c>
      <c r="P607" t="n">
        <v>0</v>
      </c>
      <c r="Q607" t="n">
        <v>0</v>
      </c>
      <c r="R607" s="2" t="inlineStr"/>
    </row>
    <row r="608" ht="15" customHeight="1">
      <c r="A608" t="inlineStr">
        <is>
          <t>A 26905-2025</t>
        </is>
      </c>
      <c r="B608" s="1" t="n">
        <v>45811.34540509259</v>
      </c>
      <c r="C608" s="1" t="n">
        <v>45904</v>
      </c>
      <c r="D608" t="inlineStr">
        <is>
          <t>JÄMTLANDS LÄN</t>
        </is>
      </c>
      <c r="E608" t="inlineStr">
        <is>
          <t>HÄRJEDALEN</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21530-2023</t>
        </is>
      </c>
      <c r="B609" s="1" t="n">
        <v>45063</v>
      </c>
      <c r="C609" s="1" t="n">
        <v>45904</v>
      </c>
      <c r="D609" t="inlineStr">
        <is>
          <t>JÄMTLANDS LÄN</t>
        </is>
      </c>
      <c r="E609" t="inlineStr">
        <is>
          <t>HÄRJEDALEN</t>
        </is>
      </c>
      <c r="G609" t="n">
        <v>15.3</v>
      </c>
      <c r="H609" t="n">
        <v>0</v>
      </c>
      <c r="I609" t="n">
        <v>0</v>
      </c>
      <c r="J609" t="n">
        <v>0</v>
      </c>
      <c r="K609" t="n">
        <v>0</v>
      </c>
      <c r="L609" t="n">
        <v>0</v>
      </c>
      <c r="M609" t="n">
        <v>0</v>
      </c>
      <c r="N609" t="n">
        <v>0</v>
      </c>
      <c r="O609" t="n">
        <v>0</v>
      </c>
      <c r="P609" t="n">
        <v>0</v>
      </c>
      <c r="Q609" t="n">
        <v>0</v>
      </c>
      <c r="R609" s="2" t="inlineStr"/>
    </row>
    <row r="610" ht="15" customHeight="1">
      <c r="A610" t="inlineStr">
        <is>
          <t>A 26908-2025</t>
        </is>
      </c>
      <c r="B610" s="1" t="n">
        <v>45811.34578703704</v>
      </c>
      <c r="C610" s="1" t="n">
        <v>45904</v>
      </c>
      <c r="D610" t="inlineStr">
        <is>
          <t>JÄMTLANDS LÄN</t>
        </is>
      </c>
      <c r="E610" t="inlineStr">
        <is>
          <t>HÄRJEDALEN</t>
        </is>
      </c>
      <c r="F610" t="inlineStr">
        <is>
          <t>SCA</t>
        </is>
      </c>
      <c r="G610" t="n">
        <v>22.9</v>
      </c>
      <c r="H610" t="n">
        <v>0</v>
      </c>
      <c r="I610" t="n">
        <v>0</v>
      </c>
      <c r="J610" t="n">
        <v>0</v>
      </c>
      <c r="K610" t="n">
        <v>0</v>
      </c>
      <c r="L610" t="n">
        <v>0</v>
      </c>
      <c r="M610" t="n">
        <v>0</v>
      </c>
      <c r="N610" t="n">
        <v>0</v>
      </c>
      <c r="O610" t="n">
        <v>0</v>
      </c>
      <c r="P610" t="n">
        <v>0</v>
      </c>
      <c r="Q610" t="n">
        <v>0</v>
      </c>
      <c r="R610" s="2" t="inlineStr"/>
    </row>
    <row r="611" ht="15" customHeight="1">
      <c r="A611" t="inlineStr">
        <is>
          <t>A 37747-2023</t>
        </is>
      </c>
      <c r="B611" s="1" t="n">
        <v>45159</v>
      </c>
      <c r="C611" s="1" t="n">
        <v>45904</v>
      </c>
      <c r="D611" t="inlineStr">
        <is>
          <t>JÄMTLANDS LÄN</t>
        </is>
      </c>
      <c r="E611" t="inlineStr">
        <is>
          <t>HÄRJEDALEN</t>
        </is>
      </c>
      <c r="F611" t="inlineStr">
        <is>
          <t>Bergvik skog väst AB</t>
        </is>
      </c>
      <c r="G611" t="n">
        <v>5.1</v>
      </c>
      <c r="H611" t="n">
        <v>0</v>
      </c>
      <c r="I611" t="n">
        <v>0</v>
      </c>
      <c r="J611" t="n">
        <v>0</v>
      </c>
      <c r="K611" t="n">
        <v>0</v>
      </c>
      <c r="L611" t="n">
        <v>0</v>
      </c>
      <c r="M611" t="n">
        <v>0</v>
      </c>
      <c r="N611" t="n">
        <v>0</v>
      </c>
      <c r="O611" t="n">
        <v>0</v>
      </c>
      <c r="P611" t="n">
        <v>0</v>
      </c>
      <c r="Q611" t="n">
        <v>0</v>
      </c>
      <c r="R611" s="2" t="inlineStr"/>
    </row>
    <row r="612" ht="15" customHeight="1">
      <c r="A612" t="inlineStr">
        <is>
          <t>A 37762-2023</t>
        </is>
      </c>
      <c r="B612" s="1" t="n">
        <v>45159</v>
      </c>
      <c r="C612" s="1" t="n">
        <v>45904</v>
      </c>
      <c r="D612" t="inlineStr">
        <is>
          <t>JÄMTLANDS LÄN</t>
        </is>
      </c>
      <c r="E612" t="inlineStr">
        <is>
          <t>HÄRJEDALEN</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45904</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59427-2024</t>
        </is>
      </c>
      <c r="B614" s="1" t="n">
        <v>45638.416875</v>
      </c>
      <c r="C614" s="1" t="n">
        <v>45904</v>
      </c>
      <c r="D614" t="inlineStr">
        <is>
          <t>JÄMTLANDS LÄN</t>
        </is>
      </c>
      <c r="E614" t="inlineStr">
        <is>
          <t>HÄRJEDALEN</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55969-2022</t>
        </is>
      </c>
      <c r="B615" s="1" t="n">
        <v>44886</v>
      </c>
      <c r="C615" s="1" t="n">
        <v>45904</v>
      </c>
      <c r="D615" t="inlineStr">
        <is>
          <t>JÄMTLANDS LÄN</t>
        </is>
      </c>
      <c r="E615" t="inlineStr">
        <is>
          <t>HÄRJEDALEN</t>
        </is>
      </c>
      <c r="F615" t="inlineStr">
        <is>
          <t>Övriga statliga verk och myndigheter</t>
        </is>
      </c>
      <c r="G615" t="n">
        <v>1.6</v>
      </c>
      <c r="H615" t="n">
        <v>0</v>
      </c>
      <c r="I615" t="n">
        <v>0</v>
      </c>
      <c r="J615" t="n">
        <v>0</v>
      </c>
      <c r="K615" t="n">
        <v>0</v>
      </c>
      <c r="L615" t="n">
        <v>0</v>
      </c>
      <c r="M615" t="n">
        <v>0</v>
      </c>
      <c r="N615" t="n">
        <v>0</v>
      </c>
      <c r="O615" t="n">
        <v>0</v>
      </c>
      <c r="P615" t="n">
        <v>0</v>
      </c>
      <c r="Q615" t="n">
        <v>0</v>
      </c>
      <c r="R615" s="2" t="inlineStr"/>
    </row>
    <row r="616" ht="15" customHeight="1">
      <c r="A616" t="inlineStr">
        <is>
          <t>A 60050-2024</t>
        </is>
      </c>
      <c r="B616" s="1" t="n">
        <v>45642</v>
      </c>
      <c r="C616" s="1" t="n">
        <v>45904</v>
      </c>
      <c r="D616" t="inlineStr">
        <is>
          <t>JÄMTLANDS LÄN</t>
        </is>
      </c>
      <c r="E616" t="inlineStr">
        <is>
          <t>HÄRJEDALEN</t>
        </is>
      </c>
      <c r="G616" t="n">
        <v>3.6</v>
      </c>
      <c r="H616" t="n">
        <v>0</v>
      </c>
      <c r="I616" t="n">
        <v>0</v>
      </c>
      <c r="J616" t="n">
        <v>0</v>
      </c>
      <c r="K616" t="n">
        <v>0</v>
      </c>
      <c r="L616" t="n">
        <v>0</v>
      </c>
      <c r="M616" t="n">
        <v>0</v>
      </c>
      <c r="N616" t="n">
        <v>0</v>
      </c>
      <c r="O616" t="n">
        <v>0</v>
      </c>
      <c r="P616" t="n">
        <v>0</v>
      </c>
      <c r="Q616" t="n">
        <v>0</v>
      </c>
      <c r="R616" s="2" t="inlineStr"/>
    </row>
    <row r="617" ht="15" customHeight="1">
      <c r="A617" t="inlineStr">
        <is>
          <t>A 58352-2024</t>
        </is>
      </c>
      <c r="B617" s="1" t="n">
        <v>45632.65197916667</v>
      </c>
      <c r="C617" s="1" t="n">
        <v>45904</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31816-2024</t>
        </is>
      </c>
      <c r="B618" s="1" t="n">
        <v>45509.5980787037</v>
      </c>
      <c r="C618" s="1" t="n">
        <v>45904</v>
      </c>
      <c r="D618" t="inlineStr">
        <is>
          <t>JÄMTLANDS LÄN</t>
        </is>
      </c>
      <c r="E618" t="inlineStr">
        <is>
          <t>HÄRJEDALEN</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60709-2024</t>
        </is>
      </c>
      <c r="B619" s="1" t="n">
        <v>45644.50141203704</v>
      </c>
      <c r="C619" s="1" t="n">
        <v>45904</v>
      </c>
      <c r="D619" t="inlineStr">
        <is>
          <t>JÄMTLANDS LÄN</t>
        </is>
      </c>
      <c r="E619" t="inlineStr">
        <is>
          <t>HÄRJEDALEN</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57668-2024</t>
        </is>
      </c>
      <c r="B620" s="1" t="n">
        <v>45630.62513888889</v>
      </c>
      <c r="C620" s="1" t="n">
        <v>45904</v>
      </c>
      <c r="D620" t="inlineStr">
        <is>
          <t>JÄMTLANDS LÄN</t>
        </is>
      </c>
      <c r="E620" t="inlineStr">
        <is>
          <t>HÄRJEDALEN</t>
        </is>
      </c>
      <c r="G620" t="n">
        <v>15.7</v>
      </c>
      <c r="H620" t="n">
        <v>0</v>
      </c>
      <c r="I620" t="n">
        <v>0</v>
      </c>
      <c r="J620" t="n">
        <v>0</v>
      </c>
      <c r="K620" t="n">
        <v>0</v>
      </c>
      <c r="L620" t="n">
        <v>0</v>
      </c>
      <c r="M620" t="n">
        <v>0</v>
      </c>
      <c r="N620" t="n">
        <v>0</v>
      </c>
      <c r="O620" t="n">
        <v>0</v>
      </c>
      <c r="P620" t="n">
        <v>0</v>
      </c>
      <c r="Q620" t="n">
        <v>0</v>
      </c>
      <c r="R620" s="2" t="inlineStr"/>
    </row>
    <row r="621" ht="15" customHeight="1">
      <c r="A621" t="inlineStr">
        <is>
          <t>A 30411-2023</t>
        </is>
      </c>
      <c r="B621" s="1" t="n">
        <v>45111</v>
      </c>
      <c r="C621" s="1" t="n">
        <v>45904</v>
      </c>
      <c r="D621" t="inlineStr">
        <is>
          <t>JÄMTLANDS LÄN</t>
        </is>
      </c>
      <c r="E621" t="inlineStr">
        <is>
          <t>HÄRJEDALEN</t>
        </is>
      </c>
      <c r="F621" t="inlineStr">
        <is>
          <t>Bergvik skog väst AB</t>
        </is>
      </c>
      <c r="G621" t="n">
        <v>28.3</v>
      </c>
      <c r="H621" t="n">
        <v>0</v>
      </c>
      <c r="I621" t="n">
        <v>0</v>
      </c>
      <c r="J621" t="n">
        <v>0</v>
      </c>
      <c r="K621" t="n">
        <v>0</v>
      </c>
      <c r="L621" t="n">
        <v>0</v>
      </c>
      <c r="M621" t="n">
        <v>0</v>
      </c>
      <c r="N621" t="n">
        <v>0</v>
      </c>
      <c r="O621" t="n">
        <v>0</v>
      </c>
      <c r="P621" t="n">
        <v>0</v>
      </c>
      <c r="Q621" t="n">
        <v>0</v>
      </c>
      <c r="R621" s="2" t="inlineStr"/>
    </row>
    <row r="622" ht="15" customHeight="1">
      <c r="A622" t="inlineStr">
        <is>
          <t>A 1364-2024</t>
        </is>
      </c>
      <c r="B622" s="1" t="n">
        <v>45303.5187037037</v>
      </c>
      <c r="C622" s="1" t="n">
        <v>45904</v>
      </c>
      <c r="D622" t="inlineStr">
        <is>
          <t>JÄMTLANDS LÄN</t>
        </is>
      </c>
      <c r="E622" t="inlineStr">
        <is>
          <t>HÄRJEDALEN</t>
        </is>
      </c>
      <c r="G622" t="n">
        <v>2.9</v>
      </c>
      <c r="H622" t="n">
        <v>0</v>
      </c>
      <c r="I622" t="n">
        <v>0</v>
      </c>
      <c r="J622" t="n">
        <v>0</v>
      </c>
      <c r="K622" t="n">
        <v>0</v>
      </c>
      <c r="L622" t="n">
        <v>0</v>
      </c>
      <c r="M622" t="n">
        <v>0</v>
      </c>
      <c r="N622" t="n">
        <v>0</v>
      </c>
      <c r="O622" t="n">
        <v>0</v>
      </c>
      <c r="P622" t="n">
        <v>0</v>
      </c>
      <c r="Q622" t="n">
        <v>0</v>
      </c>
      <c r="R622" s="2" t="inlineStr"/>
    </row>
    <row r="623" ht="15" customHeight="1">
      <c r="A623" t="inlineStr">
        <is>
          <t>A 27565-2025</t>
        </is>
      </c>
      <c r="B623" s="1" t="n">
        <v>45813.48734953703</v>
      </c>
      <c r="C623" s="1" t="n">
        <v>45904</v>
      </c>
      <c r="D623" t="inlineStr">
        <is>
          <t>JÄMTLANDS LÄN</t>
        </is>
      </c>
      <c r="E623" t="inlineStr">
        <is>
          <t>HÄRJEDALEN</t>
        </is>
      </c>
      <c r="G623" t="n">
        <v>2.1</v>
      </c>
      <c r="H623" t="n">
        <v>0</v>
      </c>
      <c r="I623" t="n">
        <v>0</v>
      </c>
      <c r="J623" t="n">
        <v>0</v>
      </c>
      <c r="K623" t="n">
        <v>0</v>
      </c>
      <c r="L623" t="n">
        <v>0</v>
      </c>
      <c r="M623" t="n">
        <v>0</v>
      </c>
      <c r="N623" t="n">
        <v>0</v>
      </c>
      <c r="O623" t="n">
        <v>0</v>
      </c>
      <c r="P623" t="n">
        <v>0</v>
      </c>
      <c r="Q623" t="n">
        <v>0</v>
      </c>
      <c r="R623" s="2" t="inlineStr"/>
    </row>
    <row r="624" ht="15" customHeight="1">
      <c r="A624" t="inlineStr">
        <is>
          <t>A 27553-2025</t>
        </is>
      </c>
      <c r="B624" s="1" t="n">
        <v>45813.47074074074</v>
      </c>
      <c r="C624" s="1" t="n">
        <v>45904</v>
      </c>
      <c r="D624" t="inlineStr">
        <is>
          <t>JÄMTLANDS LÄN</t>
        </is>
      </c>
      <c r="E624" t="inlineStr">
        <is>
          <t>HÄRJEDALEN</t>
        </is>
      </c>
      <c r="G624" t="n">
        <v>1.4</v>
      </c>
      <c r="H624" t="n">
        <v>0</v>
      </c>
      <c r="I624" t="n">
        <v>0</v>
      </c>
      <c r="J624" t="n">
        <v>0</v>
      </c>
      <c r="K624" t="n">
        <v>0</v>
      </c>
      <c r="L624" t="n">
        <v>0</v>
      </c>
      <c r="M624" t="n">
        <v>0</v>
      </c>
      <c r="N624" t="n">
        <v>0</v>
      </c>
      <c r="O624" t="n">
        <v>0</v>
      </c>
      <c r="P624" t="n">
        <v>0</v>
      </c>
      <c r="Q624" t="n">
        <v>0</v>
      </c>
      <c r="R624" s="2" t="inlineStr"/>
    </row>
    <row r="625" ht="15" customHeight="1">
      <c r="A625" t="inlineStr">
        <is>
          <t>A 64485-2023</t>
        </is>
      </c>
      <c r="B625" s="1" t="n">
        <v>45280</v>
      </c>
      <c r="C625" s="1" t="n">
        <v>45904</v>
      </c>
      <c r="D625" t="inlineStr">
        <is>
          <t>JÄMTLANDS LÄN</t>
        </is>
      </c>
      <c r="E625" t="inlineStr">
        <is>
          <t>HÄRJEDALEN</t>
        </is>
      </c>
      <c r="G625" t="n">
        <v>21.3</v>
      </c>
      <c r="H625" t="n">
        <v>0</v>
      </c>
      <c r="I625" t="n">
        <v>0</v>
      </c>
      <c r="J625" t="n">
        <v>0</v>
      </c>
      <c r="K625" t="n">
        <v>0</v>
      </c>
      <c r="L625" t="n">
        <v>0</v>
      </c>
      <c r="M625" t="n">
        <v>0</v>
      </c>
      <c r="N625" t="n">
        <v>0</v>
      </c>
      <c r="O625" t="n">
        <v>0</v>
      </c>
      <c r="P625" t="n">
        <v>0</v>
      </c>
      <c r="Q625" t="n">
        <v>0</v>
      </c>
      <c r="R625" s="2" t="inlineStr"/>
    </row>
    <row r="626" ht="15" customHeight="1">
      <c r="A626" t="inlineStr">
        <is>
          <t>A 56061-2024</t>
        </is>
      </c>
      <c r="B626" s="1" t="n">
        <v>45624.36858796296</v>
      </c>
      <c r="C626" s="1" t="n">
        <v>45904</v>
      </c>
      <c r="D626" t="inlineStr">
        <is>
          <t>JÄMTLANDS LÄN</t>
        </is>
      </c>
      <c r="E626" t="inlineStr">
        <is>
          <t>HÄRJEDALEN</t>
        </is>
      </c>
      <c r="G626" t="n">
        <v>7.9</v>
      </c>
      <c r="H626" t="n">
        <v>0</v>
      </c>
      <c r="I626" t="n">
        <v>0</v>
      </c>
      <c r="J626" t="n">
        <v>0</v>
      </c>
      <c r="K626" t="n">
        <v>0</v>
      </c>
      <c r="L626" t="n">
        <v>0</v>
      </c>
      <c r="M626" t="n">
        <v>0</v>
      </c>
      <c r="N626" t="n">
        <v>0</v>
      </c>
      <c r="O626" t="n">
        <v>0</v>
      </c>
      <c r="P626" t="n">
        <v>0</v>
      </c>
      <c r="Q626" t="n">
        <v>0</v>
      </c>
      <c r="R626" s="2" t="inlineStr"/>
    </row>
    <row r="627" ht="15" customHeight="1">
      <c r="A627" t="inlineStr">
        <is>
          <t>A 30082-2022</t>
        </is>
      </c>
      <c r="B627" s="1" t="n">
        <v>44757.37524305555</v>
      </c>
      <c r="C627" s="1" t="n">
        <v>45904</v>
      </c>
      <c r="D627" t="inlineStr">
        <is>
          <t>JÄMTLANDS LÄN</t>
        </is>
      </c>
      <c r="E627" t="inlineStr">
        <is>
          <t>HÄRJEDALEN</t>
        </is>
      </c>
      <c r="G627" t="n">
        <v>3</v>
      </c>
      <c r="H627" t="n">
        <v>0</v>
      </c>
      <c r="I627" t="n">
        <v>0</v>
      </c>
      <c r="J627" t="n">
        <v>0</v>
      </c>
      <c r="K627" t="n">
        <v>0</v>
      </c>
      <c r="L627" t="n">
        <v>0</v>
      </c>
      <c r="M627" t="n">
        <v>0</v>
      </c>
      <c r="N627" t="n">
        <v>0</v>
      </c>
      <c r="O627" t="n">
        <v>0</v>
      </c>
      <c r="P627" t="n">
        <v>0</v>
      </c>
      <c r="Q627" t="n">
        <v>0</v>
      </c>
      <c r="R627" s="2" t="inlineStr"/>
    </row>
    <row r="628" ht="15" customHeight="1">
      <c r="A628" t="inlineStr">
        <is>
          <t>A 56547-2024</t>
        </is>
      </c>
      <c r="B628" s="1" t="n">
        <v>45625.56934027778</v>
      </c>
      <c r="C628" s="1" t="n">
        <v>45904</v>
      </c>
      <c r="D628" t="inlineStr">
        <is>
          <t>JÄMTLANDS LÄN</t>
        </is>
      </c>
      <c r="E628" t="inlineStr">
        <is>
          <t>HÄRJEDALEN</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16176-2024</t>
        </is>
      </c>
      <c r="B629" s="1" t="n">
        <v>45406.64024305555</v>
      </c>
      <c r="C629" s="1" t="n">
        <v>45904</v>
      </c>
      <c r="D629" t="inlineStr">
        <is>
          <t>JÄMTLANDS LÄN</t>
        </is>
      </c>
      <c r="E629" t="inlineStr">
        <is>
          <t>HÄRJEDALEN</t>
        </is>
      </c>
      <c r="F629" t="inlineStr">
        <is>
          <t>Holmen skog AB</t>
        </is>
      </c>
      <c r="G629" t="n">
        <v>3.4</v>
      </c>
      <c r="H629" t="n">
        <v>0</v>
      </c>
      <c r="I629" t="n">
        <v>0</v>
      </c>
      <c r="J629" t="n">
        <v>0</v>
      </c>
      <c r="K629" t="n">
        <v>0</v>
      </c>
      <c r="L629" t="n">
        <v>0</v>
      </c>
      <c r="M629" t="n">
        <v>0</v>
      </c>
      <c r="N629" t="n">
        <v>0</v>
      </c>
      <c r="O629" t="n">
        <v>0</v>
      </c>
      <c r="P629" t="n">
        <v>0</v>
      </c>
      <c r="Q629" t="n">
        <v>0</v>
      </c>
      <c r="R629" s="2" t="inlineStr"/>
    </row>
    <row r="630" ht="15" customHeight="1">
      <c r="A630" t="inlineStr">
        <is>
          <t>A 27679-2025</t>
        </is>
      </c>
      <c r="B630" s="1" t="n">
        <v>45813.64590277777</v>
      </c>
      <c r="C630" s="1" t="n">
        <v>45904</v>
      </c>
      <c r="D630" t="inlineStr">
        <is>
          <t>JÄMTLANDS LÄN</t>
        </is>
      </c>
      <c r="E630" t="inlineStr">
        <is>
          <t>HÄRJEDALEN</t>
        </is>
      </c>
      <c r="G630" t="n">
        <v>13.9</v>
      </c>
      <c r="H630" t="n">
        <v>0</v>
      </c>
      <c r="I630" t="n">
        <v>0</v>
      </c>
      <c r="J630" t="n">
        <v>0</v>
      </c>
      <c r="K630" t="n">
        <v>0</v>
      </c>
      <c r="L630" t="n">
        <v>0</v>
      </c>
      <c r="M630" t="n">
        <v>0</v>
      </c>
      <c r="N630" t="n">
        <v>0</v>
      </c>
      <c r="O630" t="n">
        <v>0</v>
      </c>
      <c r="P630" t="n">
        <v>0</v>
      </c>
      <c r="Q630" t="n">
        <v>0</v>
      </c>
      <c r="R630" s="2" t="inlineStr"/>
    </row>
    <row r="631" ht="15" customHeight="1">
      <c r="A631" t="inlineStr">
        <is>
          <t>A 47765-2024</t>
        </is>
      </c>
      <c r="B631" s="1" t="n">
        <v>45588.56039351852</v>
      </c>
      <c r="C631" s="1" t="n">
        <v>45904</v>
      </c>
      <c r="D631" t="inlineStr">
        <is>
          <t>JÄMTLANDS LÄN</t>
        </is>
      </c>
      <c r="E631" t="inlineStr">
        <is>
          <t>HÄRJEDALEN</t>
        </is>
      </c>
      <c r="G631" t="n">
        <v>53.6</v>
      </c>
      <c r="H631" t="n">
        <v>0</v>
      </c>
      <c r="I631" t="n">
        <v>0</v>
      </c>
      <c r="J631" t="n">
        <v>0</v>
      </c>
      <c r="K631" t="n">
        <v>0</v>
      </c>
      <c r="L631" t="n">
        <v>0</v>
      </c>
      <c r="M631" t="n">
        <v>0</v>
      </c>
      <c r="N631" t="n">
        <v>0</v>
      </c>
      <c r="O631" t="n">
        <v>0</v>
      </c>
      <c r="P631" t="n">
        <v>0</v>
      </c>
      <c r="Q631" t="n">
        <v>0</v>
      </c>
      <c r="R631" s="2" t="inlineStr"/>
    </row>
    <row r="632" ht="15" customHeight="1">
      <c r="A632" t="inlineStr">
        <is>
          <t>A 5630-2024</t>
        </is>
      </c>
      <c r="B632" s="1" t="n">
        <v>45334</v>
      </c>
      <c r="C632" s="1" t="n">
        <v>45904</v>
      </c>
      <c r="D632" t="inlineStr">
        <is>
          <t>JÄMTLANDS LÄN</t>
        </is>
      </c>
      <c r="E632" t="inlineStr">
        <is>
          <t>HÄRJEDALEN</t>
        </is>
      </c>
      <c r="F632" t="inlineStr">
        <is>
          <t>Övriga statliga verk och myndigheter</t>
        </is>
      </c>
      <c r="G632" t="n">
        <v>5.4</v>
      </c>
      <c r="H632" t="n">
        <v>0</v>
      </c>
      <c r="I632" t="n">
        <v>0</v>
      </c>
      <c r="J632" t="n">
        <v>0</v>
      </c>
      <c r="K632" t="n">
        <v>0</v>
      </c>
      <c r="L632" t="n">
        <v>0</v>
      </c>
      <c r="M632" t="n">
        <v>0</v>
      </c>
      <c r="N632" t="n">
        <v>0</v>
      </c>
      <c r="O632" t="n">
        <v>0</v>
      </c>
      <c r="P632" t="n">
        <v>0</v>
      </c>
      <c r="Q632" t="n">
        <v>0</v>
      </c>
      <c r="R632" s="2" t="inlineStr"/>
    </row>
    <row r="633" ht="15" customHeight="1">
      <c r="A633" t="inlineStr">
        <is>
          <t>A 4128-2025</t>
        </is>
      </c>
      <c r="B633" s="1" t="n">
        <v>45685</v>
      </c>
      <c r="C633" s="1" t="n">
        <v>45904</v>
      </c>
      <c r="D633" t="inlineStr">
        <is>
          <t>JÄMTLANDS LÄN</t>
        </is>
      </c>
      <c r="E633" t="inlineStr">
        <is>
          <t>HÄRJEDALEN</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12747-2025</t>
        </is>
      </c>
      <c r="B634" s="1" t="n">
        <v>45733</v>
      </c>
      <c r="C634" s="1" t="n">
        <v>45904</v>
      </c>
      <c r="D634" t="inlineStr">
        <is>
          <t>JÄMTLANDS LÄN</t>
        </is>
      </c>
      <c r="E634" t="inlineStr">
        <is>
          <t>HÄRJEDALEN</t>
        </is>
      </c>
      <c r="G634" t="n">
        <v>12.1</v>
      </c>
      <c r="H634" t="n">
        <v>0</v>
      </c>
      <c r="I634" t="n">
        <v>0</v>
      </c>
      <c r="J634" t="n">
        <v>0</v>
      </c>
      <c r="K634" t="n">
        <v>0</v>
      </c>
      <c r="L634" t="n">
        <v>0</v>
      </c>
      <c r="M634" t="n">
        <v>0</v>
      </c>
      <c r="N634" t="n">
        <v>0</v>
      </c>
      <c r="O634" t="n">
        <v>0</v>
      </c>
      <c r="P634" t="n">
        <v>0</v>
      </c>
      <c r="Q634" t="n">
        <v>0</v>
      </c>
      <c r="R634" s="2" t="inlineStr"/>
    </row>
    <row r="635" ht="15" customHeight="1">
      <c r="A635" t="inlineStr">
        <is>
          <t>A 31586-2024</t>
        </is>
      </c>
      <c r="B635" s="1" t="n">
        <v>45506.3637962963</v>
      </c>
      <c r="C635" s="1" t="n">
        <v>45904</v>
      </c>
      <c r="D635" t="inlineStr">
        <is>
          <t>JÄMTLANDS LÄN</t>
        </is>
      </c>
      <c r="E635" t="inlineStr">
        <is>
          <t>HÄRJEDALEN</t>
        </is>
      </c>
      <c r="G635" t="n">
        <v>9</v>
      </c>
      <c r="H635" t="n">
        <v>0</v>
      </c>
      <c r="I635" t="n">
        <v>0</v>
      </c>
      <c r="J635" t="n">
        <v>0</v>
      </c>
      <c r="K635" t="n">
        <v>0</v>
      </c>
      <c r="L635" t="n">
        <v>0</v>
      </c>
      <c r="M635" t="n">
        <v>0</v>
      </c>
      <c r="N635" t="n">
        <v>0</v>
      </c>
      <c r="O635" t="n">
        <v>0</v>
      </c>
      <c r="P635" t="n">
        <v>0</v>
      </c>
      <c r="Q635" t="n">
        <v>0</v>
      </c>
      <c r="R635" s="2" t="inlineStr"/>
    </row>
    <row r="636" ht="15" customHeight="1">
      <c r="A636" t="inlineStr">
        <is>
          <t>A 62513-2022</t>
        </is>
      </c>
      <c r="B636" s="1" t="n">
        <v>44924.61315972222</v>
      </c>
      <c r="C636" s="1" t="n">
        <v>45904</v>
      </c>
      <c r="D636" t="inlineStr">
        <is>
          <t>JÄMTLANDS LÄN</t>
        </is>
      </c>
      <c r="E636" t="inlineStr">
        <is>
          <t>HÄRJEDALEN</t>
        </is>
      </c>
      <c r="F636" t="inlineStr">
        <is>
          <t>Holmen skog AB</t>
        </is>
      </c>
      <c r="G636" t="n">
        <v>2.2</v>
      </c>
      <c r="H636" t="n">
        <v>0</v>
      </c>
      <c r="I636" t="n">
        <v>0</v>
      </c>
      <c r="J636" t="n">
        <v>0</v>
      </c>
      <c r="K636" t="n">
        <v>0</v>
      </c>
      <c r="L636" t="n">
        <v>0</v>
      </c>
      <c r="M636" t="n">
        <v>0</v>
      </c>
      <c r="N636" t="n">
        <v>0</v>
      </c>
      <c r="O636" t="n">
        <v>0</v>
      </c>
      <c r="P636" t="n">
        <v>0</v>
      </c>
      <c r="Q636" t="n">
        <v>0</v>
      </c>
      <c r="R636" s="2" t="inlineStr"/>
    </row>
    <row r="637" ht="15" customHeight="1">
      <c r="A637" t="inlineStr">
        <is>
          <t>A 10004-2025</t>
        </is>
      </c>
      <c r="B637" s="1" t="n">
        <v>45719.45277777778</v>
      </c>
      <c r="C637" s="1" t="n">
        <v>45904</v>
      </c>
      <c r="D637" t="inlineStr">
        <is>
          <t>JÄMTLANDS LÄN</t>
        </is>
      </c>
      <c r="E637" t="inlineStr">
        <is>
          <t>HÄRJEDALEN</t>
        </is>
      </c>
      <c r="G637" t="n">
        <v>3.4</v>
      </c>
      <c r="H637" t="n">
        <v>0</v>
      </c>
      <c r="I637" t="n">
        <v>0</v>
      </c>
      <c r="J637" t="n">
        <v>0</v>
      </c>
      <c r="K637" t="n">
        <v>0</v>
      </c>
      <c r="L637" t="n">
        <v>0</v>
      </c>
      <c r="M637" t="n">
        <v>0</v>
      </c>
      <c r="N637" t="n">
        <v>0</v>
      </c>
      <c r="O637" t="n">
        <v>0</v>
      </c>
      <c r="P637" t="n">
        <v>0</v>
      </c>
      <c r="Q637" t="n">
        <v>0</v>
      </c>
      <c r="R637" s="2" t="inlineStr"/>
    </row>
    <row r="638" ht="15" customHeight="1">
      <c r="A638" t="inlineStr">
        <is>
          <t>A 11997-2025</t>
        </is>
      </c>
      <c r="B638" s="1" t="n">
        <v>45728.61006944445</v>
      </c>
      <c r="C638" s="1" t="n">
        <v>45904</v>
      </c>
      <c r="D638" t="inlineStr">
        <is>
          <t>JÄMTLANDS LÄN</t>
        </is>
      </c>
      <c r="E638" t="inlineStr">
        <is>
          <t>HÄRJEDALEN</t>
        </is>
      </c>
      <c r="G638" t="n">
        <v>3.2</v>
      </c>
      <c r="H638" t="n">
        <v>0</v>
      </c>
      <c r="I638" t="n">
        <v>0</v>
      </c>
      <c r="J638" t="n">
        <v>0</v>
      </c>
      <c r="K638" t="n">
        <v>0</v>
      </c>
      <c r="L638" t="n">
        <v>0</v>
      </c>
      <c r="M638" t="n">
        <v>0</v>
      </c>
      <c r="N638" t="n">
        <v>0</v>
      </c>
      <c r="O638" t="n">
        <v>0</v>
      </c>
      <c r="P638" t="n">
        <v>0</v>
      </c>
      <c r="Q638" t="n">
        <v>0</v>
      </c>
      <c r="R638" s="2" t="inlineStr"/>
    </row>
    <row r="639" ht="15" customHeight="1">
      <c r="A639" t="inlineStr">
        <is>
          <t>A 27820-2025</t>
        </is>
      </c>
      <c r="B639" s="1" t="n">
        <v>45817.33819444444</v>
      </c>
      <c r="C639" s="1" t="n">
        <v>45904</v>
      </c>
      <c r="D639" t="inlineStr">
        <is>
          <t>JÄMTLANDS LÄN</t>
        </is>
      </c>
      <c r="E639" t="inlineStr">
        <is>
          <t>HÄRJEDALEN</t>
        </is>
      </c>
      <c r="F639" t="inlineStr">
        <is>
          <t>Övriga statliga verk och myndigheter</t>
        </is>
      </c>
      <c r="G639" t="n">
        <v>42.8</v>
      </c>
      <c r="H639" t="n">
        <v>0</v>
      </c>
      <c r="I639" t="n">
        <v>0</v>
      </c>
      <c r="J639" t="n">
        <v>0</v>
      </c>
      <c r="K639" t="n">
        <v>0</v>
      </c>
      <c r="L639" t="n">
        <v>0</v>
      </c>
      <c r="M639" t="n">
        <v>0</v>
      </c>
      <c r="N639" t="n">
        <v>0</v>
      </c>
      <c r="O639" t="n">
        <v>0</v>
      </c>
      <c r="P639" t="n">
        <v>0</v>
      </c>
      <c r="Q639" t="n">
        <v>0</v>
      </c>
      <c r="R639" s="2" t="inlineStr"/>
    </row>
    <row r="640" ht="15" customHeight="1">
      <c r="A640" t="inlineStr">
        <is>
          <t>A 28026-2025</t>
        </is>
      </c>
      <c r="B640" s="1" t="n">
        <v>45817.62439814815</v>
      </c>
      <c r="C640" s="1" t="n">
        <v>45904</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19863-2024</t>
        </is>
      </c>
      <c r="B641" s="1" t="n">
        <v>45433</v>
      </c>
      <c r="C641" s="1" t="n">
        <v>45904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45866-2020</t>
        </is>
      </c>
      <c r="B642" s="1" t="n">
        <v>44091</v>
      </c>
      <c r="C642" s="1" t="n">
        <v>45904</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48822-2024</t>
        </is>
      </c>
      <c r="B643" s="1" t="n">
        <v>45593.6821412037</v>
      </c>
      <c r="C643" s="1" t="n">
        <v>45904</v>
      </c>
      <c r="D643" t="inlineStr">
        <is>
          <t>JÄMTLANDS LÄN</t>
        </is>
      </c>
      <c r="E643" t="inlineStr">
        <is>
          <t>HÄRJEDALEN</t>
        </is>
      </c>
      <c r="G643" t="n">
        <v>0.4</v>
      </c>
      <c r="H643" t="n">
        <v>0</v>
      </c>
      <c r="I643" t="n">
        <v>0</v>
      </c>
      <c r="J643" t="n">
        <v>0</v>
      </c>
      <c r="K643" t="n">
        <v>0</v>
      </c>
      <c r="L643" t="n">
        <v>0</v>
      </c>
      <c r="M643" t="n">
        <v>0</v>
      </c>
      <c r="N643" t="n">
        <v>0</v>
      </c>
      <c r="O643" t="n">
        <v>0</v>
      </c>
      <c r="P643" t="n">
        <v>0</v>
      </c>
      <c r="Q643" t="n">
        <v>0</v>
      </c>
      <c r="R643" s="2" t="inlineStr"/>
    </row>
    <row r="644" ht="15" customHeight="1">
      <c r="A644" t="inlineStr">
        <is>
          <t>A 48823-2024</t>
        </is>
      </c>
      <c r="B644" s="1" t="n">
        <v>45593.68434027778</v>
      </c>
      <c r="C644" s="1" t="n">
        <v>45904</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33096-2024</t>
        </is>
      </c>
      <c r="B645" s="1" t="n">
        <v>45517.69590277778</v>
      </c>
      <c r="C645" s="1" t="n">
        <v>45904</v>
      </c>
      <c r="D645" t="inlineStr">
        <is>
          <t>JÄMTLANDS LÄN</t>
        </is>
      </c>
      <c r="E645" t="inlineStr">
        <is>
          <t>HÄRJEDALEN</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21666-2023</t>
        </is>
      </c>
      <c r="B646" s="1" t="n">
        <v>45063.92605324074</v>
      </c>
      <c r="C646" s="1" t="n">
        <v>45904</v>
      </c>
      <c r="D646" t="inlineStr">
        <is>
          <t>JÄMTLANDS LÄN</t>
        </is>
      </c>
      <c r="E646" t="inlineStr">
        <is>
          <t>HÄRJEDALEN</t>
        </is>
      </c>
      <c r="G646" t="n">
        <v>2.5</v>
      </c>
      <c r="H646" t="n">
        <v>0</v>
      </c>
      <c r="I646" t="n">
        <v>0</v>
      </c>
      <c r="J646" t="n">
        <v>0</v>
      </c>
      <c r="K646" t="n">
        <v>0</v>
      </c>
      <c r="L646" t="n">
        <v>0</v>
      </c>
      <c r="M646" t="n">
        <v>0</v>
      </c>
      <c r="N646" t="n">
        <v>0</v>
      </c>
      <c r="O646" t="n">
        <v>0</v>
      </c>
      <c r="P646" t="n">
        <v>0</v>
      </c>
      <c r="Q646" t="n">
        <v>0</v>
      </c>
      <c r="R646" s="2" t="inlineStr"/>
    </row>
    <row r="647" ht="15" customHeight="1">
      <c r="A647" t="inlineStr">
        <is>
          <t>A 41711-2022</t>
        </is>
      </c>
      <c r="B647" s="1" t="n">
        <v>44827</v>
      </c>
      <c r="C647" s="1" t="n">
        <v>45904</v>
      </c>
      <c r="D647" t="inlineStr">
        <is>
          <t>JÄMTLANDS LÄN</t>
        </is>
      </c>
      <c r="E647" t="inlineStr">
        <is>
          <t>HÄRJEDALEN</t>
        </is>
      </c>
      <c r="G647" t="n">
        <v>18.3</v>
      </c>
      <c r="H647" t="n">
        <v>0</v>
      </c>
      <c r="I647" t="n">
        <v>0</v>
      </c>
      <c r="J647" t="n">
        <v>0</v>
      </c>
      <c r="K647" t="n">
        <v>0</v>
      </c>
      <c r="L647" t="n">
        <v>0</v>
      </c>
      <c r="M647" t="n">
        <v>0</v>
      </c>
      <c r="N647" t="n">
        <v>0</v>
      </c>
      <c r="O647" t="n">
        <v>0</v>
      </c>
      <c r="P647" t="n">
        <v>0</v>
      </c>
      <c r="Q647" t="n">
        <v>0</v>
      </c>
      <c r="R647" s="2" t="inlineStr"/>
    </row>
    <row r="648" ht="15" customHeight="1">
      <c r="A648" t="inlineStr">
        <is>
          <t>A 42333-2024</t>
        </is>
      </c>
      <c r="B648" s="1" t="n">
        <v>45562.65759259259</v>
      </c>
      <c r="C648" s="1" t="n">
        <v>45904</v>
      </c>
      <c r="D648" t="inlineStr">
        <is>
          <t>JÄMTLANDS LÄN</t>
        </is>
      </c>
      <c r="E648" t="inlineStr">
        <is>
          <t>HÄRJEDALEN</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7328-2024</t>
        </is>
      </c>
      <c r="B649" s="1" t="n">
        <v>45345</v>
      </c>
      <c r="C649" s="1" t="n">
        <v>45904</v>
      </c>
      <c r="D649" t="inlineStr">
        <is>
          <t>JÄMTLANDS LÄN</t>
        </is>
      </c>
      <c r="E649" t="inlineStr">
        <is>
          <t>HÄRJEDALEN</t>
        </is>
      </c>
      <c r="F649" t="inlineStr">
        <is>
          <t>Sveaskog</t>
        </is>
      </c>
      <c r="G649" t="n">
        <v>0.1</v>
      </c>
      <c r="H649" t="n">
        <v>0</v>
      </c>
      <c r="I649" t="n">
        <v>0</v>
      </c>
      <c r="J649" t="n">
        <v>0</v>
      </c>
      <c r="K649" t="n">
        <v>0</v>
      </c>
      <c r="L649" t="n">
        <v>0</v>
      </c>
      <c r="M649" t="n">
        <v>0</v>
      </c>
      <c r="N649" t="n">
        <v>0</v>
      </c>
      <c r="O649" t="n">
        <v>0</v>
      </c>
      <c r="P649" t="n">
        <v>0</v>
      </c>
      <c r="Q649" t="n">
        <v>0</v>
      </c>
      <c r="R649" s="2" t="inlineStr"/>
    </row>
    <row r="650" ht="15" customHeight="1">
      <c r="A650" t="inlineStr">
        <is>
          <t>A 1398-2024</t>
        </is>
      </c>
      <c r="B650" s="1" t="n">
        <v>45303</v>
      </c>
      <c r="C650" s="1" t="n">
        <v>45904</v>
      </c>
      <c r="D650" t="inlineStr">
        <is>
          <t>JÄMTLANDS LÄN</t>
        </is>
      </c>
      <c r="E650" t="inlineStr">
        <is>
          <t>HÄRJEDALEN</t>
        </is>
      </c>
      <c r="G650" t="n">
        <v>6</v>
      </c>
      <c r="H650" t="n">
        <v>0</v>
      </c>
      <c r="I650" t="n">
        <v>0</v>
      </c>
      <c r="J650" t="n">
        <v>0</v>
      </c>
      <c r="K650" t="n">
        <v>0</v>
      </c>
      <c r="L650" t="n">
        <v>0</v>
      </c>
      <c r="M650" t="n">
        <v>0</v>
      </c>
      <c r="N650" t="n">
        <v>0</v>
      </c>
      <c r="O650" t="n">
        <v>0</v>
      </c>
      <c r="P650" t="n">
        <v>0</v>
      </c>
      <c r="Q650" t="n">
        <v>0</v>
      </c>
      <c r="R650" s="2" t="inlineStr"/>
    </row>
    <row r="651" ht="15" customHeight="1">
      <c r="A651" t="inlineStr">
        <is>
          <t>A 27541-2023</t>
        </is>
      </c>
      <c r="B651" s="1" t="n">
        <v>45097</v>
      </c>
      <c r="C651" s="1" t="n">
        <v>45904</v>
      </c>
      <c r="D651" t="inlineStr">
        <is>
          <t>JÄMTLANDS LÄN</t>
        </is>
      </c>
      <c r="E651" t="inlineStr">
        <is>
          <t>HÄRJEDALEN</t>
        </is>
      </c>
      <c r="F651" t="inlineStr">
        <is>
          <t>Bergvik skog väst AB</t>
        </is>
      </c>
      <c r="G651" t="n">
        <v>4</v>
      </c>
      <c r="H651" t="n">
        <v>0</v>
      </c>
      <c r="I651" t="n">
        <v>0</v>
      </c>
      <c r="J651" t="n">
        <v>0</v>
      </c>
      <c r="K651" t="n">
        <v>0</v>
      </c>
      <c r="L651" t="n">
        <v>0</v>
      </c>
      <c r="M651" t="n">
        <v>0</v>
      </c>
      <c r="N651" t="n">
        <v>0</v>
      </c>
      <c r="O651" t="n">
        <v>0</v>
      </c>
      <c r="P651" t="n">
        <v>0</v>
      </c>
      <c r="Q651" t="n">
        <v>0</v>
      </c>
      <c r="R651" s="2" t="inlineStr"/>
    </row>
    <row r="652" ht="15" customHeight="1">
      <c r="A652" t="inlineStr">
        <is>
          <t>A 30743-2024</t>
        </is>
      </c>
      <c r="B652" s="1" t="n">
        <v>45496.67178240741</v>
      </c>
      <c r="C652" s="1" t="n">
        <v>45904</v>
      </c>
      <c r="D652" t="inlineStr">
        <is>
          <t>JÄMTLANDS LÄN</t>
        </is>
      </c>
      <c r="E652" t="inlineStr">
        <is>
          <t>HÄRJEDALEN</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29774-2024</t>
        </is>
      </c>
      <c r="B653" s="1" t="n">
        <v>45485</v>
      </c>
      <c r="C653" s="1" t="n">
        <v>45904</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59962-2024</t>
        </is>
      </c>
      <c r="B654" s="1" t="n">
        <v>45642.35256944445</v>
      </c>
      <c r="C654" s="1" t="n">
        <v>45904</v>
      </c>
      <c r="D654" t="inlineStr">
        <is>
          <t>JÄMTLANDS LÄN</t>
        </is>
      </c>
      <c r="E654" t="inlineStr">
        <is>
          <t>HÄRJEDALEN</t>
        </is>
      </c>
      <c r="G654" t="n">
        <v>2.4</v>
      </c>
      <c r="H654" t="n">
        <v>0</v>
      </c>
      <c r="I654" t="n">
        <v>0</v>
      </c>
      <c r="J654" t="n">
        <v>0</v>
      </c>
      <c r="K654" t="n">
        <v>0</v>
      </c>
      <c r="L654" t="n">
        <v>0</v>
      </c>
      <c r="M654" t="n">
        <v>0</v>
      </c>
      <c r="N654" t="n">
        <v>0</v>
      </c>
      <c r="O654" t="n">
        <v>0</v>
      </c>
      <c r="P654" t="n">
        <v>0</v>
      </c>
      <c r="Q654" t="n">
        <v>0</v>
      </c>
      <c r="R654" s="2" t="inlineStr"/>
    </row>
    <row r="655" ht="15" customHeight="1">
      <c r="A655" t="inlineStr">
        <is>
          <t>A 54661-2022</t>
        </is>
      </c>
      <c r="B655" s="1" t="n">
        <v>44883</v>
      </c>
      <c r="C655" s="1" t="n">
        <v>45904</v>
      </c>
      <c r="D655" t="inlineStr">
        <is>
          <t>JÄMTLANDS LÄN</t>
        </is>
      </c>
      <c r="E655" t="inlineStr">
        <is>
          <t>HÄRJEDALEN</t>
        </is>
      </c>
      <c r="G655" t="n">
        <v>5.9</v>
      </c>
      <c r="H655" t="n">
        <v>0</v>
      </c>
      <c r="I655" t="n">
        <v>0</v>
      </c>
      <c r="J655" t="n">
        <v>0</v>
      </c>
      <c r="K655" t="n">
        <v>0</v>
      </c>
      <c r="L655" t="n">
        <v>0</v>
      </c>
      <c r="M655" t="n">
        <v>0</v>
      </c>
      <c r="N655" t="n">
        <v>0</v>
      </c>
      <c r="O655" t="n">
        <v>0</v>
      </c>
      <c r="P655" t="n">
        <v>0</v>
      </c>
      <c r="Q655" t="n">
        <v>0</v>
      </c>
      <c r="R655" s="2" t="inlineStr"/>
    </row>
    <row r="656" ht="15" customHeight="1">
      <c r="A656" t="inlineStr">
        <is>
          <t>A 4217-2025</t>
        </is>
      </c>
      <c r="B656" s="1" t="n">
        <v>45685.50063657408</v>
      </c>
      <c r="C656" s="1" t="n">
        <v>45904</v>
      </c>
      <c r="D656" t="inlineStr">
        <is>
          <t>JÄMTLANDS LÄN</t>
        </is>
      </c>
      <c r="E656" t="inlineStr">
        <is>
          <t>HÄRJEDALEN</t>
        </is>
      </c>
      <c r="F656" t="inlineStr">
        <is>
          <t>Bergvik skog väst AB</t>
        </is>
      </c>
      <c r="G656" t="n">
        <v>24.6</v>
      </c>
      <c r="H656" t="n">
        <v>0</v>
      </c>
      <c r="I656" t="n">
        <v>0</v>
      </c>
      <c r="J656" t="n">
        <v>0</v>
      </c>
      <c r="K656" t="n">
        <v>0</v>
      </c>
      <c r="L656" t="n">
        <v>0</v>
      </c>
      <c r="M656" t="n">
        <v>0</v>
      </c>
      <c r="N656" t="n">
        <v>0</v>
      </c>
      <c r="O656" t="n">
        <v>0</v>
      </c>
      <c r="P656" t="n">
        <v>0</v>
      </c>
      <c r="Q656" t="n">
        <v>0</v>
      </c>
      <c r="R656" s="2" t="inlineStr"/>
    </row>
    <row r="657" ht="15" customHeight="1">
      <c r="A657" t="inlineStr">
        <is>
          <t>A 40578-2023</t>
        </is>
      </c>
      <c r="B657" s="1" t="n">
        <v>45170.46923611111</v>
      </c>
      <c r="C657" s="1" t="n">
        <v>45904</v>
      </c>
      <c r="D657" t="inlineStr">
        <is>
          <t>JÄMTLANDS LÄN</t>
        </is>
      </c>
      <c r="E657" t="inlineStr">
        <is>
          <t>HÄRJEDALEN</t>
        </is>
      </c>
      <c r="F657" t="inlineStr">
        <is>
          <t>Holmen skog AB</t>
        </is>
      </c>
      <c r="G657" t="n">
        <v>5.3</v>
      </c>
      <c r="H657" t="n">
        <v>0</v>
      </c>
      <c r="I657" t="n">
        <v>0</v>
      </c>
      <c r="J657" t="n">
        <v>0</v>
      </c>
      <c r="K657" t="n">
        <v>0</v>
      </c>
      <c r="L657" t="n">
        <v>0</v>
      </c>
      <c r="M657" t="n">
        <v>0</v>
      </c>
      <c r="N657" t="n">
        <v>0</v>
      </c>
      <c r="O657" t="n">
        <v>0</v>
      </c>
      <c r="P657" t="n">
        <v>0</v>
      </c>
      <c r="Q657" t="n">
        <v>0</v>
      </c>
      <c r="R657" s="2" t="inlineStr"/>
    </row>
    <row r="658" ht="15" customHeight="1">
      <c r="A658" t="inlineStr">
        <is>
          <t>A 29102-2025</t>
        </is>
      </c>
      <c r="B658" s="1" t="n">
        <v>45821.57201388889</v>
      </c>
      <c r="C658" s="1" t="n">
        <v>45904</v>
      </c>
      <c r="D658" t="inlineStr">
        <is>
          <t>JÄMTLANDS LÄN</t>
        </is>
      </c>
      <c r="E658" t="inlineStr">
        <is>
          <t>HÄRJEDALEN</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28906-2025</t>
        </is>
      </c>
      <c r="B659" s="1" t="n">
        <v>45820.64821759259</v>
      </c>
      <c r="C659" s="1" t="n">
        <v>45904</v>
      </c>
      <c r="D659" t="inlineStr">
        <is>
          <t>JÄMTLANDS LÄN</t>
        </is>
      </c>
      <c r="E659" t="inlineStr">
        <is>
          <t>HÄRJEDALEN</t>
        </is>
      </c>
      <c r="G659" t="n">
        <v>29.4</v>
      </c>
      <c r="H659" t="n">
        <v>0</v>
      </c>
      <c r="I659" t="n">
        <v>0</v>
      </c>
      <c r="J659" t="n">
        <v>0</v>
      </c>
      <c r="K659" t="n">
        <v>0</v>
      </c>
      <c r="L659" t="n">
        <v>0</v>
      </c>
      <c r="M659" t="n">
        <v>0</v>
      </c>
      <c r="N659" t="n">
        <v>0</v>
      </c>
      <c r="O659" t="n">
        <v>0</v>
      </c>
      <c r="P659" t="n">
        <v>0</v>
      </c>
      <c r="Q659" t="n">
        <v>0</v>
      </c>
      <c r="R659" s="2" t="inlineStr"/>
    </row>
    <row r="660" ht="15" customHeight="1">
      <c r="A660" t="inlineStr">
        <is>
          <t>A 45363-2024</t>
        </is>
      </c>
      <c r="B660" s="1" t="n">
        <v>45576.48657407407</v>
      </c>
      <c r="C660" s="1" t="n">
        <v>45904</v>
      </c>
      <c r="D660" t="inlineStr">
        <is>
          <t>JÄMTLANDS LÄN</t>
        </is>
      </c>
      <c r="E660" t="inlineStr">
        <is>
          <t>HÄRJEDALEN</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54079-2024</t>
        </is>
      </c>
      <c r="B661" s="1" t="n">
        <v>45616.49530092593</v>
      </c>
      <c r="C661" s="1" t="n">
        <v>45904</v>
      </c>
      <c r="D661" t="inlineStr">
        <is>
          <t>JÄMTLANDS LÄN</t>
        </is>
      </c>
      <c r="E661" t="inlineStr">
        <is>
          <t>HÄRJEDALEN</t>
        </is>
      </c>
      <c r="G661" t="n">
        <v>1.4</v>
      </c>
      <c r="H661" t="n">
        <v>0</v>
      </c>
      <c r="I661" t="n">
        <v>0</v>
      </c>
      <c r="J661" t="n">
        <v>0</v>
      </c>
      <c r="K661" t="n">
        <v>0</v>
      </c>
      <c r="L661" t="n">
        <v>0</v>
      </c>
      <c r="M661" t="n">
        <v>0</v>
      </c>
      <c r="N661" t="n">
        <v>0</v>
      </c>
      <c r="O661" t="n">
        <v>0</v>
      </c>
      <c r="P661" t="n">
        <v>0</v>
      </c>
      <c r="Q661" t="n">
        <v>0</v>
      </c>
      <c r="R661" s="2" t="inlineStr"/>
    </row>
    <row r="662" ht="15" customHeight="1">
      <c r="A662" t="inlineStr">
        <is>
          <t>A 2935-2025</t>
        </is>
      </c>
      <c r="B662" s="1" t="n">
        <v>45678.37956018518</v>
      </c>
      <c r="C662" s="1" t="n">
        <v>45904</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29187-2025</t>
        </is>
      </c>
      <c r="B663" s="1" t="n">
        <v>45821.77903935185</v>
      </c>
      <c r="C663" s="1" t="n">
        <v>45904</v>
      </c>
      <c r="D663" t="inlineStr">
        <is>
          <t>JÄMTLANDS LÄN</t>
        </is>
      </c>
      <c r="E663" t="inlineStr">
        <is>
          <t>HÄRJEDALEN</t>
        </is>
      </c>
      <c r="G663" t="n">
        <v>7.5</v>
      </c>
      <c r="H663" t="n">
        <v>0</v>
      </c>
      <c r="I663" t="n">
        <v>0</v>
      </c>
      <c r="J663" t="n">
        <v>0</v>
      </c>
      <c r="K663" t="n">
        <v>0</v>
      </c>
      <c r="L663" t="n">
        <v>0</v>
      </c>
      <c r="M663" t="n">
        <v>0</v>
      </c>
      <c r="N663" t="n">
        <v>0</v>
      </c>
      <c r="O663" t="n">
        <v>0</v>
      </c>
      <c r="P663" t="n">
        <v>0</v>
      </c>
      <c r="Q663" t="n">
        <v>0</v>
      </c>
      <c r="R663" s="2" t="inlineStr"/>
    </row>
    <row r="664" ht="15" customHeight="1">
      <c r="A664" t="inlineStr">
        <is>
          <t>A 36241-2025</t>
        </is>
      </c>
      <c r="B664" s="1" t="n">
        <v>45867.55305555555</v>
      </c>
      <c r="C664" s="1" t="n">
        <v>45904</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36245-2025</t>
        </is>
      </c>
      <c r="B665" s="1" t="n">
        <v>45867.55642361111</v>
      </c>
      <c r="C665" s="1" t="n">
        <v>45904</v>
      </c>
      <c r="D665" t="inlineStr">
        <is>
          <t>JÄMTLANDS LÄN</t>
        </is>
      </c>
      <c r="E665" t="inlineStr">
        <is>
          <t>HÄRJEDALEN</t>
        </is>
      </c>
      <c r="F665" t="inlineStr">
        <is>
          <t>Holmen skog AB</t>
        </is>
      </c>
      <c r="G665" t="n">
        <v>7</v>
      </c>
      <c r="H665" t="n">
        <v>0</v>
      </c>
      <c r="I665" t="n">
        <v>0</v>
      </c>
      <c r="J665" t="n">
        <v>0</v>
      </c>
      <c r="K665" t="n">
        <v>0</v>
      </c>
      <c r="L665" t="n">
        <v>0</v>
      </c>
      <c r="M665" t="n">
        <v>0</v>
      </c>
      <c r="N665" t="n">
        <v>0</v>
      </c>
      <c r="O665" t="n">
        <v>0</v>
      </c>
      <c r="P665" t="n">
        <v>0</v>
      </c>
      <c r="Q665" t="n">
        <v>0</v>
      </c>
      <c r="R665" s="2" t="inlineStr"/>
    </row>
    <row r="666" ht="15" customHeight="1">
      <c r="A666" t="inlineStr">
        <is>
          <t>A 55867-2024</t>
        </is>
      </c>
      <c r="B666" s="1" t="n">
        <v>45622</v>
      </c>
      <c r="C666" s="1" t="n">
        <v>45904</v>
      </c>
      <c r="D666" t="inlineStr">
        <is>
          <t>JÄMTLANDS LÄN</t>
        </is>
      </c>
      <c r="E666" t="inlineStr">
        <is>
          <t>HÄRJEDALEN</t>
        </is>
      </c>
      <c r="F666" t="inlineStr">
        <is>
          <t>Bergvik skog väst AB</t>
        </is>
      </c>
      <c r="G666" t="n">
        <v>14.4</v>
      </c>
      <c r="H666" t="n">
        <v>0</v>
      </c>
      <c r="I666" t="n">
        <v>0</v>
      </c>
      <c r="J666" t="n">
        <v>0</v>
      </c>
      <c r="K666" t="n">
        <v>0</v>
      </c>
      <c r="L666" t="n">
        <v>0</v>
      </c>
      <c r="M666" t="n">
        <v>0</v>
      </c>
      <c r="N666" t="n">
        <v>0</v>
      </c>
      <c r="O666" t="n">
        <v>0</v>
      </c>
      <c r="P666" t="n">
        <v>0</v>
      </c>
      <c r="Q666" t="n">
        <v>0</v>
      </c>
      <c r="R666" s="2" t="inlineStr"/>
    </row>
    <row r="667" ht="15" customHeight="1">
      <c r="A667" t="inlineStr">
        <is>
          <t>A 35599-2024</t>
        </is>
      </c>
      <c r="B667" s="1" t="n">
        <v>45531.66196759259</v>
      </c>
      <c r="C667" s="1" t="n">
        <v>45904</v>
      </c>
      <c r="D667" t="inlineStr">
        <is>
          <t>JÄMTLANDS LÄN</t>
        </is>
      </c>
      <c r="E667" t="inlineStr">
        <is>
          <t>HÄRJEDALEN</t>
        </is>
      </c>
      <c r="F667" t="inlineStr">
        <is>
          <t>Bergvik skog väst AB</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19402-2024</t>
        </is>
      </c>
      <c r="B668" s="1" t="n">
        <v>45429.39</v>
      </c>
      <c r="C668" s="1" t="n">
        <v>45904</v>
      </c>
      <c r="D668" t="inlineStr">
        <is>
          <t>JÄMTLANDS LÄN</t>
        </is>
      </c>
      <c r="E668" t="inlineStr">
        <is>
          <t>HÄRJEDALEN</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36066-2025</t>
        </is>
      </c>
      <c r="B669" s="1" t="n">
        <v>45866.40701388889</v>
      </c>
      <c r="C669" s="1" t="n">
        <v>45904</v>
      </c>
      <c r="D669" t="inlineStr">
        <is>
          <t>JÄMTLANDS LÄN</t>
        </is>
      </c>
      <c r="E669" t="inlineStr">
        <is>
          <t>HÄRJEDALEN</t>
        </is>
      </c>
      <c r="G669" t="n">
        <v>21.8</v>
      </c>
      <c r="H669" t="n">
        <v>0</v>
      </c>
      <c r="I669" t="n">
        <v>0</v>
      </c>
      <c r="J669" t="n">
        <v>0</v>
      </c>
      <c r="K669" t="n">
        <v>0</v>
      </c>
      <c r="L669" t="n">
        <v>0</v>
      </c>
      <c r="M669" t="n">
        <v>0</v>
      </c>
      <c r="N669" t="n">
        <v>0</v>
      </c>
      <c r="O669" t="n">
        <v>0</v>
      </c>
      <c r="P669" t="n">
        <v>0</v>
      </c>
      <c r="Q669" t="n">
        <v>0</v>
      </c>
      <c r="R669" s="2" t="inlineStr"/>
    </row>
    <row r="670" ht="15" customHeight="1">
      <c r="A670" t="inlineStr">
        <is>
          <t>A 36133-2025</t>
        </is>
      </c>
      <c r="B670" s="1" t="n">
        <v>45866.62908564815</v>
      </c>
      <c r="C670" s="1" t="n">
        <v>45904</v>
      </c>
      <c r="D670" t="inlineStr">
        <is>
          <t>JÄMTLANDS LÄN</t>
        </is>
      </c>
      <c r="E670" t="inlineStr">
        <is>
          <t>HÄRJEDALEN</t>
        </is>
      </c>
      <c r="G670" t="n">
        <v>1.5</v>
      </c>
      <c r="H670" t="n">
        <v>0</v>
      </c>
      <c r="I670" t="n">
        <v>0</v>
      </c>
      <c r="J670" t="n">
        <v>0</v>
      </c>
      <c r="K670" t="n">
        <v>0</v>
      </c>
      <c r="L670" t="n">
        <v>0</v>
      </c>
      <c r="M670" t="n">
        <v>0</v>
      </c>
      <c r="N670" t="n">
        <v>0</v>
      </c>
      <c r="O670" t="n">
        <v>0</v>
      </c>
      <c r="P670" t="n">
        <v>0</v>
      </c>
      <c r="Q670" t="n">
        <v>0</v>
      </c>
      <c r="R670" s="2" t="inlineStr"/>
    </row>
    <row r="671" ht="15" customHeight="1">
      <c r="A671" t="inlineStr">
        <is>
          <t>A 48438-2022</t>
        </is>
      </c>
      <c r="B671" s="1" t="n">
        <v>44858</v>
      </c>
      <c r="C671" s="1" t="n">
        <v>45904</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30251-2025</t>
        </is>
      </c>
      <c r="B672" s="1" t="n">
        <v>45827.41753472222</v>
      </c>
      <c r="C672" s="1" t="n">
        <v>45904</v>
      </c>
      <c r="D672" t="inlineStr">
        <is>
          <t>JÄMTLANDS LÄN</t>
        </is>
      </c>
      <c r="E672" t="inlineStr">
        <is>
          <t>HÄRJEDALEN</t>
        </is>
      </c>
      <c r="F672" t="inlineStr">
        <is>
          <t>Bergvik skog väst AB</t>
        </is>
      </c>
      <c r="G672" t="n">
        <v>32.1</v>
      </c>
      <c r="H672" t="n">
        <v>0</v>
      </c>
      <c r="I672" t="n">
        <v>0</v>
      </c>
      <c r="J672" t="n">
        <v>0</v>
      </c>
      <c r="K672" t="n">
        <v>0</v>
      </c>
      <c r="L672" t="n">
        <v>0</v>
      </c>
      <c r="M672" t="n">
        <v>0</v>
      </c>
      <c r="N672" t="n">
        <v>0</v>
      </c>
      <c r="O672" t="n">
        <v>0</v>
      </c>
      <c r="P672" t="n">
        <v>0</v>
      </c>
      <c r="Q672" t="n">
        <v>0</v>
      </c>
      <c r="R672" s="2" t="inlineStr"/>
    </row>
    <row r="673" ht="15" customHeight="1">
      <c r="A673" t="inlineStr">
        <is>
          <t>A 50775-2021</t>
        </is>
      </c>
      <c r="B673" s="1" t="n">
        <v>44460.44315972222</v>
      </c>
      <c r="C673" s="1" t="n">
        <v>45904</v>
      </c>
      <c r="D673" t="inlineStr">
        <is>
          <t>JÄMTLANDS LÄN</t>
        </is>
      </c>
      <c r="E673" t="inlineStr">
        <is>
          <t>HÄRJEDALEN</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28408-2024</t>
        </is>
      </c>
      <c r="B674" s="1" t="n">
        <v>45477.62255787037</v>
      </c>
      <c r="C674" s="1" t="n">
        <v>45904</v>
      </c>
      <c r="D674" t="inlineStr">
        <is>
          <t>JÄMTLANDS LÄN</t>
        </is>
      </c>
      <c r="E674" t="inlineStr">
        <is>
          <t>HÄRJEDALEN</t>
        </is>
      </c>
      <c r="F674" t="inlineStr">
        <is>
          <t>Holmen skog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37054-2023</t>
        </is>
      </c>
      <c r="B675" s="1" t="n">
        <v>45154</v>
      </c>
      <c r="C675" s="1" t="n">
        <v>45904</v>
      </c>
      <c r="D675" t="inlineStr">
        <is>
          <t>JÄMTLANDS LÄN</t>
        </is>
      </c>
      <c r="E675" t="inlineStr">
        <is>
          <t>HÄRJEDALEN</t>
        </is>
      </c>
      <c r="G675" t="n">
        <v>8.9</v>
      </c>
      <c r="H675" t="n">
        <v>0</v>
      </c>
      <c r="I675" t="n">
        <v>0</v>
      </c>
      <c r="J675" t="n">
        <v>0</v>
      </c>
      <c r="K675" t="n">
        <v>0</v>
      </c>
      <c r="L675" t="n">
        <v>0</v>
      </c>
      <c r="M675" t="n">
        <v>0</v>
      </c>
      <c r="N675" t="n">
        <v>0</v>
      </c>
      <c r="O675" t="n">
        <v>0</v>
      </c>
      <c r="P675" t="n">
        <v>0</v>
      </c>
      <c r="Q675" t="n">
        <v>0</v>
      </c>
      <c r="R675" s="2" t="inlineStr"/>
    </row>
    <row r="676" ht="15" customHeight="1">
      <c r="A676" t="inlineStr">
        <is>
          <t>A 29927-2025</t>
        </is>
      </c>
      <c r="B676" s="1" t="n">
        <v>45826.43267361111</v>
      </c>
      <c r="C676" s="1" t="n">
        <v>45904</v>
      </c>
      <c r="D676" t="inlineStr">
        <is>
          <t>JÄMTLANDS LÄN</t>
        </is>
      </c>
      <c r="E676" t="inlineStr">
        <is>
          <t>HÄRJEDALEN</t>
        </is>
      </c>
      <c r="F676" t="inlineStr">
        <is>
          <t>Bergvik skog väst AB</t>
        </is>
      </c>
      <c r="G676" t="n">
        <v>12.8</v>
      </c>
      <c r="H676" t="n">
        <v>0</v>
      </c>
      <c r="I676" t="n">
        <v>0</v>
      </c>
      <c r="J676" t="n">
        <v>0</v>
      </c>
      <c r="K676" t="n">
        <v>0</v>
      </c>
      <c r="L676" t="n">
        <v>0</v>
      </c>
      <c r="M676" t="n">
        <v>0</v>
      </c>
      <c r="N676" t="n">
        <v>0</v>
      </c>
      <c r="O676" t="n">
        <v>0</v>
      </c>
      <c r="P676" t="n">
        <v>0</v>
      </c>
      <c r="Q676" t="n">
        <v>0</v>
      </c>
      <c r="R676" s="2" t="inlineStr"/>
    </row>
    <row r="677" ht="15" customHeight="1">
      <c r="A677" t="inlineStr">
        <is>
          <t>A 29536-2024</t>
        </is>
      </c>
      <c r="B677" s="1" t="n">
        <v>45484.48854166667</v>
      </c>
      <c r="C677" s="1" t="n">
        <v>45904</v>
      </c>
      <c r="D677" t="inlineStr">
        <is>
          <t>JÄMTLANDS LÄN</t>
        </is>
      </c>
      <c r="E677" t="inlineStr">
        <is>
          <t>HÄRJEDALEN</t>
        </is>
      </c>
      <c r="F677" t="inlineStr">
        <is>
          <t>Holmen skog AB</t>
        </is>
      </c>
      <c r="G677" t="n">
        <v>25.2</v>
      </c>
      <c r="H677" t="n">
        <v>0</v>
      </c>
      <c r="I677" t="n">
        <v>0</v>
      </c>
      <c r="J677" t="n">
        <v>0</v>
      </c>
      <c r="K677" t="n">
        <v>0</v>
      </c>
      <c r="L677" t="n">
        <v>0</v>
      </c>
      <c r="M677" t="n">
        <v>0</v>
      </c>
      <c r="N677" t="n">
        <v>0</v>
      </c>
      <c r="O677" t="n">
        <v>0</v>
      </c>
      <c r="P677" t="n">
        <v>0</v>
      </c>
      <c r="Q677" t="n">
        <v>0</v>
      </c>
      <c r="R677" s="2" t="inlineStr"/>
    </row>
    <row r="678" ht="15" customHeight="1">
      <c r="A678" t="inlineStr">
        <is>
          <t>A 7318-2024</t>
        </is>
      </c>
      <c r="B678" s="1" t="n">
        <v>45345</v>
      </c>
      <c r="C678" s="1" t="n">
        <v>45904</v>
      </c>
      <c r="D678" t="inlineStr">
        <is>
          <t>JÄMTLANDS LÄN</t>
        </is>
      </c>
      <c r="E678" t="inlineStr">
        <is>
          <t>HÄRJEDALEN</t>
        </is>
      </c>
      <c r="F678" t="inlineStr">
        <is>
          <t>Holmen skog AB</t>
        </is>
      </c>
      <c r="G678" t="n">
        <v>3.6</v>
      </c>
      <c r="H678" t="n">
        <v>0</v>
      </c>
      <c r="I678" t="n">
        <v>0</v>
      </c>
      <c r="J678" t="n">
        <v>0</v>
      </c>
      <c r="K678" t="n">
        <v>0</v>
      </c>
      <c r="L678" t="n">
        <v>0</v>
      </c>
      <c r="M678" t="n">
        <v>0</v>
      </c>
      <c r="N678" t="n">
        <v>0</v>
      </c>
      <c r="O678" t="n">
        <v>0</v>
      </c>
      <c r="P678" t="n">
        <v>0</v>
      </c>
      <c r="Q678" t="n">
        <v>0</v>
      </c>
      <c r="R678" s="2" t="inlineStr"/>
    </row>
    <row r="679" ht="15" customHeight="1">
      <c r="A679" t="inlineStr">
        <is>
          <t>A 16283-2024</t>
        </is>
      </c>
      <c r="B679" s="1" t="n">
        <v>45407.36894675926</v>
      </c>
      <c r="C679" s="1" t="n">
        <v>45904</v>
      </c>
      <c r="D679" t="inlineStr">
        <is>
          <t>JÄMTLANDS LÄN</t>
        </is>
      </c>
      <c r="E679" t="inlineStr">
        <is>
          <t>HÄRJEDALEN</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30363-2025</t>
        </is>
      </c>
      <c r="B680" s="1" t="n">
        <v>45827</v>
      </c>
      <c r="C680" s="1" t="n">
        <v>45904</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60422-2020</t>
        </is>
      </c>
      <c r="B681" s="1" t="n">
        <v>44153</v>
      </c>
      <c r="C681" s="1" t="n">
        <v>45904</v>
      </c>
      <c r="D681" t="inlineStr">
        <is>
          <t>JÄMTLANDS LÄN</t>
        </is>
      </c>
      <c r="E681" t="inlineStr">
        <is>
          <t>HÄRJEDALEN</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36399-2025</t>
        </is>
      </c>
      <c r="B682" s="1" t="n">
        <v>45868.639375</v>
      </c>
      <c r="C682" s="1" t="n">
        <v>45904</v>
      </c>
      <c r="D682" t="inlineStr">
        <is>
          <t>JÄMTLANDS LÄN</t>
        </is>
      </c>
      <c r="E682" t="inlineStr">
        <is>
          <t>HÄRJEDALEN</t>
        </is>
      </c>
      <c r="G682" t="n">
        <v>4.8</v>
      </c>
      <c r="H682" t="n">
        <v>0</v>
      </c>
      <c r="I682" t="n">
        <v>0</v>
      </c>
      <c r="J682" t="n">
        <v>0</v>
      </c>
      <c r="K682" t="n">
        <v>0</v>
      </c>
      <c r="L682" t="n">
        <v>0</v>
      </c>
      <c r="M682" t="n">
        <v>0</v>
      </c>
      <c r="N682" t="n">
        <v>0</v>
      </c>
      <c r="O682" t="n">
        <v>0</v>
      </c>
      <c r="P682" t="n">
        <v>0</v>
      </c>
      <c r="Q682" t="n">
        <v>0</v>
      </c>
      <c r="R682" s="2" t="inlineStr"/>
    </row>
    <row r="683" ht="15" customHeight="1">
      <c r="A683" t="inlineStr">
        <is>
          <t>A 57836-2024</t>
        </is>
      </c>
      <c r="B683" s="1" t="n">
        <v>45631.39950231482</v>
      </c>
      <c r="C683" s="1" t="n">
        <v>45904</v>
      </c>
      <c r="D683" t="inlineStr">
        <is>
          <t>JÄMTLANDS LÄN</t>
        </is>
      </c>
      <c r="E683" t="inlineStr">
        <is>
          <t>HÄRJEDALEN</t>
        </is>
      </c>
      <c r="F683" t="inlineStr">
        <is>
          <t>Bergvik skog väst AB</t>
        </is>
      </c>
      <c r="G683" t="n">
        <v>7.5</v>
      </c>
      <c r="H683" t="n">
        <v>0</v>
      </c>
      <c r="I683" t="n">
        <v>0</v>
      </c>
      <c r="J683" t="n">
        <v>0</v>
      </c>
      <c r="K683" t="n">
        <v>0</v>
      </c>
      <c r="L683" t="n">
        <v>0</v>
      </c>
      <c r="M683" t="n">
        <v>0</v>
      </c>
      <c r="N683" t="n">
        <v>0</v>
      </c>
      <c r="O683" t="n">
        <v>0</v>
      </c>
      <c r="P683" t="n">
        <v>0</v>
      </c>
      <c r="Q683" t="n">
        <v>0</v>
      </c>
      <c r="R683" s="2" t="inlineStr"/>
    </row>
    <row r="684" ht="15" customHeight="1">
      <c r="A684" t="inlineStr">
        <is>
          <t>A 16536-2025</t>
        </is>
      </c>
      <c r="B684" s="1" t="n">
        <v>45751.65657407408</v>
      </c>
      <c r="C684" s="1" t="n">
        <v>45904</v>
      </c>
      <c r="D684" t="inlineStr">
        <is>
          <t>JÄMTLANDS LÄN</t>
        </is>
      </c>
      <c r="E684" t="inlineStr">
        <is>
          <t>HÄRJEDALEN</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43750-2020</t>
        </is>
      </c>
      <c r="B685" s="1" t="n">
        <v>44082</v>
      </c>
      <c r="C685" s="1" t="n">
        <v>45904</v>
      </c>
      <c r="D685" t="inlineStr">
        <is>
          <t>JÄMTLANDS LÄN</t>
        </is>
      </c>
      <c r="E685" t="inlineStr">
        <is>
          <t>HÄRJEDALEN</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23446-2025</t>
        </is>
      </c>
      <c r="B686" s="1" t="n">
        <v>45791</v>
      </c>
      <c r="C686" s="1" t="n">
        <v>45904</v>
      </c>
      <c r="D686" t="inlineStr">
        <is>
          <t>JÄMTLANDS LÄN</t>
        </is>
      </c>
      <c r="E686" t="inlineStr">
        <is>
          <t>HÄRJEDALEN</t>
        </is>
      </c>
      <c r="G686" t="n">
        <v>20.5</v>
      </c>
      <c r="H686" t="n">
        <v>0</v>
      </c>
      <c r="I686" t="n">
        <v>0</v>
      </c>
      <c r="J686" t="n">
        <v>0</v>
      </c>
      <c r="K686" t="n">
        <v>0</v>
      </c>
      <c r="L686" t="n">
        <v>0</v>
      </c>
      <c r="M686" t="n">
        <v>0</v>
      </c>
      <c r="N686" t="n">
        <v>0</v>
      </c>
      <c r="O686" t="n">
        <v>0</v>
      </c>
      <c r="P686" t="n">
        <v>0</v>
      </c>
      <c r="Q686" t="n">
        <v>0</v>
      </c>
      <c r="R686" s="2" t="inlineStr"/>
    </row>
    <row r="687" ht="15" customHeight="1">
      <c r="A687" t="inlineStr">
        <is>
          <t>A 30255-2025</t>
        </is>
      </c>
      <c r="B687" s="1" t="n">
        <v>45827.42467592593</v>
      </c>
      <c r="C687" s="1" t="n">
        <v>45904</v>
      </c>
      <c r="D687" t="inlineStr">
        <is>
          <t>JÄMTLANDS LÄN</t>
        </is>
      </c>
      <c r="E687" t="inlineStr">
        <is>
          <t>HÄRJEDALEN</t>
        </is>
      </c>
      <c r="F687" t="inlineStr">
        <is>
          <t>Holmen skog AB</t>
        </is>
      </c>
      <c r="G687" t="n">
        <v>2.3</v>
      </c>
      <c r="H687" t="n">
        <v>0</v>
      </c>
      <c r="I687" t="n">
        <v>0</v>
      </c>
      <c r="J687" t="n">
        <v>0</v>
      </c>
      <c r="K687" t="n">
        <v>0</v>
      </c>
      <c r="L687" t="n">
        <v>0</v>
      </c>
      <c r="M687" t="n">
        <v>0</v>
      </c>
      <c r="N687" t="n">
        <v>0</v>
      </c>
      <c r="O687" t="n">
        <v>0</v>
      </c>
      <c r="P687" t="n">
        <v>0</v>
      </c>
      <c r="Q687" t="n">
        <v>0</v>
      </c>
      <c r="R687" s="2" t="inlineStr"/>
    </row>
    <row r="688" ht="15" customHeight="1">
      <c r="A688" t="inlineStr">
        <is>
          <t>A 54762-2022</t>
        </is>
      </c>
      <c r="B688" s="1" t="n">
        <v>44883</v>
      </c>
      <c r="C688" s="1" t="n">
        <v>45904</v>
      </c>
      <c r="D688" t="inlineStr">
        <is>
          <t>JÄMTLANDS LÄN</t>
        </is>
      </c>
      <c r="E688" t="inlineStr">
        <is>
          <t>HÄRJEDALEN</t>
        </is>
      </c>
      <c r="G688" t="n">
        <v>1.8</v>
      </c>
      <c r="H688" t="n">
        <v>0</v>
      </c>
      <c r="I688" t="n">
        <v>0</v>
      </c>
      <c r="J688" t="n">
        <v>0</v>
      </c>
      <c r="K688" t="n">
        <v>0</v>
      </c>
      <c r="L688" t="n">
        <v>0</v>
      </c>
      <c r="M688" t="n">
        <v>0</v>
      </c>
      <c r="N688" t="n">
        <v>0</v>
      </c>
      <c r="O688" t="n">
        <v>0</v>
      </c>
      <c r="P688" t="n">
        <v>0</v>
      </c>
      <c r="Q688" t="n">
        <v>0</v>
      </c>
      <c r="R688" s="2" t="inlineStr"/>
    </row>
    <row r="689" ht="15" customHeight="1">
      <c r="A689" t="inlineStr">
        <is>
          <t>A 67180-2020</t>
        </is>
      </c>
      <c r="B689" s="1" t="n">
        <v>44180</v>
      </c>
      <c r="C689" s="1" t="n">
        <v>45904</v>
      </c>
      <c r="D689" t="inlineStr">
        <is>
          <t>JÄMTLANDS LÄN</t>
        </is>
      </c>
      <c r="E689" t="inlineStr">
        <is>
          <t>HÄRJEDALEN</t>
        </is>
      </c>
      <c r="G689" t="n">
        <v>0</v>
      </c>
      <c r="H689" t="n">
        <v>0</v>
      </c>
      <c r="I689" t="n">
        <v>0</v>
      </c>
      <c r="J689" t="n">
        <v>0</v>
      </c>
      <c r="K689" t="n">
        <v>0</v>
      </c>
      <c r="L689" t="n">
        <v>0</v>
      </c>
      <c r="M689" t="n">
        <v>0</v>
      </c>
      <c r="N689" t="n">
        <v>0</v>
      </c>
      <c r="O689" t="n">
        <v>0</v>
      </c>
      <c r="P689" t="n">
        <v>0</v>
      </c>
      <c r="Q689" t="n">
        <v>0</v>
      </c>
      <c r="R689" s="2" t="inlineStr"/>
    </row>
    <row r="690" ht="15" customHeight="1">
      <c r="A690" t="inlineStr">
        <is>
          <t>A 63546-2023</t>
        </is>
      </c>
      <c r="B690" s="1" t="n">
        <v>45275</v>
      </c>
      <c r="C690" s="1" t="n">
        <v>45904</v>
      </c>
      <c r="D690" t="inlineStr">
        <is>
          <t>JÄMTLANDS LÄN</t>
        </is>
      </c>
      <c r="E690" t="inlineStr">
        <is>
          <t>HÄRJEDALEN</t>
        </is>
      </c>
      <c r="G690" t="n">
        <v>4.5</v>
      </c>
      <c r="H690" t="n">
        <v>0</v>
      </c>
      <c r="I690" t="n">
        <v>0</v>
      </c>
      <c r="J690" t="n">
        <v>0</v>
      </c>
      <c r="K690" t="n">
        <v>0</v>
      </c>
      <c r="L690" t="n">
        <v>0</v>
      </c>
      <c r="M690" t="n">
        <v>0</v>
      </c>
      <c r="N690" t="n">
        <v>0</v>
      </c>
      <c r="O690" t="n">
        <v>0</v>
      </c>
      <c r="P690" t="n">
        <v>0</v>
      </c>
      <c r="Q690" t="n">
        <v>0</v>
      </c>
      <c r="R690" s="2" t="inlineStr"/>
    </row>
    <row r="691" ht="15" customHeight="1">
      <c r="A691" t="inlineStr">
        <is>
          <t>A 37054-2024</t>
        </is>
      </c>
      <c r="B691" s="1" t="n">
        <v>45539.43545138889</v>
      </c>
      <c r="C691" s="1" t="n">
        <v>45904</v>
      </c>
      <c r="D691" t="inlineStr">
        <is>
          <t>JÄMTLANDS LÄN</t>
        </is>
      </c>
      <c r="E691" t="inlineStr">
        <is>
          <t>HÄRJEDALEN</t>
        </is>
      </c>
      <c r="G691" t="n">
        <v>1.8</v>
      </c>
      <c r="H691" t="n">
        <v>0</v>
      </c>
      <c r="I691" t="n">
        <v>0</v>
      </c>
      <c r="J691" t="n">
        <v>0</v>
      </c>
      <c r="K691" t="n">
        <v>0</v>
      </c>
      <c r="L691" t="n">
        <v>0</v>
      </c>
      <c r="M691" t="n">
        <v>0</v>
      </c>
      <c r="N691" t="n">
        <v>0</v>
      </c>
      <c r="O691" t="n">
        <v>0</v>
      </c>
      <c r="P691" t="n">
        <v>0</v>
      </c>
      <c r="Q691" t="n">
        <v>0</v>
      </c>
      <c r="R691" s="2" t="inlineStr"/>
    </row>
    <row r="692" ht="15" customHeight="1">
      <c r="A692" t="inlineStr">
        <is>
          <t>A 36777-2025</t>
        </is>
      </c>
      <c r="B692" s="1" t="n">
        <v>45873.59511574074</v>
      </c>
      <c r="C692" s="1" t="n">
        <v>45904</v>
      </c>
      <c r="D692" t="inlineStr">
        <is>
          <t>JÄMTLANDS LÄN</t>
        </is>
      </c>
      <c r="E692" t="inlineStr">
        <is>
          <t>HÄRJEDALEN</t>
        </is>
      </c>
      <c r="F692" t="inlineStr">
        <is>
          <t>Bergvik skog väst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64579-2020</t>
        </is>
      </c>
      <c r="B693" s="1" t="n">
        <v>44169</v>
      </c>
      <c r="C693" s="1" t="n">
        <v>45904</v>
      </c>
      <c r="D693" t="inlineStr">
        <is>
          <t>JÄMTLANDS LÄN</t>
        </is>
      </c>
      <c r="E693" t="inlineStr">
        <is>
          <t>HÄRJEDALEN</t>
        </is>
      </c>
      <c r="G693" t="n">
        <v>12.4</v>
      </c>
      <c r="H693" t="n">
        <v>0</v>
      </c>
      <c r="I693" t="n">
        <v>0</v>
      </c>
      <c r="J693" t="n">
        <v>0</v>
      </c>
      <c r="K693" t="n">
        <v>0</v>
      </c>
      <c r="L693" t="n">
        <v>0</v>
      </c>
      <c r="M693" t="n">
        <v>0</v>
      </c>
      <c r="N693" t="n">
        <v>0</v>
      </c>
      <c r="O693" t="n">
        <v>0</v>
      </c>
      <c r="P693" t="n">
        <v>0</v>
      </c>
      <c r="Q693" t="n">
        <v>0</v>
      </c>
      <c r="R693" s="2" t="inlineStr"/>
    </row>
    <row r="694" ht="15" customHeight="1">
      <c r="A694" t="inlineStr">
        <is>
          <t>A 20935-2023</t>
        </is>
      </c>
      <c r="B694" s="1" t="n">
        <v>45061.36835648148</v>
      </c>
      <c r="C694" s="1" t="n">
        <v>45904</v>
      </c>
      <c r="D694" t="inlineStr">
        <is>
          <t>JÄMTLANDS LÄN</t>
        </is>
      </c>
      <c r="E694" t="inlineStr">
        <is>
          <t>HÄRJEDALEN</t>
        </is>
      </c>
      <c r="G694" t="n">
        <v>7.3</v>
      </c>
      <c r="H694" t="n">
        <v>0</v>
      </c>
      <c r="I694" t="n">
        <v>0</v>
      </c>
      <c r="J694" t="n">
        <v>0</v>
      </c>
      <c r="K694" t="n">
        <v>0</v>
      </c>
      <c r="L694" t="n">
        <v>0</v>
      </c>
      <c r="M694" t="n">
        <v>0</v>
      </c>
      <c r="N694" t="n">
        <v>0</v>
      </c>
      <c r="O694" t="n">
        <v>0</v>
      </c>
      <c r="P694" t="n">
        <v>0</v>
      </c>
      <c r="Q694" t="n">
        <v>0</v>
      </c>
      <c r="R694" s="2" t="inlineStr"/>
    </row>
    <row r="695" ht="15" customHeight="1">
      <c r="A695" t="inlineStr">
        <is>
          <t>A 24834-2022</t>
        </is>
      </c>
      <c r="B695" s="1" t="n">
        <v>44728</v>
      </c>
      <c r="C695" s="1" t="n">
        <v>45904</v>
      </c>
      <c r="D695" t="inlineStr">
        <is>
          <t>JÄMTLANDS LÄN</t>
        </is>
      </c>
      <c r="E695" t="inlineStr">
        <is>
          <t>HÄRJEDALEN</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31096-2025</t>
        </is>
      </c>
      <c r="B696" s="1" t="n">
        <v>45831</v>
      </c>
      <c r="C696" s="1" t="n">
        <v>45904</v>
      </c>
      <c r="D696" t="inlineStr">
        <is>
          <t>JÄMTLANDS LÄN</t>
        </is>
      </c>
      <c r="E696" t="inlineStr">
        <is>
          <t>HÄRJEDALEN</t>
        </is>
      </c>
      <c r="F696" t="inlineStr">
        <is>
          <t>Bergvik skog väst AB</t>
        </is>
      </c>
      <c r="G696" t="n">
        <v>11.4</v>
      </c>
      <c r="H696" t="n">
        <v>0</v>
      </c>
      <c r="I696" t="n">
        <v>0</v>
      </c>
      <c r="J696" t="n">
        <v>0</v>
      </c>
      <c r="K696" t="n">
        <v>0</v>
      </c>
      <c r="L696" t="n">
        <v>0</v>
      </c>
      <c r="M696" t="n">
        <v>0</v>
      </c>
      <c r="N696" t="n">
        <v>0</v>
      </c>
      <c r="O696" t="n">
        <v>0</v>
      </c>
      <c r="P696" t="n">
        <v>0</v>
      </c>
      <c r="Q696" t="n">
        <v>0</v>
      </c>
      <c r="R696" s="2" t="inlineStr"/>
    </row>
    <row r="697" ht="15" customHeight="1">
      <c r="A697" t="inlineStr">
        <is>
          <t>A 7311-2024</t>
        </is>
      </c>
      <c r="B697" s="1" t="n">
        <v>45345.34219907408</v>
      </c>
      <c r="C697" s="1" t="n">
        <v>45904</v>
      </c>
      <c r="D697" t="inlineStr">
        <is>
          <t>JÄMTLANDS LÄN</t>
        </is>
      </c>
      <c r="E697" t="inlineStr">
        <is>
          <t>HÄRJEDALEN</t>
        </is>
      </c>
      <c r="F697" t="inlineStr">
        <is>
          <t>Holmen skog AB</t>
        </is>
      </c>
      <c r="G697" t="n">
        <v>3.7</v>
      </c>
      <c r="H697" t="n">
        <v>0</v>
      </c>
      <c r="I697" t="n">
        <v>0</v>
      </c>
      <c r="J697" t="n">
        <v>0</v>
      </c>
      <c r="K697" t="n">
        <v>0</v>
      </c>
      <c r="L697" t="n">
        <v>0</v>
      </c>
      <c r="M697" t="n">
        <v>0</v>
      </c>
      <c r="N697" t="n">
        <v>0</v>
      </c>
      <c r="O697" t="n">
        <v>0</v>
      </c>
      <c r="P697" t="n">
        <v>0</v>
      </c>
      <c r="Q697" t="n">
        <v>0</v>
      </c>
      <c r="R697" s="2" t="inlineStr"/>
    </row>
    <row r="698" ht="15" customHeight="1">
      <c r="A698" t="inlineStr">
        <is>
          <t>A 7362-2024</t>
        </is>
      </c>
      <c r="B698" s="1" t="n">
        <v>45345.47642361111</v>
      </c>
      <c r="C698" s="1" t="n">
        <v>45904</v>
      </c>
      <c r="D698" t="inlineStr">
        <is>
          <t>JÄMTLANDS LÄN</t>
        </is>
      </c>
      <c r="E698" t="inlineStr">
        <is>
          <t>HÄRJEDALEN</t>
        </is>
      </c>
      <c r="F698" t="inlineStr">
        <is>
          <t>Holmen skog AB</t>
        </is>
      </c>
      <c r="G698" t="n">
        <v>0.8</v>
      </c>
      <c r="H698" t="n">
        <v>0</v>
      </c>
      <c r="I698" t="n">
        <v>0</v>
      </c>
      <c r="J698" t="n">
        <v>0</v>
      </c>
      <c r="K698" t="n">
        <v>0</v>
      </c>
      <c r="L698" t="n">
        <v>0</v>
      </c>
      <c r="M698" t="n">
        <v>0</v>
      </c>
      <c r="N698" t="n">
        <v>0</v>
      </c>
      <c r="O698" t="n">
        <v>0</v>
      </c>
      <c r="P698" t="n">
        <v>0</v>
      </c>
      <c r="Q698" t="n">
        <v>0</v>
      </c>
      <c r="R698" s="2" t="inlineStr"/>
    </row>
    <row r="699" ht="15" customHeight="1">
      <c r="A699" t="inlineStr">
        <is>
          <t>A 37122-2025</t>
        </is>
      </c>
      <c r="B699" s="1" t="n">
        <v>45875.5196875</v>
      </c>
      <c r="C699" s="1" t="n">
        <v>45904</v>
      </c>
      <c r="D699" t="inlineStr">
        <is>
          <t>JÄMTLANDS LÄN</t>
        </is>
      </c>
      <c r="E699" t="inlineStr">
        <is>
          <t>HÄRJEDALEN</t>
        </is>
      </c>
      <c r="G699" t="n">
        <v>6.9</v>
      </c>
      <c r="H699" t="n">
        <v>0</v>
      </c>
      <c r="I699" t="n">
        <v>0</v>
      </c>
      <c r="J699" t="n">
        <v>0</v>
      </c>
      <c r="K699" t="n">
        <v>0</v>
      </c>
      <c r="L699" t="n">
        <v>0</v>
      </c>
      <c r="M699" t="n">
        <v>0</v>
      </c>
      <c r="N699" t="n">
        <v>0</v>
      </c>
      <c r="O699" t="n">
        <v>0</v>
      </c>
      <c r="P699" t="n">
        <v>0</v>
      </c>
      <c r="Q699" t="n">
        <v>0</v>
      </c>
      <c r="R699" s="2" t="inlineStr"/>
    </row>
    <row r="700" ht="15" customHeight="1">
      <c r="A700" t="inlineStr">
        <is>
          <t>A 36976-2025</t>
        </is>
      </c>
      <c r="B700" s="1" t="n">
        <v>45874.64199074074</v>
      </c>
      <c r="C700" s="1" t="n">
        <v>45904</v>
      </c>
      <c r="D700" t="inlineStr">
        <is>
          <t>JÄMTLANDS LÄN</t>
        </is>
      </c>
      <c r="E700" t="inlineStr">
        <is>
          <t>HÄRJEDALEN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45864-2023</t>
        </is>
      </c>
      <c r="B701" s="1" t="n">
        <v>45195.61476851852</v>
      </c>
      <c r="C701" s="1" t="n">
        <v>45904</v>
      </c>
      <c r="D701" t="inlineStr">
        <is>
          <t>JÄMTLANDS LÄN</t>
        </is>
      </c>
      <c r="E701" t="inlineStr">
        <is>
          <t>HÄRJEDALEN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18659-2023</t>
        </is>
      </c>
      <c r="B702" s="1" t="n">
        <v>45041</v>
      </c>
      <c r="C702" s="1" t="n">
        <v>45904</v>
      </c>
      <c r="D702" t="inlineStr">
        <is>
          <t>JÄMTLANDS LÄN</t>
        </is>
      </c>
      <c r="E702" t="inlineStr">
        <is>
          <t>HÄRJEDALEN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36978-2025</t>
        </is>
      </c>
      <c r="B703" s="1" t="n">
        <v>45874.64513888889</v>
      </c>
      <c r="C703" s="1" t="n">
        <v>45904</v>
      </c>
      <c r="D703" t="inlineStr">
        <is>
          <t>JÄMTLANDS LÄN</t>
        </is>
      </c>
      <c r="E703" t="inlineStr">
        <is>
          <t>HÄRJEDALEN</t>
        </is>
      </c>
      <c r="G703" t="n">
        <v>2.7</v>
      </c>
      <c r="H703" t="n">
        <v>0</v>
      </c>
      <c r="I703" t="n">
        <v>0</v>
      </c>
      <c r="J703" t="n">
        <v>0</v>
      </c>
      <c r="K703" t="n">
        <v>0</v>
      </c>
      <c r="L703" t="n">
        <v>0</v>
      </c>
      <c r="M703" t="n">
        <v>0</v>
      </c>
      <c r="N703" t="n">
        <v>0</v>
      </c>
      <c r="O703" t="n">
        <v>0</v>
      </c>
      <c r="P703" t="n">
        <v>0</v>
      </c>
      <c r="Q703" t="n">
        <v>0</v>
      </c>
      <c r="R703" s="2" t="inlineStr"/>
    </row>
    <row r="704" ht="15" customHeight="1">
      <c r="A704" t="inlineStr">
        <is>
          <t>A 54682-2024</t>
        </is>
      </c>
      <c r="B704" s="1" t="n">
        <v>45618</v>
      </c>
      <c r="C704" s="1" t="n">
        <v>45904</v>
      </c>
      <c r="D704" t="inlineStr">
        <is>
          <t>JÄMTLANDS LÄN</t>
        </is>
      </c>
      <c r="E704" t="inlineStr">
        <is>
          <t>HÄRJEDALEN</t>
        </is>
      </c>
      <c r="G704" t="n">
        <v>14.2</v>
      </c>
      <c r="H704" t="n">
        <v>0</v>
      </c>
      <c r="I704" t="n">
        <v>0</v>
      </c>
      <c r="J704" t="n">
        <v>0</v>
      </c>
      <c r="K704" t="n">
        <v>0</v>
      </c>
      <c r="L704" t="n">
        <v>0</v>
      </c>
      <c r="M704" t="n">
        <v>0</v>
      </c>
      <c r="N704" t="n">
        <v>0</v>
      </c>
      <c r="O704" t="n">
        <v>0</v>
      </c>
      <c r="P704" t="n">
        <v>0</v>
      </c>
      <c r="Q704" t="n">
        <v>0</v>
      </c>
      <c r="R704" s="2" t="inlineStr"/>
    </row>
    <row r="705" ht="15" customHeight="1">
      <c r="A705" t="inlineStr">
        <is>
          <t>A 31255-2025</t>
        </is>
      </c>
      <c r="B705" s="1" t="n">
        <v>45832</v>
      </c>
      <c r="C705" s="1" t="n">
        <v>45904</v>
      </c>
      <c r="D705" t="inlineStr">
        <is>
          <t>JÄMTLANDS LÄN</t>
        </is>
      </c>
      <c r="E705" t="inlineStr">
        <is>
          <t>HÄRJEDALEN</t>
        </is>
      </c>
      <c r="F705" t="inlineStr">
        <is>
          <t>Bergvik skog väst AB</t>
        </is>
      </c>
      <c r="G705" t="n">
        <v>12.9</v>
      </c>
      <c r="H705" t="n">
        <v>0</v>
      </c>
      <c r="I705" t="n">
        <v>0</v>
      </c>
      <c r="J705" t="n">
        <v>0</v>
      </c>
      <c r="K705" t="n">
        <v>0</v>
      </c>
      <c r="L705" t="n">
        <v>0</v>
      </c>
      <c r="M705" t="n">
        <v>0</v>
      </c>
      <c r="N705" t="n">
        <v>0</v>
      </c>
      <c r="O705" t="n">
        <v>0</v>
      </c>
      <c r="P705" t="n">
        <v>0</v>
      </c>
      <c r="Q705" t="n">
        <v>0</v>
      </c>
      <c r="R705" s="2" t="inlineStr"/>
    </row>
    <row r="706" ht="15" customHeight="1">
      <c r="A706" t="inlineStr">
        <is>
          <t>A 35726-2024</t>
        </is>
      </c>
      <c r="B706" s="1" t="n">
        <v>45532</v>
      </c>
      <c r="C706" s="1" t="n">
        <v>45904</v>
      </c>
      <c r="D706" t="inlineStr">
        <is>
          <t>JÄMTLANDS LÄN</t>
        </is>
      </c>
      <c r="E706" t="inlineStr">
        <is>
          <t>HÄRJEDALEN</t>
        </is>
      </c>
      <c r="G706" t="n">
        <v>14.3</v>
      </c>
      <c r="H706" t="n">
        <v>0</v>
      </c>
      <c r="I706" t="n">
        <v>0</v>
      </c>
      <c r="J706" t="n">
        <v>0</v>
      </c>
      <c r="K706" t="n">
        <v>0</v>
      </c>
      <c r="L706" t="n">
        <v>0</v>
      </c>
      <c r="M706" t="n">
        <v>0</v>
      </c>
      <c r="N706" t="n">
        <v>0</v>
      </c>
      <c r="O706" t="n">
        <v>0</v>
      </c>
      <c r="P706" t="n">
        <v>0</v>
      </c>
      <c r="Q706" t="n">
        <v>0</v>
      </c>
      <c r="R706" s="2" t="inlineStr"/>
    </row>
    <row r="707" ht="15" customHeight="1">
      <c r="A707" t="inlineStr">
        <is>
          <t>A 31570-2025</t>
        </is>
      </c>
      <c r="B707" s="1" t="n">
        <v>45833</v>
      </c>
      <c r="C707" s="1" t="n">
        <v>45904</v>
      </c>
      <c r="D707" t="inlineStr">
        <is>
          <t>JÄMTLANDS LÄN</t>
        </is>
      </c>
      <c r="E707" t="inlineStr">
        <is>
          <t>HÄRJEDALEN</t>
        </is>
      </c>
      <c r="F707" t="inlineStr">
        <is>
          <t>Bergvik skog väst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31526-2025</t>
        </is>
      </c>
      <c r="B708" s="1" t="n">
        <v>45833</v>
      </c>
      <c r="C708" s="1" t="n">
        <v>45904</v>
      </c>
      <c r="D708" t="inlineStr">
        <is>
          <t>JÄMTLANDS LÄN</t>
        </is>
      </c>
      <c r="E708" t="inlineStr">
        <is>
          <t>HÄRJEDALEN</t>
        </is>
      </c>
      <c r="F708" t="inlineStr">
        <is>
          <t>Bergvik skog väst AB</t>
        </is>
      </c>
      <c r="G708" t="n">
        <v>2.3</v>
      </c>
      <c r="H708" t="n">
        <v>0</v>
      </c>
      <c r="I708" t="n">
        <v>0</v>
      </c>
      <c r="J708" t="n">
        <v>0</v>
      </c>
      <c r="K708" t="n">
        <v>0</v>
      </c>
      <c r="L708" t="n">
        <v>0</v>
      </c>
      <c r="M708" t="n">
        <v>0</v>
      </c>
      <c r="N708" t="n">
        <v>0</v>
      </c>
      <c r="O708" t="n">
        <v>0</v>
      </c>
      <c r="P708" t="n">
        <v>0</v>
      </c>
      <c r="Q708" t="n">
        <v>0</v>
      </c>
      <c r="R708" s="2" t="inlineStr"/>
    </row>
    <row r="709" ht="15" customHeight="1">
      <c r="A709" t="inlineStr">
        <is>
          <t>A 10348-2023</t>
        </is>
      </c>
      <c r="B709" s="1" t="n">
        <v>44987.35637731481</v>
      </c>
      <c r="C709" s="1" t="n">
        <v>45904</v>
      </c>
      <c r="D709" t="inlineStr">
        <is>
          <t>JÄMTLANDS LÄN</t>
        </is>
      </c>
      <c r="E709" t="inlineStr">
        <is>
          <t>HÄRJEDALEN</t>
        </is>
      </c>
      <c r="F709" t="inlineStr">
        <is>
          <t>Holmen skog AB</t>
        </is>
      </c>
      <c r="G709" t="n">
        <v>17.8</v>
      </c>
      <c r="H709" t="n">
        <v>0</v>
      </c>
      <c r="I709" t="n">
        <v>0</v>
      </c>
      <c r="J709" t="n">
        <v>0</v>
      </c>
      <c r="K709" t="n">
        <v>0</v>
      </c>
      <c r="L709" t="n">
        <v>0</v>
      </c>
      <c r="M709" t="n">
        <v>0</v>
      </c>
      <c r="N709" t="n">
        <v>0</v>
      </c>
      <c r="O709" t="n">
        <v>0</v>
      </c>
      <c r="P709" t="n">
        <v>0</v>
      </c>
      <c r="Q709" t="n">
        <v>0</v>
      </c>
      <c r="R709" s="2" t="inlineStr"/>
    </row>
    <row r="710" ht="15" customHeight="1">
      <c r="A710" t="inlineStr">
        <is>
          <t>A 10353-2023</t>
        </is>
      </c>
      <c r="B710" s="1" t="n">
        <v>44987</v>
      </c>
      <c r="C710" s="1" t="n">
        <v>45904</v>
      </c>
      <c r="D710" t="inlineStr">
        <is>
          <t>JÄMTLANDS LÄN</t>
        </is>
      </c>
      <c r="E710" t="inlineStr">
        <is>
          <t>HÄRJEDALEN</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37106-2025</t>
        </is>
      </c>
      <c r="B711" s="1" t="n">
        <v>45875.47854166666</v>
      </c>
      <c r="C711" s="1" t="n">
        <v>45904</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31252-2025</t>
        </is>
      </c>
      <c r="B712" s="1" t="n">
        <v>45832</v>
      </c>
      <c r="C712" s="1" t="n">
        <v>45904</v>
      </c>
      <c r="D712" t="inlineStr">
        <is>
          <t>JÄMTLANDS LÄN</t>
        </is>
      </c>
      <c r="E712" t="inlineStr">
        <is>
          <t>HÄRJEDALEN</t>
        </is>
      </c>
      <c r="F712" t="inlineStr">
        <is>
          <t>Bergvik skog väst AB</t>
        </is>
      </c>
      <c r="G712" t="n">
        <v>8</v>
      </c>
      <c r="H712" t="n">
        <v>0</v>
      </c>
      <c r="I712" t="n">
        <v>0</v>
      </c>
      <c r="J712" t="n">
        <v>0</v>
      </c>
      <c r="K712" t="n">
        <v>0</v>
      </c>
      <c r="L712" t="n">
        <v>0</v>
      </c>
      <c r="M712" t="n">
        <v>0</v>
      </c>
      <c r="N712" t="n">
        <v>0</v>
      </c>
      <c r="O712" t="n">
        <v>0</v>
      </c>
      <c r="P712" t="n">
        <v>0</v>
      </c>
      <c r="Q712" t="n">
        <v>0</v>
      </c>
      <c r="R712" s="2" t="inlineStr"/>
    </row>
    <row r="713" ht="15" customHeight="1">
      <c r="A713" t="inlineStr">
        <is>
          <t>A 31294-2025</t>
        </is>
      </c>
      <c r="B713" s="1" t="n">
        <v>45833.36467592593</v>
      </c>
      <c r="C713" s="1" t="n">
        <v>45904</v>
      </c>
      <c r="D713" t="inlineStr">
        <is>
          <t>JÄMTLANDS LÄN</t>
        </is>
      </c>
      <c r="E713" t="inlineStr">
        <is>
          <t>HÄRJEDALEN</t>
        </is>
      </c>
      <c r="F713" t="inlineStr">
        <is>
          <t>Bergvik skog väst AB</t>
        </is>
      </c>
      <c r="G713" t="n">
        <v>22.1</v>
      </c>
      <c r="H713" t="n">
        <v>0</v>
      </c>
      <c r="I713" t="n">
        <v>0</v>
      </c>
      <c r="J713" t="n">
        <v>0</v>
      </c>
      <c r="K713" t="n">
        <v>0</v>
      </c>
      <c r="L713" t="n">
        <v>0</v>
      </c>
      <c r="M713" t="n">
        <v>0</v>
      </c>
      <c r="N713" t="n">
        <v>0</v>
      </c>
      <c r="O713" t="n">
        <v>0</v>
      </c>
      <c r="P713" t="n">
        <v>0</v>
      </c>
      <c r="Q713" t="n">
        <v>0</v>
      </c>
      <c r="R713" s="2" t="inlineStr"/>
    </row>
    <row r="714" ht="15" customHeight="1">
      <c r="A714" t="inlineStr">
        <is>
          <t>A 31148-2025</t>
        </is>
      </c>
      <c r="B714" s="1" t="n">
        <v>45832.64047453704</v>
      </c>
      <c r="C714" s="1" t="n">
        <v>45904</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30922-2025</t>
        </is>
      </c>
      <c r="B715" s="1" t="n">
        <v>45832.3859837963</v>
      </c>
      <c r="C715" s="1" t="n">
        <v>45904</v>
      </c>
      <c r="D715" t="inlineStr">
        <is>
          <t>JÄMTLANDS LÄN</t>
        </is>
      </c>
      <c r="E715" t="inlineStr">
        <is>
          <t>HÄRJEDALEN</t>
        </is>
      </c>
      <c r="F715" t="inlineStr">
        <is>
          <t>SCA</t>
        </is>
      </c>
      <c r="G715" t="n">
        <v>17.7</v>
      </c>
      <c r="H715" t="n">
        <v>0</v>
      </c>
      <c r="I715" t="n">
        <v>0</v>
      </c>
      <c r="J715" t="n">
        <v>0</v>
      </c>
      <c r="K715" t="n">
        <v>0</v>
      </c>
      <c r="L715" t="n">
        <v>0</v>
      </c>
      <c r="M715" t="n">
        <v>0</v>
      </c>
      <c r="N715" t="n">
        <v>0</v>
      </c>
      <c r="O715" t="n">
        <v>0</v>
      </c>
      <c r="P715" t="n">
        <v>0</v>
      </c>
      <c r="Q715" t="n">
        <v>0</v>
      </c>
      <c r="R715" s="2" t="inlineStr"/>
    </row>
    <row r="716" ht="15" customHeight="1">
      <c r="A716" t="inlineStr">
        <is>
          <t>A 31498-2025</t>
        </is>
      </c>
      <c r="B716" s="1" t="n">
        <v>45833</v>
      </c>
      <c r="C716" s="1" t="n">
        <v>45904</v>
      </c>
      <c r="D716" t="inlineStr">
        <is>
          <t>JÄMTLANDS LÄN</t>
        </is>
      </c>
      <c r="E716" t="inlineStr">
        <is>
          <t>HÄRJEDALEN</t>
        </is>
      </c>
      <c r="F716" t="inlineStr">
        <is>
          <t>Bergvik skog väst AB</t>
        </is>
      </c>
      <c r="G716" t="n">
        <v>9.6</v>
      </c>
      <c r="H716" t="n">
        <v>0</v>
      </c>
      <c r="I716" t="n">
        <v>0</v>
      </c>
      <c r="J716" t="n">
        <v>0</v>
      </c>
      <c r="K716" t="n">
        <v>0</v>
      </c>
      <c r="L716" t="n">
        <v>0</v>
      </c>
      <c r="M716" t="n">
        <v>0</v>
      </c>
      <c r="N716" t="n">
        <v>0</v>
      </c>
      <c r="O716" t="n">
        <v>0</v>
      </c>
      <c r="P716" t="n">
        <v>0</v>
      </c>
      <c r="Q716" t="n">
        <v>0</v>
      </c>
      <c r="R716" s="2" t="inlineStr"/>
    </row>
    <row r="717" ht="15" customHeight="1">
      <c r="A717" t="inlineStr">
        <is>
          <t>A 31522-2025</t>
        </is>
      </c>
      <c r="B717" s="1" t="n">
        <v>45833.6081712963</v>
      </c>
      <c r="C717" s="1" t="n">
        <v>45904</v>
      </c>
      <c r="D717" t="inlineStr">
        <is>
          <t>JÄMTLANDS LÄN</t>
        </is>
      </c>
      <c r="E717" t="inlineStr">
        <is>
          <t>HÄRJEDALEN</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62134-2024</t>
        </is>
      </c>
      <c r="B718" s="1" t="n">
        <v>45646</v>
      </c>
      <c r="C718" s="1" t="n">
        <v>45904</v>
      </c>
      <c r="D718" t="inlineStr">
        <is>
          <t>JÄMTLANDS LÄN</t>
        </is>
      </c>
      <c r="E718" t="inlineStr">
        <is>
          <t>HÄRJEDALEN</t>
        </is>
      </c>
      <c r="G718" t="n">
        <v>13.1</v>
      </c>
      <c r="H718" t="n">
        <v>0</v>
      </c>
      <c r="I718" t="n">
        <v>0</v>
      </c>
      <c r="J718" t="n">
        <v>0</v>
      </c>
      <c r="K718" t="n">
        <v>0</v>
      </c>
      <c r="L718" t="n">
        <v>0</v>
      </c>
      <c r="M718" t="n">
        <v>0</v>
      </c>
      <c r="N718" t="n">
        <v>0</v>
      </c>
      <c r="O718" t="n">
        <v>0</v>
      </c>
      <c r="P718" t="n">
        <v>0</v>
      </c>
      <c r="Q718" t="n">
        <v>0</v>
      </c>
      <c r="R718" s="2" t="inlineStr"/>
    </row>
    <row r="719" ht="15" customHeight="1">
      <c r="A719" t="inlineStr">
        <is>
          <t>A 31253-2025</t>
        </is>
      </c>
      <c r="B719" s="1" t="n">
        <v>45832</v>
      </c>
      <c r="C719" s="1" t="n">
        <v>45904</v>
      </c>
      <c r="D719" t="inlineStr">
        <is>
          <t>JÄMTLANDS LÄN</t>
        </is>
      </c>
      <c r="E719" t="inlineStr">
        <is>
          <t>HÄRJEDALEN</t>
        </is>
      </c>
      <c r="F719" t="inlineStr">
        <is>
          <t>Bergvik skog väst AB</t>
        </is>
      </c>
      <c r="G719" t="n">
        <v>24.9</v>
      </c>
      <c r="H719" t="n">
        <v>0</v>
      </c>
      <c r="I719" t="n">
        <v>0</v>
      </c>
      <c r="J719" t="n">
        <v>0</v>
      </c>
      <c r="K719" t="n">
        <v>0</v>
      </c>
      <c r="L719" t="n">
        <v>0</v>
      </c>
      <c r="M719" t="n">
        <v>0</v>
      </c>
      <c r="N719" t="n">
        <v>0</v>
      </c>
      <c r="O719" t="n">
        <v>0</v>
      </c>
      <c r="P719" t="n">
        <v>0</v>
      </c>
      <c r="Q719" t="n">
        <v>0</v>
      </c>
      <c r="R719" s="2" t="inlineStr"/>
    </row>
    <row r="720" ht="15" customHeight="1">
      <c r="A720" t="inlineStr">
        <is>
          <t>A 28444-2024</t>
        </is>
      </c>
      <c r="B720" s="1" t="n">
        <v>45477.66773148148</v>
      </c>
      <c r="C720" s="1" t="n">
        <v>45904</v>
      </c>
      <c r="D720" t="inlineStr">
        <is>
          <t>JÄMTLANDS LÄN</t>
        </is>
      </c>
      <c r="E720" t="inlineStr">
        <is>
          <t>HÄRJEDALEN</t>
        </is>
      </c>
      <c r="F720" t="inlineStr">
        <is>
          <t>Holmen skog AB</t>
        </is>
      </c>
      <c r="G720" t="n">
        <v>8</v>
      </c>
      <c r="H720" t="n">
        <v>0</v>
      </c>
      <c r="I720" t="n">
        <v>0</v>
      </c>
      <c r="J720" t="n">
        <v>0</v>
      </c>
      <c r="K720" t="n">
        <v>0</v>
      </c>
      <c r="L720" t="n">
        <v>0</v>
      </c>
      <c r="M720" t="n">
        <v>0</v>
      </c>
      <c r="N720" t="n">
        <v>0</v>
      </c>
      <c r="O720" t="n">
        <v>0</v>
      </c>
      <c r="P720" t="n">
        <v>0</v>
      </c>
      <c r="Q720" t="n">
        <v>0</v>
      </c>
      <c r="R720" s="2" t="inlineStr"/>
    </row>
    <row r="721" ht="15" customHeight="1">
      <c r="A721" t="inlineStr">
        <is>
          <t>A 36921-2023</t>
        </is>
      </c>
      <c r="B721" s="1" t="n">
        <v>45154</v>
      </c>
      <c r="C721" s="1" t="n">
        <v>45904</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11545-2022</t>
        </is>
      </c>
      <c r="B722" s="1" t="n">
        <v>44631.42353009259</v>
      </c>
      <c r="C722" s="1" t="n">
        <v>45904</v>
      </c>
      <c r="D722" t="inlineStr">
        <is>
          <t>JÄMTLANDS LÄN</t>
        </is>
      </c>
      <c r="E722" t="inlineStr">
        <is>
          <t>HÄRJEDALEN</t>
        </is>
      </c>
      <c r="F722" t="inlineStr">
        <is>
          <t>Holmen skog AB</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31921-2025</t>
        </is>
      </c>
      <c r="B723" s="1" t="n">
        <v>45834.80229166667</v>
      </c>
      <c r="C723" s="1" t="n">
        <v>45904</v>
      </c>
      <c r="D723" t="inlineStr">
        <is>
          <t>JÄMTLANDS LÄN</t>
        </is>
      </c>
      <c r="E723" t="inlineStr">
        <is>
          <t>HÄRJEDALEN</t>
        </is>
      </c>
      <c r="G723" t="n">
        <v>2.9</v>
      </c>
      <c r="H723" t="n">
        <v>0</v>
      </c>
      <c r="I723" t="n">
        <v>0</v>
      </c>
      <c r="J723" t="n">
        <v>0</v>
      </c>
      <c r="K723" t="n">
        <v>0</v>
      </c>
      <c r="L723" t="n">
        <v>0</v>
      </c>
      <c r="M723" t="n">
        <v>0</v>
      </c>
      <c r="N723" t="n">
        <v>0</v>
      </c>
      <c r="O723" t="n">
        <v>0</v>
      </c>
      <c r="P723" t="n">
        <v>0</v>
      </c>
      <c r="Q723" t="n">
        <v>0</v>
      </c>
      <c r="R723" s="2" t="inlineStr"/>
    </row>
    <row r="724" ht="15" customHeight="1">
      <c r="A724" t="inlineStr">
        <is>
          <t>A 32180-2025</t>
        </is>
      </c>
      <c r="B724" s="1" t="n">
        <v>45835.55998842593</v>
      </c>
      <c r="C724" s="1" t="n">
        <v>45904</v>
      </c>
      <c r="D724" t="inlineStr">
        <is>
          <t>JÄMTLANDS LÄN</t>
        </is>
      </c>
      <c r="E724" t="inlineStr">
        <is>
          <t>HÄRJEDALEN</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28627-2024</t>
        </is>
      </c>
      <c r="B725" s="1" t="n">
        <v>45478.44497685185</v>
      </c>
      <c r="C725" s="1" t="n">
        <v>45904</v>
      </c>
      <c r="D725" t="inlineStr">
        <is>
          <t>JÄMTLANDS LÄN</t>
        </is>
      </c>
      <c r="E725" t="inlineStr">
        <is>
          <t>HÄRJEDALEN</t>
        </is>
      </c>
      <c r="F725" t="inlineStr">
        <is>
          <t>Bergvik skog väst AB</t>
        </is>
      </c>
      <c r="G725" t="n">
        <v>0.2</v>
      </c>
      <c r="H725" t="n">
        <v>0</v>
      </c>
      <c r="I725" t="n">
        <v>0</v>
      </c>
      <c r="J725" t="n">
        <v>0</v>
      </c>
      <c r="K725" t="n">
        <v>0</v>
      </c>
      <c r="L725" t="n">
        <v>0</v>
      </c>
      <c r="M725" t="n">
        <v>0</v>
      </c>
      <c r="N725" t="n">
        <v>0</v>
      </c>
      <c r="O725" t="n">
        <v>0</v>
      </c>
      <c r="P725" t="n">
        <v>0</v>
      </c>
      <c r="Q725" t="n">
        <v>0</v>
      </c>
      <c r="R725" s="2" t="inlineStr"/>
    </row>
    <row r="726" ht="15" customHeight="1">
      <c r="A726" t="inlineStr">
        <is>
          <t>A 28930-2024</t>
        </is>
      </c>
      <c r="B726" s="1" t="n">
        <v>45481.3330787037</v>
      </c>
      <c r="C726" s="1" t="n">
        <v>45904</v>
      </c>
      <c r="D726" t="inlineStr">
        <is>
          <t>JÄMTLANDS LÄN</t>
        </is>
      </c>
      <c r="E726" t="inlineStr">
        <is>
          <t>HÄRJEDALEN</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32190-2025</t>
        </is>
      </c>
      <c r="B727" s="1" t="n">
        <v>45835.57069444445</v>
      </c>
      <c r="C727" s="1" t="n">
        <v>45904</v>
      </c>
      <c r="D727" t="inlineStr">
        <is>
          <t>JÄMTLANDS LÄN</t>
        </is>
      </c>
      <c r="E727" t="inlineStr">
        <is>
          <t>HÄRJEDALEN</t>
        </is>
      </c>
      <c r="G727" t="n">
        <v>6.4</v>
      </c>
      <c r="H727" t="n">
        <v>0</v>
      </c>
      <c r="I727" t="n">
        <v>0</v>
      </c>
      <c r="J727" t="n">
        <v>0</v>
      </c>
      <c r="K727" t="n">
        <v>0</v>
      </c>
      <c r="L727" t="n">
        <v>0</v>
      </c>
      <c r="M727" t="n">
        <v>0</v>
      </c>
      <c r="N727" t="n">
        <v>0</v>
      </c>
      <c r="O727" t="n">
        <v>0</v>
      </c>
      <c r="P727" t="n">
        <v>0</v>
      </c>
      <c r="Q727" t="n">
        <v>0</v>
      </c>
      <c r="R727" s="2" t="inlineStr"/>
    </row>
    <row r="728" ht="15" customHeight="1">
      <c r="A728" t="inlineStr">
        <is>
          <t>A 31911-2025</t>
        </is>
      </c>
      <c r="B728" s="1" t="n">
        <v>45834</v>
      </c>
      <c r="C728" s="1" t="n">
        <v>45904</v>
      </c>
      <c r="D728" t="inlineStr">
        <is>
          <t>JÄMTLANDS LÄN</t>
        </is>
      </c>
      <c r="E728" t="inlineStr">
        <is>
          <t>HÄRJEDALEN</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31913-2025</t>
        </is>
      </c>
      <c r="B729" s="1" t="n">
        <v>45834.7087962963</v>
      </c>
      <c r="C729" s="1" t="n">
        <v>45904</v>
      </c>
      <c r="D729" t="inlineStr">
        <is>
          <t>JÄMTLANDS LÄN</t>
        </is>
      </c>
      <c r="E729" t="inlineStr">
        <is>
          <t>HÄRJEDALEN</t>
        </is>
      </c>
      <c r="G729" t="n">
        <v>0.3</v>
      </c>
      <c r="H729" t="n">
        <v>0</v>
      </c>
      <c r="I729" t="n">
        <v>0</v>
      </c>
      <c r="J729" t="n">
        <v>0</v>
      </c>
      <c r="K729" t="n">
        <v>0</v>
      </c>
      <c r="L729" t="n">
        <v>0</v>
      </c>
      <c r="M729" t="n">
        <v>0</v>
      </c>
      <c r="N729" t="n">
        <v>0</v>
      </c>
      <c r="O729" t="n">
        <v>0</v>
      </c>
      <c r="P729" t="n">
        <v>0</v>
      </c>
      <c r="Q729" t="n">
        <v>0</v>
      </c>
      <c r="R729" s="2" t="inlineStr"/>
    </row>
    <row r="730" ht="15" customHeight="1">
      <c r="A730" t="inlineStr">
        <is>
          <t>A 31853-2025</t>
        </is>
      </c>
      <c r="B730" s="1" t="n">
        <v>45834</v>
      </c>
      <c r="C730" s="1" t="n">
        <v>45904</v>
      </c>
      <c r="D730" t="inlineStr">
        <is>
          <t>JÄMTLANDS LÄN</t>
        </is>
      </c>
      <c r="E730" t="inlineStr">
        <is>
          <t>HÄRJEDALEN</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50544-2024</t>
        </is>
      </c>
      <c r="B731" s="1" t="n">
        <v>45601.58355324074</v>
      </c>
      <c r="C731" s="1" t="n">
        <v>45904</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31680-2025</t>
        </is>
      </c>
      <c r="B732" s="1" t="n">
        <v>45834.38173611111</v>
      </c>
      <c r="C732" s="1" t="n">
        <v>45904</v>
      </c>
      <c r="D732" t="inlineStr">
        <is>
          <t>JÄMTLANDS LÄN</t>
        </is>
      </c>
      <c r="E732" t="inlineStr">
        <is>
          <t>HÄRJEDALEN</t>
        </is>
      </c>
      <c r="G732" t="n">
        <v>4</v>
      </c>
      <c r="H732" t="n">
        <v>0</v>
      </c>
      <c r="I732" t="n">
        <v>0</v>
      </c>
      <c r="J732" t="n">
        <v>0</v>
      </c>
      <c r="K732" t="n">
        <v>0</v>
      </c>
      <c r="L732" t="n">
        <v>0</v>
      </c>
      <c r="M732" t="n">
        <v>0</v>
      </c>
      <c r="N732" t="n">
        <v>0</v>
      </c>
      <c r="O732" t="n">
        <v>0</v>
      </c>
      <c r="P732" t="n">
        <v>0</v>
      </c>
      <c r="Q732" t="n">
        <v>0</v>
      </c>
      <c r="R732" s="2" t="inlineStr"/>
    </row>
    <row r="733" ht="15" customHeight="1">
      <c r="A733" t="inlineStr">
        <is>
          <t>A 4862-2025</t>
        </is>
      </c>
      <c r="B733" s="1" t="n">
        <v>45688.6749537037</v>
      </c>
      <c r="C733" s="1" t="n">
        <v>45904</v>
      </c>
      <c r="D733" t="inlineStr">
        <is>
          <t>JÄMTLANDS LÄN</t>
        </is>
      </c>
      <c r="E733" t="inlineStr">
        <is>
          <t>HÄRJEDALEN</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47738-2022</t>
        </is>
      </c>
      <c r="B734" s="1" t="n">
        <v>44854</v>
      </c>
      <c r="C734" s="1" t="n">
        <v>45904</v>
      </c>
      <c r="D734" t="inlineStr">
        <is>
          <t>JÄMTLANDS LÄN</t>
        </is>
      </c>
      <c r="E734" t="inlineStr">
        <is>
          <t>HÄRJEDALEN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52794-2024</t>
        </is>
      </c>
      <c r="B735" s="1" t="n">
        <v>45610.55846064815</v>
      </c>
      <c r="C735" s="1" t="n">
        <v>45904</v>
      </c>
      <c r="D735" t="inlineStr">
        <is>
          <t>JÄMTLANDS LÄN</t>
        </is>
      </c>
      <c r="E735" t="inlineStr">
        <is>
          <t>HÄRJEDALEN</t>
        </is>
      </c>
      <c r="F735" t="inlineStr">
        <is>
          <t>Holmen skog AB</t>
        </is>
      </c>
      <c r="G735" t="n">
        <v>5.9</v>
      </c>
      <c r="H735" t="n">
        <v>0</v>
      </c>
      <c r="I735" t="n">
        <v>0</v>
      </c>
      <c r="J735" t="n">
        <v>0</v>
      </c>
      <c r="K735" t="n">
        <v>0</v>
      </c>
      <c r="L735" t="n">
        <v>0</v>
      </c>
      <c r="M735" t="n">
        <v>0</v>
      </c>
      <c r="N735" t="n">
        <v>0</v>
      </c>
      <c r="O735" t="n">
        <v>0</v>
      </c>
      <c r="P735" t="n">
        <v>0</v>
      </c>
      <c r="Q735" t="n">
        <v>0</v>
      </c>
      <c r="R735" s="2" t="inlineStr"/>
    </row>
    <row r="736" ht="15" customHeight="1">
      <c r="A736" t="inlineStr">
        <is>
          <t>A 31910-2025</t>
        </is>
      </c>
      <c r="B736" s="1" t="n">
        <v>45834.69577546296</v>
      </c>
      <c r="C736" s="1" t="n">
        <v>45904</v>
      </c>
      <c r="D736" t="inlineStr">
        <is>
          <t>JÄMTLANDS LÄN</t>
        </is>
      </c>
      <c r="E736" t="inlineStr">
        <is>
          <t>HÄRJEDALEN</t>
        </is>
      </c>
      <c r="G736" t="n">
        <v>0.4</v>
      </c>
      <c r="H736" t="n">
        <v>0</v>
      </c>
      <c r="I736" t="n">
        <v>0</v>
      </c>
      <c r="J736" t="n">
        <v>0</v>
      </c>
      <c r="K736" t="n">
        <v>0</v>
      </c>
      <c r="L736" t="n">
        <v>0</v>
      </c>
      <c r="M736" t="n">
        <v>0</v>
      </c>
      <c r="N736" t="n">
        <v>0</v>
      </c>
      <c r="O736" t="n">
        <v>0</v>
      </c>
      <c r="P736" t="n">
        <v>0</v>
      </c>
      <c r="Q736" t="n">
        <v>0</v>
      </c>
      <c r="R736" s="2" t="inlineStr"/>
    </row>
    <row r="737" ht="15" customHeight="1">
      <c r="A737" t="inlineStr">
        <is>
          <t>A 30744-2024</t>
        </is>
      </c>
      <c r="B737" s="1" t="n">
        <v>45496.67342592592</v>
      </c>
      <c r="C737" s="1" t="n">
        <v>45904</v>
      </c>
      <c r="D737" t="inlineStr">
        <is>
          <t>JÄMTLANDS LÄN</t>
        </is>
      </c>
      <c r="E737" t="inlineStr">
        <is>
          <t>HÄRJEDALEN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30742-2024</t>
        </is>
      </c>
      <c r="B738" s="1" t="n">
        <v>45496.66903935185</v>
      </c>
      <c r="C738" s="1" t="n">
        <v>45904</v>
      </c>
      <c r="D738" t="inlineStr">
        <is>
          <t>JÄMTLANDS LÄN</t>
        </is>
      </c>
      <c r="E738" t="inlineStr">
        <is>
          <t>HÄRJEDALEN</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31747-2024</t>
        </is>
      </c>
      <c r="B739" s="1" t="n">
        <v>45509</v>
      </c>
      <c r="C739" s="1" t="n">
        <v>45904</v>
      </c>
      <c r="D739" t="inlineStr">
        <is>
          <t>JÄMTLANDS LÄN</t>
        </is>
      </c>
      <c r="E739" t="inlineStr">
        <is>
          <t>HÄRJEDALEN</t>
        </is>
      </c>
      <c r="F739" t="inlineStr">
        <is>
          <t>Övriga statliga verk och myndigheter</t>
        </is>
      </c>
      <c r="G739" t="n">
        <v>0.8</v>
      </c>
      <c r="H739" t="n">
        <v>0</v>
      </c>
      <c r="I739" t="n">
        <v>0</v>
      </c>
      <c r="J739" t="n">
        <v>0</v>
      </c>
      <c r="K739" t="n">
        <v>0</v>
      </c>
      <c r="L739" t="n">
        <v>0</v>
      </c>
      <c r="M739" t="n">
        <v>0</v>
      </c>
      <c r="N739" t="n">
        <v>0</v>
      </c>
      <c r="O739" t="n">
        <v>0</v>
      </c>
      <c r="P739" t="n">
        <v>0</v>
      </c>
      <c r="Q739" t="n">
        <v>0</v>
      </c>
      <c r="R739" s="2" t="inlineStr"/>
    </row>
    <row r="740" ht="15" customHeight="1">
      <c r="A740" t="inlineStr">
        <is>
          <t>A 31759-2024</t>
        </is>
      </c>
      <c r="B740" s="1" t="n">
        <v>45509</v>
      </c>
      <c r="C740" s="1" t="n">
        <v>45904</v>
      </c>
      <c r="D740" t="inlineStr">
        <is>
          <t>JÄMTLANDS LÄN</t>
        </is>
      </c>
      <c r="E740" t="inlineStr">
        <is>
          <t>HÄRJEDALEN</t>
        </is>
      </c>
      <c r="F740" t="inlineStr">
        <is>
          <t>Övriga statliga verk och myndigheter</t>
        </is>
      </c>
      <c r="G740" t="n">
        <v>1.2</v>
      </c>
      <c r="H740" t="n">
        <v>0</v>
      </c>
      <c r="I740" t="n">
        <v>0</v>
      </c>
      <c r="J740" t="n">
        <v>0</v>
      </c>
      <c r="K740" t="n">
        <v>0</v>
      </c>
      <c r="L740" t="n">
        <v>0</v>
      </c>
      <c r="M740" t="n">
        <v>0</v>
      </c>
      <c r="N740" t="n">
        <v>0</v>
      </c>
      <c r="O740" t="n">
        <v>0</v>
      </c>
      <c r="P740" t="n">
        <v>0</v>
      </c>
      <c r="Q740" t="n">
        <v>0</v>
      </c>
      <c r="R740" s="2" t="inlineStr"/>
    </row>
    <row r="741" ht="15" customHeight="1">
      <c r="A741" t="inlineStr">
        <is>
          <t>A 32178-2025</t>
        </is>
      </c>
      <c r="B741" s="1" t="n">
        <v>45835.5583912037</v>
      </c>
      <c r="C741" s="1" t="n">
        <v>45904</v>
      </c>
      <c r="D741" t="inlineStr">
        <is>
          <t>JÄMTLANDS LÄN</t>
        </is>
      </c>
      <c r="E741" t="inlineStr">
        <is>
          <t>HÄRJEDALEN</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31884-2025</t>
        </is>
      </c>
      <c r="B742" s="1" t="n">
        <v>45834.6568287037</v>
      </c>
      <c r="C742" s="1" t="n">
        <v>45904</v>
      </c>
      <c r="D742" t="inlineStr">
        <is>
          <t>JÄMTLANDS LÄN</t>
        </is>
      </c>
      <c r="E742" t="inlineStr">
        <is>
          <t>HÄRJEDALEN</t>
        </is>
      </c>
      <c r="G742" t="n">
        <v>7.9</v>
      </c>
      <c r="H742" t="n">
        <v>0</v>
      </c>
      <c r="I742" t="n">
        <v>0</v>
      </c>
      <c r="J742" t="n">
        <v>0</v>
      </c>
      <c r="K742" t="n">
        <v>0</v>
      </c>
      <c r="L742" t="n">
        <v>0</v>
      </c>
      <c r="M742" t="n">
        <v>0</v>
      </c>
      <c r="N742" t="n">
        <v>0</v>
      </c>
      <c r="O742" t="n">
        <v>0</v>
      </c>
      <c r="P742" t="n">
        <v>0</v>
      </c>
      <c r="Q742" t="n">
        <v>0</v>
      </c>
      <c r="R742" s="2" t="inlineStr"/>
    </row>
    <row r="743" ht="15" customHeight="1">
      <c r="A743" t="inlineStr">
        <is>
          <t>A 31892-2025</t>
        </is>
      </c>
      <c r="B743" s="1" t="n">
        <v>45834</v>
      </c>
      <c r="C743" s="1" t="n">
        <v>45904</v>
      </c>
      <c r="D743" t="inlineStr">
        <is>
          <t>JÄMTLANDS LÄN</t>
        </is>
      </c>
      <c r="E743" t="inlineStr">
        <is>
          <t>HÄRJEDALEN</t>
        </is>
      </c>
      <c r="G743" t="n">
        <v>13.7</v>
      </c>
      <c r="H743" t="n">
        <v>0</v>
      </c>
      <c r="I743" t="n">
        <v>0</v>
      </c>
      <c r="J743" t="n">
        <v>0</v>
      </c>
      <c r="K743" t="n">
        <v>0</v>
      </c>
      <c r="L743" t="n">
        <v>0</v>
      </c>
      <c r="M743" t="n">
        <v>0</v>
      </c>
      <c r="N743" t="n">
        <v>0</v>
      </c>
      <c r="O743" t="n">
        <v>0</v>
      </c>
      <c r="P743" t="n">
        <v>0</v>
      </c>
      <c r="Q743" t="n">
        <v>0</v>
      </c>
      <c r="R743" s="2" t="inlineStr"/>
    </row>
    <row r="744" ht="15" customHeight="1">
      <c r="A744" t="inlineStr">
        <is>
          <t>A 37281-2025</t>
        </is>
      </c>
      <c r="B744" s="1" t="n">
        <v>45876.49113425926</v>
      </c>
      <c r="C744" s="1" t="n">
        <v>45904</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37244-2025</t>
        </is>
      </c>
      <c r="B745" s="1" t="n">
        <v>45876.39362268519</v>
      </c>
      <c r="C745" s="1" t="n">
        <v>45904</v>
      </c>
      <c r="D745" t="inlineStr">
        <is>
          <t>JÄMTLANDS LÄN</t>
        </is>
      </c>
      <c r="E745" t="inlineStr">
        <is>
          <t>HÄRJEDALEN</t>
        </is>
      </c>
      <c r="F745" t="inlineStr">
        <is>
          <t>Bergvik skog väst AB</t>
        </is>
      </c>
      <c r="G745" t="n">
        <v>14.4</v>
      </c>
      <c r="H745" t="n">
        <v>0</v>
      </c>
      <c r="I745" t="n">
        <v>0</v>
      </c>
      <c r="J745" t="n">
        <v>0</v>
      </c>
      <c r="K745" t="n">
        <v>0</v>
      </c>
      <c r="L745" t="n">
        <v>0</v>
      </c>
      <c r="M745" t="n">
        <v>0</v>
      </c>
      <c r="N745" t="n">
        <v>0</v>
      </c>
      <c r="O745" t="n">
        <v>0</v>
      </c>
      <c r="P745" t="n">
        <v>0</v>
      </c>
      <c r="Q745" t="n">
        <v>0</v>
      </c>
      <c r="R745" s="2" t="inlineStr"/>
    </row>
    <row r="746" ht="15" customHeight="1">
      <c r="A746" t="inlineStr">
        <is>
          <t>A 31772-2025</t>
        </is>
      </c>
      <c r="B746" s="1" t="n">
        <v>45834.51079861111</v>
      </c>
      <c r="C746" s="1" t="n">
        <v>45904</v>
      </c>
      <c r="D746" t="inlineStr">
        <is>
          <t>JÄMTLANDS LÄN</t>
        </is>
      </c>
      <c r="E746" t="inlineStr">
        <is>
          <t>HÄRJEDALEN</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18893-2025</t>
        </is>
      </c>
      <c r="B747" s="1" t="n">
        <v>45764.44825231482</v>
      </c>
      <c r="C747" s="1" t="n">
        <v>45904</v>
      </c>
      <c r="D747" t="inlineStr">
        <is>
          <t>JÄMTLANDS LÄN</t>
        </is>
      </c>
      <c r="E747" t="inlineStr">
        <is>
          <t>HÄRJEDALEN</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18896-2025</t>
        </is>
      </c>
      <c r="B748" s="1" t="n">
        <v>45764.44861111111</v>
      </c>
      <c r="C748" s="1" t="n">
        <v>45904</v>
      </c>
      <c r="D748" t="inlineStr">
        <is>
          <t>JÄMTLANDS LÄN</t>
        </is>
      </c>
      <c r="E748" t="inlineStr">
        <is>
          <t>HÄRJEDALEN</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31915-2025</t>
        </is>
      </c>
      <c r="B749" s="1" t="n">
        <v>45834.71440972222</v>
      </c>
      <c r="C749" s="1" t="n">
        <v>45904</v>
      </c>
      <c r="D749" t="inlineStr">
        <is>
          <t>JÄMTLANDS LÄN</t>
        </is>
      </c>
      <c r="E749" t="inlineStr">
        <is>
          <t>HÄRJEDALEN</t>
        </is>
      </c>
      <c r="G749" t="n">
        <v>3.4</v>
      </c>
      <c r="H749" t="n">
        <v>0</v>
      </c>
      <c r="I749" t="n">
        <v>0</v>
      </c>
      <c r="J749" t="n">
        <v>0</v>
      </c>
      <c r="K749" t="n">
        <v>0</v>
      </c>
      <c r="L749" t="n">
        <v>0</v>
      </c>
      <c r="M749" t="n">
        <v>0</v>
      </c>
      <c r="N749" t="n">
        <v>0</v>
      </c>
      <c r="O749" t="n">
        <v>0</v>
      </c>
      <c r="P749" t="n">
        <v>0</v>
      </c>
      <c r="Q749" t="n">
        <v>0</v>
      </c>
      <c r="R749" s="2" t="inlineStr"/>
    </row>
    <row r="750" ht="15" customHeight="1">
      <c r="A750" t="inlineStr">
        <is>
          <t>A 37808-2025</t>
        </is>
      </c>
      <c r="B750" s="1" t="n">
        <v>45881.36469907407</v>
      </c>
      <c r="C750" s="1" t="n">
        <v>45904</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47450-2022</t>
        </is>
      </c>
      <c r="B751" s="1" t="n">
        <v>44853</v>
      </c>
      <c r="C751" s="1" t="n">
        <v>45904</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73051-2021</t>
        </is>
      </c>
      <c r="B752" s="1" t="n">
        <v>44550.39550925926</v>
      </c>
      <c r="C752" s="1" t="n">
        <v>45904</v>
      </c>
      <c r="D752" t="inlineStr">
        <is>
          <t>JÄMTLANDS LÄN</t>
        </is>
      </c>
      <c r="E752" t="inlineStr">
        <is>
          <t>HÄRJEDALEN</t>
        </is>
      </c>
      <c r="G752" t="n">
        <v>3.7</v>
      </c>
      <c r="H752" t="n">
        <v>0</v>
      </c>
      <c r="I752" t="n">
        <v>0</v>
      </c>
      <c r="J752" t="n">
        <v>0</v>
      </c>
      <c r="K752" t="n">
        <v>0</v>
      </c>
      <c r="L752" t="n">
        <v>0</v>
      </c>
      <c r="M752" t="n">
        <v>0</v>
      </c>
      <c r="N752" t="n">
        <v>0</v>
      </c>
      <c r="O752" t="n">
        <v>0</v>
      </c>
      <c r="P752" t="n">
        <v>0</v>
      </c>
      <c r="Q752" t="n">
        <v>0</v>
      </c>
      <c r="R752" s="2" t="inlineStr"/>
    </row>
    <row r="753" ht="15" customHeight="1">
      <c r="A753" t="inlineStr">
        <is>
          <t>A 61751-2023</t>
        </is>
      </c>
      <c r="B753" s="1" t="n">
        <v>45265</v>
      </c>
      <c r="C753" s="1" t="n">
        <v>45904</v>
      </c>
      <c r="D753" t="inlineStr">
        <is>
          <t>JÄMTLANDS LÄN</t>
        </is>
      </c>
      <c r="E753" t="inlineStr">
        <is>
          <t>HÄRJEDALEN</t>
        </is>
      </c>
      <c r="G753" t="n">
        <v>11.3</v>
      </c>
      <c r="H753" t="n">
        <v>0</v>
      </c>
      <c r="I753" t="n">
        <v>0</v>
      </c>
      <c r="J753" t="n">
        <v>0</v>
      </c>
      <c r="K753" t="n">
        <v>0</v>
      </c>
      <c r="L753" t="n">
        <v>0</v>
      </c>
      <c r="M753" t="n">
        <v>0</v>
      </c>
      <c r="N753" t="n">
        <v>0</v>
      </c>
      <c r="O753" t="n">
        <v>0</v>
      </c>
      <c r="P753" t="n">
        <v>0</v>
      </c>
      <c r="Q753" t="n">
        <v>0</v>
      </c>
      <c r="R753" s="2" t="inlineStr"/>
    </row>
    <row r="754" ht="15" customHeight="1">
      <c r="A754" t="inlineStr">
        <is>
          <t>A 37963-2025</t>
        </is>
      </c>
      <c r="B754" s="1" t="n">
        <v>45881.6609375</v>
      </c>
      <c r="C754" s="1" t="n">
        <v>45904</v>
      </c>
      <c r="D754" t="inlineStr">
        <is>
          <t>JÄMTLANDS LÄN</t>
        </is>
      </c>
      <c r="E754" t="inlineStr">
        <is>
          <t>HÄRJEDALEN</t>
        </is>
      </c>
      <c r="G754" t="n">
        <v>15.6</v>
      </c>
      <c r="H754" t="n">
        <v>0</v>
      </c>
      <c r="I754" t="n">
        <v>0</v>
      </c>
      <c r="J754" t="n">
        <v>0</v>
      </c>
      <c r="K754" t="n">
        <v>0</v>
      </c>
      <c r="L754" t="n">
        <v>0</v>
      </c>
      <c r="M754" t="n">
        <v>0</v>
      </c>
      <c r="N754" t="n">
        <v>0</v>
      </c>
      <c r="O754" t="n">
        <v>0</v>
      </c>
      <c r="P754" t="n">
        <v>0</v>
      </c>
      <c r="Q754" t="n">
        <v>0</v>
      </c>
      <c r="R754" s="2" t="inlineStr"/>
    </row>
    <row r="755" ht="15" customHeight="1">
      <c r="A755" t="inlineStr">
        <is>
          <t>A 62699-2022</t>
        </is>
      </c>
      <c r="B755" s="1" t="n">
        <v>44925.59333333333</v>
      </c>
      <c r="C755" s="1" t="n">
        <v>45904</v>
      </c>
      <c r="D755" t="inlineStr">
        <is>
          <t>JÄMTLANDS LÄN</t>
        </is>
      </c>
      <c r="E755" t="inlineStr">
        <is>
          <t>HÄRJEDALEN</t>
        </is>
      </c>
      <c r="F755" t="inlineStr">
        <is>
          <t>Holmen skog AB</t>
        </is>
      </c>
      <c r="G755" t="n">
        <v>5</v>
      </c>
      <c r="H755" t="n">
        <v>0</v>
      </c>
      <c r="I755" t="n">
        <v>0</v>
      </c>
      <c r="J755" t="n">
        <v>0</v>
      </c>
      <c r="K755" t="n">
        <v>0</v>
      </c>
      <c r="L755" t="n">
        <v>0</v>
      </c>
      <c r="M755" t="n">
        <v>0</v>
      </c>
      <c r="N755" t="n">
        <v>0</v>
      </c>
      <c r="O755" t="n">
        <v>0</v>
      </c>
      <c r="P755" t="n">
        <v>0</v>
      </c>
      <c r="Q755" t="n">
        <v>0</v>
      </c>
      <c r="R755" s="2" t="inlineStr"/>
    </row>
    <row r="756" ht="15" customHeight="1">
      <c r="A756" t="inlineStr">
        <is>
          <t>A 39625-2022</t>
        </is>
      </c>
      <c r="B756" s="1" t="n">
        <v>44818</v>
      </c>
      <c r="C756" s="1" t="n">
        <v>45904</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4694-2023</t>
        </is>
      </c>
      <c r="B757" s="1" t="n">
        <v>44957</v>
      </c>
      <c r="C757" s="1" t="n">
        <v>45904</v>
      </c>
      <c r="D757" t="inlineStr">
        <is>
          <t>JÄMTLANDS LÄN</t>
        </is>
      </c>
      <c r="E757" t="inlineStr">
        <is>
          <t>HÄRJEDALEN</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42143-2023</t>
        </is>
      </c>
      <c r="B758" s="1" t="n">
        <v>45177.9224537037</v>
      </c>
      <c r="C758" s="1" t="n">
        <v>45904</v>
      </c>
      <c r="D758" t="inlineStr">
        <is>
          <t>JÄMTLANDS LÄN</t>
        </is>
      </c>
      <c r="E758" t="inlineStr">
        <is>
          <t>HÄRJEDALEN</t>
        </is>
      </c>
      <c r="G758" t="n">
        <v>2</v>
      </c>
      <c r="H758" t="n">
        <v>0</v>
      </c>
      <c r="I758" t="n">
        <v>0</v>
      </c>
      <c r="J758" t="n">
        <v>0</v>
      </c>
      <c r="K758" t="n">
        <v>0</v>
      </c>
      <c r="L758" t="n">
        <v>0</v>
      </c>
      <c r="M758" t="n">
        <v>0</v>
      </c>
      <c r="N758" t="n">
        <v>0</v>
      </c>
      <c r="O758" t="n">
        <v>0</v>
      </c>
      <c r="P758" t="n">
        <v>0</v>
      </c>
      <c r="Q758" t="n">
        <v>0</v>
      </c>
      <c r="R758" s="2" t="inlineStr"/>
    </row>
    <row r="759" ht="15" customHeight="1">
      <c r="A759" t="inlineStr">
        <is>
          <t>A 41101-2024</t>
        </is>
      </c>
      <c r="B759" s="1" t="n">
        <v>45559.43645833333</v>
      </c>
      <c r="C759" s="1" t="n">
        <v>45904</v>
      </c>
      <c r="D759" t="inlineStr">
        <is>
          <t>JÄMTLANDS LÄN</t>
        </is>
      </c>
      <c r="E759" t="inlineStr">
        <is>
          <t>HÄRJEDALEN</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9775-2024</t>
        </is>
      </c>
      <c r="B760" s="1" t="n">
        <v>45362.64613425926</v>
      </c>
      <c r="C760" s="1" t="n">
        <v>45904</v>
      </c>
      <c r="D760" t="inlineStr">
        <is>
          <t>JÄMTLANDS LÄN</t>
        </is>
      </c>
      <c r="E760" t="inlineStr">
        <is>
          <t>HÄRJEDALEN</t>
        </is>
      </c>
      <c r="G760" t="n">
        <v>0.2</v>
      </c>
      <c r="H760" t="n">
        <v>0</v>
      </c>
      <c r="I760" t="n">
        <v>0</v>
      </c>
      <c r="J760" t="n">
        <v>0</v>
      </c>
      <c r="K760" t="n">
        <v>0</v>
      </c>
      <c r="L760" t="n">
        <v>0</v>
      </c>
      <c r="M760" t="n">
        <v>0</v>
      </c>
      <c r="N760" t="n">
        <v>0</v>
      </c>
      <c r="O760" t="n">
        <v>0</v>
      </c>
      <c r="P760" t="n">
        <v>0</v>
      </c>
      <c r="Q760" t="n">
        <v>0</v>
      </c>
      <c r="R760" s="2" t="inlineStr"/>
    </row>
    <row r="761" ht="15" customHeight="1">
      <c r="A761" t="inlineStr">
        <is>
          <t>A 9778-2024</t>
        </is>
      </c>
      <c r="B761" s="1" t="n">
        <v>45362.65407407407</v>
      </c>
      <c r="C761" s="1" t="n">
        <v>45904</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32841-2025</t>
        </is>
      </c>
      <c r="B762" s="1" t="n">
        <v>45839.5658912037</v>
      </c>
      <c r="C762" s="1" t="n">
        <v>45904</v>
      </c>
      <c r="D762" t="inlineStr">
        <is>
          <t>JÄMTLANDS LÄN</t>
        </is>
      </c>
      <c r="E762" t="inlineStr">
        <is>
          <t>HÄRJEDALEN</t>
        </is>
      </c>
      <c r="G762" t="n">
        <v>0.7</v>
      </c>
      <c r="H762" t="n">
        <v>0</v>
      </c>
      <c r="I762" t="n">
        <v>0</v>
      </c>
      <c r="J762" t="n">
        <v>0</v>
      </c>
      <c r="K762" t="n">
        <v>0</v>
      </c>
      <c r="L762" t="n">
        <v>0</v>
      </c>
      <c r="M762" t="n">
        <v>0</v>
      </c>
      <c r="N762" t="n">
        <v>0</v>
      </c>
      <c r="O762" t="n">
        <v>0</v>
      </c>
      <c r="P762" t="n">
        <v>0</v>
      </c>
      <c r="Q762" t="n">
        <v>0</v>
      </c>
      <c r="R762" s="2" t="inlineStr"/>
    </row>
    <row r="763" ht="15" customHeight="1">
      <c r="A763" t="inlineStr">
        <is>
          <t>A 29343-2024</t>
        </is>
      </c>
      <c r="B763" s="1" t="n">
        <v>45483.47207175926</v>
      </c>
      <c r="C763" s="1" t="n">
        <v>45904</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37865-2025</t>
        </is>
      </c>
      <c r="B764" s="1" t="n">
        <v>45881.46869212963</v>
      </c>
      <c r="C764" s="1" t="n">
        <v>45904</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37839-2025</t>
        </is>
      </c>
      <c r="B765" s="1" t="n">
        <v>45881.43114583333</v>
      </c>
      <c r="C765" s="1" t="n">
        <v>45904</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12929-2024</t>
        </is>
      </c>
      <c r="B766" s="1" t="n">
        <v>45385</v>
      </c>
      <c r="C766" s="1" t="n">
        <v>45904</v>
      </c>
      <c r="D766" t="inlineStr">
        <is>
          <t>JÄMTLANDS LÄN</t>
        </is>
      </c>
      <c r="E766" t="inlineStr">
        <is>
          <t>HÄRJEDALEN</t>
        </is>
      </c>
      <c r="G766" t="n">
        <v>4.2</v>
      </c>
      <c r="H766" t="n">
        <v>0</v>
      </c>
      <c r="I766" t="n">
        <v>0</v>
      </c>
      <c r="J766" t="n">
        <v>0</v>
      </c>
      <c r="K766" t="n">
        <v>0</v>
      </c>
      <c r="L766" t="n">
        <v>0</v>
      </c>
      <c r="M766" t="n">
        <v>0</v>
      </c>
      <c r="N766" t="n">
        <v>0</v>
      </c>
      <c r="O766" t="n">
        <v>0</v>
      </c>
      <c r="P766" t="n">
        <v>0</v>
      </c>
      <c r="Q766" t="n">
        <v>0</v>
      </c>
      <c r="R766" s="2" t="inlineStr"/>
    </row>
    <row r="767" ht="15" customHeight="1">
      <c r="A767" t="inlineStr">
        <is>
          <t>A 46383-2023</t>
        </is>
      </c>
      <c r="B767" s="1" t="n">
        <v>45197.46966435185</v>
      </c>
      <c r="C767" s="1" t="n">
        <v>45904</v>
      </c>
      <c r="D767" t="inlineStr">
        <is>
          <t>JÄMTLANDS LÄN</t>
        </is>
      </c>
      <c r="E767" t="inlineStr">
        <is>
          <t>HÄRJEDALEN</t>
        </is>
      </c>
      <c r="G767" t="n">
        <v>7.6</v>
      </c>
      <c r="H767" t="n">
        <v>0</v>
      </c>
      <c r="I767" t="n">
        <v>0</v>
      </c>
      <c r="J767" t="n">
        <v>0</v>
      </c>
      <c r="K767" t="n">
        <v>0</v>
      </c>
      <c r="L767" t="n">
        <v>0</v>
      </c>
      <c r="M767" t="n">
        <v>0</v>
      </c>
      <c r="N767" t="n">
        <v>0</v>
      </c>
      <c r="O767" t="n">
        <v>0</v>
      </c>
      <c r="P767" t="n">
        <v>0</v>
      </c>
      <c r="Q767" t="n">
        <v>0</v>
      </c>
      <c r="R767" s="2" t="inlineStr"/>
    </row>
    <row r="768" ht="15" customHeight="1">
      <c r="A768" t="inlineStr">
        <is>
          <t>A 51017-2023</t>
        </is>
      </c>
      <c r="B768" s="1" t="n">
        <v>45218.58609953704</v>
      </c>
      <c r="C768" s="1" t="n">
        <v>45904</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37957-2025</t>
        </is>
      </c>
      <c r="B769" s="1" t="n">
        <v>45881.64365740741</v>
      </c>
      <c r="C769" s="1" t="n">
        <v>45904</v>
      </c>
      <c r="D769" t="inlineStr">
        <is>
          <t>JÄMTLANDS LÄN</t>
        </is>
      </c>
      <c r="E769" t="inlineStr">
        <is>
          <t>HÄRJEDALEN</t>
        </is>
      </c>
      <c r="G769" t="n">
        <v>4.2</v>
      </c>
      <c r="H769" t="n">
        <v>0</v>
      </c>
      <c r="I769" t="n">
        <v>0</v>
      </c>
      <c r="J769" t="n">
        <v>0</v>
      </c>
      <c r="K769" t="n">
        <v>0</v>
      </c>
      <c r="L769" t="n">
        <v>0</v>
      </c>
      <c r="M769" t="n">
        <v>0</v>
      </c>
      <c r="N769" t="n">
        <v>0</v>
      </c>
      <c r="O769" t="n">
        <v>0</v>
      </c>
      <c r="P769" t="n">
        <v>0</v>
      </c>
      <c r="Q769" t="n">
        <v>0</v>
      </c>
      <c r="R769" s="2" t="inlineStr"/>
    </row>
    <row r="770" ht="15" customHeight="1">
      <c r="A770" t="inlineStr">
        <is>
          <t>A 37571-2025</t>
        </is>
      </c>
      <c r="B770" s="1" t="n">
        <v>45880.37472222222</v>
      </c>
      <c r="C770" s="1" t="n">
        <v>45904</v>
      </c>
      <c r="D770" t="inlineStr">
        <is>
          <t>JÄMTLANDS LÄN</t>
        </is>
      </c>
      <c r="E770" t="inlineStr">
        <is>
          <t>HÄRJEDALEN</t>
        </is>
      </c>
      <c r="G770" t="n">
        <v>2.7</v>
      </c>
      <c r="H770" t="n">
        <v>0</v>
      </c>
      <c r="I770" t="n">
        <v>0</v>
      </c>
      <c r="J770" t="n">
        <v>0</v>
      </c>
      <c r="K770" t="n">
        <v>0</v>
      </c>
      <c r="L770" t="n">
        <v>0</v>
      </c>
      <c r="M770" t="n">
        <v>0</v>
      </c>
      <c r="N770" t="n">
        <v>0</v>
      </c>
      <c r="O770" t="n">
        <v>0</v>
      </c>
      <c r="P770" t="n">
        <v>0</v>
      </c>
      <c r="Q770" t="n">
        <v>0</v>
      </c>
      <c r="R770" s="2" t="inlineStr"/>
    </row>
    <row r="771" ht="15" customHeight="1">
      <c r="A771" t="inlineStr">
        <is>
          <t>A 1658-2025</t>
        </is>
      </c>
      <c r="B771" s="1" t="n">
        <v>45670.66085648148</v>
      </c>
      <c r="C771" s="1" t="n">
        <v>45904</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33235-2025</t>
        </is>
      </c>
      <c r="B772" s="1" t="n">
        <v>45840.64394675926</v>
      </c>
      <c r="C772" s="1" t="n">
        <v>45904</v>
      </c>
      <c r="D772" t="inlineStr">
        <is>
          <t>JÄMTLANDS LÄN</t>
        </is>
      </c>
      <c r="E772" t="inlineStr">
        <is>
          <t>HÄRJEDALEN</t>
        </is>
      </c>
      <c r="F772" t="inlineStr">
        <is>
          <t>Bergvik skog väst AB</t>
        </is>
      </c>
      <c r="G772" t="n">
        <v>1.9</v>
      </c>
      <c r="H772" t="n">
        <v>0</v>
      </c>
      <c r="I772" t="n">
        <v>0</v>
      </c>
      <c r="J772" t="n">
        <v>0</v>
      </c>
      <c r="K772" t="n">
        <v>0</v>
      </c>
      <c r="L772" t="n">
        <v>0</v>
      </c>
      <c r="M772" t="n">
        <v>0</v>
      </c>
      <c r="N772" t="n">
        <v>0</v>
      </c>
      <c r="O772" t="n">
        <v>0</v>
      </c>
      <c r="P772" t="n">
        <v>0</v>
      </c>
      <c r="Q772" t="n">
        <v>0</v>
      </c>
      <c r="R772" s="2" t="inlineStr"/>
    </row>
    <row r="773" ht="15" customHeight="1">
      <c r="A773" t="inlineStr">
        <is>
          <t>A 38276-2025</t>
        </is>
      </c>
      <c r="B773" s="1" t="n">
        <v>45883.4108912037</v>
      </c>
      <c r="C773" s="1" t="n">
        <v>45904</v>
      </c>
      <c r="D773" t="inlineStr">
        <is>
          <t>JÄMTLANDS LÄN</t>
        </is>
      </c>
      <c r="E773" t="inlineStr">
        <is>
          <t>HÄRJEDALEN</t>
        </is>
      </c>
      <c r="G773" t="n">
        <v>1.1</v>
      </c>
      <c r="H773" t="n">
        <v>0</v>
      </c>
      <c r="I773" t="n">
        <v>0</v>
      </c>
      <c r="J773" t="n">
        <v>0</v>
      </c>
      <c r="K773" t="n">
        <v>0</v>
      </c>
      <c r="L773" t="n">
        <v>0</v>
      </c>
      <c r="M773" t="n">
        <v>0</v>
      </c>
      <c r="N773" t="n">
        <v>0</v>
      </c>
      <c r="O773" t="n">
        <v>0</v>
      </c>
      <c r="P773" t="n">
        <v>0</v>
      </c>
      <c r="Q773" t="n">
        <v>0</v>
      </c>
      <c r="R773" s="2" t="inlineStr"/>
    </row>
    <row r="774" ht="15" customHeight="1">
      <c r="A774" t="inlineStr">
        <is>
          <t>A 58452-2024</t>
        </is>
      </c>
      <c r="B774" s="1" t="n">
        <v>45635.35274305556</v>
      </c>
      <c r="C774" s="1" t="n">
        <v>45904</v>
      </c>
      <c r="D774" t="inlineStr">
        <is>
          <t>JÄMTLANDS LÄN</t>
        </is>
      </c>
      <c r="E774" t="inlineStr">
        <is>
          <t>HÄRJEDALEN</t>
        </is>
      </c>
      <c r="F774" t="inlineStr">
        <is>
          <t>Bergvik skog väst AB</t>
        </is>
      </c>
      <c r="G774" t="n">
        <v>15.6</v>
      </c>
      <c r="H774" t="n">
        <v>0</v>
      </c>
      <c r="I774" t="n">
        <v>0</v>
      </c>
      <c r="J774" t="n">
        <v>0</v>
      </c>
      <c r="K774" t="n">
        <v>0</v>
      </c>
      <c r="L774" t="n">
        <v>0</v>
      </c>
      <c r="M774" t="n">
        <v>0</v>
      </c>
      <c r="N774" t="n">
        <v>0</v>
      </c>
      <c r="O774" t="n">
        <v>0</v>
      </c>
      <c r="P774" t="n">
        <v>0</v>
      </c>
      <c r="Q774" t="n">
        <v>0</v>
      </c>
      <c r="R774" s="2" t="inlineStr"/>
    </row>
    <row r="775" ht="15" customHeight="1">
      <c r="A775" t="inlineStr">
        <is>
          <t>A 29749-2024</t>
        </is>
      </c>
      <c r="B775" s="1" t="n">
        <v>45485.42287037037</v>
      </c>
      <c r="C775" s="1" t="n">
        <v>45904</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29766-2024</t>
        </is>
      </c>
      <c r="B776" s="1" t="n">
        <v>45485</v>
      </c>
      <c r="C776" s="1" t="n">
        <v>45904</v>
      </c>
      <c r="D776" t="inlineStr">
        <is>
          <t>JÄMTLANDS LÄN</t>
        </is>
      </c>
      <c r="E776" t="inlineStr">
        <is>
          <t>HÄRJEDALEN</t>
        </is>
      </c>
      <c r="G776" t="n">
        <v>2.2</v>
      </c>
      <c r="H776" t="n">
        <v>0</v>
      </c>
      <c r="I776" t="n">
        <v>0</v>
      </c>
      <c r="J776" t="n">
        <v>0</v>
      </c>
      <c r="K776" t="n">
        <v>0</v>
      </c>
      <c r="L776" t="n">
        <v>0</v>
      </c>
      <c r="M776" t="n">
        <v>0</v>
      </c>
      <c r="N776" t="n">
        <v>0</v>
      </c>
      <c r="O776" t="n">
        <v>0</v>
      </c>
      <c r="P776" t="n">
        <v>0</v>
      </c>
      <c r="Q776" t="n">
        <v>0</v>
      </c>
      <c r="R776" s="2" t="inlineStr"/>
    </row>
    <row r="777" ht="15" customHeight="1">
      <c r="A777" t="inlineStr">
        <is>
          <t>A 29768-2024</t>
        </is>
      </c>
      <c r="B777" s="1" t="n">
        <v>45485.44258101852</v>
      </c>
      <c r="C777" s="1" t="n">
        <v>45904</v>
      </c>
      <c r="D777" t="inlineStr">
        <is>
          <t>JÄMTLANDS LÄN</t>
        </is>
      </c>
      <c r="E777" t="inlineStr">
        <is>
          <t>HÄRJEDALEN</t>
        </is>
      </c>
      <c r="F777" t="inlineStr">
        <is>
          <t>Holmen skog AB</t>
        </is>
      </c>
      <c r="G777" t="n">
        <v>11.1</v>
      </c>
      <c r="H777" t="n">
        <v>0</v>
      </c>
      <c r="I777" t="n">
        <v>0</v>
      </c>
      <c r="J777" t="n">
        <v>0</v>
      </c>
      <c r="K777" t="n">
        <v>0</v>
      </c>
      <c r="L777" t="n">
        <v>0</v>
      </c>
      <c r="M777" t="n">
        <v>0</v>
      </c>
      <c r="N777" t="n">
        <v>0</v>
      </c>
      <c r="O777" t="n">
        <v>0</v>
      </c>
      <c r="P777" t="n">
        <v>0</v>
      </c>
      <c r="Q777" t="n">
        <v>0</v>
      </c>
      <c r="R777" s="2" t="inlineStr"/>
    </row>
    <row r="778" ht="15" customHeight="1">
      <c r="A778" t="inlineStr">
        <is>
          <t>A 31834-2024</t>
        </is>
      </c>
      <c r="B778" s="1" t="n">
        <v>45509.6427662037</v>
      </c>
      <c r="C778" s="1" t="n">
        <v>45904</v>
      </c>
      <c r="D778" t="inlineStr">
        <is>
          <t>JÄMTLANDS LÄN</t>
        </is>
      </c>
      <c r="E778" t="inlineStr">
        <is>
          <t>HÄRJEDALEN</t>
        </is>
      </c>
      <c r="F778" t="inlineStr">
        <is>
          <t>Kommuner</t>
        </is>
      </c>
      <c r="G778" t="n">
        <v>5.2</v>
      </c>
      <c r="H778" t="n">
        <v>0</v>
      </c>
      <c r="I778" t="n">
        <v>0</v>
      </c>
      <c r="J778" t="n">
        <v>0</v>
      </c>
      <c r="K778" t="n">
        <v>0</v>
      </c>
      <c r="L778" t="n">
        <v>0</v>
      </c>
      <c r="M778" t="n">
        <v>0</v>
      </c>
      <c r="N778" t="n">
        <v>0</v>
      </c>
      <c r="O778" t="n">
        <v>0</v>
      </c>
      <c r="P778" t="n">
        <v>0</v>
      </c>
      <c r="Q778" t="n">
        <v>0</v>
      </c>
      <c r="R778" s="2" t="inlineStr"/>
    </row>
    <row r="779" ht="15" customHeight="1">
      <c r="A779" t="inlineStr">
        <is>
          <t>A 38183-2025</t>
        </is>
      </c>
      <c r="B779" s="1" t="n">
        <v>45882.64755787037</v>
      </c>
      <c r="C779" s="1" t="n">
        <v>45904</v>
      </c>
      <c r="D779" t="inlineStr">
        <is>
          <t>JÄMTLANDS LÄN</t>
        </is>
      </c>
      <c r="E779" t="inlineStr">
        <is>
          <t>HÄRJEDALEN</t>
        </is>
      </c>
      <c r="F779" t="inlineStr">
        <is>
          <t>Bergvik skog väst AB</t>
        </is>
      </c>
      <c r="G779" t="n">
        <v>30.9</v>
      </c>
      <c r="H779" t="n">
        <v>0</v>
      </c>
      <c r="I779" t="n">
        <v>0</v>
      </c>
      <c r="J779" t="n">
        <v>0</v>
      </c>
      <c r="K779" t="n">
        <v>0</v>
      </c>
      <c r="L779" t="n">
        <v>0</v>
      </c>
      <c r="M779" t="n">
        <v>0</v>
      </c>
      <c r="N779" t="n">
        <v>0</v>
      </c>
      <c r="O779" t="n">
        <v>0</v>
      </c>
      <c r="P779" t="n">
        <v>0</v>
      </c>
      <c r="Q779" t="n">
        <v>0</v>
      </c>
      <c r="R779" s="2" t="inlineStr"/>
    </row>
    <row r="780" ht="15" customHeight="1">
      <c r="A780" t="inlineStr">
        <is>
          <t>A 38349-2025</t>
        </is>
      </c>
      <c r="B780" s="1" t="n">
        <v>45883.51854166666</v>
      </c>
      <c r="C780" s="1" t="n">
        <v>45904</v>
      </c>
      <c r="D780" t="inlineStr">
        <is>
          <t>JÄMTLANDS LÄN</t>
        </is>
      </c>
      <c r="E780" t="inlineStr">
        <is>
          <t>HÄRJEDALEN</t>
        </is>
      </c>
      <c r="G780" t="n">
        <v>6.8</v>
      </c>
      <c r="H780" t="n">
        <v>0</v>
      </c>
      <c r="I780" t="n">
        <v>0</v>
      </c>
      <c r="J780" t="n">
        <v>0</v>
      </c>
      <c r="K780" t="n">
        <v>0</v>
      </c>
      <c r="L780" t="n">
        <v>0</v>
      </c>
      <c r="M780" t="n">
        <v>0</v>
      </c>
      <c r="N780" t="n">
        <v>0</v>
      </c>
      <c r="O780" t="n">
        <v>0</v>
      </c>
      <c r="P780" t="n">
        <v>0</v>
      </c>
      <c r="Q780" t="n">
        <v>0</v>
      </c>
      <c r="R780" s="2" t="inlineStr"/>
    </row>
    <row r="781" ht="15" customHeight="1">
      <c r="A781" t="inlineStr">
        <is>
          <t>A 55388-2021</t>
        </is>
      </c>
      <c r="B781" s="1" t="n">
        <v>44475</v>
      </c>
      <c r="C781" s="1" t="n">
        <v>45904</v>
      </c>
      <c r="D781" t="inlineStr">
        <is>
          <t>JÄMTLANDS LÄN</t>
        </is>
      </c>
      <c r="E781" t="inlineStr">
        <is>
          <t>HÄRJEDALEN</t>
        </is>
      </c>
      <c r="G781" t="n">
        <v>0.6</v>
      </c>
      <c r="H781" t="n">
        <v>0</v>
      </c>
      <c r="I781" t="n">
        <v>0</v>
      </c>
      <c r="J781" t="n">
        <v>0</v>
      </c>
      <c r="K781" t="n">
        <v>0</v>
      </c>
      <c r="L781" t="n">
        <v>0</v>
      </c>
      <c r="M781" t="n">
        <v>0</v>
      </c>
      <c r="N781" t="n">
        <v>0</v>
      </c>
      <c r="O781" t="n">
        <v>0</v>
      </c>
      <c r="P781" t="n">
        <v>0</v>
      </c>
      <c r="Q781" t="n">
        <v>0</v>
      </c>
      <c r="R781" s="2" t="inlineStr"/>
    </row>
    <row r="782" ht="15" customHeight="1">
      <c r="A782" t="inlineStr">
        <is>
          <t>A 38169-2025</t>
        </is>
      </c>
      <c r="B782" s="1" t="n">
        <v>45882.63179398148</v>
      </c>
      <c r="C782" s="1" t="n">
        <v>45904</v>
      </c>
      <c r="D782" t="inlineStr">
        <is>
          <t>JÄMTLANDS LÄN</t>
        </is>
      </c>
      <c r="E782" t="inlineStr">
        <is>
          <t>HÄRJEDALEN</t>
        </is>
      </c>
      <c r="F782" t="inlineStr">
        <is>
          <t>Bergvik skog väst AB</t>
        </is>
      </c>
      <c r="G782" t="n">
        <v>18.4</v>
      </c>
      <c r="H782" t="n">
        <v>0</v>
      </c>
      <c r="I782" t="n">
        <v>0</v>
      </c>
      <c r="J782" t="n">
        <v>0</v>
      </c>
      <c r="K782" t="n">
        <v>0</v>
      </c>
      <c r="L782" t="n">
        <v>0</v>
      </c>
      <c r="M782" t="n">
        <v>0</v>
      </c>
      <c r="N782" t="n">
        <v>0</v>
      </c>
      <c r="O782" t="n">
        <v>0</v>
      </c>
      <c r="P782" t="n">
        <v>0</v>
      </c>
      <c r="Q782" t="n">
        <v>0</v>
      </c>
      <c r="R782" s="2" t="inlineStr"/>
    </row>
    <row r="783" ht="15" customHeight="1">
      <c r="A783" t="inlineStr">
        <is>
          <t>A 33690-2025</t>
        </is>
      </c>
      <c r="B783" s="1" t="n">
        <v>45841.69273148148</v>
      </c>
      <c r="C783" s="1" t="n">
        <v>45904</v>
      </c>
      <c r="D783" t="inlineStr">
        <is>
          <t>JÄMTLANDS LÄN</t>
        </is>
      </c>
      <c r="E783" t="inlineStr">
        <is>
          <t>HÄRJEDALEN</t>
        </is>
      </c>
      <c r="G783" t="n">
        <v>1.5</v>
      </c>
      <c r="H783" t="n">
        <v>0</v>
      </c>
      <c r="I783" t="n">
        <v>0</v>
      </c>
      <c r="J783" t="n">
        <v>0</v>
      </c>
      <c r="K783" t="n">
        <v>0</v>
      </c>
      <c r="L783" t="n">
        <v>0</v>
      </c>
      <c r="M783" t="n">
        <v>0</v>
      </c>
      <c r="N783" t="n">
        <v>0</v>
      </c>
      <c r="O783" t="n">
        <v>0</v>
      </c>
      <c r="P783" t="n">
        <v>0</v>
      </c>
      <c r="Q783" t="n">
        <v>0</v>
      </c>
      <c r="R783" s="2" t="inlineStr"/>
    </row>
    <row r="784" ht="15" customHeight="1">
      <c r="A784" t="inlineStr">
        <is>
          <t>A 38266-2025</t>
        </is>
      </c>
      <c r="B784" s="1" t="n">
        <v>45883.40538194445</v>
      </c>
      <c r="C784" s="1" t="n">
        <v>45904</v>
      </c>
      <c r="D784" t="inlineStr">
        <is>
          <t>JÄMTLANDS LÄN</t>
        </is>
      </c>
      <c r="E784" t="inlineStr">
        <is>
          <t>HÄRJEDALEN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39158-2023</t>
        </is>
      </c>
      <c r="B785" s="1" t="n">
        <v>45166.34795138889</v>
      </c>
      <c r="C785" s="1" t="n">
        <v>45904</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27812-2023</t>
        </is>
      </c>
      <c r="B786" s="1" t="n">
        <v>45098.48666666666</v>
      </c>
      <c r="C786" s="1" t="n">
        <v>45904</v>
      </c>
      <c r="D786" t="inlineStr">
        <is>
          <t>JÄMTLANDS LÄN</t>
        </is>
      </c>
      <c r="E786" t="inlineStr">
        <is>
          <t>HÄRJEDALEN</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31961-2023</t>
        </is>
      </c>
      <c r="B787" s="1" t="n">
        <v>45119</v>
      </c>
      <c r="C787" s="1" t="n">
        <v>45904</v>
      </c>
      <c r="D787" t="inlineStr">
        <is>
          <t>JÄMTLANDS LÄN</t>
        </is>
      </c>
      <c r="E787" t="inlineStr">
        <is>
          <t>HÄRJEDALEN</t>
        </is>
      </c>
      <c r="G787" t="n">
        <v>3.1</v>
      </c>
      <c r="H787" t="n">
        <v>0</v>
      </c>
      <c r="I787" t="n">
        <v>0</v>
      </c>
      <c r="J787" t="n">
        <v>0</v>
      </c>
      <c r="K787" t="n">
        <v>0</v>
      </c>
      <c r="L787" t="n">
        <v>0</v>
      </c>
      <c r="M787" t="n">
        <v>0</v>
      </c>
      <c r="N787" t="n">
        <v>0</v>
      </c>
      <c r="O787" t="n">
        <v>0</v>
      </c>
      <c r="P787" t="n">
        <v>0</v>
      </c>
      <c r="Q787" t="n">
        <v>0</v>
      </c>
      <c r="R787" s="2" t="inlineStr"/>
    </row>
    <row r="788" ht="15" customHeight="1">
      <c r="A788" t="inlineStr">
        <is>
          <t>A 10015-2023</t>
        </is>
      </c>
      <c r="B788" s="1" t="n">
        <v>44985</v>
      </c>
      <c r="C788" s="1" t="n">
        <v>45904</v>
      </c>
      <c r="D788" t="inlineStr">
        <is>
          <t>JÄMTLANDS LÄN</t>
        </is>
      </c>
      <c r="E788" t="inlineStr">
        <is>
          <t>HÄRJEDALEN</t>
        </is>
      </c>
      <c r="F788" t="inlineStr">
        <is>
          <t>Holmen skog AB</t>
        </is>
      </c>
      <c r="G788" t="n">
        <v>3.2</v>
      </c>
      <c r="H788" t="n">
        <v>0</v>
      </c>
      <c r="I788" t="n">
        <v>0</v>
      </c>
      <c r="J788" t="n">
        <v>0</v>
      </c>
      <c r="K788" t="n">
        <v>0</v>
      </c>
      <c r="L788" t="n">
        <v>0</v>
      </c>
      <c r="M788" t="n">
        <v>0</v>
      </c>
      <c r="N788" t="n">
        <v>0</v>
      </c>
      <c r="O788" t="n">
        <v>0</v>
      </c>
      <c r="P788" t="n">
        <v>0</v>
      </c>
      <c r="Q788" t="n">
        <v>0</v>
      </c>
      <c r="R788" s="2" t="inlineStr"/>
    </row>
    <row r="789" ht="15" customHeight="1">
      <c r="A789" t="inlineStr">
        <is>
          <t>A 33406-2025</t>
        </is>
      </c>
      <c r="B789" s="1" t="n">
        <v>45841.4312037037</v>
      </c>
      <c r="C789" s="1" t="n">
        <v>45904</v>
      </c>
      <c r="D789" t="inlineStr">
        <is>
          <t>JÄMTLANDS LÄN</t>
        </is>
      </c>
      <c r="E789" t="inlineStr">
        <is>
          <t>HÄRJEDALEN</t>
        </is>
      </c>
      <c r="G789" t="n">
        <v>1.4</v>
      </c>
      <c r="H789" t="n">
        <v>0</v>
      </c>
      <c r="I789" t="n">
        <v>0</v>
      </c>
      <c r="J789" t="n">
        <v>0</v>
      </c>
      <c r="K789" t="n">
        <v>0</v>
      </c>
      <c r="L789" t="n">
        <v>0</v>
      </c>
      <c r="M789" t="n">
        <v>0</v>
      </c>
      <c r="N789" t="n">
        <v>0</v>
      </c>
      <c r="O789" t="n">
        <v>0</v>
      </c>
      <c r="P789" t="n">
        <v>0</v>
      </c>
      <c r="Q789" t="n">
        <v>0</v>
      </c>
      <c r="R789" s="2" t="inlineStr"/>
    </row>
    <row r="790" ht="15" customHeight="1">
      <c r="A790" t="inlineStr">
        <is>
          <t>A 33447-2025</t>
        </is>
      </c>
      <c r="B790" s="1" t="n">
        <v>45841.46512731481</v>
      </c>
      <c r="C790" s="1" t="n">
        <v>45904</v>
      </c>
      <c r="D790" t="inlineStr">
        <is>
          <t>JÄMTLANDS LÄN</t>
        </is>
      </c>
      <c r="E790" t="inlineStr">
        <is>
          <t>HÄRJEDALEN</t>
        </is>
      </c>
      <c r="F790" t="inlineStr">
        <is>
          <t>Bergvik skog väst AB</t>
        </is>
      </c>
      <c r="G790" t="n">
        <v>3.5</v>
      </c>
      <c r="H790" t="n">
        <v>0</v>
      </c>
      <c r="I790" t="n">
        <v>0</v>
      </c>
      <c r="J790" t="n">
        <v>0</v>
      </c>
      <c r="K790" t="n">
        <v>0</v>
      </c>
      <c r="L790" t="n">
        <v>0</v>
      </c>
      <c r="M790" t="n">
        <v>0</v>
      </c>
      <c r="N790" t="n">
        <v>0</v>
      </c>
      <c r="O790" t="n">
        <v>0</v>
      </c>
      <c r="P790" t="n">
        <v>0</v>
      </c>
      <c r="Q790" t="n">
        <v>0</v>
      </c>
      <c r="R790" s="2" t="inlineStr"/>
    </row>
    <row r="791" ht="15" customHeight="1">
      <c r="A791" t="inlineStr">
        <is>
          <t>A 816-2025</t>
        </is>
      </c>
      <c r="B791" s="1" t="n">
        <v>45665.563125</v>
      </c>
      <c r="C791" s="1" t="n">
        <v>45904</v>
      </c>
      <c r="D791" t="inlineStr">
        <is>
          <t>JÄMTLANDS LÄN</t>
        </is>
      </c>
      <c r="E791" t="inlineStr">
        <is>
          <t>HÄRJEDALEN</t>
        </is>
      </c>
      <c r="F791" t="inlineStr">
        <is>
          <t>Bergvik skog väst AB</t>
        </is>
      </c>
      <c r="G791" t="n">
        <v>10.8</v>
      </c>
      <c r="H791" t="n">
        <v>0</v>
      </c>
      <c r="I791" t="n">
        <v>0</v>
      </c>
      <c r="J791" t="n">
        <v>0</v>
      </c>
      <c r="K791" t="n">
        <v>0</v>
      </c>
      <c r="L791" t="n">
        <v>0</v>
      </c>
      <c r="M791" t="n">
        <v>0</v>
      </c>
      <c r="N791" t="n">
        <v>0</v>
      </c>
      <c r="O791" t="n">
        <v>0</v>
      </c>
      <c r="P791" t="n">
        <v>0</v>
      </c>
      <c r="Q791" t="n">
        <v>0</v>
      </c>
      <c r="R791" s="2" t="inlineStr"/>
    </row>
    <row r="792" ht="15" customHeight="1">
      <c r="A792" t="inlineStr">
        <is>
          <t>A 38402-2025</t>
        </is>
      </c>
      <c r="B792" s="1" t="n">
        <v>45883.58944444444</v>
      </c>
      <c r="C792" s="1" t="n">
        <v>45904</v>
      </c>
      <c r="D792" t="inlineStr">
        <is>
          <t>JÄMTLANDS LÄN</t>
        </is>
      </c>
      <c r="E792" t="inlineStr">
        <is>
          <t>HÄRJEDALEN</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33438-2025</t>
        </is>
      </c>
      <c r="B793" s="1" t="n">
        <v>45841.45137731481</v>
      </c>
      <c r="C793" s="1" t="n">
        <v>45904</v>
      </c>
      <c r="D793" t="inlineStr">
        <is>
          <t>JÄMTLANDS LÄN</t>
        </is>
      </c>
      <c r="E793" t="inlineStr">
        <is>
          <t>HÄRJEDALEN</t>
        </is>
      </c>
      <c r="G793" t="n">
        <v>2</v>
      </c>
      <c r="H793" t="n">
        <v>0</v>
      </c>
      <c r="I793" t="n">
        <v>0</v>
      </c>
      <c r="J793" t="n">
        <v>0</v>
      </c>
      <c r="K793" t="n">
        <v>0</v>
      </c>
      <c r="L793" t="n">
        <v>0</v>
      </c>
      <c r="M793" t="n">
        <v>0</v>
      </c>
      <c r="N793" t="n">
        <v>0</v>
      </c>
      <c r="O793" t="n">
        <v>0</v>
      </c>
      <c r="P793" t="n">
        <v>0</v>
      </c>
      <c r="Q793" t="n">
        <v>0</v>
      </c>
      <c r="R793" s="2" t="inlineStr"/>
    </row>
    <row r="794" ht="15" customHeight="1">
      <c r="A794" t="inlineStr">
        <is>
          <t>A 48669-2023</t>
        </is>
      </c>
      <c r="B794" s="1" t="n">
        <v>45203</v>
      </c>
      <c r="C794" s="1" t="n">
        <v>45904</v>
      </c>
      <c r="D794" t="inlineStr">
        <is>
          <t>JÄMTLANDS LÄN</t>
        </is>
      </c>
      <c r="E794" t="inlineStr">
        <is>
          <t>HÄRJEDALEN</t>
        </is>
      </c>
      <c r="G794" t="n">
        <v>4</v>
      </c>
      <c r="H794" t="n">
        <v>0</v>
      </c>
      <c r="I794" t="n">
        <v>0</v>
      </c>
      <c r="J794" t="n">
        <v>0</v>
      </c>
      <c r="K794" t="n">
        <v>0</v>
      </c>
      <c r="L794" t="n">
        <v>0</v>
      </c>
      <c r="M794" t="n">
        <v>0</v>
      </c>
      <c r="N794" t="n">
        <v>0</v>
      </c>
      <c r="O794" t="n">
        <v>0</v>
      </c>
      <c r="P794" t="n">
        <v>0</v>
      </c>
      <c r="Q794" t="n">
        <v>0</v>
      </c>
      <c r="R794" s="2" t="inlineStr"/>
    </row>
    <row r="795" ht="15" customHeight="1">
      <c r="A795" t="inlineStr">
        <is>
          <t>A 34254-2025</t>
        </is>
      </c>
      <c r="B795" s="1" t="n">
        <v>45845.6920949074</v>
      </c>
      <c r="C795" s="1" t="n">
        <v>45904</v>
      </c>
      <c r="D795" t="inlineStr">
        <is>
          <t>JÄMTLANDS LÄN</t>
        </is>
      </c>
      <c r="E795" t="inlineStr">
        <is>
          <t>HÄRJEDALEN</t>
        </is>
      </c>
      <c r="F795" t="inlineStr">
        <is>
          <t>Kyrkan</t>
        </is>
      </c>
      <c r="G795" t="n">
        <v>1.6</v>
      </c>
      <c r="H795" t="n">
        <v>0</v>
      </c>
      <c r="I795" t="n">
        <v>0</v>
      </c>
      <c r="J795" t="n">
        <v>0</v>
      </c>
      <c r="K795" t="n">
        <v>0</v>
      </c>
      <c r="L795" t="n">
        <v>0</v>
      </c>
      <c r="M795" t="n">
        <v>0</v>
      </c>
      <c r="N795" t="n">
        <v>0</v>
      </c>
      <c r="O795" t="n">
        <v>0</v>
      </c>
      <c r="P795" t="n">
        <v>0</v>
      </c>
      <c r="Q795" t="n">
        <v>0</v>
      </c>
      <c r="R795" s="2" t="inlineStr"/>
    </row>
    <row r="796" ht="15" customHeight="1">
      <c r="A796" t="inlineStr">
        <is>
          <t>A 43574-2024</t>
        </is>
      </c>
      <c r="B796" s="1" t="n">
        <v>45569</v>
      </c>
      <c r="C796" s="1" t="n">
        <v>45904</v>
      </c>
      <c r="D796" t="inlineStr">
        <is>
          <t>JÄMTLANDS LÄN</t>
        </is>
      </c>
      <c r="E796" t="inlineStr">
        <is>
          <t>HÄRJEDALEN</t>
        </is>
      </c>
      <c r="F796" t="inlineStr">
        <is>
          <t>Bergvik skog väst AB</t>
        </is>
      </c>
      <c r="G796" t="n">
        <v>258.3</v>
      </c>
      <c r="H796" t="n">
        <v>0</v>
      </c>
      <c r="I796" t="n">
        <v>0</v>
      </c>
      <c r="J796" t="n">
        <v>0</v>
      </c>
      <c r="K796" t="n">
        <v>0</v>
      </c>
      <c r="L796" t="n">
        <v>0</v>
      </c>
      <c r="M796" t="n">
        <v>0</v>
      </c>
      <c r="N796" t="n">
        <v>0</v>
      </c>
      <c r="O796" t="n">
        <v>0</v>
      </c>
      <c r="P796" t="n">
        <v>0</v>
      </c>
      <c r="Q796" t="n">
        <v>0</v>
      </c>
      <c r="R796" s="2" t="inlineStr"/>
    </row>
    <row r="797" ht="15" customHeight="1">
      <c r="A797" t="inlineStr">
        <is>
          <t>A 37288-2025</t>
        </is>
      </c>
      <c r="B797" s="1" t="n">
        <v>45876</v>
      </c>
      <c r="C797" s="1" t="n">
        <v>45904</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1172-2025</t>
        </is>
      </c>
      <c r="B798" s="1" t="n">
        <v>45667</v>
      </c>
      <c r="C798" s="1" t="n">
        <v>45904</v>
      </c>
      <c r="D798" t="inlineStr">
        <is>
          <t>JÄMTLANDS LÄN</t>
        </is>
      </c>
      <c r="E798" t="inlineStr">
        <is>
          <t>HÄRJEDALEN</t>
        </is>
      </c>
      <c r="F798" t="inlineStr">
        <is>
          <t>Bergvik skog väst AB</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62104-2024</t>
        </is>
      </c>
      <c r="B799" s="1" t="n">
        <v>45656.51157407407</v>
      </c>
      <c r="C799" s="1" t="n">
        <v>45904</v>
      </c>
      <c r="D799" t="inlineStr">
        <is>
          <t>JÄMTLANDS LÄN</t>
        </is>
      </c>
      <c r="E799" t="inlineStr">
        <is>
          <t>HÄRJEDALEN</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38898-2025</t>
        </is>
      </c>
      <c r="B800" s="1" t="n">
        <v>45887.59913194444</v>
      </c>
      <c r="C800" s="1" t="n">
        <v>45904</v>
      </c>
      <c r="D800" t="inlineStr">
        <is>
          <t>JÄMTLANDS LÄN</t>
        </is>
      </c>
      <c r="E800" t="inlineStr">
        <is>
          <t>HÄRJEDALEN</t>
        </is>
      </c>
      <c r="F800" t="inlineStr">
        <is>
          <t>Bergvik skog väst AB</t>
        </is>
      </c>
      <c r="G800" t="n">
        <v>4</v>
      </c>
      <c r="H800" t="n">
        <v>0</v>
      </c>
      <c r="I800" t="n">
        <v>0</v>
      </c>
      <c r="J800" t="n">
        <v>0</v>
      </c>
      <c r="K800" t="n">
        <v>0</v>
      </c>
      <c r="L800" t="n">
        <v>0</v>
      </c>
      <c r="M800" t="n">
        <v>0</v>
      </c>
      <c r="N800" t="n">
        <v>0</v>
      </c>
      <c r="O800" t="n">
        <v>0</v>
      </c>
      <c r="P800" t="n">
        <v>0</v>
      </c>
      <c r="Q800" t="n">
        <v>0</v>
      </c>
      <c r="R800" s="2" t="inlineStr"/>
    </row>
    <row r="801" ht="15" customHeight="1">
      <c r="A801" t="inlineStr">
        <is>
          <t>A 43586-2024</t>
        </is>
      </c>
      <c r="B801" s="1" t="n">
        <v>45569</v>
      </c>
      <c r="C801" s="1" t="n">
        <v>45904</v>
      </c>
      <c r="D801" t="inlineStr">
        <is>
          <t>JÄMTLANDS LÄN</t>
        </is>
      </c>
      <c r="E801" t="inlineStr">
        <is>
          <t>HÄRJEDALEN</t>
        </is>
      </c>
      <c r="F801" t="inlineStr">
        <is>
          <t>Bergvik skog väst AB</t>
        </is>
      </c>
      <c r="G801" t="n">
        <v>96.2</v>
      </c>
      <c r="H801" t="n">
        <v>0</v>
      </c>
      <c r="I801" t="n">
        <v>0</v>
      </c>
      <c r="J801" t="n">
        <v>0</v>
      </c>
      <c r="K801" t="n">
        <v>0</v>
      </c>
      <c r="L801" t="n">
        <v>0</v>
      </c>
      <c r="M801" t="n">
        <v>0</v>
      </c>
      <c r="N801" t="n">
        <v>0</v>
      </c>
      <c r="O801" t="n">
        <v>0</v>
      </c>
      <c r="P801" t="n">
        <v>0</v>
      </c>
      <c r="Q801" t="n">
        <v>0</v>
      </c>
      <c r="R801" s="2" t="inlineStr"/>
    </row>
    <row r="802" ht="15" customHeight="1">
      <c r="A802" t="inlineStr">
        <is>
          <t>A 34144-2025</t>
        </is>
      </c>
      <c r="B802" s="1" t="n">
        <v>45845.55270833334</v>
      </c>
      <c r="C802" s="1" t="n">
        <v>45904</v>
      </c>
      <c r="D802" t="inlineStr">
        <is>
          <t>JÄMTLANDS LÄN</t>
        </is>
      </c>
      <c r="E802" t="inlineStr">
        <is>
          <t>HÄRJEDALEN</t>
        </is>
      </c>
      <c r="G802" t="n">
        <v>8.5</v>
      </c>
      <c r="H802" t="n">
        <v>0</v>
      </c>
      <c r="I802" t="n">
        <v>0</v>
      </c>
      <c r="J802" t="n">
        <v>0</v>
      </c>
      <c r="K802" t="n">
        <v>0</v>
      </c>
      <c r="L802" t="n">
        <v>0</v>
      </c>
      <c r="M802" t="n">
        <v>0</v>
      </c>
      <c r="N802" t="n">
        <v>0</v>
      </c>
      <c r="O802" t="n">
        <v>0</v>
      </c>
      <c r="P802" t="n">
        <v>0</v>
      </c>
      <c r="Q802" t="n">
        <v>0</v>
      </c>
      <c r="R802" s="2" t="inlineStr"/>
    </row>
    <row r="803" ht="15" customHeight="1">
      <c r="A803" t="inlineStr">
        <is>
          <t>A 43316-2024</t>
        </is>
      </c>
      <c r="B803" s="1" t="n">
        <v>45568</v>
      </c>
      <c r="C803" s="1" t="n">
        <v>45904</v>
      </c>
      <c r="D803" t="inlineStr">
        <is>
          <t>JÄMTLANDS LÄN</t>
        </is>
      </c>
      <c r="E803" t="inlineStr">
        <is>
          <t>HÄRJEDALEN</t>
        </is>
      </c>
      <c r="F803" t="inlineStr">
        <is>
          <t>Bergvik skog väst AB</t>
        </is>
      </c>
      <c r="G803" t="n">
        <v>79.90000000000001</v>
      </c>
      <c r="H803" t="n">
        <v>0</v>
      </c>
      <c r="I803" t="n">
        <v>0</v>
      </c>
      <c r="J803" t="n">
        <v>0</v>
      </c>
      <c r="K803" t="n">
        <v>0</v>
      </c>
      <c r="L803" t="n">
        <v>0</v>
      </c>
      <c r="M803" t="n">
        <v>0</v>
      </c>
      <c r="N803" t="n">
        <v>0</v>
      </c>
      <c r="O803" t="n">
        <v>0</v>
      </c>
      <c r="P803" t="n">
        <v>0</v>
      </c>
      <c r="Q803" t="n">
        <v>0</v>
      </c>
      <c r="R803" s="2" t="inlineStr"/>
    </row>
    <row r="804" ht="15" customHeight="1">
      <c r="A804" t="inlineStr">
        <is>
          <t>A 38820-2025</t>
        </is>
      </c>
      <c r="B804" s="1" t="n">
        <v>45887.50216435185</v>
      </c>
      <c r="C804" s="1" t="n">
        <v>45904</v>
      </c>
      <c r="D804" t="inlineStr">
        <is>
          <t>JÄMTLANDS LÄN</t>
        </is>
      </c>
      <c r="E804" t="inlineStr">
        <is>
          <t>HÄRJEDALEN</t>
        </is>
      </c>
      <c r="F804" t="inlineStr">
        <is>
          <t>Bergvik skog väst AB</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43309-2024</t>
        </is>
      </c>
      <c r="B805" s="1" t="n">
        <v>45568</v>
      </c>
      <c r="C805" s="1" t="n">
        <v>45904</v>
      </c>
      <c r="D805" t="inlineStr">
        <is>
          <t>JÄMTLANDS LÄN</t>
        </is>
      </c>
      <c r="E805" t="inlineStr">
        <is>
          <t>HÄRJEDALEN</t>
        </is>
      </c>
      <c r="F805" t="inlineStr">
        <is>
          <t>Bergvik skog väst AB</t>
        </is>
      </c>
      <c r="G805" t="n">
        <v>79.8</v>
      </c>
      <c r="H805" t="n">
        <v>0</v>
      </c>
      <c r="I805" t="n">
        <v>0</v>
      </c>
      <c r="J805" t="n">
        <v>0</v>
      </c>
      <c r="K805" t="n">
        <v>0</v>
      </c>
      <c r="L805" t="n">
        <v>0</v>
      </c>
      <c r="M805" t="n">
        <v>0</v>
      </c>
      <c r="N805" t="n">
        <v>0</v>
      </c>
      <c r="O805" t="n">
        <v>0</v>
      </c>
      <c r="P805" t="n">
        <v>0</v>
      </c>
      <c r="Q805" t="n">
        <v>0</v>
      </c>
      <c r="R805" s="2" t="inlineStr"/>
    </row>
    <row r="806" ht="15" customHeight="1">
      <c r="A806" t="inlineStr">
        <is>
          <t>A 12449-2025</t>
        </is>
      </c>
      <c r="B806" s="1" t="n">
        <v>45730</v>
      </c>
      <c r="C806" s="1" t="n">
        <v>45904</v>
      </c>
      <c r="D806" t="inlineStr">
        <is>
          <t>JÄMTLANDS LÄN</t>
        </is>
      </c>
      <c r="E806" t="inlineStr">
        <is>
          <t>HÄRJEDALEN</t>
        </is>
      </c>
      <c r="G806" t="n">
        <v>10.7</v>
      </c>
      <c r="H806" t="n">
        <v>0</v>
      </c>
      <c r="I806" t="n">
        <v>0</v>
      </c>
      <c r="J806" t="n">
        <v>0</v>
      </c>
      <c r="K806" t="n">
        <v>0</v>
      </c>
      <c r="L806" t="n">
        <v>0</v>
      </c>
      <c r="M806" t="n">
        <v>0</v>
      </c>
      <c r="N806" t="n">
        <v>0</v>
      </c>
      <c r="O806" t="n">
        <v>0</v>
      </c>
      <c r="P806" t="n">
        <v>0</v>
      </c>
      <c r="Q806" t="n">
        <v>0</v>
      </c>
      <c r="R806" s="2" t="inlineStr"/>
    </row>
    <row r="807" ht="15" customHeight="1">
      <c r="A807" t="inlineStr">
        <is>
          <t>A 3425-2025</t>
        </is>
      </c>
      <c r="B807" s="1" t="n">
        <v>45680.42497685185</v>
      </c>
      <c r="C807" s="1" t="n">
        <v>45904</v>
      </c>
      <c r="D807" t="inlineStr">
        <is>
          <t>JÄMTLANDS LÄN</t>
        </is>
      </c>
      <c r="E807" t="inlineStr">
        <is>
          <t>HÄRJEDALEN</t>
        </is>
      </c>
      <c r="G807" t="n">
        <v>0.9</v>
      </c>
      <c r="H807" t="n">
        <v>0</v>
      </c>
      <c r="I807" t="n">
        <v>0</v>
      </c>
      <c r="J807" t="n">
        <v>0</v>
      </c>
      <c r="K807" t="n">
        <v>0</v>
      </c>
      <c r="L807" t="n">
        <v>0</v>
      </c>
      <c r="M807" t="n">
        <v>0</v>
      </c>
      <c r="N807" t="n">
        <v>0</v>
      </c>
      <c r="O807" t="n">
        <v>0</v>
      </c>
      <c r="P807" t="n">
        <v>0</v>
      </c>
      <c r="Q807" t="n">
        <v>0</v>
      </c>
      <c r="R807" s="2" t="inlineStr"/>
    </row>
    <row r="808" ht="15" customHeight="1">
      <c r="A808" t="inlineStr">
        <is>
          <t>A 55582-2024</t>
        </is>
      </c>
      <c r="B808" s="1" t="n">
        <v>45622</v>
      </c>
      <c r="C808" s="1" t="n">
        <v>45904</v>
      </c>
      <c r="D808" t="inlineStr">
        <is>
          <t>JÄMTLANDS LÄN</t>
        </is>
      </c>
      <c r="E808" t="inlineStr">
        <is>
          <t>HÄRJEDALEN</t>
        </is>
      </c>
      <c r="G808" t="n">
        <v>6.9</v>
      </c>
      <c r="H808" t="n">
        <v>0</v>
      </c>
      <c r="I808" t="n">
        <v>0</v>
      </c>
      <c r="J808" t="n">
        <v>0</v>
      </c>
      <c r="K808" t="n">
        <v>0</v>
      </c>
      <c r="L808" t="n">
        <v>0</v>
      </c>
      <c r="M808" t="n">
        <v>0</v>
      </c>
      <c r="N808" t="n">
        <v>0</v>
      </c>
      <c r="O808" t="n">
        <v>0</v>
      </c>
      <c r="P808" t="n">
        <v>0</v>
      </c>
      <c r="Q808" t="n">
        <v>0</v>
      </c>
      <c r="R808" s="2" t="inlineStr"/>
    </row>
    <row r="809" ht="15" customHeight="1">
      <c r="A809" t="inlineStr">
        <is>
          <t>A 23731-2022</t>
        </is>
      </c>
      <c r="B809" s="1" t="n">
        <v>44722</v>
      </c>
      <c r="C809" s="1" t="n">
        <v>45904</v>
      </c>
      <c r="D809" t="inlineStr">
        <is>
          <t>JÄMTLANDS LÄN</t>
        </is>
      </c>
      <c r="E809" t="inlineStr">
        <is>
          <t>HÄRJEDALEN</t>
        </is>
      </c>
      <c r="G809" t="n">
        <v>15.6</v>
      </c>
      <c r="H809" t="n">
        <v>0</v>
      </c>
      <c r="I809" t="n">
        <v>0</v>
      </c>
      <c r="J809" t="n">
        <v>0</v>
      </c>
      <c r="K809" t="n">
        <v>0</v>
      </c>
      <c r="L809" t="n">
        <v>0</v>
      </c>
      <c r="M809" t="n">
        <v>0</v>
      </c>
      <c r="N809" t="n">
        <v>0</v>
      </c>
      <c r="O809" t="n">
        <v>0</v>
      </c>
      <c r="P809" t="n">
        <v>0</v>
      </c>
      <c r="Q809" t="n">
        <v>0</v>
      </c>
      <c r="R809" s="2" t="inlineStr"/>
    </row>
    <row r="810" ht="15" customHeight="1">
      <c r="A810" t="inlineStr">
        <is>
          <t>A 60897-2022</t>
        </is>
      </c>
      <c r="B810" s="1" t="n">
        <v>44914</v>
      </c>
      <c r="C810" s="1" t="n">
        <v>45904</v>
      </c>
      <c r="D810" t="inlineStr">
        <is>
          <t>JÄMTLANDS LÄN</t>
        </is>
      </c>
      <c r="E810" t="inlineStr">
        <is>
          <t>HÄRJEDALEN</t>
        </is>
      </c>
      <c r="F810" t="inlineStr">
        <is>
          <t>Holmen skog AB</t>
        </is>
      </c>
      <c r="G810" t="n">
        <v>0.3</v>
      </c>
      <c r="H810" t="n">
        <v>0</v>
      </c>
      <c r="I810" t="n">
        <v>0</v>
      </c>
      <c r="J810" t="n">
        <v>0</v>
      </c>
      <c r="K810" t="n">
        <v>0</v>
      </c>
      <c r="L810" t="n">
        <v>0</v>
      </c>
      <c r="M810" t="n">
        <v>0</v>
      </c>
      <c r="N810" t="n">
        <v>0</v>
      </c>
      <c r="O810" t="n">
        <v>0</v>
      </c>
      <c r="P810" t="n">
        <v>0</v>
      </c>
      <c r="Q810" t="n">
        <v>0</v>
      </c>
      <c r="R810" s="2" t="inlineStr"/>
      <c r="U810">
        <f>HYPERLINK("https://klasma.github.io/Logging_2361/knärot/A 60897-2022 karta knärot.png", "A 60897-2022")</f>
        <v/>
      </c>
      <c r="V810">
        <f>HYPERLINK("https://klasma.github.io/Logging_2361/klagomål/A 60897-2022 FSC-klagomål.docx", "A 60897-2022")</f>
        <v/>
      </c>
      <c r="W810">
        <f>HYPERLINK("https://klasma.github.io/Logging_2361/klagomålsmail/A 60897-2022 FSC-klagomål mail.docx", "A 60897-2022")</f>
        <v/>
      </c>
      <c r="X810">
        <f>HYPERLINK("https://klasma.github.io/Logging_2361/tillsyn/A 60897-2022 tillsynsbegäran.docx", "A 60897-2022")</f>
        <v/>
      </c>
      <c r="Y810">
        <f>HYPERLINK("https://klasma.github.io/Logging_2361/tillsynsmail/A 60897-2022 tillsynsbegäran mail.docx", "A 60897-2022")</f>
        <v/>
      </c>
    </row>
    <row r="811" ht="15" customHeight="1">
      <c r="A811" t="inlineStr">
        <is>
          <t>A 12450-2025</t>
        </is>
      </c>
      <c r="B811" s="1" t="n">
        <v>45730</v>
      </c>
      <c r="C811" s="1" t="n">
        <v>45904</v>
      </c>
      <c r="D811" t="inlineStr">
        <is>
          <t>JÄMTLANDS LÄN</t>
        </is>
      </c>
      <c r="E811" t="inlineStr">
        <is>
          <t>HÄRJEDALEN</t>
        </is>
      </c>
      <c r="G811" t="n">
        <v>7.6</v>
      </c>
      <c r="H811" t="n">
        <v>0</v>
      </c>
      <c r="I811" t="n">
        <v>0</v>
      </c>
      <c r="J811" t="n">
        <v>0</v>
      </c>
      <c r="K811" t="n">
        <v>0</v>
      </c>
      <c r="L811" t="n">
        <v>0</v>
      </c>
      <c r="M811" t="n">
        <v>0</v>
      </c>
      <c r="N811" t="n">
        <v>0</v>
      </c>
      <c r="O811" t="n">
        <v>0</v>
      </c>
      <c r="P811" t="n">
        <v>0</v>
      </c>
      <c r="Q811" t="n">
        <v>0</v>
      </c>
      <c r="R811" s="2" t="inlineStr"/>
    </row>
    <row r="812" ht="15" customHeight="1">
      <c r="A812" t="inlineStr">
        <is>
          <t>A 33845-2025</t>
        </is>
      </c>
      <c r="B812" s="1" t="n">
        <v>45842.48990740741</v>
      </c>
      <c r="C812" s="1" t="n">
        <v>45904</v>
      </c>
      <c r="D812" t="inlineStr">
        <is>
          <t>JÄMTLANDS LÄN</t>
        </is>
      </c>
      <c r="E812" t="inlineStr">
        <is>
          <t>HÄRJEDALEN</t>
        </is>
      </c>
      <c r="G812" t="n">
        <v>0.9</v>
      </c>
      <c r="H812" t="n">
        <v>0</v>
      </c>
      <c r="I812" t="n">
        <v>0</v>
      </c>
      <c r="J812" t="n">
        <v>0</v>
      </c>
      <c r="K812" t="n">
        <v>0</v>
      </c>
      <c r="L812" t="n">
        <v>0</v>
      </c>
      <c r="M812" t="n">
        <v>0</v>
      </c>
      <c r="N812" t="n">
        <v>0</v>
      </c>
      <c r="O812" t="n">
        <v>0</v>
      </c>
      <c r="P812" t="n">
        <v>0</v>
      </c>
      <c r="Q812" t="n">
        <v>0</v>
      </c>
      <c r="R812" s="2" t="inlineStr"/>
    </row>
    <row r="813" ht="15" customHeight="1">
      <c r="A813" t="inlineStr">
        <is>
          <t>A 17037-2025</t>
        </is>
      </c>
      <c r="B813" s="1" t="n">
        <v>45755</v>
      </c>
      <c r="C813" s="1" t="n">
        <v>45904</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36537-2025</t>
        </is>
      </c>
      <c r="B814" s="1" t="n">
        <v>45869</v>
      </c>
      <c r="C814" s="1" t="n">
        <v>45904</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38618-2025</t>
        </is>
      </c>
      <c r="B815" s="1" t="n">
        <v>45884.55263888889</v>
      </c>
      <c r="C815" s="1" t="n">
        <v>45904</v>
      </c>
      <c r="D815" t="inlineStr">
        <is>
          <t>JÄMTLANDS LÄN</t>
        </is>
      </c>
      <c r="E815" t="inlineStr">
        <is>
          <t>HÄRJEDALEN</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43607-2024</t>
        </is>
      </c>
      <c r="B816" s="1" t="n">
        <v>45569</v>
      </c>
      <c r="C816" s="1" t="n">
        <v>45904</v>
      </c>
      <c r="D816" t="inlineStr">
        <is>
          <t>JÄMTLANDS LÄN</t>
        </is>
      </c>
      <c r="E816" t="inlineStr">
        <is>
          <t>HÄRJEDALEN</t>
        </is>
      </c>
      <c r="F816" t="inlineStr">
        <is>
          <t>Bergvik skog väst AB</t>
        </is>
      </c>
      <c r="G816" t="n">
        <v>189.8</v>
      </c>
      <c r="H816" t="n">
        <v>0</v>
      </c>
      <c r="I816" t="n">
        <v>0</v>
      </c>
      <c r="J816" t="n">
        <v>0</v>
      </c>
      <c r="K816" t="n">
        <v>0</v>
      </c>
      <c r="L816" t="n">
        <v>0</v>
      </c>
      <c r="M816" t="n">
        <v>0</v>
      </c>
      <c r="N816" t="n">
        <v>0</v>
      </c>
      <c r="O816" t="n">
        <v>0</v>
      </c>
      <c r="P816" t="n">
        <v>0</v>
      </c>
      <c r="Q816" t="n">
        <v>0</v>
      </c>
      <c r="R816" s="2" t="inlineStr"/>
    </row>
    <row r="817" ht="15" customHeight="1">
      <c r="A817" t="inlineStr">
        <is>
          <t>A 48198-2024</t>
        </is>
      </c>
      <c r="B817" s="1" t="n">
        <v>45590.31899305555</v>
      </c>
      <c r="C817" s="1" t="n">
        <v>45904</v>
      </c>
      <c r="D817" t="inlineStr">
        <is>
          <t>JÄMTLANDS LÄN</t>
        </is>
      </c>
      <c r="E817" t="inlineStr">
        <is>
          <t>HÄRJEDALEN</t>
        </is>
      </c>
      <c r="G817" t="n">
        <v>1.9</v>
      </c>
      <c r="H817" t="n">
        <v>0</v>
      </c>
      <c r="I817" t="n">
        <v>0</v>
      </c>
      <c r="J817" t="n">
        <v>0</v>
      </c>
      <c r="K817" t="n">
        <v>0</v>
      </c>
      <c r="L817" t="n">
        <v>0</v>
      </c>
      <c r="M817" t="n">
        <v>0</v>
      </c>
      <c r="N817" t="n">
        <v>0</v>
      </c>
      <c r="O817" t="n">
        <v>0</v>
      </c>
      <c r="P817" t="n">
        <v>0</v>
      </c>
      <c r="Q817" t="n">
        <v>0</v>
      </c>
      <c r="R817" s="2" t="inlineStr"/>
    </row>
    <row r="818" ht="15" customHeight="1">
      <c r="A818" t="inlineStr">
        <is>
          <t>A 34181-2025</t>
        </is>
      </c>
      <c r="B818" s="1" t="n">
        <v>45845.60496527778</v>
      </c>
      <c r="C818" s="1" t="n">
        <v>45904</v>
      </c>
      <c r="D818" t="inlineStr">
        <is>
          <t>JÄMTLANDS LÄN</t>
        </is>
      </c>
      <c r="E818" t="inlineStr">
        <is>
          <t>HÄRJEDALEN</t>
        </is>
      </c>
      <c r="G818" t="n">
        <v>2.8</v>
      </c>
      <c r="H818" t="n">
        <v>0</v>
      </c>
      <c r="I818" t="n">
        <v>0</v>
      </c>
      <c r="J818" t="n">
        <v>0</v>
      </c>
      <c r="K818" t="n">
        <v>0</v>
      </c>
      <c r="L818" t="n">
        <v>0</v>
      </c>
      <c r="M818" t="n">
        <v>0</v>
      </c>
      <c r="N818" t="n">
        <v>0</v>
      </c>
      <c r="O818" t="n">
        <v>0</v>
      </c>
      <c r="P818" t="n">
        <v>0</v>
      </c>
      <c r="Q818" t="n">
        <v>0</v>
      </c>
      <c r="R818" s="2" t="inlineStr"/>
    </row>
    <row r="819" ht="15" customHeight="1">
      <c r="A819" t="inlineStr">
        <is>
          <t>A 18389-2021</t>
        </is>
      </c>
      <c r="B819" s="1" t="n">
        <v>44305</v>
      </c>
      <c r="C819" s="1" t="n">
        <v>45904</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37290-2025</t>
        </is>
      </c>
      <c r="B820" s="1" t="n">
        <v>45876</v>
      </c>
      <c r="C820" s="1" t="n">
        <v>45904</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36528-2025</t>
        </is>
      </c>
      <c r="B821" s="1" t="n">
        <v>45869</v>
      </c>
      <c r="C821" s="1" t="n">
        <v>45904</v>
      </c>
      <c r="D821" t="inlineStr">
        <is>
          <t>JÄMTLANDS LÄN</t>
        </is>
      </c>
      <c r="E821" t="inlineStr">
        <is>
          <t>HÄRJEDALEN</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29729-2024</t>
        </is>
      </c>
      <c r="B822" s="1" t="n">
        <v>45485</v>
      </c>
      <c r="C822" s="1" t="n">
        <v>45904</v>
      </c>
      <c r="D822" t="inlineStr">
        <is>
          <t>JÄMTLANDS LÄN</t>
        </is>
      </c>
      <c r="E822" t="inlineStr">
        <is>
          <t>HÄRJEDALEN</t>
        </is>
      </c>
      <c r="F822" t="inlineStr">
        <is>
          <t>Holmen skog AB</t>
        </is>
      </c>
      <c r="G822" t="n">
        <v>3.7</v>
      </c>
      <c r="H822" t="n">
        <v>0</v>
      </c>
      <c r="I822" t="n">
        <v>0</v>
      </c>
      <c r="J822" t="n">
        <v>0</v>
      </c>
      <c r="K822" t="n">
        <v>0</v>
      </c>
      <c r="L822" t="n">
        <v>0</v>
      </c>
      <c r="M822" t="n">
        <v>0</v>
      </c>
      <c r="N822" t="n">
        <v>0</v>
      </c>
      <c r="O822" t="n">
        <v>0</v>
      </c>
      <c r="P822" t="n">
        <v>0</v>
      </c>
      <c r="Q822" t="n">
        <v>0</v>
      </c>
      <c r="R822" s="2" t="inlineStr"/>
    </row>
    <row r="823" ht="15" customHeight="1">
      <c r="A823" t="inlineStr">
        <is>
          <t>A 34142-2025</t>
        </is>
      </c>
      <c r="B823" s="1" t="n">
        <v>45845.55259259259</v>
      </c>
      <c r="C823" s="1" t="n">
        <v>45904</v>
      </c>
      <c r="D823" t="inlineStr">
        <is>
          <t>JÄMTLANDS LÄN</t>
        </is>
      </c>
      <c r="E823" t="inlineStr">
        <is>
          <t>HÄRJEDALEN</t>
        </is>
      </c>
      <c r="G823" t="n">
        <v>10.7</v>
      </c>
      <c r="H823" t="n">
        <v>0</v>
      </c>
      <c r="I823" t="n">
        <v>0</v>
      </c>
      <c r="J823" t="n">
        <v>0</v>
      </c>
      <c r="K823" t="n">
        <v>0</v>
      </c>
      <c r="L823" t="n">
        <v>0</v>
      </c>
      <c r="M823" t="n">
        <v>0</v>
      </c>
      <c r="N823" t="n">
        <v>0</v>
      </c>
      <c r="O823" t="n">
        <v>0</v>
      </c>
      <c r="P823" t="n">
        <v>0</v>
      </c>
      <c r="Q823" t="n">
        <v>0</v>
      </c>
      <c r="R823" s="2" t="inlineStr"/>
    </row>
    <row r="824" ht="15" customHeight="1">
      <c r="A824" t="inlineStr">
        <is>
          <t>A 34143-2025</t>
        </is>
      </c>
      <c r="B824" s="1" t="n">
        <v>45845.55266203704</v>
      </c>
      <c r="C824" s="1" t="n">
        <v>45904</v>
      </c>
      <c r="D824" t="inlineStr">
        <is>
          <t>JÄMTLANDS LÄN</t>
        </is>
      </c>
      <c r="E824" t="inlineStr">
        <is>
          <t>HÄRJEDALEN</t>
        </is>
      </c>
      <c r="G824" t="n">
        <v>5.9</v>
      </c>
      <c r="H824" t="n">
        <v>0</v>
      </c>
      <c r="I824" t="n">
        <v>0</v>
      </c>
      <c r="J824" t="n">
        <v>0</v>
      </c>
      <c r="K824" t="n">
        <v>0</v>
      </c>
      <c r="L824" t="n">
        <v>0</v>
      </c>
      <c r="M824" t="n">
        <v>0</v>
      </c>
      <c r="N824" t="n">
        <v>0</v>
      </c>
      <c r="O824" t="n">
        <v>0</v>
      </c>
      <c r="P824" t="n">
        <v>0</v>
      </c>
      <c r="Q824" t="n">
        <v>0</v>
      </c>
      <c r="R824" s="2" t="inlineStr"/>
    </row>
    <row r="825" ht="15" customHeight="1">
      <c r="A825" t="inlineStr">
        <is>
          <t>A 63323-2023</t>
        </is>
      </c>
      <c r="B825" s="1" t="n">
        <v>45274</v>
      </c>
      <c r="C825" s="1" t="n">
        <v>45904</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36926-2023</t>
        </is>
      </c>
      <c r="B826" s="1" t="n">
        <v>45154</v>
      </c>
      <c r="C826" s="1" t="n">
        <v>45904</v>
      </c>
      <c r="D826" t="inlineStr">
        <is>
          <t>JÄMTLANDS LÄN</t>
        </is>
      </c>
      <c r="E826" t="inlineStr">
        <is>
          <t>HÄRJEDALEN</t>
        </is>
      </c>
      <c r="G826" t="n">
        <v>0.4</v>
      </c>
      <c r="H826" t="n">
        <v>0</v>
      </c>
      <c r="I826" t="n">
        <v>0</v>
      </c>
      <c r="J826" t="n">
        <v>0</v>
      </c>
      <c r="K826" t="n">
        <v>0</v>
      </c>
      <c r="L826" t="n">
        <v>0</v>
      </c>
      <c r="M826" t="n">
        <v>0</v>
      </c>
      <c r="N826" t="n">
        <v>0</v>
      </c>
      <c r="O826" t="n">
        <v>0</v>
      </c>
      <c r="P826" t="n">
        <v>0</v>
      </c>
      <c r="Q826" t="n">
        <v>0</v>
      </c>
      <c r="R826" s="2" t="inlineStr"/>
    </row>
    <row r="827" ht="15" customHeight="1">
      <c r="A827" t="inlineStr">
        <is>
          <t>A 39140-2025</t>
        </is>
      </c>
      <c r="B827" s="1" t="n">
        <v>45888.59509259259</v>
      </c>
      <c r="C827" s="1" t="n">
        <v>45904</v>
      </c>
      <c r="D827" t="inlineStr">
        <is>
          <t>JÄMTLANDS LÄN</t>
        </is>
      </c>
      <c r="E827" t="inlineStr">
        <is>
          <t>HÄRJEDALEN</t>
        </is>
      </c>
      <c r="G827" t="n">
        <v>14.8</v>
      </c>
      <c r="H827" t="n">
        <v>0</v>
      </c>
      <c r="I827" t="n">
        <v>0</v>
      </c>
      <c r="J827" t="n">
        <v>0</v>
      </c>
      <c r="K827" t="n">
        <v>0</v>
      </c>
      <c r="L827" t="n">
        <v>0</v>
      </c>
      <c r="M827" t="n">
        <v>0</v>
      </c>
      <c r="N827" t="n">
        <v>0</v>
      </c>
      <c r="O827" t="n">
        <v>0</v>
      </c>
      <c r="P827" t="n">
        <v>0</v>
      </c>
      <c r="Q827" t="n">
        <v>0</v>
      </c>
      <c r="R827" s="2" t="inlineStr"/>
    </row>
    <row r="828" ht="15" customHeight="1">
      <c r="A828" t="inlineStr">
        <is>
          <t>A 11096-2025</t>
        </is>
      </c>
      <c r="B828" s="1" t="n">
        <v>45723.58140046296</v>
      </c>
      <c r="C828" s="1" t="n">
        <v>45904</v>
      </c>
      <c r="D828" t="inlineStr">
        <is>
          <t>JÄMTLANDS LÄN</t>
        </is>
      </c>
      <c r="E828" t="inlineStr">
        <is>
          <t>HÄRJEDALEN</t>
        </is>
      </c>
      <c r="G828" t="n">
        <v>3.3</v>
      </c>
      <c r="H828" t="n">
        <v>0</v>
      </c>
      <c r="I828" t="n">
        <v>0</v>
      </c>
      <c r="J828" t="n">
        <v>0</v>
      </c>
      <c r="K828" t="n">
        <v>0</v>
      </c>
      <c r="L828" t="n">
        <v>0</v>
      </c>
      <c r="M828" t="n">
        <v>0</v>
      </c>
      <c r="N828" t="n">
        <v>0</v>
      </c>
      <c r="O828" t="n">
        <v>0</v>
      </c>
      <c r="P828" t="n">
        <v>0</v>
      </c>
      <c r="Q828" t="n">
        <v>0</v>
      </c>
      <c r="R828" s="2" t="inlineStr"/>
    </row>
    <row r="829" ht="15" customHeight="1">
      <c r="A829" t="inlineStr">
        <is>
          <t>A 34570-2025</t>
        </is>
      </c>
      <c r="B829" s="1" t="n">
        <v>45847.58865740741</v>
      </c>
      <c r="C829" s="1" t="n">
        <v>45904</v>
      </c>
      <c r="D829" t="inlineStr">
        <is>
          <t>JÄMTLANDS LÄN</t>
        </is>
      </c>
      <c r="E829" t="inlineStr">
        <is>
          <t>HÄRJEDALEN</t>
        </is>
      </c>
      <c r="F829" t="inlineStr">
        <is>
          <t>Bergvik skog väst AB</t>
        </is>
      </c>
      <c r="G829" t="n">
        <v>19.1</v>
      </c>
      <c r="H829" t="n">
        <v>0</v>
      </c>
      <c r="I829" t="n">
        <v>0</v>
      </c>
      <c r="J829" t="n">
        <v>0</v>
      </c>
      <c r="K829" t="n">
        <v>0</v>
      </c>
      <c r="L829" t="n">
        <v>0</v>
      </c>
      <c r="M829" t="n">
        <v>0</v>
      </c>
      <c r="N829" t="n">
        <v>0</v>
      </c>
      <c r="O829" t="n">
        <v>0</v>
      </c>
      <c r="P829" t="n">
        <v>0</v>
      </c>
      <c r="Q829" t="n">
        <v>0</v>
      </c>
      <c r="R829" s="2" t="inlineStr"/>
    </row>
    <row r="830" ht="15" customHeight="1">
      <c r="A830" t="inlineStr">
        <is>
          <t>A 39212-2025</t>
        </is>
      </c>
      <c r="B830" s="1" t="n">
        <v>45888.78833333333</v>
      </c>
      <c r="C830" s="1" t="n">
        <v>45904</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39213-2025</t>
        </is>
      </c>
      <c r="B831" s="1" t="n">
        <v>45888.78960648148</v>
      </c>
      <c r="C831" s="1" t="n">
        <v>45904</v>
      </c>
      <c r="D831" t="inlineStr">
        <is>
          <t>JÄMTLANDS LÄN</t>
        </is>
      </c>
      <c r="E831" t="inlineStr">
        <is>
          <t>HÄRJEDALEN</t>
        </is>
      </c>
      <c r="G831" t="n">
        <v>0.9</v>
      </c>
      <c r="H831" t="n">
        <v>0</v>
      </c>
      <c r="I831" t="n">
        <v>0</v>
      </c>
      <c r="J831" t="n">
        <v>0</v>
      </c>
      <c r="K831" t="n">
        <v>0</v>
      </c>
      <c r="L831" t="n">
        <v>0</v>
      </c>
      <c r="M831" t="n">
        <v>0</v>
      </c>
      <c r="N831" t="n">
        <v>0</v>
      </c>
      <c r="O831" t="n">
        <v>0</v>
      </c>
      <c r="P831" t="n">
        <v>0</v>
      </c>
      <c r="Q831" t="n">
        <v>0</v>
      </c>
      <c r="R831" s="2" t="inlineStr"/>
    </row>
    <row r="832" ht="15" customHeight="1">
      <c r="A832" t="inlineStr">
        <is>
          <t>A 39211-2025</t>
        </is>
      </c>
      <c r="B832" s="1" t="n">
        <v>45888.78539351852</v>
      </c>
      <c r="C832" s="1" t="n">
        <v>45904</v>
      </c>
      <c r="D832" t="inlineStr">
        <is>
          <t>JÄMTLANDS LÄN</t>
        </is>
      </c>
      <c r="E832" t="inlineStr">
        <is>
          <t>HÄRJEDALEN</t>
        </is>
      </c>
      <c r="G832" t="n">
        <v>1.2</v>
      </c>
      <c r="H832" t="n">
        <v>0</v>
      </c>
      <c r="I832" t="n">
        <v>0</v>
      </c>
      <c r="J832" t="n">
        <v>0</v>
      </c>
      <c r="K832" t="n">
        <v>0</v>
      </c>
      <c r="L832" t="n">
        <v>0</v>
      </c>
      <c r="M832" t="n">
        <v>0</v>
      </c>
      <c r="N832" t="n">
        <v>0</v>
      </c>
      <c r="O832" t="n">
        <v>0</v>
      </c>
      <c r="P832" t="n">
        <v>0</v>
      </c>
      <c r="Q832" t="n">
        <v>0</v>
      </c>
      <c r="R832" s="2" t="inlineStr"/>
    </row>
    <row r="833" ht="15" customHeight="1">
      <c r="A833" t="inlineStr">
        <is>
          <t>A 48708-2023</t>
        </is>
      </c>
      <c r="B833" s="1" t="n">
        <v>45208</v>
      </c>
      <c r="C833" s="1" t="n">
        <v>45904</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39290-2025</t>
        </is>
      </c>
      <c r="B834" s="1" t="n">
        <v>45889.40916666666</v>
      </c>
      <c r="C834" s="1" t="n">
        <v>45904</v>
      </c>
      <c r="D834" t="inlineStr">
        <is>
          <t>JÄMTLANDS LÄN</t>
        </is>
      </c>
      <c r="E834" t="inlineStr">
        <is>
          <t>HÄRJEDALEN</t>
        </is>
      </c>
      <c r="G834" t="n">
        <v>10.9</v>
      </c>
      <c r="H834" t="n">
        <v>0</v>
      </c>
      <c r="I834" t="n">
        <v>0</v>
      </c>
      <c r="J834" t="n">
        <v>0</v>
      </c>
      <c r="K834" t="n">
        <v>0</v>
      </c>
      <c r="L834" t="n">
        <v>0</v>
      </c>
      <c r="M834" t="n">
        <v>0</v>
      </c>
      <c r="N834" t="n">
        <v>0</v>
      </c>
      <c r="O834" t="n">
        <v>0</v>
      </c>
      <c r="P834" t="n">
        <v>0</v>
      </c>
      <c r="Q834" t="n">
        <v>0</v>
      </c>
      <c r="R834" s="2" t="inlineStr"/>
    </row>
    <row r="835" ht="15" customHeight="1">
      <c r="A835" t="inlineStr">
        <is>
          <t>A 39291-2025</t>
        </is>
      </c>
      <c r="B835" s="1" t="n">
        <v>45889.41715277778</v>
      </c>
      <c r="C835" s="1" t="n">
        <v>45904</v>
      </c>
      <c r="D835" t="inlineStr">
        <is>
          <t>JÄMTLANDS LÄN</t>
        </is>
      </c>
      <c r="E835" t="inlineStr">
        <is>
          <t>HÄRJEDALEN</t>
        </is>
      </c>
      <c r="G835" t="n">
        <v>2.7</v>
      </c>
      <c r="H835" t="n">
        <v>0</v>
      </c>
      <c r="I835" t="n">
        <v>0</v>
      </c>
      <c r="J835" t="n">
        <v>0</v>
      </c>
      <c r="K835" t="n">
        <v>0</v>
      </c>
      <c r="L835" t="n">
        <v>0</v>
      </c>
      <c r="M835" t="n">
        <v>0</v>
      </c>
      <c r="N835" t="n">
        <v>0</v>
      </c>
      <c r="O835" t="n">
        <v>0</v>
      </c>
      <c r="P835" t="n">
        <v>0</v>
      </c>
      <c r="Q835" t="n">
        <v>0</v>
      </c>
      <c r="R835" s="2" t="inlineStr"/>
    </row>
    <row r="836" ht="15" customHeight="1">
      <c r="A836" t="inlineStr">
        <is>
          <t>A 19962-2021</t>
        </is>
      </c>
      <c r="B836" s="1" t="n">
        <v>44312</v>
      </c>
      <c r="C836" s="1" t="n">
        <v>45904</v>
      </c>
      <c r="D836" t="inlineStr">
        <is>
          <t>JÄMTLANDS LÄN</t>
        </is>
      </c>
      <c r="E836" t="inlineStr">
        <is>
          <t>HÄRJEDALEN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43748-2020</t>
        </is>
      </c>
      <c r="B837" s="1" t="n">
        <v>44082</v>
      </c>
      <c r="C837" s="1" t="n">
        <v>45904</v>
      </c>
      <c r="D837" t="inlineStr">
        <is>
          <t>JÄMTLANDS LÄN</t>
        </is>
      </c>
      <c r="E837" t="inlineStr">
        <is>
          <t>HÄRJEDALEN</t>
        </is>
      </c>
      <c r="F837" t="inlineStr">
        <is>
          <t>Holmen skog AB</t>
        </is>
      </c>
      <c r="G837" t="n">
        <v>0.4</v>
      </c>
      <c r="H837" t="n">
        <v>0</v>
      </c>
      <c r="I837" t="n">
        <v>0</v>
      </c>
      <c r="J837" t="n">
        <v>0</v>
      </c>
      <c r="K837" t="n">
        <v>0</v>
      </c>
      <c r="L837" t="n">
        <v>0</v>
      </c>
      <c r="M837" t="n">
        <v>0</v>
      </c>
      <c r="N837" t="n">
        <v>0</v>
      </c>
      <c r="O837" t="n">
        <v>0</v>
      </c>
      <c r="P837" t="n">
        <v>0</v>
      </c>
      <c r="Q837" t="n">
        <v>0</v>
      </c>
      <c r="R837" s="2" t="inlineStr"/>
    </row>
    <row r="838" ht="15" customHeight="1">
      <c r="A838" t="inlineStr">
        <is>
          <t>A 60749-2023</t>
        </is>
      </c>
      <c r="B838" s="1" t="n">
        <v>45260.59042824074</v>
      </c>
      <c r="C838" s="1" t="n">
        <v>45904</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34691-2025</t>
        </is>
      </c>
      <c r="B839" s="1" t="n">
        <v>45848.45113425926</v>
      </c>
      <c r="C839" s="1" t="n">
        <v>45904</v>
      </c>
      <c r="D839" t="inlineStr">
        <is>
          <t>JÄMTLANDS LÄN</t>
        </is>
      </c>
      <c r="E839" t="inlineStr">
        <is>
          <t>HÄRJEDALEN</t>
        </is>
      </c>
      <c r="F839" t="inlineStr">
        <is>
          <t>Bergvik skog väst AB</t>
        </is>
      </c>
      <c r="G839" t="n">
        <v>6.1</v>
      </c>
      <c r="H839" t="n">
        <v>0</v>
      </c>
      <c r="I839" t="n">
        <v>0</v>
      </c>
      <c r="J839" t="n">
        <v>0</v>
      </c>
      <c r="K839" t="n">
        <v>0</v>
      </c>
      <c r="L839" t="n">
        <v>0</v>
      </c>
      <c r="M839" t="n">
        <v>0</v>
      </c>
      <c r="N839" t="n">
        <v>0</v>
      </c>
      <c r="O839" t="n">
        <v>0</v>
      </c>
      <c r="P839" t="n">
        <v>0</v>
      </c>
      <c r="Q839" t="n">
        <v>0</v>
      </c>
      <c r="R839" s="2" t="inlineStr"/>
    </row>
    <row r="840" ht="15" customHeight="1">
      <c r="A840" t="inlineStr">
        <is>
          <t>A 23185-2023</t>
        </is>
      </c>
      <c r="B840" s="1" t="n">
        <v>45075.59148148148</v>
      </c>
      <c r="C840" s="1" t="n">
        <v>45904</v>
      </c>
      <c r="D840" t="inlineStr">
        <is>
          <t>JÄMTLANDS LÄN</t>
        </is>
      </c>
      <c r="E840" t="inlineStr">
        <is>
          <t>HÄRJEDALEN</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46103-2020</t>
        </is>
      </c>
      <c r="B841" s="1" t="n">
        <v>44091</v>
      </c>
      <c r="C841" s="1" t="n">
        <v>45904</v>
      </c>
      <c r="D841" t="inlineStr">
        <is>
          <t>JÄMTLANDS LÄN</t>
        </is>
      </c>
      <c r="E841" t="inlineStr">
        <is>
          <t>HÄRJEDALEN</t>
        </is>
      </c>
      <c r="G841" t="n">
        <v>2.8</v>
      </c>
      <c r="H841" t="n">
        <v>0</v>
      </c>
      <c r="I841" t="n">
        <v>0</v>
      </c>
      <c r="J841" t="n">
        <v>0</v>
      </c>
      <c r="K841" t="n">
        <v>0</v>
      </c>
      <c r="L841" t="n">
        <v>0</v>
      </c>
      <c r="M841" t="n">
        <v>0</v>
      </c>
      <c r="N841" t="n">
        <v>0</v>
      </c>
      <c r="O841" t="n">
        <v>0</v>
      </c>
      <c r="P841" t="n">
        <v>0</v>
      </c>
      <c r="Q841" t="n">
        <v>0</v>
      </c>
      <c r="R841" s="2" t="inlineStr"/>
    </row>
    <row r="842" ht="15" customHeight="1">
      <c r="A842" t="inlineStr">
        <is>
          <t>A 4590-2025</t>
        </is>
      </c>
      <c r="B842" s="1" t="n">
        <v>45687.53689814815</v>
      </c>
      <c r="C842" s="1" t="n">
        <v>45904</v>
      </c>
      <c r="D842" t="inlineStr">
        <is>
          <t>JÄMTLANDS LÄN</t>
        </is>
      </c>
      <c r="E842" t="inlineStr">
        <is>
          <t>HÄRJEDALEN</t>
        </is>
      </c>
      <c r="G842" t="n">
        <v>3.6</v>
      </c>
      <c r="H842" t="n">
        <v>0</v>
      </c>
      <c r="I842" t="n">
        <v>0</v>
      </c>
      <c r="J842" t="n">
        <v>0</v>
      </c>
      <c r="K842" t="n">
        <v>0</v>
      </c>
      <c r="L842" t="n">
        <v>0</v>
      </c>
      <c r="M842" t="n">
        <v>0</v>
      </c>
      <c r="N842" t="n">
        <v>0</v>
      </c>
      <c r="O842" t="n">
        <v>0</v>
      </c>
      <c r="P842" t="n">
        <v>0</v>
      </c>
      <c r="Q842" t="n">
        <v>0</v>
      </c>
      <c r="R842" s="2" t="inlineStr"/>
    </row>
    <row r="843" ht="15" customHeight="1">
      <c r="A843" t="inlineStr">
        <is>
          <t>A 34767-2025</t>
        </is>
      </c>
      <c r="B843" s="1" t="n">
        <v>45848.65003472222</v>
      </c>
      <c r="C843" s="1" t="n">
        <v>45904</v>
      </c>
      <c r="D843" t="inlineStr">
        <is>
          <t>JÄMTLANDS LÄN</t>
        </is>
      </c>
      <c r="E843" t="inlineStr">
        <is>
          <t>HÄRJEDALEN</t>
        </is>
      </c>
      <c r="G843" t="n">
        <v>0.6</v>
      </c>
      <c r="H843" t="n">
        <v>0</v>
      </c>
      <c r="I843" t="n">
        <v>0</v>
      </c>
      <c r="J843" t="n">
        <v>0</v>
      </c>
      <c r="K843" t="n">
        <v>0</v>
      </c>
      <c r="L843" t="n">
        <v>0</v>
      </c>
      <c r="M843" t="n">
        <v>0</v>
      </c>
      <c r="N843" t="n">
        <v>0</v>
      </c>
      <c r="O843" t="n">
        <v>0</v>
      </c>
      <c r="P843" t="n">
        <v>0</v>
      </c>
      <c r="Q843" t="n">
        <v>0</v>
      </c>
      <c r="R843" s="2" t="inlineStr"/>
    </row>
    <row r="844" ht="15" customHeight="1">
      <c r="A844" t="inlineStr">
        <is>
          <t>A 34807-2025</t>
        </is>
      </c>
      <c r="B844" s="1" t="n">
        <v>45849</v>
      </c>
      <c r="C844" s="1" t="n">
        <v>45904</v>
      </c>
      <c r="D844" t="inlineStr">
        <is>
          <t>JÄMTLANDS LÄN</t>
        </is>
      </c>
      <c r="E844" t="inlineStr">
        <is>
          <t>HÄRJEDALEN</t>
        </is>
      </c>
      <c r="G844" t="n">
        <v>6.6</v>
      </c>
      <c r="H844" t="n">
        <v>0</v>
      </c>
      <c r="I844" t="n">
        <v>0</v>
      </c>
      <c r="J844" t="n">
        <v>0</v>
      </c>
      <c r="K844" t="n">
        <v>0</v>
      </c>
      <c r="L844" t="n">
        <v>0</v>
      </c>
      <c r="M844" t="n">
        <v>0</v>
      </c>
      <c r="N844" t="n">
        <v>0</v>
      </c>
      <c r="O844" t="n">
        <v>0</v>
      </c>
      <c r="P844" t="n">
        <v>0</v>
      </c>
      <c r="Q844" t="n">
        <v>0</v>
      </c>
      <c r="R844" s="2" t="inlineStr"/>
    </row>
    <row r="845" ht="15" customHeight="1">
      <c r="A845" t="inlineStr">
        <is>
          <t>A 34702-2025</t>
        </is>
      </c>
      <c r="B845" s="1" t="n">
        <v>45848</v>
      </c>
      <c r="C845" s="1" t="n">
        <v>45904</v>
      </c>
      <c r="D845" t="inlineStr">
        <is>
          <t>JÄMTLANDS LÄN</t>
        </is>
      </c>
      <c r="E845" t="inlineStr">
        <is>
          <t>HÄRJEDALEN</t>
        </is>
      </c>
      <c r="F845" t="inlineStr">
        <is>
          <t>Bergvik skog väst AB</t>
        </is>
      </c>
      <c r="G845" t="n">
        <v>2.3</v>
      </c>
      <c r="H845" t="n">
        <v>0</v>
      </c>
      <c r="I845" t="n">
        <v>0</v>
      </c>
      <c r="J845" t="n">
        <v>0</v>
      </c>
      <c r="K845" t="n">
        <v>0</v>
      </c>
      <c r="L845" t="n">
        <v>0</v>
      </c>
      <c r="M845" t="n">
        <v>0</v>
      </c>
      <c r="N845" t="n">
        <v>0</v>
      </c>
      <c r="O845" t="n">
        <v>0</v>
      </c>
      <c r="P845" t="n">
        <v>0</v>
      </c>
      <c r="Q845" t="n">
        <v>0</v>
      </c>
      <c r="R845" s="2" t="inlineStr"/>
    </row>
    <row r="846" ht="15" customHeight="1">
      <c r="A846" t="inlineStr">
        <is>
          <t>A 14368-2025</t>
        </is>
      </c>
      <c r="B846" s="1" t="n">
        <v>45741.39084490741</v>
      </c>
      <c r="C846" s="1" t="n">
        <v>45904</v>
      </c>
      <c r="D846" t="inlineStr">
        <is>
          <t>JÄMTLANDS LÄN</t>
        </is>
      </c>
      <c r="E846" t="inlineStr">
        <is>
          <t>HÄRJEDALEN</t>
        </is>
      </c>
      <c r="G846" t="n">
        <v>6.5</v>
      </c>
      <c r="H846" t="n">
        <v>0</v>
      </c>
      <c r="I846" t="n">
        <v>0</v>
      </c>
      <c r="J846" t="n">
        <v>0</v>
      </c>
      <c r="K846" t="n">
        <v>0</v>
      </c>
      <c r="L846" t="n">
        <v>0</v>
      </c>
      <c r="M846" t="n">
        <v>0</v>
      </c>
      <c r="N846" t="n">
        <v>0</v>
      </c>
      <c r="O846" t="n">
        <v>0</v>
      </c>
      <c r="P846" t="n">
        <v>0</v>
      </c>
      <c r="Q846" t="n">
        <v>0</v>
      </c>
      <c r="R846" s="2" t="inlineStr"/>
    </row>
    <row r="847" ht="15" customHeight="1">
      <c r="A847" t="inlineStr">
        <is>
          <t>A 56182-2024</t>
        </is>
      </c>
      <c r="B847" s="1" t="n">
        <v>45624.57098379629</v>
      </c>
      <c r="C847" s="1" t="n">
        <v>45904</v>
      </c>
      <c r="D847" t="inlineStr">
        <is>
          <t>JÄMTLANDS LÄN</t>
        </is>
      </c>
      <c r="E847" t="inlineStr">
        <is>
          <t>HÄRJEDALEN</t>
        </is>
      </c>
      <c r="G847" t="n">
        <v>9</v>
      </c>
      <c r="H847" t="n">
        <v>0</v>
      </c>
      <c r="I847" t="n">
        <v>0</v>
      </c>
      <c r="J847" t="n">
        <v>0</v>
      </c>
      <c r="K847" t="n">
        <v>0</v>
      </c>
      <c r="L847" t="n">
        <v>0</v>
      </c>
      <c r="M847" t="n">
        <v>0</v>
      </c>
      <c r="N847" t="n">
        <v>0</v>
      </c>
      <c r="O847" t="n">
        <v>0</v>
      </c>
      <c r="P847" t="n">
        <v>0</v>
      </c>
      <c r="Q847" t="n">
        <v>0</v>
      </c>
      <c r="R847" s="2" t="inlineStr"/>
    </row>
    <row r="848" ht="15" customHeight="1">
      <c r="A848" t="inlineStr">
        <is>
          <t>A 34726-2025</t>
        </is>
      </c>
      <c r="B848" s="1" t="n">
        <v>45848.57644675926</v>
      </c>
      <c r="C848" s="1" t="n">
        <v>45904</v>
      </c>
      <c r="D848" t="inlineStr">
        <is>
          <t>JÄMTLANDS LÄN</t>
        </is>
      </c>
      <c r="E848" t="inlineStr">
        <is>
          <t>HÄRJEDALEN</t>
        </is>
      </c>
      <c r="F848" t="inlineStr">
        <is>
          <t>Kyrkan</t>
        </is>
      </c>
      <c r="G848" t="n">
        <v>1.5</v>
      </c>
      <c r="H848" t="n">
        <v>0</v>
      </c>
      <c r="I848" t="n">
        <v>0</v>
      </c>
      <c r="J848" t="n">
        <v>0</v>
      </c>
      <c r="K848" t="n">
        <v>0</v>
      </c>
      <c r="L848" t="n">
        <v>0</v>
      </c>
      <c r="M848" t="n">
        <v>0</v>
      </c>
      <c r="N848" t="n">
        <v>0</v>
      </c>
      <c r="O848" t="n">
        <v>0</v>
      </c>
      <c r="P848" t="n">
        <v>0</v>
      </c>
      <c r="Q848" t="n">
        <v>0</v>
      </c>
      <c r="R848" s="2" t="inlineStr"/>
    </row>
    <row r="849" ht="15" customHeight="1">
      <c r="A849" t="inlineStr">
        <is>
          <t>A 55669-2024</t>
        </is>
      </c>
      <c r="B849" s="1" t="n">
        <v>45622.64627314815</v>
      </c>
      <c r="C849" s="1" t="n">
        <v>45904</v>
      </c>
      <c r="D849" t="inlineStr">
        <is>
          <t>JÄMTLANDS LÄN</t>
        </is>
      </c>
      <c r="E849" t="inlineStr">
        <is>
          <t>HÄRJEDALEN</t>
        </is>
      </c>
      <c r="G849" t="n">
        <v>1.7</v>
      </c>
      <c r="H849" t="n">
        <v>0</v>
      </c>
      <c r="I849" t="n">
        <v>0</v>
      </c>
      <c r="J849" t="n">
        <v>0</v>
      </c>
      <c r="K849" t="n">
        <v>0</v>
      </c>
      <c r="L849" t="n">
        <v>0</v>
      </c>
      <c r="M849" t="n">
        <v>0</v>
      </c>
      <c r="N849" t="n">
        <v>0</v>
      </c>
      <c r="O849" t="n">
        <v>0</v>
      </c>
      <c r="P849" t="n">
        <v>0</v>
      </c>
      <c r="Q849" t="n">
        <v>0</v>
      </c>
      <c r="R849" s="2" t="inlineStr"/>
    </row>
    <row r="850" ht="15" customHeight="1">
      <c r="A850" t="inlineStr">
        <is>
          <t>A 5098-2025</t>
        </is>
      </c>
      <c r="B850" s="1" t="n">
        <v>45691</v>
      </c>
      <c r="C850" s="1" t="n">
        <v>45904</v>
      </c>
      <c r="D850" t="inlineStr">
        <is>
          <t>JÄMTLANDS LÄN</t>
        </is>
      </c>
      <c r="E850" t="inlineStr">
        <is>
          <t>HÄRJEDALEN</t>
        </is>
      </c>
      <c r="F850" t="inlineStr">
        <is>
          <t>Holmen skog AB</t>
        </is>
      </c>
      <c r="G850" t="n">
        <v>15.2</v>
      </c>
      <c r="H850" t="n">
        <v>0</v>
      </c>
      <c r="I850" t="n">
        <v>0</v>
      </c>
      <c r="J850" t="n">
        <v>0</v>
      </c>
      <c r="K850" t="n">
        <v>0</v>
      </c>
      <c r="L850" t="n">
        <v>0</v>
      </c>
      <c r="M850" t="n">
        <v>0</v>
      </c>
      <c r="N850" t="n">
        <v>0</v>
      </c>
      <c r="O850" t="n">
        <v>0</v>
      </c>
      <c r="P850" t="n">
        <v>0</v>
      </c>
      <c r="Q850" t="n">
        <v>0</v>
      </c>
      <c r="R850" s="2" t="inlineStr"/>
    </row>
    <row r="851" ht="15" customHeight="1">
      <c r="A851" t="inlineStr">
        <is>
          <t>A 5102-2025</t>
        </is>
      </c>
      <c r="B851" s="1" t="n">
        <v>45691</v>
      </c>
      <c r="C851" s="1" t="n">
        <v>45904</v>
      </c>
      <c r="D851" t="inlineStr">
        <is>
          <t>JÄMTLANDS LÄN</t>
        </is>
      </c>
      <c r="E851" t="inlineStr">
        <is>
          <t>HÄRJEDALEN</t>
        </is>
      </c>
      <c r="F851" t="inlineStr">
        <is>
          <t>Holmen skog AB</t>
        </is>
      </c>
      <c r="G851" t="n">
        <v>19.3</v>
      </c>
      <c r="H851" t="n">
        <v>0</v>
      </c>
      <c r="I851" t="n">
        <v>0</v>
      </c>
      <c r="J851" t="n">
        <v>0</v>
      </c>
      <c r="K851" t="n">
        <v>0</v>
      </c>
      <c r="L851" t="n">
        <v>0</v>
      </c>
      <c r="M851" t="n">
        <v>0</v>
      </c>
      <c r="N851" t="n">
        <v>0</v>
      </c>
      <c r="O851" t="n">
        <v>0</v>
      </c>
      <c r="P851" t="n">
        <v>0</v>
      </c>
      <c r="Q851" t="n">
        <v>0</v>
      </c>
      <c r="R851" s="2" t="inlineStr"/>
    </row>
    <row r="852" ht="15" customHeight="1">
      <c r="A852" t="inlineStr">
        <is>
          <t>A 34775-2025</t>
        </is>
      </c>
      <c r="B852" s="1" t="n">
        <v>45848.6568287037</v>
      </c>
      <c r="C852" s="1" t="n">
        <v>45904</v>
      </c>
      <c r="D852" t="inlineStr">
        <is>
          <t>JÄMTLANDS LÄN</t>
        </is>
      </c>
      <c r="E852" t="inlineStr">
        <is>
          <t>HÄRJEDALEN</t>
        </is>
      </c>
      <c r="G852" t="n">
        <v>2.1</v>
      </c>
      <c r="H852" t="n">
        <v>0</v>
      </c>
      <c r="I852" t="n">
        <v>0</v>
      </c>
      <c r="J852" t="n">
        <v>0</v>
      </c>
      <c r="K852" t="n">
        <v>0</v>
      </c>
      <c r="L852" t="n">
        <v>0</v>
      </c>
      <c r="M852" t="n">
        <v>0</v>
      </c>
      <c r="N852" t="n">
        <v>0</v>
      </c>
      <c r="O852" t="n">
        <v>0</v>
      </c>
      <c r="P852" t="n">
        <v>0</v>
      </c>
      <c r="Q852" t="n">
        <v>0</v>
      </c>
      <c r="R852" s="2" t="inlineStr"/>
    </row>
    <row r="853" ht="15" customHeight="1">
      <c r="A853" t="inlineStr">
        <is>
          <t>A 34790-2025</t>
        </is>
      </c>
      <c r="B853" s="1" t="n">
        <v>45848.68640046296</v>
      </c>
      <c r="C853" s="1" t="n">
        <v>45904</v>
      </c>
      <c r="D853" t="inlineStr">
        <is>
          <t>JÄMTLANDS LÄN</t>
        </is>
      </c>
      <c r="E853" t="inlineStr">
        <is>
          <t>HÄRJEDALEN</t>
        </is>
      </c>
      <c r="F853" t="inlineStr">
        <is>
          <t>Bergvik skog väst AB</t>
        </is>
      </c>
      <c r="G853" t="n">
        <v>32.2</v>
      </c>
      <c r="H853" t="n">
        <v>0</v>
      </c>
      <c r="I853" t="n">
        <v>0</v>
      </c>
      <c r="J853" t="n">
        <v>0</v>
      </c>
      <c r="K853" t="n">
        <v>0</v>
      </c>
      <c r="L853" t="n">
        <v>0</v>
      </c>
      <c r="M853" t="n">
        <v>0</v>
      </c>
      <c r="N853" t="n">
        <v>0</v>
      </c>
      <c r="O853" t="n">
        <v>0</v>
      </c>
      <c r="P853" t="n">
        <v>0</v>
      </c>
      <c r="Q853" t="n">
        <v>0</v>
      </c>
      <c r="R853" s="2" t="inlineStr"/>
    </row>
    <row r="854" ht="15" customHeight="1">
      <c r="A854" t="inlineStr">
        <is>
          <t>A 34757-2025</t>
        </is>
      </c>
      <c r="B854" s="1" t="n">
        <v>45848.62873842593</v>
      </c>
      <c r="C854" s="1" t="n">
        <v>45904</v>
      </c>
      <c r="D854" t="inlineStr">
        <is>
          <t>JÄMTLANDS LÄN</t>
        </is>
      </c>
      <c r="E854" t="inlineStr">
        <is>
          <t>HÄRJEDALEN</t>
        </is>
      </c>
      <c r="G854" t="n">
        <v>19.6</v>
      </c>
      <c r="H854" t="n">
        <v>0</v>
      </c>
      <c r="I854" t="n">
        <v>0</v>
      </c>
      <c r="J854" t="n">
        <v>0</v>
      </c>
      <c r="K854" t="n">
        <v>0</v>
      </c>
      <c r="L854" t="n">
        <v>0</v>
      </c>
      <c r="M854" t="n">
        <v>0</v>
      </c>
      <c r="N854" t="n">
        <v>0</v>
      </c>
      <c r="O854" t="n">
        <v>0</v>
      </c>
      <c r="P854" t="n">
        <v>0</v>
      </c>
      <c r="Q854" t="n">
        <v>0</v>
      </c>
      <c r="R854" s="2" t="inlineStr"/>
    </row>
    <row r="855" ht="15" customHeight="1">
      <c r="A855" t="inlineStr">
        <is>
          <t>A 34761-2025</t>
        </is>
      </c>
      <c r="B855" s="1" t="n">
        <v>45848.639375</v>
      </c>
      <c r="C855" s="1" t="n">
        <v>45904</v>
      </c>
      <c r="D855" t="inlineStr">
        <is>
          <t>JÄMTLANDS LÄN</t>
        </is>
      </c>
      <c r="E855" t="inlineStr">
        <is>
          <t>HÄRJEDALEN</t>
        </is>
      </c>
      <c r="G855" t="n">
        <v>5.6</v>
      </c>
      <c r="H855" t="n">
        <v>0</v>
      </c>
      <c r="I855" t="n">
        <v>0</v>
      </c>
      <c r="J855" t="n">
        <v>0</v>
      </c>
      <c r="K855" t="n">
        <v>0</v>
      </c>
      <c r="L855" t="n">
        <v>0</v>
      </c>
      <c r="M855" t="n">
        <v>0</v>
      </c>
      <c r="N855" t="n">
        <v>0</v>
      </c>
      <c r="O855" t="n">
        <v>0</v>
      </c>
      <c r="P855" t="n">
        <v>0</v>
      </c>
      <c r="Q855" t="n">
        <v>0</v>
      </c>
      <c r="R855" s="2" t="inlineStr"/>
    </row>
    <row r="856" ht="15" customHeight="1">
      <c r="A856" t="inlineStr">
        <is>
          <t>A 34653-2025</t>
        </is>
      </c>
      <c r="B856" s="1" t="n">
        <v>45848.35400462963</v>
      </c>
      <c r="C856" s="1" t="n">
        <v>45904</v>
      </c>
      <c r="D856" t="inlineStr">
        <is>
          <t>JÄMTLANDS LÄN</t>
        </is>
      </c>
      <c r="E856" t="inlineStr">
        <is>
          <t>HÄRJEDALEN</t>
        </is>
      </c>
      <c r="G856" t="n">
        <v>26.8</v>
      </c>
      <c r="H856" t="n">
        <v>0</v>
      </c>
      <c r="I856" t="n">
        <v>0</v>
      </c>
      <c r="J856" t="n">
        <v>0</v>
      </c>
      <c r="K856" t="n">
        <v>0</v>
      </c>
      <c r="L856" t="n">
        <v>0</v>
      </c>
      <c r="M856" t="n">
        <v>0</v>
      </c>
      <c r="N856" t="n">
        <v>0</v>
      </c>
      <c r="O856" t="n">
        <v>0</v>
      </c>
      <c r="P856" t="n">
        <v>0</v>
      </c>
      <c r="Q856" t="n">
        <v>0</v>
      </c>
      <c r="R856" s="2" t="inlineStr"/>
    </row>
    <row r="857" ht="15" customHeight="1">
      <c r="A857" t="inlineStr">
        <is>
          <t>A 31764-2024</t>
        </is>
      </c>
      <c r="B857" s="1" t="n">
        <v>45509</v>
      </c>
      <c r="C857" s="1" t="n">
        <v>45904</v>
      </c>
      <c r="D857" t="inlineStr">
        <is>
          <t>JÄMTLANDS LÄN</t>
        </is>
      </c>
      <c r="E857" t="inlineStr">
        <is>
          <t>HÄRJEDALEN</t>
        </is>
      </c>
      <c r="F857" t="inlineStr">
        <is>
          <t>Övriga statliga verk och myndigheter</t>
        </is>
      </c>
      <c r="G857" t="n">
        <v>1.1</v>
      </c>
      <c r="H857" t="n">
        <v>0</v>
      </c>
      <c r="I857" t="n">
        <v>0</v>
      </c>
      <c r="J857" t="n">
        <v>0</v>
      </c>
      <c r="K857" t="n">
        <v>0</v>
      </c>
      <c r="L857" t="n">
        <v>0</v>
      </c>
      <c r="M857" t="n">
        <v>0</v>
      </c>
      <c r="N857" t="n">
        <v>0</v>
      </c>
      <c r="O857" t="n">
        <v>0</v>
      </c>
      <c r="P857" t="n">
        <v>0</v>
      </c>
      <c r="Q857" t="n">
        <v>0</v>
      </c>
      <c r="R857" s="2" t="inlineStr"/>
    </row>
    <row r="858" ht="15" customHeight="1">
      <c r="A858" t="inlineStr">
        <is>
          <t>A 56906-2023</t>
        </is>
      </c>
      <c r="B858" s="1" t="n">
        <v>45244</v>
      </c>
      <c r="C858" s="1" t="n">
        <v>45904</v>
      </c>
      <c r="D858" t="inlineStr">
        <is>
          <t>JÄMTLANDS LÄN</t>
        </is>
      </c>
      <c r="E858" t="inlineStr">
        <is>
          <t>HÄRJEDALEN</t>
        </is>
      </c>
      <c r="G858" t="n">
        <v>4.7</v>
      </c>
      <c r="H858" t="n">
        <v>0</v>
      </c>
      <c r="I858" t="n">
        <v>0</v>
      </c>
      <c r="J858" t="n">
        <v>0</v>
      </c>
      <c r="K858" t="n">
        <v>0</v>
      </c>
      <c r="L858" t="n">
        <v>0</v>
      </c>
      <c r="M858" t="n">
        <v>0</v>
      </c>
      <c r="N858" t="n">
        <v>0</v>
      </c>
      <c r="O858" t="n">
        <v>0</v>
      </c>
      <c r="P858" t="n">
        <v>0</v>
      </c>
      <c r="Q858" t="n">
        <v>0</v>
      </c>
      <c r="R858" s="2" t="inlineStr"/>
    </row>
    <row r="859" ht="15" customHeight="1">
      <c r="A859" t="inlineStr">
        <is>
          <t>A 11255-2024</t>
        </is>
      </c>
      <c r="B859" s="1" t="n">
        <v>45371.66217592593</v>
      </c>
      <c r="C859" s="1" t="n">
        <v>45904</v>
      </c>
      <c r="D859" t="inlineStr">
        <is>
          <t>JÄMTLANDS LÄN</t>
        </is>
      </c>
      <c r="E859" t="inlineStr">
        <is>
          <t>HÄRJEDALEN</t>
        </is>
      </c>
      <c r="F859" t="inlineStr">
        <is>
          <t>Holmen skog AB</t>
        </is>
      </c>
      <c r="G859" t="n">
        <v>6.8</v>
      </c>
      <c r="H859" t="n">
        <v>0</v>
      </c>
      <c r="I859" t="n">
        <v>0</v>
      </c>
      <c r="J859" t="n">
        <v>0</v>
      </c>
      <c r="K859" t="n">
        <v>0</v>
      </c>
      <c r="L859" t="n">
        <v>0</v>
      </c>
      <c r="M859" t="n">
        <v>0</v>
      </c>
      <c r="N859" t="n">
        <v>0</v>
      </c>
      <c r="O859" t="n">
        <v>0</v>
      </c>
      <c r="P859" t="n">
        <v>0</v>
      </c>
      <c r="Q859" t="n">
        <v>0</v>
      </c>
      <c r="R859" s="2" t="inlineStr"/>
    </row>
    <row r="860" ht="15" customHeight="1">
      <c r="A860" t="inlineStr">
        <is>
          <t>A 35182-2025</t>
        </is>
      </c>
      <c r="B860" s="1" t="n">
        <v>45853.28325231482</v>
      </c>
      <c r="C860" s="1" t="n">
        <v>45904</v>
      </c>
      <c r="D860" t="inlineStr">
        <is>
          <t>JÄMTLANDS LÄN</t>
        </is>
      </c>
      <c r="E860" t="inlineStr">
        <is>
          <t>HÄRJEDALEN</t>
        </is>
      </c>
      <c r="G860" t="n">
        <v>32.6</v>
      </c>
      <c r="H860" t="n">
        <v>0</v>
      </c>
      <c r="I860" t="n">
        <v>0</v>
      </c>
      <c r="J860" t="n">
        <v>0</v>
      </c>
      <c r="K860" t="n">
        <v>0</v>
      </c>
      <c r="L860" t="n">
        <v>0</v>
      </c>
      <c r="M860" t="n">
        <v>0</v>
      </c>
      <c r="N860" t="n">
        <v>0</v>
      </c>
      <c r="O860" t="n">
        <v>0</v>
      </c>
      <c r="P860" t="n">
        <v>0</v>
      </c>
      <c r="Q860" t="n">
        <v>0</v>
      </c>
      <c r="R860" s="2" t="inlineStr"/>
    </row>
    <row r="861" ht="15" customHeight="1">
      <c r="A861" t="inlineStr">
        <is>
          <t>A 40185-2025</t>
        </is>
      </c>
      <c r="B861" s="1" t="n">
        <v>45894.64358796296</v>
      </c>
      <c r="C861" s="1" t="n">
        <v>45904</v>
      </c>
      <c r="D861" t="inlineStr">
        <is>
          <t>JÄMTLANDS LÄN</t>
        </is>
      </c>
      <c r="E861" t="inlineStr">
        <is>
          <t>HÄRJEDALEN</t>
        </is>
      </c>
      <c r="F861" t="inlineStr">
        <is>
          <t>Bergvik skog väst AB</t>
        </is>
      </c>
      <c r="G861" t="n">
        <v>30.7</v>
      </c>
      <c r="H861" t="n">
        <v>0</v>
      </c>
      <c r="I861" t="n">
        <v>0</v>
      </c>
      <c r="J861" t="n">
        <v>0</v>
      </c>
      <c r="K861" t="n">
        <v>0</v>
      </c>
      <c r="L861" t="n">
        <v>0</v>
      </c>
      <c r="M861" t="n">
        <v>0</v>
      </c>
      <c r="N861" t="n">
        <v>0</v>
      </c>
      <c r="O861" t="n">
        <v>0</v>
      </c>
      <c r="P861" t="n">
        <v>0</v>
      </c>
      <c r="Q861" t="n">
        <v>0</v>
      </c>
      <c r="R861" s="2" t="inlineStr"/>
    </row>
    <row r="862" ht="15" customHeight="1">
      <c r="A862" t="inlineStr">
        <is>
          <t>A 39963-2025</t>
        </is>
      </c>
      <c r="B862" s="1" t="n">
        <v>45892.53184027778</v>
      </c>
      <c r="C862" s="1" t="n">
        <v>45904</v>
      </c>
      <c r="D862" t="inlineStr">
        <is>
          <t>JÄMTLANDS LÄN</t>
        </is>
      </c>
      <c r="E862" t="inlineStr">
        <is>
          <t>HÄRJEDALEN</t>
        </is>
      </c>
      <c r="G862" t="n">
        <v>33.9</v>
      </c>
      <c r="H862" t="n">
        <v>0</v>
      </c>
      <c r="I862" t="n">
        <v>0</v>
      </c>
      <c r="J862" t="n">
        <v>0</v>
      </c>
      <c r="K862" t="n">
        <v>0</v>
      </c>
      <c r="L862" t="n">
        <v>0</v>
      </c>
      <c r="M862" t="n">
        <v>0</v>
      </c>
      <c r="N862" t="n">
        <v>0</v>
      </c>
      <c r="O862" t="n">
        <v>0</v>
      </c>
      <c r="P862" t="n">
        <v>0</v>
      </c>
      <c r="Q862" t="n">
        <v>0</v>
      </c>
      <c r="R862" s="2" t="inlineStr"/>
    </row>
    <row r="863" ht="15" customHeight="1">
      <c r="A863" t="inlineStr">
        <is>
          <t>A 48818-2024</t>
        </is>
      </c>
      <c r="B863" s="1" t="n">
        <v>45593.67809027778</v>
      </c>
      <c r="C863" s="1" t="n">
        <v>45904</v>
      </c>
      <c r="D863" t="inlineStr">
        <is>
          <t>JÄMTLANDS LÄN</t>
        </is>
      </c>
      <c r="E863" t="inlineStr">
        <is>
          <t>HÄRJEDALEN</t>
        </is>
      </c>
      <c r="G863" t="n">
        <v>0.1</v>
      </c>
      <c r="H863" t="n">
        <v>0</v>
      </c>
      <c r="I863" t="n">
        <v>0</v>
      </c>
      <c r="J863" t="n">
        <v>0</v>
      </c>
      <c r="K863" t="n">
        <v>0</v>
      </c>
      <c r="L863" t="n">
        <v>0</v>
      </c>
      <c r="M863" t="n">
        <v>0</v>
      </c>
      <c r="N863" t="n">
        <v>0</v>
      </c>
      <c r="O863" t="n">
        <v>0</v>
      </c>
      <c r="P863" t="n">
        <v>0</v>
      </c>
      <c r="Q863" t="n">
        <v>0</v>
      </c>
      <c r="R863" s="2" t="inlineStr"/>
    </row>
    <row r="864" ht="15" customHeight="1">
      <c r="A864" t="inlineStr">
        <is>
          <t>A 40567-2023</t>
        </is>
      </c>
      <c r="B864" s="1" t="n">
        <v>45170.46134259259</v>
      </c>
      <c r="C864" s="1" t="n">
        <v>45904</v>
      </c>
      <c r="D864" t="inlineStr">
        <is>
          <t>JÄMTLANDS LÄN</t>
        </is>
      </c>
      <c r="E864" t="inlineStr">
        <is>
          <t>HÄRJEDALEN</t>
        </is>
      </c>
      <c r="F864" t="inlineStr">
        <is>
          <t>Holmen skog AB</t>
        </is>
      </c>
      <c r="G864" t="n">
        <v>19.4</v>
      </c>
      <c r="H864" t="n">
        <v>0</v>
      </c>
      <c r="I864" t="n">
        <v>0</v>
      </c>
      <c r="J864" t="n">
        <v>0</v>
      </c>
      <c r="K864" t="n">
        <v>0</v>
      </c>
      <c r="L864" t="n">
        <v>0</v>
      </c>
      <c r="M864" t="n">
        <v>0</v>
      </c>
      <c r="N864" t="n">
        <v>0</v>
      </c>
      <c r="O864" t="n">
        <v>0</v>
      </c>
      <c r="P864" t="n">
        <v>0</v>
      </c>
      <c r="Q864" t="n">
        <v>0</v>
      </c>
      <c r="R864" s="2" t="inlineStr"/>
    </row>
    <row r="865" ht="15" customHeight="1">
      <c r="A865" t="inlineStr">
        <is>
          <t>A 35154-2025</t>
        </is>
      </c>
      <c r="B865" s="1" t="n">
        <v>45852</v>
      </c>
      <c r="C865" s="1" t="n">
        <v>45904</v>
      </c>
      <c r="D865" t="inlineStr">
        <is>
          <t>JÄMTLANDS LÄN</t>
        </is>
      </c>
      <c r="E865" t="inlineStr">
        <is>
          <t>HÄRJEDALEN</t>
        </is>
      </c>
      <c r="G865" t="n">
        <v>14.1</v>
      </c>
      <c r="H865" t="n">
        <v>0</v>
      </c>
      <c r="I865" t="n">
        <v>0</v>
      </c>
      <c r="J865" t="n">
        <v>0</v>
      </c>
      <c r="K865" t="n">
        <v>0</v>
      </c>
      <c r="L865" t="n">
        <v>0</v>
      </c>
      <c r="M865" t="n">
        <v>0</v>
      </c>
      <c r="N865" t="n">
        <v>0</v>
      </c>
      <c r="O865" t="n">
        <v>0</v>
      </c>
      <c r="P865" t="n">
        <v>0</v>
      </c>
      <c r="Q865" t="n">
        <v>0</v>
      </c>
      <c r="R865" s="2" t="inlineStr"/>
    </row>
    <row r="866" ht="15" customHeight="1">
      <c r="A866" t="inlineStr">
        <is>
          <t>A 40194-2025</t>
        </is>
      </c>
      <c r="B866" s="1" t="n">
        <v>45894.65869212963</v>
      </c>
      <c r="C866" s="1" t="n">
        <v>45904</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29935-2024</t>
        </is>
      </c>
      <c r="B867" s="1" t="n">
        <v>45488</v>
      </c>
      <c r="C867" s="1" t="n">
        <v>45904</v>
      </c>
      <c r="D867" t="inlineStr">
        <is>
          <t>JÄMTLANDS LÄN</t>
        </is>
      </c>
      <c r="E867" t="inlineStr">
        <is>
          <t>HÄRJEDALEN</t>
        </is>
      </c>
      <c r="G867" t="n">
        <v>6.8</v>
      </c>
      <c r="H867" t="n">
        <v>0</v>
      </c>
      <c r="I867" t="n">
        <v>0</v>
      </c>
      <c r="J867" t="n">
        <v>0</v>
      </c>
      <c r="K867" t="n">
        <v>0</v>
      </c>
      <c r="L867" t="n">
        <v>0</v>
      </c>
      <c r="M867" t="n">
        <v>0</v>
      </c>
      <c r="N867" t="n">
        <v>0</v>
      </c>
      <c r="O867" t="n">
        <v>0</v>
      </c>
      <c r="P867" t="n">
        <v>0</v>
      </c>
      <c r="Q867" t="n">
        <v>0</v>
      </c>
      <c r="R867" s="2" t="inlineStr"/>
    </row>
    <row r="868" ht="15" customHeight="1">
      <c r="A868" t="inlineStr">
        <is>
          <t>A 55562-2023</t>
        </is>
      </c>
      <c r="B868" s="1" t="n">
        <v>45238.64153935185</v>
      </c>
      <c r="C868" s="1" t="n">
        <v>45904</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29791-2024</t>
        </is>
      </c>
      <c r="B869" s="1" t="n">
        <v>45485</v>
      </c>
      <c r="C869" s="1" t="n">
        <v>45904</v>
      </c>
      <c r="D869" t="inlineStr">
        <is>
          <t>JÄMTLANDS LÄN</t>
        </is>
      </c>
      <c r="E869" t="inlineStr">
        <is>
          <t>HÄRJEDALEN</t>
        </is>
      </c>
      <c r="G869" t="n">
        <v>2.4</v>
      </c>
      <c r="H869" t="n">
        <v>0</v>
      </c>
      <c r="I869" t="n">
        <v>0</v>
      </c>
      <c r="J869" t="n">
        <v>0</v>
      </c>
      <c r="K869" t="n">
        <v>0</v>
      </c>
      <c r="L869" t="n">
        <v>0</v>
      </c>
      <c r="M869" t="n">
        <v>0</v>
      </c>
      <c r="N869" t="n">
        <v>0</v>
      </c>
      <c r="O869" t="n">
        <v>0</v>
      </c>
      <c r="P869" t="n">
        <v>0</v>
      </c>
      <c r="Q869" t="n">
        <v>0</v>
      </c>
      <c r="R869" s="2" t="inlineStr"/>
    </row>
    <row r="870" ht="15" customHeight="1">
      <c r="A870" t="inlineStr">
        <is>
          <t>A 13328-2025</t>
        </is>
      </c>
      <c r="B870" s="1" t="n">
        <v>45735.60342592592</v>
      </c>
      <c r="C870" s="1" t="n">
        <v>45904</v>
      </c>
      <c r="D870" t="inlineStr">
        <is>
          <t>JÄMTLANDS LÄN</t>
        </is>
      </c>
      <c r="E870" t="inlineStr">
        <is>
          <t>HÄRJEDALEN</t>
        </is>
      </c>
      <c r="G870" t="n">
        <v>30.8</v>
      </c>
      <c r="H870" t="n">
        <v>0</v>
      </c>
      <c r="I870" t="n">
        <v>0</v>
      </c>
      <c r="J870" t="n">
        <v>0</v>
      </c>
      <c r="K870" t="n">
        <v>0</v>
      </c>
      <c r="L870" t="n">
        <v>0</v>
      </c>
      <c r="M870" t="n">
        <v>0</v>
      </c>
      <c r="N870" t="n">
        <v>0</v>
      </c>
      <c r="O870" t="n">
        <v>0</v>
      </c>
      <c r="P870" t="n">
        <v>0</v>
      </c>
      <c r="Q870" t="n">
        <v>0</v>
      </c>
      <c r="R870" s="2" t="inlineStr"/>
    </row>
    <row r="871" ht="15" customHeight="1">
      <c r="A871" t="inlineStr">
        <is>
          <t>A 40249-2025</t>
        </is>
      </c>
      <c r="B871" s="1" t="n">
        <v>45895.29387731481</v>
      </c>
      <c r="C871" s="1" t="n">
        <v>45904</v>
      </c>
      <c r="D871" t="inlineStr">
        <is>
          <t>JÄMTLANDS LÄN</t>
        </is>
      </c>
      <c r="E871" t="inlineStr">
        <is>
          <t>HÄRJEDALEN</t>
        </is>
      </c>
      <c r="F871" t="inlineStr">
        <is>
          <t>Bergvik skog väst AB</t>
        </is>
      </c>
      <c r="G871" t="n">
        <v>1.4</v>
      </c>
      <c r="H871" t="n">
        <v>0</v>
      </c>
      <c r="I871" t="n">
        <v>0</v>
      </c>
      <c r="J871" t="n">
        <v>0</v>
      </c>
      <c r="K871" t="n">
        <v>0</v>
      </c>
      <c r="L871" t="n">
        <v>0</v>
      </c>
      <c r="M871" t="n">
        <v>0</v>
      </c>
      <c r="N871" t="n">
        <v>0</v>
      </c>
      <c r="O871" t="n">
        <v>0</v>
      </c>
      <c r="P871" t="n">
        <v>0</v>
      </c>
      <c r="Q871" t="n">
        <v>0</v>
      </c>
      <c r="R871" s="2" t="inlineStr"/>
    </row>
    <row r="872" ht="15" customHeight="1">
      <c r="A872" t="inlineStr">
        <is>
          <t>A 35076-2025</t>
        </is>
      </c>
      <c r="B872" s="1" t="n">
        <v>45852.48290509259</v>
      </c>
      <c r="C872" s="1" t="n">
        <v>45904</v>
      </c>
      <c r="D872" t="inlineStr">
        <is>
          <t>JÄMTLANDS LÄN</t>
        </is>
      </c>
      <c r="E872" t="inlineStr">
        <is>
          <t>HÄRJEDALEN</t>
        </is>
      </c>
      <c r="G872" t="n">
        <v>2.9</v>
      </c>
      <c r="H872" t="n">
        <v>0</v>
      </c>
      <c r="I872" t="n">
        <v>0</v>
      </c>
      <c r="J872" t="n">
        <v>0</v>
      </c>
      <c r="K872" t="n">
        <v>0</v>
      </c>
      <c r="L872" t="n">
        <v>0</v>
      </c>
      <c r="M872" t="n">
        <v>0</v>
      </c>
      <c r="N872" t="n">
        <v>0</v>
      </c>
      <c r="O872" t="n">
        <v>0</v>
      </c>
      <c r="P872" t="n">
        <v>0</v>
      </c>
      <c r="Q872" t="n">
        <v>0</v>
      </c>
      <c r="R872" s="2" t="inlineStr"/>
    </row>
    <row r="873" ht="15" customHeight="1">
      <c r="A873" t="inlineStr">
        <is>
          <t>A 36568-2023</t>
        </is>
      </c>
      <c r="B873" s="1" t="n">
        <v>45153.42725694444</v>
      </c>
      <c r="C873" s="1" t="n">
        <v>45904</v>
      </c>
      <c r="D873" t="inlineStr">
        <is>
          <t>JÄMTLANDS LÄN</t>
        </is>
      </c>
      <c r="E873" t="inlineStr">
        <is>
          <t>HÄRJEDALEN</t>
        </is>
      </c>
      <c r="F873" t="inlineStr">
        <is>
          <t>Bergvik skog väst AB</t>
        </is>
      </c>
      <c r="G873" t="n">
        <v>1.5</v>
      </c>
      <c r="H873" t="n">
        <v>0</v>
      </c>
      <c r="I873" t="n">
        <v>0</v>
      </c>
      <c r="J873" t="n">
        <v>0</v>
      </c>
      <c r="K873" t="n">
        <v>0</v>
      </c>
      <c r="L873" t="n">
        <v>0</v>
      </c>
      <c r="M873" t="n">
        <v>0</v>
      </c>
      <c r="N873" t="n">
        <v>0</v>
      </c>
      <c r="O873" t="n">
        <v>0</v>
      </c>
      <c r="P873" t="n">
        <v>0</v>
      </c>
      <c r="Q873" t="n">
        <v>0</v>
      </c>
      <c r="R873" s="2" t="inlineStr"/>
    </row>
    <row r="874" ht="15" customHeight="1">
      <c r="A874" t="inlineStr">
        <is>
          <t>A 35241-2025</t>
        </is>
      </c>
      <c r="B874" s="1" t="n">
        <v>45853.61865740741</v>
      </c>
      <c r="C874" s="1" t="n">
        <v>45904</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35243-2025</t>
        </is>
      </c>
      <c r="B875" s="1" t="n">
        <v>45853.62415509259</v>
      </c>
      <c r="C875" s="1" t="n">
        <v>45904</v>
      </c>
      <c r="D875" t="inlineStr">
        <is>
          <t>JÄMTLANDS LÄN</t>
        </is>
      </c>
      <c r="E875" t="inlineStr">
        <is>
          <t>HÄRJEDALEN</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24608-2024</t>
        </is>
      </c>
      <c r="B876" s="1" t="n">
        <v>45460.47969907407</v>
      </c>
      <c r="C876" s="1" t="n">
        <v>45904</v>
      </c>
      <c r="D876" t="inlineStr">
        <is>
          <t>JÄMTLANDS LÄN</t>
        </is>
      </c>
      <c r="E876" t="inlineStr">
        <is>
          <t>HÄRJEDALEN</t>
        </is>
      </c>
      <c r="G876" t="n">
        <v>15.7</v>
      </c>
      <c r="H876" t="n">
        <v>0</v>
      </c>
      <c r="I876" t="n">
        <v>0</v>
      </c>
      <c r="J876" t="n">
        <v>0</v>
      </c>
      <c r="K876" t="n">
        <v>0</v>
      </c>
      <c r="L876" t="n">
        <v>0</v>
      </c>
      <c r="M876" t="n">
        <v>0</v>
      </c>
      <c r="N876" t="n">
        <v>0</v>
      </c>
      <c r="O876" t="n">
        <v>0</v>
      </c>
      <c r="P876" t="n">
        <v>0</v>
      </c>
      <c r="Q876" t="n">
        <v>0</v>
      </c>
      <c r="R876" s="2" t="inlineStr"/>
    </row>
    <row r="877" ht="15" customHeight="1">
      <c r="A877" t="inlineStr">
        <is>
          <t>A 24613-2024</t>
        </is>
      </c>
      <c r="B877" s="1" t="n">
        <v>45460.48582175926</v>
      </c>
      <c r="C877" s="1" t="n">
        <v>45904</v>
      </c>
      <c r="D877" t="inlineStr">
        <is>
          <t>JÄMTLANDS LÄN</t>
        </is>
      </c>
      <c r="E877" t="inlineStr">
        <is>
          <t>HÄRJEDALEN</t>
        </is>
      </c>
      <c r="G877" t="n">
        <v>10.3</v>
      </c>
      <c r="H877" t="n">
        <v>0</v>
      </c>
      <c r="I877" t="n">
        <v>0</v>
      </c>
      <c r="J877" t="n">
        <v>0</v>
      </c>
      <c r="K877" t="n">
        <v>0</v>
      </c>
      <c r="L877" t="n">
        <v>0</v>
      </c>
      <c r="M877" t="n">
        <v>0</v>
      </c>
      <c r="N877" t="n">
        <v>0</v>
      </c>
      <c r="O877" t="n">
        <v>0</v>
      </c>
      <c r="P877" t="n">
        <v>0</v>
      </c>
      <c r="Q877" t="n">
        <v>0</v>
      </c>
      <c r="R877" s="2" t="inlineStr"/>
    </row>
    <row r="878" ht="15" customHeight="1">
      <c r="A878" t="inlineStr">
        <is>
          <t>A 29710-2024</t>
        </is>
      </c>
      <c r="B878" s="1" t="n">
        <v>45485</v>
      </c>
      <c r="C878" s="1" t="n">
        <v>45904</v>
      </c>
      <c r="D878" t="inlineStr">
        <is>
          <t>JÄMTLANDS LÄN</t>
        </is>
      </c>
      <c r="E878" t="inlineStr">
        <is>
          <t>HÄRJEDALEN</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29717-2024</t>
        </is>
      </c>
      <c r="B879" s="1" t="n">
        <v>45485</v>
      </c>
      <c r="C879" s="1" t="n">
        <v>45904</v>
      </c>
      <c r="D879" t="inlineStr">
        <is>
          <t>JÄMTLANDS LÄN</t>
        </is>
      </c>
      <c r="E879" t="inlineStr">
        <is>
          <t>HÄRJEDALEN</t>
        </is>
      </c>
      <c r="F879" t="inlineStr">
        <is>
          <t>Holmen skog AB</t>
        </is>
      </c>
      <c r="G879" t="n">
        <v>25.7</v>
      </c>
      <c r="H879" t="n">
        <v>0</v>
      </c>
      <c r="I879" t="n">
        <v>0</v>
      </c>
      <c r="J879" t="n">
        <v>0</v>
      </c>
      <c r="K879" t="n">
        <v>0</v>
      </c>
      <c r="L879" t="n">
        <v>0</v>
      </c>
      <c r="M879" t="n">
        <v>0</v>
      </c>
      <c r="N879" t="n">
        <v>0</v>
      </c>
      <c r="O879" t="n">
        <v>0</v>
      </c>
      <c r="P879" t="n">
        <v>0</v>
      </c>
      <c r="Q879" t="n">
        <v>0</v>
      </c>
      <c r="R879" s="2" t="inlineStr"/>
    </row>
    <row r="880" ht="15" customHeight="1">
      <c r="A880" t="inlineStr">
        <is>
          <t>A 40789-2025</t>
        </is>
      </c>
      <c r="B880" s="1" t="n">
        <v>45897.44645833333</v>
      </c>
      <c r="C880" s="1" t="n">
        <v>45904</v>
      </c>
      <c r="D880" t="inlineStr">
        <is>
          <t>JÄMTLANDS LÄN</t>
        </is>
      </c>
      <c r="E880" t="inlineStr">
        <is>
          <t>HÄRJEDALEN</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35309-2025</t>
        </is>
      </c>
      <c r="B881" s="1" t="n">
        <v>45854.44850694444</v>
      </c>
      <c r="C881" s="1" t="n">
        <v>45904</v>
      </c>
      <c r="D881" t="inlineStr">
        <is>
          <t>JÄMTLANDS LÄN</t>
        </is>
      </c>
      <c r="E881" t="inlineStr">
        <is>
          <t>HÄRJEDALEN</t>
        </is>
      </c>
      <c r="F881" t="inlineStr">
        <is>
          <t>SCA</t>
        </is>
      </c>
      <c r="G881" t="n">
        <v>10.2</v>
      </c>
      <c r="H881" t="n">
        <v>0</v>
      </c>
      <c r="I881" t="n">
        <v>0</v>
      </c>
      <c r="J881" t="n">
        <v>0</v>
      </c>
      <c r="K881" t="n">
        <v>0</v>
      </c>
      <c r="L881" t="n">
        <v>0</v>
      </c>
      <c r="M881" t="n">
        <v>0</v>
      </c>
      <c r="N881" t="n">
        <v>0</v>
      </c>
      <c r="O881" t="n">
        <v>0</v>
      </c>
      <c r="P881" t="n">
        <v>0</v>
      </c>
      <c r="Q881" t="n">
        <v>0</v>
      </c>
      <c r="R881" s="2" t="inlineStr"/>
    </row>
    <row r="882" ht="15" customHeight="1">
      <c r="A882" t="inlineStr">
        <is>
          <t>A 35310-2025</t>
        </is>
      </c>
      <c r="B882" s="1" t="n">
        <v>45854.44864583333</v>
      </c>
      <c r="C882" s="1" t="n">
        <v>45904</v>
      </c>
      <c r="D882" t="inlineStr">
        <is>
          <t>JÄMTLANDS LÄN</t>
        </is>
      </c>
      <c r="E882" t="inlineStr">
        <is>
          <t>HÄRJEDALEN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28686-2024</t>
        </is>
      </c>
      <c r="B883" s="1" t="n">
        <v>45478.48700231482</v>
      </c>
      <c r="C883" s="1" t="n">
        <v>45904</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40573-2025</t>
        </is>
      </c>
      <c r="B884" s="1" t="n">
        <v>45896.49959490741</v>
      </c>
      <c r="C884" s="1" t="n">
        <v>45904</v>
      </c>
      <c r="D884" t="inlineStr">
        <is>
          <t>JÄMTLANDS LÄN</t>
        </is>
      </c>
      <c r="E884" t="inlineStr">
        <is>
          <t>HÄRJEDALEN</t>
        </is>
      </c>
      <c r="G884" t="n">
        <v>1.6</v>
      </c>
      <c r="H884" t="n">
        <v>0</v>
      </c>
      <c r="I884" t="n">
        <v>0</v>
      </c>
      <c r="J884" t="n">
        <v>0</v>
      </c>
      <c r="K884" t="n">
        <v>0</v>
      </c>
      <c r="L884" t="n">
        <v>0</v>
      </c>
      <c r="M884" t="n">
        <v>0</v>
      </c>
      <c r="N884" t="n">
        <v>0</v>
      </c>
      <c r="O884" t="n">
        <v>0</v>
      </c>
      <c r="P884" t="n">
        <v>0</v>
      </c>
      <c r="Q884" t="n">
        <v>0</v>
      </c>
      <c r="R884" s="2" t="inlineStr"/>
    </row>
    <row r="885" ht="15" customHeight="1">
      <c r="A885" t="inlineStr">
        <is>
          <t>A 37719-2023</t>
        </is>
      </c>
      <c r="B885" s="1" t="n">
        <v>45159.60288194445</v>
      </c>
      <c r="C885" s="1" t="n">
        <v>45904</v>
      </c>
      <c r="D885" t="inlineStr">
        <is>
          <t>JÄMTLANDS LÄN</t>
        </is>
      </c>
      <c r="E885" t="inlineStr">
        <is>
          <t>HÄRJEDALEN</t>
        </is>
      </c>
      <c r="G885" t="n">
        <v>2.3</v>
      </c>
      <c r="H885" t="n">
        <v>0</v>
      </c>
      <c r="I885" t="n">
        <v>0</v>
      </c>
      <c r="J885" t="n">
        <v>0</v>
      </c>
      <c r="K885" t="n">
        <v>0</v>
      </c>
      <c r="L885" t="n">
        <v>0</v>
      </c>
      <c r="M885" t="n">
        <v>0</v>
      </c>
      <c r="N885" t="n">
        <v>0</v>
      </c>
      <c r="O885" t="n">
        <v>0</v>
      </c>
      <c r="P885" t="n">
        <v>0</v>
      </c>
      <c r="Q885" t="n">
        <v>0</v>
      </c>
      <c r="R885" s="2" t="inlineStr"/>
    </row>
    <row r="886" ht="15" customHeight="1">
      <c r="A886" t="inlineStr">
        <is>
          <t>A 35297-2025</t>
        </is>
      </c>
      <c r="B886" s="1" t="n">
        <v>45854.40662037037</v>
      </c>
      <c r="C886" s="1" t="n">
        <v>45904</v>
      </c>
      <c r="D886" t="inlineStr">
        <is>
          <t>JÄMTLANDS LÄN</t>
        </is>
      </c>
      <c r="E886" t="inlineStr">
        <is>
          <t>HÄRJEDALEN</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18546-2025</t>
        </is>
      </c>
      <c r="B887" s="1" t="n">
        <v>45763.4266087963</v>
      </c>
      <c r="C887" s="1" t="n">
        <v>45904</v>
      </c>
      <c r="D887" t="inlineStr">
        <is>
          <t>JÄMTLANDS LÄN</t>
        </is>
      </c>
      <c r="E887" t="inlineStr">
        <is>
          <t>HÄRJEDALEN</t>
        </is>
      </c>
      <c r="G887" t="n">
        <v>1.7</v>
      </c>
      <c r="H887" t="n">
        <v>0</v>
      </c>
      <c r="I887" t="n">
        <v>0</v>
      </c>
      <c r="J887" t="n">
        <v>0</v>
      </c>
      <c r="K887" t="n">
        <v>0</v>
      </c>
      <c r="L887" t="n">
        <v>0</v>
      </c>
      <c r="M887" t="n">
        <v>0</v>
      </c>
      <c r="N887" t="n">
        <v>0</v>
      </c>
      <c r="O887" t="n">
        <v>0</v>
      </c>
      <c r="P887" t="n">
        <v>0</v>
      </c>
      <c r="Q887" t="n">
        <v>0</v>
      </c>
      <c r="R887" s="2" t="inlineStr"/>
    </row>
    <row r="888" ht="15" customHeight="1">
      <c r="A888" t="inlineStr">
        <is>
          <t>A 53993-2023</t>
        </is>
      </c>
      <c r="B888" s="1" t="n">
        <v>45231</v>
      </c>
      <c r="C888" s="1" t="n">
        <v>45904</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7371-2024</t>
        </is>
      </c>
      <c r="B889" s="1" t="n">
        <v>45345.4940625</v>
      </c>
      <c r="C889" s="1" t="n">
        <v>45904</v>
      </c>
      <c r="D889" t="inlineStr">
        <is>
          <t>JÄMTLANDS LÄN</t>
        </is>
      </c>
      <c r="E889" t="inlineStr">
        <is>
          <t>HÄRJEDALEN</t>
        </is>
      </c>
      <c r="F889" t="inlineStr">
        <is>
          <t>Holmen skog AB</t>
        </is>
      </c>
      <c r="G889" t="n">
        <v>3.3</v>
      </c>
      <c r="H889" t="n">
        <v>0</v>
      </c>
      <c r="I889" t="n">
        <v>0</v>
      </c>
      <c r="J889" t="n">
        <v>0</v>
      </c>
      <c r="K889" t="n">
        <v>0</v>
      </c>
      <c r="L889" t="n">
        <v>0</v>
      </c>
      <c r="M889" t="n">
        <v>0</v>
      </c>
      <c r="N889" t="n">
        <v>0</v>
      </c>
      <c r="O889" t="n">
        <v>0</v>
      </c>
      <c r="P889" t="n">
        <v>0</v>
      </c>
      <c r="Q889" t="n">
        <v>0</v>
      </c>
      <c r="R889" s="2" t="inlineStr"/>
    </row>
    <row r="890" ht="15" customHeight="1">
      <c r="A890" t="inlineStr">
        <is>
          <t>A 10340-2023</t>
        </is>
      </c>
      <c r="B890" s="1" t="n">
        <v>44987.34981481481</v>
      </c>
      <c r="C890" s="1" t="n">
        <v>45904</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7368-2024</t>
        </is>
      </c>
      <c r="B891" s="1" t="n">
        <v>45345.48181712963</v>
      </c>
      <c r="C891" s="1" t="n">
        <v>45904</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21011-2024</t>
        </is>
      </c>
      <c r="B892" s="1" t="n">
        <v>45439.62893518519</v>
      </c>
      <c r="C892" s="1" t="n">
        <v>45904</v>
      </c>
      <c r="D892" t="inlineStr">
        <is>
          <t>JÄMTLANDS LÄN</t>
        </is>
      </c>
      <c r="E892" t="inlineStr">
        <is>
          <t>HÄRJEDALEN</t>
        </is>
      </c>
      <c r="G892" t="n">
        <v>92.40000000000001</v>
      </c>
      <c r="H892" t="n">
        <v>0</v>
      </c>
      <c r="I892" t="n">
        <v>0</v>
      </c>
      <c r="J892" t="n">
        <v>0</v>
      </c>
      <c r="K892" t="n">
        <v>0</v>
      </c>
      <c r="L892" t="n">
        <v>0</v>
      </c>
      <c r="M892" t="n">
        <v>0</v>
      </c>
      <c r="N892" t="n">
        <v>0</v>
      </c>
      <c r="O892" t="n">
        <v>0</v>
      </c>
      <c r="P892" t="n">
        <v>0</v>
      </c>
      <c r="Q892" t="n">
        <v>0</v>
      </c>
      <c r="R892" s="2" t="inlineStr"/>
    </row>
    <row r="893" ht="15" customHeight="1">
      <c r="A893" t="inlineStr">
        <is>
          <t>A 19915-2023</t>
        </is>
      </c>
      <c r="B893" s="1" t="n">
        <v>45054</v>
      </c>
      <c r="C893" s="1" t="n">
        <v>45904</v>
      </c>
      <c r="D893" t="inlineStr">
        <is>
          <t>JÄMTLANDS LÄN</t>
        </is>
      </c>
      <c r="E893" t="inlineStr">
        <is>
          <t>HÄRJEDALEN</t>
        </is>
      </c>
      <c r="F893" t="inlineStr">
        <is>
          <t>Sveaskog</t>
        </is>
      </c>
      <c r="G893" t="n">
        <v>0.1</v>
      </c>
      <c r="H893" t="n">
        <v>0</v>
      </c>
      <c r="I893" t="n">
        <v>0</v>
      </c>
      <c r="J893" t="n">
        <v>0</v>
      </c>
      <c r="K893" t="n">
        <v>0</v>
      </c>
      <c r="L893" t="n">
        <v>0</v>
      </c>
      <c r="M893" t="n">
        <v>0</v>
      </c>
      <c r="N893" t="n">
        <v>0</v>
      </c>
      <c r="O893" t="n">
        <v>0</v>
      </c>
      <c r="P893" t="n">
        <v>0</v>
      </c>
      <c r="Q893" t="n">
        <v>0</v>
      </c>
      <c r="R893" s="2" t="inlineStr"/>
    </row>
    <row r="894" ht="15" customHeight="1">
      <c r="A894" t="inlineStr">
        <is>
          <t>A 40572-2025</t>
        </is>
      </c>
      <c r="B894" s="1" t="n">
        <v>45896.49821759259</v>
      </c>
      <c r="C894" s="1" t="n">
        <v>45904</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35532-2021</t>
        </is>
      </c>
      <c r="B895" s="1" t="n">
        <v>44385</v>
      </c>
      <c r="C895" s="1" t="n">
        <v>45904</v>
      </c>
      <c r="D895" t="inlineStr">
        <is>
          <t>JÄMTLANDS LÄN</t>
        </is>
      </c>
      <c r="E895" t="inlineStr">
        <is>
          <t>HÄRJEDALEN</t>
        </is>
      </c>
      <c r="G895" t="n">
        <v>4.3</v>
      </c>
      <c r="H895" t="n">
        <v>0</v>
      </c>
      <c r="I895" t="n">
        <v>0</v>
      </c>
      <c r="J895" t="n">
        <v>0</v>
      </c>
      <c r="K895" t="n">
        <v>0</v>
      </c>
      <c r="L895" t="n">
        <v>0</v>
      </c>
      <c r="M895" t="n">
        <v>0</v>
      </c>
      <c r="N895" t="n">
        <v>0</v>
      </c>
      <c r="O895" t="n">
        <v>0</v>
      </c>
      <c r="P895" t="n">
        <v>0</v>
      </c>
      <c r="Q895" t="n">
        <v>0</v>
      </c>
      <c r="R895" s="2" t="inlineStr"/>
    </row>
    <row r="896" ht="15" customHeight="1">
      <c r="A896" t="inlineStr">
        <is>
          <t>A 49689-2022</t>
        </is>
      </c>
      <c r="B896" s="1" t="n">
        <v>44862</v>
      </c>
      <c r="C896" s="1" t="n">
        <v>45904</v>
      </c>
      <c r="D896" t="inlineStr">
        <is>
          <t>JÄMTLANDS LÄN</t>
        </is>
      </c>
      <c r="E896" t="inlineStr">
        <is>
          <t>HÄRJEDALEN</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46499-2024</t>
        </is>
      </c>
      <c r="B897" s="1" t="n">
        <v>45582.59753472222</v>
      </c>
      <c r="C897" s="1" t="n">
        <v>45904</v>
      </c>
      <c r="D897" t="inlineStr">
        <is>
          <t>JÄMTLANDS LÄN</t>
        </is>
      </c>
      <c r="E897" t="inlineStr">
        <is>
          <t>HÄRJEDALEN</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38709-2025</t>
        </is>
      </c>
      <c r="B898" s="1" t="n">
        <v>45885</v>
      </c>
      <c r="C898" s="1" t="n">
        <v>45904</v>
      </c>
      <c r="D898" t="inlineStr">
        <is>
          <t>JÄMTLANDS LÄN</t>
        </is>
      </c>
      <c r="E898" t="inlineStr">
        <is>
          <t>HÄRJEDALEN</t>
        </is>
      </c>
      <c r="G898" t="n">
        <v>70</v>
      </c>
      <c r="H898" t="n">
        <v>0</v>
      </c>
      <c r="I898" t="n">
        <v>0</v>
      </c>
      <c r="J898" t="n">
        <v>0</v>
      </c>
      <c r="K898" t="n">
        <v>0</v>
      </c>
      <c r="L898" t="n">
        <v>0</v>
      </c>
      <c r="M898" t="n">
        <v>0</v>
      </c>
      <c r="N898" t="n">
        <v>0</v>
      </c>
      <c r="O898" t="n">
        <v>0</v>
      </c>
      <c r="P898" t="n">
        <v>0</v>
      </c>
      <c r="Q898" t="n">
        <v>0</v>
      </c>
      <c r="R898" s="2" t="inlineStr"/>
    </row>
    <row r="899" ht="15" customHeight="1">
      <c r="A899" t="inlineStr">
        <is>
          <t>A 41037-2025</t>
        </is>
      </c>
      <c r="B899" s="1" t="n">
        <v>45898.38625</v>
      </c>
      <c r="C899" s="1" t="n">
        <v>45904</v>
      </c>
      <c r="D899" t="inlineStr">
        <is>
          <t>JÄMTLANDS LÄN</t>
        </is>
      </c>
      <c r="E899" t="inlineStr">
        <is>
          <t>HÄRJEDALEN</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41051-2025</t>
        </is>
      </c>
      <c r="B900" s="1" t="n">
        <v>45898.40267361111</v>
      </c>
      <c r="C900" s="1" t="n">
        <v>45904</v>
      </c>
      <c r="D900" t="inlineStr">
        <is>
          <t>JÄMTLANDS LÄN</t>
        </is>
      </c>
      <c r="E900" t="inlineStr">
        <is>
          <t>HÄRJEDALEN</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41054-2025</t>
        </is>
      </c>
      <c r="B901" s="1" t="n">
        <v>45898.40481481481</v>
      </c>
      <c r="C901" s="1" t="n">
        <v>45904</v>
      </c>
      <c r="D901" t="inlineStr">
        <is>
          <t>JÄMTLANDS LÄN</t>
        </is>
      </c>
      <c r="E901" t="inlineStr">
        <is>
          <t>HÄRJEDALEN</t>
        </is>
      </c>
      <c r="G901" t="n">
        <v>0.8</v>
      </c>
      <c r="H901" t="n">
        <v>0</v>
      </c>
      <c r="I901" t="n">
        <v>0</v>
      </c>
      <c r="J901" t="n">
        <v>0</v>
      </c>
      <c r="K901" t="n">
        <v>0</v>
      </c>
      <c r="L901" t="n">
        <v>0</v>
      </c>
      <c r="M901" t="n">
        <v>0</v>
      </c>
      <c r="N901" t="n">
        <v>0</v>
      </c>
      <c r="O901" t="n">
        <v>0</v>
      </c>
      <c r="P901" t="n">
        <v>0</v>
      </c>
      <c r="Q901" t="n">
        <v>0</v>
      </c>
      <c r="R901" s="2" t="inlineStr"/>
    </row>
    <row r="902" ht="15" customHeight="1">
      <c r="A902" t="inlineStr">
        <is>
          <t>A 7384-2025</t>
        </is>
      </c>
      <c r="B902" s="1" t="n">
        <v>45705.32456018519</v>
      </c>
      <c r="C902" s="1" t="n">
        <v>45904</v>
      </c>
      <c r="D902" t="inlineStr">
        <is>
          <t>JÄMTLANDS LÄN</t>
        </is>
      </c>
      <c r="E902" t="inlineStr">
        <is>
          <t>HÄRJEDALEN</t>
        </is>
      </c>
      <c r="G902" t="n">
        <v>6.4</v>
      </c>
      <c r="H902" t="n">
        <v>0</v>
      </c>
      <c r="I902" t="n">
        <v>0</v>
      </c>
      <c r="J902" t="n">
        <v>0</v>
      </c>
      <c r="K902" t="n">
        <v>0</v>
      </c>
      <c r="L902" t="n">
        <v>0</v>
      </c>
      <c r="M902" t="n">
        <v>0</v>
      </c>
      <c r="N902" t="n">
        <v>0</v>
      </c>
      <c r="O902" t="n">
        <v>0</v>
      </c>
      <c r="P902" t="n">
        <v>0</v>
      </c>
      <c r="Q902" t="n">
        <v>0</v>
      </c>
      <c r="R902" s="2" t="inlineStr"/>
    </row>
    <row r="903" ht="15" customHeight="1">
      <c r="A903" t="inlineStr">
        <is>
          <t>A 13297-2025</t>
        </is>
      </c>
      <c r="B903" s="1" t="n">
        <v>45735.57390046296</v>
      </c>
      <c r="C903" s="1" t="n">
        <v>45904</v>
      </c>
      <c r="D903" t="inlineStr">
        <is>
          <t>JÄMTLANDS LÄN</t>
        </is>
      </c>
      <c r="E903" t="inlineStr">
        <is>
          <t>HÄRJEDALEN</t>
        </is>
      </c>
      <c r="G903" t="n">
        <v>24.7</v>
      </c>
      <c r="H903" t="n">
        <v>0</v>
      </c>
      <c r="I903" t="n">
        <v>0</v>
      </c>
      <c r="J903" t="n">
        <v>0</v>
      </c>
      <c r="K903" t="n">
        <v>0</v>
      </c>
      <c r="L903" t="n">
        <v>0</v>
      </c>
      <c r="M903" t="n">
        <v>0</v>
      </c>
      <c r="N903" t="n">
        <v>0</v>
      </c>
      <c r="O903" t="n">
        <v>0</v>
      </c>
      <c r="P903" t="n">
        <v>0</v>
      </c>
      <c r="Q903" t="n">
        <v>0</v>
      </c>
      <c r="R903" s="2" t="inlineStr"/>
    </row>
    <row r="904" ht="15" customHeight="1">
      <c r="A904" t="inlineStr">
        <is>
          <t>A 1665-2025</t>
        </is>
      </c>
      <c r="B904" s="1" t="n">
        <v>45670</v>
      </c>
      <c r="C904" s="1" t="n">
        <v>45904</v>
      </c>
      <c r="D904" t="inlineStr">
        <is>
          <t>JÄMTLANDS LÄN</t>
        </is>
      </c>
      <c r="E904" t="inlineStr">
        <is>
          <t>HÄRJEDALEN</t>
        </is>
      </c>
      <c r="F904" t="inlineStr">
        <is>
          <t>Bergvik skog väst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41491-2025</t>
        </is>
      </c>
      <c r="B905" s="1" t="n">
        <v>45901.4881712963</v>
      </c>
      <c r="C905" s="1" t="n">
        <v>45904</v>
      </c>
      <c r="D905" t="inlineStr">
        <is>
          <t>JÄMTLANDS LÄN</t>
        </is>
      </c>
      <c r="E905" t="inlineStr">
        <is>
          <t>HÄRJEDALEN</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41549-2025</t>
        </is>
      </c>
      <c r="B906" s="1" t="n">
        <v>45901.58591435185</v>
      </c>
      <c r="C906" s="1" t="n">
        <v>45904</v>
      </c>
      <c r="D906" t="inlineStr">
        <is>
          <t>JÄMTLANDS LÄN</t>
        </is>
      </c>
      <c r="E906" t="inlineStr">
        <is>
          <t>HÄRJEDALEN</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65150-2023</t>
        </is>
      </c>
      <c r="B907" s="1" t="n">
        <v>45288.58685185185</v>
      </c>
      <c r="C907" s="1" t="n">
        <v>45904</v>
      </c>
      <c r="D907" t="inlineStr">
        <is>
          <t>JÄMTLANDS LÄN</t>
        </is>
      </c>
      <c r="E907" t="inlineStr">
        <is>
          <t>HÄRJEDALEN</t>
        </is>
      </c>
      <c r="G907" t="n">
        <v>2.2</v>
      </c>
      <c r="H907" t="n">
        <v>0</v>
      </c>
      <c r="I907" t="n">
        <v>0</v>
      </c>
      <c r="J907" t="n">
        <v>0</v>
      </c>
      <c r="K907" t="n">
        <v>0</v>
      </c>
      <c r="L907" t="n">
        <v>0</v>
      </c>
      <c r="M907" t="n">
        <v>0</v>
      </c>
      <c r="N907" t="n">
        <v>0</v>
      </c>
      <c r="O907" t="n">
        <v>0</v>
      </c>
      <c r="P907" t="n">
        <v>0</v>
      </c>
      <c r="Q907" t="n">
        <v>0</v>
      </c>
      <c r="R907" s="2" t="inlineStr"/>
    </row>
    <row r="908" ht="15" customHeight="1">
      <c r="A908" t="inlineStr">
        <is>
          <t>A 22728-2023</t>
        </is>
      </c>
      <c r="B908" s="1" t="n">
        <v>45071.92488425926</v>
      </c>
      <c r="C908" s="1" t="n">
        <v>45904</v>
      </c>
      <c r="D908" t="inlineStr">
        <is>
          <t>JÄMTLANDS LÄN</t>
        </is>
      </c>
      <c r="E908" t="inlineStr">
        <is>
          <t>HÄRJEDALEN</t>
        </is>
      </c>
      <c r="G908" t="n">
        <v>2.8</v>
      </c>
      <c r="H908" t="n">
        <v>0</v>
      </c>
      <c r="I908" t="n">
        <v>0</v>
      </c>
      <c r="J908" t="n">
        <v>0</v>
      </c>
      <c r="K908" t="n">
        <v>0</v>
      </c>
      <c r="L908" t="n">
        <v>0</v>
      </c>
      <c r="M908" t="n">
        <v>0</v>
      </c>
      <c r="N908" t="n">
        <v>0</v>
      </c>
      <c r="O908" t="n">
        <v>0</v>
      </c>
      <c r="P908" t="n">
        <v>0</v>
      </c>
      <c r="Q908" t="n">
        <v>0</v>
      </c>
      <c r="R908" s="2" t="inlineStr"/>
    </row>
    <row r="909" ht="15" customHeight="1">
      <c r="A909" t="inlineStr">
        <is>
          <t>A 36539-2025</t>
        </is>
      </c>
      <c r="B909" s="1" t="n">
        <v>45869</v>
      </c>
      <c r="C909" s="1" t="n">
        <v>45904</v>
      </c>
      <c r="D909" t="inlineStr">
        <is>
          <t>JÄMTLANDS LÄN</t>
        </is>
      </c>
      <c r="E909" t="inlineStr">
        <is>
          <t>HÄRJEDALEN</t>
        </is>
      </c>
      <c r="G909" t="n">
        <v>13</v>
      </c>
      <c r="H909" t="n">
        <v>0</v>
      </c>
      <c r="I909" t="n">
        <v>0</v>
      </c>
      <c r="J909" t="n">
        <v>0</v>
      </c>
      <c r="K909" t="n">
        <v>0</v>
      </c>
      <c r="L909" t="n">
        <v>0</v>
      </c>
      <c r="M909" t="n">
        <v>0</v>
      </c>
      <c r="N909" t="n">
        <v>0</v>
      </c>
      <c r="O909" t="n">
        <v>0</v>
      </c>
      <c r="P909" t="n">
        <v>0</v>
      </c>
      <c r="Q909" t="n">
        <v>0</v>
      </c>
      <c r="R909" s="2" t="inlineStr"/>
    </row>
    <row r="910" ht="15" customHeight="1">
      <c r="A910" t="inlineStr">
        <is>
          <t>A 41180-2025</t>
        </is>
      </c>
      <c r="B910" s="1" t="n">
        <v>45898.55296296296</v>
      </c>
      <c r="C910" s="1" t="n">
        <v>45904</v>
      </c>
      <c r="D910" t="inlineStr">
        <is>
          <t>JÄMTLANDS LÄN</t>
        </is>
      </c>
      <c r="E910" t="inlineStr">
        <is>
          <t>HÄRJEDALEN</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41070-2025</t>
        </is>
      </c>
      <c r="B911" s="1" t="n">
        <v>45898.41540509259</v>
      </c>
      <c r="C911" s="1" t="n">
        <v>45904</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55931-2022</t>
        </is>
      </c>
      <c r="B912" s="1" t="n">
        <v>44886</v>
      </c>
      <c r="C912" s="1" t="n">
        <v>45904</v>
      </c>
      <c r="D912" t="inlineStr">
        <is>
          <t>JÄMTLANDS LÄN</t>
        </is>
      </c>
      <c r="E912" t="inlineStr">
        <is>
          <t>HÄRJEDALEN</t>
        </is>
      </c>
      <c r="F912" t="inlineStr">
        <is>
          <t>Övriga statliga verk och myndigheter</t>
        </is>
      </c>
      <c r="G912" t="n">
        <v>2.9</v>
      </c>
      <c r="H912" t="n">
        <v>0</v>
      </c>
      <c r="I912" t="n">
        <v>0</v>
      </c>
      <c r="J912" t="n">
        <v>0</v>
      </c>
      <c r="K912" t="n">
        <v>0</v>
      </c>
      <c r="L912" t="n">
        <v>0</v>
      </c>
      <c r="M912" t="n">
        <v>0</v>
      </c>
      <c r="N912" t="n">
        <v>0</v>
      </c>
      <c r="O912" t="n">
        <v>0</v>
      </c>
      <c r="P912" t="n">
        <v>0</v>
      </c>
      <c r="Q912" t="n">
        <v>0</v>
      </c>
      <c r="R912" s="2" t="inlineStr"/>
    </row>
    <row r="913" ht="15" customHeight="1">
      <c r="A913" t="inlineStr">
        <is>
          <t>A 29772-2023</t>
        </is>
      </c>
      <c r="B913" s="1" t="n">
        <v>45107</v>
      </c>
      <c r="C913" s="1" t="n">
        <v>45904</v>
      </c>
      <c r="D913" t="inlineStr">
        <is>
          <t>JÄMTLANDS LÄN</t>
        </is>
      </c>
      <c r="E913" t="inlineStr">
        <is>
          <t>HÄRJEDALEN</t>
        </is>
      </c>
      <c r="G913" t="n">
        <v>1.2</v>
      </c>
      <c r="H913" t="n">
        <v>0</v>
      </c>
      <c r="I913" t="n">
        <v>0</v>
      </c>
      <c r="J913" t="n">
        <v>0</v>
      </c>
      <c r="K913" t="n">
        <v>0</v>
      </c>
      <c r="L913" t="n">
        <v>0</v>
      </c>
      <c r="M913" t="n">
        <v>0</v>
      </c>
      <c r="N913" t="n">
        <v>0</v>
      </c>
      <c r="O913" t="n">
        <v>0</v>
      </c>
      <c r="P913" t="n">
        <v>0</v>
      </c>
      <c r="Q913" t="n">
        <v>0</v>
      </c>
      <c r="R913" s="2" t="inlineStr"/>
    </row>
    <row r="914" ht="15" customHeight="1">
      <c r="A914" t="inlineStr">
        <is>
          <t>A 42032-2025</t>
        </is>
      </c>
      <c r="B914" s="1" t="n">
        <v>45903.6066087963</v>
      </c>
      <c r="C914" s="1" t="n">
        <v>45904</v>
      </c>
      <c r="D914" t="inlineStr">
        <is>
          <t>JÄMTLANDS LÄN</t>
        </is>
      </c>
      <c r="E914" t="inlineStr">
        <is>
          <t>HÄRJEDALEN</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35810-2025</t>
        </is>
      </c>
      <c r="B915" s="1" t="n">
        <v>45861</v>
      </c>
      <c r="C915" s="1" t="n">
        <v>45904</v>
      </c>
      <c r="D915" t="inlineStr">
        <is>
          <t>JÄMTLANDS LÄN</t>
        </is>
      </c>
      <c r="E915" t="inlineStr">
        <is>
          <t>HÄRJEDALEN</t>
        </is>
      </c>
      <c r="F915" t="inlineStr">
        <is>
          <t>Bergvik skog väst AB</t>
        </is>
      </c>
      <c r="G915" t="n">
        <v>41.3</v>
      </c>
      <c r="H915" t="n">
        <v>0</v>
      </c>
      <c r="I915" t="n">
        <v>0</v>
      </c>
      <c r="J915" t="n">
        <v>0</v>
      </c>
      <c r="K915" t="n">
        <v>0</v>
      </c>
      <c r="L915" t="n">
        <v>0</v>
      </c>
      <c r="M915" t="n">
        <v>0</v>
      </c>
      <c r="N915" t="n">
        <v>0</v>
      </c>
      <c r="O915" t="n">
        <v>0</v>
      </c>
      <c r="P915" t="n">
        <v>0</v>
      </c>
      <c r="Q915" t="n">
        <v>0</v>
      </c>
      <c r="R915" s="2" t="inlineStr"/>
    </row>
    <row r="916" ht="15" customHeight="1">
      <c r="A916" t="inlineStr">
        <is>
          <t>A 35634-2025</t>
        </is>
      </c>
      <c r="B916" s="1" t="n">
        <v>45859</v>
      </c>
      <c r="C916" s="1" t="n">
        <v>45904</v>
      </c>
      <c r="D916" t="inlineStr">
        <is>
          <t>JÄMTLANDS LÄN</t>
        </is>
      </c>
      <c r="E916" t="inlineStr">
        <is>
          <t>HÄRJEDALEN</t>
        </is>
      </c>
      <c r="G916" t="n">
        <v>9.1</v>
      </c>
      <c r="H916" t="n">
        <v>0</v>
      </c>
      <c r="I916" t="n">
        <v>0</v>
      </c>
      <c r="J916" t="n">
        <v>0</v>
      </c>
      <c r="K916" t="n">
        <v>0</v>
      </c>
      <c r="L916" t="n">
        <v>0</v>
      </c>
      <c r="M916" t="n">
        <v>0</v>
      </c>
      <c r="N916" t="n">
        <v>0</v>
      </c>
      <c r="O916" t="n">
        <v>0</v>
      </c>
      <c r="P916" t="n">
        <v>0</v>
      </c>
      <c r="Q916" t="n">
        <v>0</v>
      </c>
      <c r="R916" s="2" t="inlineStr"/>
    </row>
    <row r="917" ht="15" customHeight="1">
      <c r="A917" t="inlineStr">
        <is>
          <t>A 42031-2025</t>
        </is>
      </c>
      <c r="B917" s="1" t="n">
        <v>45903.60319444445</v>
      </c>
      <c r="C917" s="1" t="n">
        <v>45904</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41788-2025</t>
        </is>
      </c>
      <c r="B918" s="1" t="n">
        <v>45902.59438657408</v>
      </c>
      <c r="C918" s="1" t="n">
        <v>45904</v>
      </c>
      <c r="D918" t="inlineStr">
        <is>
          <t>JÄMTLANDS LÄN</t>
        </is>
      </c>
      <c r="E918" t="inlineStr">
        <is>
          <t>HÄRJEDALEN</t>
        </is>
      </c>
      <c r="F918" t="inlineStr">
        <is>
          <t>SCA</t>
        </is>
      </c>
      <c r="G918" t="n">
        <v>9.9</v>
      </c>
      <c r="H918" t="n">
        <v>0</v>
      </c>
      <c r="I918" t="n">
        <v>0</v>
      </c>
      <c r="J918" t="n">
        <v>0</v>
      </c>
      <c r="K918" t="n">
        <v>0</v>
      </c>
      <c r="L918" t="n">
        <v>0</v>
      </c>
      <c r="M918" t="n">
        <v>0</v>
      </c>
      <c r="N918" t="n">
        <v>0</v>
      </c>
      <c r="O918" t="n">
        <v>0</v>
      </c>
      <c r="P918" t="n">
        <v>0</v>
      </c>
      <c r="Q918" t="n">
        <v>0</v>
      </c>
      <c r="R918" s="2" t="inlineStr"/>
    </row>
    <row r="919" ht="15" customHeight="1">
      <c r="A919" t="inlineStr">
        <is>
          <t>A 41769-2025</t>
        </is>
      </c>
      <c r="B919" s="1" t="n">
        <v>45902.55119212963</v>
      </c>
      <c r="C919" s="1" t="n">
        <v>45904</v>
      </c>
      <c r="D919" t="inlineStr">
        <is>
          <t>JÄMTLANDS LÄN</t>
        </is>
      </c>
      <c r="E919" t="inlineStr">
        <is>
          <t>HÄRJEDALEN</t>
        </is>
      </c>
      <c r="G919" t="n">
        <v>0.7</v>
      </c>
      <c r="H919" t="n">
        <v>0</v>
      </c>
      <c r="I919" t="n">
        <v>0</v>
      </c>
      <c r="J919" t="n">
        <v>0</v>
      </c>
      <c r="K919" t="n">
        <v>0</v>
      </c>
      <c r="L919" t="n">
        <v>0</v>
      </c>
      <c r="M919" t="n">
        <v>0</v>
      </c>
      <c r="N919" t="n">
        <v>0</v>
      </c>
      <c r="O919" t="n">
        <v>0</v>
      </c>
      <c r="P919" t="n">
        <v>0</v>
      </c>
      <c r="Q919" t="n">
        <v>0</v>
      </c>
      <c r="R919" s="2" t="inlineStr"/>
    </row>
    <row r="920" ht="15" customHeight="1">
      <c r="A920" t="inlineStr">
        <is>
          <t>A 41821-2025</t>
        </is>
      </c>
      <c r="B920" s="1" t="n">
        <v>45902.66265046296</v>
      </c>
      <c r="C920" s="1" t="n">
        <v>45904</v>
      </c>
      <c r="D920" t="inlineStr">
        <is>
          <t>JÄMTLANDS LÄN</t>
        </is>
      </c>
      <c r="E920" t="inlineStr">
        <is>
          <t>HÄRJEDALEN</t>
        </is>
      </c>
      <c r="F920" t="inlineStr">
        <is>
          <t>Holmen skog AB</t>
        </is>
      </c>
      <c r="G920" t="n">
        <v>30</v>
      </c>
      <c r="H920" t="n">
        <v>0</v>
      </c>
      <c r="I920" t="n">
        <v>0</v>
      </c>
      <c r="J920" t="n">
        <v>0</v>
      </c>
      <c r="K920" t="n">
        <v>0</v>
      </c>
      <c r="L920" t="n">
        <v>0</v>
      </c>
      <c r="M920" t="n">
        <v>0</v>
      </c>
      <c r="N920" t="n">
        <v>0</v>
      </c>
      <c r="O920" t="n">
        <v>0</v>
      </c>
      <c r="P920" t="n">
        <v>0</v>
      </c>
      <c r="Q920" t="n">
        <v>0</v>
      </c>
      <c r="R920" s="2" t="inlineStr"/>
    </row>
    <row r="921" ht="15" customHeight="1">
      <c r="A921" t="inlineStr">
        <is>
          <t>A 27996-2025</t>
        </is>
      </c>
      <c r="B921" s="1" t="n">
        <v>45817.594375</v>
      </c>
      <c r="C921" s="1" t="n">
        <v>45904</v>
      </c>
      <c r="D921" t="inlineStr">
        <is>
          <t>JÄMTLANDS LÄN</t>
        </is>
      </c>
      <c r="E921" t="inlineStr">
        <is>
          <t>HÄRJEDALEN</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41664-2025</t>
        </is>
      </c>
      <c r="B922" s="1" t="n">
        <v>45902.35612268518</v>
      </c>
      <c r="C922" s="1" t="n">
        <v>45904</v>
      </c>
      <c r="D922" t="inlineStr">
        <is>
          <t>JÄMTLANDS LÄN</t>
        </is>
      </c>
      <c r="E922" t="inlineStr">
        <is>
          <t>HÄRJEDALEN</t>
        </is>
      </c>
      <c r="F922" t="inlineStr">
        <is>
          <t>Holmen skog AB</t>
        </is>
      </c>
      <c r="G922" t="n">
        <v>18.7</v>
      </c>
      <c r="H922" t="n">
        <v>0</v>
      </c>
      <c r="I922" t="n">
        <v>0</v>
      </c>
      <c r="J922" t="n">
        <v>0</v>
      </c>
      <c r="K922" t="n">
        <v>0</v>
      </c>
      <c r="L922" t="n">
        <v>0</v>
      </c>
      <c r="M922" t="n">
        <v>0</v>
      </c>
      <c r="N922" t="n">
        <v>0</v>
      </c>
      <c r="O922" t="n">
        <v>0</v>
      </c>
      <c r="P922" t="n">
        <v>0</v>
      </c>
      <c r="Q922" t="n">
        <v>0</v>
      </c>
      <c r="R922" s="2" t="inlineStr"/>
    </row>
    <row r="923" ht="15" customHeight="1">
      <c r="A923" t="inlineStr">
        <is>
          <t>A 12810-2022</t>
        </is>
      </c>
      <c r="B923" s="1" t="n">
        <v>44642</v>
      </c>
      <c r="C923" s="1" t="n">
        <v>45904</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19488-2024</t>
        </is>
      </c>
      <c r="B924" s="1" t="n">
        <v>45429</v>
      </c>
      <c r="C924" s="1" t="n">
        <v>45904</v>
      </c>
      <c r="D924" t="inlineStr">
        <is>
          <t>JÄMTLANDS LÄN</t>
        </is>
      </c>
      <c r="E924" t="inlineStr">
        <is>
          <t>HÄRJEDALEN</t>
        </is>
      </c>
      <c r="G924" t="n">
        <v>0.5</v>
      </c>
      <c r="H924" t="n">
        <v>0</v>
      </c>
      <c r="I924" t="n">
        <v>0</v>
      </c>
      <c r="J924" t="n">
        <v>0</v>
      </c>
      <c r="K924" t="n">
        <v>0</v>
      </c>
      <c r="L924" t="n">
        <v>0</v>
      </c>
      <c r="M924" t="n">
        <v>0</v>
      </c>
      <c r="N924" t="n">
        <v>0</v>
      </c>
      <c r="O924" t="n">
        <v>0</v>
      </c>
      <c r="P924" t="n">
        <v>0</v>
      </c>
      <c r="Q924" t="n">
        <v>0</v>
      </c>
      <c r="R924" s="2" t="inlineStr"/>
    </row>
    <row r="925" ht="15" customHeight="1">
      <c r="A925" t="inlineStr">
        <is>
          <t>A 6756-2024</t>
        </is>
      </c>
      <c r="B925" s="1" t="n">
        <v>45342</v>
      </c>
      <c r="C925" s="1" t="n">
        <v>45904</v>
      </c>
      <c r="D925" t="inlineStr">
        <is>
          <t>JÄMTLANDS LÄN</t>
        </is>
      </c>
      <c r="E925" t="inlineStr">
        <is>
          <t>HÄRJEDALEN</t>
        </is>
      </c>
      <c r="G925" t="n">
        <v>5.7</v>
      </c>
      <c r="H925" t="n">
        <v>0</v>
      </c>
      <c r="I925" t="n">
        <v>0</v>
      </c>
      <c r="J925" t="n">
        <v>0</v>
      </c>
      <c r="K925" t="n">
        <v>0</v>
      </c>
      <c r="L925" t="n">
        <v>0</v>
      </c>
      <c r="M925" t="n">
        <v>0</v>
      </c>
      <c r="N925" t="n">
        <v>0</v>
      </c>
      <c r="O925" t="n">
        <v>0</v>
      </c>
      <c r="P925" t="n">
        <v>0</v>
      </c>
      <c r="Q925" t="n">
        <v>0</v>
      </c>
      <c r="R925" s="2" t="inlineStr"/>
    </row>
    <row r="926" ht="15" customHeight="1">
      <c r="A926" t="inlineStr">
        <is>
          <t>A 48051-2023</t>
        </is>
      </c>
      <c r="B926" s="1" t="n">
        <v>45204</v>
      </c>
      <c r="C926" s="1" t="n">
        <v>45904</v>
      </c>
      <c r="D926" t="inlineStr">
        <is>
          <t>JÄMTLANDS LÄN</t>
        </is>
      </c>
      <c r="E926" t="inlineStr">
        <is>
          <t>HÄRJEDALEN</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18646-2023</t>
        </is>
      </c>
      <c r="B927" s="1" t="n">
        <v>45041</v>
      </c>
      <c r="C927" s="1" t="n">
        <v>45904</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57202-2023</t>
        </is>
      </c>
      <c r="B928" s="1" t="n">
        <v>45245</v>
      </c>
      <c r="C928" s="1" t="n">
        <v>45904</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39820-2022</t>
        </is>
      </c>
      <c r="B929" s="1" t="n">
        <v>44819.56722222222</v>
      </c>
      <c r="C929" s="1" t="n">
        <v>45904</v>
      </c>
      <c r="D929" t="inlineStr">
        <is>
          <t>JÄMTLANDS LÄN</t>
        </is>
      </c>
      <c r="E929" t="inlineStr">
        <is>
          <t>HÄRJEDALEN</t>
        </is>
      </c>
      <c r="G929" t="n">
        <v>1.4</v>
      </c>
      <c r="H929" t="n">
        <v>0</v>
      </c>
      <c r="I929" t="n">
        <v>0</v>
      </c>
      <c r="J929" t="n">
        <v>0</v>
      </c>
      <c r="K929" t="n">
        <v>0</v>
      </c>
      <c r="L929" t="n">
        <v>0</v>
      </c>
      <c r="M929" t="n">
        <v>0</v>
      </c>
      <c r="N929" t="n">
        <v>0</v>
      </c>
      <c r="O929" t="n">
        <v>0</v>
      </c>
      <c r="P929" t="n">
        <v>0</v>
      </c>
      <c r="Q929" t="n">
        <v>0</v>
      </c>
      <c r="R929" s="2" t="inlineStr"/>
    </row>
    <row r="930" ht="15" customHeight="1">
      <c r="A930" t="inlineStr">
        <is>
          <t>A 4879-2025</t>
        </is>
      </c>
      <c r="B930" s="1" t="n">
        <v>45688.6769212963</v>
      </c>
      <c r="C930" s="1" t="n">
        <v>45904</v>
      </c>
      <c r="D930" t="inlineStr">
        <is>
          <t>JÄMTLANDS LÄN</t>
        </is>
      </c>
      <c r="E930" t="inlineStr">
        <is>
          <t>HÄRJEDALEN</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59462-2024</t>
        </is>
      </c>
      <c r="B931" s="1" t="n">
        <v>45638</v>
      </c>
      <c r="C931" s="1" t="n">
        <v>45904</v>
      </c>
      <c r="D931" t="inlineStr">
        <is>
          <t>JÄMTLANDS LÄN</t>
        </is>
      </c>
      <c r="E931" t="inlineStr">
        <is>
          <t>HÄRJEDALEN</t>
        </is>
      </c>
      <c r="F931" t="inlineStr">
        <is>
          <t>Holmen skog AB</t>
        </is>
      </c>
      <c r="G931" t="n">
        <v>9.6</v>
      </c>
      <c r="H931" t="n">
        <v>0</v>
      </c>
      <c r="I931" t="n">
        <v>0</v>
      </c>
      <c r="J931" t="n">
        <v>0</v>
      </c>
      <c r="K931" t="n">
        <v>0</v>
      </c>
      <c r="L931" t="n">
        <v>0</v>
      </c>
      <c r="M931" t="n">
        <v>0</v>
      </c>
      <c r="N931" t="n">
        <v>0</v>
      </c>
      <c r="O931" t="n">
        <v>0</v>
      </c>
      <c r="P931" t="n">
        <v>0</v>
      </c>
      <c r="Q931" t="n">
        <v>0</v>
      </c>
      <c r="R931" s="2" t="inlineStr"/>
    </row>
    <row r="932" ht="15" customHeight="1">
      <c r="A932" t="inlineStr">
        <is>
          <t>A 25893-2024</t>
        </is>
      </c>
      <c r="B932" s="1" t="n">
        <v>45467</v>
      </c>
      <c r="C932" s="1" t="n">
        <v>45904</v>
      </c>
      <c r="D932" t="inlineStr">
        <is>
          <t>JÄMTLANDS LÄN</t>
        </is>
      </c>
      <c r="E932" t="inlineStr">
        <is>
          <t>HÄRJEDALEN</t>
        </is>
      </c>
      <c r="G932" t="n">
        <v>12.8</v>
      </c>
      <c r="H932" t="n">
        <v>0</v>
      </c>
      <c r="I932" t="n">
        <v>0</v>
      </c>
      <c r="J932" t="n">
        <v>0</v>
      </c>
      <c r="K932" t="n">
        <v>0</v>
      </c>
      <c r="L932" t="n">
        <v>0</v>
      </c>
      <c r="M932" t="n">
        <v>0</v>
      </c>
      <c r="N932" t="n">
        <v>0</v>
      </c>
      <c r="O932" t="n">
        <v>0</v>
      </c>
      <c r="P932" t="n">
        <v>0</v>
      </c>
      <c r="Q932" t="n">
        <v>0</v>
      </c>
      <c r="R932" s="2" t="inlineStr"/>
    </row>
    <row r="933" ht="15" customHeight="1">
      <c r="A933" t="inlineStr">
        <is>
          <t>A 49969-2023</t>
        </is>
      </c>
      <c r="B933" s="1" t="n">
        <v>45215</v>
      </c>
      <c r="C933" s="1" t="n">
        <v>45904</v>
      </c>
      <c r="D933" t="inlineStr">
        <is>
          <t>JÄMTLANDS LÄN</t>
        </is>
      </c>
      <c r="E933" t="inlineStr">
        <is>
          <t>HÄRJEDALEN</t>
        </is>
      </c>
      <c r="G933" t="n">
        <v>43.7</v>
      </c>
      <c r="H933" t="n">
        <v>0</v>
      </c>
      <c r="I933" t="n">
        <v>0</v>
      </c>
      <c r="J933" t="n">
        <v>0</v>
      </c>
      <c r="K933" t="n">
        <v>0</v>
      </c>
      <c r="L933" t="n">
        <v>0</v>
      </c>
      <c r="M933" t="n">
        <v>0</v>
      </c>
      <c r="N933" t="n">
        <v>0</v>
      </c>
      <c r="O933" t="n">
        <v>0</v>
      </c>
      <c r="P933" t="n">
        <v>0</v>
      </c>
      <c r="Q933" t="n">
        <v>0</v>
      </c>
      <c r="R933" s="2" t="inlineStr"/>
    </row>
    <row r="934" ht="15" customHeight="1">
      <c r="A934" t="inlineStr">
        <is>
          <t>A 60006-2024</t>
        </is>
      </c>
      <c r="B934" s="1" t="n">
        <v>45642.41907407407</v>
      </c>
      <c r="C934" s="1" t="n">
        <v>45904</v>
      </c>
      <c r="D934" t="inlineStr">
        <is>
          <t>JÄMTLANDS LÄN</t>
        </is>
      </c>
      <c r="E934" t="inlineStr">
        <is>
          <t>HÄRJEDALEN</t>
        </is>
      </c>
      <c r="G934" t="n">
        <v>7.3</v>
      </c>
      <c r="H934" t="n">
        <v>0</v>
      </c>
      <c r="I934" t="n">
        <v>0</v>
      </c>
      <c r="J934" t="n">
        <v>0</v>
      </c>
      <c r="K934" t="n">
        <v>0</v>
      </c>
      <c r="L934" t="n">
        <v>0</v>
      </c>
      <c r="M934" t="n">
        <v>0</v>
      </c>
      <c r="N934" t="n">
        <v>0</v>
      </c>
      <c r="O934" t="n">
        <v>0</v>
      </c>
      <c r="P934" t="n">
        <v>0</v>
      </c>
      <c r="Q934" t="n">
        <v>0</v>
      </c>
      <c r="R934" s="2" t="inlineStr"/>
    </row>
    <row r="935" ht="15" customHeight="1">
      <c r="A935" t="inlineStr">
        <is>
          <t>A 13723-2024</t>
        </is>
      </c>
      <c r="B935" s="1" t="n">
        <v>45390</v>
      </c>
      <c r="C935" s="1" t="n">
        <v>45904</v>
      </c>
      <c r="D935" t="inlineStr">
        <is>
          <t>JÄMTLANDS LÄN</t>
        </is>
      </c>
      <c r="E935" t="inlineStr">
        <is>
          <t>HÄRJEDALEN</t>
        </is>
      </c>
      <c r="G935" t="n">
        <v>2.5</v>
      </c>
      <c r="H935" t="n">
        <v>0</v>
      </c>
      <c r="I935" t="n">
        <v>0</v>
      </c>
      <c r="J935" t="n">
        <v>0</v>
      </c>
      <c r="K935" t="n">
        <v>0</v>
      </c>
      <c r="L935" t="n">
        <v>0</v>
      </c>
      <c r="M935" t="n">
        <v>0</v>
      </c>
      <c r="N935" t="n">
        <v>0</v>
      </c>
      <c r="O935" t="n">
        <v>0</v>
      </c>
      <c r="P935" t="n">
        <v>0</v>
      </c>
      <c r="Q935" t="n">
        <v>0</v>
      </c>
      <c r="R935" s="2" t="inlineStr"/>
    </row>
    <row r="936" ht="15" customHeight="1">
      <c r="A936" t="inlineStr">
        <is>
          <t>A 58866-2023</t>
        </is>
      </c>
      <c r="B936" s="1" t="n">
        <v>45252.45481481482</v>
      </c>
      <c r="C936" s="1" t="n">
        <v>45904</v>
      </c>
      <c r="D936" t="inlineStr">
        <is>
          <t>JÄMTLANDS LÄN</t>
        </is>
      </c>
      <c r="E936" t="inlineStr">
        <is>
          <t>HÄRJEDALEN</t>
        </is>
      </c>
      <c r="G936" t="n">
        <v>2</v>
      </c>
      <c r="H936" t="n">
        <v>0</v>
      </c>
      <c r="I936" t="n">
        <v>0</v>
      </c>
      <c r="J936" t="n">
        <v>0</v>
      </c>
      <c r="K936" t="n">
        <v>0</v>
      </c>
      <c r="L936" t="n">
        <v>0</v>
      </c>
      <c r="M936" t="n">
        <v>0</v>
      </c>
      <c r="N936" t="n">
        <v>0</v>
      </c>
      <c r="O936" t="n">
        <v>0</v>
      </c>
      <c r="P936" t="n">
        <v>0</v>
      </c>
      <c r="Q936" t="n">
        <v>0</v>
      </c>
      <c r="R936" s="2" t="inlineStr"/>
    </row>
    <row r="937" ht="15" customHeight="1">
      <c r="A937" t="inlineStr">
        <is>
          <t>A 58890-2023</t>
        </is>
      </c>
      <c r="B937" s="1" t="n">
        <v>45252.48409722222</v>
      </c>
      <c r="C937" s="1" t="n">
        <v>45904</v>
      </c>
      <c r="D937" t="inlineStr">
        <is>
          <t>JÄMTLANDS LÄN</t>
        </is>
      </c>
      <c r="E937" t="inlineStr">
        <is>
          <t>HÄRJEDALEN</t>
        </is>
      </c>
      <c r="G937" t="n">
        <v>15.2</v>
      </c>
      <c r="H937" t="n">
        <v>0</v>
      </c>
      <c r="I937" t="n">
        <v>0</v>
      </c>
      <c r="J937" t="n">
        <v>0</v>
      </c>
      <c r="K937" t="n">
        <v>0</v>
      </c>
      <c r="L937" t="n">
        <v>0</v>
      </c>
      <c r="M937" t="n">
        <v>0</v>
      </c>
      <c r="N937" t="n">
        <v>0</v>
      </c>
      <c r="O937" t="n">
        <v>0</v>
      </c>
      <c r="P937" t="n">
        <v>0</v>
      </c>
      <c r="Q937" t="n">
        <v>0</v>
      </c>
      <c r="R937" s="2" t="inlineStr"/>
    </row>
    <row r="938" ht="15" customHeight="1">
      <c r="A938" t="inlineStr">
        <is>
          <t>A 16151-2024</t>
        </is>
      </c>
      <c r="B938" s="1" t="n">
        <v>45406</v>
      </c>
      <c r="C938" s="1" t="n">
        <v>45904</v>
      </c>
      <c r="D938" t="inlineStr">
        <is>
          <t>JÄMTLANDS LÄN</t>
        </is>
      </c>
      <c r="E938" t="inlineStr">
        <is>
          <t>HÄRJEDALEN</t>
        </is>
      </c>
      <c r="F938" t="inlineStr">
        <is>
          <t>Holmen skog AB</t>
        </is>
      </c>
      <c r="G938" t="n">
        <v>21.6</v>
      </c>
      <c r="H938" t="n">
        <v>0</v>
      </c>
      <c r="I938" t="n">
        <v>0</v>
      </c>
      <c r="J938" t="n">
        <v>0</v>
      </c>
      <c r="K938" t="n">
        <v>0</v>
      </c>
      <c r="L938" t="n">
        <v>0</v>
      </c>
      <c r="M938" t="n">
        <v>0</v>
      </c>
      <c r="N938" t="n">
        <v>0</v>
      </c>
      <c r="O938" t="n">
        <v>0</v>
      </c>
      <c r="P938" t="n">
        <v>0</v>
      </c>
      <c r="Q938" t="n">
        <v>0</v>
      </c>
      <c r="R938" s="2" t="inlineStr"/>
    </row>
    <row r="939" ht="15" customHeight="1">
      <c r="A939" t="inlineStr">
        <is>
          <t>A 2855-2021</t>
        </is>
      </c>
      <c r="B939" s="1" t="n">
        <v>44216</v>
      </c>
      <c r="C939" s="1" t="n">
        <v>45904</v>
      </c>
      <c r="D939" t="inlineStr">
        <is>
          <t>JÄMTLANDS LÄN</t>
        </is>
      </c>
      <c r="E939" t="inlineStr">
        <is>
          <t>HÄRJEDALEN</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2862-2021</t>
        </is>
      </c>
      <c r="B940" s="1" t="n">
        <v>44216</v>
      </c>
      <c r="C940" s="1" t="n">
        <v>45904</v>
      </c>
      <c r="D940" t="inlineStr">
        <is>
          <t>JÄMTLANDS LÄN</t>
        </is>
      </c>
      <c r="E940" t="inlineStr">
        <is>
          <t>HÄRJEDALEN</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52798-2024</t>
        </is>
      </c>
      <c r="B941" s="1" t="n">
        <v>45610.56706018518</v>
      </c>
      <c r="C941" s="1" t="n">
        <v>45904</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24964-2023</t>
        </is>
      </c>
      <c r="B942" s="1" t="n">
        <v>45085</v>
      </c>
      <c r="C942" s="1" t="n">
        <v>45904</v>
      </c>
      <c r="D942" t="inlineStr">
        <is>
          <t>JÄMTLANDS LÄN</t>
        </is>
      </c>
      <c r="E942" t="inlineStr">
        <is>
          <t>HÄRJEDALEN</t>
        </is>
      </c>
      <c r="G942" t="n">
        <v>19</v>
      </c>
      <c r="H942" t="n">
        <v>0</v>
      </c>
      <c r="I942" t="n">
        <v>0</v>
      </c>
      <c r="J942" t="n">
        <v>0</v>
      </c>
      <c r="K942" t="n">
        <v>0</v>
      </c>
      <c r="L942" t="n">
        <v>0</v>
      </c>
      <c r="M942" t="n">
        <v>0</v>
      </c>
      <c r="N942" t="n">
        <v>0</v>
      </c>
      <c r="O942" t="n">
        <v>0</v>
      </c>
      <c r="P942" t="n">
        <v>0</v>
      </c>
      <c r="Q942" t="n">
        <v>0</v>
      </c>
      <c r="R942" s="2" t="inlineStr"/>
    </row>
    <row r="943" ht="15" customHeight="1">
      <c r="A943" t="inlineStr">
        <is>
          <t>A 29602-2024</t>
        </is>
      </c>
      <c r="B943" s="1" t="n">
        <v>45484</v>
      </c>
      <c r="C943" s="1" t="n">
        <v>45904</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10024-2025</t>
        </is>
      </c>
      <c r="B944" s="1" t="n">
        <v>45719.48778935185</v>
      </c>
      <c r="C944" s="1" t="n">
        <v>45904</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20342-2025</t>
        </is>
      </c>
      <c r="B945" s="1" t="n">
        <v>45775.36589120371</v>
      </c>
      <c r="C945" s="1" t="n">
        <v>45904</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47244-2023</t>
        </is>
      </c>
      <c r="B946" s="1" t="n">
        <v>45202</v>
      </c>
      <c r="C946" s="1" t="n">
        <v>45904</v>
      </c>
      <c r="D946" t="inlineStr">
        <is>
          <t>JÄMTLANDS LÄN</t>
        </is>
      </c>
      <c r="E946" t="inlineStr">
        <is>
          <t>HÄRJEDALEN</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41058-2023</t>
        </is>
      </c>
      <c r="B947" s="1" t="n">
        <v>45173</v>
      </c>
      <c r="C947" s="1" t="n">
        <v>45904</v>
      </c>
      <c r="D947" t="inlineStr">
        <is>
          <t>JÄMTLANDS LÄN</t>
        </is>
      </c>
      <c r="E947" t="inlineStr">
        <is>
          <t>HÄRJEDALEN</t>
        </is>
      </c>
      <c r="G947" t="n">
        <v>6</v>
      </c>
      <c r="H947" t="n">
        <v>0</v>
      </c>
      <c r="I947" t="n">
        <v>0</v>
      </c>
      <c r="J947" t="n">
        <v>0</v>
      </c>
      <c r="K947" t="n">
        <v>0</v>
      </c>
      <c r="L947" t="n">
        <v>0</v>
      </c>
      <c r="M947" t="n">
        <v>0</v>
      </c>
      <c r="N947" t="n">
        <v>0</v>
      </c>
      <c r="O947" t="n">
        <v>0</v>
      </c>
      <c r="P947" t="n">
        <v>0</v>
      </c>
      <c r="Q947" t="n">
        <v>0</v>
      </c>
      <c r="R947" s="2" t="inlineStr"/>
    </row>
    <row r="948" ht="15" customHeight="1">
      <c r="A948" t="inlineStr">
        <is>
          <t>A 61140-2024</t>
        </is>
      </c>
      <c r="B948" s="1" t="n">
        <v>45644</v>
      </c>
      <c r="C948" s="1" t="n">
        <v>45904</v>
      </c>
      <c r="D948" t="inlineStr">
        <is>
          <t>JÄMTLANDS LÄN</t>
        </is>
      </c>
      <c r="E948" t="inlineStr">
        <is>
          <t>HÄRJEDALEN</t>
        </is>
      </c>
      <c r="G948" t="n">
        <v>29.7</v>
      </c>
      <c r="H948" t="n">
        <v>0</v>
      </c>
      <c r="I948" t="n">
        <v>0</v>
      </c>
      <c r="J948" t="n">
        <v>0</v>
      </c>
      <c r="K948" t="n">
        <v>0</v>
      </c>
      <c r="L948" t="n">
        <v>0</v>
      </c>
      <c r="M948" t="n">
        <v>0</v>
      </c>
      <c r="N948" t="n">
        <v>0</v>
      </c>
      <c r="O948" t="n">
        <v>0</v>
      </c>
      <c r="P948" t="n">
        <v>0</v>
      </c>
      <c r="Q948" t="n">
        <v>0</v>
      </c>
      <c r="R948" s="2" t="inlineStr"/>
    </row>
    <row r="949" ht="15" customHeight="1">
      <c r="A949" t="inlineStr">
        <is>
          <t>A 53010-2024</t>
        </is>
      </c>
      <c r="B949" s="1" t="n">
        <v>45611.4021875</v>
      </c>
      <c r="C949" s="1" t="n">
        <v>45904</v>
      </c>
      <c r="D949" t="inlineStr">
        <is>
          <t>JÄMTLANDS LÄN</t>
        </is>
      </c>
      <c r="E949" t="inlineStr">
        <is>
          <t>HÄRJEDALEN</t>
        </is>
      </c>
      <c r="G949" t="n">
        <v>4</v>
      </c>
      <c r="H949" t="n">
        <v>0</v>
      </c>
      <c r="I949" t="n">
        <v>0</v>
      </c>
      <c r="J949" t="n">
        <v>0</v>
      </c>
      <c r="K949" t="n">
        <v>0</v>
      </c>
      <c r="L949" t="n">
        <v>0</v>
      </c>
      <c r="M949" t="n">
        <v>0</v>
      </c>
      <c r="N949" t="n">
        <v>0</v>
      </c>
      <c r="O949" t="n">
        <v>0</v>
      </c>
      <c r="P949" t="n">
        <v>0</v>
      </c>
      <c r="Q949" t="n">
        <v>0</v>
      </c>
      <c r="R949" s="2" t="inlineStr"/>
    </row>
    <row r="950" ht="15" customHeight="1">
      <c r="A950" t="inlineStr">
        <is>
          <t>A 12484-2023</t>
        </is>
      </c>
      <c r="B950" s="1" t="n">
        <v>44998</v>
      </c>
      <c r="C950" s="1" t="n">
        <v>45904</v>
      </c>
      <c r="D950" t="inlineStr">
        <is>
          <t>JÄMTLANDS LÄN</t>
        </is>
      </c>
      <c r="E950" t="inlineStr">
        <is>
          <t>HÄRJEDALEN</t>
        </is>
      </c>
      <c r="G950" t="n">
        <v>43.1</v>
      </c>
      <c r="H950" t="n">
        <v>0</v>
      </c>
      <c r="I950" t="n">
        <v>0</v>
      </c>
      <c r="J950" t="n">
        <v>0</v>
      </c>
      <c r="K950" t="n">
        <v>0</v>
      </c>
      <c r="L950" t="n">
        <v>0</v>
      </c>
      <c r="M950" t="n">
        <v>0</v>
      </c>
      <c r="N950" t="n">
        <v>0</v>
      </c>
      <c r="O950" t="n">
        <v>0</v>
      </c>
      <c r="P950" t="n">
        <v>0</v>
      </c>
      <c r="Q950" t="n">
        <v>0</v>
      </c>
      <c r="R950" s="2" t="inlineStr"/>
    </row>
    <row r="951" ht="15" customHeight="1">
      <c r="A951" t="inlineStr">
        <is>
          <t>A 60087-2020</t>
        </is>
      </c>
      <c r="B951" s="1" t="n">
        <v>44151</v>
      </c>
      <c r="C951" s="1" t="n">
        <v>45904</v>
      </c>
      <c r="D951" t="inlineStr">
        <is>
          <t>JÄMTLANDS LÄN</t>
        </is>
      </c>
      <c r="E951" t="inlineStr">
        <is>
          <t>HÄRJEDALEN</t>
        </is>
      </c>
      <c r="G951" t="n">
        <v>9.4</v>
      </c>
      <c r="H951" t="n">
        <v>0</v>
      </c>
      <c r="I951" t="n">
        <v>0</v>
      </c>
      <c r="J951" t="n">
        <v>0</v>
      </c>
      <c r="K951" t="n">
        <v>0</v>
      </c>
      <c r="L951" t="n">
        <v>0</v>
      </c>
      <c r="M951" t="n">
        <v>0</v>
      </c>
      <c r="N951" t="n">
        <v>0</v>
      </c>
      <c r="O951" t="n">
        <v>0</v>
      </c>
      <c r="P951" t="n">
        <v>0</v>
      </c>
      <c r="Q951" t="n">
        <v>0</v>
      </c>
      <c r="R951" s="2" t="inlineStr"/>
    </row>
    <row r="952" ht="15" customHeight="1">
      <c r="A952" t="inlineStr">
        <is>
          <t>A 31778-2023</t>
        </is>
      </c>
      <c r="B952" s="1" t="n">
        <v>45118.3959375</v>
      </c>
      <c r="C952" s="1" t="n">
        <v>45904</v>
      </c>
      <c r="D952" t="inlineStr">
        <is>
          <t>JÄMTLANDS LÄN</t>
        </is>
      </c>
      <c r="E952" t="inlineStr">
        <is>
          <t>HÄRJEDALEN</t>
        </is>
      </c>
      <c r="F952" t="inlineStr">
        <is>
          <t>Bergvik skog väst AB</t>
        </is>
      </c>
      <c r="G952" t="n">
        <v>4.6</v>
      </c>
      <c r="H952" t="n">
        <v>0</v>
      </c>
      <c r="I952" t="n">
        <v>0</v>
      </c>
      <c r="J952" t="n">
        <v>0</v>
      </c>
      <c r="K952" t="n">
        <v>0</v>
      </c>
      <c r="L952" t="n">
        <v>0</v>
      </c>
      <c r="M952" t="n">
        <v>0</v>
      </c>
      <c r="N952" t="n">
        <v>0</v>
      </c>
      <c r="O952" t="n">
        <v>0</v>
      </c>
      <c r="P952" t="n">
        <v>0</v>
      </c>
      <c r="Q952" t="n">
        <v>0</v>
      </c>
      <c r="R952" s="2" t="inlineStr"/>
    </row>
    <row r="953" ht="15" customHeight="1">
      <c r="A953" t="inlineStr">
        <is>
          <t>A 45123-2024</t>
        </is>
      </c>
      <c r="B953" s="1" t="n">
        <v>45575.6125925926</v>
      </c>
      <c r="C953" s="1" t="n">
        <v>45904</v>
      </c>
      <c r="D953" t="inlineStr">
        <is>
          <t>JÄMTLANDS LÄN</t>
        </is>
      </c>
      <c r="E953" t="inlineStr">
        <is>
          <t>HÄRJEDALEN</t>
        </is>
      </c>
      <c r="F953" t="inlineStr">
        <is>
          <t>Holmen skog AB</t>
        </is>
      </c>
      <c r="G953" t="n">
        <v>0.5</v>
      </c>
      <c r="H953" t="n">
        <v>0</v>
      </c>
      <c r="I953" t="n">
        <v>0</v>
      </c>
      <c r="J953" t="n">
        <v>0</v>
      </c>
      <c r="K953" t="n">
        <v>0</v>
      </c>
      <c r="L953" t="n">
        <v>0</v>
      </c>
      <c r="M953" t="n">
        <v>0</v>
      </c>
      <c r="N953" t="n">
        <v>0</v>
      </c>
      <c r="O953" t="n">
        <v>0</v>
      </c>
      <c r="P953" t="n">
        <v>0</v>
      </c>
      <c r="Q953" t="n">
        <v>0</v>
      </c>
      <c r="R953" s="2" t="inlineStr"/>
    </row>
    <row r="954" ht="15" customHeight="1">
      <c r="A954" t="inlineStr">
        <is>
          <t>A 9780-2024</t>
        </is>
      </c>
      <c r="B954" s="1" t="n">
        <v>45362.65903935185</v>
      </c>
      <c r="C954" s="1" t="n">
        <v>45904</v>
      </c>
      <c r="D954" t="inlineStr">
        <is>
          <t>JÄMTLANDS LÄN</t>
        </is>
      </c>
      <c r="E954" t="inlineStr">
        <is>
          <t>HÄRJEDALEN</t>
        </is>
      </c>
      <c r="G954" t="n">
        <v>0.4</v>
      </c>
      <c r="H954" t="n">
        <v>0</v>
      </c>
      <c r="I954" t="n">
        <v>0</v>
      </c>
      <c r="J954" t="n">
        <v>0</v>
      </c>
      <c r="K954" t="n">
        <v>0</v>
      </c>
      <c r="L954" t="n">
        <v>0</v>
      </c>
      <c r="M954" t="n">
        <v>0</v>
      </c>
      <c r="N954" t="n">
        <v>0</v>
      </c>
      <c r="O954" t="n">
        <v>0</v>
      </c>
      <c r="P954" t="n">
        <v>0</v>
      </c>
      <c r="Q954" t="n">
        <v>0</v>
      </c>
      <c r="R954" s="2" t="inlineStr"/>
    </row>
    <row r="955" ht="15" customHeight="1">
      <c r="A955" t="inlineStr">
        <is>
          <t>A 7622-2025</t>
        </is>
      </c>
      <c r="B955" s="1" t="n">
        <v>45705.72106481482</v>
      </c>
      <c r="C955" s="1" t="n">
        <v>45904</v>
      </c>
      <c r="D955" t="inlineStr">
        <is>
          <t>JÄMTLANDS LÄN</t>
        </is>
      </c>
      <c r="E955" t="inlineStr">
        <is>
          <t>HÄRJEDALEN</t>
        </is>
      </c>
      <c r="G955" t="n">
        <v>2.7</v>
      </c>
      <c r="H955" t="n">
        <v>0</v>
      </c>
      <c r="I955" t="n">
        <v>0</v>
      </c>
      <c r="J955" t="n">
        <v>0</v>
      </c>
      <c r="K955" t="n">
        <v>0</v>
      </c>
      <c r="L955" t="n">
        <v>0</v>
      </c>
      <c r="M955" t="n">
        <v>0</v>
      </c>
      <c r="N955" t="n">
        <v>0</v>
      </c>
      <c r="O955" t="n">
        <v>0</v>
      </c>
      <c r="P955" t="n">
        <v>0</v>
      </c>
      <c r="Q955" t="n">
        <v>0</v>
      </c>
      <c r="R955" s="2" t="inlineStr"/>
    </row>
    <row r="956" ht="15" customHeight="1">
      <c r="A956" t="inlineStr">
        <is>
          <t>A 4155-2025</t>
        </is>
      </c>
      <c r="B956" s="1" t="n">
        <v>45685.38901620371</v>
      </c>
      <c r="C956" s="1" t="n">
        <v>45904</v>
      </c>
      <c r="D956" t="inlineStr">
        <is>
          <t>JÄMTLANDS LÄN</t>
        </is>
      </c>
      <c r="E956" t="inlineStr">
        <is>
          <t>HÄRJEDALEN</t>
        </is>
      </c>
      <c r="F956" t="inlineStr">
        <is>
          <t>Bergvik skog väst AB</t>
        </is>
      </c>
      <c r="G956" t="n">
        <v>22.2</v>
      </c>
      <c r="H956" t="n">
        <v>0</v>
      </c>
      <c r="I956" t="n">
        <v>0</v>
      </c>
      <c r="J956" t="n">
        <v>0</v>
      </c>
      <c r="K956" t="n">
        <v>0</v>
      </c>
      <c r="L956" t="n">
        <v>0</v>
      </c>
      <c r="M956" t="n">
        <v>0</v>
      </c>
      <c r="N956" t="n">
        <v>0</v>
      </c>
      <c r="O956" t="n">
        <v>0</v>
      </c>
      <c r="P956" t="n">
        <v>0</v>
      </c>
      <c r="Q956" t="n">
        <v>0</v>
      </c>
      <c r="R956" s="2" t="inlineStr"/>
    </row>
    <row r="957" ht="15" customHeight="1">
      <c r="A957" t="inlineStr">
        <is>
          <t>A 859-2022</t>
        </is>
      </c>
      <c r="B957" s="1" t="n">
        <v>44571</v>
      </c>
      <c r="C957" s="1" t="n">
        <v>45904</v>
      </c>
      <c r="D957" t="inlineStr">
        <is>
          <t>JÄMTLANDS LÄN</t>
        </is>
      </c>
      <c r="E957" t="inlineStr">
        <is>
          <t>HÄRJEDALEN</t>
        </is>
      </c>
      <c r="G957" t="n">
        <v>16.9</v>
      </c>
      <c r="H957" t="n">
        <v>0</v>
      </c>
      <c r="I957" t="n">
        <v>0</v>
      </c>
      <c r="J957" t="n">
        <v>0</v>
      </c>
      <c r="K957" t="n">
        <v>0</v>
      </c>
      <c r="L957" t="n">
        <v>0</v>
      </c>
      <c r="M957" t="n">
        <v>0</v>
      </c>
      <c r="N957" t="n">
        <v>0</v>
      </c>
      <c r="O957" t="n">
        <v>0</v>
      </c>
      <c r="P957" t="n">
        <v>0</v>
      </c>
      <c r="Q957" t="n">
        <v>0</v>
      </c>
      <c r="R957" s="2" t="inlineStr"/>
    </row>
    <row r="958" ht="15" customHeight="1">
      <c r="A958" t="inlineStr">
        <is>
          <t>A 21767-2022</t>
        </is>
      </c>
      <c r="B958" s="1" t="n">
        <v>44708.45504629629</v>
      </c>
      <c r="C958" s="1" t="n">
        <v>45904</v>
      </c>
      <c r="D958" t="inlineStr">
        <is>
          <t>JÄMTLANDS LÄN</t>
        </is>
      </c>
      <c r="E958" t="inlineStr">
        <is>
          <t>HÄRJEDALEN</t>
        </is>
      </c>
      <c r="F958" t="inlineStr">
        <is>
          <t>Holmen skog AB</t>
        </is>
      </c>
      <c r="G958" t="n">
        <v>8.1</v>
      </c>
      <c r="H958" t="n">
        <v>0</v>
      </c>
      <c r="I958" t="n">
        <v>0</v>
      </c>
      <c r="J958" t="n">
        <v>0</v>
      </c>
      <c r="K958" t="n">
        <v>0</v>
      </c>
      <c r="L958" t="n">
        <v>0</v>
      </c>
      <c r="M958" t="n">
        <v>0</v>
      </c>
      <c r="N958" t="n">
        <v>0</v>
      </c>
      <c r="O958" t="n">
        <v>0</v>
      </c>
      <c r="P958" t="n">
        <v>0</v>
      </c>
      <c r="Q958" t="n">
        <v>0</v>
      </c>
      <c r="R958" s="2" t="inlineStr"/>
    </row>
    <row r="959" ht="15" customHeight="1">
      <c r="A959" t="inlineStr">
        <is>
          <t>A 43294-2024</t>
        </is>
      </c>
      <c r="B959" s="1" t="n">
        <v>45568</v>
      </c>
      <c r="C959" s="1" t="n">
        <v>45904</v>
      </c>
      <c r="D959" t="inlineStr">
        <is>
          <t>JÄMTLANDS LÄN</t>
        </is>
      </c>
      <c r="E959" t="inlineStr">
        <is>
          <t>HÄRJEDALEN</t>
        </is>
      </c>
      <c r="F959" t="inlineStr">
        <is>
          <t>SCA</t>
        </is>
      </c>
      <c r="G959" t="n">
        <v>18.5</v>
      </c>
      <c r="H959" t="n">
        <v>0</v>
      </c>
      <c r="I959" t="n">
        <v>0</v>
      </c>
      <c r="J959" t="n">
        <v>0</v>
      </c>
      <c r="K959" t="n">
        <v>0</v>
      </c>
      <c r="L959" t="n">
        <v>0</v>
      </c>
      <c r="M959" t="n">
        <v>0</v>
      </c>
      <c r="N959" t="n">
        <v>0</v>
      </c>
      <c r="O959" t="n">
        <v>0</v>
      </c>
      <c r="P959" t="n">
        <v>0</v>
      </c>
      <c r="Q959" t="n">
        <v>0</v>
      </c>
      <c r="R959" s="2" t="inlineStr"/>
    </row>
    <row r="960" ht="15" customHeight="1">
      <c r="A960" t="inlineStr">
        <is>
          <t>A 55736-2023</t>
        </is>
      </c>
      <c r="B960" s="1" t="n">
        <v>45239.43173611111</v>
      </c>
      <c r="C960" s="1" t="n">
        <v>45904</v>
      </c>
      <c r="D960" t="inlineStr">
        <is>
          <t>JÄMTLANDS LÄN</t>
        </is>
      </c>
      <c r="E960" t="inlineStr">
        <is>
          <t>HÄRJEDALEN</t>
        </is>
      </c>
      <c r="F960" t="inlineStr">
        <is>
          <t>Holmen skog AB</t>
        </is>
      </c>
      <c r="G960" t="n">
        <v>8.9</v>
      </c>
      <c r="H960" t="n">
        <v>0</v>
      </c>
      <c r="I960" t="n">
        <v>0</v>
      </c>
      <c r="J960" t="n">
        <v>0</v>
      </c>
      <c r="K960" t="n">
        <v>0</v>
      </c>
      <c r="L960" t="n">
        <v>0</v>
      </c>
      <c r="M960" t="n">
        <v>0</v>
      </c>
      <c r="N960" t="n">
        <v>0</v>
      </c>
      <c r="O960" t="n">
        <v>0</v>
      </c>
      <c r="P960" t="n">
        <v>0</v>
      </c>
      <c r="Q960" t="n">
        <v>0</v>
      </c>
      <c r="R960" s="2" t="inlineStr"/>
    </row>
    <row r="961" ht="15" customHeight="1">
      <c r="A961" t="inlineStr">
        <is>
          <t>A 67821-2020</t>
        </is>
      </c>
      <c r="B961" s="1" t="n">
        <v>44182</v>
      </c>
      <c r="C961" s="1" t="n">
        <v>45904</v>
      </c>
      <c r="D961" t="inlineStr">
        <is>
          <t>JÄMTLANDS LÄN</t>
        </is>
      </c>
      <c r="E961" t="inlineStr">
        <is>
          <t>HÄRJEDALEN</t>
        </is>
      </c>
      <c r="G961" t="n">
        <v>0.6</v>
      </c>
      <c r="H961" t="n">
        <v>0</v>
      </c>
      <c r="I961" t="n">
        <v>0</v>
      </c>
      <c r="J961" t="n">
        <v>0</v>
      </c>
      <c r="K961" t="n">
        <v>0</v>
      </c>
      <c r="L961" t="n">
        <v>0</v>
      </c>
      <c r="M961" t="n">
        <v>0</v>
      </c>
      <c r="N961" t="n">
        <v>0</v>
      </c>
      <c r="O961" t="n">
        <v>0</v>
      </c>
      <c r="P961" t="n">
        <v>0</v>
      </c>
      <c r="Q961" t="n">
        <v>0</v>
      </c>
      <c r="R961" s="2" t="inlineStr"/>
    </row>
    <row r="962" ht="15" customHeight="1">
      <c r="A962" t="inlineStr">
        <is>
          <t>A 2531-2021</t>
        </is>
      </c>
      <c r="B962" s="1" t="n">
        <v>44214</v>
      </c>
      <c r="C962" s="1" t="n">
        <v>45904</v>
      </c>
      <c r="D962" t="inlineStr">
        <is>
          <t>JÄMTLANDS LÄN</t>
        </is>
      </c>
      <c r="E962" t="inlineStr">
        <is>
          <t>HÄRJEDALEN</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20033-2025</t>
        </is>
      </c>
      <c r="B963" s="1" t="n">
        <v>45772.36106481482</v>
      </c>
      <c r="C963" s="1" t="n">
        <v>45904</v>
      </c>
      <c r="D963" t="inlineStr">
        <is>
          <t>JÄMTLANDS LÄN</t>
        </is>
      </c>
      <c r="E963" t="inlineStr">
        <is>
          <t>HÄRJEDALEN</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52565-2023</t>
        </is>
      </c>
      <c r="B964" s="1" t="n">
        <v>45225.58005787037</v>
      </c>
      <c r="C964" s="1" t="n">
        <v>45904</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62590-2022</t>
        </is>
      </c>
      <c r="B965" s="1" t="n">
        <v>44925.33584490741</v>
      </c>
      <c r="C965" s="1" t="n">
        <v>45904</v>
      </c>
      <c r="D965" t="inlineStr">
        <is>
          <t>JÄMTLANDS LÄN</t>
        </is>
      </c>
      <c r="E965" t="inlineStr">
        <is>
          <t>HÄRJEDALEN</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62641-2022</t>
        </is>
      </c>
      <c r="B966" s="1" t="n">
        <v>44925</v>
      </c>
      <c r="C966" s="1" t="n">
        <v>45904</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45049.59826388889</v>
      </c>
      <c r="C967" s="1" t="n">
        <v>45904</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58110-2024</t>
        </is>
      </c>
      <c r="B968" s="1" t="n">
        <v>45632</v>
      </c>
      <c r="C968" s="1" t="n">
        <v>45904</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58117-2024</t>
        </is>
      </c>
      <c r="B969" s="1" t="n">
        <v>45632</v>
      </c>
      <c r="C969" s="1" t="n">
        <v>45904</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55115-2024</t>
        </is>
      </c>
      <c r="B970" s="1" t="n">
        <v>45621</v>
      </c>
      <c r="C970" s="1" t="n">
        <v>45904</v>
      </c>
      <c r="D970" t="inlineStr">
        <is>
          <t>JÄMTLANDS LÄN</t>
        </is>
      </c>
      <c r="E970" t="inlineStr">
        <is>
          <t>HÄRJEDALEN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40569-2023</t>
        </is>
      </c>
      <c r="B971" s="1" t="n">
        <v>45170.4643287037</v>
      </c>
      <c r="C971" s="1" t="n">
        <v>45904</v>
      </c>
      <c r="D971" t="inlineStr">
        <is>
          <t>JÄMTLANDS LÄN</t>
        </is>
      </c>
      <c r="E971" t="inlineStr">
        <is>
          <t>HÄRJEDALEN</t>
        </is>
      </c>
      <c r="F971" t="inlineStr">
        <is>
          <t>Holmen skog AB</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59125-2024</t>
        </is>
      </c>
      <c r="B972" s="1" t="n">
        <v>45637.39587962963</v>
      </c>
      <c r="C972" s="1" t="n">
        <v>45904</v>
      </c>
      <c r="D972" t="inlineStr">
        <is>
          <t>JÄMTLANDS LÄN</t>
        </is>
      </c>
      <c r="E972" t="inlineStr">
        <is>
          <t>HÄRJEDALEN</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41401-2024</t>
        </is>
      </c>
      <c r="B973" s="1" t="n">
        <v>45560.33311342593</v>
      </c>
      <c r="C973" s="1" t="n">
        <v>45904</v>
      </c>
      <c r="D973" t="inlineStr">
        <is>
          <t>JÄMTLANDS LÄN</t>
        </is>
      </c>
      <c r="E973" t="inlineStr">
        <is>
          <t>HÄRJEDALEN</t>
        </is>
      </c>
      <c r="F973" t="inlineStr">
        <is>
          <t>Bergvik skog väst AB</t>
        </is>
      </c>
      <c r="G973" t="n">
        <v>6.6</v>
      </c>
      <c r="H973" t="n">
        <v>0</v>
      </c>
      <c r="I973" t="n">
        <v>0</v>
      </c>
      <c r="J973" t="n">
        <v>0</v>
      </c>
      <c r="K973" t="n">
        <v>0</v>
      </c>
      <c r="L973" t="n">
        <v>0</v>
      </c>
      <c r="M973" t="n">
        <v>0</v>
      </c>
      <c r="N973" t="n">
        <v>0</v>
      </c>
      <c r="O973" t="n">
        <v>0</v>
      </c>
      <c r="P973" t="n">
        <v>0</v>
      </c>
      <c r="Q973" t="n">
        <v>0</v>
      </c>
      <c r="R973" s="2" t="inlineStr"/>
    </row>
    <row r="974" ht="15" customHeight="1">
      <c r="A974" t="inlineStr">
        <is>
          <t>A 58105-2024</t>
        </is>
      </c>
      <c r="B974" s="1" t="n">
        <v>45632</v>
      </c>
      <c r="C974" s="1" t="n">
        <v>45904</v>
      </c>
      <c r="D974" t="inlineStr">
        <is>
          <t>JÄMTLANDS LÄN</t>
        </is>
      </c>
      <c r="E974" t="inlineStr">
        <is>
          <t>HÄRJEDALEN</t>
        </is>
      </c>
      <c r="G974" t="n">
        <v>0.3</v>
      </c>
      <c r="H974" t="n">
        <v>0</v>
      </c>
      <c r="I974" t="n">
        <v>0</v>
      </c>
      <c r="J974" t="n">
        <v>0</v>
      </c>
      <c r="K974" t="n">
        <v>0</v>
      </c>
      <c r="L974" t="n">
        <v>0</v>
      </c>
      <c r="M974" t="n">
        <v>0</v>
      </c>
      <c r="N974" t="n">
        <v>0</v>
      </c>
      <c r="O974" t="n">
        <v>0</v>
      </c>
      <c r="P974" t="n">
        <v>0</v>
      </c>
      <c r="Q974" t="n">
        <v>0</v>
      </c>
      <c r="R974" s="2" t="inlineStr"/>
    </row>
    <row r="975" ht="15" customHeight="1">
      <c r="A975" t="inlineStr">
        <is>
          <t>A 20206-2022</t>
        </is>
      </c>
      <c r="B975" s="1" t="n">
        <v>44698</v>
      </c>
      <c r="C975" s="1" t="n">
        <v>45904</v>
      </c>
      <c r="D975" t="inlineStr">
        <is>
          <t>JÄMTLANDS LÄN</t>
        </is>
      </c>
      <c r="E975" t="inlineStr">
        <is>
          <t>HÄRJEDALEN</t>
        </is>
      </c>
      <c r="F975" t="inlineStr">
        <is>
          <t>Bergvik skog väst AB</t>
        </is>
      </c>
      <c r="G975" t="n">
        <v>5.8</v>
      </c>
      <c r="H975" t="n">
        <v>0</v>
      </c>
      <c r="I975" t="n">
        <v>0</v>
      </c>
      <c r="J975" t="n">
        <v>0</v>
      </c>
      <c r="K975" t="n">
        <v>0</v>
      </c>
      <c r="L975" t="n">
        <v>0</v>
      </c>
      <c r="M975" t="n">
        <v>0</v>
      </c>
      <c r="N975" t="n">
        <v>0</v>
      </c>
      <c r="O975" t="n">
        <v>0</v>
      </c>
      <c r="P975" t="n">
        <v>0</v>
      </c>
      <c r="Q975" t="n">
        <v>0</v>
      </c>
      <c r="R975" s="2" t="inlineStr"/>
    </row>
    <row r="976" ht="15" customHeight="1">
      <c r="A976" t="inlineStr">
        <is>
          <t>A 51315-2024</t>
        </is>
      </c>
      <c r="B976" s="1" t="n">
        <v>45604.32543981481</v>
      </c>
      <c r="C976" s="1" t="n">
        <v>45904</v>
      </c>
      <c r="D976" t="inlineStr">
        <is>
          <t>JÄMTLANDS LÄN</t>
        </is>
      </c>
      <c r="E976" t="inlineStr">
        <is>
          <t>HÄRJEDALEN</t>
        </is>
      </c>
      <c r="F976" t="inlineStr">
        <is>
          <t>Holmen skog AB</t>
        </is>
      </c>
      <c r="G976" t="n">
        <v>7.3</v>
      </c>
      <c r="H976" t="n">
        <v>0</v>
      </c>
      <c r="I976" t="n">
        <v>0</v>
      </c>
      <c r="J976" t="n">
        <v>0</v>
      </c>
      <c r="K976" t="n">
        <v>0</v>
      </c>
      <c r="L976" t="n">
        <v>0</v>
      </c>
      <c r="M976" t="n">
        <v>0</v>
      </c>
      <c r="N976" t="n">
        <v>0</v>
      </c>
      <c r="O976" t="n">
        <v>0</v>
      </c>
      <c r="P976" t="n">
        <v>0</v>
      </c>
      <c r="Q976" t="n">
        <v>0</v>
      </c>
      <c r="R976" s="2" t="inlineStr"/>
    </row>
    <row r="977" ht="15" customHeight="1">
      <c r="A977" t="inlineStr">
        <is>
          <t>A 22499-2024</t>
        </is>
      </c>
      <c r="B977" s="1" t="n">
        <v>45447.35144675926</v>
      </c>
      <c r="C977" s="1" t="n">
        <v>45904</v>
      </c>
      <c r="D977" t="inlineStr">
        <is>
          <t>JÄMTLANDS LÄN</t>
        </is>
      </c>
      <c r="E977" t="inlineStr">
        <is>
          <t>HÄRJEDALEN</t>
        </is>
      </c>
      <c r="G977" t="n">
        <v>14.1</v>
      </c>
      <c r="H977" t="n">
        <v>0</v>
      </c>
      <c r="I977" t="n">
        <v>0</v>
      </c>
      <c r="J977" t="n">
        <v>0</v>
      </c>
      <c r="K977" t="n">
        <v>0</v>
      </c>
      <c r="L977" t="n">
        <v>0</v>
      </c>
      <c r="M977" t="n">
        <v>0</v>
      </c>
      <c r="N977" t="n">
        <v>0</v>
      </c>
      <c r="O977" t="n">
        <v>0</v>
      </c>
      <c r="P977" t="n">
        <v>0</v>
      </c>
      <c r="Q977" t="n">
        <v>0</v>
      </c>
      <c r="R977" s="2" t="inlineStr"/>
    </row>
    <row r="978" ht="15" customHeight="1">
      <c r="A978" t="inlineStr">
        <is>
          <t>A 21596-2021</t>
        </is>
      </c>
      <c r="B978" s="1" t="n">
        <v>44314</v>
      </c>
      <c r="C978" s="1" t="n">
        <v>45904</v>
      </c>
      <c r="D978" t="inlineStr">
        <is>
          <t>JÄMTLANDS LÄN</t>
        </is>
      </c>
      <c r="E978" t="inlineStr">
        <is>
          <t>HÄRJEDALEN</t>
        </is>
      </c>
      <c r="G978" t="n">
        <v>18.2</v>
      </c>
      <c r="H978" t="n">
        <v>0</v>
      </c>
      <c r="I978" t="n">
        <v>0</v>
      </c>
      <c r="J978" t="n">
        <v>0</v>
      </c>
      <c r="K978" t="n">
        <v>0</v>
      </c>
      <c r="L978" t="n">
        <v>0</v>
      </c>
      <c r="M978" t="n">
        <v>0</v>
      </c>
      <c r="N978" t="n">
        <v>0</v>
      </c>
      <c r="O978" t="n">
        <v>0</v>
      </c>
      <c r="P978" t="n">
        <v>0</v>
      </c>
      <c r="Q978" t="n">
        <v>0</v>
      </c>
      <c r="R978" s="2" t="inlineStr"/>
    </row>
    <row r="979" ht="15" customHeight="1">
      <c r="A979" t="inlineStr">
        <is>
          <t>A 57755-2021</t>
        </is>
      </c>
      <c r="B979" s="1" t="n">
        <v>44484.55535879629</v>
      </c>
      <c r="C979" s="1" t="n">
        <v>45904</v>
      </c>
      <c r="D979" t="inlineStr">
        <is>
          <t>JÄMTLANDS LÄN</t>
        </is>
      </c>
      <c r="E979" t="inlineStr">
        <is>
          <t>HÄRJEDALEN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55463-2023</t>
        </is>
      </c>
      <c r="B980" s="1" t="n">
        <v>45238.46430555556</v>
      </c>
      <c r="C980" s="1" t="n">
        <v>45904</v>
      </c>
      <c r="D980" t="inlineStr">
        <is>
          <t>JÄMTLANDS LÄN</t>
        </is>
      </c>
      <c r="E980" t="inlineStr">
        <is>
          <t>HÄRJEDALEN</t>
        </is>
      </c>
      <c r="G980" t="n">
        <v>0.6</v>
      </c>
      <c r="H980" t="n">
        <v>0</v>
      </c>
      <c r="I980" t="n">
        <v>0</v>
      </c>
      <c r="J980" t="n">
        <v>0</v>
      </c>
      <c r="K980" t="n">
        <v>0</v>
      </c>
      <c r="L980" t="n">
        <v>0</v>
      </c>
      <c r="M980" t="n">
        <v>0</v>
      </c>
      <c r="N980" t="n">
        <v>0</v>
      </c>
      <c r="O980" t="n">
        <v>0</v>
      </c>
      <c r="P980" t="n">
        <v>0</v>
      </c>
      <c r="Q980" t="n">
        <v>0</v>
      </c>
      <c r="R980" s="2" t="inlineStr"/>
    </row>
    <row r="981" ht="15" customHeight="1">
      <c r="A981" t="inlineStr">
        <is>
          <t>A 57995-2024</t>
        </is>
      </c>
      <c r="B981" s="1" t="n">
        <v>45631.63091435185</v>
      </c>
      <c r="C981" s="1" t="n">
        <v>45904</v>
      </c>
      <c r="D981" t="inlineStr">
        <is>
          <t>JÄMTLANDS LÄN</t>
        </is>
      </c>
      <c r="E981" t="inlineStr">
        <is>
          <t>HÄRJEDALEN</t>
        </is>
      </c>
      <c r="G981" t="n">
        <v>8.4</v>
      </c>
      <c r="H981" t="n">
        <v>0</v>
      </c>
      <c r="I981" t="n">
        <v>0</v>
      </c>
      <c r="J981" t="n">
        <v>0</v>
      </c>
      <c r="K981" t="n">
        <v>0</v>
      </c>
      <c r="L981" t="n">
        <v>0</v>
      </c>
      <c r="M981" t="n">
        <v>0</v>
      </c>
      <c r="N981" t="n">
        <v>0</v>
      </c>
      <c r="O981" t="n">
        <v>0</v>
      </c>
      <c r="P981" t="n">
        <v>0</v>
      </c>
      <c r="Q981" t="n">
        <v>0</v>
      </c>
      <c r="R981" s="2" t="inlineStr"/>
    </row>
    <row r="982" ht="15" customHeight="1">
      <c r="A982" t="inlineStr">
        <is>
          <t>A 3965-2025</t>
        </is>
      </c>
      <c r="B982" s="1" t="n">
        <v>45684.51006944444</v>
      </c>
      <c r="C982" s="1" t="n">
        <v>45904</v>
      </c>
      <c r="D982" t="inlineStr">
        <is>
          <t>JÄMTLANDS LÄN</t>
        </is>
      </c>
      <c r="E982" t="inlineStr">
        <is>
          <t>HÄRJEDALEN</t>
        </is>
      </c>
      <c r="G982" t="n">
        <v>1.3</v>
      </c>
      <c r="H982" t="n">
        <v>0</v>
      </c>
      <c r="I982" t="n">
        <v>0</v>
      </c>
      <c r="J982" t="n">
        <v>0</v>
      </c>
      <c r="K982" t="n">
        <v>0</v>
      </c>
      <c r="L982" t="n">
        <v>0</v>
      </c>
      <c r="M982" t="n">
        <v>0</v>
      </c>
      <c r="N982" t="n">
        <v>0</v>
      </c>
      <c r="O982" t="n">
        <v>0</v>
      </c>
      <c r="P982" t="n">
        <v>0</v>
      </c>
      <c r="Q982" t="n">
        <v>0</v>
      </c>
      <c r="R982" s="2" t="inlineStr"/>
    </row>
    <row r="983" ht="15" customHeight="1">
      <c r="A983" t="inlineStr">
        <is>
          <t>A 12017-2025</t>
        </is>
      </c>
      <c r="B983" s="1" t="n">
        <v>45728</v>
      </c>
      <c r="C983" s="1" t="n">
        <v>45904</v>
      </c>
      <c r="D983" t="inlineStr">
        <is>
          <t>JÄMTLANDS LÄN</t>
        </is>
      </c>
      <c r="E983" t="inlineStr">
        <is>
          <t>HÄRJEDALEN</t>
        </is>
      </c>
      <c r="G983" t="n">
        <v>35.4</v>
      </c>
      <c r="H983" t="n">
        <v>0</v>
      </c>
      <c r="I983" t="n">
        <v>0</v>
      </c>
      <c r="J983" t="n">
        <v>0</v>
      </c>
      <c r="K983" t="n">
        <v>0</v>
      </c>
      <c r="L983" t="n">
        <v>0</v>
      </c>
      <c r="M983" t="n">
        <v>0</v>
      </c>
      <c r="N983" t="n">
        <v>0</v>
      </c>
      <c r="O983" t="n">
        <v>0</v>
      </c>
      <c r="P983" t="n">
        <v>0</v>
      </c>
      <c r="Q983" t="n">
        <v>0</v>
      </c>
      <c r="R983" s="2" t="inlineStr"/>
    </row>
    <row r="984" ht="15" customHeight="1">
      <c r="A984" t="inlineStr">
        <is>
          <t>A 5273-2021</t>
        </is>
      </c>
      <c r="B984" s="1" t="n">
        <v>44229</v>
      </c>
      <c r="C984" s="1" t="n">
        <v>45904</v>
      </c>
      <c r="D984" t="inlineStr">
        <is>
          <t>JÄMTLANDS LÄN</t>
        </is>
      </c>
      <c r="E984" t="inlineStr">
        <is>
          <t>HÄRJEDALEN</t>
        </is>
      </c>
      <c r="F984" t="inlineStr">
        <is>
          <t>Holmen skog AB</t>
        </is>
      </c>
      <c r="G984" t="n">
        <v>6.6</v>
      </c>
      <c r="H984" t="n">
        <v>0</v>
      </c>
      <c r="I984" t="n">
        <v>0</v>
      </c>
      <c r="J984" t="n">
        <v>0</v>
      </c>
      <c r="K984" t="n">
        <v>0</v>
      </c>
      <c r="L984" t="n">
        <v>0</v>
      </c>
      <c r="M984" t="n">
        <v>0</v>
      </c>
      <c r="N984" t="n">
        <v>0</v>
      </c>
      <c r="O984" t="n">
        <v>0</v>
      </c>
      <c r="P984" t="n">
        <v>0</v>
      </c>
      <c r="Q984" t="n">
        <v>0</v>
      </c>
      <c r="R984" s="2" t="inlineStr"/>
    </row>
    <row r="985" ht="15" customHeight="1">
      <c r="A985" t="inlineStr">
        <is>
          <t>A 5283-2021</t>
        </is>
      </c>
      <c r="B985" s="1" t="n">
        <v>44225</v>
      </c>
      <c r="C985" s="1" t="n">
        <v>45904</v>
      </c>
      <c r="D985" t="inlineStr">
        <is>
          <t>JÄMTLANDS LÄN</t>
        </is>
      </c>
      <c r="E985" t="inlineStr">
        <is>
          <t>HÄRJEDALEN</t>
        </is>
      </c>
      <c r="G985" t="n">
        <v>20</v>
      </c>
      <c r="H985" t="n">
        <v>0</v>
      </c>
      <c r="I985" t="n">
        <v>0</v>
      </c>
      <c r="J985" t="n">
        <v>0</v>
      </c>
      <c r="K985" t="n">
        <v>0</v>
      </c>
      <c r="L985" t="n">
        <v>0</v>
      </c>
      <c r="M985" t="n">
        <v>0</v>
      </c>
      <c r="N985" t="n">
        <v>0</v>
      </c>
      <c r="O985" t="n">
        <v>0</v>
      </c>
      <c r="P985" t="n">
        <v>0</v>
      </c>
      <c r="Q985" t="n">
        <v>0</v>
      </c>
      <c r="R985" s="2" t="inlineStr"/>
    </row>
    <row r="986" ht="15" customHeight="1">
      <c r="A986" t="inlineStr">
        <is>
          <t>A 11555-2025</t>
        </is>
      </c>
      <c r="B986" s="1" t="n">
        <v>45727.35621527778</v>
      </c>
      <c r="C986" s="1" t="n">
        <v>45904</v>
      </c>
      <c r="D986" t="inlineStr">
        <is>
          <t>JÄMTLANDS LÄN</t>
        </is>
      </c>
      <c r="E986" t="inlineStr">
        <is>
          <t>HÄRJEDALEN</t>
        </is>
      </c>
      <c r="F986" t="inlineStr">
        <is>
          <t>Bergvik skog väst AB</t>
        </is>
      </c>
      <c r="G986" t="n">
        <v>14.2</v>
      </c>
      <c r="H986" t="n">
        <v>0</v>
      </c>
      <c r="I986" t="n">
        <v>0</v>
      </c>
      <c r="J986" t="n">
        <v>0</v>
      </c>
      <c r="K986" t="n">
        <v>0</v>
      </c>
      <c r="L986" t="n">
        <v>0</v>
      </c>
      <c r="M986" t="n">
        <v>0</v>
      </c>
      <c r="N986" t="n">
        <v>0</v>
      </c>
      <c r="O986" t="n">
        <v>0</v>
      </c>
      <c r="P986" t="n">
        <v>0</v>
      </c>
      <c r="Q986" t="n">
        <v>0</v>
      </c>
      <c r="R986" s="2" t="inlineStr"/>
    </row>
    <row r="987" ht="15" customHeight="1">
      <c r="A987" t="inlineStr">
        <is>
          <t>A 14631-2023</t>
        </is>
      </c>
      <c r="B987" s="1" t="n">
        <v>45012</v>
      </c>
      <c r="C987" s="1" t="n">
        <v>45904</v>
      </c>
      <c r="D987" t="inlineStr">
        <is>
          <t>JÄMTLANDS LÄN</t>
        </is>
      </c>
      <c r="E987" t="inlineStr">
        <is>
          <t>HÄRJEDALEN</t>
        </is>
      </c>
      <c r="F987" t="inlineStr">
        <is>
          <t>Bergvik skog väst AB</t>
        </is>
      </c>
      <c r="G987" t="n">
        <v>14.2</v>
      </c>
      <c r="H987" t="n">
        <v>0</v>
      </c>
      <c r="I987" t="n">
        <v>0</v>
      </c>
      <c r="J987" t="n">
        <v>0</v>
      </c>
      <c r="K987" t="n">
        <v>0</v>
      </c>
      <c r="L987" t="n">
        <v>0</v>
      </c>
      <c r="M987" t="n">
        <v>0</v>
      </c>
      <c r="N987" t="n">
        <v>0</v>
      </c>
      <c r="O987" t="n">
        <v>0</v>
      </c>
      <c r="P987" t="n">
        <v>0</v>
      </c>
      <c r="Q987" t="n">
        <v>0</v>
      </c>
      <c r="R987" s="2" t="inlineStr"/>
    </row>
    <row r="988" ht="15" customHeight="1">
      <c r="A988" t="inlineStr">
        <is>
          <t>A 13726-2025</t>
        </is>
      </c>
      <c r="B988" s="1" t="n">
        <v>45737.3787962963</v>
      </c>
      <c r="C988" s="1" t="n">
        <v>45904</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31527-2024</t>
        </is>
      </c>
      <c r="B989" s="1" t="n">
        <v>45505</v>
      </c>
      <c r="C989" s="1" t="n">
        <v>45904</v>
      </c>
      <c r="D989" t="inlineStr">
        <is>
          <t>JÄMTLANDS LÄN</t>
        </is>
      </c>
      <c r="E989" t="inlineStr">
        <is>
          <t>HÄRJEDALEN</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59424-2023</t>
        </is>
      </c>
      <c r="B990" s="1" t="n">
        <v>45254</v>
      </c>
      <c r="C990" s="1" t="n">
        <v>45904</v>
      </c>
      <c r="D990" t="inlineStr">
        <is>
          <t>JÄMTLANDS LÄN</t>
        </is>
      </c>
      <c r="E990" t="inlineStr">
        <is>
          <t>HÄRJEDALEN</t>
        </is>
      </c>
      <c r="G990" t="n">
        <v>3.3</v>
      </c>
      <c r="H990" t="n">
        <v>0</v>
      </c>
      <c r="I990" t="n">
        <v>0</v>
      </c>
      <c r="J990" t="n">
        <v>0</v>
      </c>
      <c r="K990" t="n">
        <v>0</v>
      </c>
      <c r="L990" t="n">
        <v>0</v>
      </c>
      <c r="M990" t="n">
        <v>0</v>
      </c>
      <c r="N990" t="n">
        <v>0</v>
      </c>
      <c r="O990" t="n">
        <v>0</v>
      </c>
      <c r="P990" t="n">
        <v>0</v>
      </c>
      <c r="Q990" t="n">
        <v>0</v>
      </c>
      <c r="R990" s="2" t="inlineStr"/>
    </row>
    <row r="991" ht="15" customHeight="1">
      <c r="A991" t="inlineStr">
        <is>
          <t>A 239-2022</t>
        </is>
      </c>
      <c r="B991" s="1" t="n">
        <v>44565.31975694445</v>
      </c>
      <c r="C991" s="1" t="n">
        <v>45904</v>
      </c>
      <c r="D991" t="inlineStr">
        <is>
          <t>JÄMTLANDS LÄN</t>
        </is>
      </c>
      <c r="E991" t="inlineStr">
        <is>
          <t>HÄRJEDALEN</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241-2022</t>
        </is>
      </c>
      <c r="B992" s="1" t="n">
        <v>44565</v>
      </c>
      <c r="C992" s="1" t="n">
        <v>45904</v>
      </c>
      <c r="D992" t="inlineStr">
        <is>
          <t>JÄMTLANDS LÄN</t>
        </is>
      </c>
      <c r="E992" t="inlineStr">
        <is>
          <t>HÄRJEDALEN</t>
        </is>
      </c>
      <c r="F992" t="inlineStr">
        <is>
          <t>Övriga Aktiebolag</t>
        </is>
      </c>
      <c r="G992" t="n">
        <v>16.5</v>
      </c>
      <c r="H992" t="n">
        <v>0</v>
      </c>
      <c r="I992" t="n">
        <v>0</v>
      </c>
      <c r="J992" t="n">
        <v>0</v>
      </c>
      <c r="K992" t="n">
        <v>0</v>
      </c>
      <c r="L992" t="n">
        <v>0</v>
      </c>
      <c r="M992" t="n">
        <v>0</v>
      </c>
      <c r="N992" t="n">
        <v>0</v>
      </c>
      <c r="O992" t="n">
        <v>0</v>
      </c>
      <c r="P992" t="n">
        <v>0</v>
      </c>
      <c r="Q992" t="n">
        <v>0</v>
      </c>
      <c r="R992" s="2" t="inlineStr"/>
    </row>
    <row r="993" ht="15" customHeight="1">
      <c r="A993" t="inlineStr">
        <is>
          <t>A 59279-2023</t>
        </is>
      </c>
      <c r="B993" s="1" t="n">
        <v>45253.55737268519</v>
      </c>
      <c r="C993" s="1" t="n">
        <v>45904</v>
      </c>
      <c r="D993" t="inlineStr">
        <is>
          <t>JÄMTLANDS LÄN</t>
        </is>
      </c>
      <c r="E993" t="inlineStr">
        <is>
          <t>HÄRJEDALEN</t>
        </is>
      </c>
      <c r="G993" t="n">
        <v>1.4</v>
      </c>
      <c r="H993" t="n">
        <v>0</v>
      </c>
      <c r="I993" t="n">
        <v>0</v>
      </c>
      <c r="J993" t="n">
        <v>0</v>
      </c>
      <c r="K993" t="n">
        <v>0</v>
      </c>
      <c r="L993" t="n">
        <v>0</v>
      </c>
      <c r="M993" t="n">
        <v>0</v>
      </c>
      <c r="N993" t="n">
        <v>0</v>
      </c>
      <c r="O993" t="n">
        <v>0</v>
      </c>
      <c r="P993" t="n">
        <v>0</v>
      </c>
      <c r="Q993" t="n">
        <v>0</v>
      </c>
      <c r="R993" s="2" t="inlineStr"/>
    </row>
    <row r="994" ht="15" customHeight="1">
      <c r="A994" t="inlineStr">
        <is>
          <t>A 9788-2024</t>
        </is>
      </c>
      <c r="B994" s="1" t="n">
        <v>45362.67789351852</v>
      </c>
      <c r="C994" s="1" t="n">
        <v>45904</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7636-2023</t>
        </is>
      </c>
      <c r="B995" s="1" t="n">
        <v>44972.57449074074</v>
      </c>
      <c r="C995" s="1" t="n">
        <v>45904</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60062-2023</t>
        </is>
      </c>
      <c r="B996" s="1" t="n">
        <v>45257</v>
      </c>
      <c r="C996" s="1" t="n">
        <v>45904</v>
      </c>
      <c r="D996" t="inlineStr">
        <is>
          <t>JÄMTLANDS LÄN</t>
        </is>
      </c>
      <c r="E996" t="inlineStr">
        <is>
          <t>HÄRJEDALEN</t>
        </is>
      </c>
      <c r="G996" t="n">
        <v>1</v>
      </c>
      <c r="H996" t="n">
        <v>0</v>
      </c>
      <c r="I996" t="n">
        <v>0</v>
      </c>
      <c r="J996" t="n">
        <v>0</v>
      </c>
      <c r="K996" t="n">
        <v>0</v>
      </c>
      <c r="L996" t="n">
        <v>0</v>
      </c>
      <c r="M996" t="n">
        <v>0</v>
      </c>
      <c r="N996" t="n">
        <v>0</v>
      </c>
      <c r="O996" t="n">
        <v>0</v>
      </c>
      <c r="P996" t="n">
        <v>0</v>
      </c>
      <c r="Q996" t="n">
        <v>0</v>
      </c>
      <c r="R996" s="2" t="inlineStr"/>
    </row>
    <row r="997" ht="15" customHeight="1">
      <c r="A997" t="inlineStr">
        <is>
          <t>A 17885-2025</t>
        </is>
      </c>
      <c r="B997" s="1" t="n">
        <v>45758.66108796297</v>
      </c>
      <c r="C997" s="1" t="n">
        <v>45904</v>
      </c>
      <c r="D997" t="inlineStr">
        <is>
          <t>JÄMTLANDS LÄN</t>
        </is>
      </c>
      <c r="E997" t="inlineStr">
        <is>
          <t>HÄRJEDALEN</t>
        </is>
      </c>
      <c r="G997" t="n">
        <v>5</v>
      </c>
      <c r="H997" t="n">
        <v>0</v>
      </c>
      <c r="I997" t="n">
        <v>0</v>
      </c>
      <c r="J997" t="n">
        <v>0</v>
      </c>
      <c r="K997" t="n">
        <v>0</v>
      </c>
      <c r="L997" t="n">
        <v>0</v>
      </c>
      <c r="M997" t="n">
        <v>0</v>
      </c>
      <c r="N997" t="n">
        <v>0</v>
      </c>
      <c r="O997" t="n">
        <v>0</v>
      </c>
      <c r="P997" t="n">
        <v>0</v>
      </c>
      <c r="Q997" t="n">
        <v>0</v>
      </c>
      <c r="R997" s="2" t="inlineStr"/>
    </row>
    <row r="998" ht="15" customHeight="1">
      <c r="A998" t="inlineStr">
        <is>
          <t>A 17895-2025</t>
        </is>
      </c>
      <c r="B998" s="1" t="n">
        <v>45758.69123842593</v>
      </c>
      <c r="C998" s="1" t="n">
        <v>45904</v>
      </c>
      <c r="D998" t="inlineStr">
        <is>
          <t>JÄMTLANDS LÄN</t>
        </is>
      </c>
      <c r="E998" t="inlineStr">
        <is>
          <t>HÄRJEDALEN</t>
        </is>
      </c>
      <c r="G998" t="n">
        <v>5.4</v>
      </c>
      <c r="H998" t="n">
        <v>0</v>
      </c>
      <c r="I998" t="n">
        <v>0</v>
      </c>
      <c r="J998" t="n">
        <v>0</v>
      </c>
      <c r="K998" t="n">
        <v>0</v>
      </c>
      <c r="L998" t="n">
        <v>0</v>
      </c>
      <c r="M998" t="n">
        <v>0</v>
      </c>
      <c r="N998" t="n">
        <v>0</v>
      </c>
      <c r="O998" t="n">
        <v>0</v>
      </c>
      <c r="P998" t="n">
        <v>0</v>
      </c>
      <c r="Q998" t="n">
        <v>0</v>
      </c>
      <c r="R998" s="2" t="inlineStr"/>
    </row>
    <row r="999" ht="15" customHeight="1">
      <c r="A999" t="inlineStr">
        <is>
          <t>A 1515-2025</t>
        </is>
      </c>
      <c r="B999" s="1" t="n">
        <v>45670.4570949074</v>
      </c>
      <c r="C999" s="1" t="n">
        <v>45904</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4837-2025</t>
        </is>
      </c>
      <c r="B1000" s="1" t="n">
        <v>45688.67145833333</v>
      </c>
      <c r="C1000" s="1" t="n">
        <v>45904</v>
      </c>
      <c r="D1000" t="inlineStr">
        <is>
          <t>JÄMTLANDS LÄN</t>
        </is>
      </c>
      <c r="E1000" t="inlineStr">
        <is>
          <t>HÄRJEDALEN</t>
        </is>
      </c>
      <c r="F1000" t="inlineStr">
        <is>
          <t>SCA</t>
        </is>
      </c>
      <c r="G1000" t="n">
        <v>21.9</v>
      </c>
      <c r="H1000" t="n">
        <v>0</v>
      </c>
      <c r="I1000" t="n">
        <v>0</v>
      </c>
      <c r="J1000" t="n">
        <v>0</v>
      </c>
      <c r="K1000" t="n">
        <v>0</v>
      </c>
      <c r="L1000" t="n">
        <v>0</v>
      </c>
      <c r="M1000" t="n">
        <v>0</v>
      </c>
      <c r="N1000" t="n">
        <v>0</v>
      </c>
      <c r="O1000" t="n">
        <v>0</v>
      </c>
      <c r="P1000" t="n">
        <v>0</v>
      </c>
      <c r="Q1000" t="n">
        <v>0</v>
      </c>
      <c r="R1000" s="2" t="inlineStr"/>
    </row>
    <row r="1001" ht="15" customHeight="1">
      <c r="A1001" t="inlineStr">
        <is>
          <t>A 16014-2022</t>
        </is>
      </c>
      <c r="B1001" s="1" t="n">
        <v>44665</v>
      </c>
      <c r="C1001" s="1" t="n">
        <v>45904</v>
      </c>
      <c r="D1001" t="inlineStr">
        <is>
          <t>JÄMTLANDS LÄN</t>
        </is>
      </c>
      <c r="E1001" t="inlineStr">
        <is>
          <t>HÄRJEDALEN</t>
        </is>
      </c>
      <c r="G1001" t="n">
        <v>38.7</v>
      </c>
      <c r="H1001" t="n">
        <v>0</v>
      </c>
      <c r="I1001" t="n">
        <v>0</v>
      </c>
      <c r="J1001" t="n">
        <v>0</v>
      </c>
      <c r="K1001" t="n">
        <v>0</v>
      </c>
      <c r="L1001" t="n">
        <v>0</v>
      </c>
      <c r="M1001" t="n">
        <v>0</v>
      </c>
      <c r="N1001" t="n">
        <v>0</v>
      </c>
      <c r="O1001" t="n">
        <v>0</v>
      </c>
      <c r="P1001" t="n">
        <v>0</v>
      </c>
      <c r="Q1001" t="n">
        <v>0</v>
      </c>
      <c r="R1001" s="2" t="inlineStr"/>
    </row>
    <row r="1002" ht="15" customHeight="1">
      <c r="A1002" t="inlineStr">
        <is>
          <t>A 64909-2023</t>
        </is>
      </c>
      <c r="B1002" s="1" t="n">
        <v>45282.64012731481</v>
      </c>
      <c r="C1002" s="1" t="n">
        <v>45904</v>
      </c>
      <c r="D1002" t="inlineStr">
        <is>
          <t>JÄMTLANDS LÄN</t>
        </is>
      </c>
      <c r="E1002" t="inlineStr">
        <is>
          <t>HÄRJEDALEN</t>
        </is>
      </c>
      <c r="F1002" t="inlineStr">
        <is>
          <t>Holmen skog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45409-2021</t>
        </is>
      </c>
      <c r="B1003" s="1" t="n">
        <v>44440</v>
      </c>
      <c r="C1003" s="1" t="n">
        <v>45904</v>
      </c>
      <c r="D1003" t="inlineStr">
        <is>
          <t>JÄMTLANDS LÄN</t>
        </is>
      </c>
      <c r="E1003" t="inlineStr">
        <is>
          <t>HÄRJEDALEN</t>
        </is>
      </c>
      <c r="G1003" t="n">
        <v>18.9</v>
      </c>
      <c r="H1003" t="n">
        <v>0</v>
      </c>
      <c r="I1003" t="n">
        <v>0</v>
      </c>
      <c r="J1003" t="n">
        <v>0</v>
      </c>
      <c r="K1003" t="n">
        <v>0</v>
      </c>
      <c r="L1003" t="n">
        <v>0</v>
      </c>
      <c r="M1003" t="n">
        <v>0</v>
      </c>
      <c r="N1003" t="n">
        <v>0</v>
      </c>
      <c r="O1003" t="n">
        <v>0</v>
      </c>
      <c r="P1003" t="n">
        <v>0</v>
      </c>
      <c r="Q1003" t="n">
        <v>0</v>
      </c>
      <c r="R1003" s="2" t="inlineStr"/>
    </row>
    <row r="1004" ht="15" customHeight="1">
      <c r="A1004" t="inlineStr">
        <is>
          <t>A 10959-2022</t>
        </is>
      </c>
      <c r="B1004" s="1" t="n">
        <v>44628.36402777778</v>
      </c>
      <c r="C1004" s="1" t="n">
        <v>45904</v>
      </c>
      <c r="D1004" t="inlineStr">
        <is>
          <t>JÄMTLANDS LÄN</t>
        </is>
      </c>
      <c r="E1004" t="inlineStr">
        <is>
          <t>HÄRJEDALEN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10342-2023</t>
        </is>
      </c>
      <c r="B1005" s="1" t="n">
        <v>44987.35282407407</v>
      </c>
      <c r="C1005" s="1" t="n">
        <v>45904</v>
      </c>
      <c r="D1005" t="inlineStr">
        <is>
          <t>JÄMTLANDS LÄN</t>
        </is>
      </c>
      <c r="E1005" t="inlineStr">
        <is>
          <t>HÄRJEDALEN</t>
        </is>
      </c>
      <c r="F1005" t="inlineStr">
        <is>
          <t>Holmen skog AB</t>
        </is>
      </c>
      <c r="G1005" t="n">
        <v>32.6</v>
      </c>
      <c r="H1005" t="n">
        <v>0</v>
      </c>
      <c r="I1005" t="n">
        <v>0</v>
      </c>
      <c r="J1005" t="n">
        <v>0</v>
      </c>
      <c r="K1005" t="n">
        <v>0</v>
      </c>
      <c r="L1005" t="n">
        <v>0</v>
      </c>
      <c r="M1005" t="n">
        <v>0</v>
      </c>
      <c r="N1005" t="n">
        <v>0</v>
      </c>
      <c r="O1005" t="n">
        <v>0</v>
      </c>
      <c r="P1005" t="n">
        <v>0</v>
      </c>
      <c r="Q1005" t="n">
        <v>0</v>
      </c>
      <c r="R1005" s="2" t="inlineStr"/>
    </row>
    <row r="1006" ht="15" customHeight="1">
      <c r="A1006" t="inlineStr">
        <is>
          <t>A 19100-2025</t>
        </is>
      </c>
      <c r="B1006" s="1" t="n">
        <v>45768.29630787037</v>
      </c>
      <c r="C1006" s="1" t="n">
        <v>45904</v>
      </c>
      <c r="D1006" t="inlineStr">
        <is>
          <t>JÄMTLANDS LÄN</t>
        </is>
      </c>
      <c r="E1006" t="inlineStr">
        <is>
          <t>HÄRJEDALEN</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19106-2025</t>
        </is>
      </c>
      <c r="B1007" s="1" t="n">
        <v>45768.30954861111</v>
      </c>
      <c r="C1007" s="1" t="n">
        <v>45904</v>
      </c>
      <c r="D1007" t="inlineStr">
        <is>
          <t>JÄMTLANDS LÄN</t>
        </is>
      </c>
      <c r="E1007" t="inlineStr">
        <is>
          <t>HÄRJEDALEN</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45747-2023</t>
        </is>
      </c>
      <c r="B1008" s="1" t="n">
        <v>45195.3878125</v>
      </c>
      <c r="C1008" s="1" t="n">
        <v>45904</v>
      </c>
      <c r="D1008" t="inlineStr">
        <is>
          <t>JÄMTLANDS LÄN</t>
        </is>
      </c>
      <c r="E1008" t="inlineStr">
        <is>
          <t>HÄRJEDALEN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11818-2023</t>
        </is>
      </c>
      <c r="B1009" s="1" t="n">
        <v>44994</v>
      </c>
      <c r="C1009" s="1" t="n">
        <v>45904</v>
      </c>
      <c r="D1009" t="inlineStr">
        <is>
          <t>JÄMTLANDS LÄN</t>
        </is>
      </c>
      <c r="E1009" t="inlineStr">
        <is>
          <t>HÄRJEDALEN</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8136-2024</t>
        </is>
      </c>
      <c r="B1010" s="1" t="n">
        <v>45351</v>
      </c>
      <c r="C1010" s="1" t="n">
        <v>45904</v>
      </c>
      <c r="D1010" t="inlineStr">
        <is>
          <t>JÄMTLANDS LÄN</t>
        </is>
      </c>
      <c r="E1010" t="inlineStr">
        <is>
          <t>HÄRJEDALEN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39453-2021</t>
        </is>
      </c>
      <c r="B1011" s="1" t="n">
        <v>44414.58354166667</v>
      </c>
      <c r="C1011" s="1" t="n">
        <v>45904</v>
      </c>
      <c r="D1011" t="inlineStr">
        <is>
          <t>JÄMTLANDS LÄN</t>
        </is>
      </c>
      <c r="E1011" t="inlineStr">
        <is>
          <t>HÄRJEDALEN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53432-2023</t>
        </is>
      </c>
      <c r="B1012" s="1" t="n">
        <v>45229.92739583334</v>
      </c>
      <c r="C1012" s="1" t="n">
        <v>45904</v>
      </c>
      <c r="D1012" t="inlineStr">
        <is>
          <t>JÄMTLANDS LÄN</t>
        </is>
      </c>
      <c r="E1012" t="inlineStr">
        <is>
          <t>HÄRJEDALEN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16304-2025</t>
        </is>
      </c>
      <c r="B1013" s="1" t="n">
        <v>45751.34636574074</v>
      </c>
      <c r="C1013" s="1" t="n">
        <v>45904</v>
      </c>
      <c r="D1013" t="inlineStr">
        <is>
          <t>JÄMTLANDS LÄN</t>
        </is>
      </c>
      <c r="E1013" t="inlineStr">
        <is>
          <t>HÄRJEDALEN</t>
        </is>
      </c>
      <c r="F1013" t="inlineStr">
        <is>
          <t>SCA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12569-2025</t>
        </is>
      </c>
      <c r="B1014" s="1" t="n">
        <v>45731.69629629629</v>
      </c>
      <c r="C1014" s="1" t="n">
        <v>45904</v>
      </c>
      <c r="D1014" t="inlineStr">
        <is>
          <t>JÄMTLANDS LÄN</t>
        </is>
      </c>
      <c r="E1014" t="inlineStr">
        <is>
          <t>HÄRJEDALEN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18542-2025</t>
        </is>
      </c>
      <c r="B1015" s="1" t="n">
        <v>45763.4178587963</v>
      </c>
      <c r="C1015" s="1" t="n">
        <v>45904</v>
      </c>
      <c r="D1015" t="inlineStr">
        <is>
          <t>JÄMTLANDS LÄN</t>
        </is>
      </c>
      <c r="E1015" t="inlineStr">
        <is>
          <t>HÄRJEDALEN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31783-2024</t>
        </is>
      </c>
      <c r="B1016" s="1" t="n">
        <v>45509</v>
      </c>
      <c r="C1016" s="1" t="n">
        <v>45904</v>
      </c>
      <c r="D1016" t="inlineStr">
        <is>
          <t>JÄMTLANDS LÄN</t>
        </is>
      </c>
      <c r="E1016" t="inlineStr">
        <is>
          <t>HÄRJEDALEN</t>
        </is>
      </c>
      <c r="F1016" t="inlineStr">
        <is>
          <t>Övriga statliga verk och myndigheter</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12642-2025</t>
        </is>
      </c>
      <c r="B1017" s="1" t="n">
        <v>45733.38637731481</v>
      </c>
      <c r="C1017" s="1" t="n">
        <v>45904</v>
      </c>
      <c r="D1017" t="inlineStr">
        <is>
          <t>JÄMTLANDS LÄN</t>
        </is>
      </c>
      <c r="E1017" t="inlineStr">
        <is>
          <t>HÄRJEDALEN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56251-2024</t>
        </is>
      </c>
      <c r="B1018" s="1" t="n">
        <v>45624.63614583333</v>
      </c>
      <c r="C1018" s="1" t="n">
        <v>45904</v>
      </c>
      <c r="D1018" t="inlineStr">
        <is>
          <t>JÄMTLANDS LÄN</t>
        </is>
      </c>
      <c r="E1018" t="inlineStr">
        <is>
          <t>HÄRJEDALEN</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18620-2023</t>
        </is>
      </c>
      <c r="B1019" s="1" t="n">
        <v>45041</v>
      </c>
      <c r="C1019" s="1" t="n">
        <v>45904</v>
      </c>
      <c r="D1019" t="inlineStr">
        <is>
          <t>JÄMTLANDS LÄN</t>
        </is>
      </c>
      <c r="E1019" t="inlineStr">
        <is>
          <t>HÄRJEDALEN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41955-2023</t>
        </is>
      </c>
      <c r="B1020" s="1" t="n">
        <v>45174</v>
      </c>
      <c r="C1020" s="1" t="n">
        <v>45904</v>
      </c>
      <c r="D1020" t="inlineStr">
        <is>
          <t>JÄMTLANDS LÄN</t>
        </is>
      </c>
      <c r="E1020" t="inlineStr">
        <is>
          <t>HÄRJEDALEN</t>
        </is>
      </c>
      <c r="G1020" t="n">
        <v>60.5</v>
      </c>
      <c r="H1020" t="n">
        <v>0</v>
      </c>
      <c r="I1020" t="n">
        <v>0</v>
      </c>
      <c r="J1020" t="n">
        <v>0</v>
      </c>
      <c r="K1020" t="n">
        <v>0</v>
      </c>
      <c r="L1020" t="n">
        <v>0</v>
      </c>
      <c r="M1020" t="n">
        <v>0</v>
      </c>
      <c r="N1020" t="n">
        <v>0</v>
      </c>
      <c r="O1020" t="n">
        <v>0</v>
      </c>
      <c r="P1020" t="n">
        <v>0</v>
      </c>
      <c r="Q1020" t="n">
        <v>0</v>
      </c>
      <c r="R1020" s="2" t="inlineStr"/>
    </row>
    <row r="1021" ht="15" customHeight="1">
      <c r="A1021" t="inlineStr">
        <is>
          <t>A 31791-2024</t>
        </is>
      </c>
      <c r="B1021" s="1" t="n">
        <v>45509</v>
      </c>
      <c r="C1021" s="1" t="n">
        <v>45904</v>
      </c>
      <c r="D1021" t="inlineStr">
        <is>
          <t>JÄMTLANDS LÄN</t>
        </is>
      </c>
      <c r="E1021" t="inlineStr">
        <is>
          <t>HÄRJEDALEN</t>
        </is>
      </c>
      <c r="F1021" t="inlineStr">
        <is>
          <t>Övriga statliga verk och myndigheter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4642-2025</t>
        </is>
      </c>
      <c r="B1022" s="1" t="n">
        <v>45687.65449074074</v>
      </c>
      <c r="C1022" s="1" t="n">
        <v>45904</v>
      </c>
      <c r="D1022" t="inlineStr">
        <is>
          <t>JÄMTLANDS LÄN</t>
        </is>
      </c>
      <c r="E1022" t="inlineStr">
        <is>
          <t>HÄRJEDALEN</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21796-2022</t>
        </is>
      </c>
      <c r="B1023" s="1" t="n">
        <v>44708</v>
      </c>
      <c r="C1023" s="1" t="n">
        <v>45904</v>
      </c>
      <c r="D1023" t="inlineStr">
        <is>
          <t>JÄMTLANDS LÄN</t>
        </is>
      </c>
      <c r="E1023" t="inlineStr">
        <is>
          <t>HÄRJEDALEN</t>
        </is>
      </c>
      <c r="F1023" t="inlineStr">
        <is>
          <t>Holmen skog AB</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6001-2023</t>
        </is>
      </c>
      <c r="B1024" s="1" t="n">
        <v>44964</v>
      </c>
      <c r="C1024" s="1" t="n">
        <v>45904</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30404-2024</t>
        </is>
      </c>
      <c r="B1025" s="1" t="n">
        <v>45491.5859375</v>
      </c>
      <c r="C1025" s="1" t="n">
        <v>45904</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58106-2024</t>
        </is>
      </c>
      <c r="B1026" s="1" t="n">
        <v>45632</v>
      </c>
      <c r="C1026" s="1" t="n">
        <v>45904</v>
      </c>
      <c r="D1026" t="inlineStr">
        <is>
          <t>JÄMTLANDS LÄN</t>
        </is>
      </c>
      <c r="E1026" t="inlineStr">
        <is>
          <t>HÄRJEDALEN</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18144-2025</t>
        </is>
      </c>
      <c r="B1027" s="1" t="n">
        <v>45761.61501157407</v>
      </c>
      <c r="C1027" s="1" t="n">
        <v>45904</v>
      </c>
      <c r="D1027" t="inlineStr">
        <is>
          <t>JÄMTLANDS LÄN</t>
        </is>
      </c>
      <c r="E1027" t="inlineStr">
        <is>
          <t>HÄRJEDALEN</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10536-2021</t>
        </is>
      </c>
      <c r="B1028" s="1" t="n">
        <v>44258</v>
      </c>
      <c r="C1028" s="1" t="n">
        <v>45904</v>
      </c>
      <c r="D1028" t="inlineStr">
        <is>
          <t>JÄMTLANDS LÄN</t>
        </is>
      </c>
      <c r="E1028" t="inlineStr">
        <is>
          <t>HÄRJEDALEN</t>
        </is>
      </c>
      <c r="G1028" t="n">
        <v>18.7</v>
      </c>
      <c r="H1028" t="n">
        <v>0</v>
      </c>
      <c r="I1028" t="n">
        <v>0</v>
      </c>
      <c r="J1028" t="n">
        <v>0</v>
      </c>
      <c r="K1028" t="n">
        <v>0</v>
      </c>
      <c r="L1028" t="n">
        <v>0</v>
      </c>
      <c r="M1028" t="n">
        <v>0</v>
      </c>
      <c r="N1028" t="n">
        <v>0</v>
      </c>
      <c r="O1028" t="n">
        <v>0</v>
      </c>
      <c r="P1028" t="n">
        <v>0</v>
      </c>
      <c r="Q1028" t="n">
        <v>0</v>
      </c>
      <c r="R1028" s="2" t="inlineStr"/>
    </row>
    <row r="1029" ht="15" customHeight="1">
      <c r="A1029" t="inlineStr">
        <is>
          <t>A 29594-2024</t>
        </is>
      </c>
      <c r="B1029" s="1" t="n">
        <v>45484.58422453704</v>
      </c>
      <c r="C1029" s="1" t="n">
        <v>45904</v>
      </c>
      <c r="D1029" t="inlineStr">
        <is>
          <t>JÄMTLANDS LÄN</t>
        </is>
      </c>
      <c r="E1029" t="inlineStr">
        <is>
          <t>HÄRJEDALEN</t>
        </is>
      </c>
      <c r="F1029" t="inlineStr">
        <is>
          <t>Holmen skog AB</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61232-2020</t>
        </is>
      </c>
      <c r="B1030" s="1" t="n">
        <v>44155</v>
      </c>
      <c r="C1030" s="1" t="n">
        <v>45904</v>
      </c>
      <c r="D1030" t="inlineStr">
        <is>
          <t>JÄMTLANDS LÄN</t>
        </is>
      </c>
      <c r="E1030" t="inlineStr">
        <is>
          <t>HÄRJEDALEN</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56043-2022</t>
        </is>
      </c>
      <c r="B1031" s="1" t="n">
        <v>44889.56582175926</v>
      </c>
      <c r="C1031" s="1" t="n">
        <v>45904</v>
      </c>
      <c r="D1031" t="inlineStr">
        <is>
          <t>JÄMTLANDS LÄN</t>
        </is>
      </c>
      <c r="E1031" t="inlineStr">
        <is>
          <t>HÄRJEDALEN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56013-2023</t>
        </is>
      </c>
      <c r="B1032" s="1" t="n">
        <v>45240</v>
      </c>
      <c r="C1032" s="1" t="n">
        <v>45904</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62639-2022</t>
        </is>
      </c>
      <c r="B1033" s="1" t="n">
        <v>44925</v>
      </c>
      <c r="C1033" s="1" t="n">
        <v>45904</v>
      </c>
      <c r="D1033" t="inlineStr">
        <is>
          <t>JÄMTLANDS LÄN</t>
        </is>
      </c>
      <c r="E1033" t="inlineStr">
        <is>
          <t>HÄRJEDALEN</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20238-2025</t>
        </is>
      </c>
      <c r="B1034" s="1" t="n">
        <v>45772.69290509259</v>
      </c>
      <c r="C1034" s="1" t="n">
        <v>45904</v>
      </c>
      <c r="D1034" t="inlineStr">
        <is>
          <t>JÄMTLANDS LÄN</t>
        </is>
      </c>
      <c r="E1034" t="inlineStr">
        <is>
          <t>HÄRJEDALEN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56054-2024</t>
        </is>
      </c>
      <c r="B1035" s="1" t="n">
        <v>45624.36090277778</v>
      </c>
      <c r="C1035" s="1" t="n">
        <v>45904</v>
      </c>
      <c r="D1035" t="inlineStr">
        <is>
          <t>JÄMTLANDS LÄN</t>
        </is>
      </c>
      <c r="E1035" t="inlineStr">
        <is>
          <t>HÄRJEDALEN</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18541-2025</t>
        </is>
      </c>
      <c r="B1036" s="1" t="n">
        <v>45763.41402777778</v>
      </c>
      <c r="C1036" s="1" t="n">
        <v>45904</v>
      </c>
      <c r="D1036" t="inlineStr">
        <is>
          <t>JÄMTLANDS LÄN</t>
        </is>
      </c>
      <c r="E1036" t="inlineStr">
        <is>
          <t>HÄRJEDALEN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45731-2024</t>
        </is>
      </c>
      <c r="B1037" s="1" t="n">
        <v>45579.59980324074</v>
      </c>
      <c r="C1037" s="1" t="n">
        <v>45904</v>
      </c>
      <c r="D1037" t="inlineStr">
        <is>
          <t>JÄMTLANDS LÄN</t>
        </is>
      </c>
      <c r="E1037" t="inlineStr">
        <is>
          <t>HÄRJEDALEN</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12677-2025</t>
        </is>
      </c>
      <c r="B1038" s="1" t="n">
        <v>45733.43663194445</v>
      </c>
      <c r="C1038" s="1" t="n">
        <v>45904</v>
      </c>
      <c r="D1038" t="inlineStr">
        <is>
          <t>JÄMTLANDS LÄN</t>
        </is>
      </c>
      <c r="E1038" t="inlineStr">
        <is>
          <t>HÄRJEDALEN</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45426-2020</t>
        </is>
      </c>
      <c r="B1039" s="1" t="n">
        <v>44088</v>
      </c>
      <c r="C1039" s="1" t="n">
        <v>45904</v>
      </c>
      <c r="D1039" t="inlineStr">
        <is>
          <t>JÄMTLANDS LÄN</t>
        </is>
      </c>
      <c r="E1039" t="inlineStr">
        <is>
          <t>HÄRJEDALEN</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62719-2022</t>
        </is>
      </c>
      <c r="B1040" s="1" t="n">
        <v>44925</v>
      </c>
      <c r="C1040" s="1" t="n">
        <v>45904</v>
      </c>
      <c r="D1040" t="inlineStr">
        <is>
          <t>JÄMTLANDS LÄN</t>
        </is>
      </c>
      <c r="E1040" t="inlineStr">
        <is>
          <t>HÄRJEDALEN</t>
        </is>
      </c>
      <c r="F1040" t="inlineStr">
        <is>
          <t>Holmen skog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49319-2024</t>
        </is>
      </c>
      <c r="B1041" s="1" t="n">
        <v>45595.5666550926</v>
      </c>
      <c r="C1041" s="1" t="n">
        <v>45904</v>
      </c>
      <c r="D1041" t="inlineStr">
        <is>
          <t>JÄMTLANDS LÄN</t>
        </is>
      </c>
      <c r="E1041" t="inlineStr">
        <is>
          <t>HÄRJEDALEN</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53386-2024</t>
        </is>
      </c>
      <c r="B1042" s="1" t="n">
        <v>45614.47960648148</v>
      </c>
      <c r="C1042" s="1" t="n">
        <v>45904</v>
      </c>
      <c r="D1042" t="inlineStr">
        <is>
          <t>JÄMTLANDS LÄN</t>
        </is>
      </c>
      <c r="E1042" t="inlineStr">
        <is>
          <t>HÄRJEDALEN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17757-2025</t>
        </is>
      </c>
      <c r="B1043" s="1" t="n">
        <v>45758.49096064815</v>
      </c>
      <c r="C1043" s="1" t="n">
        <v>45904</v>
      </c>
      <c r="D1043" t="inlineStr">
        <is>
          <t>JÄMTLANDS LÄN</t>
        </is>
      </c>
      <c r="E1043" t="inlineStr">
        <is>
          <t>HÄRJEDALEN</t>
        </is>
      </c>
      <c r="F1043" t="inlineStr">
        <is>
          <t>Naturvårdsverket</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45096.62344907408</v>
      </c>
      <c r="C1044" s="1" t="n">
        <v>45904</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51994-2024</t>
        </is>
      </c>
      <c r="B1045" s="1" t="n">
        <v>45607</v>
      </c>
      <c r="C1045" s="1" t="n">
        <v>45904</v>
      </c>
      <c r="D1045" t="inlineStr">
        <is>
          <t>JÄMTLANDS LÄN</t>
        </is>
      </c>
      <c r="E1045" t="inlineStr">
        <is>
          <t>HÄRJEDALEN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20341-2025</t>
        </is>
      </c>
      <c r="B1046" s="1" t="n">
        <v>45775.36587962963</v>
      </c>
      <c r="C1046" s="1" t="n">
        <v>45904</v>
      </c>
      <c r="D1046" t="inlineStr">
        <is>
          <t>JÄMTLANDS LÄN</t>
        </is>
      </c>
      <c r="E1046" t="inlineStr">
        <is>
          <t>HÄRJEDALEN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18080-2024</t>
        </is>
      </c>
      <c r="B1047" s="1" t="n">
        <v>45420.44414351852</v>
      </c>
      <c r="C1047" s="1" t="n">
        <v>45904</v>
      </c>
      <c r="D1047" t="inlineStr">
        <is>
          <t>JÄMTLANDS LÄN</t>
        </is>
      </c>
      <c r="E1047" t="inlineStr">
        <is>
          <t>HÄRJEDALEN</t>
        </is>
      </c>
      <c r="F1047" t="inlineStr">
        <is>
          <t>Holmen skog AB</t>
        </is>
      </c>
      <c r="G1047" t="n">
        <v>12.6</v>
      </c>
      <c r="H1047" t="n">
        <v>0</v>
      </c>
      <c r="I1047" t="n">
        <v>0</v>
      </c>
      <c r="J1047" t="n">
        <v>0</v>
      </c>
      <c r="K1047" t="n">
        <v>0</v>
      </c>
      <c r="L1047" t="n">
        <v>0</v>
      </c>
      <c r="M1047" t="n">
        <v>0</v>
      </c>
      <c r="N1047" t="n">
        <v>0</v>
      </c>
      <c r="O1047" t="n">
        <v>0</v>
      </c>
      <c r="P1047" t="n">
        <v>0</v>
      </c>
      <c r="Q1047" t="n">
        <v>0</v>
      </c>
      <c r="R1047" s="2" t="inlineStr"/>
    </row>
    <row r="1048" ht="15" customHeight="1">
      <c r="A1048" t="inlineStr">
        <is>
          <t>A 14401-2025</t>
        </is>
      </c>
      <c r="B1048" s="1" t="n">
        <v>45741.45597222223</v>
      </c>
      <c r="C1048" s="1" t="n">
        <v>45904</v>
      </c>
      <c r="D1048" t="inlineStr">
        <is>
          <t>JÄMTLANDS LÄN</t>
        </is>
      </c>
      <c r="E1048" t="inlineStr">
        <is>
          <t>HÄRJEDALEN</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1394-2025</t>
        </is>
      </c>
      <c r="B1049" s="1" t="n">
        <v>45667</v>
      </c>
      <c r="C1049" s="1" t="n">
        <v>45904</v>
      </c>
      <c r="D1049" t="inlineStr">
        <is>
          <t>JÄMTLANDS LÄN</t>
        </is>
      </c>
      <c r="E1049" t="inlineStr">
        <is>
          <t>HÄRJEDALEN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58446-2024</t>
        </is>
      </c>
      <c r="B1050" s="1" t="n">
        <v>45635.33439814814</v>
      </c>
      <c r="C1050" s="1" t="n">
        <v>45904</v>
      </c>
      <c r="D1050" t="inlineStr">
        <is>
          <t>JÄMTLANDS LÄN</t>
        </is>
      </c>
      <c r="E1050" t="inlineStr">
        <is>
          <t>HÄRJEDALEN</t>
        </is>
      </c>
      <c r="F1050" t="inlineStr">
        <is>
          <t>Bergvik skog väst AB</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45716-2023</t>
        </is>
      </c>
      <c r="B1051" s="1" t="n">
        <v>45195.35877314815</v>
      </c>
      <c r="C1051" s="1" t="n">
        <v>45904</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69271-2021</t>
        </is>
      </c>
      <c r="B1052" s="1" t="n">
        <v>44531.43927083333</v>
      </c>
      <c r="C1052" s="1" t="n">
        <v>45904</v>
      </c>
      <c r="D1052" t="inlineStr">
        <is>
          <t>JÄMTLANDS LÄN</t>
        </is>
      </c>
      <c r="E1052" t="inlineStr">
        <is>
          <t>HÄRJEDALEN</t>
        </is>
      </c>
      <c r="F1052" t="inlineStr">
        <is>
          <t>Bergvik skog väst AB</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31920-2024</t>
        </is>
      </c>
      <c r="B1053" s="1" t="n">
        <v>45510</v>
      </c>
      <c r="C1053" s="1" t="n">
        <v>45904</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55661-2024</t>
        </is>
      </c>
      <c r="B1054" s="1" t="n">
        <v>45622.64012731481</v>
      </c>
      <c r="C1054" s="1" t="n">
        <v>45904</v>
      </c>
      <c r="D1054" t="inlineStr">
        <is>
          <t>JÄMTLANDS LÄN</t>
        </is>
      </c>
      <c r="E1054" t="inlineStr">
        <is>
          <t>HÄRJEDALEN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17291-2025</t>
        </is>
      </c>
      <c r="B1055" s="1" t="n">
        <v>45756</v>
      </c>
      <c r="C1055" s="1" t="n">
        <v>45904</v>
      </c>
      <c r="D1055" t="inlineStr">
        <is>
          <t>JÄMTLANDS LÄN</t>
        </is>
      </c>
      <c r="E1055" t="inlineStr">
        <is>
          <t>HÄRJEDALEN</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44819-2024</t>
        </is>
      </c>
      <c r="B1056" s="1" t="n">
        <v>45574.66106481481</v>
      </c>
      <c r="C1056" s="1" t="n">
        <v>45904</v>
      </c>
      <c r="D1056" t="inlineStr">
        <is>
          <t>JÄMTLANDS LÄN</t>
        </is>
      </c>
      <c r="E1056" t="inlineStr">
        <is>
          <t>HÄRJEDALEN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44967-2024</t>
        </is>
      </c>
      <c r="B1057" s="1" t="n">
        <v>45575</v>
      </c>
      <c r="C1057" s="1" t="n">
        <v>45904</v>
      </c>
      <c r="D1057" t="inlineStr">
        <is>
          <t>JÄMTLANDS LÄN</t>
        </is>
      </c>
      <c r="E1057" t="inlineStr">
        <is>
          <t>HÄRJEDALEN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20865-2024</t>
        </is>
      </c>
      <c r="B1058" s="1" t="n">
        <v>45439.43106481482</v>
      </c>
      <c r="C1058" s="1" t="n">
        <v>45904</v>
      </c>
      <c r="D1058" t="inlineStr">
        <is>
          <t>JÄMTLANDS LÄN</t>
        </is>
      </c>
      <c r="E1058" t="inlineStr">
        <is>
          <t>HÄRJEDALEN</t>
        </is>
      </c>
      <c r="F1058" t="inlineStr">
        <is>
          <t>Holmen skog AB</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32910-2022</t>
        </is>
      </c>
      <c r="B1059" s="1" t="n">
        <v>44784.60677083334</v>
      </c>
      <c r="C1059" s="1" t="n">
        <v>45904</v>
      </c>
      <c r="D1059" t="inlineStr">
        <is>
          <t>JÄMTLANDS LÄN</t>
        </is>
      </c>
      <c r="E1059" t="inlineStr">
        <is>
          <t>HÄRJEDALEN</t>
        </is>
      </c>
      <c r="F1059" t="inlineStr">
        <is>
          <t>Bergvik skog väst AB</t>
        </is>
      </c>
      <c r="G1059" t="n">
        <v>14.4</v>
      </c>
      <c r="H1059" t="n">
        <v>0</v>
      </c>
      <c r="I1059" t="n">
        <v>0</v>
      </c>
      <c r="J1059" t="n">
        <v>0</v>
      </c>
      <c r="K1059" t="n">
        <v>0</v>
      </c>
      <c r="L1059" t="n">
        <v>0</v>
      </c>
      <c r="M1059" t="n">
        <v>0</v>
      </c>
      <c r="N1059" t="n">
        <v>0</v>
      </c>
      <c r="O1059" t="n">
        <v>0</v>
      </c>
      <c r="P1059" t="n">
        <v>0</v>
      </c>
      <c r="Q1059" t="n">
        <v>0</v>
      </c>
      <c r="R1059" s="2" t="inlineStr"/>
    </row>
    <row r="1060" ht="15" customHeight="1">
      <c r="A1060" t="inlineStr">
        <is>
          <t>A 31587-2024</t>
        </is>
      </c>
      <c r="B1060" s="1" t="n">
        <v>45506.36534722222</v>
      </c>
      <c r="C1060" s="1" t="n">
        <v>45904</v>
      </c>
      <c r="D1060" t="inlineStr">
        <is>
          <t>JÄMTLANDS LÄN</t>
        </is>
      </c>
      <c r="E1060" t="inlineStr">
        <is>
          <t>HÄRJEDALEN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4899-2025</t>
        </is>
      </c>
      <c r="B1061" s="1" t="n">
        <v>45688.67935185185</v>
      </c>
      <c r="C1061" s="1" t="n">
        <v>45904</v>
      </c>
      <c r="D1061" t="inlineStr">
        <is>
          <t>JÄMTLANDS LÄN</t>
        </is>
      </c>
      <c r="E1061" t="inlineStr">
        <is>
          <t>HÄRJEDALEN</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16626-2025</t>
        </is>
      </c>
      <c r="B1062" s="1" t="n">
        <v>45754.35055555555</v>
      </c>
      <c r="C1062" s="1" t="n">
        <v>45904</v>
      </c>
      <c r="D1062" t="inlineStr">
        <is>
          <t>JÄMTLANDS LÄN</t>
        </is>
      </c>
      <c r="E1062" t="inlineStr">
        <is>
          <t>HÄRJEDALEN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20104-2025</t>
        </is>
      </c>
      <c r="B1063" s="1" t="n">
        <v>45772.46965277778</v>
      </c>
      <c r="C1063" s="1" t="n">
        <v>45904</v>
      </c>
      <c r="D1063" t="inlineStr">
        <is>
          <t>JÄMTLANDS LÄN</t>
        </is>
      </c>
      <c r="E1063" t="inlineStr">
        <is>
          <t>HÄRJEDALEN</t>
        </is>
      </c>
      <c r="F1063" t="inlineStr">
        <is>
          <t>SCA</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20106-2025</t>
        </is>
      </c>
      <c r="B1064" s="1" t="n">
        <v>45772.46988425926</v>
      </c>
      <c r="C1064" s="1" t="n">
        <v>45904</v>
      </c>
      <c r="D1064" t="inlineStr">
        <is>
          <t>JÄMTLANDS LÄN</t>
        </is>
      </c>
      <c r="E1064" t="inlineStr">
        <is>
          <t>HÄRJEDALEN</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58347-2024</t>
        </is>
      </c>
      <c r="B1065" s="1" t="n">
        <v>45632.64769675926</v>
      </c>
      <c r="C1065" s="1" t="n">
        <v>45904</v>
      </c>
      <c r="D1065" t="inlineStr">
        <is>
          <t>JÄMTLANDS LÄN</t>
        </is>
      </c>
      <c r="E1065" t="inlineStr">
        <is>
          <t>HÄRJEDALEN</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29431-2023</t>
        </is>
      </c>
      <c r="B1066" s="1" t="n">
        <v>45106</v>
      </c>
      <c r="C1066" s="1" t="n">
        <v>45904</v>
      </c>
      <c r="D1066" t="inlineStr">
        <is>
          <t>JÄMTLANDS LÄN</t>
        </is>
      </c>
      <c r="E1066" t="inlineStr">
        <is>
          <t>HÄRJEDALEN</t>
        </is>
      </c>
      <c r="F1066" t="inlineStr">
        <is>
          <t>Bergvik skog väst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51188-2024</t>
        </is>
      </c>
      <c r="B1067" s="1" t="n">
        <v>45603</v>
      </c>
      <c r="C1067" s="1" t="n">
        <v>45904</v>
      </c>
      <c r="D1067" t="inlineStr">
        <is>
          <t>JÄMTLANDS LÄN</t>
        </is>
      </c>
      <c r="E1067" t="inlineStr">
        <is>
          <t>HÄRJEDALEN</t>
        </is>
      </c>
      <c r="F1067" t="inlineStr">
        <is>
          <t>Holmen skog AB</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51223-2024</t>
        </is>
      </c>
      <c r="B1068" s="1" t="n">
        <v>45603</v>
      </c>
      <c r="C1068" s="1" t="n">
        <v>45904</v>
      </c>
      <c r="D1068" t="inlineStr">
        <is>
          <t>JÄMTLANDS LÄN</t>
        </is>
      </c>
      <c r="E1068" t="inlineStr">
        <is>
          <t>HÄRJEDALEN</t>
        </is>
      </c>
      <c r="F1068" t="inlineStr">
        <is>
          <t>Holmen skog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55219-2021</t>
        </is>
      </c>
      <c r="B1069" s="1" t="n">
        <v>44475</v>
      </c>
      <c r="C1069" s="1" t="n">
        <v>45904</v>
      </c>
      <c r="D1069" t="inlineStr">
        <is>
          <t>JÄMTLANDS LÄN</t>
        </is>
      </c>
      <c r="E1069" t="inlineStr">
        <is>
          <t>HÄRJEDALEN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23186-2023</t>
        </is>
      </c>
      <c r="B1070" s="1" t="n">
        <v>45075.59358796296</v>
      </c>
      <c r="C1070" s="1" t="n">
        <v>45904</v>
      </c>
      <c r="D1070" t="inlineStr">
        <is>
          <t>JÄMTLANDS LÄN</t>
        </is>
      </c>
      <c r="E1070" t="inlineStr">
        <is>
          <t>HÄRJEDALEN</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24494-2024</t>
        </is>
      </c>
      <c r="B1071" s="1" t="n">
        <v>45459</v>
      </c>
      <c r="C1071" s="1" t="n">
        <v>45904</v>
      </c>
      <c r="D1071" t="inlineStr">
        <is>
          <t>JÄMTLANDS LÄN</t>
        </is>
      </c>
      <c r="E1071" t="inlineStr">
        <is>
          <t>HÄRJEDALEN</t>
        </is>
      </c>
      <c r="G1071" t="n">
        <v>20.1</v>
      </c>
      <c r="H1071" t="n">
        <v>0</v>
      </c>
      <c r="I1071" t="n">
        <v>0</v>
      </c>
      <c r="J1071" t="n">
        <v>0</v>
      </c>
      <c r="K1071" t="n">
        <v>0</v>
      </c>
      <c r="L1071" t="n">
        <v>0</v>
      </c>
      <c r="M1071" t="n">
        <v>0</v>
      </c>
      <c r="N1071" t="n">
        <v>0</v>
      </c>
      <c r="O1071" t="n">
        <v>0</v>
      </c>
      <c r="P1071" t="n">
        <v>0</v>
      </c>
      <c r="Q1071" t="n">
        <v>0</v>
      </c>
      <c r="R1071" s="2" t="inlineStr"/>
    </row>
    <row r="1072" ht="15" customHeight="1">
      <c r="A1072" t="inlineStr">
        <is>
          <t>A 1361-2024</t>
        </is>
      </c>
      <c r="B1072" s="1" t="n">
        <v>45303.5047337963</v>
      </c>
      <c r="C1072" s="1" t="n">
        <v>45904</v>
      </c>
      <c r="D1072" t="inlineStr">
        <is>
          <t>JÄMTLANDS LÄN</t>
        </is>
      </c>
      <c r="E1072" t="inlineStr">
        <is>
          <t>HÄRJEDALEN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14837-2025</t>
        </is>
      </c>
      <c r="B1073" s="1" t="n">
        <v>45743.38449074074</v>
      </c>
      <c r="C1073" s="1" t="n">
        <v>45904</v>
      </c>
      <c r="D1073" t="inlineStr">
        <is>
          <t>JÄMTLANDS LÄN</t>
        </is>
      </c>
      <c r="E1073" t="inlineStr">
        <is>
          <t>HÄRJEDALEN</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2106-2025</t>
        </is>
      </c>
      <c r="B1074" s="1" t="n">
        <v>45672.61748842592</v>
      </c>
      <c r="C1074" s="1" t="n">
        <v>45904</v>
      </c>
      <c r="D1074" t="inlineStr">
        <is>
          <t>JÄMTLANDS LÄN</t>
        </is>
      </c>
      <c r="E1074" t="inlineStr">
        <is>
          <t>HÄRJEDALEN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136-2025</t>
        </is>
      </c>
      <c r="B1075" s="1" t="n">
        <v>45659.57361111111</v>
      </c>
      <c r="C1075" s="1" t="n">
        <v>45904</v>
      </c>
      <c r="D1075" t="inlineStr">
        <is>
          <t>JÄMTLANDS LÄN</t>
        </is>
      </c>
      <c r="E1075" t="inlineStr">
        <is>
          <t>HÄRJEDALEN</t>
        </is>
      </c>
      <c r="F1075" t="inlineStr">
        <is>
          <t>Holmen skog AB</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4225-2025</t>
        </is>
      </c>
      <c r="B1076" s="1" t="n">
        <v>45685.5349074074</v>
      </c>
      <c r="C1076" s="1" t="n">
        <v>45904</v>
      </c>
      <c r="D1076" t="inlineStr">
        <is>
          <t>JÄMTLANDS LÄN</t>
        </is>
      </c>
      <c r="E1076" t="inlineStr">
        <is>
          <t>HÄRJEDALEN</t>
        </is>
      </c>
      <c r="F1076" t="inlineStr">
        <is>
          <t>Bergvik skog väst AB</t>
        </is>
      </c>
      <c r="G1076" t="n">
        <v>13.4</v>
      </c>
      <c r="H1076" t="n">
        <v>0</v>
      </c>
      <c r="I1076" t="n">
        <v>0</v>
      </c>
      <c r="J1076" t="n">
        <v>0</v>
      </c>
      <c r="K1076" t="n">
        <v>0</v>
      </c>
      <c r="L1076" t="n">
        <v>0</v>
      </c>
      <c r="M1076" t="n">
        <v>0</v>
      </c>
      <c r="N1076" t="n">
        <v>0</v>
      </c>
      <c r="O1076" t="n">
        <v>0</v>
      </c>
      <c r="P1076" t="n">
        <v>0</v>
      </c>
      <c r="Q1076" t="n">
        <v>0</v>
      </c>
      <c r="R1076" s="2" t="inlineStr"/>
    </row>
    <row r="1077" ht="15" customHeight="1">
      <c r="A1077" t="inlineStr">
        <is>
          <t>A 18362-2025</t>
        </is>
      </c>
      <c r="B1077" s="1" t="n">
        <v>45762.55899305556</v>
      </c>
      <c r="C1077" s="1" t="n">
        <v>45904</v>
      </c>
      <c r="D1077" t="inlineStr">
        <is>
          <t>JÄMTLANDS LÄN</t>
        </is>
      </c>
      <c r="E1077" t="inlineStr">
        <is>
          <t>HÄRJEDALEN</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34627-2022</t>
        </is>
      </c>
      <c r="B1078" s="1" t="n">
        <v>44795</v>
      </c>
      <c r="C1078" s="1" t="n">
        <v>45904</v>
      </c>
      <c r="D1078" t="inlineStr">
        <is>
          <t>JÄMTLANDS LÄN</t>
        </is>
      </c>
      <c r="E1078" t="inlineStr">
        <is>
          <t>HÄRJEDALEN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44060-2024</t>
        </is>
      </c>
      <c r="B1079" s="1" t="n">
        <v>45572.60001157408</v>
      </c>
      <c r="C1079" s="1" t="n">
        <v>45904</v>
      </c>
      <c r="D1079" t="inlineStr">
        <is>
          <t>JÄMTLANDS LÄN</t>
        </is>
      </c>
      <c r="E1079" t="inlineStr">
        <is>
          <t>HÄRJEDALEN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43297-2024</t>
        </is>
      </c>
      <c r="B1080" s="1" t="n">
        <v>45568</v>
      </c>
      <c r="C1080" s="1" t="n">
        <v>45904</v>
      </c>
      <c r="D1080" t="inlineStr">
        <is>
          <t>JÄMTLANDS LÄN</t>
        </is>
      </c>
      <c r="E1080" t="inlineStr">
        <is>
          <t>HÄRJEDALEN</t>
        </is>
      </c>
      <c r="F1080" t="inlineStr">
        <is>
          <t>SCA</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7313-2024</t>
        </is>
      </c>
      <c r="B1081" s="1" t="n">
        <v>45345.35003472222</v>
      </c>
      <c r="C1081" s="1" t="n">
        <v>45904</v>
      </c>
      <c r="D1081" t="inlineStr">
        <is>
          <t>JÄMTLANDS LÄN</t>
        </is>
      </c>
      <c r="E1081" t="inlineStr">
        <is>
          <t>HÄRJEDALEN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5101-2025</t>
        </is>
      </c>
      <c r="B1082" s="1" t="n">
        <v>45691</v>
      </c>
      <c r="C1082" s="1" t="n">
        <v>45904</v>
      </c>
      <c r="D1082" t="inlineStr">
        <is>
          <t>JÄMTLANDS LÄN</t>
        </is>
      </c>
      <c r="E1082" t="inlineStr">
        <is>
          <t>HÄRJEDALEN</t>
        </is>
      </c>
      <c r="F1082" t="inlineStr">
        <is>
          <t>Holmen skog AB</t>
        </is>
      </c>
      <c r="G1082" t="n">
        <v>33.5</v>
      </c>
      <c r="H1082" t="n">
        <v>0</v>
      </c>
      <c r="I1082" t="n">
        <v>0</v>
      </c>
      <c r="J1082" t="n">
        <v>0</v>
      </c>
      <c r="K1082" t="n">
        <v>0</v>
      </c>
      <c r="L1082" t="n">
        <v>0</v>
      </c>
      <c r="M1082" t="n">
        <v>0</v>
      </c>
      <c r="N1082" t="n">
        <v>0</v>
      </c>
      <c r="O1082" t="n">
        <v>0</v>
      </c>
      <c r="P1082" t="n">
        <v>0</v>
      </c>
      <c r="Q1082" t="n">
        <v>0</v>
      </c>
      <c r="R1082" s="2" t="inlineStr"/>
    </row>
    <row r="1083" ht="15" customHeight="1">
      <c r="A1083" t="inlineStr">
        <is>
          <t>A 5113-2025</t>
        </is>
      </c>
      <c r="B1083" s="1" t="n">
        <v>45691</v>
      </c>
      <c r="C1083" s="1" t="n">
        <v>45904</v>
      </c>
      <c r="D1083" t="inlineStr">
        <is>
          <t>JÄMTLANDS LÄN</t>
        </is>
      </c>
      <c r="E1083" t="inlineStr">
        <is>
          <t>HÄRJEDALEN</t>
        </is>
      </c>
      <c r="F1083" t="inlineStr">
        <is>
          <t>Holmen skog AB</t>
        </is>
      </c>
      <c r="G1083" t="n">
        <v>25.9</v>
      </c>
      <c r="H1083" t="n">
        <v>0</v>
      </c>
      <c r="I1083" t="n">
        <v>0</v>
      </c>
      <c r="J1083" t="n">
        <v>0</v>
      </c>
      <c r="K1083" t="n">
        <v>0</v>
      </c>
      <c r="L1083" t="n">
        <v>0</v>
      </c>
      <c r="M1083" t="n">
        <v>0</v>
      </c>
      <c r="N1083" t="n">
        <v>0</v>
      </c>
      <c r="O1083" t="n">
        <v>0</v>
      </c>
      <c r="P1083" t="n">
        <v>0</v>
      </c>
      <c r="Q1083" t="n">
        <v>0</v>
      </c>
      <c r="R1083" s="2" t="inlineStr"/>
    </row>
    <row r="1084" ht="15" customHeight="1">
      <c r="A1084" t="inlineStr">
        <is>
          <t>A 2728-2025</t>
        </is>
      </c>
      <c r="B1084" s="1" t="n">
        <v>45677.44273148148</v>
      </c>
      <c r="C1084" s="1" t="n">
        <v>45904</v>
      </c>
      <c r="D1084" t="inlineStr">
        <is>
          <t>JÄMTLANDS LÄN</t>
        </is>
      </c>
      <c r="E1084" t="inlineStr">
        <is>
          <t>HÄRJEDALEN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18953-2025</t>
        </is>
      </c>
      <c r="B1085" s="1" t="n">
        <v>45764</v>
      </c>
      <c r="C1085" s="1" t="n">
        <v>45904</v>
      </c>
      <c r="D1085" t="inlineStr">
        <is>
          <t>JÄMTLANDS LÄN</t>
        </is>
      </c>
      <c r="E1085" t="inlineStr">
        <is>
          <t>HÄRJEDALEN</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61571-2022</t>
        </is>
      </c>
      <c r="B1086" s="1" t="n">
        <v>44916</v>
      </c>
      <c r="C1086" s="1" t="n">
        <v>45904</v>
      </c>
      <c r="D1086" t="inlineStr">
        <is>
          <t>JÄMTLANDS LÄN</t>
        </is>
      </c>
      <c r="E1086" t="inlineStr">
        <is>
          <t>HÄRJEDALEN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10002-2025</t>
        </is>
      </c>
      <c r="B1087" s="1" t="n">
        <v>45719.45215277778</v>
      </c>
      <c r="C1087" s="1" t="n">
        <v>45904</v>
      </c>
      <c r="D1087" t="inlineStr">
        <is>
          <t>JÄMTLANDS LÄN</t>
        </is>
      </c>
      <c r="E1087" t="inlineStr">
        <is>
          <t>HÄRJEDALEN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55859-2024</t>
        </is>
      </c>
      <c r="B1088" s="1" t="n">
        <v>45622</v>
      </c>
      <c r="C1088" s="1" t="n">
        <v>45904</v>
      </c>
      <c r="D1088" t="inlineStr">
        <is>
          <t>JÄMTLANDS LÄN</t>
        </is>
      </c>
      <c r="E1088" t="inlineStr">
        <is>
          <t>HÄRJEDALEN</t>
        </is>
      </c>
      <c r="F1088" t="inlineStr">
        <is>
          <t>Bergvik skog väst AB</t>
        </is>
      </c>
      <c r="G1088" t="n">
        <v>28.1</v>
      </c>
      <c r="H1088" t="n">
        <v>0</v>
      </c>
      <c r="I1088" t="n">
        <v>0</v>
      </c>
      <c r="J1088" t="n">
        <v>0</v>
      </c>
      <c r="K1088" t="n">
        <v>0</v>
      </c>
      <c r="L1088" t="n">
        <v>0</v>
      </c>
      <c r="M1088" t="n">
        <v>0</v>
      </c>
      <c r="N1088" t="n">
        <v>0</v>
      </c>
      <c r="O1088" t="n">
        <v>0</v>
      </c>
      <c r="P1088" t="n">
        <v>0</v>
      </c>
      <c r="Q1088" t="n">
        <v>0</v>
      </c>
      <c r="R1088" s="2" t="inlineStr"/>
    </row>
    <row r="1089" ht="15" customHeight="1">
      <c r="A1089" t="inlineStr">
        <is>
          <t>A 54593-2020</t>
        </is>
      </c>
      <c r="B1089" s="1" t="n">
        <v>44126</v>
      </c>
      <c r="C1089" s="1" t="n">
        <v>45904</v>
      </c>
      <c r="D1089" t="inlineStr">
        <is>
          <t>JÄMTLANDS LÄN</t>
        </is>
      </c>
      <c r="E1089" t="inlineStr">
        <is>
          <t>HÄRJEDALEN</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36645-2024</t>
        </is>
      </c>
      <c r="B1090" s="1" t="n">
        <v>45537.60471064815</v>
      </c>
      <c r="C1090" s="1" t="n">
        <v>45904</v>
      </c>
      <c r="D1090" t="inlineStr">
        <is>
          <t>JÄMTLANDS LÄN</t>
        </is>
      </c>
      <c r="E1090" t="inlineStr">
        <is>
          <t>HÄRJEDALEN</t>
        </is>
      </c>
      <c r="F1090" t="inlineStr">
        <is>
          <t>Holmen skog AB</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62721-2022</t>
        </is>
      </c>
      <c r="B1091" s="1" t="n">
        <v>44925.64049768518</v>
      </c>
      <c r="C1091" s="1" t="n">
        <v>45904</v>
      </c>
      <c r="D1091" t="inlineStr">
        <is>
          <t>JÄMTLANDS LÄN</t>
        </is>
      </c>
      <c r="E1091" t="inlineStr">
        <is>
          <t>HÄRJEDALEN</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59946-2024</t>
        </is>
      </c>
      <c r="B1092" s="1" t="n">
        <v>45642.33616898148</v>
      </c>
      <c r="C1092" s="1" t="n">
        <v>45904</v>
      </c>
      <c r="D1092" t="inlineStr">
        <is>
          <t>JÄMTLANDS LÄN</t>
        </is>
      </c>
      <c r="E1092" t="inlineStr">
        <is>
          <t>HÄRJEDALEN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14363-2025</t>
        </is>
      </c>
      <c r="B1093" s="1" t="n">
        <v>45741.38347222222</v>
      </c>
      <c r="C1093" s="1" t="n">
        <v>45904</v>
      </c>
      <c r="D1093" t="inlineStr">
        <is>
          <t>JÄMTLANDS LÄN</t>
        </is>
      </c>
      <c r="E1093" t="inlineStr">
        <is>
          <t>HÄRJEDALEN</t>
        </is>
      </c>
      <c r="G1093" t="n">
        <v>32.8</v>
      </c>
      <c r="H1093" t="n">
        <v>0</v>
      </c>
      <c r="I1093" t="n">
        <v>0</v>
      </c>
      <c r="J1093" t="n">
        <v>0</v>
      </c>
      <c r="K1093" t="n">
        <v>0</v>
      </c>
      <c r="L1093" t="n">
        <v>0</v>
      </c>
      <c r="M1093" t="n">
        <v>0</v>
      </c>
      <c r="N1093" t="n">
        <v>0</v>
      </c>
      <c r="O1093" t="n">
        <v>0</v>
      </c>
      <c r="P1093" t="n">
        <v>0</v>
      </c>
      <c r="Q1093" t="n">
        <v>0</v>
      </c>
      <c r="R1093" s="2" t="inlineStr"/>
    </row>
    <row r="1094" ht="15" customHeight="1">
      <c r="A1094" t="inlineStr">
        <is>
          <t>A 11877-2025</t>
        </is>
      </c>
      <c r="B1094" s="1" t="n">
        <v>45728.44329861111</v>
      </c>
      <c r="C1094" s="1" t="n">
        <v>45904</v>
      </c>
      <c r="D1094" t="inlineStr">
        <is>
          <t>JÄMTLANDS LÄN</t>
        </is>
      </c>
      <c r="E1094" t="inlineStr">
        <is>
          <t>HÄRJEDALEN</t>
        </is>
      </c>
      <c r="F1094" t="inlineStr">
        <is>
          <t>Bergvik skog väst AB</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24426-2022</t>
        </is>
      </c>
      <c r="B1095" s="1" t="n">
        <v>44726</v>
      </c>
      <c r="C1095" s="1" t="n">
        <v>45904</v>
      </c>
      <c r="D1095" t="inlineStr">
        <is>
          <t>JÄMTLANDS LÄN</t>
        </is>
      </c>
      <c r="E1095" t="inlineStr">
        <is>
          <t>HÄRJEDALEN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21816-2024</t>
        </is>
      </c>
      <c r="B1096" s="1" t="n">
        <v>45442</v>
      </c>
      <c r="C1096" s="1" t="n">
        <v>45904</v>
      </c>
      <c r="D1096" t="inlineStr">
        <is>
          <t>JÄMTLANDS LÄN</t>
        </is>
      </c>
      <c r="E1096" t="inlineStr">
        <is>
          <t>HÄRJEDALEN</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11917-2025</t>
        </is>
      </c>
      <c r="B1097" s="1" t="n">
        <v>45728.49267361111</v>
      </c>
      <c r="C1097" s="1" t="n">
        <v>45904</v>
      </c>
      <c r="D1097" t="inlineStr">
        <is>
          <t>JÄMTLANDS LÄN</t>
        </is>
      </c>
      <c r="E1097" t="inlineStr">
        <is>
          <t>HÄRJEDALEN</t>
        </is>
      </c>
      <c r="F1097" t="inlineStr">
        <is>
          <t>Kommuner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37281-2024</t>
        </is>
      </c>
      <c r="B1098" s="1" t="n">
        <v>45540.4264699074</v>
      </c>
      <c r="C1098" s="1" t="n">
        <v>45904</v>
      </c>
      <c r="D1098" t="inlineStr">
        <is>
          <t>JÄMTLANDS LÄN</t>
        </is>
      </c>
      <c r="E1098" t="inlineStr">
        <is>
          <t>HÄRJEDALEN</t>
        </is>
      </c>
      <c r="F1098" t="inlineStr">
        <is>
          <t>Bergvik skog väst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54331-2021</t>
        </is>
      </c>
      <c r="B1099" s="1" t="n">
        <v>44472</v>
      </c>
      <c r="C1099" s="1" t="n">
        <v>45904</v>
      </c>
      <c r="D1099" t="inlineStr">
        <is>
          <t>JÄMTLANDS LÄN</t>
        </is>
      </c>
      <c r="E1099" t="inlineStr">
        <is>
          <t>HÄRJEDALEN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14798-2021</t>
        </is>
      </c>
      <c r="B1100" s="1" t="n">
        <v>44280</v>
      </c>
      <c r="C1100" s="1" t="n">
        <v>45904</v>
      </c>
      <c r="D1100" t="inlineStr">
        <is>
          <t>JÄMTLANDS LÄN</t>
        </is>
      </c>
      <c r="E1100" t="inlineStr">
        <is>
          <t>HÄRJEDALEN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6304-2024</t>
        </is>
      </c>
      <c r="B1101" s="1" t="n">
        <v>45338</v>
      </c>
      <c r="C1101" s="1" t="n">
        <v>45904</v>
      </c>
      <c r="D1101" t="inlineStr">
        <is>
          <t>JÄMTLANDS LÄN</t>
        </is>
      </c>
      <c r="E1101" t="inlineStr">
        <is>
          <t>HÄRJEDALEN</t>
        </is>
      </c>
      <c r="F1101" t="inlineStr">
        <is>
          <t>Bergvik skog väst AB</t>
        </is>
      </c>
      <c r="G1101" t="n">
        <v>23.5</v>
      </c>
      <c r="H1101" t="n">
        <v>0</v>
      </c>
      <c r="I1101" t="n">
        <v>0</v>
      </c>
      <c r="J1101" t="n">
        <v>0</v>
      </c>
      <c r="K1101" t="n">
        <v>0</v>
      </c>
      <c r="L1101" t="n">
        <v>0</v>
      </c>
      <c r="M1101" t="n">
        <v>0</v>
      </c>
      <c r="N1101" t="n">
        <v>0</v>
      </c>
      <c r="O1101" t="n">
        <v>0</v>
      </c>
      <c r="P1101" t="n">
        <v>0</v>
      </c>
      <c r="Q1101" t="n">
        <v>0</v>
      </c>
      <c r="R1101" s="2" t="inlineStr"/>
    </row>
    <row r="1102" ht="15" customHeight="1">
      <c r="A1102" t="inlineStr">
        <is>
          <t>A 19661-2024</t>
        </is>
      </c>
      <c r="B1102" s="1" t="n">
        <v>45432</v>
      </c>
      <c r="C1102" s="1" t="n">
        <v>45904</v>
      </c>
      <c r="D1102" t="inlineStr">
        <is>
          <t>JÄMTLANDS LÄN</t>
        </is>
      </c>
      <c r="E1102" t="inlineStr">
        <is>
          <t>HÄRJEDALEN</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34453-2021</t>
        </is>
      </c>
      <c r="B1103" s="1" t="n">
        <v>44381</v>
      </c>
      <c r="C1103" s="1" t="n">
        <v>45904</v>
      </c>
      <c r="D1103" t="inlineStr">
        <is>
          <t>JÄMTLANDS LÄN</t>
        </is>
      </c>
      <c r="E1103" t="inlineStr">
        <is>
          <t>HÄRJEDALEN</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51311-2024</t>
        </is>
      </c>
      <c r="B1104" s="1" t="n">
        <v>45604.31657407407</v>
      </c>
      <c r="C1104" s="1" t="n">
        <v>45904</v>
      </c>
      <c r="D1104" t="inlineStr">
        <is>
          <t>JÄMTLANDS LÄN</t>
        </is>
      </c>
      <c r="E1104" t="inlineStr">
        <is>
          <t>HÄRJEDALEN</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17896-2025</t>
        </is>
      </c>
      <c r="B1105" s="1" t="n">
        <v>45758.69638888889</v>
      </c>
      <c r="C1105" s="1" t="n">
        <v>45904</v>
      </c>
      <c r="D1105" t="inlineStr">
        <is>
          <t>JÄMTLANDS LÄN</t>
        </is>
      </c>
      <c r="E1105" t="inlineStr">
        <is>
          <t>HÄRJEDALEN</t>
        </is>
      </c>
      <c r="G1105" t="n">
        <v>5</v>
      </c>
      <c r="H1105" t="n">
        <v>0</v>
      </c>
      <c r="I1105" t="n">
        <v>0</v>
      </c>
      <c r="J1105" t="n">
        <v>0</v>
      </c>
      <c r="K1105" t="n">
        <v>0</v>
      </c>
      <c r="L1105" t="n">
        <v>0</v>
      </c>
      <c r="M1105" t="n">
        <v>0</v>
      </c>
      <c r="N1105" t="n">
        <v>0</v>
      </c>
      <c r="O1105" t="n">
        <v>0</v>
      </c>
      <c r="P1105" t="n">
        <v>0</v>
      </c>
      <c r="Q1105" t="n">
        <v>0</v>
      </c>
      <c r="R1105" s="2" t="inlineStr"/>
    </row>
    <row r="1106">
      <c r="A1106" t="inlineStr">
        <is>
          <t>A 30729-2024</t>
        </is>
      </c>
      <c r="B1106" s="1" t="n">
        <v>45496.59202546296</v>
      </c>
      <c r="C1106" s="1" t="n">
        <v>45904</v>
      </c>
      <c r="D1106" t="inlineStr">
        <is>
          <t>JÄMTLANDS LÄN</t>
        </is>
      </c>
      <c r="E1106" t="inlineStr">
        <is>
          <t>HÄRJEDALEN</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2025-09-04T17:46:04Z</dcterms:created>
  <dcterms:modified xmlns:dcterms="http://purl.org/dc/terms/" xmlns:xsi="http://www.w3.org/2001/XMLSchema-instance" xsi:type="dcterms:W3CDTF">2025-09-04T17:46:05Z</dcterms:modified>
</cp:coreProperties>
</file>