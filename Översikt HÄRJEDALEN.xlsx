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45728</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45728</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45728</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45728</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45728</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45728</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45728</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45728</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45728</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45728</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45728</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45728</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45728</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45728</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45728</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45728</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45728</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45728</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45728</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45728</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45728</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45728</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45728</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45728</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45728</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45728</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45728</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45728</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45728</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45728</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45728</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45728</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45728</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45728</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45728</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45728</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45728</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45728</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45728</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45728</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45728</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45728</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45728</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45728</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45728</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45728</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45728</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45728</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45728</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45728</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45728</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45728</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45728</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45728</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45728</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45728</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45728</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45728</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45728</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45728</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45728</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45728</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45728</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45728</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45728</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45728</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45728</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45728</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45728</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45728</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45728</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45728</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45728</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45728</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45728</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45728</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45728</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45728</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45728</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45728</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45728</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45728</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45728</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45728</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45728</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45728</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45728</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45728</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45728</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45728</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45728</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45728</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45728</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45728</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45728</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45728</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45728</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45728</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45728</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45728</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45728</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45728</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45728</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45728</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45728</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45728</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45728</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45728</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45728</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45728</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45728</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45728</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45728</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45728</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45728</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45728</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45728</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45728</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45728</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45728</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45728</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45728</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45728</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45728</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45728</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45728</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45728</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45728</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45728</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45728</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45728</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45728</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45728</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45728</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45728</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45728</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45728</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45728</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45728</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45728</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45728</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45728</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45728</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45728</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45728</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45728</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45728</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45728</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45728</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45728</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45728</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45728</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45728</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45728</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45728</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45728</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45728</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45728</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45728</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45728</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45728</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45728</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45728</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45728</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45728</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45728</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45728</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45728</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45728</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45728</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45728</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45728</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45728</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45728</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45728</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45728</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45728</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45728</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45728</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45728</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45728</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45728</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45728</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45728</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45728</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45728</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45728</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45728</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45728</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45728</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45728</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45728</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45728</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45728</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45728</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45728</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45728</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17811-2019</t>
        </is>
      </c>
      <c r="B230" s="1" t="n">
        <v>43556</v>
      </c>
      <c r="C230" s="1" t="n">
        <v>45728</v>
      </c>
      <c r="D230" t="inlineStr">
        <is>
          <t>JÄMTLANDS LÄN</t>
        </is>
      </c>
      <c r="E230" t="inlineStr">
        <is>
          <t>HÄRJEDALEN</t>
        </is>
      </c>
      <c r="G230" t="n">
        <v>10.3</v>
      </c>
      <c r="H230" t="n">
        <v>0</v>
      </c>
      <c r="I230" t="n">
        <v>0</v>
      </c>
      <c r="J230" t="n">
        <v>0</v>
      </c>
      <c r="K230" t="n">
        <v>0</v>
      </c>
      <c r="L230" t="n">
        <v>0</v>
      </c>
      <c r="M230" t="n">
        <v>0</v>
      </c>
      <c r="N230" t="n">
        <v>0</v>
      </c>
      <c r="O230" t="n">
        <v>0</v>
      </c>
      <c r="P230" t="n">
        <v>0</v>
      </c>
      <c r="Q230" t="n">
        <v>0</v>
      </c>
      <c r="R230" s="2" t="inlineStr"/>
    </row>
    <row r="231" ht="15" customHeight="1">
      <c r="A231" t="inlineStr">
        <is>
          <t>A 17986-2019</t>
        </is>
      </c>
      <c r="B231" s="1" t="n">
        <v>43557</v>
      </c>
      <c r="C231" s="1" t="n">
        <v>45728</v>
      </c>
      <c r="D231" t="inlineStr">
        <is>
          <t>JÄMTLANDS LÄN</t>
        </is>
      </c>
      <c r="E231" t="inlineStr">
        <is>
          <t>HÄRJEDALEN</t>
        </is>
      </c>
      <c r="F231" t="inlineStr">
        <is>
          <t>Kyrkan</t>
        </is>
      </c>
      <c r="G231" t="n">
        <v>17.5</v>
      </c>
      <c r="H231" t="n">
        <v>0</v>
      </c>
      <c r="I231" t="n">
        <v>0</v>
      </c>
      <c r="J231" t="n">
        <v>0</v>
      </c>
      <c r="K231" t="n">
        <v>0</v>
      </c>
      <c r="L231" t="n">
        <v>0</v>
      </c>
      <c r="M231" t="n">
        <v>0</v>
      </c>
      <c r="N231" t="n">
        <v>0</v>
      </c>
      <c r="O231" t="n">
        <v>0</v>
      </c>
      <c r="P231" t="n">
        <v>0</v>
      </c>
      <c r="Q231" t="n">
        <v>0</v>
      </c>
      <c r="R231" s="2" t="inlineStr"/>
    </row>
    <row r="232" ht="15" customHeight="1">
      <c r="A232" t="inlineStr">
        <is>
          <t>A 17917-2019</t>
        </is>
      </c>
      <c r="B232" s="1" t="n">
        <v>43557</v>
      </c>
      <c r="C232" s="1" t="n">
        <v>45728</v>
      </c>
      <c r="D232" t="inlineStr">
        <is>
          <t>JÄMTLANDS LÄN</t>
        </is>
      </c>
      <c r="E232" t="inlineStr">
        <is>
          <t>HÄRJEDALEN</t>
        </is>
      </c>
      <c r="F232" t="inlineStr">
        <is>
          <t>Bergvik skog väst AB</t>
        </is>
      </c>
      <c r="G232" t="n">
        <v>166.3</v>
      </c>
      <c r="H232" t="n">
        <v>0</v>
      </c>
      <c r="I232" t="n">
        <v>0</v>
      </c>
      <c r="J232" t="n">
        <v>0</v>
      </c>
      <c r="K232" t="n">
        <v>0</v>
      </c>
      <c r="L232" t="n">
        <v>0</v>
      </c>
      <c r="M232" t="n">
        <v>0</v>
      </c>
      <c r="N232" t="n">
        <v>0</v>
      </c>
      <c r="O232" t="n">
        <v>0</v>
      </c>
      <c r="P232" t="n">
        <v>0</v>
      </c>
      <c r="Q232" t="n">
        <v>0</v>
      </c>
      <c r="R232" s="2" t="inlineStr"/>
    </row>
    <row r="233" ht="15" customHeight="1">
      <c r="A233" t="inlineStr">
        <is>
          <t>A 18539-2019</t>
        </is>
      </c>
      <c r="B233" s="1" t="n">
        <v>43559</v>
      </c>
      <c r="C233" s="1" t="n">
        <v>45728</v>
      </c>
      <c r="D233" t="inlineStr">
        <is>
          <t>JÄMTLANDS LÄN</t>
        </is>
      </c>
      <c r="E233" t="inlineStr">
        <is>
          <t>HÄRJEDALEN</t>
        </is>
      </c>
      <c r="G233" t="n">
        <v>1.7</v>
      </c>
      <c r="H233" t="n">
        <v>0</v>
      </c>
      <c r="I233" t="n">
        <v>0</v>
      </c>
      <c r="J233" t="n">
        <v>0</v>
      </c>
      <c r="K233" t="n">
        <v>0</v>
      </c>
      <c r="L233" t="n">
        <v>0</v>
      </c>
      <c r="M233" t="n">
        <v>0</v>
      </c>
      <c r="N233" t="n">
        <v>0</v>
      </c>
      <c r="O233" t="n">
        <v>0</v>
      </c>
      <c r="P233" t="n">
        <v>0</v>
      </c>
      <c r="Q233" t="n">
        <v>0</v>
      </c>
      <c r="R233" s="2" t="inlineStr"/>
    </row>
    <row r="234" ht="15" customHeight="1">
      <c r="A234" t="inlineStr">
        <is>
          <t>A 18648-2019</t>
        </is>
      </c>
      <c r="B234" s="1" t="n">
        <v>43560</v>
      </c>
      <c r="C234" s="1" t="n">
        <v>45728</v>
      </c>
      <c r="D234" t="inlineStr">
        <is>
          <t>JÄMTLANDS LÄN</t>
        </is>
      </c>
      <c r="E234" t="inlineStr">
        <is>
          <t>HÄRJEDALEN</t>
        </is>
      </c>
      <c r="G234" t="n">
        <v>5.5</v>
      </c>
      <c r="H234" t="n">
        <v>0</v>
      </c>
      <c r="I234" t="n">
        <v>0</v>
      </c>
      <c r="J234" t="n">
        <v>0</v>
      </c>
      <c r="K234" t="n">
        <v>0</v>
      </c>
      <c r="L234" t="n">
        <v>0</v>
      </c>
      <c r="M234" t="n">
        <v>0</v>
      </c>
      <c r="N234" t="n">
        <v>0</v>
      </c>
      <c r="O234" t="n">
        <v>0</v>
      </c>
      <c r="P234" t="n">
        <v>0</v>
      </c>
      <c r="Q234" t="n">
        <v>0</v>
      </c>
      <c r="R234" s="2" t="inlineStr"/>
    </row>
    <row r="235" ht="15" customHeight="1">
      <c r="A235" t="inlineStr">
        <is>
          <t>A 19114-2019</t>
        </is>
      </c>
      <c r="B235" s="1" t="n">
        <v>43563</v>
      </c>
      <c r="C235" s="1" t="n">
        <v>45728</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20063-2019</t>
        </is>
      </c>
      <c r="B236" s="1" t="n">
        <v>43567</v>
      </c>
      <c r="C236" s="1" t="n">
        <v>45728</v>
      </c>
      <c r="D236" t="inlineStr">
        <is>
          <t>JÄMTLANDS LÄN</t>
        </is>
      </c>
      <c r="E236" t="inlineStr">
        <is>
          <t>HÄRJEDALEN</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19864-2019</t>
        </is>
      </c>
      <c r="B237" s="1" t="n">
        <v>43567</v>
      </c>
      <c r="C237" s="1" t="n">
        <v>45728</v>
      </c>
      <c r="D237" t="inlineStr">
        <is>
          <t>JÄMTLANDS LÄN</t>
        </is>
      </c>
      <c r="E237" t="inlineStr">
        <is>
          <t>HÄRJEDALEN</t>
        </is>
      </c>
      <c r="G237" t="n">
        <v>2.6</v>
      </c>
      <c r="H237" t="n">
        <v>0</v>
      </c>
      <c r="I237" t="n">
        <v>0</v>
      </c>
      <c r="J237" t="n">
        <v>0</v>
      </c>
      <c r="K237" t="n">
        <v>0</v>
      </c>
      <c r="L237" t="n">
        <v>0</v>
      </c>
      <c r="M237" t="n">
        <v>0</v>
      </c>
      <c r="N237" t="n">
        <v>0</v>
      </c>
      <c r="O237" t="n">
        <v>0</v>
      </c>
      <c r="P237" t="n">
        <v>0</v>
      </c>
      <c r="Q237" t="n">
        <v>0</v>
      </c>
      <c r="R237" s="2" t="inlineStr"/>
    </row>
    <row r="238" ht="15" customHeight="1">
      <c r="A238" t="inlineStr">
        <is>
          <t>A 20403-2019</t>
        </is>
      </c>
      <c r="B238" s="1" t="n">
        <v>43571</v>
      </c>
      <c r="C238" s="1" t="n">
        <v>45728</v>
      </c>
      <c r="D238" t="inlineStr">
        <is>
          <t>JÄMTLANDS LÄN</t>
        </is>
      </c>
      <c r="E238" t="inlineStr">
        <is>
          <t>HÄRJEDALEN</t>
        </is>
      </c>
      <c r="F238" t="inlineStr">
        <is>
          <t>Bergvik skog väst AB</t>
        </is>
      </c>
      <c r="G238" t="n">
        <v>7.8</v>
      </c>
      <c r="H238" t="n">
        <v>0</v>
      </c>
      <c r="I238" t="n">
        <v>0</v>
      </c>
      <c r="J238" t="n">
        <v>0</v>
      </c>
      <c r="K238" t="n">
        <v>0</v>
      </c>
      <c r="L238" t="n">
        <v>0</v>
      </c>
      <c r="M238" t="n">
        <v>0</v>
      </c>
      <c r="N238" t="n">
        <v>0</v>
      </c>
      <c r="O238" t="n">
        <v>0</v>
      </c>
      <c r="P238" t="n">
        <v>0</v>
      </c>
      <c r="Q238" t="n">
        <v>0</v>
      </c>
      <c r="R238" s="2" t="inlineStr"/>
    </row>
    <row r="239" ht="15" customHeight="1">
      <c r="A239" t="inlineStr">
        <is>
          <t>A 20373-2019</t>
        </is>
      </c>
      <c r="B239" s="1" t="n">
        <v>43571</v>
      </c>
      <c r="C239" s="1" t="n">
        <v>45728</v>
      </c>
      <c r="D239" t="inlineStr">
        <is>
          <t>JÄMTLANDS LÄN</t>
        </is>
      </c>
      <c r="E239" t="inlineStr">
        <is>
          <t>HÄRJEDALEN</t>
        </is>
      </c>
      <c r="G239" t="n">
        <v>0.8</v>
      </c>
      <c r="H239" t="n">
        <v>0</v>
      </c>
      <c r="I239" t="n">
        <v>0</v>
      </c>
      <c r="J239" t="n">
        <v>0</v>
      </c>
      <c r="K239" t="n">
        <v>0</v>
      </c>
      <c r="L239" t="n">
        <v>0</v>
      </c>
      <c r="M239" t="n">
        <v>0</v>
      </c>
      <c r="N239" t="n">
        <v>0</v>
      </c>
      <c r="O239" t="n">
        <v>0</v>
      </c>
      <c r="P239" t="n">
        <v>0</v>
      </c>
      <c r="Q239" t="n">
        <v>0</v>
      </c>
      <c r="R239" s="2" t="inlineStr"/>
    </row>
    <row r="240" ht="15" customHeight="1">
      <c r="A240" t="inlineStr">
        <is>
          <t>A 20851-2019</t>
        </is>
      </c>
      <c r="B240" s="1" t="n">
        <v>43577</v>
      </c>
      <c r="C240" s="1" t="n">
        <v>45728</v>
      </c>
      <c r="D240" t="inlineStr">
        <is>
          <t>JÄMTLANDS LÄN</t>
        </is>
      </c>
      <c r="E240" t="inlineStr">
        <is>
          <t>HÄRJEDALEN</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21040-2019</t>
        </is>
      </c>
      <c r="B241" s="1" t="n">
        <v>43578</v>
      </c>
      <c r="C241" s="1" t="n">
        <v>45728</v>
      </c>
      <c r="D241" t="inlineStr">
        <is>
          <t>JÄMTLANDS LÄN</t>
        </is>
      </c>
      <c r="E241" t="inlineStr">
        <is>
          <t>HÄRJEDALEN</t>
        </is>
      </c>
      <c r="G241" t="n">
        <v>0.8</v>
      </c>
      <c r="H241" t="n">
        <v>0</v>
      </c>
      <c r="I241" t="n">
        <v>0</v>
      </c>
      <c r="J241" t="n">
        <v>0</v>
      </c>
      <c r="K241" t="n">
        <v>0</v>
      </c>
      <c r="L241" t="n">
        <v>0</v>
      </c>
      <c r="M241" t="n">
        <v>0</v>
      </c>
      <c r="N241" t="n">
        <v>0</v>
      </c>
      <c r="O241" t="n">
        <v>0</v>
      </c>
      <c r="P241" t="n">
        <v>0</v>
      </c>
      <c r="Q241" t="n">
        <v>0</v>
      </c>
      <c r="R241" s="2" t="inlineStr"/>
    </row>
    <row r="242" ht="15" customHeight="1">
      <c r="A242" t="inlineStr">
        <is>
          <t>A 21189-2019</t>
        </is>
      </c>
      <c r="B242" s="1" t="n">
        <v>43579</v>
      </c>
      <c r="C242" s="1" t="n">
        <v>45728</v>
      </c>
      <c r="D242" t="inlineStr">
        <is>
          <t>JÄMTLANDS LÄN</t>
        </is>
      </c>
      <c r="E242" t="inlineStr">
        <is>
          <t>HÄRJEDALEN</t>
        </is>
      </c>
      <c r="G242" t="n">
        <v>2.3</v>
      </c>
      <c r="H242" t="n">
        <v>0</v>
      </c>
      <c r="I242" t="n">
        <v>0</v>
      </c>
      <c r="J242" t="n">
        <v>0</v>
      </c>
      <c r="K242" t="n">
        <v>0</v>
      </c>
      <c r="L242" t="n">
        <v>0</v>
      </c>
      <c r="M242" t="n">
        <v>0</v>
      </c>
      <c r="N242" t="n">
        <v>0</v>
      </c>
      <c r="O242" t="n">
        <v>0</v>
      </c>
      <c r="P242" t="n">
        <v>0</v>
      </c>
      <c r="Q242" t="n">
        <v>0</v>
      </c>
      <c r="R242" s="2" t="inlineStr"/>
    </row>
    <row r="243" ht="15" customHeight="1">
      <c r="A243" t="inlineStr">
        <is>
          <t>A 22622-2019</t>
        </is>
      </c>
      <c r="B243" s="1" t="n">
        <v>43588</v>
      </c>
      <c r="C243" s="1" t="n">
        <v>45728</v>
      </c>
      <c r="D243" t="inlineStr">
        <is>
          <t>JÄMTLANDS LÄN</t>
        </is>
      </c>
      <c r="E243" t="inlineStr">
        <is>
          <t>HÄRJEDALEN</t>
        </is>
      </c>
      <c r="G243" t="n">
        <v>1.5</v>
      </c>
      <c r="H243" t="n">
        <v>0</v>
      </c>
      <c r="I243" t="n">
        <v>0</v>
      </c>
      <c r="J243" t="n">
        <v>0</v>
      </c>
      <c r="K243" t="n">
        <v>0</v>
      </c>
      <c r="L243" t="n">
        <v>0</v>
      </c>
      <c r="M243" t="n">
        <v>0</v>
      </c>
      <c r="N243" t="n">
        <v>0</v>
      </c>
      <c r="O243" t="n">
        <v>0</v>
      </c>
      <c r="P243" t="n">
        <v>0</v>
      </c>
      <c r="Q243" t="n">
        <v>0</v>
      </c>
      <c r="R243" s="2" t="inlineStr"/>
    </row>
    <row r="244" ht="15" customHeight="1">
      <c r="A244" t="inlineStr">
        <is>
          <t>A 24030-2019</t>
        </is>
      </c>
      <c r="B244" s="1" t="n">
        <v>43598</v>
      </c>
      <c r="C244" s="1" t="n">
        <v>45728</v>
      </c>
      <c r="D244" t="inlineStr">
        <is>
          <t>JÄMTLANDS LÄN</t>
        </is>
      </c>
      <c r="E244" t="inlineStr">
        <is>
          <t>HÄRJEDALEN</t>
        </is>
      </c>
      <c r="F244" t="inlineStr">
        <is>
          <t>Sveaskog</t>
        </is>
      </c>
      <c r="G244" t="n">
        <v>39.9</v>
      </c>
      <c r="H244" t="n">
        <v>0</v>
      </c>
      <c r="I244" t="n">
        <v>0</v>
      </c>
      <c r="J244" t="n">
        <v>0</v>
      </c>
      <c r="K244" t="n">
        <v>0</v>
      </c>
      <c r="L244" t="n">
        <v>0</v>
      </c>
      <c r="M244" t="n">
        <v>0</v>
      </c>
      <c r="N244" t="n">
        <v>0</v>
      </c>
      <c r="O244" t="n">
        <v>0</v>
      </c>
      <c r="P244" t="n">
        <v>0</v>
      </c>
      <c r="Q244" t="n">
        <v>0</v>
      </c>
      <c r="R244" s="2" t="inlineStr"/>
    </row>
    <row r="245" ht="15" customHeight="1">
      <c r="A245" t="inlineStr">
        <is>
          <t>A 24760-2019</t>
        </is>
      </c>
      <c r="B245" s="1" t="n">
        <v>43601</v>
      </c>
      <c r="C245" s="1" t="n">
        <v>45728</v>
      </c>
      <c r="D245" t="inlineStr">
        <is>
          <t>JÄMTLANDS LÄN</t>
        </is>
      </c>
      <c r="E245" t="inlineStr">
        <is>
          <t>HÄRJEDALEN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25309-2019</t>
        </is>
      </c>
      <c r="B246" s="1" t="n">
        <v>43605</v>
      </c>
      <c r="C246" s="1" t="n">
        <v>45728</v>
      </c>
      <c r="D246" t="inlineStr">
        <is>
          <t>JÄMTLANDS LÄN</t>
        </is>
      </c>
      <c r="E246" t="inlineStr">
        <is>
          <t>HÄRJEDALEN</t>
        </is>
      </c>
      <c r="G246" t="n">
        <v>0.1</v>
      </c>
      <c r="H246" t="n">
        <v>0</v>
      </c>
      <c r="I246" t="n">
        <v>0</v>
      </c>
      <c r="J246" t="n">
        <v>0</v>
      </c>
      <c r="K246" t="n">
        <v>0</v>
      </c>
      <c r="L246" t="n">
        <v>0</v>
      </c>
      <c r="M246" t="n">
        <v>0</v>
      </c>
      <c r="N246" t="n">
        <v>0</v>
      </c>
      <c r="O246" t="n">
        <v>0</v>
      </c>
      <c r="P246" t="n">
        <v>0</v>
      </c>
      <c r="Q246" t="n">
        <v>0</v>
      </c>
      <c r="R246" s="2" t="inlineStr"/>
    </row>
    <row r="247" ht="15" customHeight="1">
      <c r="A247" t="inlineStr">
        <is>
          <t>A 25470-2019</t>
        </is>
      </c>
      <c r="B247" s="1" t="n">
        <v>43606</v>
      </c>
      <c r="C247" s="1" t="n">
        <v>45728</v>
      </c>
      <c r="D247" t="inlineStr">
        <is>
          <t>JÄMTLANDS LÄN</t>
        </is>
      </c>
      <c r="E247" t="inlineStr">
        <is>
          <t>HÄRJEDALEN</t>
        </is>
      </c>
      <c r="G247" t="n">
        <v>36.8</v>
      </c>
      <c r="H247" t="n">
        <v>0</v>
      </c>
      <c r="I247" t="n">
        <v>0</v>
      </c>
      <c r="J247" t="n">
        <v>0</v>
      </c>
      <c r="K247" t="n">
        <v>0</v>
      </c>
      <c r="L247" t="n">
        <v>0</v>
      </c>
      <c r="M247" t="n">
        <v>0</v>
      </c>
      <c r="N247" t="n">
        <v>0</v>
      </c>
      <c r="O247" t="n">
        <v>0</v>
      </c>
      <c r="P247" t="n">
        <v>0</v>
      </c>
      <c r="Q247" t="n">
        <v>0</v>
      </c>
      <c r="R247" s="2" t="inlineStr"/>
    </row>
    <row r="248" ht="15" customHeight="1">
      <c r="A248" t="inlineStr">
        <is>
          <t>A 26166-2019</t>
        </is>
      </c>
      <c r="B248" s="1" t="n">
        <v>43609</v>
      </c>
      <c r="C248" s="1" t="n">
        <v>45728</v>
      </c>
      <c r="D248" t="inlineStr">
        <is>
          <t>JÄMTLANDS LÄN</t>
        </is>
      </c>
      <c r="E248" t="inlineStr">
        <is>
          <t>HÄRJEDALEN</t>
        </is>
      </c>
      <c r="G248" t="n">
        <v>85.2</v>
      </c>
      <c r="H248" t="n">
        <v>0</v>
      </c>
      <c r="I248" t="n">
        <v>0</v>
      </c>
      <c r="J248" t="n">
        <v>0</v>
      </c>
      <c r="K248" t="n">
        <v>0</v>
      </c>
      <c r="L248" t="n">
        <v>0</v>
      </c>
      <c r="M248" t="n">
        <v>0</v>
      </c>
      <c r="N248" t="n">
        <v>0</v>
      </c>
      <c r="O248" t="n">
        <v>0</v>
      </c>
      <c r="P248" t="n">
        <v>0</v>
      </c>
      <c r="Q248" t="n">
        <v>0</v>
      </c>
      <c r="R248" s="2" t="inlineStr"/>
    </row>
    <row r="249" ht="15" customHeight="1">
      <c r="A249" t="inlineStr">
        <is>
          <t>A 26310-2019</t>
        </is>
      </c>
      <c r="B249" s="1" t="n">
        <v>43612</v>
      </c>
      <c r="C249" s="1" t="n">
        <v>45728</v>
      </c>
      <c r="D249" t="inlineStr">
        <is>
          <t>JÄMTLANDS LÄN</t>
        </is>
      </c>
      <c r="E249" t="inlineStr">
        <is>
          <t>HÄRJEDALEN</t>
        </is>
      </c>
      <c r="F249" t="inlineStr">
        <is>
          <t>Holmen skog AB</t>
        </is>
      </c>
      <c r="G249" t="n">
        <v>15</v>
      </c>
      <c r="H249" t="n">
        <v>0</v>
      </c>
      <c r="I249" t="n">
        <v>0</v>
      </c>
      <c r="J249" t="n">
        <v>0</v>
      </c>
      <c r="K249" t="n">
        <v>0</v>
      </c>
      <c r="L249" t="n">
        <v>0</v>
      </c>
      <c r="M249" t="n">
        <v>0</v>
      </c>
      <c r="N249" t="n">
        <v>0</v>
      </c>
      <c r="O249" t="n">
        <v>0</v>
      </c>
      <c r="P249" t="n">
        <v>0</v>
      </c>
      <c r="Q249" t="n">
        <v>0</v>
      </c>
      <c r="R249" s="2" t="inlineStr"/>
    </row>
    <row r="250" ht="15" customHeight="1">
      <c r="A250" t="inlineStr">
        <is>
          <t>A 26423-2019</t>
        </is>
      </c>
      <c r="B250" s="1" t="n">
        <v>43612</v>
      </c>
      <c r="C250" s="1" t="n">
        <v>45728</v>
      </c>
      <c r="D250" t="inlineStr">
        <is>
          <t>JÄMTLANDS LÄN</t>
        </is>
      </c>
      <c r="E250" t="inlineStr">
        <is>
          <t>HÄRJEDALEN</t>
        </is>
      </c>
      <c r="G250" t="n">
        <v>2.3</v>
      </c>
      <c r="H250" t="n">
        <v>0</v>
      </c>
      <c r="I250" t="n">
        <v>0</v>
      </c>
      <c r="J250" t="n">
        <v>0</v>
      </c>
      <c r="K250" t="n">
        <v>0</v>
      </c>
      <c r="L250" t="n">
        <v>0</v>
      </c>
      <c r="M250" t="n">
        <v>0</v>
      </c>
      <c r="N250" t="n">
        <v>0</v>
      </c>
      <c r="O250" t="n">
        <v>0</v>
      </c>
      <c r="P250" t="n">
        <v>0</v>
      </c>
      <c r="Q250" t="n">
        <v>0</v>
      </c>
      <c r="R250" s="2" t="inlineStr"/>
    </row>
    <row r="251" ht="15" customHeight="1">
      <c r="A251" t="inlineStr">
        <is>
          <t>A 27683-2019</t>
        </is>
      </c>
      <c r="B251" s="1" t="n">
        <v>43619</v>
      </c>
      <c r="C251" s="1" t="n">
        <v>45728</v>
      </c>
      <c r="D251" t="inlineStr">
        <is>
          <t>JÄMTLANDS LÄN</t>
        </is>
      </c>
      <c r="E251" t="inlineStr">
        <is>
          <t>HÄRJEDALEN</t>
        </is>
      </c>
      <c r="G251" t="n">
        <v>5.4</v>
      </c>
      <c r="H251" t="n">
        <v>0</v>
      </c>
      <c r="I251" t="n">
        <v>0</v>
      </c>
      <c r="J251" t="n">
        <v>0</v>
      </c>
      <c r="K251" t="n">
        <v>0</v>
      </c>
      <c r="L251" t="n">
        <v>0</v>
      </c>
      <c r="M251" t="n">
        <v>0</v>
      </c>
      <c r="N251" t="n">
        <v>0</v>
      </c>
      <c r="O251" t="n">
        <v>0</v>
      </c>
      <c r="P251" t="n">
        <v>0</v>
      </c>
      <c r="Q251" t="n">
        <v>0</v>
      </c>
      <c r="R251" s="2" t="inlineStr"/>
    </row>
    <row r="252" ht="15" customHeight="1">
      <c r="A252" t="inlineStr">
        <is>
          <t>A 27903-2019</t>
        </is>
      </c>
      <c r="B252" s="1" t="n">
        <v>43620</v>
      </c>
      <c r="C252" s="1" t="n">
        <v>45728</v>
      </c>
      <c r="D252" t="inlineStr">
        <is>
          <t>JÄMTLANDS LÄN</t>
        </is>
      </c>
      <c r="E252" t="inlineStr">
        <is>
          <t>HÄRJEDALEN</t>
        </is>
      </c>
      <c r="G252" t="n">
        <v>22</v>
      </c>
      <c r="H252" t="n">
        <v>0</v>
      </c>
      <c r="I252" t="n">
        <v>0</v>
      </c>
      <c r="J252" t="n">
        <v>0</v>
      </c>
      <c r="K252" t="n">
        <v>0</v>
      </c>
      <c r="L252" t="n">
        <v>0</v>
      </c>
      <c r="M252" t="n">
        <v>0</v>
      </c>
      <c r="N252" t="n">
        <v>0</v>
      </c>
      <c r="O252" t="n">
        <v>0</v>
      </c>
      <c r="P252" t="n">
        <v>0</v>
      </c>
      <c r="Q252" t="n">
        <v>0</v>
      </c>
      <c r="R252" s="2" t="inlineStr"/>
    </row>
    <row r="253" ht="15" customHeight="1">
      <c r="A253" t="inlineStr">
        <is>
          <t>A 28312-2019</t>
        </is>
      </c>
      <c r="B253" s="1" t="n">
        <v>43623</v>
      </c>
      <c r="C253" s="1" t="n">
        <v>45728</v>
      </c>
      <c r="D253" t="inlineStr">
        <is>
          <t>JÄMTLANDS LÄN</t>
        </is>
      </c>
      <c r="E253" t="inlineStr">
        <is>
          <t>HÄRJEDALEN</t>
        </is>
      </c>
      <c r="G253" t="n">
        <v>6.5</v>
      </c>
      <c r="H253" t="n">
        <v>0</v>
      </c>
      <c r="I253" t="n">
        <v>0</v>
      </c>
      <c r="J253" t="n">
        <v>0</v>
      </c>
      <c r="K253" t="n">
        <v>0</v>
      </c>
      <c r="L253" t="n">
        <v>0</v>
      </c>
      <c r="M253" t="n">
        <v>0</v>
      </c>
      <c r="N253" t="n">
        <v>0</v>
      </c>
      <c r="O253" t="n">
        <v>0</v>
      </c>
      <c r="P253" t="n">
        <v>0</v>
      </c>
      <c r="Q253" t="n">
        <v>0</v>
      </c>
      <c r="R253" s="2" t="inlineStr"/>
    </row>
    <row r="254" ht="15" customHeight="1">
      <c r="A254" t="inlineStr">
        <is>
          <t>A 28326-2019</t>
        </is>
      </c>
      <c r="B254" s="1" t="n">
        <v>43623</v>
      </c>
      <c r="C254" s="1" t="n">
        <v>45728</v>
      </c>
      <c r="D254" t="inlineStr">
        <is>
          <t>JÄMTLANDS LÄN</t>
        </is>
      </c>
      <c r="E254" t="inlineStr">
        <is>
          <t>HÄRJEDALEN</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28513-2019</t>
        </is>
      </c>
      <c r="B255" s="1" t="n">
        <v>43626</v>
      </c>
      <c r="C255" s="1" t="n">
        <v>45728</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29263-2019</t>
        </is>
      </c>
      <c r="B256" s="1" t="n">
        <v>43629</v>
      </c>
      <c r="C256" s="1" t="n">
        <v>45728</v>
      </c>
      <c r="D256" t="inlineStr">
        <is>
          <t>JÄMTLANDS LÄN</t>
        </is>
      </c>
      <c r="E256" t="inlineStr">
        <is>
          <t>HÄRJEDALEN</t>
        </is>
      </c>
      <c r="F256" t="inlineStr">
        <is>
          <t>Holmen skog AB</t>
        </is>
      </c>
      <c r="G256" t="n">
        <v>0.7</v>
      </c>
      <c r="H256" t="n">
        <v>0</v>
      </c>
      <c r="I256" t="n">
        <v>0</v>
      </c>
      <c r="J256" t="n">
        <v>0</v>
      </c>
      <c r="K256" t="n">
        <v>0</v>
      </c>
      <c r="L256" t="n">
        <v>0</v>
      </c>
      <c r="M256" t="n">
        <v>0</v>
      </c>
      <c r="N256" t="n">
        <v>0</v>
      </c>
      <c r="O256" t="n">
        <v>0</v>
      </c>
      <c r="P256" t="n">
        <v>0</v>
      </c>
      <c r="Q256" t="n">
        <v>0</v>
      </c>
      <c r="R256" s="2" t="inlineStr"/>
    </row>
    <row r="257" ht="15" customHeight="1">
      <c r="A257" t="inlineStr">
        <is>
          <t>A 29822-2019</t>
        </is>
      </c>
      <c r="B257" s="1" t="n">
        <v>43633</v>
      </c>
      <c r="C257" s="1" t="n">
        <v>45728</v>
      </c>
      <c r="D257" t="inlineStr">
        <is>
          <t>JÄMTLANDS LÄN</t>
        </is>
      </c>
      <c r="E257" t="inlineStr">
        <is>
          <t>HÄRJEDALEN</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34618-2019</t>
        </is>
      </c>
      <c r="B258" s="1" t="n">
        <v>43647</v>
      </c>
      <c r="C258" s="1" t="n">
        <v>45728</v>
      </c>
      <c r="D258" t="inlineStr">
        <is>
          <t>JÄMTLANDS LÄN</t>
        </is>
      </c>
      <c r="E258" t="inlineStr">
        <is>
          <t>HÄRJEDALEN</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32878-2019</t>
        </is>
      </c>
      <c r="B259" s="1" t="n">
        <v>43648</v>
      </c>
      <c r="C259" s="1" t="n">
        <v>45728</v>
      </c>
      <c r="D259" t="inlineStr">
        <is>
          <t>JÄMTLANDS LÄN</t>
        </is>
      </c>
      <c r="E259" t="inlineStr">
        <is>
          <t>HÄRJEDALEN</t>
        </is>
      </c>
      <c r="F259" t="inlineStr">
        <is>
          <t>Övriga Aktiebolag</t>
        </is>
      </c>
      <c r="G259" t="n">
        <v>91.8</v>
      </c>
      <c r="H259" t="n">
        <v>0</v>
      </c>
      <c r="I259" t="n">
        <v>0</v>
      </c>
      <c r="J259" t="n">
        <v>0</v>
      </c>
      <c r="K259" t="n">
        <v>0</v>
      </c>
      <c r="L259" t="n">
        <v>0</v>
      </c>
      <c r="M259" t="n">
        <v>0</v>
      </c>
      <c r="N259" t="n">
        <v>0</v>
      </c>
      <c r="O259" t="n">
        <v>0</v>
      </c>
      <c r="P259" t="n">
        <v>0</v>
      </c>
      <c r="Q259" t="n">
        <v>0</v>
      </c>
      <c r="R259" s="2" t="inlineStr"/>
    </row>
    <row r="260" ht="15" customHeight="1">
      <c r="A260" t="inlineStr">
        <is>
          <t>A 33496-2019</t>
        </is>
      </c>
      <c r="B260" s="1" t="n">
        <v>43651</v>
      </c>
      <c r="C260" s="1" t="n">
        <v>45728</v>
      </c>
      <c r="D260" t="inlineStr">
        <is>
          <t>JÄMTLANDS LÄN</t>
        </is>
      </c>
      <c r="E260" t="inlineStr">
        <is>
          <t>HÄRJEDALEN</t>
        </is>
      </c>
      <c r="G260" t="n">
        <v>3.6</v>
      </c>
      <c r="H260" t="n">
        <v>0</v>
      </c>
      <c r="I260" t="n">
        <v>0</v>
      </c>
      <c r="J260" t="n">
        <v>0</v>
      </c>
      <c r="K260" t="n">
        <v>0</v>
      </c>
      <c r="L260" t="n">
        <v>0</v>
      </c>
      <c r="M260" t="n">
        <v>0</v>
      </c>
      <c r="N260" t="n">
        <v>0</v>
      </c>
      <c r="O260" t="n">
        <v>0</v>
      </c>
      <c r="P260" t="n">
        <v>0</v>
      </c>
      <c r="Q260" t="n">
        <v>0</v>
      </c>
      <c r="R260" s="2" t="inlineStr"/>
    </row>
    <row r="261" ht="15" customHeight="1">
      <c r="A261" t="inlineStr">
        <is>
          <t>A 33497-2019</t>
        </is>
      </c>
      <c r="B261" s="1" t="n">
        <v>43651</v>
      </c>
      <c r="C261" s="1" t="n">
        <v>45728</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34688-2019</t>
        </is>
      </c>
      <c r="B262" s="1" t="n">
        <v>43657</v>
      </c>
      <c r="C262" s="1" t="n">
        <v>45728</v>
      </c>
      <c r="D262" t="inlineStr">
        <is>
          <t>JÄMTLANDS LÄN</t>
        </is>
      </c>
      <c r="E262" t="inlineStr">
        <is>
          <t>HÄRJEDALEN</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34805-2019</t>
        </is>
      </c>
      <c r="B263" s="1" t="n">
        <v>43658</v>
      </c>
      <c r="C263" s="1" t="n">
        <v>45728</v>
      </c>
      <c r="D263" t="inlineStr">
        <is>
          <t>JÄMTLANDS LÄN</t>
        </is>
      </c>
      <c r="E263" t="inlineStr">
        <is>
          <t>HÄRJEDALEN</t>
        </is>
      </c>
      <c r="F263" t="inlineStr">
        <is>
          <t>Sveaskog</t>
        </is>
      </c>
      <c r="G263" t="n">
        <v>0.2</v>
      </c>
      <c r="H263" t="n">
        <v>0</v>
      </c>
      <c r="I263" t="n">
        <v>0</v>
      </c>
      <c r="J263" t="n">
        <v>0</v>
      </c>
      <c r="K263" t="n">
        <v>0</v>
      </c>
      <c r="L263" t="n">
        <v>0</v>
      </c>
      <c r="M263" t="n">
        <v>0</v>
      </c>
      <c r="N263" t="n">
        <v>0</v>
      </c>
      <c r="O263" t="n">
        <v>0</v>
      </c>
      <c r="P263" t="n">
        <v>0</v>
      </c>
      <c r="Q263" t="n">
        <v>0</v>
      </c>
      <c r="R263" s="2" t="inlineStr"/>
    </row>
    <row r="264" ht="15" customHeight="1">
      <c r="A264" t="inlineStr">
        <is>
          <t>A 35160-2019</t>
        </is>
      </c>
      <c r="B264" s="1" t="n">
        <v>43661</v>
      </c>
      <c r="C264" s="1" t="n">
        <v>45728</v>
      </c>
      <c r="D264" t="inlineStr">
        <is>
          <t>JÄMTLANDS LÄN</t>
        </is>
      </c>
      <c r="E264" t="inlineStr">
        <is>
          <t>HÄRJEDALEN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36343-2019</t>
        </is>
      </c>
      <c r="B265" s="1" t="n">
        <v>43662</v>
      </c>
      <c r="C265" s="1" t="n">
        <v>45728</v>
      </c>
      <c r="D265" t="inlineStr">
        <is>
          <t>JÄMTLANDS LÄN</t>
        </is>
      </c>
      <c r="E265" t="inlineStr">
        <is>
          <t>HÄRJEDALEN</t>
        </is>
      </c>
      <c r="G265" t="n">
        <v>8</v>
      </c>
      <c r="H265" t="n">
        <v>0</v>
      </c>
      <c r="I265" t="n">
        <v>0</v>
      </c>
      <c r="J265" t="n">
        <v>0</v>
      </c>
      <c r="K265" t="n">
        <v>0</v>
      </c>
      <c r="L265" t="n">
        <v>0</v>
      </c>
      <c r="M265" t="n">
        <v>0</v>
      </c>
      <c r="N265" t="n">
        <v>0</v>
      </c>
      <c r="O265" t="n">
        <v>0</v>
      </c>
      <c r="P265" t="n">
        <v>0</v>
      </c>
      <c r="Q265" t="n">
        <v>0</v>
      </c>
      <c r="R265" s="2" t="inlineStr"/>
    </row>
    <row r="266" ht="15" customHeight="1">
      <c r="A266" t="inlineStr">
        <is>
          <t>A 38283-2019</t>
        </is>
      </c>
      <c r="B266" s="1" t="n">
        <v>43684</v>
      </c>
      <c r="C266" s="1" t="n">
        <v>45728</v>
      </c>
      <c r="D266" t="inlineStr">
        <is>
          <t>JÄMTLANDS LÄN</t>
        </is>
      </c>
      <c r="E266" t="inlineStr">
        <is>
          <t>HÄRJEDALEN</t>
        </is>
      </c>
      <c r="F266" t="inlineStr">
        <is>
          <t>Bergvik skog väst AB</t>
        </is>
      </c>
      <c r="G266" t="n">
        <v>29.5</v>
      </c>
      <c r="H266" t="n">
        <v>0</v>
      </c>
      <c r="I266" t="n">
        <v>0</v>
      </c>
      <c r="J266" t="n">
        <v>0</v>
      </c>
      <c r="K266" t="n">
        <v>0</v>
      </c>
      <c r="L266" t="n">
        <v>0</v>
      </c>
      <c r="M266" t="n">
        <v>0</v>
      </c>
      <c r="N266" t="n">
        <v>0</v>
      </c>
      <c r="O266" t="n">
        <v>0</v>
      </c>
      <c r="P266" t="n">
        <v>0</v>
      </c>
      <c r="Q266" t="n">
        <v>0</v>
      </c>
      <c r="R266" s="2" t="inlineStr"/>
    </row>
    <row r="267" ht="15" customHeight="1">
      <c r="A267" t="inlineStr">
        <is>
          <t>A 38859-2019</t>
        </is>
      </c>
      <c r="B267" s="1" t="n">
        <v>43689</v>
      </c>
      <c r="C267" s="1" t="n">
        <v>45728</v>
      </c>
      <c r="D267" t="inlineStr">
        <is>
          <t>JÄMTLANDS LÄN</t>
        </is>
      </c>
      <c r="E267" t="inlineStr">
        <is>
          <t>HÄRJEDALEN</t>
        </is>
      </c>
      <c r="G267" t="n">
        <v>0.9</v>
      </c>
      <c r="H267" t="n">
        <v>0</v>
      </c>
      <c r="I267" t="n">
        <v>0</v>
      </c>
      <c r="J267" t="n">
        <v>0</v>
      </c>
      <c r="K267" t="n">
        <v>0</v>
      </c>
      <c r="L267" t="n">
        <v>0</v>
      </c>
      <c r="M267" t="n">
        <v>0</v>
      </c>
      <c r="N267" t="n">
        <v>0</v>
      </c>
      <c r="O267" t="n">
        <v>0</v>
      </c>
      <c r="P267" t="n">
        <v>0</v>
      </c>
      <c r="Q267" t="n">
        <v>0</v>
      </c>
      <c r="R267" s="2" t="inlineStr"/>
    </row>
    <row r="268" ht="15" customHeight="1">
      <c r="A268" t="inlineStr">
        <is>
          <t>A 38884-2019</t>
        </is>
      </c>
      <c r="B268" s="1" t="n">
        <v>43689</v>
      </c>
      <c r="C268" s="1" t="n">
        <v>45728</v>
      </c>
      <c r="D268" t="inlineStr">
        <is>
          <t>JÄMTLANDS LÄN</t>
        </is>
      </c>
      <c r="E268" t="inlineStr">
        <is>
          <t>HÄRJEDALEN</t>
        </is>
      </c>
      <c r="G268" t="n">
        <v>2.5</v>
      </c>
      <c r="H268" t="n">
        <v>0</v>
      </c>
      <c r="I268" t="n">
        <v>0</v>
      </c>
      <c r="J268" t="n">
        <v>0</v>
      </c>
      <c r="K268" t="n">
        <v>0</v>
      </c>
      <c r="L268" t="n">
        <v>0</v>
      </c>
      <c r="M268" t="n">
        <v>0</v>
      </c>
      <c r="N268" t="n">
        <v>0</v>
      </c>
      <c r="O268" t="n">
        <v>0</v>
      </c>
      <c r="P268" t="n">
        <v>0</v>
      </c>
      <c r="Q268" t="n">
        <v>0</v>
      </c>
      <c r="R268" s="2" t="inlineStr"/>
    </row>
    <row r="269" ht="15" customHeight="1">
      <c r="A269" t="inlineStr">
        <is>
          <t>A 40244-2019</t>
        </is>
      </c>
      <c r="B269" s="1" t="n">
        <v>43694</v>
      </c>
      <c r="C269" s="1" t="n">
        <v>45728</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42123-2019</t>
        </is>
      </c>
      <c r="B270" s="1" t="n">
        <v>43703</v>
      </c>
      <c r="C270" s="1" t="n">
        <v>45728</v>
      </c>
      <c r="D270" t="inlineStr">
        <is>
          <t>JÄMTLANDS LÄN</t>
        </is>
      </c>
      <c r="E270" t="inlineStr">
        <is>
          <t>HÄRJEDALEN</t>
        </is>
      </c>
      <c r="G270" t="n">
        <v>1.8</v>
      </c>
      <c r="H270" t="n">
        <v>0</v>
      </c>
      <c r="I270" t="n">
        <v>0</v>
      </c>
      <c r="J270" t="n">
        <v>0</v>
      </c>
      <c r="K270" t="n">
        <v>0</v>
      </c>
      <c r="L270" t="n">
        <v>0</v>
      </c>
      <c r="M270" t="n">
        <v>0</v>
      </c>
      <c r="N270" t="n">
        <v>0</v>
      </c>
      <c r="O270" t="n">
        <v>0</v>
      </c>
      <c r="P270" t="n">
        <v>0</v>
      </c>
      <c r="Q270" t="n">
        <v>0</v>
      </c>
      <c r="R270" s="2" t="inlineStr"/>
    </row>
    <row r="271" ht="15" customHeight="1">
      <c r="A271" t="inlineStr">
        <is>
          <t>A 43103-2019</t>
        </is>
      </c>
      <c r="B271" s="1" t="n">
        <v>43705</v>
      </c>
      <c r="C271" s="1" t="n">
        <v>45728</v>
      </c>
      <c r="D271" t="inlineStr">
        <is>
          <t>JÄMTLANDS LÄN</t>
        </is>
      </c>
      <c r="E271" t="inlineStr">
        <is>
          <t>HÄRJEDALEN</t>
        </is>
      </c>
      <c r="G271" t="n">
        <v>38.6</v>
      </c>
      <c r="H271" t="n">
        <v>0</v>
      </c>
      <c r="I271" t="n">
        <v>0</v>
      </c>
      <c r="J271" t="n">
        <v>0</v>
      </c>
      <c r="K271" t="n">
        <v>0</v>
      </c>
      <c r="L271" t="n">
        <v>0</v>
      </c>
      <c r="M271" t="n">
        <v>0</v>
      </c>
      <c r="N271" t="n">
        <v>0</v>
      </c>
      <c r="O271" t="n">
        <v>0</v>
      </c>
      <c r="P271" t="n">
        <v>0</v>
      </c>
      <c r="Q271" t="n">
        <v>0</v>
      </c>
      <c r="R271" s="2" t="inlineStr"/>
    </row>
    <row r="272" ht="15" customHeight="1">
      <c r="A272" t="inlineStr">
        <is>
          <t>A 43142-2019</t>
        </is>
      </c>
      <c r="B272" s="1" t="n">
        <v>43705</v>
      </c>
      <c r="C272" s="1" t="n">
        <v>45728</v>
      </c>
      <c r="D272" t="inlineStr">
        <is>
          <t>JÄMTLANDS LÄN</t>
        </is>
      </c>
      <c r="E272" t="inlineStr">
        <is>
          <t>HÄRJEDALEN</t>
        </is>
      </c>
      <c r="G272" t="n">
        <v>3.2</v>
      </c>
      <c r="H272" t="n">
        <v>0</v>
      </c>
      <c r="I272" t="n">
        <v>0</v>
      </c>
      <c r="J272" t="n">
        <v>0</v>
      </c>
      <c r="K272" t="n">
        <v>0</v>
      </c>
      <c r="L272" t="n">
        <v>0</v>
      </c>
      <c r="M272" t="n">
        <v>0</v>
      </c>
      <c r="N272" t="n">
        <v>0</v>
      </c>
      <c r="O272" t="n">
        <v>0</v>
      </c>
      <c r="P272" t="n">
        <v>0</v>
      </c>
      <c r="Q272" t="n">
        <v>0</v>
      </c>
      <c r="R272" s="2" t="inlineStr"/>
    </row>
    <row r="273" ht="15" customHeight="1">
      <c r="A273" t="inlineStr">
        <is>
          <t>A 43649-2019</t>
        </is>
      </c>
      <c r="B273" s="1" t="n">
        <v>43707</v>
      </c>
      <c r="C273" s="1" t="n">
        <v>45728</v>
      </c>
      <c r="D273" t="inlineStr">
        <is>
          <t>JÄMTLANDS LÄN</t>
        </is>
      </c>
      <c r="E273" t="inlineStr">
        <is>
          <t>HÄRJEDALEN</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43896-2019</t>
        </is>
      </c>
      <c r="B274" s="1" t="n">
        <v>43707</v>
      </c>
      <c r="C274" s="1" t="n">
        <v>45728</v>
      </c>
      <c r="D274" t="inlineStr">
        <is>
          <t>JÄMTLANDS LÄN</t>
        </is>
      </c>
      <c r="E274" t="inlineStr">
        <is>
          <t>HÄRJEDALEN</t>
        </is>
      </c>
      <c r="F274" t="inlineStr">
        <is>
          <t>Sveaskog</t>
        </is>
      </c>
      <c r="G274" t="n">
        <v>4.2</v>
      </c>
      <c r="H274" t="n">
        <v>0</v>
      </c>
      <c r="I274" t="n">
        <v>0</v>
      </c>
      <c r="J274" t="n">
        <v>0</v>
      </c>
      <c r="K274" t="n">
        <v>0</v>
      </c>
      <c r="L274" t="n">
        <v>0</v>
      </c>
      <c r="M274" t="n">
        <v>0</v>
      </c>
      <c r="N274" t="n">
        <v>0</v>
      </c>
      <c r="O274" t="n">
        <v>0</v>
      </c>
      <c r="P274" t="n">
        <v>0</v>
      </c>
      <c r="Q274" t="n">
        <v>0</v>
      </c>
      <c r="R274" s="2" t="inlineStr"/>
    </row>
    <row r="275" ht="15" customHeight="1">
      <c r="A275" t="inlineStr">
        <is>
          <t>A 45167-2019</t>
        </is>
      </c>
      <c r="B275" s="1" t="n">
        <v>43713</v>
      </c>
      <c r="C275" s="1" t="n">
        <v>45728</v>
      </c>
      <c r="D275" t="inlineStr">
        <is>
          <t>JÄMTLANDS LÄN</t>
        </is>
      </c>
      <c r="E275" t="inlineStr">
        <is>
          <t>HÄRJEDALEN</t>
        </is>
      </c>
      <c r="F275" t="inlineStr">
        <is>
          <t>Holmen skog AB</t>
        </is>
      </c>
      <c r="G275" t="n">
        <v>15.9</v>
      </c>
      <c r="H275" t="n">
        <v>0</v>
      </c>
      <c r="I275" t="n">
        <v>0</v>
      </c>
      <c r="J275" t="n">
        <v>0</v>
      </c>
      <c r="K275" t="n">
        <v>0</v>
      </c>
      <c r="L275" t="n">
        <v>0</v>
      </c>
      <c r="M275" t="n">
        <v>0</v>
      </c>
      <c r="N275" t="n">
        <v>0</v>
      </c>
      <c r="O275" t="n">
        <v>0</v>
      </c>
      <c r="P275" t="n">
        <v>0</v>
      </c>
      <c r="Q275" t="n">
        <v>0</v>
      </c>
      <c r="R275" s="2" t="inlineStr"/>
    </row>
    <row r="276" ht="15" customHeight="1">
      <c r="A276" t="inlineStr">
        <is>
          <t>A 44939-2019</t>
        </is>
      </c>
      <c r="B276" s="1" t="n">
        <v>43713</v>
      </c>
      <c r="C276" s="1" t="n">
        <v>45728</v>
      </c>
      <c r="D276" t="inlineStr">
        <is>
          <t>JÄMTLANDS LÄN</t>
        </is>
      </c>
      <c r="E276" t="inlineStr">
        <is>
          <t>HÄRJEDALEN</t>
        </is>
      </c>
      <c r="G276" t="n">
        <v>1.2</v>
      </c>
      <c r="H276" t="n">
        <v>0</v>
      </c>
      <c r="I276" t="n">
        <v>0</v>
      </c>
      <c r="J276" t="n">
        <v>0</v>
      </c>
      <c r="K276" t="n">
        <v>0</v>
      </c>
      <c r="L276" t="n">
        <v>0</v>
      </c>
      <c r="M276" t="n">
        <v>0</v>
      </c>
      <c r="N276" t="n">
        <v>0</v>
      </c>
      <c r="O276" t="n">
        <v>0</v>
      </c>
      <c r="P276" t="n">
        <v>0</v>
      </c>
      <c r="Q276" t="n">
        <v>0</v>
      </c>
      <c r="R276" s="2" t="inlineStr"/>
    </row>
    <row r="277" ht="15" customHeight="1">
      <c r="A277" t="inlineStr">
        <is>
          <t>A 45858-2019</t>
        </is>
      </c>
      <c r="B277" s="1" t="n">
        <v>43717</v>
      </c>
      <c r="C277" s="1" t="n">
        <v>45728</v>
      </c>
      <c r="D277" t="inlineStr">
        <is>
          <t>JÄMTLANDS LÄN</t>
        </is>
      </c>
      <c r="E277" t="inlineStr">
        <is>
          <t>HÄRJEDALEN</t>
        </is>
      </c>
      <c r="F277" t="inlineStr">
        <is>
          <t>Holmen skog AB</t>
        </is>
      </c>
      <c r="G277" t="n">
        <v>3.9</v>
      </c>
      <c r="H277" t="n">
        <v>0</v>
      </c>
      <c r="I277" t="n">
        <v>0</v>
      </c>
      <c r="J277" t="n">
        <v>0</v>
      </c>
      <c r="K277" t="n">
        <v>0</v>
      </c>
      <c r="L277" t="n">
        <v>0</v>
      </c>
      <c r="M277" t="n">
        <v>0</v>
      </c>
      <c r="N277" t="n">
        <v>0</v>
      </c>
      <c r="O277" t="n">
        <v>0</v>
      </c>
      <c r="P277" t="n">
        <v>0</v>
      </c>
      <c r="Q277" t="n">
        <v>0</v>
      </c>
      <c r="R277" s="2" t="inlineStr"/>
    </row>
    <row r="278" ht="15" customHeight="1">
      <c r="A278" t="inlineStr">
        <is>
          <t>A 46156-2019</t>
        </is>
      </c>
      <c r="B278" s="1" t="n">
        <v>43718</v>
      </c>
      <c r="C278" s="1" t="n">
        <v>45728</v>
      </c>
      <c r="D278" t="inlineStr">
        <is>
          <t>JÄMTLANDS LÄN</t>
        </is>
      </c>
      <c r="E278" t="inlineStr">
        <is>
          <t>HÄRJEDALEN</t>
        </is>
      </c>
      <c r="G278" t="n">
        <v>3.9</v>
      </c>
      <c r="H278" t="n">
        <v>0</v>
      </c>
      <c r="I278" t="n">
        <v>0</v>
      </c>
      <c r="J278" t="n">
        <v>0</v>
      </c>
      <c r="K278" t="n">
        <v>0</v>
      </c>
      <c r="L278" t="n">
        <v>0</v>
      </c>
      <c r="M278" t="n">
        <v>0</v>
      </c>
      <c r="N278" t="n">
        <v>0</v>
      </c>
      <c r="O278" t="n">
        <v>0</v>
      </c>
      <c r="P278" t="n">
        <v>0</v>
      </c>
      <c r="Q278" t="n">
        <v>0</v>
      </c>
      <c r="R278" s="2" t="inlineStr"/>
    </row>
    <row r="279" ht="15" customHeight="1">
      <c r="A279" t="inlineStr">
        <is>
          <t>A 46133-2019</t>
        </is>
      </c>
      <c r="B279" s="1" t="n">
        <v>43718</v>
      </c>
      <c r="C279" s="1" t="n">
        <v>45728</v>
      </c>
      <c r="D279" t="inlineStr">
        <is>
          <t>JÄMTLANDS LÄN</t>
        </is>
      </c>
      <c r="E279" t="inlineStr">
        <is>
          <t>HÄRJEDALEN</t>
        </is>
      </c>
      <c r="G279" t="n">
        <v>17.6</v>
      </c>
      <c r="H279" t="n">
        <v>0</v>
      </c>
      <c r="I279" t="n">
        <v>0</v>
      </c>
      <c r="J279" t="n">
        <v>0</v>
      </c>
      <c r="K279" t="n">
        <v>0</v>
      </c>
      <c r="L279" t="n">
        <v>0</v>
      </c>
      <c r="M279" t="n">
        <v>0</v>
      </c>
      <c r="N279" t="n">
        <v>0</v>
      </c>
      <c r="O279" t="n">
        <v>0</v>
      </c>
      <c r="P279" t="n">
        <v>0</v>
      </c>
      <c r="Q279" t="n">
        <v>0</v>
      </c>
      <c r="R279" s="2" t="inlineStr"/>
    </row>
    <row r="280" ht="15" customHeight="1">
      <c r="A280" t="inlineStr">
        <is>
          <t>A 46163-2019</t>
        </is>
      </c>
      <c r="B280" s="1" t="n">
        <v>43718</v>
      </c>
      <c r="C280" s="1" t="n">
        <v>45728</v>
      </c>
      <c r="D280" t="inlineStr">
        <is>
          <t>JÄMTLANDS LÄN</t>
        </is>
      </c>
      <c r="E280" t="inlineStr">
        <is>
          <t>HÄRJEDALEN</t>
        </is>
      </c>
      <c r="G280" t="n">
        <v>28.9</v>
      </c>
      <c r="H280" t="n">
        <v>0</v>
      </c>
      <c r="I280" t="n">
        <v>0</v>
      </c>
      <c r="J280" t="n">
        <v>0</v>
      </c>
      <c r="K280" t="n">
        <v>0</v>
      </c>
      <c r="L280" t="n">
        <v>0</v>
      </c>
      <c r="M280" t="n">
        <v>0</v>
      </c>
      <c r="N280" t="n">
        <v>0</v>
      </c>
      <c r="O280" t="n">
        <v>0</v>
      </c>
      <c r="P280" t="n">
        <v>0</v>
      </c>
      <c r="Q280" t="n">
        <v>0</v>
      </c>
      <c r="R280" s="2" t="inlineStr"/>
    </row>
    <row r="281" ht="15" customHeight="1">
      <c r="A281" t="inlineStr">
        <is>
          <t>A 47004-2019</t>
        </is>
      </c>
      <c r="B281" s="1" t="n">
        <v>43720</v>
      </c>
      <c r="C281" s="1" t="n">
        <v>45728</v>
      </c>
      <c r="D281" t="inlineStr">
        <is>
          <t>JÄMTLANDS LÄN</t>
        </is>
      </c>
      <c r="E281" t="inlineStr">
        <is>
          <t>HÄRJEDALEN</t>
        </is>
      </c>
      <c r="F281" t="inlineStr">
        <is>
          <t>Bergvik skog väst AB</t>
        </is>
      </c>
      <c r="G281" t="n">
        <v>13.7</v>
      </c>
      <c r="H281" t="n">
        <v>0</v>
      </c>
      <c r="I281" t="n">
        <v>0</v>
      </c>
      <c r="J281" t="n">
        <v>0</v>
      </c>
      <c r="K281" t="n">
        <v>0</v>
      </c>
      <c r="L281" t="n">
        <v>0</v>
      </c>
      <c r="M281" t="n">
        <v>0</v>
      </c>
      <c r="N281" t="n">
        <v>0</v>
      </c>
      <c r="O281" t="n">
        <v>0</v>
      </c>
      <c r="P281" t="n">
        <v>0</v>
      </c>
      <c r="Q281" t="n">
        <v>0</v>
      </c>
      <c r="R281" s="2" t="inlineStr"/>
    </row>
    <row r="282" ht="15" customHeight="1">
      <c r="A282" t="inlineStr">
        <is>
          <t>A 49328-2019</t>
        </is>
      </c>
      <c r="B282" s="1" t="n">
        <v>43731</v>
      </c>
      <c r="C282" s="1" t="n">
        <v>45728</v>
      </c>
      <c r="D282" t="inlineStr">
        <is>
          <t>JÄMTLANDS LÄN</t>
        </is>
      </c>
      <c r="E282" t="inlineStr">
        <is>
          <t>HÄRJEDALEN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49336-2019</t>
        </is>
      </c>
      <c r="B283" s="1" t="n">
        <v>43731</v>
      </c>
      <c r="C283" s="1" t="n">
        <v>45728</v>
      </c>
      <c r="D283" t="inlineStr">
        <is>
          <t>JÄMTLANDS LÄN</t>
        </is>
      </c>
      <c r="E283" t="inlineStr">
        <is>
          <t>HÄRJEDALEN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50310-2019</t>
        </is>
      </c>
      <c r="B284" s="1" t="n">
        <v>43735</v>
      </c>
      <c r="C284" s="1" t="n">
        <v>45728</v>
      </c>
      <c r="D284" t="inlineStr">
        <is>
          <t>JÄMTLANDS LÄN</t>
        </is>
      </c>
      <c r="E284" t="inlineStr">
        <is>
          <t>HÄRJEDALEN</t>
        </is>
      </c>
      <c r="G284" t="n">
        <v>9.1</v>
      </c>
      <c r="H284" t="n">
        <v>0</v>
      </c>
      <c r="I284" t="n">
        <v>0</v>
      </c>
      <c r="J284" t="n">
        <v>0</v>
      </c>
      <c r="K284" t="n">
        <v>0</v>
      </c>
      <c r="L284" t="n">
        <v>0</v>
      </c>
      <c r="M284" t="n">
        <v>0</v>
      </c>
      <c r="N284" t="n">
        <v>0</v>
      </c>
      <c r="O284" t="n">
        <v>0</v>
      </c>
      <c r="P284" t="n">
        <v>0</v>
      </c>
      <c r="Q284" t="n">
        <v>0</v>
      </c>
      <c r="R284" s="2" t="inlineStr"/>
    </row>
    <row r="285" ht="15" customHeight="1">
      <c r="A285" t="inlineStr">
        <is>
          <t>A 50411-2019</t>
        </is>
      </c>
      <c r="B285" s="1" t="n">
        <v>43735</v>
      </c>
      <c r="C285" s="1" t="n">
        <v>45728</v>
      </c>
      <c r="D285" t="inlineStr">
        <is>
          <t>JÄMTLANDS LÄN</t>
        </is>
      </c>
      <c r="E285" t="inlineStr">
        <is>
          <t>HÄRJEDALEN</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50519-2019</t>
        </is>
      </c>
      <c r="B286" s="1" t="n">
        <v>43735</v>
      </c>
      <c r="C286" s="1" t="n">
        <v>45728</v>
      </c>
      <c r="D286" t="inlineStr">
        <is>
          <t>JÄMTLANDS LÄN</t>
        </is>
      </c>
      <c r="E286" t="inlineStr">
        <is>
          <t>HÄRJEDALEN</t>
        </is>
      </c>
      <c r="G286" t="n">
        <v>4.2</v>
      </c>
      <c r="H286" t="n">
        <v>0</v>
      </c>
      <c r="I286" t="n">
        <v>0</v>
      </c>
      <c r="J286" t="n">
        <v>0</v>
      </c>
      <c r="K286" t="n">
        <v>0</v>
      </c>
      <c r="L286" t="n">
        <v>0</v>
      </c>
      <c r="M286" t="n">
        <v>0</v>
      </c>
      <c r="N286" t="n">
        <v>0</v>
      </c>
      <c r="O286" t="n">
        <v>0</v>
      </c>
      <c r="P286" t="n">
        <v>0</v>
      </c>
      <c r="Q286" t="n">
        <v>0</v>
      </c>
      <c r="R286" s="2" t="inlineStr"/>
    </row>
    <row r="287" ht="15" customHeight="1">
      <c r="A287" t="inlineStr">
        <is>
          <t>A 50624-2019</t>
        </is>
      </c>
      <c r="B287" s="1" t="n">
        <v>43736</v>
      </c>
      <c r="C287" s="1" t="n">
        <v>45728</v>
      </c>
      <c r="D287" t="inlineStr">
        <is>
          <t>JÄMTLANDS LÄN</t>
        </is>
      </c>
      <c r="E287" t="inlineStr">
        <is>
          <t>HÄRJEDALEN</t>
        </is>
      </c>
      <c r="G287" t="n">
        <v>2.4</v>
      </c>
      <c r="H287" t="n">
        <v>0</v>
      </c>
      <c r="I287" t="n">
        <v>0</v>
      </c>
      <c r="J287" t="n">
        <v>0</v>
      </c>
      <c r="K287" t="n">
        <v>0</v>
      </c>
      <c r="L287" t="n">
        <v>0</v>
      </c>
      <c r="M287" t="n">
        <v>0</v>
      </c>
      <c r="N287" t="n">
        <v>0</v>
      </c>
      <c r="O287" t="n">
        <v>0</v>
      </c>
      <c r="P287" t="n">
        <v>0</v>
      </c>
      <c r="Q287" t="n">
        <v>0</v>
      </c>
      <c r="R287" s="2" t="inlineStr"/>
    </row>
    <row r="288" ht="15" customHeight="1">
      <c r="A288" t="inlineStr">
        <is>
          <t>A 51108-2019</t>
        </is>
      </c>
      <c r="B288" s="1" t="n">
        <v>43739</v>
      </c>
      <c r="C288" s="1" t="n">
        <v>45728</v>
      </c>
      <c r="D288" t="inlineStr">
        <is>
          <t>JÄMTLANDS LÄN</t>
        </is>
      </c>
      <c r="E288" t="inlineStr">
        <is>
          <t>HÄRJEDALEN</t>
        </is>
      </c>
      <c r="G288" t="n">
        <v>4.2</v>
      </c>
      <c r="H288" t="n">
        <v>0</v>
      </c>
      <c r="I288" t="n">
        <v>0</v>
      </c>
      <c r="J288" t="n">
        <v>0</v>
      </c>
      <c r="K288" t="n">
        <v>0</v>
      </c>
      <c r="L288" t="n">
        <v>0</v>
      </c>
      <c r="M288" t="n">
        <v>0</v>
      </c>
      <c r="N288" t="n">
        <v>0</v>
      </c>
      <c r="O288" t="n">
        <v>0</v>
      </c>
      <c r="P288" t="n">
        <v>0</v>
      </c>
      <c r="Q288" t="n">
        <v>0</v>
      </c>
      <c r="R288" s="2" t="inlineStr"/>
    </row>
    <row r="289" ht="15" customHeight="1">
      <c r="A289" t="inlineStr">
        <is>
          <t>A 51118-2019</t>
        </is>
      </c>
      <c r="B289" s="1" t="n">
        <v>43739</v>
      </c>
      <c r="C289" s="1" t="n">
        <v>45728</v>
      </c>
      <c r="D289" t="inlineStr">
        <is>
          <t>JÄMTLANDS LÄN</t>
        </is>
      </c>
      <c r="E289" t="inlineStr">
        <is>
          <t>HÄRJEDALEN</t>
        </is>
      </c>
      <c r="G289" t="n">
        <v>12.5</v>
      </c>
      <c r="H289" t="n">
        <v>0</v>
      </c>
      <c r="I289" t="n">
        <v>0</v>
      </c>
      <c r="J289" t="n">
        <v>0</v>
      </c>
      <c r="K289" t="n">
        <v>0</v>
      </c>
      <c r="L289" t="n">
        <v>0</v>
      </c>
      <c r="M289" t="n">
        <v>0</v>
      </c>
      <c r="N289" t="n">
        <v>0</v>
      </c>
      <c r="O289" t="n">
        <v>0</v>
      </c>
      <c r="P289" t="n">
        <v>0</v>
      </c>
      <c r="Q289" t="n">
        <v>0</v>
      </c>
      <c r="R289" s="2" t="inlineStr"/>
    </row>
    <row r="290" ht="15" customHeight="1">
      <c r="A290" t="inlineStr">
        <is>
          <t>A 51123-2019</t>
        </is>
      </c>
      <c r="B290" s="1" t="n">
        <v>43739</v>
      </c>
      <c r="C290" s="1" t="n">
        <v>45728</v>
      </c>
      <c r="D290" t="inlineStr">
        <is>
          <t>JÄMTLANDS LÄN</t>
        </is>
      </c>
      <c r="E290" t="inlineStr">
        <is>
          <t>HÄRJEDALEN</t>
        </is>
      </c>
      <c r="G290" t="n">
        <v>1.6</v>
      </c>
      <c r="H290" t="n">
        <v>0</v>
      </c>
      <c r="I290" t="n">
        <v>0</v>
      </c>
      <c r="J290" t="n">
        <v>0</v>
      </c>
      <c r="K290" t="n">
        <v>0</v>
      </c>
      <c r="L290" t="n">
        <v>0</v>
      </c>
      <c r="M290" t="n">
        <v>0</v>
      </c>
      <c r="N290" t="n">
        <v>0</v>
      </c>
      <c r="O290" t="n">
        <v>0</v>
      </c>
      <c r="P290" t="n">
        <v>0</v>
      </c>
      <c r="Q290" t="n">
        <v>0</v>
      </c>
      <c r="R290" s="2" t="inlineStr"/>
    </row>
    <row r="291" ht="15" customHeight="1">
      <c r="A291" t="inlineStr">
        <is>
          <t>A 51105-2019</t>
        </is>
      </c>
      <c r="B291" s="1" t="n">
        <v>43739</v>
      </c>
      <c r="C291" s="1" t="n">
        <v>45728</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51111-2019</t>
        </is>
      </c>
      <c r="B292" s="1" t="n">
        <v>43739</v>
      </c>
      <c r="C292" s="1" t="n">
        <v>45728</v>
      </c>
      <c r="D292" t="inlineStr">
        <is>
          <t>JÄMTLANDS LÄN</t>
        </is>
      </c>
      <c r="E292" t="inlineStr">
        <is>
          <t>HÄRJEDALEN</t>
        </is>
      </c>
      <c r="G292" t="n">
        <v>3.7</v>
      </c>
      <c r="H292" t="n">
        <v>0</v>
      </c>
      <c r="I292" t="n">
        <v>0</v>
      </c>
      <c r="J292" t="n">
        <v>0</v>
      </c>
      <c r="K292" t="n">
        <v>0</v>
      </c>
      <c r="L292" t="n">
        <v>0</v>
      </c>
      <c r="M292" t="n">
        <v>0</v>
      </c>
      <c r="N292" t="n">
        <v>0</v>
      </c>
      <c r="O292" t="n">
        <v>0</v>
      </c>
      <c r="P292" t="n">
        <v>0</v>
      </c>
      <c r="Q292" t="n">
        <v>0</v>
      </c>
      <c r="R292" s="2" t="inlineStr"/>
    </row>
    <row r="293" ht="15" customHeight="1">
      <c r="A293" t="inlineStr">
        <is>
          <t>A 52304-2019</t>
        </is>
      </c>
      <c r="B293" s="1" t="n">
        <v>43745</v>
      </c>
      <c r="C293" s="1" t="n">
        <v>45728</v>
      </c>
      <c r="D293" t="inlineStr">
        <is>
          <t>JÄMTLANDS LÄN</t>
        </is>
      </c>
      <c r="E293" t="inlineStr">
        <is>
          <t>HÄRJEDALEN</t>
        </is>
      </c>
      <c r="G293" t="n">
        <v>4.8</v>
      </c>
      <c r="H293" t="n">
        <v>0</v>
      </c>
      <c r="I293" t="n">
        <v>0</v>
      </c>
      <c r="J293" t="n">
        <v>0</v>
      </c>
      <c r="K293" t="n">
        <v>0</v>
      </c>
      <c r="L293" t="n">
        <v>0</v>
      </c>
      <c r="M293" t="n">
        <v>0</v>
      </c>
      <c r="N293" t="n">
        <v>0</v>
      </c>
      <c r="O293" t="n">
        <v>0</v>
      </c>
      <c r="P293" t="n">
        <v>0</v>
      </c>
      <c r="Q293" t="n">
        <v>0</v>
      </c>
      <c r="R293" s="2" t="inlineStr"/>
    </row>
    <row r="294" ht="15" customHeight="1">
      <c r="A294" t="inlineStr">
        <is>
          <t>A 52709-2019</t>
        </is>
      </c>
      <c r="B294" s="1" t="n">
        <v>43746</v>
      </c>
      <c r="C294" s="1" t="n">
        <v>45728</v>
      </c>
      <c r="D294" t="inlineStr">
        <is>
          <t>JÄMTLANDS LÄN</t>
        </is>
      </c>
      <c r="E294" t="inlineStr">
        <is>
          <t>HÄRJEDALEN</t>
        </is>
      </c>
      <c r="G294" t="n">
        <v>10.6</v>
      </c>
      <c r="H294" t="n">
        <v>0</v>
      </c>
      <c r="I294" t="n">
        <v>0</v>
      </c>
      <c r="J294" t="n">
        <v>0</v>
      </c>
      <c r="K294" t="n">
        <v>0</v>
      </c>
      <c r="L294" t="n">
        <v>0</v>
      </c>
      <c r="M294" t="n">
        <v>0</v>
      </c>
      <c r="N294" t="n">
        <v>0</v>
      </c>
      <c r="O294" t="n">
        <v>0</v>
      </c>
      <c r="P294" t="n">
        <v>0</v>
      </c>
      <c r="Q294" t="n">
        <v>0</v>
      </c>
      <c r="R294" s="2" t="inlineStr"/>
    </row>
    <row r="295" ht="15" customHeight="1">
      <c r="A295" t="inlineStr">
        <is>
          <t>A 52992-2019</t>
        </is>
      </c>
      <c r="B295" s="1" t="n">
        <v>43747</v>
      </c>
      <c r="C295" s="1" t="n">
        <v>45728</v>
      </c>
      <c r="D295" t="inlineStr">
        <is>
          <t>JÄMTLANDS LÄN</t>
        </is>
      </c>
      <c r="E295" t="inlineStr">
        <is>
          <t>HÄRJEDALEN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52991-2019</t>
        </is>
      </c>
      <c r="B296" s="1" t="n">
        <v>43747</v>
      </c>
      <c r="C296" s="1" t="n">
        <v>45728</v>
      </c>
      <c r="D296" t="inlineStr">
        <is>
          <t>JÄMTLANDS LÄN</t>
        </is>
      </c>
      <c r="E296" t="inlineStr">
        <is>
          <t>HÄRJEDALEN</t>
        </is>
      </c>
      <c r="F296" t="inlineStr">
        <is>
          <t>Sveaskog</t>
        </is>
      </c>
      <c r="G296" t="n">
        <v>13.6</v>
      </c>
      <c r="H296" t="n">
        <v>0</v>
      </c>
      <c r="I296" t="n">
        <v>0</v>
      </c>
      <c r="J296" t="n">
        <v>0</v>
      </c>
      <c r="K296" t="n">
        <v>0</v>
      </c>
      <c r="L296" t="n">
        <v>0</v>
      </c>
      <c r="M296" t="n">
        <v>0</v>
      </c>
      <c r="N296" t="n">
        <v>0</v>
      </c>
      <c r="O296" t="n">
        <v>0</v>
      </c>
      <c r="P296" t="n">
        <v>0</v>
      </c>
      <c r="Q296" t="n">
        <v>0</v>
      </c>
      <c r="R296" s="2" t="inlineStr"/>
    </row>
    <row r="297" ht="15" customHeight="1">
      <c r="A297" t="inlineStr">
        <is>
          <t>A 53418-2019</t>
        </is>
      </c>
      <c r="B297" s="1" t="n">
        <v>43748</v>
      </c>
      <c r="C297" s="1" t="n">
        <v>45728</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53952-2019</t>
        </is>
      </c>
      <c r="B298" s="1" t="n">
        <v>43752</v>
      </c>
      <c r="C298" s="1" t="n">
        <v>45728</v>
      </c>
      <c r="D298" t="inlineStr">
        <is>
          <t>JÄMTLANDS LÄN</t>
        </is>
      </c>
      <c r="E298" t="inlineStr">
        <is>
          <t>HÄRJEDALEN</t>
        </is>
      </c>
      <c r="G298" t="n">
        <v>8.6</v>
      </c>
      <c r="H298" t="n">
        <v>0</v>
      </c>
      <c r="I298" t="n">
        <v>0</v>
      </c>
      <c r="J298" t="n">
        <v>0</v>
      </c>
      <c r="K298" t="n">
        <v>0</v>
      </c>
      <c r="L298" t="n">
        <v>0</v>
      </c>
      <c r="M298" t="n">
        <v>0</v>
      </c>
      <c r="N298" t="n">
        <v>0</v>
      </c>
      <c r="O298" t="n">
        <v>0</v>
      </c>
      <c r="P298" t="n">
        <v>0</v>
      </c>
      <c r="Q298" t="n">
        <v>0</v>
      </c>
      <c r="R298" s="2" t="inlineStr"/>
    </row>
    <row r="299" ht="15" customHeight="1">
      <c r="A299" t="inlineStr">
        <is>
          <t>A 53962-2019</t>
        </is>
      </c>
      <c r="B299" s="1" t="n">
        <v>43752</v>
      </c>
      <c r="C299" s="1" t="n">
        <v>45728</v>
      </c>
      <c r="D299" t="inlineStr">
        <is>
          <t>JÄMTLANDS LÄN</t>
        </is>
      </c>
      <c r="E299" t="inlineStr">
        <is>
          <t>HÄRJEDALEN</t>
        </is>
      </c>
      <c r="G299" t="n">
        <v>19.4</v>
      </c>
      <c r="H299" t="n">
        <v>0</v>
      </c>
      <c r="I299" t="n">
        <v>0</v>
      </c>
      <c r="J299" t="n">
        <v>0</v>
      </c>
      <c r="K299" t="n">
        <v>0</v>
      </c>
      <c r="L299" t="n">
        <v>0</v>
      </c>
      <c r="M299" t="n">
        <v>0</v>
      </c>
      <c r="N299" t="n">
        <v>0</v>
      </c>
      <c r="O299" t="n">
        <v>0</v>
      </c>
      <c r="P299" t="n">
        <v>0</v>
      </c>
      <c r="Q299" t="n">
        <v>0</v>
      </c>
      <c r="R299" s="2" t="inlineStr"/>
    </row>
    <row r="300" ht="15" customHeight="1">
      <c r="A300" t="inlineStr">
        <is>
          <t>A 54905-2019</t>
        </is>
      </c>
      <c r="B300" s="1" t="n">
        <v>43755</v>
      </c>
      <c r="C300" s="1" t="n">
        <v>45728</v>
      </c>
      <c r="D300" t="inlineStr">
        <is>
          <t>JÄMTLANDS LÄN</t>
        </is>
      </c>
      <c r="E300" t="inlineStr">
        <is>
          <t>HÄRJEDALEN</t>
        </is>
      </c>
      <c r="G300" t="n">
        <v>2</v>
      </c>
      <c r="H300" t="n">
        <v>0</v>
      </c>
      <c r="I300" t="n">
        <v>0</v>
      </c>
      <c r="J300" t="n">
        <v>0</v>
      </c>
      <c r="K300" t="n">
        <v>0</v>
      </c>
      <c r="L300" t="n">
        <v>0</v>
      </c>
      <c r="M300" t="n">
        <v>0</v>
      </c>
      <c r="N300" t="n">
        <v>0</v>
      </c>
      <c r="O300" t="n">
        <v>0</v>
      </c>
      <c r="P300" t="n">
        <v>0</v>
      </c>
      <c r="Q300" t="n">
        <v>0</v>
      </c>
      <c r="R300" s="2" t="inlineStr"/>
    </row>
    <row r="301" ht="15" customHeight="1">
      <c r="A301" t="inlineStr">
        <is>
          <t>A 55197-2019</t>
        </is>
      </c>
      <c r="B301" s="1" t="n">
        <v>43756</v>
      </c>
      <c r="C301" s="1" t="n">
        <v>45728</v>
      </c>
      <c r="D301" t="inlineStr">
        <is>
          <t>JÄMTLANDS LÄN</t>
        </is>
      </c>
      <c r="E301" t="inlineStr">
        <is>
          <t>HÄRJEDALEN</t>
        </is>
      </c>
      <c r="F301" t="inlineStr">
        <is>
          <t>Sveaskog</t>
        </is>
      </c>
      <c r="G301" t="n">
        <v>9</v>
      </c>
      <c r="H301" t="n">
        <v>0</v>
      </c>
      <c r="I301" t="n">
        <v>0</v>
      </c>
      <c r="J301" t="n">
        <v>0</v>
      </c>
      <c r="K301" t="n">
        <v>0</v>
      </c>
      <c r="L301" t="n">
        <v>0</v>
      </c>
      <c r="M301" t="n">
        <v>0</v>
      </c>
      <c r="N301" t="n">
        <v>0</v>
      </c>
      <c r="O301" t="n">
        <v>0</v>
      </c>
      <c r="P301" t="n">
        <v>0</v>
      </c>
      <c r="Q301" t="n">
        <v>0</v>
      </c>
      <c r="R301" s="2" t="inlineStr"/>
    </row>
    <row r="302" ht="15" customHeight="1">
      <c r="A302" t="inlineStr">
        <is>
          <t>A 55241-2019</t>
        </is>
      </c>
      <c r="B302" s="1" t="n">
        <v>43756</v>
      </c>
      <c r="C302" s="1" t="n">
        <v>45728</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55193-2019</t>
        </is>
      </c>
      <c r="B303" s="1" t="n">
        <v>43756</v>
      </c>
      <c r="C303" s="1" t="n">
        <v>45728</v>
      </c>
      <c r="D303" t="inlineStr">
        <is>
          <t>JÄMTLANDS LÄN</t>
        </is>
      </c>
      <c r="E303" t="inlineStr">
        <is>
          <t>HÄRJEDALEN</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55238-2019</t>
        </is>
      </c>
      <c r="B304" s="1" t="n">
        <v>43756</v>
      </c>
      <c r="C304" s="1" t="n">
        <v>45728</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55801-2019</t>
        </is>
      </c>
      <c r="B305" s="1" t="n">
        <v>43759</v>
      </c>
      <c r="C305" s="1" t="n">
        <v>45728</v>
      </c>
      <c r="D305" t="inlineStr">
        <is>
          <t>JÄMTLANDS LÄN</t>
        </is>
      </c>
      <c r="E305" t="inlineStr">
        <is>
          <t>HÄRJEDALEN</t>
        </is>
      </c>
      <c r="F305" t="inlineStr">
        <is>
          <t>Bergvik skog väst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55554-2019</t>
        </is>
      </c>
      <c r="B306" s="1" t="n">
        <v>43759</v>
      </c>
      <c r="C306" s="1" t="n">
        <v>45728</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57281-2019</t>
        </is>
      </c>
      <c r="B307" s="1" t="n">
        <v>43759</v>
      </c>
      <c r="C307" s="1" t="n">
        <v>45728</v>
      </c>
      <c r="D307" t="inlineStr">
        <is>
          <t>JÄMTLANDS LÄN</t>
        </is>
      </c>
      <c r="E307" t="inlineStr">
        <is>
          <t>HÄRJEDALEN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55578-2019</t>
        </is>
      </c>
      <c r="B308" s="1" t="n">
        <v>43760</v>
      </c>
      <c r="C308" s="1" t="n">
        <v>45728</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55607-2019</t>
        </is>
      </c>
      <c r="B309" s="1" t="n">
        <v>43760</v>
      </c>
      <c r="C309" s="1" t="n">
        <v>45728</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56217-2019</t>
        </is>
      </c>
      <c r="B310" s="1" t="n">
        <v>43762</v>
      </c>
      <c r="C310" s="1" t="n">
        <v>45728</v>
      </c>
      <c r="D310" t="inlineStr">
        <is>
          <t>JÄMTLANDS LÄN</t>
        </is>
      </c>
      <c r="E310" t="inlineStr">
        <is>
          <t>HÄRJEDALEN</t>
        </is>
      </c>
      <c r="G310" t="n">
        <v>43.2</v>
      </c>
      <c r="H310" t="n">
        <v>0</v>
      </c>
      <c r="I310" t="n">
        <v>0</v>
      </c>
      <c r="J310" t="n">
        <v>0</v>
      </c>
      <c r="K310" t="n">
        <v>0</v>
      </c>
      <c r="L310" t="n">
        <v>0</v>
      </c>
      <c r="M310" t="n">
        <v>0</v>
      </c>
      <c r="N310" t="n">
        <v>0</v>
      </c>
      <c r="O310" t="n">
        <v>0</v>
      </c>
      <c r="P310" t="n">
        <v>0</v>
      </c>
      <c r="Q310" t="n">
        <v>0</v>
      </c>
      <c r="R310" s="2" t="inlineStr"/>
    </row>
    <row r="311" ht="15" customHeight="1">
      <c r="A311" t="inlineStr">
        <is>
          <t>A 58175-2019</t>
        </is>
      </c>
      <c r="B311" s="1" t="n">
        <v>43769</v>
      </c>
      <c r="C311" s="1" t="n">
        <v>45728</v>
      </c>
      <c r="D311" t="inlineStr">
        <is>
          <t>JÄMTLANDS LÄN</t>
        </is>
      </c>
      <c r="E311" t="inlineStr">
        <is>
          <t>HÄRJEDALEN</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59347-2019</t>
        </is>
      </c>
      <c r="B312" s="1" t="n">
        <v>43770</v>
      </c>
      <c r="C312" s="1" t="n">
        <v>45728</v>
      </c>
      <c r="D312" t="inlineStr">
        <is>
          <t>JÄMTLANDS LÄN</t>
        </is>
      </c>
      <c r="E312" t="inlineStr">
        <is>
          <t>HÄRJEDALEN</t>
        </is>
      </c>
      <c r="G312" t="n">
        <v>2.3</v>
      </c>
      <c r="H312" t="n">
        <v>0</v>
      </c>
      <c r="I312" t="n">
        <v>0</v>
      </c>
      <c r="J312" t="n">
        <v>0</v>
      </c>
      <c r="K312" t="n">
        <v>0</v>
      </c>
      <c r="L312" t="n">
        <v>0</v>
      </c>
      <c r="M312" t="n">
        <v>0</v>
      </c>
      <c r="N312" t="n">
        <v>0</v>
      </c>
      <c r="O312" t="n">
        <v>0</v>
      </c>
      <c r="P312" t="n">
        <v>0</v>
      </c>
      <c r="Q312" t="n">
        <v>0</v>
      </c>
      <c r="R312" s="2" t="inlineStr"/>
    </row>
    <row r="313" ht="15" customHeight="1">
      <c r="A313" t="inlineStr">
        <is>
          <t>A 58742-2019</t>
        </is>
      </c>
      <c r="B313" s="1" t="n">
        <v>43773</v>
      </c>
      <c r="C313" s="1" t="n">
        <v>45728</v>
      </c>
      <c r="D313" t="inlineStr">
        <is>
          <t>JÄMTLANDS LÄN</t>
        </is>
      </c>
      <c r="E313" t="inlineStr">
        <is>
          <t>HÄRJEDALEN</t>
        </is>
      </c>
      <c r="G313" t="n">
        <v>4</v>
      </c>
      <c r="H313" t="n">
        <v>0</v>
      </c>
      <c r="I313" t="n">
        <v>0</v>
      </c>
      <c r="J313" t="n">
        <v>0</v>
      </c>
      <c r="K313" t="n">
        <v>0</v>
      </c>
      <c r="L313" t="n">
        <v>0</v>
      </c>
      <c r="M313" t="n">
        <v>0</v>
      </c>
      <c r="N313" t="n">
        <v>0</v>
      </c>
      <c r="O313" t="n">
        <v>0</v>
      </c>
      <c r="P313" t="n">
        <v>0</v>
      </c>
      <c r="Q313" t="n">
        <v>0</v>
      </c>
      <c r="R313" s="2" t="inlineStr"/>
    </row>
    <row r="314" ht="15" customHeight="1">
      <c r="A314" t="inlineStr">
        <is>
          <t>A 59984-2019</t>
        </is>
      </c>
      <c r="B314" s="1" t="n">
        <v>43775</v>
      </c>
      <c r="C314" s="1" t="n">
        <v>45728</v>
      </c>
      <c r="D314" t="inlineStr">
        <is>
          <t>JÄMTLANDS LÄN</t>
        </is>
      </c>
      <c r="E314" t="inlineStr">
        <is>
          <t>HÄRJEDALEN</t>
        </is>
      </c>
      <c r="G314" t="n">
        <v>20.4</v>
      </c>
      <c r="H314" t="n">
        <v>0</v>
      </c>
      <c r="I314" t="n">
        <v>0</v>
      </c>
      <c r="J314" t="n">
        <v>0</v>
      </c>
      <c r="K314" t="n">
        <v>0</v>
      </c>
      <c r="L314" t="n">
        <v>0</v>
      </c>
      <c r="M314" t="n">
        <v>0</v>
      </c>
      <c r="N314" t="n">
        <v>0</v>
      </c>
      <c r="O314" t="n">
        <v>0</v>
      </c>
      <c r="P314" t="n">
        <v>0</v>
      </c>
      <c r="Q314" t="n">
        <v>0</v>
      </c>
      <c r="R314" s="2" t="inlineStr"/>
    </row>
    <row r="315" ht="15" customHeight="1">
      <c r="A315" t="inlineStr">
        <is>
          <t>A 59733-2019</t>
        </is>
      </c>
      <c r="B315" s="1" t="n">
        <v>43776</v>
      </c>
      <c r="C315" s="1" t="n">
        <v>45728</v>
      </c>
      <c r="D315" t="inlineStr">
        <is>
          <t>JÄMTLANDS LÄN</t>
        </is>
      </c>
      <c r="E315" t="inlineStr">
        <is>
          <t>HÄRJEDALEN</t>
        </is>
      </c>
      <c r="G315" t="n">
        <v>1.9</v>
      </c>
      <c r="H315" t="n">
        <v>0</v>
      </c>
      <c r="I315" t="n">
        <v>0</v>
      </c>
      <c r="J315" t="n">
        <v>0</v>
      </c>
      <c r="K315" t="n">
        <v>0</v>
      </c>
      <c r="L315" t="n">
        <v>0</v>
      </c>
      <c r="M315" t="n">
        <v>0</v>
      </c>
      <c r="N315" t="n">
        <v>0</v>
      </c>
      <c r="O315" t="n">
        <v>0</v>
      </c>
      <c r="P315" t="n">
        <v>0</v>
      </c>
      <c r="Q315" t="n">
        <v>0</v>
      </c>
      <c r="R315" s="2" t="inlineStr"/>
    </row>
    <row r="316" ht="15" customHeight="1">
      <c r="A316" t="inlineStr">
        <is>
          <t>A 62342-2019</t>
        </is>
      </c>
      <c r="B316" s="1" t="n">
        <v>43782</v>
      </c>
      <c r="C316" s="1" t="n">
        <v>45728</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60919-2019</t>
        </is>
      </c>
      <c r="B317" s="1" t="n">
        <v>43782</v>
      </c>
      <c r="C317" s="1" t="n">
        <v>45728</v>
      </c>
      <c r="D317" t="inlineStr">
        <is>
          <t>JÄMTLANDS LÄN</t>
        </is>
      </c>
      <c r="E317" t="inlineStr">
        <is>
          <t>HÄRJEDALEN</t>
        </is>
      </c>
      <c r="G317" t="n">
        <v>6.4</v>
      </c>
      <c r="H317" t="n">
        <v>0</v>
      </c>
      <c r="I317" t="n">
        <v>0</v>
      </c>
      <c r="J317" t="n">
        <v>0</v>
      </c>
      <c r="K317" t="n">
        <v>0</v>
      </c>
      <c r="L317" t="n">
        <v>0</v>
      </c>
      <c r="M317" t="n">
        <v>0</v>
      </c>
      <c r="N317" t="n">
        <v>0</v>
      </c>
      <c r="O317" t="n">
        <v>0</v>
      </c>
      <c r="P317" t="n">
        <v>0</v>
      </c>
      <c r="Q317" t="n">
        <v>0</v>
      </c>
      <c r="R317" s="2" t="inlineStr"/>
    </row>
    <row r="318" ht="15" customHeight="1">
      <c r="A318" t="inlineStr">
        <is>
          <t>A 62115-2019</t>
        </is>
      </c>
      <c r="B318" s="1" t="n">
        <v>43787</v>
      </c>
      <c r="C318" s="1" t="n">
        <v>45728</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62451-2019</t>
        </is>
      </c>
      <c r="B319" s="1" t="n">
        <v>43788</v>
      </c>
      <c r="C319" s="1" t="n">
        <v>45728</v>
      </c>
      <c r="D319" t="inlineStr">
        <is>
          <t>JÄMTLANDS LÄN</t>
        </is>
      </c>
      <c r="E319" t="inlineStr">
        <is>
          <t>HÄRJEDALEN</t>
        </is>
      </c>
      <c r="F319" t="inlineStr">
        <is>
          <t>Bergvik skog väst AB</t>
        </is>
      </c>
      <c r="G319" t="n">
        <v>22.2</v>
      </c>
      <c r="H319" t="n">
        <v>0</v>
      </c>
      <c r="I319" t="n">
        <v>0</v>
      </c>
      <c r="J319" t="n">
        <v>0</v>
      </c>
      <c r="K319" t="n">
        <v>0</v>
      </c>
      <c r="L319" t="n">
        <v>0</v>
      </c>
      <c r="M319" t="n">
        <v>0</v>
      </c>
      <c r="N319" t="n">
        <v>0</v>
      </c>
      <c r="O319" t="n">
        <v>0</v>
      </c>
      <c r="P319" t="n">
        <v>0</v>
      </c>
      <c r="Q319" t="n">
        <v>0</v>
      </c>
      <c r="R319" s="2" t="inlineStr"/>
    </row>
    <row r="320" ht="15" customHeight="1">
      <c r="A320" t="inlineStr">
        <is>
          <t>A 62971-2019</t>
        </is>
      </c>
      <c r="B320" s="1" t="n">
        <v>43790</v>
      </c>
      <c r="C320" s="1" t="n">
        <v>45728</v>
      </c>
      <c r="D320" t="inlineStr">
        <is>
          <t>JÄMTLANDS LÄN</t>
        </is>
      </c>
      <c r="E320" t="inlineStr">
        <is>
          <t>HÄRJEDALEN</t>
        </is>
      </c>
      <c r="F320" t="inlineStr">
        <is>
          <t>Bergvik skog väst AB</t>
        </is>
      </c>
      <c r="G320" t="n">
        <v>18.2</v>
      </c>
      <c r="H320" t="n">
        <v>0</v>
      </c>
      <c r="I320" t="n">
        <v>0</v>
      </c>
      <c r="J320" t="n">
        <v>0</v>
      </c>
      <c r="K320" t="n">
        <v>0</v>
      </c>
      <c r="L320" t="n">
        <v>0</v>
      </c>
      <c r="M320" t="n">
        <v>0</v>
      </c>
      <c r="N320" t="n">
        <v>0</v>
      </c>
      <c r="O320" t="n">
        <v>0</v>
      </c>
      <c r="P320" t="n">
        <v>0</v>
      </c>
      <c r="Q320" t="n">
        <v>0</v>
      </c>
      <c r="R320" s="2" t="inlineStr"/>
    </row>
    <row r="321" ht="15" customHeight="1">
      <c r="A321" t="inlineStr">
        <is>
          <t>A 64417-2019</t>
        </is>
      </c>
      <c r="B321" s="1" t="n">
        <v>43794</v>
      </c>
      <c r="C321" s="1" t="n">
        <v>45728</v>
      </c>
      <c r="D321" t="inlineStr">
        <is>
          <t>JÄMTLANDS LÄN</t>
        </is>
      </c>
      <c r="E321" t="inlineStr">
        <is>
          <t>HÄRJEDALEN</t>
        </is>
      </c>
      <c r="G321" t="n">
        <v>6.9</v>
      </c>
      <c r="H321" t="n">
        <v>0</v>
      </c>
      <c r="I321" t="n">
        <v>0</v>
      </c>
      <c r="J321" t="n">
        <v>0</v>
      </c>
      <c r="K321" t="n">
        <v>0</v>
      </c>
      <c r="L321" t="n">
        <v>0</v>
      </c>
      <c r="M321" t="n">
        <v>0</v>
      </c>
      <c r="N321" t="n">
        <v>0</v>
      </c>
      <c r="O321" t="n">
        <v>0</v>
      </c>
      <c r="P321" t="n">
        <v>0</v>
      </c>
      <c r="Q321" t="n">
        <v>0</v>
      </c>
      <c r="R321" s="2" t="inlineStr"/>
    </row>
    <row r="322" ht="15" customHeight="1">
      <c r="A322" t="inlineStr">
        <is>
          <t>A 64229-2019</t>
        </is>
      </c>
      <c r="B322" s="1" t="n">
        <v>43797</v>
      </c>
      <c r="C322" s="1" t="n">
        <v>45728</v>
      </c>
      <c r="D322" t="inlineStr">
        <is>
          <t>JÄMTLANDS LÄN</t>
        </is>
      </c>
      <c r="E322" t="inlineStr">
        <is>
          <t>HÄRJEDALEN</t>
        </is>
      </c>
      <c r="G322" t="n">
        <v>12</v>
      </c>
      <c r="H322" t="n">
        <v>0</v>
      </c>
      <c r="I322" t="n">
        <v>0</v>
      </c>
      <c r="J322" t="n">
        <v>0</v>
      </c>
      <c r="K322" t="n">
        <v>0</v>
      </c>
      <c r="L322" t="n">
        <v>0</v>
      </c>
      <c r="M322" t="n">
        <v>0</v>
      </c>
      <c r="N322" t="n">
        <v>0</v>
      </c>
      <c r="O322" t="n">
        <v>0</v>
      </c>
      <c r="P322" t="n">
        <v>0</v>
      </c>
      <c r="Q322" t="n">
        <v>0</v>
      </c>
      <c r="R322" s="2" t="inlineStr"/>
    </row>
    <row r="323" ht="15" customHeight="1">
      <c r="A323" t="inlineStr">
        <is>
          <t>A 64689-2019</t>
        </is>
      </c>
      <c r="B323" s="1" t="n">
        <v>43798</v>
      </c>
      <c r="C323" s="1" t="n">
        <v>45728</v>
      </c>
      <c r="D323" t="inlineStr">
        <is>
          <t>JÄMTLANDS LÄN</t>
        </is>
      </c>
      <c r="E323" t="inlineStr">
        <is>
          <t>HÄRJEDALEN</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65759-2019</t>
        </is>
      </c>
      <c r="B324" s="1" t="n">
        <v>43804</v>
      </c>
      <c r="C324" s="1" t="n">
        <v>45728</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66255-2019</t>
        </is>
      </c>
      <c r="B325" s="1" t="n">
        <v>43808</v>
      </c>
      <c r="C325" s="1" t="n">
        <v>45728</v>
      </c>
      <c r="D325" t="inlineStr">
        <is>
          <t>JÄMTLANDS LÄN</t>
        </is>
      </c>
      <c r="E325" t="inlineStr">
        <is>
          <t>HÄRJEDALEN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66735-2019</t>
        </is>
      </c>
      <c r="B326" s="1" t="n">
        <v>43810</v>
      </c>
      <c r="C326" s="1" t="n">
        <v>45728</v>
      </c>
      <c r="D326" t="inlineStr">
        <is>
          <t>JÄMTLANDS LÄN</t>
        </is>
      </c>
      <c r="E326" t="inlineStr">
        <is>
          <t>HÄRJEDALEN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67619-2019</t>
        </is>
      </c>
      <c r="B327" s="1" t="n">
        <v>43815</v>
      </c>
      <c r="C327" s="1" t="n">
        <v>45728</v>
      </c>
      <c r="D327" t="inlineStr">
        <is>
          <t>JÄMTLANDS LÄN</t>
        </is>
      </c>
      <c r="E327" t="inlineStr">
        <is>
          <t>HÄRJEDALEN</t>
        </is>
      </c>
      <c r="F327" t="inlineStr">
        <is>
          <t>Holmen skog AB</t>
        </is>
      </c>
      <c r="G327" t="n">
        <v>6.4</v>
      </c>
      <c r="H327" t="n">
        <v>0</v>
      </c>
      <c r="I327" t="n">
        <v>0</v>
      </c>
      <c r="J327" t="n">
        <v>0</v>
      </c>
      <c r="K327" t="n">
        <v>0</v>
      </c>
      <c r="L327" t="n">
        <v>0</v>
      </c>
      <c r="M327" t="n">
        <v>0</v>
      </c>
      <c r="N327" t="n">
        <v>0</v>
      </c>
      <c r="O327" t="n">
        <v>0</v>
      </c>
      <c r="P327" t="n">
        <v>0</v>
      </c>
      <c r="Q327" t="n">
        <v>0</v>
      </c>
      <c r="R327" s="2" t="inlineStr"/>
    </row>
    <row r="328" ht="15" customHeight="1">
      <c r="A328" t="inlineStr">
        <is>
          <t>A 67693-2019</t>
        </is>
      </c>
      <c r="B328" s="1" t="n">
        <v>43815</v>
      </c>
      <c r="C328" s="1" t="n">
        <v>45728</v>
      </c>
      <c r="D328" t="inlineStr">
        <is>
          <t>JÄMTLANDS LÄN</t>
        </is>
      </c>
      <c r="E328" t="inlineStr">
        <is>
          <t>HÄRJEDALEN</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67500-2019</t>
        </is>
      </c>
      <c r="B329" s="1" t="n">
        <v>43815</v>
      </c>
      <c r="C329" s="1" t="n">
        <v>45728</v>
      </c>
      <c r="D329" t="inlineStr">
        <is>
          <t>JÄMTLANDS LÄN</t>
        </is>
      </c>
      <c r="E329" t="inlineStr">
        <is>
          <t>HÄRJEDALEN</t>
        </is>
      </c>
      <c r="F329" t="inlineStr">
        <is>
          <t>Holmen skog AB</t>
        </is>
      </c>
      <c r="G329" t="n">
        <v>1.3</v>
      </c>
      <c r="H329" t="n">
        <v>0</v>
      </c>
      <c r="I329" t="n">
        <v>0</v>
      </c>
      <c r="J329" t="n">
        <v>0</v>
      </c>
      <c r="K329" t="n">
        <v>0</v>
      </c>
      <c r="L329" t="n">
        <v>0</v>
      </c>
      <c r="M329" t="n">
        <v>0</v>
      </c>
      <c r="N329" t="n">
        <v>0</v>
      </c>
      <c r="O329" t="n">
        <v>0</v>
      </c>
      <c r="P329" t="n">
        <v>0</v>
      </c>
      <c r="Q329" t="n">
        <v>0</v>
      </c>
      <c r="R329" s="2" t="inlineStr"/>
    </row>
    <row r="330" ht="15" customHeight="1">
      <c r="A330" t="inlineStr">
        <is>
          <t>A 67695-2019</t>
        </is>
      </c>
      <c r="B330" s="1" t="n">
        <v>43815</v>
      </c>
      <c r="C330" s="1" t="n">
        <v>45728</v>
      </c>
      <c r="D330" t="inlineStr">
        <is>
          <t>JÄMTLANDS LÄN</t>
        </is>
      </c>
      <c r="E330" t="inlineStr">
        <is>
          <t>HÄRJEDALEN</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67757-2019</t>
        </is>
      </c>
      <c r="B331" s="1" t="n">
        <v>43815</v>
      </c>
      <c r="C331" s="1" t="n">
        <v>45728</v>
      </c>
      <c r="D331" t="inlineStr">
        <is>
          <t>JÄMTLANDS LÄN</t>
        </is>
      </c>
      <c r="E331" t="inlineStr">
        <is>
          <t>HÄRJEDALEN</t>
        </is>
      </c>
      <c r="F331" t="inlineStr">
        <is>
          <t>Holmen skog AB</t>
        </is>
      </c>
      <c r="G331" t="n">
        <v>4</v>
      </c>
      <c r="H331" t="n">
        <v>0</v>
      </c>
      <c r="I331" t="n">
        <v>0</v>
      </c>
      <c r="J331" t="n">
        <v>0</v>
      </c>
      <c r="K331" t="n">
        <v>0</v>
      </c>
      <c r="L331" t="n">
        <v>0</v>
      </c>
      <c r="M331" t="n">
        <v>0</v>
      </c>
      <c r="N331" t="n">
        <v>0</v>
      </c>
      <c r="O331" t="n">
        <v>0</v>
      </c>
      <c r="P331" t="n">
        <v>0</v>
      </c>
      <c r="Q331" t="n">
        <v>0</v>
      </c>
      <c r="R331" s="2" t="inlineStr"/>
    </row>
    <row r="332" ht="15" customHeight="1">
      <c r="A332" t="inlineStr">
        <is>
          <t>A 67688-2019</t>
        </is>
      </c>
      <c r="B332" s="1" t="n">
        <v>43815</v>
      </c>
      <c r="C332" s="1" t="n">
        <v>45728</v>
      </c>
      <c r="D332" t="inlineStr">
        <is>
          <t>JÄMTLANDS LÄN</t>
        </is>
      </c>
      <c r="E332" t="inlineStr">
        <is>
          <t>HÄRJEDALEN</t>
        </is>
      </c>
      <c r="F332" t="inlineStr">
        <is>
          <t>Holmen skog AB</t>
        </is>
      </c>
      <c r="G332" t="n">
        <v>4.2</v>
      </c>
      <c r="H332" t="n">
        <v>0</v>
      </c>
      <c r="I332" t="n">
        <v>0</v>
      </c>
      <c r="J332" t="n">
        <v>0</v>
      </c>
      <c r="K332" t="n">
        <v>0</v>
      </c>
      <c r="L332" t="n">
        <v>0</v>
      </c>
      <c r="M332" t="n">
        <v>0</v>
      </c>
      <c r="N332" t="n">
        <v>0</v>
      </c>
      <c r="O332" t="n">
        <v>0</v>
      </c>
      <c r="P332" t="n">
        <v>0</v>
      </c>
      <c r="Q332" t="n">
        <v>0</v>
      </c>
      <c r="R332" s="2" t="inlineStr"/>
    </row>
    <row r="333" ht="15" customHeight="1">
      <c r="A333" t="inlineStr">
        <is>
          <t>A 67738-2019</t>
        </is>
      </c>
      <c r="B333" s="1" t="n">
        <v>43815</v>
      </c>
      <c r="C333" s="1" t="n">
        <v>45728</v>
      </c>
      <c r="D333" t="inlineStr">
        <is>
          <t>JÄMTLANDS LÄN</t>
        </is>
      </c>
      <c r="E333" t="inlineStr">
        <is>
          <t>HÄRJEDALEN</t>
        </is>
      </c>
      <c r="F333" t="inlineStr">
        <is>
          <t>Holmen skog AB</t>
        </is>
      </c>
      <c r="G333" t="n">
        <v>15.9</v>
      </c>
      <c r="H333" t="n">
        <v>0</v>
      </c>
      <c r="I333" t="n">
        <v>0</v>
      </c>
      <c r="J333" t="n">
        <v>0</v>
      </c>
      <c r="K333" t="n">
        <v>0</v>
      </c>
      <c r="L333" t="n">
        <v>0</v>
      </c>
      <c r="M333" t="n">
        <v>0</v>
      </c>
      <c r="N333" t="n">
        <v>0</v>
      </c>
      <c r="O333" t="n">
        <v>0</v>
      </c>
      <c r="P333" t="n">
        <v>0</v>
      </c>
      <c r="Q333" t="n">
        <v>0</v>
      </c>
      <c r="R333" s="2" t="inlineStr"/>
    </row>
    <row r="334" ht="15" customHeight="1">
      <c r="A334" t="inlineStr">
        <is>
          <t>A 67506-2019</t>
        </is>
      </c>
      <c r="B334" s="1" t="n">
        <v>43815</v>
      </c>
      <c r="C334" s="1" t="n">
        <v>45728</v>
      </c>
      <c r="D334" t="inlineStr">
        <is>
          <t>JÄMTLANDS LÄN</t>
        </is>
      </c>
      <c r="E334" t="inlineStr">
        <is>
          <t>HÄRJEDALEN</t>
        </is>
      </c>
      <c r="F334" t="inlineStr">
        <is>
          <t>Holmen skog AB</t>
        </is>
      </c>
      <c r="G334" t="n">
        <v>27</v>
      </c>
      <c r="H334" t="n">
        <v>0</v>
      </c>
      <c r="I334" t="n">
        <v>0</v>
      </c>
      <c r="J334" t="n">
        <v>0</v>
      </c>
      <c r="K334" t="n">
        <v>0</v>
      </c>
      <c r="L334" t="n">
        <v>0</v>
      </c>
      <c r="M334" t="n">
        <v>0</v>
      </c>
      <c r="N334" t="n">
        <v>0</v>
      </c>
      <c r="O334" t="n">
        <v>0</v>
      </c>
      <c r="P334" t="n">
        <v>0</v>
      </c>
      <c r="Q334" t="n">
        <v>0</v>
      </c>
      <c r="R334" s="2" t="inlineStr"/>
    </row>
    <row r="335" ht="15" customHeight="1">
      <c r="A335" t="inlineStr">
        <is>
          <t>A 67692-2019</t>
        </is>
      </c>
      <c r="B335" s="1" t="n">
        <v>43815</v>
      </c>
      <c r="C335" s="1" t="n">
        <v>45728</v>
      </c>
      <c r="D335" t="inlineStr">
        <is>
          <t>JÄMTLANDS LÄN</t>
        </is>
      </c>
      <c r="E335" t="inlineStr">
        <is>
          <t>HÄRJEDALEN</t>
        </is>
      </c>
      <c r="F335" t="inlineStr">
        <is>
          <t>Holmen skog AB</t>
        </is>
      </c>
      <c r="G335" t="n">
        <v>12.9</v>
      </c>
      <c r="H335" t="n">
        <v>0</v>
      </c>
      <c r="I335" t="n">
        <v>0</v>
      </c>
      <c r="J335" t="n">
        <v>0</v>
      </c>
      <c r="K335" t="n">
        <v>0</v>
      </c>
      <c r="L335" t="n">
        <v>0</v>
      </c>
      <c r="M335" t="n">
        <v>0</v>
      </c>
      <c r="N335" t="n">
        <v>0</v>
      </c>
      <c r="O335" t="n">
        <v>0</v>
      </c>
      <c r="P335" t="n">
        <v>0</v>
      </c>
      <c r="Q335" t="n">
        <v>0</v>
      </c>
      <c r="R335" s="2" t="inlineStr"/>
    </row>
    <row r="336" ht="15" customHeight="1">
      <c r="A336" t="inlineStr">
        <is>
          <t>A 67733-2019</t>
        </is>
      </c>
      <c r="B336" s="1" t="n">
        <v>43815</v>
      </c>
      <c r="C336" s="1" t="n">
        <v>45728</v>
      </c>
      <c r="D336" t="inlineStr">
        <is>
          <t>JÄMTLANDS LÄN</t>
        </is>
      </c>
      <c r="E336" t="inlineStr">
        <is>
          <t>HÄRJEDALEN</t>
        </is>
      </c>
      <c r="F336" t="inlineStr">
        <is>
          <t>Holmen skog AB</t>
        </is>
      </c>
      <c r="G336" t="n">
        <v>15.5</v>
      </c>
      <c r="H336" t="n">
        <v>0</v>
      </c>
      <c r="I336" t="n">
        <v>0</v>
      </c>
      <c r="J336" t="n">
        <v>0</v>
      </c>
      <c r="K336" t="n">
        <v>0</v>
      </c>
      <c r="L336" t="n">
        <v>0</v>
      </c>
      <c r="M336" t="n">
        <v>0</v>
      </c>
      <c r="N336" t="n">
        <v>0</v>
      </c>
      <c r="O336" t="n">
        <v>0</v>
      </c>
      <c r="P336" t="n">
        <v>0</v>
      </c>
      <c r="Q336" t="n">
        <v>0</v>
      </c>
      <c r="R336" s="2" t="inlineStr"/>
    </row>
    <row r="337" ht="15" customHeight="1">
      <c r="A337" t="inlineStr">
        <is>
          <t>A 67593-2019</t>
        </is>
      </c>
      <c r="B337" s="1" t="n">
        <v>43815</v>
      </c>
      <c r="C337" s="1" t="n">
        <v>45728</v>
      </c>
      <c r="D337" t="inlineStr">
        <is>
          <t>JÄMTLANDS LÄN</t>
        </is>
      </c>
      <c r="E337" t="inlineStr">
        <is>
          <t>HÄRJEDALEN</t>
        </is>
      </c>
      <c r="F337" t="inlineStr">
        <is>
          <t>Holmen skog AB</t>
        </is>
      </c>
      <c r="G337" t="n">
        <v>7.9</v>
      </c>
      <c r="H337" t="n">
        <v>0</v>
      </c>
      <c r="I337" t="n">
        <v>0</v>
      </c>
      <c r="J337" t="n">
        <v>0</v>
      </c>
      <c r="K337" t="n">
        <v>0</v>
      </c>
      <c r="L337" t="n">
        <v>0</v>
      </c>
      <c r="M337" t="n">
        <v>0</v>
      </c>
      <c r="N337" t="n">
        <v>0</v>
      </c>
      <c r="O337" t="n">
        <v>0</v>
      </c>
      <c r="P337" t="n">
        <v>0</v>
      </c>
      <c r="Q337" t="n">
        <v>0</v>
      </c>
      <c r="R337" s="2" t="inlineStr"/>
    </row>
    <row r="338" ht="15" customHeight="1">
      <c r="A338" t="inlineStr">
        <is>
          <t>A 67535-2019</t>
        </is>
      </c>
      <c r="B338" s="1" t="n">
        <v>43815</v>
      </c>
      <c r="C338" s="1" t="n">
        <v>45728</v>
      </c>
      <c r="D338" t="inlineStr">
        <is>
          <t>JÄMTLANDS LÄN</t>
        </is>
      </c>
      <c r="E338" t="inlineStr">
        <is>
          <t>HÄRJEDALEN</t>
        </is>
      </c>
      <c r="F338" t="inlineStr">
        <is>
          <t>Holmen skog AB</t>
        </is>
      </c>
      <c r="G338" t="n">
        <v>34.3</v>
      </c>
      <c r="H338" t="n">
        <v>0</v>
      </c>
      <c r="I338" t="n">
        <v>0</v>
      </c>
      <c r="J338" t="n">
        <v>0</v>
      </c>
      <c r="K338" t="n">
        <v>0</v>
      </c>
      <c r="L338" t="n">
        <v>0</v>
      </c>
      <c r="M338" t="n">
        <v>0</v>
      </c>
      <c r="N338" t="n">
        <v>0</v>
      </c>
      <c r="O338" t="n">
        <v>0</v>
      </c>
      <c r="P338" t="n">
        <v>0</v>
      </c>
      <c r="Q338" t="n">
        <v>0</v>
      </c>
      <c r="R338" s="2" t="inlineStr"/>
    </row>
    <row r="339" ht="15" customHeight="1">
      <c r="A339" t="inlineStr">
        <is>
          <t>A 67972-2019</t>
        </is>
      </c>
      <c r="B339" s="1" t="n">
        <v>43816</v>
      </c>
      <c r="C339" s="1" t="n">
        <v>45728</v>
      </c>
      <c r="D339" t="inlineStr">
        <is>
          <t>JÄMTLANDS LÄN</t>
        </is>
      </c>
      <c r="E339" t="inlineStr">
        <is>
          <t>HÄRJEDALEN</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642-2020</t>
        </is>
      </c>
      <c r="B340" s="1" t="n">
        <v>43817</v>
      </c>
      <c r="C340" s="1" t="n">
        <v>45728</v>
      </c>
      <c r="D340" t="inlineStr">
        <is>
          <t>JÄMTLANDS LÄN</t>
        </is>
      </c>
      <c r="E340" t="inlineStr">
        <is>
          <t>HÄRJEDALEN</t>
        </is>
      </c>
      <c r="G340" t="n">
        <v>15.5</v>
      </c>
      <c r="H340" t="n">
        <v>0</v>
      </c>
      <c r="I340" t="n">
        <v>0</v>
      </c>
      <c r="J340" t="n">
        <v>0</v>
      </c>
      <c r="K340" t="n">
        <v>0</v>
      </c>
      <c r="L340" t="n">
        <v>0</v>
      </c>
      <c r="M340" t="n">
        <v>0</v>
      </c>
      <c r="N340" t="n">
        <v>0</v>
      </c>
      <c r="O340" t="n">
        <v>0</v>
      </c>
      <c r="P340" t="n">
        <v>0</v>
      </c>
      <c r="Q340" t="n">
        <v>0</v>
      </c>
      <c r="R340" s="2" t="inlineStr"/>
    </row>
    <row r="341" ht="15" customHeight="1">
      <c r="A341" t="inlineStr">
        <is>
          <t>A 159-2020</t>
        </is>
      </c>
      <c r="B341" s="1" t="n">
        <v>43833</v>
      </c>
      <c r="C341" s="1" t="n">
        <v>45728</v>
      </c>
      <c r="D341" t="inlineStr">
        <is>
          <t>JÄMTLANDS LÄN</t>
        </is>
      </c>
      <c r="E341" t="inlineStr">
        <is>
          <t>HÄRJEDALEN</t>
        </is>
      </c>
      <c r="G341" t="n">
        <v>1.4</v>
      </c>
      <c r="H341" t="n">
        <v>0</v>
      </c>
      <c r="I341" t="n">
        <v>0</v>
      </c>
      <c r="J341" t="n">
        <v>0</v>
      </c>
      <c r="K341" t="n">
        <v>0</v>
      </c>
      <c r="L341" t="n">
        <v>0</v>
      </c>
      <c r="M341" t="n">
        <v>0</v>
      </c>
      <c r="N341" t="n">
        <v>0</v>
      </c>
      <c r="O341" t="n">
        <v>0</v>
      </c>
      <c r="P341" t="n">
        <v>0</v>
      </c>
      <c r="Q341" t="n">
        <v>0</v>
      </c>
      <c r="R341" s="2" t="inlineStr"/>
    </row>
    <row r="342" ht="15" customHeight="1">
      <c r="A342" t="inlineStr">
        <is>
          <t>A 2320-2020</t>
        </is>
      </c>
      <c r="B342" s="1" t="n">
        <v>43846</v>
      </c>
      <c r="C342" s="1" t="n">
        <v>45728</v>
      </c>
      <c r="D342" t="inlineStr">
        <is>
          <t>JÄMTLANDS LÄN</t>
        </is>
      </c>
      <c r="E342" t="inlineStr">
        <is>
          <t>HÄRJEDALEN</t>
        </is>
      </c>
      <c r="F342" t="inlineStr">
        <is>
          <t>Bergvik skog väst AB</t>
        </is>
      </c>
      <c r="G342" t="n">
        <v>3.3</v>
      </c>
      <c r="H342" t="n">
        <v>0</v>
      </c>
      <c r="I342" t="n">
        <v>0</v>
      </c>
      <c r="J342" t="n">
        <v>0</v>
      </c>
      <c r="K342" t="n">
        <v>0</v>
      </c>
      <c r="L342" t="n">
        <v>0</v>
      </c>
      <c r="M342" t="n">
        <v>0</v>
      </c>
      <c r="N342" t="n">
        <v>0</v>
      </c>
      <c r="O342" t="n">
        <v>0</v>
      </c>
      <c r="P342" t="n">
        <v>0</v>
      </c>
      <c r="Q342" t="n">
        <v>0</v>
      </c>
      <c r="R342" s="2" t="inlineStr"/>
    </row>
    <row r="343" ht="15" customHeight="1">
      <c r="A343" t="inlineStr">
        <is>
          <t>A 4663-2020</t>
        </is>
      </c>
      <c r="B343" s="1" t="n">
        <v>43858</v>
      </c>
      <c r="C343" s="1" t="n">
        <v>45728</v>
      </c>
      <c r="D343" t="inlineStr">
        <is>
          <t>JÄMTLANDS LÄN</t>
        </is>
      </c>
      <c r="E343" t="inlineStr">
        <is>
          <t>HÄRJEDALEN</t>
        </is>
      </c>
      <c r="G343" t="n">
        <v>10.2</v>
      </c>
      <c r="H343" t="n">
        <v>0</v>
      </c>
      <c r="I343" t="n">
        <v>0</v>
      </c>
      <c r="J343" t="n">
        <v>0</v>
      </c>
      <c r="K343" t="n">
        <v>0</v>
      </c>
      <c r="L343" t="n">
        <v>0</v>
      </c>
      <c r="M343" t="n">
        <v>0</v>
      </c>
      <c r="N343" t="n">
        <v>0</v>
      </c>
      <c r="O343" t="n">
        <v>0</v>
      </c>
      <c r="P343" t="n">
        <v>0</v>
      </c>
      <c r="Q343" t="n">
        <v>0</v>
      </c>
      <c r="R343" s="2" t="inlineStr"/>
    </row>
    <row r="344" ht="15" customHeight="1">
      <c r="A344" t="inlineStr">
        <is>
          <t>A 6719-2020</t>
        </is>
      </c>
      <c r="B344" s="1" t="n">
        <v>43866</v>
      </c>
      <c r="C344" s="1" t="n">
        <v>45728</v>
      </c>
      <c r="D344" t="inlineStr">
        <is>
          <t>JÄMTLANDS LÄN</t>
        </is>
      </c>
      <c r="E344" t="inlineStr">
        <is>
          <t>HÄRJEDALEN</t>
        </is>
      </c>
      <c r="G344" t="n">
        <v>1.2</v>
      </c>
      <c r="H344" t="n">
        <v>0</v>
      </c>
      <c r="I344" t="n">
        <v>0</v>
      </c>
      <c r="J344" t="n">
        <v>0</v>
      </c>
      <c r="K344" t="n">
        <v>0</v>
      </c>
      <c r="L344" t="n">
        <v>0</v>
      </c>
      <c r="M344" t="n">
        <v>0</v>
      </c>
      <c r="N344" t="n">
        <v>0</v>
      </c>
      <c r="O344" t="n">
        <v>0</v>
      </c>
      <c r="P344" t="n">
        <v>0</v>
      </c>
      <c r="Q344" t="n">
        <v>0</v>
      </c>
      <c r="R344" s="2" t="inlineStr"/>
    </row>
    <row r="345" ht="15" customHeight="1">
      <c r="A345" t="inlineStr">
        <is>
          <t>A 6715-2020</t>
        </is>
      </c>
      <c r="B345" s="1" t="n">
        <v>43866</v>
      </c>
      <c r="C345" s="1" t="n">
        <v>45728</v>
      </c>
      <c r="D345" t="inlineStr">
        <is>
          <t>JÄMTLANDS LÄN</t>
        </is>
      </c>
      <c r="E345" t="inlineStr">
        <is>
          <t>HÄRJEDALEN</t>
        </is>
      </c>
      <c r="G345" t="n">
        <v>7.5</v>
      </c>
      <c r="H345" t="n">
        <v>0</v>
      </c>
      <c r="I345" t="n">
        <v>0</v>
      </c>
      <c r="J345" t="n">
        <v>0</v>
      </c>
      <c r="K345" t="n">
        <v>0</v>
      </c>
      <c r="L345" t="n">
        <v>0</v>
      </c>
      <c r="M345" t="n">
        <v>0</v>
      </c>
      <c r="N345" t="n">
        <v>0</v>
      </c>
      <c r="O345" t="n">
        <v>0</v>
      </c>
      <c r="P345" t="n">
        <v>0</v>
      </c>
      <c r="Q345" t="n">
        <v>0</v>
      </c>
      <c r="R345" s="2" t="inlineStr"/>
    </row>
    <row r="346" ht="15" customHeight="1">
      <c r="A346" t="inlineStr">
        <is>
          <t>A 6675-2020</t>
        </is>
      </c>
      <c r="B346" s="1" t="n">
        <v>43866</v>
      </c>
      <c r="C346" s="1" t="n">
        <v>45728</v>
      </c>
      <c r="D346" t="inlineStr">
        <is>
          <t>JÄMTLANDS LÄN</t>
        </is>
      </c>
      <c r="E346" t="inlineStr">
        <is>
          <t>HÄRJEDALEN</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6584-2020</t>
        </is>
      </c>
      <c r="B347" s="1" t="n">
        <v>43867</v>
      </c>
      <c r="C347" s="1" t="n">
        <v>45728</v>
      </c>
      <c r="D347" t="inlineStr">
        <is>
          <t>JÄMTLANDS LÄN</t>
        </is>
      </c>
      <c r="E347" t="inlineStr">
        <is>
          <t>HÄRJEDALEN</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6903-2020</t>
        </is>
      </c>
      <c r="B348" s="1" t="n">
        <v>43867</v>
      </c>
      <c r="C348" s="1" t="n">
        <v>45728</v>
      </c>
      <c r="D348" t="inlineStr">
        <is>
          <t>JÄMTLANDS LÄN</t>
        </is>
      </c>
      <c r="E348" t="inlineStr">
        <is>
          <t>HÄRJEDALEN</t>
        </is>
      </c>
      <c r="G348" t="n">
        <v>10.5</v>
      </c>
      <c r="H348" t="n">
        <v>0</v>
      </c>
      <c r="I348" t="n">
        <v>0</v>
      </c>
      <c r="J348" t="n">
        <v>0</v>
      </c>
      <c r="K348" t="n">
        <v>0</v>
      </c>
      <c r="L348" t="n">
        <v>0</v>
      </c>
      <c r="M348" t="n">
        <v>0</v>
      </c>
      <c r="N348" t="n">
        <v>0</v>
      </c>
      <c r="O348" t="n">
        <v>0</v>
      </c>
      <c r="P348" t="n">
        <v>0</v>
      </c>
      <c r="Q348" t="n">
        <v>0</v>
      </c>
      <c r="R348" s="2" t="inlineStr"/>
    </row>
    <row r="349" ht="15" customHeight="1">
      <c r="A349" t="inlineStr">
        <is>
          <t>A 7184-2020</t>
        </is>
      </c>
      <c r="B349" s="1" t="n">
        <v>43871</v>
      </c>
      <c r="C349" s="1" t="n">
        <v>45728</v>
      </c>
      <c r="D349" t="inlineStr">
        <is>
          <t>JÄMTLANDS LÄN</t>
        </is>
      </c>
      <c r="E349" t="inlineStr">
        <is>
          <t>HÄRJEDALEN</t>
        </is>
      </c>
      <c r="G349" t="n">
        <v>41.4</v>
      </c>
      <c r="H349" t="n">
        <v>0</v>
      </c>
      <c r="I349" t="n">
        <v>0</v>
      </c>
      <c r="J349" t="n">
        <v>0</v>
      </c>
      <c r="K349" t="n">
        <v>0</v>
      </c>
      <c r="L349" t="n">
        <v>0</v>
      </c>
      <c r="M349" t="n">
        <v>0</v>
      </c>
      <c r="N349" t="n">
        <v>0</v>
      </c>
      <c r="O349" t="n">
        <v>0</v>
      </c>
      <c r="P349" t="n">
        <v>0</v>
      </c>
      <c r="Q349" t="n">
        <v>0</v>
      </c>
      <c r="R349" s="2" t="inlineStr"/>
    </row>
    <row r="350" ht="15" customHeight="1">
      <c r="A350" t="inlineStr">
        <is>
          <t>A 8111-2020</t>
        </is>
      </c>
      <c r="B350" s="1" t="n">
        <v>43874</v>
      </c>
      <c r="C350" s="1" t="n">
        <v>45728</v>
      </c>
      <c r="D350" t="inlineStr">
        <is>
          <t>JÄMTLANDS LÄN</t>
        </is>
      </c>
      <c r="E350" t="inlineStr">
        <is>
          <t>HÄRJEDALEN</t>
        </is>
      </c>
      <c r="G350" t="n">
        <v>15.4</v>
      </c>
      <c r="H350" t="n">
        <v>0</v>
      </c>
      <c r="I350" t="n">
        <v>0</v>
      </c>
      <c r="J350" t="n">
        <v>0</v>
      </c>
      <c r="K350" t="n">
        <v>0</v>
      </c>
      <c r="L350" t="n">
        <v>0</v>
      </c>
      <c r="M350" t="n">
        <v>0</v>
      </c>
      <c r="N350" t="n">
        <v>0</v>
      </c>
      <c r="O350" t="n">
        <v>0</v>
      </c>
      <c r="P350" t="n">
        <v>0</v>
      </c>
      <c r="Q350" t="n">
        <v>0</v>
      </c>
      <c r="R350" s="2" t="inlineStr"/>
    </row>
    <row r="351" ht="15" customHeight="1">
      <c r="A351" t="inlineStr">
        <is>
          <t>A 8762-2020</t>
        </is>
      </c>
      <c r="B351" s="1" t="n">
        <v>43875</v>
      </c>
      <c r="C351" s="1" t="n">
        <v>45728</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8908-2020</t>
        </is>
      </c>
      <c r="B352" s="1" t="n">
        <v>43878</v>
      </c>
      <c r="C352" s="1" t="n">
        <v>45728</v>
      </c>
      <c r="D352" t="inlineStr">
        <is>
          <t>JÄMTLANDS LÄN</t>
        </is>
      </c>
      <c r="E352" t="inlineStr">
        <is>
          <t>HÄRJEDALEN</t>
        </is>
      </c>
      <c r="G352" t="n">
        <v>18.1</v>
      </c>
      <c r="H352" t="n">
        <v>0</v>
      </c>
      <c r="I352" t="n">
        <v>0</v>
      </c>
      <c r="J352" t="n">
        <v>0</v>
      </c>
      <c r="K352" t="n">
        <v>0</v>
      </c>
      <c r="L352" t="n">
        <v>0</v>
      </c>
      <c r="M352" t="n">
        <v>0</v>
      </c>
      <c r="N352" t="n">
        <v>0</v>
      </c>
      <c r="O352" t="n">
        <v>0</v>
      </c>
      <c r="P352" t="n">
        <v>0</v>
      </c>
      <c r="Q352" t="n">
        <v>0</v>
      </c>
      <c r="R352" s="2" t="inlineStr"/>
    </row>
    <row r="353" ht="15" customHeight="1">
      <c r="A353" t="inlineStr">
        <is>
          <t>A 9034-2020</t>
        </is>
      </c>
      <c r="B353" s="1" t="n">
        <v>43879</v>
      </c>
      <c r="C353" s="1" t="n">
        <v>45728</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9591-2020</t>
        </is>
      </c>
      <c r="B354" s="1" t="n">
        <v>43881</v>
      </c>
      <c r="C354" s="1" t="n">
        <v>45728</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11731-2020</t>
        </is>
      </c>
      <c r="B355" s="1" t="n">
        <v>43894</v>
      </c>
      <c r="C355" s="1" t="n">
        <v>45728</v>
      </c>
      <c r="D355" t="inlineStr">
        <is>
          <t>JÄMTLANDS LÄN</t>
        </is>
      </c>
      <c r="E355" t="inlineStr">
        <is>
          <t>HÄRJEDALEN</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11816-2020</t>
        </is>
      </c>
      <c r="B356" s="1" t="n">
        <v>43894</v>
      </c>
      <c r="C356" s="1" t="n">
        <v>45728</v>
      </c>
      <c r="D356" t="inlineStr">
        <is>
          <t>JÄMTLANDS LÄN</t>
        </is>
      </c>
      <c r="E356" t="inlineStr">
        <is>
          <t>HÄRJEDALEN</t>
        </is>
      </c>
      <c r="F356" t="inlineStr">
        <is>
          <t>Holmen skog AB</t>
        </is>
      </c>
      <c r="G356" t="n">
        <v>20.4</v>
      </c>
      <c r="H356" t="n">
        <v>0</v>
      </c>
      <c r="I356" t="n">
        <v>0</v>
      </c>
      <c r="J356" t="n">
        <v>0</v>
      </c>
      <c r="K356" t="n">
        <v>0</v>
      </c>
      <c r="L356" t="n">
        <v>0</v>
      </c>
      <c r="M356" t="n">
        <v>0</v>
      </c>
      <c r="N356" t="n">
        <v>0</v>
      </c>
      <c r="O356" t="n">
        <v>0</v>
      </c>
      <c r="P356" t="n">
        <v>0</v>
      </c>
      <c r="Q356" t="n">
        <v>0</v>
      </c>
      <c r="R356" s="2" t="inlineStr"/>
    </row>
    <row r="357" ht="15" customHeight="1">
      <c r="A357" t="inlineStr">
        <is>
          <t>A 11818-2020</t>
        </is>
      </c>
      <c r="B357" s="1" t="n">
        <v>43894</v>
      </c>
      <c r="C357" s="1" t="n">
        <v>45728</v>
      </c>
      <c r="D357" t="inlineStr">
        <is>
          <t>JÄMTLANDS LÄN</t>
        </is>
      </c>
      <c r="E357" t="inlineStr">
        <is>
          <t>HÄRJEDALEN</t>
        </is>
      </c>
      <c r="F357" t="inlineStr">
        <is>
          <t>Holmen skog AB</t>
        </is>
      </c>
      <c r="G357" t="n">
        <v>6</v>
      </c>
      <c r="H357" t="n">
        <v>0</v>
      </c>
      <c r="I357" t="n">
        <v>0</v>
      </c>
      <c r="J357" t="n">
        <v>0</v>
      </c>
      <c r="K357" t="n">
        <v>0</v>
      </c>
      <c r="L357" t="n">
        <v>0</v>
      </c>
      <c r="M357" t="n">
        <v>0</v>
      </c>
      <c r="N357" t="n">
        <v>0</v>
      </c>
      <c r="O357" t="n">
        <v>0</v>
      </c>
      <c r="P357" t="n">
        <v>0</v>
      </c>
      <c r="Q357" t="n">
        <v>0</v>
      </c>
      <c r="R357" s="2" t="inlineStr"/>
    </row>
    <row r="358" ht="15" customHeight="1">
      <c r="A358" t="inlineStr">
        <is>
          <t>A 11885-2020</t>
        </is>
      </c>
      <c r="B358" s="1" t="n">
        <v>43894</v>
      </c>
      <c r="C358" s="1" t="n">
        <v>45728</v>
      </c>
      <c r="D358" t="inlineStr">
        <is>
          <t>JÄMTLANDS LÄN</t>
        </is>
      </c>
      <c r="E358" t="inlineStr">
        <is>
          <t>HÄRJEDALEN</t>
        </is>
      </c>
      <c r="F358" t="inlineStr">
        <is>
          <t>Holmen skog AB</t>
        </is>
      </c>
      <c r="G358" t="n">
        <v>3.5</v>
      </c>
      <c r="H358" t="n">
        <v>0</v>
      </c>
      <c r="I358" t="n">
        <v>0</v>
      </c>
      <c r="J358" t="n">
        <v>0</v>
      </c>
      <c r="K358" t="n">
        <v>0</v>
      </c>
      <c r="L358" t="n">
        <v>0</v>
      </c>
      <c r="M358" t="n">
        <v>0</v>
      </c>
      <c r="N358" t="n">
        <v>0</v>
      </c>
      <c r="O358" t="n">
        <v>0</v>
      </c>
      <c r="P358" t="n">
        <v>0</v>
      </c>
      <c r="Q358" t="n">
        <v>0</v>
      </c>
      <c r="R358" s="2" t="inlineStr"/>
    </row>
    <row r="359" ht="15" customHeight="1">
      <c r="A359" t="inlineStr">
        <is>
          <t>A 11828-2020</t>
        </is>
      </c>
      <c r="B359" s="1" t="n">
        <v>43894</v>
      </c>
      <c r="C359" s="1" t="n">
        <v>45728</v>
      </c>
      <c r="D359" t="inlineStr">
        <is>
          <t>JÄMTLANDS LÄN</t>
        </is>
      </c>
      <c r="E359" t="inlineStr">
        <is>
          <t>HÄRJEDALEN</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11905-2020</t>
        </is>
      </c>
      <c r="B360" s="1" t="n">
        <v>43894</v>
      </c>
      <c r="C360" s="1" t="n">
        <v>45728</v>
      </c>
      <c r="D360" t="inlineStr">
        <is>
          <t>JÄMTLANDS LÄN</t>
        </is>
      </c>
      <c r="E360" t="inlineStr">
        <is>
          <t>HÄRJEDALEN</t>
        </is>
      </c>
      <c r="F360" t="inlineStr">
        <is>
          <t>Holmen skog AB</t>
        </is>
      </c>
      <c r="G360" t="n">
        <v>10.3</v>
      </c>
      <c r="H360" t="n">
        <v>0</v>
      </c>
      <c r="I360" t="n">
        <v>0</v>
      </c>
      <c r="J360" t="n">
        <v>0</v>
      </c>
      <c r="K360" t="n">
        <v>0</v>
      </c>
      <c r="L360" t="n">
        <v>0</v>
      </c>
      <c r="M360" t="n">
        <v>0</v>
      </c>
      <c r="N360" t="n">
        <v>0</v>
      </c>
      <c r="O360" t="n">
        <v>0</v>
      </c>
      <c r="P360" t="n">
        <v>0</v>
      </c>
      <c r="Q360" t="n">
        <v>0</v>
      </c>
      <c r="R360" s="2" t="inlineStr"/>
    </row>
    <row r="361" ht="15" customHeight="1">
      <c r="A361" t="inlineStr">
        <is>
          <t>A 13604-2020</t>
        </is>
      </c>
      <c r="B361" s="1" t="n">
        <v>43895</v>
      </c>
      <c r="C361" s="1" t="n">
        <v>45728</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12398-2020</t>
        </is>
      </c>
      <c r="B362" s="1" t="n">
        <v>43896</v>
      </c>
      <c r="C362" s="1" t="n">
        <v>45728</v>
      </c>
      <c r="D362" t="inlineStr">
        <is>
          <t>JÄMTLANDS LÄN</t>
        </is>
      </c>
      <c r="E362" t="inlineStr">
        <is>
          <t>HÄRJEDALEN</t>
        </is>
      </c>
      <c r="G362" t="n">
        <v>12.3</v>
      </c>
      <c r="H362" t="n">
        <v>0</v>
      </c>
      <c r="I362" t="n">
        <v>0</v>
      </c>
      <c r="J362" t="n">
        <v>0</v>
      </c>
      <c r="K362" t="n">
        <v>0</v>
      </c>
      <c r="L362" t="n">
        <v>0</v>
      </c>
      <c r="M362" t="n">
        <v>0</v>
      </c>
      <c r="N362" t="n">
        <v>0</v>
      </c>
      <c r="O362" t="n">
        <v>0</v>
      </c>
      <c r="P362" t="n">
        <v>0</v>
      </c>
      <c r="Q362" t="n">
        <v>0</v>
      </c>
      <c r="R362" s="2" t="inlineStr"/>
    </row>
    <row r="363" ht="15" customHeight="1">
      <c r="A363" t="inlineStr">
        <is>
          <t>A 12410-2020</t>
        </is>
      </c>
      <c r="B363" s="1" t="n">
        <v>43896</v>
      </c>
      <c r="C363" s="1" t="n">
        <v>45728</v>
      </c>
      <c r="D363" t="inlineStr">
        <is>
          <t>JÄMTLANDS LÄN</t>
        </is>
      </c>
      <c r="E363" t="inlineStr">
        <is>
          <t>HÄRJEDALEN</t>
        </is>
      </c>
      <c r="G363" t="n">
        <v>0.7</v>
      </c>
      <c r="H363" t="n">
        <v>0</v>
      </c>
      <c r="I363" t="n">
        <v>0</v>
      </c>
      <c r="J363" t="n">
        <v>0</v>
      </c>
      <c r="K363" t="n">
        <v>0</v>
      </c>
      <c r="L363" t="n">
        <v>0</v>
      </c>
      <c r="M363" t="n">
        <v>0</v>
      </c>
      <c r="N363" t="n">
        <v>0</v>
      </c>
      <c r="O363" t="n">
        <v>0</v>
      </c>
      <c r="P363" t="n">
        <v>0</v>
      </c>
      <c r="Q363" t="n">
        <v>0</v>
      </c>
      <c r="R363" s="2" t="inlineStr"/>
    </row>
    <row r="364" ht="15" customHeight="1">
      <c r="A364" t="inlineStr">
        <is>
          <t>A 13588-2020</t>
        </is>
      </c>
      <c r="B364" s="1" t="n">
        <v>43896</v>
      </c>
      <c r="C364" s="1" t="n">
        <v>45728</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12898-2020</t>
        </is>
      </c>
      <c r="B365" s="1" t="n">
        <v>43900</v>
      </c>
      <c r="C365" s="1" t="n">
        <v>45728</v>
      </c>
      <c r="D365" t="inlineStr">
        <is>
          <t>JÄMTLANDS LÄN</t>
        </is>
      </c>
      <c r="E365" t="inlineStr">
        <is>
          <t>HÄRJEDALEN</t>
        </is>
      </c>
      <c r="G365" t="n">
        <v>2.6</v>
      </c>
      <c r="H365" t="n">
        <v>0</v>
      </c>
      <c r="I365" t="n">
        <v>0</v>
      </c>
      <c r="J365" t="n">
        <v>0</v>
      </c>
      <c r="K365" t="n">
        <v>0</v>
      </c>
      <c r="L365" t="n">
        <v>0</v>
      </c>
      <c r="M365" t="n">
        <v>0</v>
      </c>
      <c r="N365" t="n">
        <v>0</v>
      </c>
      <c r="O365" t="n">
        <v>0</v>
      </c>
      <c r="P365" t="n">
        <v>0</v>
      </c>
      <c r="Q365" t="n">
        <v>0</v>
      </c>
      <c r="R365" s="2" t="inlineStr"/>
    </row>
    <row r="366" ht="15" customHeight="1">
      <c r="A366" t="inlineStr">
        <is>
          <t>A 15020-2020</t>
        </is>
      </c>
      <c r="B366" s="1" t="n">
        <v>43907</v>
      </c>
      <c r="C366" s="1" t="n">
        <v>45728</v>
      </c>
      <c r="D366" t="inlineStr">
        <is>
          <t>JÄMTLANDS LÄN</t>
        </is>
      </c>
      <c r="E366" t="inlineStr">
        <is>
          <t>HÄRJEDALEN</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15576-2020</t>
        </is>
      </c>
      <c r="B367" s="1" t="n">
        <v>43914</v>
      </c>
      <c r="C367" s="1" t="n">
        <v>45728</v>
      </c>
      <c r="D367" t="inlineStr">
        <is>
          <t>JÄMTLANDS LÄN</t>
        </is>
      </c>
      <c r="E367" t="inlineStr">
        <is>
          <t>HÄRJEDALEN</t>
        </is>
      </c>
      <c r="F367" t="inlineStr">
        <is>
          <t>Kyrkan</t>
        </is>
      </c>
      <c r="G367" t="n">
        <v>8.1</v>
      </c>
      <c r="H367" t="n">
        <v>0</v>
      </c>
      <c r="I367" t="n">
        <v>0</v>
      </c>
      <c r="J367" t="n">
        <v>0</v>
      </c>
      <c r="K367" t="n">
        <v>0</v>
      </c>
      <c r="L367" t="n">
        <v>0</v>
      </c>
      <c r="M367" t="n">
        <v>0</v>
      </c>
      <c r="N367" t="n">
        <v>0</v>
      </c>
      <c r="O367" t="n">
        <v>0</v>
      </c>
      <c r="P367" t="n">
        <v>0</v>
      </c>
      <c r="Q367" t="n">
        <v>0</v>
      </c>
      <c r="R367" s="2" t="inlineStr"/>
    </row>
    <row r="368" ht="15" customHeight="1">
      <c r="A368" t="inlineStr">
        <is>
          <t>A 17515-2020</t>
        </is>
      </c>
      <c r="B368" s="1" t="n">
        <v>43920</v>
      </c>
      <c r="C368" s="1" t="n">
        <v>45728</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17024-2020</t>
        </is>
      </c>
      <c r="B369" s="1" t="n">
        <v>43921</v>
      </c>
      <c r="C369" s="1" t="n">
        <v>45728</v>
      </c>
      <c r="D369" t="inlineStr">
        <is>
          <t>JÄMTLANDS LÄN</t>
        </is>
      </c>
      <c r="E369" t="inlineStr">
        <is>
          <t>HÄRJEDALEN</t>
        </is>
      </c>
      <c r="G369" t="n">
        <v>0.8</v>
      </c>
      <c r="H369" t="n">
        <v>0</v>
      </c>
      <c r="I369" t="n">
        <v>0</v>
      </c>
      <c r="J369" t="n">
        <v>0</v>
      </c>
      <c r="K369" t="n">
        <v>0</v>
      </c>
      <c r="L369" t="n">
        <v>0</v>
      </c>
      <c r="M369" t="n">
        <v>0</v>
      </c>
      <c r="N369" t="n">
        <v>0</v>
      </c>
      <c r="O369" t="n">
        <v>0</v>
      </c>
      <c r="P369" t="n">
        <v>0</v>
      </c>
      <c r="Q369" t="n">
        <v>0</v>
      </c>
      <c r="R369" s="2" t="inlineStr"/>
    </row>
    <row r="370" ht="15" customHeight="1">
      <c r="A370" t="inlineStr">
        <is>
          <t>A 17676-2020</t>
        </is>
      </c>
      <c r="B370" s="1" t="n">
        <v>43924</v>
      </c>
      <c r="C370" s="1" t="n">
        <v>45728</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18038-2020</t>
        </is>
      </c>
      <c r="B371" s="1" t="n">
        <v>43927</v>
      </c>
      <c r="C371" s="1" t="n">
        <v>45728</v>
      </c>
      <c r="D371" t="inlineStr">
        <is>
          <t>JÄMTLANDS LÄN</t>
        </is>
      </c>
      <c r="E371" t="inlineStr">
        <is>
          <t>HÄRJEDALEN</t>
        </is>
      </c>
      <c r="G371" t="n">
        <v>13.5</v>
      </c>
      <c r="H371" t="n">
        <v>0</v>
      </c>
      <c r="I371" t="n">
        <v>0</v>
      </c>
      <c r="J371" t="n">
        <v>0</v>
      </c>
      <c r="K371" t="n">
        <v>0</v>
      </c>
      <c r="L371" t="n">
        <v>0</v>
      </c>
      <c r="M371" t="n">
        <v>0</v>
      </c>
      <c r="N371" t="n">
        <v>0</v>
      </c>
      <c r="O371" t="n">
        <v>0</v>
      </c>
      <c r="P371" t="n">
        <v>0</v>
      </c>
      <c r="Q371" t="n">
        <v>0</v>
      </c>
      <c r="R371" s="2" t="inlineStr"/>
    </row>
    <row r="372" ht="15" customHeight="1">
      <c r="A372" t="inlineStr">
        <is>
          <t>A 18761-2020</t>
        </is>
      </c>
      <c r="B372" s="1" t="n">
        <v>43930</v>
      </c>
      <c r="C372" s="1" t="n">
        <v>45728</v>
      </c>
      <c r="D372" t="inlineStr">
        <is>
          <t>JÄMTLANDS LÄN</t>
        </is>
      </c>
      <c r="E372" t="inlineStr">
        <is>
          <t>HÄRJEDALEN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18760-2020</t>
        </is>
      </c>
      <c r="B373" s="1" t="n">
        <v>43930</v>
      </c>
      <c r="C373" s="1" t="n">
        <v>45728</v>
      </c>
      <c r="D373" t="inlineStr">
        <is>
          <t>JÄMTLANDS LÄN</t>
        </is>
      </c>
      <c r="E373" t="inlineStr">
        <is>
          <t>HÄRJEDALEN</t>
        </is>
      </c>
      <c r="F373" t="inlineStr">
        <is>
          <t>Sveaskog</t>
        </is>
      </c>
      <c r="G373" t="n">
        <v>16.1</v>
      </c>
      <c r="H373" t="n">
        <v>0</v>
      </c>
      <c r="I373" t="n">
        <v>0</v>
      </c>
      <c r="J373" t="n">
        <v>0</v>
      </c>
      <c r="K373" t="n">
        <v>0</v>
      </c>
      <c r="L373" t="n">
        <v>0</v>
      </c>
      <c r="M373" t="n">
        <v>0</v>
      </c>
      <c r="N373" t="n">
        <v>0</v>
      </c>
      <c r="O373" t="n">
        <v>0</v>
      </c>
      <c r="P373" t="n">
        <v>0</v>
      </c>
      <c r="Q373" t="n">
        <v>0</v>
      </c>
      <c r="R373" s="2" t="inlineStr"/>
    </row>
    <row r="374" ht="15" customHeight="1">
      <c r="A374" t="inlineStr">
        <is>
          <t>A 18759-2020</t>
        </is>
      </c>
      <c r="B374" s="1" t="n">
        <v>43930</v>
      </c>
      <c r="C374" s="1" t="n">
        <v>45728</v>
      </c>
      <c r="D374" t="inlineStr">
        <is>
          <t>JÄMTLANDS LÄN</t>
        </is>
      </c>
      <c r="E374" t="inlineStr">
        <is>
          <t>HÄRJEDALEN</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18877-2020</t>
        </is>
      </c>
      <c r="B375" s="1" t="n">
        <v>43935</v>
      </c>
      <c r="C375" s="1" t="n">
        <v>45728</v>
      </c>
      <c r="D375" t="inlineStr">
        <is>
          <t>JÄMTLANDS LÄN</t>
        </is>
      </c>
      <c r="E375" t="inlineStr">
        <is>
          <t>HÄRJEDALEN</t>
        </is>
      </c>
      <c r="G375" t="n">
        <v>7</v>
      </c>
      <c r="H375" t="n">
        <v>0</v>
      </c>
      <c r="I375" t="n">
        <v>0</v>
      </c>
      <c r="J375" t="n">
        <v>0</v>
      </c>
      <c r="K375" t="n">
        <v>0</v>
      </c>
      <c r="L375" t="n">
        <v>0</v>
      </c>
      <c r="M375" t="n">
        <v>0</v>
      </c>
      <c r="N375" t="n">
        <v>0</v>
      </c>
      <c r="O375" t="n">
        <v>0</v>
      </c>
      <c r="P375" t="n">
        <v>0</v>
      </c>
      <c r="Q375" t="n">
        <v>0</v>
      </c>
      <c r="R375" s="2" t="inlineStr"/>
    </row>
    <row r="376" ht="15" customHeight="1">
      <c r="A376" t="inlineStr">
        <is>
          <t>A 18879-2020</t>
        </is>
      </c>
      <c r="B376" s="1" t="n">
        <v>43935</v>
      </c>
      <c r="C376" s="1" t="n">
        <v>45728</v>
      </c>
      <c r="D376" t="inlineStr">
        <is>
          <t>JÄMTLANDS LÄN</t>
        </is>
      </c>
      <c r="E376" t="inlineStr">
        <is>
          <t>HÄRJEDALEN</t>
        </is>
      </c>
      <c r="G376" t="n">
        <v>5.5</v>
      </c>
      <c r="H376" t="n">
        <v>0</v>
      </c>
      <c r="I376" t="n">
        <v>0</v>
      </c>
      <c r="J376" t="n">
        <v>0</v>
      </c>
      <c r="K376" t="n">
        <v>0</v>
      </c>
      <c r="L376" t="n">
        <v>0</v>
      </c>
      <c r="M376" t="n">
        <v>0</v>
      </c>
      <c r="N376" t="n">
        <v>0</v>
      </c>
      <c r="O376" t="n">
        <v>0</v>
      </c>
      <c r="P376" t="n">
        <v>0</v>
      </c>
      <c r="Q376" t="n">
        <v>0</v>
      </c>
      <c r="R376" s="2" t="inlineStr"/>
    </row>
    <row r="377" ht="15" customHeight="1">
      <c r="A377" t="inlineStr">
        <is>
          <t>A 19304-2020</t>
        </is>
      </c>
      <c r="B377" s="1" t="n">
        <v>43937</v>
      </c>
      <c r="C377" s="1" t="n">
        <v>45728</v>
      </c>
      <c r="D377" t="inlineStr">
        <is>
          <t>JÄMTLANDS LÄN</t>
        </is>
      </c>
      <c r="E377" t="inlineStr">
        <is>
          <t>HÄRJEDALEN</t>
        </is>
      </c>
      <c r="F377" t="inlineStr">
        <is>
          <t>Bergvik skog väst AB</t>
        </is>
      </c>
      <c r="G377" t="n">
        <v>4</v>
      </c>
      <c r="H377" t="n">
        <v>0</v>
      </c>
      <c r="I377" t="n">
        <v>0</v>
      </c>
      <c r="J377" t="n">
        <v>0</v>
      </c>
      <c r="K377" t="n">
        <v>0</v>
      </c>
      <c r="L377" t="n">
        <v>0</v>
      </c>
      <c r="M377" t="n">
        <v>0</v>
      </c>
      <c r="N377" t="n">
        <v>0</v>
      </c>
      <c r="O377" t="n">
        <v>0</v>
      </c>
      <c r="P377" t="n">
        <v>0</v>
      </c>
      <c r="Q377" t="n">
        <v>0</v>
      </c>
      <c r="R377" s="2" t="inlineStr"/>
    </row>
    <row r="378" ht="15" customHeight="1">
      <c r="A378" t="inlineStr">
        <is>
          <t>A 19506-2020</t>
        </is>
      </c>
      <c r="B378" s="1" t="n">
        <v>43938</v>
      </c>
      <c r="C378" s="1" t="n">
        <v>45728</v>
      </c>
      <c r="D378" t="inlineStr">
        <is>
          <t>JÄMTLANDS LÄN</t>
        </is>
      </c>
      <c r="E378" t="inlineStr">
        <is>
          <t>HÄRJEDALEN</t>
        </is>
      </c>
      <c r="F378" t="inlineStr">
        <is>
          <t>Sveaskog</t>
        </is>
      </c>
      <c r="G378" t="n">
        <v>6.8</v>
      </c>
      <c r="H378" t="n">
        <v>0</v>
      </c>
      <c r="I378" t="n">
        <v>0</v>
      </c>
      <c r="J378" t="n">
        <v>0</v>
      </c>
      <c r="K378" t="n">
        <v>0</v>
      </c>
      <c r="L378" t="n">
        <v>0</v>
      </c>
      <c r="M378" t="n">
        <v>0</v>
      </c>
      <c r="N378" t="n">
        <v>0</v>
      </c>
      <c r="O378" t="n">
        <v>0</v>
      </c>
      <c r="P378" t="n">
        <v>0</v>
      </c>
      <c r="Q378" t="n">
        <v>0</v>
      </c>
      <c r="R378" s="2" t="inlineStr"/>
    </row>
    <row r="379" ht="15" customHeight="1">
      <c r="A379" t="inlineStr">
        <is>
          <t>A 20781-2020</t>
        </is>
      </c>
      <c r="B379" s="1" t="n">
        <v>43949</v>
      </c>
      <c r="C379" s="1" t="n">
        <v>45728</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21537-2020</t>
        </is>
      </c>
      <c r="B380" s="1" t="n">
        <v>43956</v>
      </c>
      <c r="C380" s="1" t="n">
        <v>45728</v>
      </c>
      <c r="D380" t="inlineStr">
        <is>
          <t>JÄMTLANDS LÄN</t>
        </is>
      </c>
      <c r="E380" t="inlineStr">
        <is>
          <t>HÄRJEDALEN</t>
        </is>
      </c>
      <c r="G380" t="n">
        <v>4.3</v>
      </c>
      <c r="H380" t="n">
        <v>0</v>
      </c>
      <c r="I380" t="n">
        <v>0</v>
      </c>
      <c r="J380" t="n">
        <v>0</v>
      </c>
      <c r="K380" t="n">
        <v>0</v>
      </c>
      <c r="L380" t="n">
        <v>0</v>
      </c>
      <c r="M380" t="n">
        <v>0</v>
      </c>
      <c r="N380" t="n">
        <v>0</v>
      </c>
      <c r="O380" t="n">
        <v>0</v>
      </c>
      <c r="P380" t="n">
        <v>0</v>
      </c>
      <c r="Q380" t="n">
        <v>0</v>
      </c>
      <c r="R380" s="2" t="inlineStr"/>
    </row>
    <row r="381" ht="15" customHeight="1">
      <c r="A381" t="inlineStr">
        <is>
          <t>A 23082-2020</t>
        </is>
      </c>
      <c r="B381" s="1" t="n">
        <v>43964</v>
      </c>
      <c r="C381" s="1" t="n">
        <v>45728</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23310-2020</t>
        </is>
      </c>
      <c r="B382" s="1" t="n">
        <v>43966</v>
      </c>
      <c r="C382" s="1" t="n">
        <v>45728</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23174-2020</t>
        </is>
      </c>
      <c r="B383" s="1" t="n">
        <v>43966</v>
      </c>
      <c r="C383" s="1" t="n">
        <v>45728</v>
      </c>
      <c r="D383" t="inlineStr">
        <is>
          <t>JÄMTLANDS LÄN</t>
        </is>
      </c>
      <c r="E383" t="inlineStr">
        <is>
          <t>HÄRJEDALEN</t>
        </is>
      </c>
      <c r="G383" t="n">
        <v>2.9</v>
      </c>
      <c r="H383" t="n">
        <v>0</v>
      </c>
      <c r="I383" t="n">
        <v>0</v>
      </c>
      <c r="J383" t="n">
        <v>0</v>
      </c>
      <c r="K383" t="n">
        <v>0</v>
      </c>
      <c r="L383" t="n">
        <v>0</v>
      </c>
      <c r="M383" t="n">
        <v>0</v>
      </c>
      <c r="N383" t="n">
        <v>0</v>
      </c>
      <c r="O383" t="n">
        <v>0</v>
      </c>
      <c r="P383" t="n">
        <v>0</v>
      </c>
      <c r="Q383" t="n">
        <v>0</v>
      </c>
      <c r="R383" s="2" t="inlineStr"/>
    </row>
    <row r="384" ht="15" customHeight="1">
      <c r="A384" t="inlineStr">
        <is>
          <t>A 23560-2020</t>
        </is>
      </c>
      <c r="B384" s="1" t="n">
        <v>43969</v>
      </c>
      <c r="C384" s="1" t="n">
        <v>45728</v>
      </c>
      <c r="D384" t="inlineStr">
        <is>
          <t>JÄMTLANDS LÄN</t>
        </is>
      </c>
      <c r="E384" t="inlineStr">
        <is>
          <t>HÄRJEDALEN</t>
        </is>
      </c>
      <c r="G384" t="n">
        <v>1.7</v>
      </c>
      <c r="H384" t="n">
        <v>0</v>
      </c>
      <c r="I384" t="n">
        <v>0</v>
      </c>
      <c r="J384" t="n">
        <v>0</v>
      </c>
      <c r="K384" t="n">
        <v>0</v>
      </c>
      <c r="L384" t="n">
        <v>0</v>
      </c>
      <c r="M384" t="n">
        <v>0</v>
      </c>
      <c r="N384" t="n">
        <v>0</v>
      </c>
      <c r="O384" t="n">
        <v>0</v>
      </c>
      <c r="P384" t="n">
        <v>0</v>
      </c>
      <c r="Q384" t="n">
        <v>0</v>
      </c>
      <c r="R384" s="2" t="inlineStr"/>
    </row>
    <row r="385" ht="15" customHeight="1">
      <c r="A385" t="inlineStr">
        <is>
          <t>A 24077-2020</t>
        </is>
      </c>
      <c r="B385" s="1" t="n">
        <v>43972</v>
      </c>
      <c r="C385" s="1" t="n">
        <v>45728</v>
      </c>
      <c r="D385" t="inlineStr">
        <is>
          <t>JÄMTLANDS LÄN</t>
        </is>
      </c>
      <c r="E385" t="inlineStr">
        <is>
          <t>HÄRJEDALEN</t>
        </is>
      </c>
      <c r="F385" t="inlineStr">
        <is>
          <t>Sveaskog</t>
        </is>
      </c>
      <c r="G385" t="n">
        <v>9.6</v>
      </c>
      <c r="H385" t="n">
        <v>0</v>
      </c>
      <c r="I385" t="n">
        <v>0</v>
      </c>
      <c r="J385" t="n">
        <v>0</v>
      </c>
      <c r="K385" t="n">
        <v>0</v>
      </c>
      <c r="L385" t="n">
        <v>0</v>
      </c>
      <c r="M385" t="n">
        <v>0</v>
      </c>
      <c r="N385" t="n">
        <v>0</v>
      </c>
      <c r="O385" t="n">
        <v>0</v>
      </c>
      <c r="P385" t="n">
        <v>0</v>
      </c>
      <c r="Q385" t="n">
        <v>0</v>
      </c>
      <c r="R385" s="2" t="inlineStr"/>
    </row>
    <row r="386" ht="15" customHeight="1">
      <c r="A386" t="inlineStr">
        <is>
          <t>A 24127-2020</t>
        </is>
      </c>
      <c r="B386" s="1" t="n">
        <v>43973</v>
      </c>
      <c r="C386" s="1" t="n">
        <v>45728</v>
      </c>
      <c r="D386" t="inlineStr">
        <is>
          <t>JÄMTLANDS LÄN</t>
        </is>
      </c>
      <c r="E386" t="inlineStr">
        <is>
          <t>HÄRJEDALEN</t>
        </is>
      </c>
      <c r="G386" t="n">
        <v>4.6</v>
      </c>
      <c r="H386" t="n">
        <v>0</v>
      </c>
      <c r="I386" t="n">
        <v>0</v>
      </c>
      <c r="J386" t="n">
        <v>0</v>
      </c>
      <c r="K386" t="n">
        <v>0</v>
      </c>
      <c r="L386" t="n">
        <v>0</v>
      </c>
      <c r="M386" t="n">
        <v>0</v>
      </c>
      <c r="N386" t="n">
        <v>0</v>
      </c>
      <c r="O386" t="n">
        <v>0</v>
      </c>
      <c r="P386" t="n">
        <v>0</v>
      </c>
      <c r="Q386" t="n">
        <v>0</v>
      </c>
      <c r="R386" s="2" t="inlineStr"/>
    </row>
    <row r="387" ht="15" customHeight="1">
      <c r="A387" t="inlineStr">
        <is>
          <t>A 25240-2020</t>
        </is>
      </c>
      <c r="B387" s="1" t="n">
        <v>43980</v>
      </c>
      <c r="C387" s="1" t="n">
        <v>45728</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25341-2020</t>
        </is>
      </c>
      <c r="B388" s="1" t="n">
        <v>43980</v>
      </c>
      <c r="C388" s="1" t="n">
        <v>45728</v>
      </c>
      <c r="D388" t="inlineStr">
        <is>
          <t>JÄMTLANDS LÄN</t>
        </is>
      </c>
      <c r="E388" t="inlineStr">
        <is>
          <t>HÄRJEDALEN</t>
        </is>
      </c>
      <c r="G388" t="n">
        <v>2</v>
      </c>
      <c r="H388" t="n">
        <v>0</v>
      </c>
      <c r="I388" t="n">
        <v>0</v>
      </c>
      <c r="J388" t="n">
        <v>0</v>
      </c>
      <c r="K388" t="n">
        <v>0</v>
      </c>
      <c r="L388" t="n">
        <v>0</v>
      </c>
      <c r="M388" t="n">
        <v>0</v>
      </c>
      <c r="N388" t="n">
        <v>0</v>
      </c>
      <c r="O388" t="n">
        <v>0</v>
      </c>
      <c r="P388" t="n">
        <v>0</v>
      </c>
      <c r="Q388" t="n">
        <v>0</v>
      </c>
      <c r="R388" s="2" t="inlineStr"/>
    </row>
    <row r="389" ht="15" customHeight="1">
      <c r="A389" t="inlineStr">
        <is>
          <t>A 25232-2020</t>
        </is>
      </c>
      <c r="B389" s="1" t="n">
        <v>43980</v>
      </c>
      <c r="C389" s="1" t="n">
        <v>45728</v>
      </c>
      <c r="D389" t="inlineStr">
        <is>
          <t>JÄMTLANDS LÄN</t>
        </is>
      </c>
      <c r="E389" t="inlineStr">
        <is>
          <t>HÄRJEDALEN</t>
        </is>
      </c>
      <c r="G389" t="n">
        <v>14.9</v>
      </c>
      <c r="H389" t="n">
        <v>0</v>
      </c>
      <c r="I389" t="n">
        <v>0</v>
      </c>
      <c r="J389" t="n">
        <v>0</v>
      </c>
      <c r="K389" t="n">
        <v>0</v>
      </c>
      <c r="L389" t="n">
        <v>0</v>
      </c>
      <c r="M389" t="n">
        <v>0</v>
      </c>
      <c r="N389" t="n">
        <v>0</v>
      </c>
      <c r="O389" t="n">
        <v>0</v>
      </c>
      <c r="P389" t="n">
        <v>0</v>
      </c>
      <c r="Q389" t="n">
        <v>0</v>
      </c>
      <c r="R389" s="2" t="inlineStr"/>
    </row>
    <row r="390" ht="15" customHeight="1">
      <c r="A390" t="inlineStr">
        <is>
          <t>A 25238-2020</t>
        </is>
      </c>
      <c r="B390" s="1" t="n">
        <v>43980</v>
      </c>
      <c r="C390" s="1" t="n">
        <v>45728</v>
      </c>
      <c r="D390" t="inlineStr">
        <is>
          <t>JÄMTLANDS LÄN</t>
        </is>
      </c>
      <c r="E390" t="inlineStr">
        <is>
          <t>HÄRJEDALEN</t>
        </is>
      </c>
      <c r="G390" t="n">
        <v>2.6</v>
      </c>
      <c r="H390" t="n">
        <v>0</v>
      </c>
      <c r="I390" t="n">
        <v>0</v>
      </c>
      <c r="J390" t="n">
        <v>0</v>
      </c>
      <c r="K390" t="n">
        <v>0</v>
      </c>
      <c r="L390" t="n">
        <v>0</v>
      </c>
      <c r="M390" t="n">
        <v>0</v>
      </c>
      <c r="N390" t="n">
        <v>0</v>
      </c>
      <c r="O390" t="n">
        <v>0</v>
      </c>
      <c r="P390" t="n">
        <v>0</v>
      </c>
      <c r="Q390" t="n">
        <v>0</v>
      </c>
      <c r="R390" s="2" t="inlineStr"/>
    </row>
    <row r="391" ht="15" customHeight="1">
      <c r="A391" t="inlineStr">
        <is>
          <t>A 25236-2020</t>
        </is>
      </c>
      <c r="B391" s="1" t="n">
        <v>43980</v>
      </c>
      <c r="C391" s="1" t="n">
        <v>45728</v>
      </c>
      <c r="D391" t="inlineStr">
        <is>
          <t>JÄMTLANDS LÄN</t>
        </is>
      </c>
      <c r="E391" t="inlineStr">
        <is>
          <t>HÄRJEDALEN</t>
        </is>
      </c>
      <c r="G391" t="n">
        <v>2.2</v>
      </c>
      <c r="H391" t="n">
        <v>0</v>
      </c>
      <c r="I391" t="n">
        <v>0</v>
      </c>
      <c r="J391" t="n">
        <v>0</v>
      </c>
      <c r="K391" t="n">
        <v>0</v>
      </c>
      <c r="L391" t="n">
        <v>0</v>
      </c>
      <c r="M391" t="n">
        <v>0</v>
      </c>
      <c r="N391" t="n">
        <v>0</v>
      </c>
      <c r="O391" t="n">
        <v>0</v>
      </c>
      <c r="P391" t="n">
        <v>0</v>
      </c>
      <c r="Q391" t="n">
        <v>0</v>
      </c>
      <c r="R391" s="2" t="inlineStr"/>
    </row>
    <row r="392" ht="15" customHeight="1">
      <c r="A392" t="inlineStr">
        <is>
          <t>A 25779-2020</t>
        </is>
      </c>
      <c r="B392" s="1" t="n">
        <v>43984</v>
      </c>
      <c r="C392" s="1" t="n">
        <v>45728</v>
      </c>
      <c r="D392" t="inlineStr">
        <is>
          <t>JÄMTLANDS LÄN</t>
        </is>
      </c>
      <c r="E392" t="inlineStr">
        <is>
          <t>HÄRJEDALEN</t>
        </is>
      </c>
      <c r="G392" t="n">
        <v>22.2</v>
      </c>
      <c r="H392" t="n">
        <v>0</v>
      </c>
      <c r="I392" t="n">
        <v>0</v>
      </c>
      <c r="J392" t="n">
        <v>0</v>
      </c>
      <c r="K392" t="n">
        <v>0</v>
      </c>
      <c r="L392" t="n">
        <v>0</v>
      </c>
      <c r="M392" t="n">
        <v>0</v>
      </c>
      <c r="N392" t="n">
        <v>0</v>
      </c>
      <c r="O392" t="n">
        <v>0</v>
      </c>
      <c r="P392" t="n">
        <v>0</v>
      </c>
      <c r="Q392" t="n">
        <v>0</v>
      </c>
      <c r="R392" s="2" t="inlineStr"/>
    </row>
    <row r="393" ht="15" customHeight="1">
      <c r="A393" t="inlineStr">
        <is>
          <t>A 26056-2020</t>
        </is>
      </c>
      <c r="B393" s="1" t="n">
        <v>43984</v>
      </c>
      <c r="C393" s="1" t="n">
        <v>45728</v>
      </c>
      <c r="D393" t="inlineStr">
        <is>
          <t>JÄMTLANDS LÄN</t>
        </is>
      </c>
      <c r="E393" t="inlineStr">
        <is>
          <t>HÄRJEDALEN</t>
        </is>
      </c>
      <c r="G393" t="n">
        <v>53.1</v>
      </c>
      <c r="H393" t="n">
        <v>0</v>
      </c>
      <c r="I393" t="n">
        <v>0</v>
      </c>
      <c r="J393" t="n">
        <v>0</v>
      </c>
      <c r="K393" t="n">
        <v>0</v>
      </c>
      <c r="L393" t="n">
        <v>0</v>
      </c>
      <c r="M393" t="n">
        <v>0</v>
      </c>
      <c r="N393" t="n">
        <v>0</v>
      </c>
      <c r="O393" t="n">
        <v>0</v>
      </c>
      <c r="P393" t="n">
        <v>0</v>
      </c>
      <c r="Q393" t="n">
        <v>0</v>
      </c>
      <c r="R393" s="2" t="inlineStr"/>
    </row>
    <row r="394" ht="15" customHeight="1">
      <c r="A394" t="inlineStr">
        <is>
          <t>A 27854-2020</t>
        </is>
      </c>
      <c r="B394" s="1" t="n">
        <v>43994</v>
      </c>
      <c r="C394" s="1" t="n">
        <v>45728</v>
      </c>
      <c r="D394" t="inlineStr">
        <is>
          <t>JÄMTLANDS LÄN</t>
        </is>
      </c>
      <c r="E394" t="inlineStr">
        <is>
          <t>HÄRJEDALEN</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28543-2020</t>
        </is>
      </c>
      <c r="B395" s="1" t="n">
        <v>43999</v>
      </c>
      <c r="C395" s="1" t="n">
        <v>45728</v>
      </c>
      <c r="D395" t="inlineStr">
        <is>
          <t>JÄMTLANDS LÄN</t>
        </is>
      </c>
      <c r="E395" t="inlineStr">
        <is>
          <t>HÄRJEDALEN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29158-2020</t>
        </is>
      </c>
      <c r="B396" s="1" t="n">
        <v>44004</v>
      </c>
      <c r="C396" s="1" t="n">
        <v>45728</v>
      </c>
      <c r="D396" t="inlineStr">
        <is>
          <t>JÄMTLANDS LÄN</t>
        </is>
      </c>
      <c r="E396" t="inlineStr">
        <is>
          <t>HÄRJEDALEN</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29154-2020</t>
        </is>
      </c>
      <c r="B397" s="1" t="n">
        <v>44004</v>
      </c>
      <c r="C397" s="1" t="n">
        <v>45728</v>
      </c>
      <c r="D397" t="inlineStr">
        <is>
          <t>JÄMTLANDS LÄN</t>
        </is>
      </c>
      <c r="E397" t="inlineStr">
        <is>
          <t>HÄRJEDALEN</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30963-2020</t>
        </is>
      </c>
      <c r="B398" s="1" t="n">
        <v>44011</v>
      </c>
      <c r="C398" s="1" t="n">
        <v>45728</v>
      </c>
      <c r="D398" t="inlineStr">
        <is>
          <t>JÄMTLANDS LÄN</t>
        </is>
      </c>
      <c r="E398" t="inlineStr">
        <is>
          <t>HÄRJEDALEN</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30936-2020</t>
        </is>
      </c>
      <c r="B399" s="1" t="n">
        <v>44011</v>
      </c>
      <c r="C399" s="1" t="n">
        <v>45728</v>
      </c>
      <c r="D399" t="inlineStr">
        <is>
          <t>JÄMTLANDS LÄN</t>
        </is>
      </c>
      <c r="E399" t="inlineStr">
        <is>
          <t>HÄRJEDALEN</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30940-2020</t>
        </is>
      </c>
      <c r="B400" s="1" t="n">
        <v>44011</v>
      </c>
      <c r="C400" s="1" t="n">
        <v>45728</v>
      </c>
      <c r="D400" t="inlineStr">
        <is>
          <t>JÄMTLANDS LÄN</t>
        </is>
      </c>
      <c r="E400" t="inlineStr">
        <is>
          <t>HÄRJEDALEN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31264-2020</t>
        </is>
      </c>
      <c r="B401" s="1" t="n">
        <v>44012</v>
      </c>
      <c r="C401" s="1" t="n">
        <v>45728</v>
      </c>
      <c r="D401" t="inlineStr">
        <is>
          <t>JÄMTLANDS LÄN</t>
        </is>
      </c>
      <c r="E401" t="inlineStr">
        <is>
          <t>HÄRJEDALEN</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31872-2020</t>
        </is>
      </c>
      <c r="B402" s="1" t="n">
        <v>44014</v>
      </c>
      <c r="C402" s="1" t="n">
        <v>45728</v>
      </c>
      <c r="D402" t="inlineStr">
        <is>
          <t>JÄMTLANDS LÄN</t>
        </is>
      </c>
      <c r="E402" t="inlineStr">
        <is>
          <t>HÄRJEDALEN</t>
        </is>
      </c>
      <c r="G402" t="n">
        <v>21.4</v>
      </c>
      <c r="H402" t="n">
        <v>0</v>
      </c>
      <c r="I402" t="n">
        <v>0</v>
      </c>
      <c r="J402" t="n">
        <v>0</v>
      </c>
      <c r="K402" t="n">
        <v>0</v>
      </c>
      <c r="L402" t="n">
        <v>0</v>
      </c>
      <c r="M402" t="n">
        <v>0</v>
      </c>
      <c r="N402" t="n">
        <v>0</v>
      </c>
      <c r="O402" t="n">
        <v>0</v>
      </c>
      <c r="P402" t="n">
        <v>0</v>
      </c>
      <c r="Q402" t="n">
        <v>0</v>
      </c>
      <c r="R402" s="2" t="inlineStr"/>
    </row>
    <row r="403" ht="15" customHeight="1">
      <c r="A403" t="inlineStr">
        <is>
          <t>A 31920-2020</t>
        </is>
      </c>
      <c r="B403" s="1" t="n">
        <v>44014</v>
      </c>
      <c r="C403" s="1" t="n">
        <v>45728</v>
      </c>
      <c r="D403" t="inlineStr">
        <is>
          <t>JÄMTLANDS LÄN</t>
        </is>
      </c>
      <c r="E403" t="inlineStr">
        <is>
          <t>HÄRJEDALEN</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33020-2020</t>
        </is>
      </c>
      <c r="B404" s="1" t="n">
        <v>44021</v>
      </c>
      <c r="C404" s="1" t="n">
        <v>45728</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33812-2020</t>
        </is>
      </c>
      <c r="B405" s="1" t="n">
        <v>44025</v>
      </c>
      <c r="C405" s="1" t="n">
        <v>45728</v>
      </c>
      <c r="D405" t="inlineStr">
        <is>
          <t>JÄMTLANDS LÄN</t>
        </is>
      </c>
      <c r="E405" t="inlineStr">
        <is>
          <t>HÄRJEDALEN</t>
        </is>
      </c>
      <c r="G405" t="n">
        <v>3.2</v>
      </c>
      <c r="H405" t="n">
        <v>0</v>
      </c>
      <c r="I405" t="n">
        <v>0</v>
      </c>
      <c r="J405" t="n">
        <v>0</v>
      </c>
      <c r="K405" t="n">
        <v>0</v>
      </c>
      <c r="L405" t="n">
        <v>0</v>
      </c>
      <c r="M405" t="n">
        <v>0</v>
      </c>
      <c r="N405" t="n">
        <v>0</v>
      </c>
      <c r="O405" t="n">
        <v>0</v>
      </c>
      <c r="P405" t="n">
        <v>0</v>
      </c>
      <c r="Q405" t="n">
        <v>0</v>
      </c>
      <c r="R405" s="2" t="inlineStr"/>
    </row>
    <row r="406" ht="15" customHeight="1">
      <c r="A406" t="inlineStr">
        <is>
          <t>A 33513-2020</t>
        </is>
      </c>
      <c r="B406" s="1" t="n">
        <v>44025</v>
      </c>
      <c r="C406" s="1" t="n">
        <v>45728</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33701-2020</t>
        </is>
      </c>
      <c r="B407" s="1" t="n">
        <v>44026</v>
      </c>
      <c r="C407" s="1" t="n">
        <v>45728</v>
      </c>
      <c r="D407" t="inlineStr">
        <is>
          <t>JÄMTLANDS LÄN</t>
        </is>
      </c>
      <c r="E407" t="inlineStr">
        <is>
          <t>HÄRJEDALEN</t>
        </is>
      </c>
      <c r="F407" t="inlineStr">
        <is>
          <t>Bergvik skog väst AB</t>
        </is>
      </c>
      <c r="G407" t="n">
        <v>7.2</v>
      </c>
      <c r="H407" t="n">
        <v>0</v>
      </c>
      <c r="I407" t="n">
        <v>0</v>
      </c>
      <c r="J407" t="n">
        <v>0</v>
      </c>
      <c r="K407" t="n">
        <v>0</v>
      </c>
      <c r="L407" t="n">
        <v>0</v>
      </c>
      <c r="M407" t="n">
        <v>0</v>
      </c>
      <c r="N407" t="n">
        <v>0</v>
      </c>
      <c r="O407" t="n">
        <v>0</v>
      </c>
      <c r="P407" t="n">
        <v>0</v>
      </c>
      <c r="Q407" t="n">
        <v>0</v>
      </c>
      <c r="R407" s="2" t="inlineStr"/>
    </row>
    <row r="408" ht="15" customHeight="1">
      <c r="A408" t="inlineStr">
        <is>
          <t>A 33942-2020</t>
        </is>
      </c>
      <c r="B408" s="1" t="n">
        <v>44028</v>
      </c>
      <c r="C408" s="1" t="n">
        <v>45728</v>
      </c>
      <c r="D408" t="inlineStr">
        <is>
          <t>JÄMTLANDS LÄN</t>
        </is>
      </c>
      <c r="E408" t="inlineStr">
        <is>
          <t>HÄRJEDALEN</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34894-2020</t>
        </is>
      </c>
      <c r="B409" s="1" t="n">
        <v>44036</v>
      </c>
      <c r="C409" s="1" t="n">
        <v>45728</v>
      </c>
      <c r="D409" t="inlineStr">
        <is>
          <t>JÄMTLANDS LÄN</t>
        </is>
      </c>
      <c r="E409" t="inlineStr">
        <is>
          <t>HÄRJEDALEN</t>
        </is>
      </c>
      <c r="G409" t="n">
        <v>4</v>
      </c>
      <c r="H409" t="n">
        <v>0</v>
      </c>
      <c r="I409" t="n">
        <v>0</v>
      </c>
      <c r="J409" t="n">
        <v>0</v>
      </c>
      <c r="K409" t="n">
        <v>0</v>
      </c>
      <c r="L409" t="n">
        <v>0</v>
      </c>
      <c r="M409" t="n">
        <v>0</v>
      </c>
      <c r="N409" t="n">
        <v>0</v>
      </c>
      <c r="O409" t="n">
        <v>0</v>
      </c>
      <c r="P409" t="n">
        <v>0</v>
      </c>
      <c r="Q409" t="n">
        <v>0</v>
      </c>
      <c r="R409" s="2" t="inlineStr"/>
    </row>
    <row r="410" ht="15" customHeight="1">
      <c r="A410" t="inlineStr">
        <is>
          <t>A 34900-2020</t>
        </is>
      </c>
      <c r="B410" s="1" t="n">
        <v>44036</v>
      </c>
      <c r="C410" s="1" t="n">
        <v>45728</v>
      </c>
      <c r="D410" t="inlineStr">
        <is>
          <t>JÄMTLANDS LÄN</t>
        </is>
      </c>
      <c r="E410" t="inlineStr">
        <is>
          <t>HÄRJEDALEN</t>
        </is>
      </c>
      <c r="G410" t="n">
        <v>13.1</v>
      </c>
      <c r="H410" t="n">
        <v>0</v>
      </c>
      <c r="I410" t="n">
        <v>0</v>
      </c>
      <c r="J410" t="n">
        <v>0</v>
      </c>
      <c r="K410" t="n">
        <v>0</v>
      </c>
      <c r="L410" t="n">
        <v>0</v>
      </c>
      <c r="M410" t="n">
        <v>0</v>
      </c>
      <c r="N410" t="n">
        <v>0</v>
      </c>
      <c r="O410" t="n">
        <v>0</v>
      </c>
      <c r="P410" t="n">
        <v>0</v>
      </c>
      <c r="Q410" t="n">
        <v>0</v>
      </c>
      <c r="R410" s="2" t="inlineStr"/>
    </row>
    <row r="411" ht="15" customHeight="1">
      <c r="A411" t="inlineStr">
        <is>
          <t>A 34975-2020</t>
        </is>
      </c>
      <c r="B411" s="1" t="n">
        <v>44039</v>
      </c>
      <c r="C411" s="1" t="n">
        <v>45728</v>
      </c>
      <c r="D411" t="inlineStr">
        <is>
          <t>JÄMTLANDS LÄN</t>
        </is>
      </c>
      <c r="E411" t="inlineStr">
        <is>
          <t>HÄRJEDALEN</t>
        </is>
      </c>
      <c r="G411" t="n">
        <v>1.8</v>
      </c>
      <c r="H411" t="n">
        <v>0</v>
      </c>
      <c r="I411" t="n">
        <v>0</v>
      </c>
      <c r="J411" t="n">
        <v>0</v>
      </c>
      <c r="K411" t="n">
        <v>0</v>
      </c>
      <c r="L411" t="n">
        <v>0</v>
      </c>
      <c r="M411" t="n">
        <v>0</v>
      </c>
      <c r="N411" t="n">
        <v>0</v>
      </c>
      <c r="O411" t="n">
        <v>0</v>
      </c>
      <c r="P411" t="n">
        <v>0</v>
      </c>
      <c r="Q411" t="n">
        <v>0</v>
      </c>
      <c r="R411" s="2" t="inlineStr"/>
    </row>
    <row r="412" ht="15" customHeight="1">
      <c r="A412" t="inlineStr">
        <is>
          <t>A 34963-2020</t>
        </is>
      </c>
      <c r="B412" s="1" t="n">
        <v>44039</v>
      </c>
      <c r="C412" s="1" t="n">
        <v>45728</v>
      </c>
      <c r="D412" t="inlineStr">
        <is>
          <t>JÄMTLANDS LÄN</t>
        </is>
      </c>
      <c r="E412" t="inlineStr">
        <is>
          <t>HÄRJEDALEN</t>
        </is>
      </c>
      <c r="G412" t="n">
        <v>1.2</v>
      </c>
      <c r="H412" t="n">
        <v>0</v>
      </c>
      <c r="I412" t="n">
        <v>0</v>
      </c>
      <c r="J412" t="n">
        <v>0</v>
      </c>
      <c r="K412" t="n">
        <v>0</v>
      </c>
      <c r="L412" t="n">
        <v>0</v>
      </c>
      <c r="M412" t="n">
        <v>0</v>
      </c>
      <c r="N412" t="n">
        <v>0</v>
      </c>
      <c r="O412" t="n">
        <v>0</v>
      </c>
      <c r="P412" t="n">
        <v>0</v>
      </c>
      <c r="Q412" t="n">
        <v>0</v>
      </c>
      <c r="R412" s="2" t="inlineStr"/>
    </row>
    <row r="413" ht="15" customHeight="1">
      <c r="A413" t="inlineStr">
        <is>
          <t>A 35160-2020</t>
        </is>
      </c>
      <c r="B413" s="1" t="n">
        <v>44040</v>
      </c>
      <c r="C413" s="1" t="n">
        <v>45728</v>
      </c>
      <c r="D413" t="inlineStr">
        <is>
          <t>JÄMTLANDS LÄN</t>
        </is>
      </c>
      <c r="E413" t="inlineStr">
        <is>
          <t>HÄRJEDALEN</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35436-2020</t>
        </is>
      </c>
      <c r="B414" s="1" t="n">
        <v>44042</v>
      </c>
      <c r="C414" s="1" t="n">
        <v>45728</v>
      </c>
      <c r="D414" t="inlineStr">
        <is>
          <t>JÄMTLANDS LÄN</t>
        </is>
      </c>
      <c r="E414" t="inlineStr">
        <is>
          <t>HÄRJEDALEN</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35548-2020</t>
        </is>
      </c>
      <c r="B415" s="1" t="n">
        <v>44043</v>
      </c>
      <c r="C415" s="1" t="n">
        <v>45728</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36471-2020</t>
        </is>
      </c>
      <c r="B416" s="1" t="n">
        <v>44050</v>
      </c>
      <c r="C416" s="1" t="n">
        <v>45728</v>
      </c>
      <c r="D416" t="inlineStr">
        <is>
          <t>JÄMTLANDS LÄN</t>
        </is>
      </c>
      <c r="E416" t="inlineStr">
        <is>
          <t>HÄRJEDALEN</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36790-2020</t>
        </is>
      </c>
      <c r="B417" s="1" t="n">
        <v>44053</v>
      </c>
      <c r="C417" s="1" t="n">
        <v>45728</v>
      </c>
      <c r="D417" t="inlineStr">
        <is>
          <t>JÄMTLANDS LÄN</t>
        </is>
      </c>
      <c r="E417" t="inlineStr">
        <is>
          <t>HÄRJEDALEN</t>
        </is>
      </c>
      <c r="G417" t="n">
        <v>3.8</v>
      </c>
      <c r="H417" t="n">
        <v>0</v>
      </c>
      <c r="I417" t="n">
        <v>0</v>
      </c>
      <c r="J417" t="n">
        <v>0</v>
      </c>
      <c r="K417" t="n">
        <v>0</v>
      </c>
      <c r="L417" t="n">
        <v>0</v>
      </c>
      <c r="M417" t="n">
        <v>0</v>
      </c>
      <c r="N417" t="n">
        <v>0</v>
      </c>
      <c r="O417" t="n">
        <v>0</v>
      </c>
      <c r="P417" t="n">
        <v>0</v>
      </c>
      <c r="Q417" t="n">
        <v>0</v>
      </c>
      <c r="R417" s="2" t="inlineStr"/>
    </row>
    <row r="418" ht="15" customHeight="1">
      <c r="A418" t="inlineStr">
        <is>
          <t>A 37780-2020</t>
        </is>
      </c>
      <c r="B418" s="1" t="n">
        <v>44056</v>
      </c>
      <c r="C418" s="1" t="n">
        <v>45728</v>
      </c>
      <c r="D418" t="inlineStr">
        <is>
          <t>JÄMTLANDS LÄN</t>
        </is>
      </c>
      <c r="E418" t="inlineStr">
        <is>
          <t>HÄRJEDALEN</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38044-2020</t>
        </is>
      </c>
      <c r="B419" s="1" t="n">
        <v>44057</v>
      </c>
      <c r="C419" s="1" t="n">
        <v>45728</v>
      </c>
      <c r="D419" t="inlineStr">
        <is>
          <t>JÄMTLANDS LÄN</t>
        </is>
      </c>
      <c r="E419" t="inlineStr">
        <is>
          <t>HÄRJEDALEN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38107-2020</t>
        </is>
      </c>
      <c r="B420" s="1" t="n">
        <v>44057</v>
      </c>
      <c r="C420" s="1" t="n">
        <v>45728</v>
      </c>
      <c r="D420" t="inlineStr">
        <is>
          <t>JÄMTLANDS LÄN</t>
        </is>
      </c>
      <c r="E420" t="inlineStr">
        <is>
          <t>HÄRJEDALEN</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38403-2020</t>
        </is>
      </c>
      <c r="B421" s="1" t="n">
        <v>44060</v>
      </c>
      <c r="C421" s="1" t="n">
        <v>45728</v>
      </c>
      <c r="D421" t="inlineStr">
        <is>
          <t>JÄMTLANDS LÄN</t>
        </is>
      </c>
      <c r="E421" t="inlineStr">
        <is>
          <t>HÄRJEDALEN</t>
        </is>
      </c>
      <c r="G421" t="n">
        <v>4.7</v>
      </c>
      <c r="H421" t="n">
        <v>0</v>
      </c>
      <c r="I421" t="n">
        <v>0</v>
      </c>
      <c r="J421" t="n">
        <v>0</v>
      </c>
      <c r="K421" t="n">
        <v>0</v>
      </c>
      <c r="L421" t="n">
        <v>0</v>
      </c>
      <c r="M421" t="n">
        <v>0</v>
      </c>
      <c r="N421" t="n">
        <v>0</v>
      </c>
      <c r="O421" t="n">
        <v>0</v>
      </c>
      <c r="P421" t="n">
        <v>0</v>
      </c>
      <c r="Q421" t="n">
        <v>0</v>
      </c>
      <c r="R421" s="2" t="inlineStr"/>
      <c r="U421">
        <f>HYPERLINK("https://klasma.github.io/Logging_2361/knärot/A 38403-2020 karta knärot.png", "A 38403-2020")</f>
        <v/>
      </c>
      <c r="V421">
        <f>HYPERLINK("https://klasma.github.io/Logging_2361/klagomål/A 38403-2020 FSC-klagomål.docx", "A 38403-2020")</f>
        <v/>
      </c>
      <c r="W421">
        <f>HYPERLINK("https://klasma.github.io/Logging_2361/klagomålsmail/A 38403-2020 FSC-klagomål mail.docx", "A 38403-2020")</f>
        <v/>
      </c>
      <c r="X421">
        <f>HYPERLINK("https://klasma.github.io/Logging_2361/tillsyn/A 38403-2020 tillsynsbegäran.docx", "A 38403-2020")</f>
        <v/>
      </c>
      <c r="Y421">
        <f>HYPERLINK("https://klasma.github.io/Logging_2361/tillsynsmail/A 38403-2020 tillsynsbegäran mail.docx", "A 38403-2020")</f>
        <v/>
      </c>
    </row>
    <row r="422" ht="15" customHeight="1">
      <c r="A422" t="inlineStr">
        <is>
          <t>A 42078-2020</t>
        </is>
      </c>
      <c r="B422" s="1" t="n">
        <v>44075</v>
      </c>
      <c r="C422" s="1" t="n">
        <v>45728</v>
      </c>
      <c r="D422" t="inlineStr">
        <is>
          <t>JÄMTLANDS LÄN</t>
        </is>
      </c>
      <c r="E422" t="inlineStr">
        <is>
          <t>HÄRJEDALEN</t>
        </is>
      </c>
      <c r="G422" t="n">
        <v>3.9</v>
      </c>
      <c r="H422" t="n">
        <v>0</v>
      </c>
      <c r="I422" t="n">
        <v>0</v>
      </c>
      <c r="J422" t="n">
        <v>0</v>
      </c>
      <c r="K422" t="n">
        <v>0</v>
      </c>
      <c r="L422" t="n">
        <v>0</v>
      </c>
      <c r="M422" t="n">
        <v>0</v>
      </c>
      <c r="N422" t="n">
        <v>0</v>
      </c>
      <c r="O422" t="n">
        <v>0</v>
      </c>
      <c r="P422" t="n">
        <v>0</v>
      </c>
      <c r="Q422" t="n">
        <v>0</v>
      </c>
      <c r="R422" s="2" t="inlineStr"/>
    </row>
    <row r="423" ht="15" customHeight="1">
      <c r="A423" t="inlineStr">
        <is>
          <t>A 43417-2020</t>
        </is>
      </c>
      <c r="B423" s="1" t="n">
        <v>44078</v>
      </c>
      <c r="C423" s="1" t="n">
        <v>45728</v>
      </c>
      <c r="D423" t="inlineStr">
        <is>
          <t>JÄMTLANDS LÄN</t>
        </is>
      </c>
      <c r="E423" t="inlineStr">
        <is>
          <t>HÄRJEDALEN</t>
        </is>
      </c>
      <c r="G423" t="n">
        <v>8</v>
      </c>
      <c r="H423" t="n">
        <v>0</v>
      </c>
      <c r="I423" t="n">
        <v>0</v>
      </c>
      <c r="J423" t="n">
        <v>0</v>
      </c>
      <c r="K423" t="n">
        <v>0</v>
      </c>
      <c r="L423" t="n">
        <v>0</v>
      </c>
      <c r="M423" t="n">
        <v>0</v>
      </c>
      <c r="N423" t="n">
        <v>0</v>
      </c>
      <c r="O423" t="n">
        <v>0</v>
      </c>
      <c r="P423" t="n">
        <v>0</v>
      </c>
      <c r="Q423" t="n">
        <v>0</v>
      </c>
      <c r="R423" s="2" t="inlineStr"/>
    </row>
    <row r="424" ht="15" customHeight="1">
      <c r="A424" t="inlineStr">
        <is>
          <t>A 43748-2020</t>
        </is>
      </c>
      <c r="B424" s="1" t="n">
        <v>44082</v>
      </c>
      <c r="C424" s="1" t="n">
        <v>45728</v>
      </c>
      <c r="D424" t="inlineStr">
        <is>
          <t>JÄMTLANDS LÄN</t>
        </is>
      </c>
      <c r="E424" t="inlineStr">
        <is>
          <t>HÄRJEDALEN</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43750-2020</t>
        </is>
      </c>
      <c r="B425" s="1" t="n">
        <v>44082</v>
      </c>
      <c r="C425" s="1" t="n">
        <v>45728</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44381-2020</t>
        </is>
      </c>
      <c r="B426" s="1" t="n">
        <v>44084</v>
      </c>
      <c r="C426" s="1" t="n">
        <v>45728</v>
      </c>
      <c r="D426" t="inlineStr">
        <is>
          <t>JÄMTLANDS LÄN</t>
        </is>
      </c>
      <c r="E426" t="inlineStr">
        <is>
          <t>HÄRJEDALEN</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45426-2020</t>
        </is>
      </c>
      <c r="B427" s="1" t="n">
        <v>44088</v>
      </c>
      <c r="C427" s="1" t="n">
        <v>45728</v>
      </c>
      <c r="D427" t="inlineStr">
        <is>
          <t>JÄMTLANDS LÄN</t>
        </is>
      </c>
      <c r="E427" t="inlineStr">
        <is>
          <t>HÄRJEDALEN</t>
        </is>
      </c>
      <c r="G427" t="n">
        <v>6.1</v>
      </c>
      <c r="H427" t="n">
        <v>0</v>
      </c>
      <c r="I427" t="n">
        <v>0</v>
      </c>
      <c r="J427" t="n">
        <v>0</v>
      </c>
      <c r="K427" t="n">
        <v>0</v>
      </c>
      <c r="L427" t="n">
        <v>0</v>
      </c>
      <c r="M427" t="n">
        <v>0</v>
      </c>
      <c r="N427" t="n">
        <v>0</v>
      </c>
      <c r="O427" t="n">
        <v>0</v>
      </c>
      <c r="P427" t="n">
        <v>0</v>
      </c>
      <c r="Q427" t="n">
        <v>0</v>
      </c>
      <c r="R427" s="2" t="inlineStr"/>
    </row>
    <row r="428" ht="15" customHeight="1">
      <c r="A428" t="inlineStr">
        <is>
          <t>A 45866-2020</t>
        </is>
      </c>
      <c r="B428" s="1" t="n">
        <v>44091</v>
      </c>
      <c r="C428" s="1" t="n">
        <v>45728</v>
      </c>
      <c r="D428" t="inlineStr">
        <is>
          <t>JÄMTLANDS LÄN</t>
        </is>
      </c>
      <c r="E428" t="inlineStr">
        <is>
          <t>HÄRJEDALEN</t>
        </is>
      </c>
      <c r="G428" t="n">
        <v>0.2</v>
      </c>
      <c r="H428" t="n">
        <v>0</v>
      </c>
      <c r="I428" t="n">
        <v>0</v>
      </c>
      <c r="J428" t="n">
        <v>0</v>
      </c>
      <c r="K428" t="n">
        <v>0</v>
      </c>
      <c r="L428" t="n">
        <v>0</v>
      </c>
      <c r="M428" t="n">
        <v>0</v>
      </c>
      <c r="N428" t="n">
        <v>0</v>
      </c>
      <c r="O428" t="n">
        <v>0</v>
      </c>
      <c r="P428" t="n">
        <v>0</v>
      </c>
      <c r="Q428" t="n">
        <v>0</v>
      </c>
      <c r="R428" s="2" t="inlineStr"/>
    </row>
    <row r="429" ht="15" customHeight="1">
      <c r="A429" t="inlineStr">
        <is>
          <t>A 46103-2020</t>
        </is>
      </c>
      <c r="B429" s="1" t="n">
        <v>44091</v>
      </c>
      <c r="C429" s="1" t="n">
        <v>45728</v>
      </c>
      <c r="D429" t="inlineStr">
        <is>
          <t>JÄMTLANDS LÄN</t>
        </is>
      </c>
      <c r="E429" t="inlineStr">
        <is>
          <t>HÄRJEDALEN</t>
        </is>
      </c>
      <c r="G429" t="n">
        <v>2.8</v>
      </c>
      <c r="H429" t="n">
        <v>0</v>
      </c>
      <c r="I429" t="n">
        <v>0</v>
      </c>
      <c r="J429" t="n">
        <v>0</v>
      </c>
      <c r="K429" t="n">
        <v>0</v>
      </c>
      <c r="L429" t="n">
        <v>0</v>
      </c>
      <c r="M429" t="n">
        <v>0</v>
      </c>
      <c r="N429" t="n">
        <v>0</v>
      </c>
      <c r="O429" t="n">
        <v>0</v>
      </c>
      <c r="P429" t="n">
        <v>0</v>
      </c>
      <c r="Q429" t="n">
        <v>0</v>
      </c>
      <c r="R429" s="2" t="inlineStr"/>
    </row>
    <row r="430" ht="15" customHeight="1">
      <c r="A430" t="inlineStr">
        <is>
          <t>A 46310-2020</t>
        </is>
      </c>
      <c r="B430" s="1" t="n">
        <v>44092</v>
      </c>
      <c r="C430" s="1" t="n">
        <v>45728</v>
      </c>
      <c r="D430" t="inlineStr">
        <is>
          <t>JÄMTLANDS LÄN</t>
        </is>
      </c>
      <c r="E430" t="inlineStr">
        <is>
          <t>HÄRJEDALEN</t>
        </is>
      </c>
      <c r="F430" t="inlineStr">
        <is>
          <t>Bergvik skog väst AB</t>
        </is>
      </c>
      <c r="G430" t="n">
        <v>26.6</v>
      </c>
      <c r="H430" t="n">
        <v>0</v>
      </c>
      <c r="I430" t="n">
        <v>0</v>
      </c>
      <c r="J430" t="n">
        <v>0</v>
      </c>
      <c r="K430" t="n">
        <v>0</v>
      </c>
      <c r="L430" t="n">
        <v>0</v>
      </c>
      <c r="M430" t="n">
        <v>0</v>
      </c>
      <c r="N430" t="n">
        <v>0</v>
      </c>
      <c r="O430" t="n">
        <v>0</v>
      </c>
      <c r="P430" t="n">
        <v>0</v>
      </c>
      <c r="Q430" t="n">
        <v>0</v>
      </c>
      <c r="R430" s="2" t="inlineStr"/>
    </row>
    <row r="431" ht="15" customHeight="1">
      <c r="A431" t="inlineStr">
        <is>
          <t>A 49430-2020</t>
        </is>
      </c>
      <c r="B431" s="1" t="n">
        <v>44102</v>
      </c>
      <c r="C431" s="1" t="n">
        <v>45728</v>
      </c>
      <c r="D431" t="inlineStr">
        <is>
          <t>JÄMTLANDS LÄN</t>
        </is>
      </c>
      <c r="E431" t="inlineStr">
        <is>
          <t>HÄRJEDALEN</t>
        </is>
      </c>
      <c r="G431" t="n">
        <v>8</v>
      </c>
      <c r="H431" t="n">
        <v>0</v>
      </c>
      <c r="I431" t="n">
        <v>0</v>
      </c>
      <c r="J431" t="n">
        <v>0</v>
      </c>
      <c r="K431" t="n">
        <v>0</v>
      </c>
      <c r="L431" t="n">
        <v>0</v>
      </c>
      <c r="M431" t="n">
        <v>0</v>
      </c>
      <c r="N431" t="n">
        <v>0</v>
      </c>
      <c r="O431" t="n">
        <v>0</v>
      </c>
      <c r="P431" t="n">
        <v>0</v>
      </c>
      <c r="Q431" t="n">
        <v>0</v>
      </c>
      <c r="R431" s="2" t="inlineStr"/>
    </row>
    <row r="432" ht="15" customHeight="1">
      <c r="A432" t="inlineStr">
        <is>
          <t>A 49447-2020</t>
        </is>
      </c>
      <c r="B432" s="1" t="n">
        <v>44102</v>
      </c>
      <c r="C432" s="1" t="n">
        <v>45728</v>
      </c>
      <c r="D432" t="inlineStr">
        <is>
          <t>JÄMTLANDS LÄN</t>
        </is>
      </c>
      <c r="E432" t="inlineStr">
        <is>
          <t>HÄRJEDALEN</t>
        </is>
      </c>
      <c r="F432" t="inlineStr">
        <is>
          <t>Bergvik skog väst AB</t>
        </is>
      </c>
      <c r="G432" t="n">
        <v>8.4</v>
      </c>
      <c r="H432" t="n">
        <v>0</v>
      </c>
      <c r="I432" t="n">
        <v>0</v>
      </c>
      <c r="J432" t="n">
        <v>0</v>
      </c>
      <c r="K432" t="n">
        <v>0</v>
      </c>
      <c r="L432" t="n">
        <v>0</v>
      </c>
      <c r="M432" t="n">
        <v>0</v>
      </c>
      <c r="N432" t="n">
        <v>0</v>
      </c>
      <c r="O432" t="n">
        <v>0</v>
      </c>
      <c r="P432" t="n">
        <v>0</v>
      </c>
      <c r="Q432" t="n">
        <v>0</v>
      </c>
      <c r="R432" s="2" t="inlineStr"/>
    </row>
    <row r="433" ht="15" customHeight="1">
      <c r="A433" t="inlineStr">
        <is>
          <t>A 49248-2020</t>
        </is>
      </c>
      <c r="B433" s="1" t="n">
        <v>44105</v>
      </c>
      <c r="C433" s="1" t="n">
        <v>45728</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49903-2020</t>
        </is>
      </c>
      <c r="B434" s="1" t="n">
        <v>44108</v>
      </c>
      <c r="C434" s="1" t="n">
        <v>45728</v>
      </c>
      <c r="D434" t="inlineStr">
        <is>
          <t>JÄMTLANDS LÄN</t>
        </is>
      </c>
      <c r="E434" t="inlineStr">
        <is>
          <t>HÄRJEDALEN</t>
        </is>
      </c>
      <c r="G434" t="n">
        <v>1.9</v>
      </c>
      <c r="H434" t="n">
        <v>0</v>
      </c>
      <c r="I434" t="n">
        <v>0</v>
      </c>
      <c r="J434" t="n">
        <v>0</v>
      </c>
      <c r="K434" t="n">
        <v>0</v>
      </c>
      <c r="L434" t="n">
        <v>0</v>
      </c>
      <c r="M434" t="n">
        <v>0</v>
      </c>
      <c r="N434" t="n">
        <v>0</v>
      </c>
      <c r="O434" t="n">
        <v>0</v>
      </c>
      <c r="P434" t="n">
        <v>0</v>
      </c>
      <c r="Q434" t="n">
        <v>0</v>
      </c>
      <c r="R434" s="2" t="inlineStr"/>
    </row>
    <row r="435" ht="15" customHeight="1">
      <c r="A435" t="inlineStr">
        <is>
          <t>A 50018-2020</t>
        </is>
      </c>
      <c r="B435" s="1" t="n">
        <v>44109</v>
      </c>
      <c r="C435" s="1" t="n">
        <v>45728</v>
      </c>
      <c r="D435" t="inlineStr">
        <is>
          <t>JÄMTLANDS LÄN</t>
        </is>
      </c>
      <c r="E435" t="inlineStr">
        <is>
          <t>HÄRJEDALEN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54481-2020</t>
        </is>
      </c>
      <c r="B436" s="1" t="n">
        <v>44126</v>
      </c>
      <c r="C436" s="1" t="n">
        <v>45728</v>
      </c>
      <c r="D436" t="inlineStr">
        <is>
          <t>JÄMTLANDS LÄN</t>
        </is>
      </c>
      <c r="E436" t="inlineStr">
        <is>
          <t>HÄRJEDALEN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54537-2020</t>
        </is>
      </c>
      <c r="B437" s="1" t="n">
        <v>44126</v>
      </c>
      <c r="C437" s="1" t="n">
        <v>45728</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54593-2020</t>
        </is>
      </c>
      <c r="B438" s="1" t="n">
        <v>44126</v>
      </c>
      <c r="C438" s="1" t="n">
        <v>45728</v>
      </c>
      <c r="D438" t="inlineStr">
        <is>
          <t>JÄMTLANDS LÄN</t>
        </is>
      </c>
      <c r="E438" t="inlineStr">
        <is>
          <t>HÄRJEDALEN</t>
        </is>
      </c>
      <c r="G438" t="n">
        <v>6.5</v>
      </c>
      <c r="H438" t="n">
        <v>0</v>
      </c>
      <c r="I438" t="n">
        <v>0</v>
      </c>
      <c r="J438" t="n">
        <v>0</v>
      </c>
      <c r="K438" t="n">
        <v>0</v>
      </c>
      <c r="L438" t="n">
        <v>0</v>
      </c>
      <c r="M438" t="n">
        <v>0</v>
      </c>
      <c r="N438" t="n">
        <v>0</v>
      </c>
      <c r="O438" t="n">
        <v>0</v>
      </c>
      <c r="P438" t="n">
        <v>0</v>
      </c>
      <c r="Q438" t="n">
        <v>0</v>
      </c>
      <c r="R438" s="2" t="inlineStr"/>
    </row>
    <row r="439" ht="15" customHeight="1">
      <c r="A439" t="inlineStr">
        <is>
          <t>A 54716-2020</t>
        </is>
      </c>
      <c r="B439" s="1" t="n">
        <v>44127</v>
      </c>
      <c r="C439" s="1" t="n">
        <v>45728</v>
      </c>
      <c r="D439" t="inlineStr">
        <is>
          <t>JÄMTLANDS LÄN</t>
        </is>
      </c>
      <c r="E439" t="inlineStr">
        <is>
          <t>HÄRJEDALEN</t>
        </is>
      </c>
      <c r="F439" t="inlineStr">
        <is>
          <t>Kyrkan</t>
        </is>
      </c>
      <c r="G439" t="n">
        <v>21.3</v>
      </c>
      <c r="H439" t="n">
        <v>0</v>
      </c>
      <c r="I439" t="n">
        <v>0</v>
      </c>
      <c r="J439" t="n">
        <v>0</v>
      </c>
      <c r="K439" t="n">
        <v>0</v>
      </c>
      <c r="L439" t="n">
        <v>0</v>
      </c>
      <c r="M439" t="n">
        <v>0</v>
      </c>
      <c r="N439" t="n">
        <v>0</v>
      </c>
      <c r="O439" t="n">
        <v>0</v>
      </c>
      <c r="P439" t="n">
        <v>0</v>
      </c>
      <c r="Q439" t="n">
        <v>0</v>
      </c>
      <c r="R439" s="2" t="inlineStr"/>
    </row>
    <row r="440" ht="15" customHeight="1">
      <c r="A440" t="inlineStr">
        <is>
          <t>A 55834-2020</t>
        </is>
      </c>
      <c r="B440" s="1" t="n">
        <v>44132</v>
      </c>
      <c r="C440" s="1" t="n">
        <v>45728</v>
      </c>
      <c r="D440" t="inlineStr">
        <is>
          <t>JÄMTLANDS LÄN</t>
        </is>
      </c>
      <c r="E440" t="inlineStr">
        <is>
          <t>HÄRJEDALEN</t>
        </is>
      </c>
      <c r="G440" t="n">
        <v>2.8</v>
      </c>
      <c r="H440" t="n">
        <v>0</v>
      </c>
      <c r="I440" t="n">
        <v>0</v>
      </c>
      <c r="J440" t="n">
        <v>0</v>
      </c>
      <c r="K440" t="n">
        <v>0</v>
      </c>
      <c r="L440" t="n">
        <v>0</v>
      </c>
      <c r="M440" t="n">
        <v>0</v>
      </c>
      <c r="N440" t="n">
        <v>0</v>
      </c>
      <c r="O440" t="n">
        <v>0</v>
      </c>
      <c r="P440" t="n">
        <v>0</v>
      </c>
      <c r="Q440" t="n">
        <v>0</v>
      </c>
      <c r="R440" s="2" t="inlineStr"/>
    </row>
    <row r="441" ht="15" customHeight="1">
      <c r="A441" t="inlineStr">
        <is>
          <t>A 56001-2020</t>
        </is>
      </c>
      <c r="B441" s="1" t="n">
        <v>44133</v>
      </c>
      <c r="C441" s="1" t="n">
        <v>45728</v>
      </c>
      <c r="D441" t="inlineStr">
        <is>
          <t>JÄMTLANDS LÄN</t>
        </is>
      </c>
      <c r="E441" t="inlineStr">
        <is>
          <t>HÄRJEDALEN</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57196-2020</t>
        </is>
      </c>
      <c r="B442" s="1" t="n">
        <v>44139</v>
      </c>
      <c r="C442" s="1" t="n">
        <v>45728</v>
      </c>
      <c r="D442" t="inlineStr">
        <is>
          <t>JÄMTLANDS LÄN</t>
        </is>
      </c>
      <c r="E442" t="inlineStr">
        <is>
          <t>HÄRJEDALEN</t>
        </is>
      </c>
      <c r="G442" t="n">
        <v>15.1</v>
      </c>
      <c r="H442" t="n">
        <v>0</v>
      </c>
      <c r="I442" t="n">
        <v>0</v>
      </c>
      <c r="J442" t="n">
        <v>0</v>
      </c>
      <c r="K442" t="n">
        <v>0</v>
      </c>
      <c r="L442" t="n">
        <v>0</v>
      </c>
      <c r="M442" t="n">
        <v>0</v>
      </c>
      <c r="N442" t="n">
        <v>0</v>
      </c>
      <c r="O442" t="n">
        <v>0</v>
      </c>
      <c r="P442" t="n">
        <v>0</v>
      </c>
      <c r="Q442" t="n">
        <v>0</v>
      </c>
      <c r="R442" s="2" t="inlineStr"/>
    </row>
    <row r="443" ht="15" customHeight="1">
      <c r="A443" t="inlineStr">
        <is>
          <t>A 59533-2020</t>
        </is>
      </c>
      <c r="B443" s="1" t="n">
        <v>44148</v>
      </c>
      <c r="C443" s="1" t="n">
        <v>45728</v>
      </c>
      <c r="D443" t="inlineStr">
        <is>
          <t>JÄMTLANDS LÄN</t>
        </is>
      </c>
      <c r="E443" t="inlineStr">
        <is>
          <t>HÄRJEDALEN</t>
        </is>
      </c>
      <c r="F443" t="inlineStr">
        <is>
          <t>Holmen skog AB</t>
        </is>
      </c>
      <c r="G443" t="n">
        <v>38.3</v>
      </c>
      <c r="H443" t="n">
        <v>0</v>
      </c>
      <c r="I443" t="n">
        <v>0</v>
      </c>
      <c r="J443" t="n">
        <v>0</v>
      </c>
      <c r="K443" t="n">
        <v>0</v>
      </c>
      <c r="L443" t="n">
        <v>0</v>
      </c>
      <c r="M443" t="n">
        <v>0</v>
      </c>
      <c r="N443" t="n">
        <v>0</v>
      </c>
      <c r="O443" t="n">
        <v>0</v>
      </c>
      <c r="P443" t="n">
        <v>0</v>
      </c>
      <c r="Q443" t="n">
        <v>0</v>
      </c>
      <c r="R443" s="2" t="inlineStr"/>
    </row>
    <row r="444" ht="15" customHeight="1">
      <c r="A444" t="inlineStr">
        <is>
          <t>A 60087-2020</t>
        </is>
      </c>
      <c r="B444" s="1" t="n">
        <v>44151</v>
      </c>
      <c r="C444" s="1" t="n">
        <v>45728</v>
      </c>
      <c r="D444" t="inlineStr">
        <is>
          <t>JÄMTLANDS LÄN</t>
        </is>
      </c>
      <c r="E444" t="inlineStr">
        <is>
          <t>HÄRJEDALEN</t>
        </is>
      </c>
      <c r="G444" t="n">
        <v>9.4</v>
      </c>
      <c r="H444" t="n">
        <v>0</v>
      </c>
      <c r="I444" t="n">
        <v>0</v>
      </c>
      <c r="J444" t="n">
        <v>0</v>
      </c>
      <c r="K444" t="n">
        <v>0</v>
      </c>
      <c r="L444" t="n">
        <v>0</v>
      </c>
      <c r="M444" t="n">
        <v>0</v>
      </c>
      <c r="N444" t="n">
        <v>0</v>
      </c>
      <c r="O444" t="n">
        <v>0</v>
      </c>
      <c r="P444" t="n">
        <v>0</v>
      </c>
      <c r="Q444" t="n">
        <v>0</v>
      </c>
      <c r="R444" s="2" t="inlineStr"/>
    </row>
    <row r="445" ht="15" customHeight="1">
      <c r="A445" t="inlineStr">
        <is>
          <t>A 60424-2020</t>
        </is>
      </c>
      <c r="B445" s="1" t="n">
        <v>44153</v>
      </c>
      <c r="C445" s="1" t="n">
        <v>45728</v>
      </c>
      <c r="D445" t="inlineStr">
        <is>
          <t>JÄMTLANDS LÄN</t>
        </is>
      </c>
      <c r="E445" t="inlineStr">
        <is>
          <t>HÄRJEDALEN</t>
        </is>
      </c>
      <c r="F445" t="inlineStr">
        <is>
          <t>Holmen skog AB</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60429-2020</t>
        </is>
      </c>
      <c r="B446" s="1" t="n">
        <v>44153</v>
      </c>
      <c r="C446" s="1" t="n">
        <v>45728</v>
      </c>
      <c r="D446" t="inlineStr">
        <is>
          <t>JÄMTLANDS LÄN</t>
        </is>
      </c>
      <c r="E446" t="inlineStr">
        <is>
          <t>HÄRJEDALEN</t>
        </is>
      </c>
      <c r="G446" t="n">
        <v>1.1</v>
      </c>
      <c r="H446" t="n">
        <v>0</v>
      </c>
      <c r="I446" t="n">
        <v>0</v>
      </c>
      <c r="J446" t="n">
        <v>0</v>
      </c>
      <c r="K446" t="n">
        <v>0</v>
      </c>
      <c r="L446" t="n">
        <v>0</v>
      </c>
      <c r="M446" t="n">
        <v>0</v>
      </c>
      <c r="N446" t="n">
        <v>0</v>
      </c>
      <c r="O446" t="n">
        <v>0</v>
      </c>
      <c r="P446" t="n">
        <v>0</v>
      </c>
      <c r="Q446" t="n">
        <v>0</v>
      </c>
      <c r="R446" s="2" t="inlineStr"/>
    </row>
    <row r="447" ht="15" customHeight="1">
      <c r="A447" t="inlineStr">
        <is>
          <t>A 60606-2020</t>
        </is>
      </c>
      <c r="B447" s="1" t="n">
        <v>44153</v>
      </c>
      <c r="C447" s="1" t="n">
        <v>45728</v>
      </c>
      <c r="D447" t="inlineStr">
        <is>
          <t>JÄMTLANDS LÄN</t>
        </is>
      </c>
      <c r="E447" t="inlineStr">
        <is>
          <t>HÄRJEDALEN</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60422-2020</t>
        </is>
      </c>
      <c r="B448" s="1" t="n">
        <v>44153</v>
      </c>
      <c r="C448" s="1" t="n">
        <v>45728</v>
      </c>
      <c r="D448" t="inlineStr">
        <is>
          <t>JÄMTLANDS LÄN</t>
        </is>
      </c>
      <c r="E448" t="inlineStr">
        <is>
          <t>HÄRJEDALEN</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60836-2020</t>
        </is>
      </c>
      <c r="B449" s="1" t="n">
        <v>44154</v>
      </c>
      <c r="C449" s="1" t="n">
        <v>45728</v>
      </c>
      <c r="D449" t="inlineStr">
        <is>
          <t>JÄMTLANDS LÄN</t>
        </is>
      </c>
      <c r="E449" t="inlineStr">
        <is>
          <t>HÄRJEDALEN</t>
        </is>
      </c>
      <c r="G449" t="n">
        <v>2.5</v>
      </c>
      <c r="H449" t="n">
        <v>0</v>
      </c>
      <c r="I449" t="n">
        <v>0</v>
      </c>
      <c r="J449" t="n">
        <v>0</v>
      </c>
      <c r="K449" t="n">
        <v>0</v>
      </c>
      <c r="L449" t="n">
        <v>0</v>
      </c>
      <c r="M449" t="n">
        <v>0</v>
      </c>
      <c r="N449" t="n">
        <v>0</v>
      </c>
      <c r="O449" t="n">
        <v>0</v>
      </c>
      <c r="P449" t="n">
        <v>0</v>
      </c>
      <c r="Q449" t="n">
        <v>0</v>
      </c>
      <c r="R449" s="2" t="inlineStr"/>
    </row>
    <row r="450" ht="15" customHeight="1">
      <c r="A450" t="inlineStr">
        <is>
          <t>A 60794-2020</t>
        </is>
      </c>
      <c r="B450" s="1" t="n">
        <v>44154</v>
      </c>
      <c r="C450" s="1" t="n">
        <v>45728</v>
      </c>
      <c r="D450" t="inlineStr">
        <is>
          <t>JÄMTLANDS LÄN</t>
        </is>
      </c>
      <c r="E450" t="inlineStr">
        <is>
          <t>HÄRJEDALEN</t>
        </is>
      </c>
      <c r="F450" t="inlineStr">
        <is>
          <t>Holmen skog AB</t>
        </is>
      </c>
      <c r="G450" t="n">
        <v>5.5</v>
      </c>
      <c r="H450" t="n">
        <v>0</v>
      </c>
      <c r="I450" t="n">
        <v>0</v>
      </c>
      <c r="J450" t="n">
        <v>0</v>
      </c>
      <c r="K450" t="n">
        <v>0</v>
      </c>
      <c r="L450" t="n">
        <v>0</v>
      </c>
      <c r="M450" t="n">
        <v>0</v>
      </c>
      <c r="N450" t="n">
        <v>0</v>
      </c>
      <c r="O450" t="n">
        <v>0</v>
      </c>
      <c r="P450" t="n">
        <v>0</v>
      </c>
      <c r="Q450" t="n">
        <v>0</v>
      </c>
      <c r="R450" s="2" t="inlineStr"/>
    </row>
    <row r="451" ht="15" customHeight="1">
      <c r="A451" t="inlineStr">
        <is>
          <t>A 61232-2020</t>
        </is>
      </c>
      <c r="B451" s="1" t="n">
        <v>44155</v>
      </c>
      <c r="C451" s="1" t="n">
        <v>45728</v>
      </c>
      <c r="D451" t="inlineStr">
        <is>
          <t>JÄMTLANDS LÄN</t>
        </is>
      </c>
      <c r="E451" t="inlineStr">
        <is>
          <t>HÄRJEDALEN</t>
        </is>
      </c>
      <c r="G451" t="n">
        <v>8.5</v>
      </c>
      <c r="H451" t="n">
        <v>0</v>
      </c>
      <c r="I451" t="n">
        <v>0</v>
      </c>
      <c r="J451" t="n">
        <v>0</v>
      </c>
      <c r="K451" t="n">
        <v>0</v>
      </c>
      <c r="L451" t="n">
        <v>0</v>
      </c>
      <c r="M451" t="n">
        <v>0</v>
      </c>
      <c r="N451" t="n">
        <v>0</v>
      </c>
      <c r="O451" t="n">
        <v>0</v>
      </c>
      <c r="P451" t="n">
        <v>0</v>
      </c>
      <c r="Q451" t="n">
        <v>0</v>
      </c>
      <c r="R451" s="2" t="inlineStr"/>
    </row>
    <row r="452" ht="15" customHeight="1">
      <c r="A452" t="inlineStr">
        <is>
          <t>A 63133-2020</t>
        </is>
      </c>
      <c r="B452" s="1" t="n">
        <v>44162</v>
      </c>
      <c r="C452" s="1" t="n">
        <v>45728</v>
      </c>
      <c r="D452" t="inlineStr">
        <is>
          <t>JÄMTLANDS LÄN</t>
        </is>
      </c>
      <c r="E452" t="inlineStr">
        <is>
          <t>HÄRJEDALEN</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64281-2020</t>
        </is>
      </c>
      <c r="B453" s="1" t="n">
        <v>44166</v>
      </c>
      <c r="C453" s="1" t="n">
        <v>45728</v>
      </c>
      <c r="D453" t="inlineStr">
        <is>
          <t>JÄMTLANDS LÄN</t>
        </is>
      </c>
      <c r="E453" t="inlineStr">
        <is>
          <t>HÄRJEDALEN</t>
        </is>
      </c>
      <c r="F453" t="inlineStr">
        <is>
          <t>Övriga statliga verk och myndigheter</t>
        </is>
      </c>
      <c r="G453" t="n">
        <v>4.1</v>
      </c>
      <c r="H453" t="n">
        <v>0</v>
      </c>
      <c r="I453" t="n">
        <v>0</v>
      </c>
      <c r="J453" t="n">
        <v>0</v>
      </c>
      <c r="K453" t="n">
        <v>0</v>
      </c>
      <c r="L453" t="n">
        <v>0</v>
      </c>
      <c r="M453" t="n">
        <v>0</v>
      </c>
      <c r="N453" t="n">
        <v>0</v>
      </c>
      <c r="O453" t="n">
        <v>0</v>
      </c>
      <c r="P453" t="n">
        <v>0</v>
      </c>
      <c r="Q453" t="n">
        <v>0</v>
      </c>
      <c r="R453" s="2" t="inlineStr"/>
    </row>
    <row r="454" ht="15" customHeight="1">
      <c r="A454" t="inlineStr">
        <is>
          <t>A 64300-2020</t>
        </is>
      </c>
      <c r="B454" s="1" t="n">
        <v>44166</v>
      </c>
      <c r="C454" s="1" t="n">
        <v>45728</v>
      </c>
      <c r="D454" t="inlineStr">
        <is>
          <t>JÄMTLANDS LÄN</t>
        </is>
      </c>
      <c r="E454" t="inlineStr">
        <is>
          <t>HÄRJEDALEN</t>
        </is>
      </c>
      <c r="F454" t="inlineStr">
        <is>
          <t>Övriga statliga verk och myndigheter</t>
        </is>
      </c>
      <c r="G454" t="n">
        <v>58</v>
      </c>
      <c r="H454" t="n">
        <v>0</v>
      </c>
      <c r="I454" t="n">
        <v>0</v>
      </c>
      <c r="J454" t="n">
        <v>0</v>
      </c>
      <c r="K454" t="n">
        <v>0</v>
      </c>
      <c r="L454" t="n">
        <v>0</v>
      </c>
      <c r="M454" t="n">
        <v>0</v>
      </c>
      <c r="N454" t="n">
        <v>0</v>
      </c>
      <c r="O454" t="n">
        <v>0</v>
      </c>
      <c r="P454" t="n">
        <v>0</v>
      </c>
      <c r="Q454" t="n">
        <v>0</v>
      </c>
      <c r="R454" s="2" t="inlineStr"/>
    </row>
    <row r="455" ht="15" customHeight="1">
      <c r="A455" t="inlineStr">
        <is>
          <t>A 63949-2020</t>
        </is>
      </c>
      <c r="B455" s="1" t="n">
        <v>44167</v>
      </c>
      <c r="C455" s="1" t="n">
        <v>45728</v>
      </c>
      <c r="D455" t="inlineStr">
        <is>
          <t>JÄMTLANDS LÄN</t>
        </is>
      </c>
      <c r="E455" t="inlineStr">
        <is>
          <t>HÄRJEDALEN</t>
        </is>
      </c>
      <c r="F455" t="inlineStr">
        <is>
          <t>Bergvik skog väst AB</t>
        </is>
      </c>
      <c r="G455" t="n">
        <v>10.8</v>
      </c>
      <c r="H455" t="n">
        <v>0</v>
      </c>
      <c r="I455" t="n">
        <v>0</v>
      </c>
      <c r="J455" t="n">
        <v>0</v>
      </c>
      <c r="K455" t="n">
        <v>0</v>
      </c>
      <c r="L455" t="n">
        <v>0</v>
      </c>
      <c r="M455" t="n">
        <v>0</v>
      </c>
      <c r="N455" t="n">
        <v>0</v>
      </c>
      <c r="O455" t="n">
        <v>0</v>
      </c>
      <c r="P455" t="n">
        <v>0</v>
      </c>
      <c r="Q455" t="n">
        <v>0</v>
      </c>
      <c r="R455" s="2" t="inlineStr"/>
    </row>
    <row r="456" ht="15" customHeight="1">
      <c r="A456" t="inlineStr">
        <is>
          <t>A 63979-2020</t>
        </is>
      </c>
      <c r="B456" s="1" t="n">
        <v>44167</v>
      </c>
      <c r="C456" s="1" t="n">
        <v>45728</v>
      </c>
      <c r="D456" t="inlineStr">
        <is>
          <t>JÄMTLANDS LÄN</t>
        </is>
      </c>
      <c r="E456" t="inlineStr">
        <is>
          <t>HÄRJEDALEN</t>
        </is>
      </c>
      <c r="G456" t="n">
        <v>10</v>
      </c>
      <c r="H456" t="n">
        <v>0</v>
      </c>
      <c r="I456" t="n">
        <v>0</v>
      </c>
      <c r="J456" t="n">
        <v>0</v>
      </c>
      <c r="K456" t="n">
        <v>0</v>
      </c>
      <c r="L456" t="n">
        <v>0</v>
      </c>
      <c r="M456" t="n">
        <v>0</v>
      </c>
      <c r="N456" t="n">
        <v>0</v>
      </c>
      <c r="O456" t="n">
        <v>0</v>
      </c>
      <c r="P456" t="n">
        <v>0</v>
      </c>
      <c r="Q456" t="n">
        <v>0</v>
      </c>
      <c r="R456" s="2" t="inlineStr"/>
    </row>
    <row r="457" ht="15" customHeight="1">
      <c r="A457" t="inlineStr">
        <is>
          <t>A 64539-2020</t>
        </is>
      </c>
      <c r="B457" s="1" t="n">
        <v>44169</v>
      </c>
      <c r="C457" s="1" t="n">
        <v>45728</v>
      </c>
      <c r="D457" t="inlineStr">
        <is>
          <t>JÄMTLANDS LÄN</t>
        </is>
      </c>
      <c r="E457" t="inlineStr">
        <is>
          <t>HÄRJEDALEN</t>
        </is>
      </c>
      <c r="G457" t="n">
        <v>5.6</v>
      </c>
      <c r="H457" t="n">
        <v>0</v>
      </c>
      <c r="I457" t="n">
        <v>0</v>
      </c>
      <c r="J457" t="n">
        <v>0</v>
      </c>
      <c r="K457" t="n">
        <v>0</v>
      </c>
      <c r="L457" t="n">
        <v>0</v>
      </c>
      <c r="M457" t="n">
        <v>0</v>
      </c>
      <c r="N457" t="n">
        <v>0</v>
      </c>
      <c r="O457" t="n">
        <v>0</v>
      </c>
      <c r="P457" t="n">
        <v>0</v>
      </c>
      <c r="Q457" t="n">
        <v>0</v>
      </c>
      <c r="R457" s="2" t="inlineStr"/>
    </row>
    <row r="458" ht="15" customHeight="1">
      <c r="A458" t="inlineStr">
        <is>
          <t>A 64579-2020</t>
        </is>
      </c>
      <c r="B458" s="1" t="n">
        <v>44169</v>
      </c>
      <c r="C458" s="1" t="n">
        <v>45728</v>
      </c>
      <c r="D458" t="inlineStr">
        <is>
          <t>JÄMTLANDS LÄN</t>
        </is>
      </c>
      <c r="E458" t="inlineStr">
        <is>
          <t>HÄRJEDALEN</t>
        </is>
      </c>
      <c r="G458" t="n">
        <v>12.4</v>
      </c>
      <c r="H458" t="n">
        <v>0</v>
      </c>
      <c r="I458" t="n">
        <v>0</v>
      </c>
      <c r="J458" t="n">
        <v>0</v>
      </c>
      <c r="K458" t="n">
        <v>0</v>
      </c>
      <c r="L458" t="n">
        <v>0</v>
      </c>
      <c r="M458" t="n">
        <v>0</v>
      </c>
      <c r="N458" t="n">
        <v>0</v>
      </c>
      <c r="O458" t="n">
        <v>0</v>
      </c>
      <c r="P458" t="n">
        <v>0</v>
      </c>
      <c r="Q458" t="n">
        <v>0</v>
      </c>
      <c r="R458" s="2" t="inlineStr"/>
    </row>
    <row r="459" ht="15" customHeight="1">
      <c r="A459" t="inlineStr">
        <is>
          <t>A 65817-2020</t>
        </is>
      </c>
      <c r="B459" s="1" t="n">
        <v>44174</v>
      </c>
      <c r="C459" s="1" t="n">
        <v>45728</v>
      </c>
      <c r="D459" t="inlineStr">
        <is>
          <t>JÄMTLANDS LÄN</t>
        </is>
      </c>
      <c r="E459" t="inlineStr">
        <is>
          <t>HÄRJEDALEN</t>
        </is>
      </c>
      <c r="G459" t="n">
        <v>1.8</v>
      </c>
      <c r="H459" t="n">
        <v>0</v>
      </c>
      <c r="I459" t="n">
        <v>0</v>
      </c>
      <c r="J459" t="n">
        <v>0</v>
      </c>
      <c r="K459" t="n">
        <v>0</v>
      </c>
      <c r="L459" t="n">
        <v>0</v>
      </c>
      <c r="M459" t="n">
        <v>0</v>
      </c>
      <c r="N459" t="n">
        <v>0</v>
      </c>
      <c r="O459" t="n">
        <v>0</v>
      </c>
      <c r="P459" t="n">
        <v>0</v>
      </c>
      <c r="Q459" t="n">
        <v>0</v>
      </c>
      <c r="R459" s="2" t="inlineStr"/>
    </row>
    <row r="460" ht="15" customHeight="1">
      <c r="A460" t="inlineStr">
        <is>
          <t>A 66276-2020</t>
        </is>
      </c>
      <c r="B460" s="1" t="n">
        <v>44174</v>
      </c>
      <c r="C460" s="1" t="n">
        <v>45728</v>
      </c>
      <c r="D460" t="inlineStr">
        <is>
          <t>JÄMTLANDS LÄN</t>
        </is>
      </c>
      <c r="E460" t="inlineStr">
        <is>
          <t>HÄRJEDALEN</t>
        </is>
      </c>
      <c r="G460" t="n">
        <v>4</v>
      </c>
      <c r="H460" t="n">
        <v>0</v>
      </c>
      <c r="I460" t="n">
        <v>0</v>
      </c>
      <c r="J460" t="n">
        <v>0</v>
      </c>
      <c r="K460" t="n">
        <v>0</v>
      </c>
      <c r="L460" t="n">
        <v>0</v>
      </c>
      <c r="M460" t="n">
        <v>0</v>
      </c>
      <c r="N460" t="n">
        <v>0</v>
      </c>
      <c r="O460" t="n">
        <v>0</v>
      </c>
      <c r="P460" t="n">
        <v>0</v>
      </c>
      <c r="Q460" t="n">
        <v>0</v>
      </c>
      <c r="R460" s="2" t="inlineStr"/>
    </row>
    <row r="461" ht="15" customHeight="1">
      <c r="A461" t="inlineStr">
        <is>
          <t>A 66720-2020</t>
        </is>
      </c>
      <c r="B461" s="1" t="n">
        <v>44179</v>
      </c>
      <c r="C461" s="1" t="n">
        <v>45728</v>
      </c>
      <c r="D461" t="inlineStr">
        <is>
          <t>JÄMTLANDS LÄN</t>
        </is>
      </c>
      <c r="E461" t="inlineStr">
        <is>
          <t>HÄRJEDALEN</t>
        </is>
      </c>
      <c r="G461" t="n">
        <v>2.2</v>
      </c>
      <c r="H461" t="n">
        <v>0</v>
      </c>
      <c r="I461" t="n">
        <v>0</v>
      </c>
      <c r="J461" t="n">
        <v>0</v>
      </c>
      <c r="K461" t="n">
        <v>0</v>
      </c>
      <c r="L461" t="n">
        <v>0</v>
      </c>
      <c r="M461" t="n">
        <v>0</v>
      </c>
      <c r="N461" t="n">
        <v>0</v>
      </c>
      <c r="O461" t="n">
        <v>0</v>
      </c>
      <c r="P461" t="n">
        <v>0</v>
      </c>
      <c r="Q461" t="n">
        <v>0</v>
      </c>
      <c r="R461" s="2" t="inlineStr"/>
    </row>
    <row r="462" ht="15" customHeight="1">
      <c r="A462" t="inlineStr">
        <is>
          <t>A 67099-2020</t>
        </is>
      </c>
      <c r="B462" s="1" t="n">
        <v>44180</v>
      </c>
      <c r="C462" s="1" t="n">
        <v>45728</v>
      </c>
      <c r="D462" t="inlineStr">
        <is>
          <t>JÄMTLANDS LÄN</t>
        </is>
      </c>
      <c r="E462" t="inlineStr">
        <is>
          <t>HÄRJEDALEN</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67156-2020</t>
        </is>
      </c>
      <c r="B463" s="1" t="n">
        <v>44180</v>
      </c>
      <c r="C463" s="1" t="n">
        <v>45728</v>
      </c>
      <c r="D463" t="inlineStr">
        <is>
          <t>JÄMTLANDS LÄN</t>
        </is>
      </c>
      <c r="E463" t="inlineStr">
        <is>
          <t>HÄRJEDALEN</t>
        </is>
      </c>
      <c r="F463" t="inlineStr">
        <is>
          <t>Holmen skog AB</t>
        </is>
      </c>
      <c r="G463" t="n">
        <v>7.3</v>
      </c>
      <c r="H463" t="n">
        <v>0</v>
      </c>
      <c r="I463" t="n">
        <v>0</v>
      </c>
      <c r="J463" t="n">
        <v>0</v>
      </c>
      <c r="K463" t="n">
        <v>0</v>
      </c>
      <c r="L463" t="n">
        <v>0</v>
      </c>
      <c r="M463" t="n">
        <v>0</v>
      </c>
      <c r="N463" t="n">
        <v>0</v>
      </c>
      <c r="O463" t="n">
        <v>0</v>
      </c>
      <c r="P463" t="n">
        <v>0</v>
      </c>
      <c r="Q463" t="n">
        <v>0</v>
      </c>
      <c r="R463" s="2" t="inlineStr"/>
    </row>
    <row r="464" ht="15" customHeight="1">
      <c r="A464" t="inlineStr">
        <is>
          <t>A 67110-2020</t>
        </is>
      </c>
      <c r="B464" s="1" t="n">
        <v>44180</v>
      </c>
      <c r="C464" s="1" t="n">
        <v>45728</v>
      </c>
      <c r="D464" t="inlineStr">
        <is>
          <t>JÄMTLANDS LÄN</t>
        </is>
      </c>
      <c r="E464" t="inlineStr">
        <is>
          <t>HÄRJEDALEN</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67182-2020</t>
        </is>
      </c>
      <c r="B465" s="1" t="n">
        <v>44180</v>
      </c>
      <c r="C465" s="1" t="n">
        <v>45728</v>
      </c>
      <c r="D465" t="inlineStr">
        <is>
          <t>JÄMTLANDS LÄN</t>
        </is>
      </c>
      <c r="E465" t="inlineStr">
        <is>
          <t>HÄRJEDALEN</t>
        </is>
      </c>
      <c r="G465" t="n">
        <v>1</v>
      </c>
      <c r="H465" t="n">
        <v>0</v>
      </c>
      <c r="I465" t="n">
        <v>0</v>
      </c>
      <c r="J465" t="n">
        <v>0</v>
      </c>
      <c r="K465" t="n">
        <v>0</v>
      </c>
      <c r="L465" t="n">
        <v>0</v>
      </c>
      <c r="M465" t="n">
        <v>0</v>
      </c>
      <c r="N465" t="n">
        <v>0</v>
      </c>
      <c r="O465" t="n">
        <v>0</v>
      </c>
      <c r="P465" t="n">
        <v>0</v>
      </c>
      <c r="Q465" t="n">
        <v>0</v>
      </c>
      <c r="R465" s="2" t="inlineStr"/>
    </row>
    <row r="466" ht="15" customHeight="1">
      <c r="A466" t="inlineStr">
        <is>
          <t>A 67194-2020</t>
        </is>
      </c>
      <c r="B466" s="1" t="n">
        <v>44180</v>
      </c>
      <c r="C466" s="1" t="n">
        <v>45728</v>
      </c>
      <c r="D466" t="inlineStr">
        <is>
          <t>JÄMTLANDS LÄN</t>
        </is>
      </c>
      <c r="E466" t="inlineStr">
        <is>
          <t>HÄRJEDALEN</t>
        </is>
      </c>
      <c r="F466" t="inlineStr">
        <is>
          <t>Holmen skog AB</t>
        </is>
      </c>
      <c r="G466" t="n">
        <v>8.5</v>
      </c>
      <c r="H466" t="n">
        <v>0</v>
      </c>
      <c r="I466" t="n">
        <v>0</v>
      </c>
      <c r="J466" t="n">
        <v>0</v>
      </c>
      <c r="K466" t="n">
        <v>0</v>
      </c>
      <c r="L466" t="n">
        <v>0</v>
      </c>
      <c r="M466" t="n">
        <v>0</v>
      </c>
      <c r="N466" t="n">
        <v>0</v>
      </c>
      <c r="O466" t="n">
        <v>0</v>
      </c>
      <c r="P466" t="n">
        <v>0</v>
      </c>
      <c r="Q466" t="n">
        <v>0</v>
      </c>
      <c r="R466" s="2" t="inlineStr"/>
    </row>
    <row r="467" ht="15" customHeight="1">
      <c r="A467" t="inlineStr">
        <is>
          <t>A 67180-2020</t>
        </is>
      </c>
      <c r="B467" s="1" t="n">
        <v>44180</v>
      </c>
      <c r="C467" s="1" t="n">
        <v>45728</v>
      </c>
      <c r="D467" t="inlineStr">
        <is>
          <t>JÄMTLANDS LÄN</t>
        </is>
      </c>
      <c r="E467" t="inlineStr">
        <is>
          <t>HÄRJEDALEN</t>
        </is>
      </c>
      <c r="G467" t="n">
        <v>0</v>
      </c>
      <c r="H467" t="n">
        <v>0</v>
      </c>
      <c r="I467" t="n">
        <v>0</v>
      </c>
      <c r="J467" t="n">
        <v>0</v>
      </c>
      <c r="K467" t="n">
        <v>0</v>
      </c>
      <c r="L467" t="n">
        <v>0</v>
      </c>
      <c r="M467" t="n">
        <v>0</v>
      </c>
      <c r="N467" t="n">
        <v>0</v>
      </c>
      <c r="O467" t="n">
        <v>0</v>
      </c>
      <c r="P467" t="n">
        <v>0</v>
      </c>
      <c r="Q467" t="n">
        <v>0</v>
      </c>
      <c r="R467" s="2" t="inlineStr"/>
    </row>
    <row r="468" ht="15" customHeight="1">
      <c r="A468" t="inlineStr">
        <is>
          <t>A 67106-2020</t>
        </is>
      </c>
      <c r="B468" s="1" t="n">
        <v>44180</v>
      </c>
      <c r="C468" s="1" t="n">
        <v>45728</v>
      </c>
      <c r="D468" t="inlineStr">
        <is>
          <t>JÄMTLANDS LÄN</t>
        </is>
      </c>
      <c r="E468" t="inlineStr">
        <is>
          <t>HÄRJEDALEN</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67457-2020</t>
        </is>
      </c>
      <c r="B469" s="1" t="n">
        <v>44181</v>
      </c>
      <c r="C469" s="1" t="n">
        <v>45728</v>
      </c>
      <c r="D469" t="inlineStr">
        <is>
          <t>JÄMTLANDS LÄN</t>
        </is>
      </c>
      <c r="E469" t="inlineStr">
        <is>
          <t>HÄRJEDALEN</t>
        </is>
      </c>
      <c r="F469" t="inlineStr">
        <is>
          <t>Holmen skog AB</t>
        </is>
      </c>
      <c r="G469" t="n">
        <v>30</v>
      </c>
      <c r="H469" t="n">
        <v>0</v>
      </c>
      <c r="I469" t="n">
        <v>0</v>
      </c>
      <c r="J469" t="n">
        <v>0</v>
      </c>
      <c r="K469" t="n">
        <v>0</v>
      </c>
      <c r="L469" t="n">
        <v>0</v>
      </c>
      <c r="M469" t="n">
        <v>0</v>
      </c>
      <c r="N469" t="n">
        <v>0</v>
      </c>
      <c r="O469" t="n">
        <v>0</v>
      </c>
      <c r="P469" t="n">
        <v>0</v>
      </c>
      <c r="Q469" t="n">
        <v>0</v>
      </c>
      <c r="R469" s="2" t="inlineStr"/>
    </row>
    <row r="470" ht="15" customHeight="1">
      <c r="A470" t="inlineStr">
        <is>
          <t>A 67522-2020</t>
        </is>
      </c>
      <c r="B470" s="1" t="n">
        <v>44181</v>
      </c>
      <c r="C470" s="1" t="n">
        <v>45728</v>
      </c>
      <c r="D470" t="inlineStr">
        <is>
          <t>JÄMTLANDS LÄN</t>
        </is>
      </c>
      <c r="E470" t="inlineStr">
        <is>
          <t>HÄRJEDALEN</t>
        </is>
      </c>
      <c r="F470" t="inlineStr">
        <is>
          <t>Holmen skog AB</t>
        </is>
      </c>
      <c r="G470" t="n">
        <v>7.7</v>
      </c>
      <c r="H470" t="n">
        <v>0</v>
      </c>
      <c r="I470" t="n">
        <v>0</v>
      </c>
      <c r="J470" t="n">
        <v>0</v>
      </c>
      <c r="K470" t="n">
        <v>0</v>
      </c>
      <c r="L470" t="n">
        <v>0</v>
      </c>
      <c r="M470" t="n">
        <v>0</v>
      </c>
      <c r="N470" t="n">
        <v>0</v>
      </c>
      <c r="O470" t="n">
        <v>0</v>
      </c>
      <c r="P470" t="n">
        <v>0</v>
      </c>
      <c r="Q470" t="n">
        <v>0</v>
      </c>
      <c r="R470" s="2" t="inlineStr"/>
    </row>
    <row r="471" ht="15" customHeight="1">
      <c r="A471" t="inlineStr">
        <is>
          <t>A 67416-2020</t>
        </is>
      </c>
      <c r="B471" s="1" t="n">
        <v>44181</v>
      </c>
      <c r="C471" s="1" t="n">
        <v>45728</v>
      </c>
      <c r="D471" t="inlineStr">
        <is>
          <t>JÄMTLANDS LÄN</t>
        </is>
      </c>
      <c r="E471" t="inlineStr">
        <is>
          <t>HÄRJEDALEN</t>
        </is>
      </c>
      <c r="F471" t="inlineStr">
        <is>
          <t>Holmen skog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67445-2020</t>
        </is>
      </c>
      <c r="B472" s="1" t="n">
        <v>44181</v>
      </c>
      <c r="C472" s="1" t="n">
        <v>45728</v>
      </c>
      <c r="D472" t="inlineStr">
        <is>
          <t>JÄMTLANDS LÄN</t>
        </is>
      </c>
      <c r="E472" t="inlineStr">
        <is>
          <t>HÄRJEDALEN</t>
        </is>
      </c>
      <c r="F472" t="inlineStr">
        <is>
          <t>Holmen skog AB</t>
        </is>
      </c>
      <c r="G472" t="n">
        <v>1.4</v>
      </c>
      <c r="H472" t="n">
        <v>0</v>
      </c>
      <c r="I472" t="n">
        <v>0</v>
      </c>
      <c r="J472" t="n">
        <v>0</v>
      </c>
      <c r="K472" t="n">
        <v>0</v>
      </c>
      <c r="L472" t="n">
        <v>0</v>
      </c>
      <c r="M472" t="n">
        <v>0</v>
      </c>
      <c r="N472" t="n">
        <v>0</v>
      </c>
      <c r="O472" t="n">
        <v>0</v>
      </c>
      <c r="P472" t="n">
        <v>0</v>
      </c>
      <c r="Q472" t="n">
        <v>0</v>
      </c>
      <c r="R472" s="2" t="inlineStr"/>
    </row>
    <row r="473" ht="15" customHeight="1">
      <c r="A473" t="inlineStr">
        <is>
          <t>A 67459-2020</t>
        </is>
      </c>
      <c r="B473" s="1" t="n">
        <v>44181</v>
      </c>
      <c r="C473" s="1" t="n">
        <v>45728</v>
      </c>
      <c r="D473" t="inlineStr">
        <is>
          <t>JÄMTLANDS LÄN</t>
        </is>
      </c>
      <c r="E473" t="inlineStr">
        <is>
          <t>HÄRJEDALEN</t>
        </is>
      </c>
      <c r="F473" t="inlineStr">
        <is>
          <t>Holmen skog AB</t>
        </is>
      </c>
      <c r="G473" t="n">
        <v>17.7</v>
      </c>
      <c r="H473" t="n">
        <v>0</v>
      </c>
      <c r="I473" t="n">
        <v>0</v>
      </c>
      <c r="J473" t="n">
        <v>0</v>
      </c>
      <c r="K473" t="n">
        <v>0</v>
      </c>
      <c r="L473" t="n">
        <v>0</v>
      </c>
      <c r="M473" t="n">
        <v>0</v>
      </c>
      <c r="N473" t="n">
        <v>0</v>
      </c>
      <c r="O473" t="n">
        <v>0</v>
      </c>
      <c r="P473" t="n">
        <v>0</v>
      </c>
      <c r="Q473" t="n">
        <v>0</v>
      </c>
      <c r="R473" s="2" t="inlineStr"/>
    </row>
    <row r="474" ht="15" customHeight="1">
      <c r="A474" t="inlineStr">
        <is>
          <t>A 67529-2020</t>
        </is>
      </c>
      <c r="B474" s="1" t="n">
        <v>44181</v>
      </c>
      <c r="C474" s="1" t="n">
        <v>45728</v>
      </c>
      <c r="D474" t="inlineStr">
        <is>
          <t>JÄMTLANDS LÄN</t>
        </is>
      </c>
      <c r="E474" t="inlineStr">
        <is>
          <t>HÄRJEDALEN</t>
        </is>
      </c>
      <c r="F474" t="inlineStr">
        <is>
          <t>Holmen skog AB</t>
        </is>
      </c>
      <c r="G474" t="n">
        <v>5.4</v>
      </c>
      <c r="H474" t="n">
        <v>0</v>
      </c>
      <c r="I474" t="n">
        <v>0</v>
      </c>
      <c r="J474" t="n">
        <v>0</v>
      </c>
      <c r="K474" t="n">
        <v>0</v>
      </c>
      <c r="L474" t="n">
        <v>0</v>
      </c>
      <c r="M474" t="n">
        <v>0</v>
      </c>
      <c r="N474" t="n">
        <v>0</v>
      </c>
      <c r="O474" t="n">
        <v>0</v>
      </c>
      <c r="P474" t="n">
        <v>0</v>
      </c>
      <c r="Q474" t="n">
        <v>0</v>
      </c>
      <c r="R474" s="2" t="inlineStr"/>
    </row>
    <row r="475" ht="15" customHeight="1">
      <c r="A475" t="inlineStr">
        <is>
          <t>A 67411-2020</t>
        </is>
      </c>
      <c r="B475" s="1" t="n">
        <v>44181</v>
      </c>
      <c r="C475" s="1" t="n">
        <v>45728</v>
      </c>
      <c r="D475" t="inlineStr">
        <is>
          <t>JÄMTLANDS LÄN</t>
        </is>
      </c>
      <c r="E475" t="inlineStr">
        <is>
          <t>HÄRJEDALEN</t>
        </is>
      </c>
      <c r="F475" t="inlineStr">
        <is>
          <t>Holmen skog AB</t>
        </is>
      </c>
      <c r="G475" t="n">
        <v>5.9</v>
      </c>
      <c r="H475" t="n">
        <v>0</v>
      </c>
      <c r="I475" t="n">
        <v>0</v>
      </c>
      <c r="J475" t="n">
        <v>0</v>
      </c>
      <c r="K475" t="n">
        <v>0</v>
      </c>
      <c r="L475" t="n">
        <v>0</v>
      </c>
      <c r="M475" t="n">
        <v>0</v>
      </c>
      <c r="N475" t="n">
        <v>0</v>
      </c>
      <c r="O475" t="n">
        <v>0</v>
      </c>
      <c r="P475" t="n">
        <v>0</v>
      </c>
      <c r="Q475" t="n">
        <v>0</v>
      </c>
      <c r="R475" s="2" t="inlineStr"/>
    </row>
    <row r="476" ht="15" customHeight="1">
      <c r="A476" t="inlineStr">
        <is>
          <t>A 67438-2020</t>
        </is>
      </c>
      <c r="B476" s="1" t="n">
        <v>44181</v>
      </c>
      <c r="C476" s="1" t="n">
        <v>45728</v>
      </c>
      <c r="D476" t="inlineStr">
        <is>
          <t>JÄMTLANDS LÄN</t>
        </is>
      </c>
      <c r="E476" t="inlineStr">
        <is>
          <t>HÄRJEDALEN</t>
        </is>
      </c>
      <c r="F476" t="inlineStr">
        <is>
          <t>Holmen skog AB</t>
        </is>
      </c>
      <c r="G476" t="n">
        <v>5.6</v>
      </c>
      <c r="H476" t="n">
        <v>0</v>
      </c>
      <c r="I476" t="n">
        <v>0</v>
      </c>
      <c r="J476" t="n">
        <v>0</v>
      </c>
      <c r="K476" t="n">
        <v>0</v>
      </c>
      <c r="L476" t="n">
        <v>0</v>
      </c>
      <c r="M476" t="n">
        <v>0</v>
      </c>
      <c r="N476" t="n">
        <v>0</v>
      </c>
      <c r="O476" t="n">
        <v>0</v>
      </c>
      <c r="P476" t="n">
        <v>0</v>
      </c>
      <c r="Q476" t="n">
        <v>0</v>
      </c>
      <c r="R476" s="2" t="inlineStr"/>
    </row>
    <row r="477" ht="15" customHeight="1">
      <c r="A477" t="inlineStr">
        <is>
          <t>A 67447-2020</t>
        </is>
      </c>
      <c r="B477" s="1" t="n">
        <v>44181</v>
      </c>
      <c r="C477" s="1" t="n">
        <v>45728</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67454-2020</t>
        </is>
      </c>
      <c r="B478" s="1" t="n">
        <v>44181</v>
      </c>
      <c r="C478" s="1" t="n">
        <v>45728</v>
      </c>
      <c r="D478" t="inlineStr">
        <is>
          <t>JÄMTLANDS LÄN</t>
        </is>
      </c>
      <c r="E478" t="inlineStr">
        <is>
          <t>HÄRJEDALEN</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67498-2020</t>
        </is>
      </c>
      <c r="B479" s="1" t="n">
        <v>44181</v>
      </c>
      <c r="C479" s="1" t="n">
        <v>45728</v>
      </c>
      <c r="D479" t="inlineStr">
        <is>
          <t>JÄMTLANDS LÄN</t>
        </is>
      </c>
      <c r="E479" t="inlineStr">
        <is>
          <t>HÄRJEDALEN</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67507-2020</t>
        </is>
      </c>
      <c r="B480" s="1" t="n">
        <v>44181</v>
      </c>
      <c r="C480" s="1" t="n">
        <v>45728</v>
      </c>
      <c r="D480" t="inlineStr">
        <is>
          <t>JÄMTLANDS LÄN</t>
        </is>
      </c>
      <c r="E480" t="inlineStr">
        <is>
          <t>HÄRJEDALEN</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67526-2020</t>
        </is>
      </c>
      <c r="B481" s="1" t="n">
        <v>44181</v>
      </c>
      <c r="C481" s="1" t="n">
        <v>45728</v>
      </c>
      <c r="D481" t="inlineStr">
        <is>
          <t>JÄMTLANDS LÄN</t>
        </is>
      </c>
      <c r="E481" t="inlineStr">
        <is>
          <t>HÄRJEDALEN</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67409-2020</t>
        </is>
      </c>
      <c r="B482" s="1" t="n">
        <v>44181</v>
      </c>
      <c r="C482" s="1" t="n">
        <v>45728</v>
      </c>
      <c r="D482" t="inlineStr">
        <is>
          <t>JÄMTLANDS LÄN</t>
        </is>
      </c>
      <c r="E482" t="inlineStr">
        <is>
          <t>HÄRJEDALEN</t>
        </is>
      </c>
      <c r="F482" t="inlineStr">
        <is>
          <t>Holmen skog AB</t>
        </is>
      </c>
      <c r="G482" t="n">
        <v>3.1</v>
      </c>
      <c r="H482" t="n">
        <v>0</v>
      </c>
      <c r="I482" t="n">
        <v>0</v>
      </c>
      <c r="J482" t="n">
        <v>0</v>
      </c>
      <c r="K482" t="n">
        <v>0</v>
      </c>
      <c r="L482" t="n">
        <v>0</v>
      </c>
      <c r="M482" t="n">
        <v>0</v>
      </c>
      <c r="N482" t="n">
        <v>0</v>
      </c>
      <c r="O482" t="n">
        <v>0</v>
      </c>
      <c r="P482" t="n">
        <v>0</v>
      </c>
      <c r="Q482" t="n">
        <v>0</v>
      </c>
      <c r="R482" s="2" t="inlineStr"/>
    </row>
    <row r="483" ht="15" customHeight="1">
      <c r="A483" t="inlineStr">
        <is>
          <t>A 67720-2020</t>
        </is>
      </c>
      <c r="B483" s="1" t="n">
        <v>44182</v>
      </c>
      <c r="C483" s="1" t="n">
        <v>45728</v>
      </c>
      <c r="D483" t="inlineStr">
        <is>
          <t>JÄMTLANDS LÄN</t>
        </is>
      </c>
      <c r="E483" t="inlineStr">
        <is>
          <t>HÄRJEDALEN</t>
        </is>
      </c>
      <c r="F483" t="inlineStr">
        <is>
          <t>Holmen skog AB</t>
        </is>
      </c>
      <c r="G483" t="n">
        <v>6</v>
      </c>
      <c r="H483" t="n">
        <v>0</v>
      </c>
      <c r="I483" t="n">
        <v>0</v>
      </c>
      <c r="J483" t="n">
        <v>0</v>
      </c>
      <c r="K483" t="n">
        <v>0</v>
      </c>
      <c r="L483" t="n">
        <v>0</v>
      </c>
      <c r="M483" t="n">
        <v>0</v>
      </c>
      <c r="N483" t="n">
        <v>0</v>
      </c>
      <c r="O483" t="n">
        <v>0</v>
      </c>
      <c r="P483" t="n">
        <v>0</v>
      </c>
      <c r="Q483" t="n">
        <v>0</v>
      </c>
      <c r="R483" s="2" t="inlineStr"/>
    </row>
    <row r="484" ht="15" customHeight="1">
      <c r="A484" t="inlineStr">
        <is>
          <t>A 67697-2020</t>
        </is>
      </c>
      <c r="B484" s="1" t="n">
        <v>44182</v>
      </c>
      <c r="C484" s="1" t="n">
        <v>45728</v>
      </c>
      <c r="D484" t="inlineStr">
        <is>
          <t>JÄMTLANDS LÄN</t>
        </is>
      </c>
      <c r="E484" t="inlineStr">
        <is>
          <t>HÄRJEDALEN</t>
        </is>
      </c>
      <c r="F484" t="inlineStr">
        <is>
          <t>Holmen skog AB</t>
        </is>
      </c>
      <c r="G484" t="n">
        <v>4</v>
      </c>
      <c r="H484" t="n">
        <v>0</v>
      </c>
      <c r="I484" t="n">
        <v>0</v>
      </c>
      <c r="J484" t="n">
        <v>0</v>
      </c>
      <c r="K484" t="n">
        <v>0</v>
      </c>
      <c r="L484" t="n">
        <v>0</v>
      </c>
      <c r="M484" t="n">
        <v>0</v>
      </c>
      <c r="N484" t="n">
        <v>0</v>
      </c>
      <c r="O484" t="n">
        <v>0</v>
      </c>
      <c r="P484" t="n">
        <v>0</v>
      </c>
      <c r="Q484" t="n">
        <v>0</v>
      </c>
      <c r="R484" s="2" t="inlineStr"/>
    </row>
    <row r="485" ht="15" customHeight="1">
      <c r="A485" t="inlineStr">
        <is>
          <t>A 67714-2020</t>
        </is>
      </c>
      <c r="B485" s="1" t="n">
        <v>44182</v>
      </c>
      <c r="C485" s="1" t="n">
        <v>45728</v>
      </c>
      <c r="D485" t="inlineStr">
        <is>
          <t>JÄMTLANDS LÄN</t>
        </is>
      </c>
      <c r="E485" t="inlineStr">
        <is>
          <t>HÄRJEDALEN</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67821-2020</t>
        </is>
      </c>
      <c r="B486" s="1" t="n">
        <v>44182</v>
      </c>
      <c r="C486" s="1" t="n">
        <v>45728</v>
      </c>
      <c r="D486" t="inlineStr">
        <is>
          <t>JÄMTLANDS LÄN</t>
        </is>
      </c>
      <c r="E486" t="inlineStr">
        <is>
          <t>HÄRJEDALEN</t>
        </is>
      </c>
      <c r="G486" t="n">
        <v>0.6</v>
      </c>
      <c r="H486" t="n">
        <v>0</v>
      </c>
      <c r="I486" t="n">
        <v>0</v>
      </c>
      <c r="J486" t="n">
        <v>0</v>
      </c>
      <c r="K486" t="n">
        <v>0</v>
      </c>
      <c r="L486" t="n">
        <v>0</v>
      </c>
      <c r="M486" t="n">
        <v>0</v>
      </c>
      <c r="N486" t="n">
        <v>0</v>
      </c>
      <c r="O486" t="n">
        <v>0</v>
      </c>
      <c r="P486" t="n">
        <v>0</v>
      </c>
      <c r="Q486" t="n">
        <v>0</v>
      </c>
      <c r="R486" s="2" t="inlineStr"/>
    </row>
    <row r="487" ht="15" customHeight="1">
      <c r="A487" t="inlineStr">
        <is>
          <t>A 68141-2020</t>
        </is>
      </c>
      <c r="B487" s="1" t="n">
        <v>44183</v>
      </c>
      <c r="C487" s="1" t="n">
        <v>45728</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69108-2020</t>
        </is>
      </c>
      <c r="B488" s="1" t="n">
        <v>44188</v>
      </c>
      <c r="C488" s="1" t="n">
        <v>45728</v>
      </c>
      <c r="D488" t="inlineStr">
        <is>
          <t>JÄMTLANDS LÄN</t>
        </is>
      </c>
      <c r="E488" t="inlineStr">
        <is>
          <t>HÄRJEDALEN</t>
        </is>
      </c>
      <c r="G488" t="n">
        <v>0.9</v>
      </c>
      <c r="H488" t="n">
        <v>0</v>
      </c>
      <c r="I488" t="n">
        <v>0</v>
      </c>
      <c r="J488" t="n">
        <v>0</v>
      </c>
      <c r="K488" t="n">
        <v>0</v>
      </c>
      <c r="L488" t="n">
        <v>0</v>
      </c>
      <c r="M488" t="n">
        <v>0</v>
      </c>
      <c r="N488" t="n">
        <v>0</v>
      </c>
      <c r="O488" t="n">
        <v>0</v>
      </c>
      <c r="P488" t="n">
        <v>0</v>
      </c>
      <c r="Q488" t="n">
        <v>0</v>
      </c>
      <c r="R488" s="2" t="inlineStr"/>
    </row>
    <row r="489" ht="15" customHeight="1">
      <c r="A489" t="inlineStr">
        <is>
          <t>A 69168-2020</t>
        </is>
      </c>
      <c r="B489" s="1" t="n">
        <v>44188</v>
      </c>
      <c r="C489" s="1" t="n">
        <v>45728</v>
      </c>
      <c r="D489" t="inlineStr">
        <is>
          <t>JÄMTLANDS LÄN</t>
        </is>
      </c>
      <c r="E489" t="inlineStr">
        <is>
          <t>HÄRJEDALEN</t>
        </is>
      </c>
      <c r="F489" t="inlineStr">
        <is>
          <t>Sveaskog</t>
        </is>
      </c>
      <c r="G489" t="n">
        <v>20</v>
      </c>
      <c r="H489" t="n">
        <v>0</v>
      </c>
      <c r="I489" t="n">
        <v>0</v>
      </c>
      <c r="J489" t="n">
        <v>0</v>
      </c>
      <c r="K489" t="n">
        <v>0</v>
      </c>
      <c r="L489" t="n">
        <v>0</v>
      </c>
      <c r="M489" t="n">
        <v>0</v>
      </c>
      <c r="N489" t="n">
        <v>0</v>
      </c>
      <c r="O489" t="n">
        <v>0</v>
      </c>
      <c r="P489" t="n">
        <v>0</v>
      </c>
      <c r="Q489" t="n">
        <v>0</v>
      </c>
      <c r="R489" s="2" t="inlineStr"/>
    </row>
    <row r="490" ht="15" customHeight="1">
      <c r="A490" t="inlineStr">
        <is>
          <t>A 69101-2020</t>
        </is>
      </c>
      <c r="B490" s="1" t="n">
        <v>44188</v>
      </c>
      <c r="C490" s="1" t="n">
        <v>45728</v>
      </c>
      <c r="D490" t="inlineStr">
        <is>
          <t>JÄMTLANDS LÄN</t>
        </is>
      </c>
      <c r="E490" t="inlineStr">
        <is>
          <t>HÄRJEDALEN</t>
        </is>
      </c>
      <c r="G490" t="n">
        <v>3.1</v>
      </c>
      <c r="H490" t="n">
        <v>0</v>
      </c>
      <c r="I490" t="n">
        <v>0</v>
      </c>
      <c r="J490" t="n">
        <v>0</v>
      </c>
      <c r="K490" t="n">
        <v>0</v>
      </c>
      <c r="L490" t="n">
        <v>0</v>
      </c>
      <c r="M490" t="n">
        <v>0</v>
      </c>
      <c r="N490" t="n">
        <v>0</v>
      </c>
      <c r="O490" t="n">
        <v>0</v>
      </c>
      <c r="P490" t="n">
        <v>0</v>
      </c>
      <c r="Q490" t="n">
        <v>0</v>
      </c>
      <c r="R490" s="2" t="inlineStr"/>
    </row>
    <row r="491" ht="15" customHeight="1">
      <c r="A491" t="inlineStr">
        <is>
          <t>A 1088-2021</t>
        </is>
      </c>
      <c r="B491" s="1" t="n">
        <v>44207</v>
      </c>
      <c r="C491" s="1" t="n">
        <v>45728</v>
      </c>
      <c r="D491" t="inlineStr">
        <is>
          <t>JÄMTLANDS LÄN</t>
        </is>
      </c>
      <c r="E491" t="inlineStr">
        <is>
          <t>HÄRJEDALEN</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1478-2021</t>
        </is>
      </c>
      <c r="B492" s="1" t="n">
        <v>44208</v>
      </c>
      <c r="C492" s="1" t="n">
        <v>45728</v>
      </c>
      <c r="D492" t="inlineStr">
        <is>
          <t>JÄMTLANDS LÄN</t>
        </is>
      </c>
      <c r="E492" t="inlineStr">
        <is>
          <t>HÄRJEDALEN</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1545-2021</t>
        </is>
      </c>
      <c r="B493" s="1" t="n">
        <v>44209</v>
      </c>
      <c r="C493" s="1" t="n">
        <v>45728</v>
      </c>
      <c r="D493" t="inlineStr">
        <is>
          <t>JÄMTLANDS LÄN</t>
        </is>
      </c>
      <c r="E493" t="inlineStr">
        <is>
          <t>HÄRJEDALEN</t>
        </is>
      </c>
      <c r="F493" t="inlineStr">
        <is>
          <t>Holmen skog AB</t>
        </is>
      </c>
      <c r="G493" t="n">
        <v>3.3</v>
      </c>
      <c r="H493" t="n">
        <v>0</v>
      </c>
      <c r="I493" t="n">
        <v>0</v>
      </c>
      <c r="J493" t="n">
        <v>0</v>
      </c>
      <c r="K493" t="n">
        <v>0</v>
      </c>
      <c r="L493" t="n">
        <v>0</v>
      </c>
      <c r="M493" t="n">
        <v>0</v>
      </c>
      <c r="N493" t="n">
        <v>0</v>
      </c>
      <c r="O493" t="n">
        <v>0</v>
      </c>
      <c r="P493" t="n">
        <v>0</v>
      </c>
      <c r="Q493" t="n">
        <v>0</v>
      </c>
      <c r="R493" s="2" t="inlineStr"/>
    </row>
    <row r="494" ht="15" customHeight="1">
      <c r="A494" t="inlineStr">
        <is>
          <t>A 1558-2021</t>
        </is>
      </c>
      <c r="B494" s="1" t="n">
        <v>44209</v>
      </c>
      <c r="C494" s="1" t="n">
        <v>45728</v>
      </c>
      <c r="D494" t="inlineStr">
        <is>
          <t>JÄMTLANDS LÄN</t>
        </is>
      </c>
      <c r="E494" t="inlineStr">
        <is>
          <t>HÄRJEDALEN</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1602-2021</t>
        </is>
      </c>
      <c r="B495" s="1" t="n">
        <v>44209</v>
      </c>
      <c r="C495" s="1" t="n">
        <v>45728</v>
      </c>
      <c r="D495" t="inlineStr">
        <is>
          <t>JÄMTLANDS LÄN</t>
        </is>
      </c>
      <c r="E495" t="inlineStr">
        <is>
          <t>HÄRJEDALEN</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2531-2021</t>
        </is>
      </c>
      <c r="B496" s="1" t="n">
        <v>44214</v>
      </c>
      <c r="C496" s="1" t="n">
        <v>45728</v>
      </c>
      <c r="D496" t="inlineStr">
        <is>
          <t>JÄMTLANDS LÄN</t>
        </is>
      </c>
      <c r="E496" t="inlineStr">
        <is>
          <t>HÄRJEDALEN</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2855-2021</t>
        </is>
      </c>
      <c r="B497" s="1" t="n">
        <v>44216</v>
      </c>
      <c r="C497" s="1" t="n">
        <v>45728</v>
      </c>
      <c r="D497" t="inlineStr">
        <is>
          <t>JÄMTLANDS LÄN</t>
        </is>
      </c>
      <c r="E497" t="inlineStr">
        <is>
          <t>HÄRJEDALEN</t>
        </is>
      </c>
      <c r="F497" t="inlineStr">
        <is>
          <t>Holmen skog AB</t>
        </is>
      </c>
      <c r="G497" t="n">
        <v>1.6</v>
      </c>
      <c r="H497" t="n">
        <v>0</v>
      </c>
      <c r="I497" t="n">
        <v>0</v>
      </c>
      <c r="J497" t="n">
        <v>0</v>
      </c>
      <c r="K497" t="n">
        <v>0</v>
      </c>
      <c r="L497" t="n">
        <v>0</v>
      </c>
      <c r="M497" t="n">
        <v>0</v>
      </c>
      <c r="N497" t="n">
        <v>0</v>
      </c>
      <c r="O497" t="n">
        <v>0</v>
      </c>
      <c r="P497" t="n">
        <v>0</v>
      </c>
      <c r="Q497" t="n">
        <v>0</v>
      </c>
      <c r="R497" s="2" t="inlineStr"/>
    </row>
    <row r="498" ht="15" customHeight="1">
      <c r="A498" t="inlineStr">
        <is>
          <t>A 2862-2021</t>
        </is>
      </c>
      <c r="B498" s="1" t="n">
        <v>44216</v>
      </c>
      <c r="C498" s="1" t="n">
        <v>45728</v>
      </c>
      <c r="D498" t="inlineStr">
        <is>
          <t>JÄMTLANDS LÄN</t>
        </is>
      </c>
      <c r="E498" t="inlineStr">
        <is>
          <t>HÄRJEDALEN</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3536-2021</t>
        </is>
      </c>
      <c r="B499" s="1" t="n">
        <v>44218</v>
      </c>
      <c r="C499" s="1" t="n">
        <v>45728</v>
      </c>
      <c r="D499" t="inlineStr">
        <is>
          <t>JÄMTLANDS LÄN</t>
        </is>
      </c>
      <c r="E499" t="inlineStr">
        <is>
          <t>HÄRJEDALEN</t>
        </is>
      </c>
      <c r="G499" t="n">
        <v>14</v>
      </c>
      <c r="H499" t="n">
        <v>0</v>
      </c>
      <c r="I499" t="n">
        <v>0</v>
      </c>
      <c r="J499" t="n">
        <v>0</v>
      </c>
      <c r="K499" t="n">
        <v>0</v>
      </c>
      <c r="L499" t="n">
        <v>0</v>
      </c>
      <c r="M499" t="n">
        <v>0</v>
      </c>
      <c r="N499" t="n">
        <v>0</v>
      </c>
      <c r="O499" t="n">
        <v>0</v>
      </c>
      <c r="P499" t="n">
        <v>0</v>
      </c>
      <c r="Q499" t="n">
        <v>0</v>
      </c>
      <c r="R499" s="2" t="inlineStr"/>
    </row>
    <row r="500" ht="15" customHeight="1">
      <c r="A500" t="inlineStr">
        <is>
          <t>A 5277-2021</t>
        </is>
      </c>
      <c r="B500" s="1" t="n">
        <v>44225</v>
      </c>
      <c r="C500" s="1" t="n">
        <v>45728</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5283-2021</t>
        </is>
      </c>
      <c r="B501" s="1" t="n">
        <v>44225</v>
      </c>
      <c r="C501" s="1" t="n">
        <v>45728</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5343-2021</t>
        </is>
      </c>
      <c r="B502" s="1" t="n">
        <v>44228</v>
      </c>
      <c r="C502" s="1" t="n">
        <v>45728</v>
      </c>
      <c r="D502" t="inlineStr">
        <is>
          <t>JÄMTLANDS LÄN</t>
        </is>
      </c>
      <c r="E502" t="inlineStr">
        <is>
          <t>HÄRJEDALEN</t>
        </is>
      </c>
      <c r="G502" t="n">
        <v>1</v>
      </c>
      <c r="H502" t="n">
        <v>0</v>
      </c>
      <c r="I502" t="n">
        <v>0</v>
      </c>
      <c r="J502" t="n">
        <v>0</v>
      </c>
      <c r="K502" t="n">
        <v>0</v>
      </c>
      <c r="L502" t="n">
        <v>0</v>
      </c>
      <c r="M502" t="n">
        <v>0</v>
      </c>
      <c r="N502" t="n">
        <v>0</v>
      </c>
      <c r="O502" t="n">
        <v>0</v>
      </c>
      <c r="P502" t="n">
        <v>0</v>
      </c>
      <c r="Q502" t="n">
        <v>0</v>
      </c>
      <c r="R502" s="2" t="inlineStr"/>
    </row>
    <row r="503" ht="15" customHeight="1">
      <c r="A503" t="inlineStr">
        <is>
          <t>A 5353-2021</t>
        </is>
      </c>
      <c r="B503" s="1" t="n">
        <v>44228</v>
      </c>
      <c r="C503" s="1" t="n">
        <v>45728</v>
      </c>
      <c r="D503" t="inlineStr">
        <is>
          <t>JÄMTLANDS LÄN</t>
        </is>
      </c>
      <c r="E503" t="inlineStr">
        <is>
          <t>HÄRJEDALEN</t>
        </is>
      </c>
      <c r="G503" t="n">
        <v>0.5</v>
      </c>
      <c r="H503" t="n">
        <v>0</v>
      </c>
      <c r="I503" t="n">
        <v>0</v>
      </c>
      <c r="J503" t="n">
        <v>0</v>
      </c>
      <c r="K503" t="n">
        <v>0</v>
      </c>
      <c r="L503" t="n">
        <v>0</v>
      </c>
      <c r="M503" t="n">
        <v>0</v>
      </c>
      <c r="N503" t="n">
        <v>0</v>
      </c>
      <c r="O503" t="n">
        <v>0</v>
      </c>
      <c r="P503" t="n">
        <v>0</v>
      </c>
      <c r="Q503" t="n">
        <v>0</v>
      </c>
      <c r="R503" s="2" t="inlineStr"/>
    </row>
    <row r="504" ht="15" customHeight="1">
      <c r="A504" t="inlineStr">
        <is>
          <t>A 5273-2021</t>
        </is>
      </c>
      <c r="B504" s="1" t="n">
        <v>44229</v>
      </c>
      <c r="C504" s="1" t="n">
        <v>45728</v>
      </c>
      <c r="D504" t="inlineStr">
        <is>
          <t>JÄMTLANDS LÄN</t>
        </is>
      </c>
      <c r="E504" t="inlineStr">
        <is>
          <t>HÄRJEDALEN</t>
        </is>
      </c>
      <c r="F504" t="inlineStr">
        <is>
          <t>Holmen skog AB</t>
        </is>
      </c>
      <c r="G504" t="n">
        <v>6.6</v>
      </c>
      <c r="H504" t="n">
        <v>0</v>
      </c>
      <c r="I504" t="n">
        <v>0</v>
      </c>
      <c r="J504" t="n">
        <v>0</v>
      </c>
      <c r="K504" t="n">
        <v>0</v>
      </c>
      <c r="L504" t="n">
        <v>0</v>
      </c>
      <c r="M504" t="n">
        <v>0</v>
      </c>
      <c r="N504" t="n">
        <v>0</v>
      </c>
      <c r="O504" t="n">
        <v>0</v>
      </c>
      <c r="P504" t="n">
        <v>0</v>
      </c>
      <c r="Q504" t="n">
        <v>0</v>
      </c>
      <c r="R504" s="2" t="inlineStr"/>
    </row>
    <row r="505" ht="15" customHeight="1">
      <c r="A505" t="inlineStr">
        <is>
          <t>A 5237-2021</t>
        </is>
      </c>
      <c r="B505" s="1" t="n">
        <v>44229</v>
      </c>
      <c r="C505" s="1" t="n">
        <v>45728</v>
      </c>
      <c r="D505" t="inlineStr">
        <is>
          <t>JÄMTLANDS LÄN</t>
        </is>
      </c>
      <c r="E505" t="inlineStr">
        <is>
          <t>HÄRJEDALEN</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5519-2021</t>
        </is>
      </c>
      <c r="B506" s="1" t="n">
        <v>44230</v>
      </c>
      <c r="C506" s="1" t="n">
        <v>45728</v>
      </c>
      <c r="D506" t="inlineStr">
        <is>
          <t>JÄMTLANDS LÄN</t>
        </is>
      </c>
      <c r="E506" t="inlineStr">
        <is>
          <t>HÄRJEDALEN</t>
        </is>
      </c>
      <c r="G506" t="n">
        <v>10.8</v>
      </c>
      <c r="H506" t="n">
        <v>0</v>
      </c>
      <c r="I506" t="n">
        <v>0</v>
      </c>
      <c r="J506" t="n">
        <v>0</v>
      </c>
      <c r="K506" t="n">
        <v>0</v>
      </c>
      <c r="L506" t="n">
        <v>0</v>
      </c>
      <c r="M506" t="n">
        <v>0</v>
      </c>
      <c r="N506" t="n">
        <v>0</v>
      </c>
      <c r="O506" t="n">
        <v>0</v>
      </c>
      <c r="P506" t="n">
        <v>0</v>
      </c>
      <c r="Q506" t="n">
        <v>0</v>
      </c>
      <c r="R506" s="2" t="inlineStr"/>
    </row>
    <row r="507" ht="15" customHeight="1">
      <c r="A507" t="inlineStr">
        <is>
          <t>A 5993-2021</t>
        </is>
      </c>
      <c r="B507" s="1" t="n">
        <v>44231</v>
      </c>
      <c r="C507" s="1" t="n">
        <v>45728</v>
      </c>
      <c r="D507" t="inlineStr">
        <is>
          <t>JÄMTLANDS LÄN</t>
        </is>
      </c>
      <c r="E507" t="inlineStr">
        <is>
          <t>HÄRJEDALEN</t>
        </is>
      </c>
      <c r="F507" t="inlineStr">
        <is>
          <t>Kyrkan</t>
        </is>
      </c>
      <c r="G507" t="n">
        <v>2.6</v>
      </c>
      <c r="H507" t="n">
        <v>0</v>
      </c>
      <c r="I507" t="n">
        <v>0</v>
      </c>
      <c r="J507" t="n">
        <v>0</v>
      </c>
      <c r="K507" t="n">
        <v>0</v>
      </c>
      <c r="L507" t="n">
        <v>0</v>
      </c>
      <c r="M507" t="n">
        <v>0</v>
      </c>
      <c r="N507" t="n">
        <v>0</v>
      </c>
      <c r="O507" t="n">
        <v>0</v>
      </c>
      <c r="P507" t="n">
        <v>0</v>
      </c>
      <c r="Q507" t="n">
        <v>0</v>
      </c>
      <c r="R507" s="2" t="inlineStr"/>
    </row>
    <row r="508" ht="15" customHeight="1">
      <c r="A508" t="inlineStr">
        <is>
          <t>A 7087-2021</t>
        </is>
      </c>
      <c r="B508" s="1" t="n">
        <v>44238</v>
      </c>
      <c r="C508" s="1" t="n">
        <v>45728</v>
      </c>
      <c r="D508" t="inlineStr">
        <is>
          <t>JÄMTLANDS LÄN</t>
        </is>
      </c>
      <c r="E508" t="inlineStr">
        <is>
          <t>HÄRJEDALEN</t>
        </is>
      </c>
      <c r="F508" t="inlineStr">
        <is>
          <t>Holmen skog AB</t>
        </is>
      </c>
      <c r="G508" t="n">
        <v>14.9</v>
      </c>
      <c r="H508" t="n">
        <v>0</v>
      </c>
      <c r="I508" t="n">
        <v>0</v>
      </c>
      <c r="J508" t="n">
        <v>0</v>
      </c>
      <c r="K508" t="n">
        <v>0</v>
      </c>
      <c r="L508" t="n">
        <v>0</v>
      </c>
      <c r="M508" t="n">
        <v>0</v>
      </c>
      <c r="N508" t="n">
        <v>0</v>
      </c>
      <c r="O508" t="n">
        <v>0</v>
      </c>
      <c r="P508" t="n">
        <v>0</v>
      </c>
      <c r="Q508" t="n">
        <v>0</v>
      </c>
      <c r="R508" s="2" t="inlineStr"/>
    </row>
    <row r="509" ht="15" customHeight="1">
      <c r="A509" t="inlineStr">
        <is>
          <t>A 7112-2021</t>
        </is>
      </c>
      <c r="B509" s="1" t="n">
        <v>44238</v>
      </c>
      <c r="C509" s="1" t="n">
        <v>45728</v>
      </c>
      <c r="D509" t="inlineStr">
        <is>
          <t>JÄMTLANDS LÄN</t>
        </is>
      </c>
      <c r="E509" t="inlineStr">
        <is>
          <t>HÄRJEDALEN</t>
        </is>
      </c>
      <c r="F509" t="inlineStr">
        <is>
          <t>Holmen skog AB</t>
        </is>
      </c>
      <c r="G509" t="n">
        <v>4.7</v>
      </c>
      <c r="H509" t="n">
        <v>0</v>
      </c>
      <c r="I509" t="n">
        <v>0</v>
      </c>
      <c r="J509" t="n">
        <v>0</v>
      </c>
      <c r="K509" t="n">
        <v>0</v>
      </c>
      <c r="L509" t="n">
        <v>0</v>
      </c>
      <c r="M509" t="n">
        <v>0</v>
      </c>
      <c r="N509" t="n">
        <v>0</v>
      </c>
      <c r="O509" t="n">
        <v>0</v>
      </c>
      <c r="P509" t="n">
        <v>0</v>
      </c>
      <c r="Q509" t="n">
        <v>0</v>
      </c>
      <c r="R509" s="2" t="inlineStr"/>
    </row>
    <row r="510" ht="15" customHeight="1">
      <c r="A510" t="inlineStr">
        <is>
          <t>A 7097-2021</t>
        </is>
      </c>
      <c r="B510" s="1" t="n">
        <v>44238</v>
      </c>
      <c r="C510" s="1" t="n">
        <v>45728</v>
      </c>
      <c r="D510" t="inlineStr">
        <is>
          <t>JÄMTLANDS LÄN</t>
        </is>
      </c>
      <c r="E510" t="inlineStr">
        <is>
          <t>HÄRJEDALEN</t>
        </is>
      </c>
      <c r="F510" t="inlineStr">
        <is>
          <t>Holmen skog AB</t>
        </is>
      </c>
      <c r="G510" t="n">
        <v>3.9</v>
      </c>
      <c r="H510" t="n">
        <v>0</v>
      </c>
      <c r="I510" t="n">
        <v>0</v>
      </c>
      <c r="J510" t="n">
        <v>0</v>
      </c>
      <c r="K510" t="n">
        <v>0</v>
      </c>
      <c r="L510" t="n">
        <v>0</v>
      </c>
      <c r="M510" t="n">
        <v>0</v>
      </c>
      <c r="N510" t="n">
        <v>0</v>
      </c>
      <c r="O510" t="n">
        <v>0</v>
      </c>
      <c r="P510" t="n">
        <v>0</v>
      </c>
      <c r="Q510" t="n">
        <v>0</v>
      </c>
      <c r="R510" s="2" t="inlineStr"/>
    </row>
    <row r="511" ht="15" customHeight="1">
      <c r="A511" t="inlineStr">
        <is>
          <t>A 7086-2021</t>
        </is>
      </c>
      <c r="B511" s="1" t="n">
        <v>44238</v>
      </c>
      <c r="C511" s="1" t="n">
        <v>45728</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7110-2021</t>
        </is>
      </c>
      <c r="B512" s="1" t="n">
        <v>44238</v>
      </c>
      <c r="C512" s="1" t="n">
        <v>45728</v>
      </c>
      <c r="D512" t="inlineStr">
        <is>
          <t>JÄMTLANDS LÄN</t>
        </is>
      </c>
      <c r="E512" t="inlineStr">
        <is>
          <t>HÄRJEDALEN</t>
        </is>
      </c>
      <c r="F512" t="inlineStr">
        <is>
          <t>Holmen skog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7427-2021</t>
        </is>
      </c>
      <c r="B513" s="1" t="n">
        <v>44239</v>
      </c>
      <c r="C513" s="1" t="n">
        <v>45728</v>
      </c>
      <c r="D513" t="inlineStr">
        <is>
          <t>JÄMTLANDS LÄN</t>
        </is>
      </c>
      <c r="E513" t="inlineStr">
        <is>
          <t>HÄRJEDALEN</t>
        </is>
      </c>
      <c r="F513" t="inlineStr">
        <is>
          <t>Holmen skog AB</t>
        </is>
      </c>
      <c r="G513" t="n">
        <v>6.1</v>
      </c>
      <c r="H513" t="n">
        <v>0</v>
      </c>
      <c r="I513" t="n">
        <v>0</v>
      </c>
      <c r="J513" t="n">
        <v>0</v>
      </c>
      <c r="K513" t="n">
        <v>0</v>
      </c>
      <c r="L513" t="n">
        <v>0</v>
      </c>
      <c r="M513" t="n">
        <v>0</v>
      </c>
      <c r="N513" t="n">
        <v>0</v>
      </c>
      <c r="O513" t="n">
        <v>0</v>
      </c>
      <c r="P513" t="n">
        <v>0</v>
      </c>
      <c r="Q513" t="n">
        <v>0</v>
      </c>
      <c r="R513" s="2" t="inlineStr"/>
    </row>
    <row r="514" ht="15" customHeight="1">
      <c r="A514" t="inlineStr">
        <is>
          <t>A 7570-2021</t>
        </is>
      </c>
      <c r="B514" s="1" t="n">
        <v>44239</v>
      </c>
      <c r="C514" s="1" t="n">
        <v>45728</v>
      </c>
      <c r="D514" t="inlineStr">
        <is>
          <t>JÄMTLANDS LÄN</t>
        </is>
      </c>
      <c r="E514" t="inlineStr">
        <is>
          <t>HÄRJEDALEN</t>
        </is>
      </c>
      <c r="G514" t="n">
        <v>6.2</v>
      </c>
      <c r="H514" t="n">
        <v>0</v>
      </c>
      <c r="I514" t="n">
        <v>0</v>
      </c>
      <c r="J514" t="n">
        <v>0</v>
      </c>
      <c r="K514" t="n">
        <v>0</v>
      </c>
      <c r="L514" t="n">
        <v>0</v>
      </c>
      <c r="M514" t="n">
        <v>0</v>
      </c>
      <c r="N514" t="n">
        <v>0</v>
      </c>
      <c r="O514" t="n">
        <v>0</v>
      </c>
      <c r="P514" t="n">
        <v>0</v>
      </c>
      <c r="Q514" t="n">
        <v>0</v>
      </c>
      <c r="R514" s="2" t="inlineStr"/>
    </row>
    <row r="515" ht="15" customHeight="1">
      <c r="A515" t="inlineStr">
        <is>
          <t>A 7731-2021</t>
        </is>
      </c>
      <c r="B515" s="1" t="n">
        <v>44242</v>
      </c>
      <c r="C515" s="1" t="n">
        <v>45728</v>
      </c>
      <c r="D515" t="inlineStr">
        <is>
          <t>JÄMTLANDS LÄN</t>
        </is>
      </c>
      <c r="E515" t="inlineStr">
        <is>
          <t>HÄRJEDALEN</t>
        </is>
      </c>
      <c r="G515" t="n">
        <v>13.6</v>
      </c>
      <c r="H515" t="n">
        <v>0</v>
      </c>
      <c r="I515" t="n">
        <v>0</v>
      </c>
      <c r="J515" t="n">
        <v>0</v>
      </c>
      <c r="K515" t="n">
        <v>0</v>
      </c>
      <c r="L515" t="n">
        <v>0</v>
      </c>
      <c r="M515" t="n">
        <v>0</v>
      </c>
      <c r="N515" t="n">
        <v>0</v>
      </c>
      <c r="O515" t="n">
        <v>0</v>
      </c>
      <c r="P515" t="n">
        <v>0</v>
      </c>
      <c r="Q515" t="n">
        <v>0</v>
      </c>
      <c r="R515" s="2" t="inlineStr"/>
    </row>
    <row r="516" ht="15" customHeight="1">
      <c r="A516" t="inlineStr">
        <is>
          <t>A 8055-2021</t>
        </is>
      </c>
      <c r="B516" s="1" t="n">
        <v>44243</v>
      </c>
      <c r="C516" s="1" t="n">
        <v>45728</v>
      </c>
      <c r="D516" t="inlineStr">
        <is>
          <t>JÄMTLANDS LÄN</t>
        </is>
      </c>
      <c r="E516" t="inlineStr">
        <is>
          <t>HÄRJEDALEN</t>
        </is>
      </c>
      <c r="G516" t="n">
        <v>1.6</v>
      </c>
      <c r="H516" t="n">
        <v>0</v>
      </c>
      <c r="I516" t="n">
        <v>0</v>
      </c>
      <c r="J516" t="n">
        <v>0</v>
      </c>
      <c r="K516" t="n">
        <v>0</v>
      </c>
      <c r="L516" t="n">
        <v>0</v>
      </c>
      <c r="M516" t="n">
        <v>0</v>
      </c>
      <c r="N516" t="n">
        <v>0</v>
      </c>
      <c r="O516" t="n">
        <v>0</v>
      </c>
      <c r="P516" t="n">
        <v>0</v>
      </c>
      <c r="Q516" t="n">
        <v>0</v>
      </c>
      <c r="R516" s="2" t="inlineStr"/>
    </row>
    <row r="517" ht="15" customHeight="1">
      <c r="A517" t="inlineStr">
        <is>
          <t>A 9470-2021</t>
        </is>
      </c>
      <c r="B517" s="1" t="n">
        <v>44251</v>
      </c>
      <c r="C517" s="1" t="n">
        <v>45728</v>
      </c>
      <c r="D517" t="inlineStr">
        <is>
          <t>JÄMTLANDS LÄN</t>
        </is>
      </c>
      <c r="E517" t="inlineStr">
        <is>
          <t>HÄRJEDALEN</t>
        </is>
      </c>
      <c r="G517" t="n">
        <v>12.4</v>
      </c>
      <c r="H517" t="n">
        <v>0</v>
      </c>
      <c r="I517" t="n">
        <v>0</v>
      </c>
      <c r="J517" t="n">
        <v>0</v>
      </c>
      <c r="K517" t="n">
        <v>0</v>
      </c>
      <c r="L517" t="n">
        <v>0</v>
      </c>
      <c r="M517" t="n">
        <v>0</v>
      </c>
      <c r="N517" t="n">
        <v>0</v>
      </c>
      <c r="O517" t="n">
        <v>0</v>
      </c>
      <c r="P517" t="n">
        <v>0</v>
      </c>
      <c r="Q517" t="n">
        <v>0</v>
      </c>
      <c r="R517" s="2" t="inlineStr"/>
    </row>
    <row r="518" ht="15" customHeight="1">
      <c r="A518" t="inlineStr">
        <is>
          <t>A 10530-2021</t>
        </is>
      </c>
      <c r="B518" s="1" t="n">
        <v>44258</v>
      </c>
      <c r="C518" s="1" t="n">
        <v>45728</v>
      </c>
      <c r="D518" t="inlineStr">
        <is>
          <t>JÄMTLANDS LÄN</t>
        </is>
      </c>
      <c r="E518" t="inlineStr">
        <is>
          <t>HÄRJEDALEN</t>
        </is>
      </c>
      <c r="G518" t="n">
        <v>19.5</v>
      </c>
      <c r="H518" t="n">
        <v>0</v>
      </c>
      <c r="I518" t="n">
        <v>0</v>
      </c>
      <c r="J518" t="n">
        <v>0</v>
      </c>
      <c r="K518" t="n">
        <v>0</v>
      </c>
      <c r="L518" t="n">
        <v>0</v>
      </c>
      <c r="M518" t="n">
        <v>0</v>
      </c>
      <c r="N518" t="n">
        <v>0</v>
      </c>
      <c r="O518" t="n">
        <v>0</v>
      </c>
      <c r="P518" t="n">
        <v>0</v>
      </c>
      <c r="Q518" t="n">
        <v>0</v>
      </c>
      <c r="R518" s="2" t="inlineStr"/>
    </row>
    <row r="519" ht="15" customHeight="1">
      <c r="A519" t="inlineStr">
        <is>
          <t>A 10536-2021</t>
        </is>
      </c>
      <c r="B519" s="1" t="n">
        <v>44258</v>
      </c>
      <c r="C519" s="1" t="n">
        <v>45728</v>
      </c>
      <c r="D519" t="inlineStr">
        <is>
          <t>JÄMTLANDS LÄN</t>
        </is>
      </c>
      <c r="E519" t="inlineStr">
        <is>
          <t>HÄRJEDALEN</t>
        </is>
      </c>
      <c r="G519" t="n">
        <v>18.7</v>
      </c>
      <c r="H519" t="n">
        <v>0</v>
      </c>
      <c r="I519" t="n">
        <v>0</v>
      </c>
      <c r="J519" t="n">
        <v>0</v>
      </c>
      <c r="K519" t="n">
        <v>0</v>
      </c>
      <c r="L519" t="n">
        <v>0</v>
      </c>
      <c r="M519" t="n">
        <v>0</v>
      </c>
      <c r="N519" t="n">
        <v>0</v>
      </c>
      <c r="O519" t="n">
        <v>0</v>
      </c>
      <c r="P519" t="n">
        <v>0</v>
      </c>
      <c r="Q519" t="n">
        <v>0</v>
      </c>
      <c r="R519" s="2" t="inlineStr"/>
    </row>
    <row r="520" ht="15" customHeight="1">
      <c r="A520" t="inlineStr">
        <is>
          <t>A 12629-2021</t>
        </is>
      </c>
      <c r="B520" s="1" t="n">
        <v>44270</v>
      </c>
      <c r="C520" s="1" t="n">
        <v>45728</v>
      </c>
      <c r="D520" t="inlineStr">
        <is>
          <t>JÄMTLANDS LÄN</t>
        </is>
      </c>
      <c r="E520" t="inlineStr">
        <is>
          <t>HÄRJEDALEN</t>
        </is>
      </c>
      <c r="G520" t="n">
        <v>20.7</v>
      </c>
      <c r="H520" t="n">
        <v>0</v>
      </c>
      <c r="I520" t="n">
        <v>0</v>
      </c>
      <c r="J520" t="n">
        <v>0</v>
      </c>
      <c r="K520" t="n">
        <v>0</v>
      </c>
      <c r="L520" t="n">
        <v>0</v>
      </c>
      <c r="M520" t="n">
        <v>0</v>
      </c>
      <c r="N520" t="n">
        <v>0</v>
      </c>
      <c r="O520" t="n">
        <v>0</v>
      </c>
      <c r="P520" t="n">
        <v>0</v>
      </c>
      <c r="Q520" t="n">
        <v>0</v>
      </c>
      <c r="R520" s="2" t="inlineStr"/>
    </row>
    <row r="521" ht="15" customHeight="1">
      <c r="A521" t="inlineStr">
        <is>
          <t>A 14798-2021</t>
        </is>
      </c>
      <c r="B521" s="1" t="n">
        <v>44280</v>
      </c>
      <c r="C521" s="1" t="n">
        <v>45728</v>
      </c>
      <c r="D521" t="inlineStr">
        <is>
          <t>JÄMTLANDS LÄN</t>
        </is>
      </c>
      <c r="E521" t="inlineStr">
        <is>
          <t>HÄRJEDALEN</t>
        </is>
      </c>
      <c r="G521" t="n">
        <v>2.6</v>
      </c>
      <c r="H521" t="n">
        <v>0</v>
      </c>
      <c r="I521" t="n">
        <v>0</v>
      </c>
      <c r="J521" t="n">
        <v>0</v>
      </c>
      <c r="K521" t="n">
        <v>0</v>
      </c>
      <c r="L521" t="n">
        <v>0</v>
      </c>
      <c r="M521" t="n">
        <v>0</v>
      </c>
      <c r="N521" t="n">
        <v>0</v>
      </c>
      <c r="O521" t="n">
        <v>0</v>
      </c>
      <c r="P521" t="n">
        <v>0</v>
      </c>
      <c r="Q521" t="n">
        <v>0</v>
      </c>
      <c r="R521" s="2" t="inlineStr"/>
    </row>
    <row r="522" ht="15" customHeight="1">
      <c r="A522" t="inlineStr">
        <is>
          <t>A 15580-2021</t>
        </is>
      </c>
      <c r="B522" s="1" t="n">
        <v>44285</v>
      </c>
      <c r="C522" s="1" t="n">
        <v>45728</v>
      </c>
      <c r="D522" t="inlineStr">
        <is>
          <t>JÄMTLANDS LÄN</t>
        </is>
      </c>
      <c r="E522" t="inlineStr">
        <is>
          <t>HÄRJEDALEN</t>
        </is>
      </c>
      <c r="G522" t="n">
        <v>22.1</v>
      </c>
      <c r="H522" t="n">
        <v>0</v>
      </c>
      <c r="I522" t="n">
        <v>0</v>
      </c>
      <c r="J522" t="n">
        <v>0</v>
      </c>
      <c r="K522" t="n">
        <v>0</v>
      </c>
      <c r="L522" t="n">
        <v>0</v>
      </c>
      <c r="M522" t="n">
        <v>0</v>
      </c>
      <c r="N522" t="n">
        <v>0</v>
      </c>
      <c r="O522" t="n">
        <v>0</v>
      </c>
      <c r="P522" t="n">
        <v>0</v>
      </c>
      <c r="Q522" t="n">
        <v>0</v>
      </c>
      <c r="R522" s="2" t="inlineStr"/>
    </row>
    <row r="523" ht="15" customHeight="1">
      <c r="A523" t="inlineStr">
        <is>
          <t>A 15585-2021</t>
        </is>
      </c>
      <c r="B523" s="1" t="n">
        <v>44285</v>
      </c>
      <c r="C523" s="1" t="n">
        <v>45728</v>
      </c>
      <c r="D523" t="inlineStr">
        <is>
          <t>JÄMTLANDS LÄN</t>
        </is>
      </c>
      <c r="E523" t="inlineStr">
        <is>
          <t>HÄRJEDALEN</t>
        </is>
      </c>
      <c r="G523" t="n">
        <v>21.2</v>
      </c>
      <c r="H523" t="n">
        <v>0</v>
      </c>
      <c r="I523" t="n">
        <v>0</v>
      </c>
      <c r="J523" t="n">
        <v>0</v>
      </c>
      <c r="K523" t="n">
        <v>0</v>
      </c>
      <c r="L523" t="n">
        <v>0</v>
      </c>
      <c r="M523" t="n">
        <v>0</v>
      </c>
      <c r="N523" t="n">
        <v>0</v>
      </c>
      <c r="O523" t="n">
        <v>0</v>
      </c>
      <c r="P523" t="n">
        <v>0</v>
      </c>
      <c r="Q523" t="n">
        <v>0</v>
      </c>
      <c r="R523" s="2" t="inlineStr"/>
    </row>
    <row r="524" ht="15" customHeight="1">
      <c r="A524" t="inlineStr">
        <is>
          <t>A 15594-2021</t>
        </is>
      </c>
      <c r="B524" s="1" t="n">
        <v>44285</v>
      </c>
      <c r="C524" s="1" t="n">
        <v>45728</v>
      </c>
      <c r="D524" t="inlineStr">
        <is>
          <t>JÄMTLANDS LÄN</t>
        </is>
      </c>
      <c r="E524" t="inlineStr">
        <is>
          <t>HÄRJEDALEN</t>
        </is>
      </c>
      <c r="G524" t="n">
        <v>28.5</v>
      </c>
      <c r="H524" t="n">
        <v>0</v>
      </c>
      <c r="I524" t="n">
        <v>0</v>
      </c>
      <c r="J524" t="n">
        <v>0</v>
      </c>
      <c r="K524" t="n">
        <v>0</v>
      </c>
      <c r="L524" t="n">
        <v>0</v>
      </c>
      <c r="M524" t="n">
        <v>0</v>
      </c>
      <c r="N524" t="n">
        <v>0</v>
      </c>
      <c r="O524" t="n">
        <v>0</v>
      </c>
      <c r="P524" t="n">
        <v>0</v>
      </c>
      <c r="Q524" t="n">
        <v>0</v>
      </c>
      <c r="R524" s="2" t="inlineStr"/>
    </row>
    <row r="525" ht="15" customHeight="1">
      <c r="A525" t="inlineStr">
        <is>
          <t>A 15681-2021</t>
        </is>
      </c>
      <c r="B525" s="1" t="n">
        <v>44286</v>
      </c>
      <c r="C525" s="1" t="n">
        <v>45728</v>
      </c>
      <c r="D525" t="inlineStr">
        <is>
          <t>JÄMTLANDS LÄN</t>
        </is>
      </c>
      <c r="E525" t="inlineStr">
        <is>
          <t>HÄRJEDALEN</t>
        </is>
      </c>
      <c r="G525" t="n">
        <v>9.6</v>
      </c>
      <c r="H525" t="n">
        <v>0</v>
      </c>
      <c r="I525" t="n">
        <v>0</v>
      </c>
      <c r="J525" t="n">
        <v>0</v>
      </c>
      <c r="K525" t="n">
        <v>0</v>
      </c>
      <c r="L525" t="n">
        <v>0</v>
      </c>
      <c r="M525" t="n">
        <v>0</v>
      </c>
      <c r="N525" t="n">
        <v>0</v>
      </c>
      <c r="O525" t="n">
        <v>0</v>
      </c>
      <c r="P525" t="n">
        <v>0</v>
      </c>
      <c r="Q525" t="n">
        <v>0</v>
      </c>
      <c r="R525" s="2" t="inlineStr"/>
    </row>
    <row r="526" ht="15" customHeight="1">
      <c r="A526" t="inlineStr">
        <is>
          <t>A 15685-2021</t>
        </is>
      </c>
      <c r="B526" s="1" t="n">
        <v>44286</v>
      </c>
      <c r="C526" s="1" t="n">
        <v>45728</v>
      </c>
      <c r="D526" t="inlineStr">
        <is>
          <t>JÄMTLANDS LÄN</t>
        </is>
      </c>
      <c r="E526" t="inlineStr">
        <is>
          <t>HÄRJEDALEN</t>
        </is>
      </c>
      <c r="G526" t="n">
        <v>3.6</v>
      </c>
      <c r="H526" t="n">
        <v>0</v>
      </c>
      <c r="I526" t="n">
        <v>0</v>
      </c>
      <c r="J526" t="n">
        <v>0</v>
      </c>
      <c r="K526" t="n">
        <v>0</v>
      </c>
      <c r="L526" t="n">
        <v>0</v>
      </c>
      <c r="M526" t="n">
        <v>0</v>
      </c>
      <c r="N526" t="n">
        <v>0</v>
      </c>
      <c r="O526" t="n">
        <v>0</v>
      </c>
      <c r="P526" t="n">
        <v>0</v>
      </c>
      <c r="Q526" t="n">
        <v>0</v>
      </c>
      <c r="R526" s="2" t="inlineStr"/>
    </row>
    <row r="527" ht="15" customHeight="1">
      <c r="A527" t="inlineStr">
        <is>
          <t>A 17187-2021</t>
        </is>
      </c>
      <c r="B527" s="1" t="n">
        <v>44298</v>
      </c>
      <c r="C527" s="1" t="n">
        <v>45728</v>
      </c>
      <c r="D527" t="inlineStr">
        <is>
          <t>JÄMTLANDS LÄN</t>
        </is>
      </c>
      <c r="E527" t="inlineStr">
        <is>
          <t>HÄRJEDALEN</t>
        </is>
      </c>
      <c r="G527" t="n">
        <v>20.1</v>
      </c>
      <c r="H527" t="n">
        <v>0</v>
      </c>
      <c r="I527" t="n">
        <v>0</v>
      </c>
      <c r="J527" t="n">
        <v>0</v>
      </c>
      <c r="K527" t="n">
        <v>0</v>
      </c>
      <c r="L527" t="n">
        <v>0</v>
      </c>
      <c r="M527" t="n">
        <v>0</v>
      </c>
      <c r="N527" t="n">
        <v>0</v>
      </c>
      <c r="O527" t="n">
        <v>0</v>
      </c>
      <c r="P527" t="n">
        <v>0</v>
      </c>
      <c r="Q527" t="n">
        <v>0</v>
      </c>
      <c r="R527" s="2" t="inlineStr"/>
    </row>
    <row r="528" ht="15" customHeight="1">
      <c r="A528" t="inlineStr">
        <is>
          <t>A 17705-2021</t>
        </is>
      </c>
      <c r="B528" s="1" t="n">
        <v>44300</v>
      </c>
      <c r="C528" s="1" t="n">
        <v>45728</v>
      </c>
      <c r="D528" t="inlineStr">
        <is>
          <t>JÄMTLANDS LÄN</t>
        </is>
      </c>
      <c r="E528" t="inlineStr">
        <is>
          <t>HÄRJEDALEN</t>
        </is>
      </c>
      <c r="G528" t="n">
        <v>5.2</v>
      </c>
      <c r="H528" t="n">
        <v>0</v>
      </c>
      <c r="I528" t="n">
        <v>0</v>
      </c>
      <c r="J528" t="n">
        <v>0</v>
      </c>
      <c r="K528" t="n">
        <v>0</v>
      </c>
      <c r="L528" t="n">
        <v>0</v>
      </c>
      <c r="M528" t="n">
        <v>0</v>
      </c>
      <c r="N528" t="n">
        <v>0</v>
      </c>
      <c r="O528" t="n">
        <v>0</v>
      </c>
      <c r="P528" t="n">
        <v>0</v>
      </c>
      <c r="Q528" t="n">
        <v>0</v>
      </c>
      <c r="R528" s="2" t="inlineStr"/>
    </row>
    <row r="529" ht="15" customHeight="1">
      <c r="A529" t="inlineStr">
        <is>
          <t>A 18389-2021</t>
        </is>
      </c>
      <c r="B529" s="1" t="n">
        <v>44305</v>
      </c>
      <c r="C529" s="1" t="n">
        <v>45728</v>
      </c>
      <c r="D529" t="inlineStr">
        <is>
          <t>JÄMTLANDS LÄN</t>
        </is>
      </c>
      <c r="E529" t="inlineStr">
        <is>
          <t>HÄRJEDALEN</t>
        </is>
      </c>
      <c r="G529" t="n">
        <v>1.3</v>
      </c>
      <c r="H529" t="n">
        <v>0</v>
      </c>
      <c r="I529" t="n">
        <v>0</v>
      </c>
      <c r="J529" t="n">
        <v>0</v>
      </c>
      <c r="K529" t="n">
        <v>0</v>
      </c>
      <c r="L529" t="n">
        <v>0</v>
      </c>
      <c r="M529" t="n">
        <v>0</v>
      </c>
      <c r="N529" t="n">
        <v>0</v>
      </c>
      <c r="O529" t="n">
        <v>0</v>
      </c>
      <c r="P529" t="n">
        <v>0</v>
      </c>
      <c r="Q529" t="n">
        <v>0</v>
      </c>
      <c r="R529" s="2" t="inlineStr"/>
    </row>
    <row r="530" ht="15" customHeight="1">
      <c r="A530" t="inlineStr">
        <is>
          <t>A 19958-2021</t>
        </is>
      </c>
      <c r="B530" s="1" t="n">
        <v>44312</v>
      </c>
      <c r="C530" s="1" t="n">
        <v>45728</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19955-2021</t>
        </is>
      </c>
      <c r="B531" s="1" t="n">
        <v>44312</v>
      </c>
      <c r="C531" s="1" t="n">
        <v>45728</v>
      </c>
      <c r="D531" t="inlineStr">
        <is>
          <t>JÄMTLANDS LÄN</t>
        </is>
      </c>
      <c r="E531" t="inlineStr">
        <is>
          <t>HÄRJEDALEN</t>
        </is>
      </c>
      <c r="G531" t="n">
        <v>4.6</v>
      </c>
      <c r="H531" t="n">
        <v>0</v>
      </c>
      <c r="I531" t="n">
        <v>0</v>
      </c>
      <c r="J531" t="n">
        <v>0</v>
      </c>
      <c r="K531" t="n">
        <v>0</v>
      </c>
      <c r="L531" t="n">
        <v>0</v>
      </c>
      <c r="M531" t="n">
        <v>0</v>
      </c>
      <c r="N531" t="n">
        <v>0</v>
      </c>
      <c r="O531" t="n">
        <v>0</v>
      </c>
      <c r="P531" t="n">
        <v>0</v>
      </c>
      <c r="Q531" t="n">
        <v>0</v>
      </c>
      <c r="R531" s="2" t="inlineStr"/>
    </row>
    <row r="532" ht="15" customHeight="1">
      <c r="A532" t="inlineStr">
        <is>
          <t>A 19962-2021</t>
        </is>
      </c>
      <c r="B532" s="1" t="n">
        <v>44312</v>
      </c>
      <c r="C532" s="1" t="n">
        <v>45728</v>
      </c>
      <c r="D532" t="inlineStr">
        <is>
          <t>JÄMTLANDS LÄN</t>
        </is>
      </c>
      <c r="E532" t="inlineStr">
        <is>
          <t>HÄRJEDALEN</t>
        </is>
      </c>
      <c r="G532" t="n">
        <v>3.7</v>
      </c>
      <c r="H532" t="n">
        <v>0</v>
      </c>
      <c r="I532" t="n">
        <v>0</v>
      </c>
      <c r="J532" t="n">
        <v>0</v>
      </c>
      <c r="K532" t="n">
        <v>0</v>
      </c>
      <c r="L532" t="n">
        <v>0</v>
      </c>
      <c r="M532" t="n">
        <v>0</v>
      </c>
      <c r="N532" t="n">
        <v>0</v>
      </c>
      <c r="O532" t="n">
        <v>0</v>
      </c>
      <c r="P532" t="n">
        <v>0</v>
      </c>
      <c r="Q532" t="n">
        <v>0</v>
      </c>
      <c r="R532" s="2" t="inlineStr"/>
    </row>
    <row r="533" ht="15" customHeight="1">
      <c r="A533" t="inlineStr">
        <is>
          <t>A 21593-2021</t>
        </is>
      </c>
      <c r="B533" s="1" t="n">
        <v>44314</v>
      </c>
      <c r="C533" s="1" t="n">
        <v>45728</v>
      </c>
      <c r="D533" t="inlineStr">
        <is>
          <t>JÄMTLANDS LÄN</t>
        </is>
      </c>
      <c r="E533" t="inlineStr">
        <is>
          <t>HÄRJEDALEN</t>
        </is>
      </c>
      <c r="G533" t="n">
        <v>7.7</v>
      </c>
      <c r="H533" t="n">
        <v>0</v>
      </c>
      <c r="I533" t="n">
        <v>0</v>
      </c>
      <c r="J533" t="n">
        <v>0</v>
      </c>
      <c r="K533" t="n">
        <v>0</v>
      </c>
      <c r="L533" t="n">
        <v>0</v>
      </c>
      <c r="M533" t="n">
        <v>0</v>
      </c>
      <c r="N533" t="n">
        <v>0</v>
      </c>
      <c r="O533" t="n">
        <v>0</v>
      </c>
      <c r="P533" t="n">
        <v>0</v>
      </c>
      <c r="Q533" t="n">
        <v>0</v>
      </c>
      <c r="R533" s="2" t="inlineStr"/>
    </row>
    <row r="534" ht="15" customHeight="1">
      <c r="A534" t="inlineStr">
        <is>
          <t>A 21596-2021</t>
        </is>
      </c>
      <c r="B534" s="1" t="n">
        <v>44314</v>
      </c>
      <c r="C534" s="1" t="n">
        <v>45728</v>
      </c>
      <c r="D534" t="inlineStr">
        <is>
          <t>JÄMTLANDS LÄN</t>
        </is>
      </c>
      <c r="E534" t="inlineStr">
        <is>
          <t>HÄRJEDALEN</t>
        </is>
      </c>
      <c r="G534" t="n">
        <v>18.2</v>
      </c>
      <c r="H534" t="n">
        <v>0</v>
      </c>
      <c r="I534" t="n">
        <v>0</v>
      </c>
      <c r="J534" t="n">
        <v>0</v>
      </c>
      <c r="K534" t="n">
        <v>0</v>
      </c>
      <c r="L534" t="n">
        <v>0</v>
      </c>
      <c r="M534" t="n">
        <v>0</v>
      </c>
      <c r="N534" t="n">
        <v>0</v>
      </c>
      <c r="O534" t="n">
        <v>0</v>
      </c>
      <c r="P534" t="n">
        <v>0</v>
      </c>
      <c r="Q534" t="n">
        <v>0</v>
      </c>
      <c r="R534" s="2" t="inlineStr"/>
    </row>
    <row r="535" ht="15" customHeight="1">
      <c r="A535" t="inlineStr">
        <is>
          <t>A 21837-2021</t>
        </is>
      </c>
      <c r="B535" s="1" t="n">
        <v>44316</v>
      </c>
      <c r="C535" s="1" t="n">
        <v>45728</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21702-2021</t>
        </is>
      </c>
      <c r="B536" s="1" t="n">
        <v>44316</v>
      </c>
      <c r="C536" s="1" t="n">
        <v>45728</v>
      </c>
      <c r="D536" t="inlineStr">
        <is>
          <t>JÄMTLANDS LÄN</t>
        </is>
      </c>
      <c r="E536" t="inlineStr">
        <is>
          <t>HÄRJEDALEN</t>
        </is>
      </c>
      <c r="G536" t="n">
        <v>2.9</v>
      </c>
      <c r="H536" t="n">
        <v>0</v>
      </c>
      <c r="I536" t="n">
        <v>0</v>
      </c>
      <c r="J536" t="n">
        <v>0</v>
      </c>
      <c r="K536" t="n">
        <v>0</v>
      </c>
      <c r="L536" t="n">
        <v>0</v>
      </c>
      <c r="M536" t="n">
        <v>0</v>
      </c>
      <c r="N536" t="n">
        <v>0</v>
      </c>
      <c r="O536" t="n">
        <v>0</v>
      </c>
      <c r="P536" t="n">
        <v>0</v>
      </c>
      <c r="Q536" t="n">
        <v>0</v>
      </c>
      <c r="R536" s="2" t="inlineStr"/>
    </row>
    <row r="537" ht="15" customHeight="1">
      <c r="A537" t="inlineStr">
        <is>
          <t>A 21833-2021</t>
        </is>
      </c>
      <c r="B537" s="1" t="n">
        <v>44316</v>
      </c>
      <c r="C537" s="1" t="n">
        <v>45728</v>
      </c>
      <c r="D537" t="inlineStr">
        <is>
          <t>JÄMTLANDS LÄN</t>
        </is>
      </c>
      <c r="E537" t="inlineStr">
        <is>
          <t>HÄRJEDALEN</t>
        </is>
      </c>
      <c r="G537" t="n">
        <v>20.2</v>
      </c>
      <c r="H537" t="n">
        <v>0</v>
      </c>
      <c r="I537" t="n">
        <v>0</v>
      </c>
      <c r="J537" t="n">
        <v>0</v>
      </c>
      <c r="K537" t="n">
        <v>0</v>
      </c>
      <c r="L537" t="n">
        <v>0</v>
      </c>
      <c r="M537" t="n">
        <v>0</v>
      </c>
      <c r="N537" t="n">
        <v>0</v>
      </c>
      <c r="O537" t="n">
        <v>0</v>
      </c>
      <c r="P537" t="n">
        <v>0</v>
      </c>
      <c r="Q537" t="n">
        <v>0</v>
      </c>
      <c r="R537" s="2" t="inlineStr"/>
    </row>
    <row r="538" ht="15" customHeight="1">
      <c r="A538" t="inlineStr">
        <is>
          <t>A 21854-2021</t>
        </is>
      </c>
      <c r="B538" s="1" t="n">
        <v>44316</v>
      </c>
      <c r="C538" s="1" t="n">
        <v>45728</v>
      </c>
      <c r="D538" t="inlineStr">
        <is>
          <t>JÄMTLANDS LÄN</t>
        </is>
      </c>
      <c r="E538" t="inlineStr">
        <is>
          <t>HÄRJEDALEN</t>
        </is>
      </c>
      <c r="G538" t="n">
        <v>10.7</v>
      </c>
      <c r="H538" t="n">
        <v>0</v>
      </c>
      <c r="I538" t="n">
        <v>0</v>
      </c>
      <c r="J538" t="n">
        <v>0</v>
      </c>
      <c r="K538" t="n">
        <v>0</v>
      </c>
      <c r="L538" t="n">
        <v>0</v>
      </c>
      <c r="M538" t="n">
        <v>0</v>
      </c>
      <c r="N538" t="n">
        <v>0</v>
      </c>
      <c r="O538" t="n">
        <v>0</v>
      </c>
      <c r="P538" t="n">
        <v>0</v>
      </c>
      <c r="Q538" t="n">
        <v>0</v>
      </c>
      <c r="R538" s="2" t="inlineStr"/>
    </row>
    <row r="539" ht="15" customHeight="1">
      <c r="A539" t="inlineStr">
        <is>
          <t>A 21848-2021</t>
        </is>
      </c>
      <c r="B539" s="1" t="n">
        <v>44316</v>
      </c>
      <c r="C539" s="1" t="n">
        <v>45728</v>
      </c>
      <c r="D539" t="inlineStr">
        <is>
          <t>JÄMTLANDS LÄN</t>
        </is>
      </c>
      <c r="E539" t="inlineStr">
        <is>
          <t>HÄRJEDALEN</t>
        </is>
      </c>
      <c r="G539" t="n">
        <v>19.4</v>
      </c>
      <c r="H539" t="n">
        <v>0</v>
      </c>
      <c r="I539" t="n">
        <v>0</v>
      </c>
      <c r="J539" t="n">
        <v>0</v>
      </c>
      <c r="K539" t="n">
        <v>0</v>
      </c>
      <c r="L539" t="n">
        <v>0</v>
      </c>
      <c r="M539" t="n">
        <v>0</v>
      </c>
      <c r="N539" t="n">
        <v>0</v>
      </c>
      <c r="O539" t="n">
        <v>0</v>
      </c>
      <c r="P539" t="n">
        <v>0</v>
      </c>
      <c r="Q539" t="n">
        <v>0</v>
      </c>
      <c r="R539" s="2" t="inlineStr"/>
    </row>
    <row r="540" ht="15" customHeight="1">
      <c r="A540" t="inlineStr">
        <is>
          <t>A 21699-2021</t>
        </is>
      </c>
      <c r="B540" s="1" t="n">
        <v>44316</v>
      </c>
      <c r="C540" s="1" t="n">
        <v>45728</v>
      </c>
      <c r="D540" t="inlineStr">
        <is>
          <t>JÄMTLANDS LÄN</t>
        </is>
      </c>
      <c r="E540" t="inlineStr">
        <is>
          <t>HÄRJEDALEN</t>
        </is>
      </c>
      <c r="G540" t="n">
        <v>6.8</v>
      </c>
      <c r="H540" t="n">
        <v>0</v>
      </c>
      <c r="I540" t="n">
        <v>0</v>
      </c>
      <c r="J540" t="n">
        <v>0</v>
      </c>
      <c r="K540" t="n">
        <v>0</v>
      </c>
      <c r="L540" t="n">
        <v>0</v>
      </c>
      <c r="M540" t="n">
        <v>0</v>
      </c>
      <c r="N540" t="n">
        <v>0</v>
      </c>
      <c r="O540" t="n">
        <v>0</v>
      </c>
      <c r="P540" t="n">
        <v>0</v>
      </c>
      <c r="Q540" t="n">
        <v>0</v>
      </c>
      <c r="R540" s="2" t="inlineStr"/>
    </row>
    <row r="541" ht="15" customHeight="1">
      <c r="A541" t="inlineStr">
        <is>
          <t>A 21703-2021</t>
        </is>
      </c>
      <c r="B541" s="1" t="n">
        <v>44316</v>
      </c>
      <c r="C541" s="1" t="n">
        <v>45728</v>
      </c>
      <c r="D541" t="inlineStr">
        <is>
          <t>JÄMTLANDS LÄN</t>
        </is>
      </c>
      <c r="E541" t="inlineStr">
        <is>
          <t>HÄRJEDALEN</t>
        </is>
      </c>
      <c r="G541" t="n">
        <v>11.9</v>
      </c>
      <c r="H541" t="n">
        <v>0</v>
      </c>
      <c r="I541" t="n">
        <v>0</v>
      </c>
      <c r="J541" t="n">
        <v>0</v>
      </c>
      <c r="K541" t="n">
        <v>0</v>
      </c>
      <c r="L541" t="n">
        <v>0</v>
      </c>
      <c r="M541" t="n">
        <v>0</v>
      </c>
      <c r="N541" t="n">
        <v>0</v>
      </c>
      <c r="O541" t="n">
        <v>0</v>
      </c>
      <c r="P541" t="n">
        <v>0</v>
      </c>
      <c r="Q541" t="n">
        <v>0</v>
      </c>
      <c r="R541" s="2" t="inlineStr"/>
    </row>
    <row r="542" ht="15" customHeight="1">
      <c r="A542" t="inlineStr">
        <is>
          <t>A 21843-2021</t>
        </is>
      </c>
      <c r="B542" s="1" t="n">
        <v>44316</v>
      </c>
      <c r="C542" s="1" t="n">
        <v>45728</v>
      </c>
      <c r="D542" t="inlineStr">
        <is>
          <t>JÄMTLANDS LÄN</t>
        </is>
      </c>
      <c r="E542" t="inlineStr">
        <is>
          <t>HÄRJEDALEN</t>
        </is>
      </c>
      <c r="G542" t="n">
        <v>15.1</v>
      </c>
      <c r="H542" t="n">
        <v>0</v>
      </c>
      <c r="I542" t="n">
        <v>0</v>
      </c>
      <c r="J542" t="n">
        <v>0</v>
      </c>
      <c r="K542" t="n">
        <v>0</v>
      </c>
      <c r="L542" t="n">
        <v>0</v>
      </c>
      <c r="M542" t="n">
        <v>0</v>
      </c>
      <c r="N542" t="n">
        <v>0</v>
      </c>
      <c r="O542" t="n">
        <v>0</v>
      </c>
      <c r="P542" t="n">
        <v>0</v>
      </c>
      <c r="Q542" t="n">
        <v>0</v>
      </c>
      <c r="R542" s="2" t="inlineStr"/>
    </row>
    <row r="543" ht="15" customHeight="1">
      <c r="A543" t="inlineStr">
        <is>
          <t>A 21705-2021</t>
        </is>
      </c>
      <c r="B543" s="1" t="n">
        <v>44316</v>
      </c>
      <c r="C543" s="1" t="n">
        <v>45728</v>
      </c>
      <c r="D543" t="inlineStr">
        <is>
          <t>JÄMTLANDS LÄN</t>
        </is>
      </c>
      <c r="E543" t="inlineStr">
        <is>
          <t>HÄRJEDALEN</t>
        </is>
      </c>
      <c r="G543" t="n">
        <v>6.1</v>
      </c>
      <c r="H543" t="n">
        <v>0</v>
      </c>
      <c r="I543" t="n">
        <v>0</v>
      </c>
      <c r="J543" t="n">
        <v>0</v>
      </c>
      <c r="K543" t="n">
        <v>0</v>
      </c>
      <c r="L543" t="n">
        <v>0</v>
      </c>
      <c r="M543" t="n">
        <v>0</v>
      </c>
      <c r="N543" t="n">
        <v>0</v>
      </c>
      <c r="O543" t="n">
        <v>0</v>
      </c>
      <c r="P543" t="n">
        <v>0</v>
      </c>
      <c r="Q543" t="n">
        <v>0</v>
      </c>
      <c r="R543" s="2" t="inlineStr"/>
    </row>
    <row r="544" ht="15" customHeight="1">
      <c r="A544" t="inlineStr">
        <is>
          <t>A 20804-2021</t>
        </is>
      </c>
      <c r="B544" s="1" t="n">
        <v>44316</v>
      </c>
      <c r="C544" s="1" t="n">
        <v>45728</v>
      </c>
      <c r="D544" t="inlineStr">
        <is>
          <t>JÄMTLANDS LÄN</t>
        </is>
      </c>
      <c r="E544" t="inlineStr">
        <is>
          <t>HÄRJEDALEN</t>
        </is>
      </c>
      <c r="F544" t="inlineStr">
        <is>
          <t>SCA</t>
        </is>
      </c>
      <c r="G544" t="n">
        <v>11.2</v>
      </c>
      <c r="H544" t="n">
        <v>0</v>
      </c>
      <c r="I544" t="n">
        <v>0</v>
      </c>
      <c r="J544" t="n">
        <v>0</v>
      </c>
      <c r="K544" t="n">
        <v>0</v>
      </c>
      <c r="L544" t="n">
        <v>0</v>
      </c>
      <c r="M544" t="n">
        <v>0</v>
      </c>
      <c r="N544" t="n">
        <v>0</v>
      </c>
      <c r="O544" t="n">
        <v>0</v>
      </c>
      <c r="P544" t="n">
        <v>0</v>
      </c>
      <c r="Q544" t="n">
        <v>0</v>
      </c>
      <c r="R544" s="2" t="inlineStr"/>
    </row>
    <row r="545" ht="15" customHeight="1">
      <c r="A545" t="inlineStr">
        <is>
          <t>A 21753-2021</t>
        </is>
      </c>
      <c r="B545" s="1" t="n">
        <v>44319</v>
      </c>
      <c r="C545" s="1" t="n">
        <v>45728</v>
      </c>
      <c r="D545" t="inlineStr">
        <is>
          <t>JÄMTLANDS LÄN</t>
        </is>
      </c>
      <c r="E545" t="inlineStr">
        <is>
          <t>HÄRJEDALEN</t>
        </is>
      </c>
      <c r="G545" t="n">
        <v>6.2</v>
      </c>
      <c r="H545" t="n">
        <v>0</v>
      </c>
      <c r="I545" t="n">
        <v>0</v>
      </c>
      <c r="J545" t="n">
        <v>0</v>
      </c>
      <c r="K545" t="n">
        <v>0</v>
      </c>
      <c r="L545" t="n">
        <v>0</v>
      </c>
      <c r="M545" t="n">
        <v>0</v>
      </c>
      <c r="N545" t="n">
        <v>0</v>
      </c>
      <c r="O545" t="n">
        <v>0</v>
      </c>
      <c r="P545" t="n">
        <v>0</v>
      </c>
      <c r="Q545" t="n">
        <v>0</v>
      </c>
      <c r="R545" s="2" t="inlineStr"/>
    </row>
    <row r="546" ht="15" customHeight="1">
      <c r="A546" t="inlineStr">
        <is>
          <t>A 21298-2021</t>
        </is>
      </c>
      <c r="B546" s="1" t="n">
        <v>44320</v>
      </c>
      <c r="C546" s="1" t="n">
        <v>45728</v>
      </c>
      <c r="D546" t="inlineStr">
        <is>
          <t>JÄMTLANDS LÄN</t>
        </is>
      </c>
      <c r="E546" t="inlineStr">
        <is>
          <t>HÄRJEDALEN</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21334-2021</t>
        </is>
      </c>
      <c r="B547" s="1" t="n">
        <v>44320</v>
      </c>
      <c r="C547" s="1" t="n">
        <v>45728</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21346-2021</t>
        </is>
      </c>
      <c r="B548" s="1" t="n">
        <v>44321</v>
      </c>
      <c r="C548" s="1" t="n">
        <v>45728</v>
      </c>
      <c r="D548" t="inlineStr">
        <is>
          <t>JÄMTLANDS LÄN</t>
        </is>
      </c>
      <c r="E548" t="inlineStr">
        <is>
          <t>HÄRJEDALEN</t>
        </is>
      </c>
      <c r="G548" t="n">
        <v>9.9</v>
      </c>
      <c r="H548" t="n">
        <v>0</v>
      </c>
      <c r="I548" t="n">
        <v>0</v>
      </c>
      <c r="J548" t="n">
        <v>0</v>
      </c>
      <c r="K548" t="n">
        <v>0</v>
      </c>
      <c r="L548" t="n">
        <v>0</v>
      </c>
      <c r="M548" t="n">
        <v>0</v>
      </c>
      <c r="N548" t="n">
        <v>0</v>
      </c>
      <c r="O548" t="n">
        <v>0</v>
      </c>
      <c r="P548" t="n">
        <v>0</v>
      </c>
      <c r="Q548" t="n">
        <v>0</v>
      </c>
      <c r="R548" s="2" t="inlineStr"/>
    </row>
    <row r="549" ht="15" customHeight="1">
      <c r="A549" t="inlineStr">
        <is>
          <t>A 21661-2021</t>
        </is>
      </c>
      <c r="B549" s="1" t="n">
        <v>44322</v>
      </c>
      <c r="C549" s="1" t="n">
        <v>45728</v>
      </c>
      <c r="D549" t="inlineStr">
        <is>
          <t>JÄMTLANDS LÄN</t>
        </is>
      </c>
      <c r="E549" t="inlineStr">
        <is>
          <t>HÄRJEDALEN</t>
        </is>
      </c>
      <c r="F549" t="inlineStr">
        <is>
          <t>Holmen skog AB</t>
        </is>
      </c>
      <c r="G549" t="n">
        <v>3</v>
      </c>
      <c r="H549" t="n">
        <v>0</v>
      </c>
      <c r="I549" t="n">
        <v>0</v>
      </c>
      <c r="J549" t="n">
        <v>0</v>
      </c>
      <c r="K549" t="n">
        <v>0</v>
      </c>
      <c r="L549" t="n">
        <v>0</v>
      </c>
      <c r="M549" t="n">
        <v>0</v>
      </c>
      <c r="N549" t="n">
        <v>0</v>
      </c>
      <c r="O549" t="n">
        <v>0</v>
      </c>
      <c r="P549" t="n">
        <v>0</v>
      </c>
      <c r="Q549" t="n">
        <v>0</v>
      </c>
      <c r="R549" s="2" t="inlineStr"/>
    </row>
    <row r="550" ht="15" customHeight="1">
      <c r="A550" t="inlineStr">
        <is>
          <t>A 22160-2021</t>
        </is>
      </c>
      <c r="B550" s="1" t="n">
        <v>44325</v>
      </c>
      <c r="C550" s="1" t="n">
        <v>45728</v>
      </c>
      <c r="D550" t="inlineStr">
        <is>
          <t>JÄMTLANDS LÄN</t>
        </is>
      </c>
      <c r="E550" t="inlineStr">
        <is>
          <t>HÄRJEDALEN</t>
        </is>
      </c>
      <c r="G550" t="n">
        <v>0.9</v>
      </c>
      <c r="H550" t="n">
        <v>0</v>
      </c>
      <c r="I550" t="n">
        <v>0</v>
      </c>
      <c r="J550" t="n">
        <v>0</v>
      </c>
      <c r="K550" t="n">
        <v>0</v>
      </c>
      <c r="L550" t="n">
        <v>0</v>
      </c>
      <c r="M550" t="n">
        <v>0</v>
      </c>
      <c r="N550" t="n">
        <v>0</v>
      </c>
      <c r="O550" t="n">
        <v>0</v>
      </c>
      <c r="P550" t="n">
        <v>0</v>
      </c>
      <c r="Q550" t="n">
        <v>0</v>
      </c>
      <c r="R550" s="2" t="inlineStr"/>
    </row>
    <row r="551" ht="15" customHeight="1">
      <c r="A551" t="inlineStr">
        <is>
          <t>A 23869-2021</t>
        </is>
      </c>
      <c r="B551" s="1" t="n">
        <v>44335</v>
      </c>
      <c r="C551" s="1" t="n">
        <v>45728</v>
      </c>
      <c r="D551" t="inlineStr">
        <is>
          <t>JÄMTLANDS LÄN</t>
        </is>
      </c>
      <c r="E551" t="inlineStr">
        <is>
          <t>HÄRJEDALEN</t>
        </is>
      </c>
      <c r="G551" t="n">
        <v>15.3</v>
      </c>
      <c r="H551" t="n">
        <v>0</v>
      </c>
      <c r="I551" t="n">
        <v>0</v>
      </c>
      <c r="J551" t="n">
        <v>0</v>
      </c>
      <c r="K551" t="n">
        <v>0</v>
      </c>
      <c r="L551" t="n">
        <v>0</v>
      </c>
      <c r="M551" t="n">
        <v>0</v>
      </c>
      <c r="N551" t="n">
        <v>0</v>
      </c>
      <c r="O551" t="n">
        <v>0</v>
      </c>
      <c r="P551" t="n">
        <v>0</v>
      </c>
      <c r="Q551" t="n">
        <v>0</v>
      </c>
      <c r="R551" s="2" t="inlineStr"/>
    </row>
    <row r="552" ht="15" customHeight="1">
      <c r="A552" t="inlineStr">
        <is>
          <t>A 25444-2021</t>
        </is>
      </c>
      <c r="B552" s="1" t="n">
        <v>44342</v>
      </c>
      <c r="C552" s="1" t="n">
        <v>45728</v>
      </c>
      <c r="D552" t="inlineStr">
        <is>
          <t>JÄMTLANDS LÄN</t>
        </is>
      </c>
      <c r="E552" t="inlineStr">
        <is>
          <t>HÄRJEDALEN</t>
        </is>
      </c>
      <c r="G552" t="n">
        <v>0.8</v>
      </c>
      <c r="H552" t="n">
        <v>0</v>
      </c>
      <c r="I552" t="n">
        <v>0</v>
      </c>
      <c r="J552" t="n">
        <v>0</v>
      </c>
      <c r="K552" t="n">
        <v>0</v>
      </c>
      <c r="L552" t="n">
        <v>0</v>
      </c>
      <c r="M552" t="n">
        <v>0</v>
      </c>
      <c r="N552" t="n">
        <v>0</v>
      </c>
      <c r="O552" t="n">
        <v>0</v>
      </c>
      <c r="P552" t="n">
        <v>0</v>
      </c>
      <c r="Q552" t="n">
        <v>0</v>
      </c>
      <c r="R552" s="2" t="inlineStr"/>
    </row>
    <row r="553" ht="15" customHeight="1">
      <c r="A553" t="inlineStr">
        <is>
          <t>A 26167-2021</t>
        </is>
      </c>
      <c r="B553" s="1" t="n">
        <v>44344</v>
      </c>
      <c r="C553" s="1" t="n">
        <v>45728</v>
      </c>
      <c r="D553" t="inlineStr">
        <is>
          <t>JÄMTLANDS LÄN</t>
        </is>
      </c>
      <c r="E553" t="inlineStr">
        <is>
          <t>HÄRJEDALEN</t>
        </is>
      </c>
      <c r="G553" t="n">
        <v>2.6</v>
      </c>
      <c r="H553" t="n">
        <v>0</v>
      </c>
      <c r="I553" t="n">
        <v>0</v>
      </c>
      <c r="J553" t="n">
        <v>0</v>
      </c>
      <c r="K553" t="n">
        <v>0</v>
      </c>
      <c r="L553" t="n">
        <v>0</v>
      </c>
      <c r="M553" t="n">
        <v>0</v>
      </c>
      <c r="N553" t="n">
        <v>0</v>
      </c>
      <c r="O553" t="n">
        <v>0</v>
      </c>
      <c r="P553" t="n">
        <v>0</v>
      </c>
      <c r="Q553" t="n">
        <v>0</v>
      </c>
      <c r="R553" s="2" t="inlineStr"/>
    </row>
    <row r="554" ht="15" customHeight="1">
      <c r="A554" t="inlineStr">
        <is>
          <t>A 26656-2021</t>
        </is>
      </c>
      <c r="B554" s="1" t="n">
        <v>44348</v>
      </c>
      <c r="C554" s="1" t="n">
        <v>45728</v>
      </c>
      <c r="D554" t="inlineStr">
        <is>
          <t>JÄMTLANDS LÄN</t>
        </is>
      </c>
      <c r="E554" t="inlineStr">
        <is>
          <t>HÄRJEDALEN</t>
        </is>
      </c>
      <c r="G554" t="n">
        <v>1.6</v>
      </c>
      <c r="H554" t="n">
        <v>0</v>
      </c>
      <c r="I554" t="n">
        <v>0</v>
      </c>
      <c r="J554" t="n">
        <v>0</v>
      </c>
      <c r="K554" t="n">
        <v>0</v>
      </c>
      <c r="L554" t="n">
        <v>0</v>
      </c>
      <c r="M554" t="n">
        <v>0</v>
      </c>
      <c r="N554" t="n">
        <v>0</v>
      </c>
      <c r="O554" t="n">
        <v>0</v>
      </c>
      <c r="P554" t="n">
        <v>0</v>
      </c>
      <c r="Q554" t="n">
        <v>0</v>
      </c>
      <c r="R554" s="2" t="inlineStr"/>
    </row>
    <row r="555" ht="15" customHeight="1">
      <c r="A555" t="inlineStr">
        <is>
          <t>A 28446-2021</t>
        </is>
      </c>
      <c r="B555" s="1" t="n">
        <v>44356</v>
      </c>
      <c r="C555" s="1" t="n">
        <v>45728</v>
      </c>
      <c r="D555" t="inlineStr">
        <is>
          <t>JÄMTLANDS LÄN</t>
        </is>
      </c>
      <c r="E555" t="inlineStr">
        <is>
          <t>HÄRJEDALEN</t>
        </is>
      </c>
      <c r="G555" t="n">
        <v>0.5</v>
      </c>
      <c r="H555" t="n">
        <v>0</v>
      </c>
      <c r="I555" t="n">
        <v>0</v>
      </c>
      <c r="J555" t="n">
        <v>0</v>
      </c>
      <c r="K555" t="n">
        <v>0</v>
      </c>
      <c r="L555" t="n">
        <v>0</v>
      </c>
      <c r="M555" t="n">
        <v>0</v>
      </c>
      <c r="N555" t="n">
        <v>0</v>
      </c>
      <c r="O555" t="n">
        <v>0</v>
      </c>
      <c r="P555" t="n">
        <v>0</v>
      </c>
      <c r="Q555" t="n">
        <v>0</v>
      </c>
      <c r="R555" s="2" t="inlineStr"/>
    </row>
    <row r="556" ht="15" customHeight="1">
      <c r="A556" t="inlineStr">
        <is>
          <t>A 28693-2021</t>
        </is>
      </c>
      <c r="B556" s="1" t="n">
        <v>44357</v>
      </c>
      <c r="C556" s="1" t="n">
        <v>45728</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29284-2021</t>
        </is>
      </c>
      <c r="B557" s="1" t="n">
        <v>44361</v>
      </c>
      <c r="C557" s="1" t="n">
        <v>45728</v>
      </c>
      <c r="D557" t="inlineStr">
        <is>
          <t>JÄMTLANDS LÄN</t>
        </is>
      </c>
      <c r="E557" t="inlineStr">
        <is>
          <t>HÄRJEDALEN</t>
        </is>
      </c>
      <c r="F557" t="inlineStr">
        <is>
          <t>Holmen skog AB</t>
        </is>
      </c>
      <c r="G557" t="n">
        <v>10.5</v>
      </c>
      <c r="H557" t="n">
        <v>0</v>
      </c>
      <c r="I557" t="n">
        <v>0</v>
      </c>
      <c r="J557" t="n">
        <v>0</v>
      </c>
      <c r="K557" t="n">
        <v>0</v>
      </c>
      <c r="L557" t="n">
        <v>0</v>
      </c>
      <c r="M557" t="n">
        <v>0</v>
      </c>
      <c r="N557" t="n">
        <v>0</v>
      </c>
      <c r="O557" t="n">
        <v>0</v>
      </c>
      <c r="P557" t="n">
        <v>0</v>
      </c>
      <c r="Q557" t="n">
        <v>0</v>
      </c>
      <c r="R557" s="2" t="inlineStr"/>
    </row>
    <row r="558" ht="15" customHeight="1">
      <c r="A558" t="inlineStr">
        <is>
          <t>A 29372-2021</t>
        </is>
      </c>
      <c r="B558" s="1" t="n">
        <v>44361</v>
      </c>
      <c r="C558" s="1" t="n">
        <v>45728</v>
      </c>
      <c r="D558" t="inlineStr">
        <is>
          <t>JÄMTLANDS LÄN</t>
        </is>
      </c>
      <c r="E558" t="inlineStr">
        <is>
          <t>HÄRJEDALEN</t>
        </is>
      </c>
      <c r="F558" t="inlineStr">
        <is>
          <t>Holmen skog AB</t>
        </is>
      </c>
      <c r="G558" t="n">
        <v>5.9</v>
      </c>
      <c r="H558" t="n">
        <v>0</v>
      </c>
      <c r="I558" t="n">
        <v>0</v>
      </c>
      <c r="J558" t="n">
        <v>0</v>
      </c>
      <c r="K558" t="n">
        <v>0</v>
      </c>
      <c r="L558" t="n">
        <v>0</v>
      </c>
      <c r="M558" t="n">
        <v>0</v>
      </c>
      <c r="N558" t="n">
        <v>0</v>
      </c>
      <c r="O558" t="n">
        <v>0</v>
      </c>
      <c r="P558" t="n">
        <v>0</v>
      </c>
      <c r="Q558" t="n">
        <v>0</v>
      </c>
      <c r="R558" s="2" t="inlineStr"/>
    </row>
    <row r="559" ht="15" customHeight="1">
      <c r="A559" t="inlineStr">
        <is>
          <t>A 29452-2021</t>
        </is>
      </c>
      <c r="B559" s="1" t="n">
        <v>44361</v>
      </c>
      <c r="C559" s="1" t="n">
        <v>45728</v>
      </c>
      <c r="D559" t="inlineStr">
        <is>
          <t>JÄMTLANDS LÄN</t>
        </is>
      </c>
      <c r="E559" t="inlineStr">
        <is>
          <t>HÄRJEDALEN</t>
        </is>
      </c>
      <c r="F559" t="inlineStr">
        <is>
          <t>Holmen skog AB</t>
        </is>
      </c>
      <c r="G559" t="n">
        <v>6.9</v>
      </c>
      <c r="H559" t="n">
        <v>0</v>
      </c>
      <c r="I559" t="n">
        <v>0</v>
      </c>
      <c r="J559" t="n">
        <v>0</v>
      </c>
      <c r="K559" t="n">
        <v>0</v>
      </c>
      <c r="L559" t="n">
        <v>0</v>
      </c>
      <c r="M559" t="n">
        <v>0</v>
      </c>
      <c r="N559" t="n">
        <v>0</v>
      </c>
      <c r="O559" t="n">
        <v>0</v>
      </c>
      <c r="P559" t="n">
        <v>0</v>
      </c>
      <c r="Q559" t="n">
        <v>0</v>
      </c>
      <c r="R559" s="2" t="inlineStr"/>
    </row>
    <row r="560" ht="15" customHeight="1">
      <c r="A560" t="inlineStr">
        <is>
          <t>A 29581-2021</t>
        </is>
      </c>
      <c r="B560" s="1" t="n">
        <v>44361</v>
      </c>
      <c r="C560" s="1" t="n">
        <v>45728</v>
      </c>
      <c r="D560" t="inlineStr">
        <is>
          <t>JÄMTLANDS LÄN</t>
        </is>
      </c>
      <c r="E560" t="inlineStr">
        <is>
          <t>HÄRJEDALEN</t>
        </is>
      </c>
      <c r="G560" t="n">
        <v>50.9</v>
      </c>
      <c r="H560" t="n">
        <v>0</v>
      </c>
      <c r="I560" t="n">
        <v>0</v>
      </c>
      <c r="J560" t="n">
        <v>0</v>
      </c>
      <c r="K560" t="n">
        <v>0</v>
      </c>
      <c r="L560" t="n">
        <v>0</v>
      </c>
      <c r="M560" t="n">
        <v>0</v>
      </c>
      <c r="N560" t="n">
        <v>0</v>
      </c>
      <c r="O560" t="n">
        <v>0</v>
      </c>
      <c r="P560" t="n">
        <v>0</v>
      </c>
      <c r="Q560" t="n">
        <v>0</v>
      </c>
      <c r="R560" s="2" t="inlineStr"/>
    </row>
    <row r="561" ht="15" customHeight="1">
      <c r="A561" t="inlineStr">
        <is>
          <t>A 29585-2021</t>
        </is>
      </c>
      <c r="B561" s="1" t="n">
        <v>44361</v>
      </c>
      <c r="C561" s="1" t="n">
        <v>45728</v>
      </c>
      <c r="D561" t="inlineStr">
        <is>
          <t>JÄMTLANDS LÄN</t>
        </is>
      </c>
      <c r="E561" t="inlineStr">
        <is>
          <t>HÄRJEDALEN</t>
        </is>
      </c>
      <c r="G561" t="n">
        <v>3.4</v>
      </c>
      <c r="H561" t="n">
        <v>0</v>
      </c>
      <c r="I561" t="n">
        <v>0</v>
      </c>
      <c r="J561" t="n">
        <v>0</v>
      </c>
      <c r="K561" t="n">
        <v>0</v>
      </c>
      <c r="L561" t="n">
        <v>0</v>
      </c>
      <c r="M561" t="n">
        <v>0</v>
      </c>
      <c r="N561" t="n">
        <v>0</v>
      </c>
      <c r="O561" t="n">
        <v>0</v>
      </c>
      <c r="P561" t="n">
        <v>0</v>
      </c>
      <c r="Q561" t="n">
        <v>0</v>
      </c>
      <c r="R561" s="2" t="inlineStr"/>
    </row>
    <row r="562" ht="15" customHeight="1">
      <c r="A562" t="inlineStr">
        <is>
          <t>A 30302-2021</t>
        </is>
      </c>
      <c r="B562" s="1" t="n">
        <v>44364</v>
      </c>
      <c r="C562" s="1" t="n">
        <v>45728</v>
      </c>
      <c r="D562" t="inlineStr">
        <is>
          <t>JÄMTLANDS LÄN</t>
        </is>
      </c>
      <c r="E562" t="inlineStr">
        <is>
          <t>HÄRJEDALEN</t>
        </is>
      </c>
      <c r="F562" t="inlineStr">
        <is>
          <t>Holmen skog AB</t>
        </is>
      </c>
      <c r="G562" t="n">
        <v>6</v>
      </c>
      <c r="H562" t="n">
        <v>0</v>
      </c>
      <c r="I562" t="n">
        <v>0</v>
      </c>
      <c r="J562" t="n">
        <v>0</v>
      </c>
      <c r="K562" t="n">
        <v>0</v>
      </c>
      <c r="L562" t="n">
        <v>0</v>
      </c>
      <c r="M562" t="n">
        <v>0</v>
      </c>
      <c r="N562" t="n">
        <v>0</v>
      </c>
      <c r="O562" t="n">
        <v>0</v>
      </c>
      <c r="P562" t="n">
        <v>0</v>
      </c>
      <c r="Q562" t="n">
        <v>0</v>
      </c>
      <c r="R562" s="2" t="inlineStr"/>
    </row>
    <row r="563" ht="15" customHeight="1">
      <c r="A563" t="inlineStr">
        <is>
          <t>A 30323-2021</t>
        </is>
      </c>
      <c r="B563" s="1" t="n">
        <v>44364</v>
      </c>
      <c r="C563" s="1" t="n">
        <v>45728</v>
      </c>
      <c r="D563" t="inlineStr">
        <is>
          <t>JÄMTLANDS LÄN</t>
        </is>
      </c>
      <c r="E563" t="inlineStr">
        <is>
          <t>HÄRJEDALEN</t>
        </is>
      </c>
      <c r="F563" t="inlineStr">
        <is>
          <t>Holmen skog AB</t>
        </is>
      </c>
      <c r="G563" t="n">
        <v>11.2</v>
      </c>
      <c r="H563" t="n">
        <v>0</v>
      </c>
      <c r="I563" t="n">
        <v>0</v>
      </c>
      <c r="J563" t="n">
        <v>0</v>
      </c>
      <c r="K563" t="n">
        <v>0</v>
      </c>
      <c r="L563" t="n">
        <v>0</v>
      </c>
      <c r="M563" t="n">
        <v>0</v>
      </c>
      <c r="N563" t="n">
        <v>0</v>
      </c>
      <c r="O563" t="n">
        <v>0</v>
      </c>
      <c r="P563" t="n">
        <v>0</v>
      </c>
      <c r="Q563" t="n">
        <v>0</v>
      </c>
      <c r="R563" s="2" t="inlineStr"/>
    </row>
    <row r="564" ht="15" customHeight="1">
      <c r="A564" t="inlineStr">
        <is>
          <t>A 30315-2021</t>
        </is>
      </c>
      <c r="B564" s="1" t="n">
        <v>44364</v>
      </c>
      <c r="C564" s="1" t="n">
        <v>45728</v>
      </c>
      <c r="D564" t="inlineStr">
        <is>
          <t>JÄMTLANDS LÄN</t>
        </is>
      </c>
      <c r="E564" t="inlineStr">
        <is>
          <t>HÄRJEDALEN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30311-2021</t>
        </is>
      </c>
      <c r="B565" s="1" t="n">
        <v>44364</v>
      </c>
      <c r="C565" s="1" t="n">
        <v>45728</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30321-2021</t>
        </is>
      </c>
      <c r="B566" s="1" t="n">
        <v>44364</v>
      </c>
      <c r="C566" s="1" t="n">
        <v>45728</v>
      </c>
      <c r="D566" t="inlineStr">
        <is>
          <t>JÄMTLANDS LÄN</t>
        </is>
      </c>
      <c r="E566" t="inlineStr">
        <is>
          <t>HÄRJEDALEN</t>
        </is>
      </c>
      <c r="F566" t="inlineStr">
        <is>
          <t>Holmen skog AB</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30317-2021</t>
        </is>
      </c>
      <c r="B567" s="1" t="n">
        <v>44364</v>
      </c>
      <c r="C567" s="1" t="n">
        <v>45728</v>
      </c>
      <c r="D567" t="inlineStr">
        <is>
          <t>JÄMTLANDS LÄN</t>
        </is>
      </c>
      <c r="E567" t="inlineStr">
        <is>
          <t>HÄRJEDALEN</t>
        </is>
      </c>
      <c r="F567" t="inlineStr">
        <is>
          <t>Holmen skog AB</t>
        </is>
      </c>
      <c r="G567" t="n">
        <v>8.4</v>
      </c>
      <c r="H567" t="n">
        <v>0</v>
      </c>
      <c r="I567" t="n">
        <v>0</v>
      </c>
      <c r="J567" t="n">
        <v>0</v>
      </c>
      <c r="K567" t="n">
        <v>0</v>
      </c>
      <c r="L567" t="n">
        <v>0</v>
      </c>
      <c r="M567" t="n">
        <v>0</v>
      </c>
      <c r="N567" t="n">
        <v>0</v>
      </c>
      <c r="O567" t="n">
        <v>0</v>
      </c>
      <c r="P567" t="n">
        <v>0</v>
      </c>
      <c r="Q567" t="n">
        <v>0</v>
      </c>
      <c r="R567" s="2" t="inlineStr"/>
    </row>
    <row r="568" ht="15" customHeight="1">
      <c r="A568" t="inlineStr">
        <is>
          <t>A 30684-2021</t>
        </is>
      </c>
      <c r="B568" s="1" t="n">
        <v>44365</v>
      </c>
      <c r="C568" s="1" t="n">
        <v>45728</v>
      </c>
      <c r="D568" t="inlineStr">
        <is>
          <t>JÄMTLANDS LÄN</t>
        </is>
      </c>
      <c r="E568" t="inlineStr">
        <is>
          <t>HÄRJEDALEN</t>
        </is>
      </c>
      <c r="G568" t="n">
        <v>4</v>
      </c>
      <c r="H568" t="n">
        <v>0</v>
      </c>
      <c r="I568" t="n">
        <v>0</v>
      </c>
      <c r="J568" t="n">
        <v>0</v>
      </c>
      <c r="K568" t="n">
        <v>0</v>
      </c>
      <c r="L568" t="n">
        <v>0</v>
      </c>
      <c r="M568" t="n">
        <v>0</v>
      </c>
      <c r="N568" t="n">
        <v>0</v>
      </c>
      <c r="O568" t="n">
        <v>0</v>
      </c>
      <c r="P568" t="n">
        <v>0</v>
      </c>
      <c r="Q568" t="n">
        <v>0</v>
      </c>
      <c r="R568" s="2" t="inlineStr"/>
    </row>
    <row r="569" ht="15" customHeight="1">
      <c r="A569" t="inlineStr">
        <is>
          <t>A 31212-2021</t>
        </is>
      </c>
      <c r="B569" s="1" t="n">
        <v>44368</v>
      </c>
      <c r="C569" s="1" t="n">
        <v>45728</v>
      </c>
      <c r="D569" t="inlineStr">
        <is>
          <t>JÄMTLANDS LÄN</t>
        </is>
      </c>
      <c r="E569" t="inlineStr">
        <is>
          <t>HÄRJEDALEN</t>
        </is>
      </c>
      <c r="G569" t="n">
        <v>5.5</v>
      </c>
      <c r="H569" t="n">
        <v>0</v>
      </c>
      <c r="I569" t="n">
        <v>0</v>
      </c>
      <c r="J569" t="n">
        <v>0</v>
      </c>
      <c r="K569" t="n">
        <v>0</v>
      </c>
      <c r="L569" t="n">
        <v>0</v>
      </c>
      <c r="M569" t="n">
        <v>0</v>
      </c>
      <c r="N569" t="n">
        <v>0</v>
      </c>
      <c r="O569" t="n">
        <v>0</v>
      </c>
      <c r="P569" t="n">
        <v>0</v>
      </c>
      <c r="Q569" t="n">
        <v>0</v>
      </c>
      <c r="R569" s="2" t="inlineStr"/>
    </row>
    <row r="570" ht="15" customHeight="1">
      <c r="A570" t="inlineStr">
        <is>
          <t>A 33424-2021</t>
        </is>
      </c>
      <c r="B570" s="1" t="n">
        <v>44377</v>
      </c>
      <c r="C570" s="1" t="n">
        <v>45728</v>
      </c>
      <c r="D570" t="inlineStr">
        <is>
          <t>JÄMTLANDS LÄN</t>
        </is>
      </c>
      <c r="E570" t="inlineStr">
        <is>
          <t>HÄRJEDALEN</t>
        </is>
      </c>
      <c r="G570" t="n">
        <v>2.5</v>
      </c>
      <c r="H570" t="n">
        <v>0</v>
      </c>
      <c r="I570" t="n">
        <v>0</v>
      </c>
      <c r="J570" t="n">
        <v>0</v>
      </c>
      <c r="K570" t="n">
        <v>0</v>
      </c>
      <c r="L570" t="n">
        <v>0</v>
      </c>
      <c r="M570" t="n">
        <v>0</v>
      </c>
      <c r="N570" t="n">
        <v>0</v>
      </c>
      <c r="O570" t="n">
        <v>0</v>
      </c>
      <c r="P570" t="n">
        <v>0</v>
      </c>
      <c r="Q570" t="n">
        <v>0</v>
      </c>
      <c r="R570" s="2" t="inlineStr"/>
    </row>
    <row r="571" ht="15" customHeight="1">
      <c r="A571" t="inlineStr">
        <is>
          <t>A 34453-2021</t>
        </is>
      </c>
      <c r="B571" s="1" t="n">
        <v>44381</v>
      </c>
      <c r="C571" s="1" t="n">
        <v>45728</v>
      </c>
      <c r="D571" t="inlineStr">
        <is>
          <t>JÄMTLANDS LÄN</t>
        </is>
      </c>
      <c r="E571" t="inlineStr">
        <is>
          <t>HÄRJEDALEN</t>
        </is>
      </c>
      <c r="G571" t="n">
        <v>12.7</v>
      </c>
      <c r="H571" t="n">
        <v>0</v>
      </c>
      <c r="I571" t="n">
        <v>0</v>
      </c>
      <c r="J571" t="n">
        <v>0</v>
      </c>
      <c r="K571" t="n">
        <v>0</v>
      </c>
      <c r="L571" t="n">
        <v>0</v>
      </c>
      <c r="M571" t="n">
        <v>0</v>
      </c>
      <c r="N571" t="n">
        <v>0</v>
      </c>
      <c r="O571" t="n">
        <v>0</v>
      </c>
      <c r="P571" t="n">
        <v>0</v>
      </c>
      <c r="Q571" t="n">
        <v>0</v>
      </c>
      <c r="R571" s="2" t="inlineStr"/>
    </row>
    <row r="572" ht="15" customHeight="1">
      <c r="A572" t="inlineStr">
        <is>
          <t>A 35194-2021</t>
        </is>
      </c>
      <c r="B572" s="1" t="n">
        <v>44384</v>
      </c>
      <c r="C572" s="1" t="n">
        <v>45728</v>
      </c>
      <c r="D572" t="inlineStr">
        <is>
          <t>JÄMTLANDS LÄN</t>
        </is>
      </c>
      <c r="E572" t="inlineStr">
        <is>
          <t>HÄRJEDALEN</t>
        </is>
      </c>
      <c r="G572" t="n">
        <v>46.4</v>
      </c>
      <c r="H572" t="n">
        <v>0</v>
      </c>
      <c r="I572" t="n">
        <v>0</v>
      </c>
      <c r="J572" t="n">
        <v>0</v>
      </c>
      <c r="K572" t="n">
        <v>0</v>
      </c>
      <c r="L572" t="n">
        <v>0</v>
      </c>
      <c r="M572" t="n">
        <v>0</v>
      </c>
      <c r="N572" t="n">
        <v>0</v>
      </c>
      <c r="O572" t="n">
        <v>0</v>
      </c>
      <c r="P572" t="n">
        <v>0</v>
      </c>
      <c r="Q572" t="n">
        <v>0</v>
      </c>
      <c r="R572" s="2" t="inlineStr"/>
    </row>
    <row r="573" ht="15" customHeight="1">
      <c r="A573" t="inlineStr">
        <is>
          <t>A 35532-2021</t>
        </is>
      </c>
      <c r="B573" s="1" t="n">
        <v>44385</v>
      </c>
      <c r="C573" s="1" t="n">
        <v>45728</v>
      </c>
      <c r="D573" t="inlineStr">
        <is>
          <t>JÄMTLANDS LÄN</t>
        </is>
      </c>
      <c r="E573" t="inlineStr">
        <is>
          <t>HÄRJEDALEN</t>
        </is>
      </c>
      <c r="G573" t="n">
        <v>4.3</v>
      </c>
      <c r="H573" t="n">
        <v>0</v>
      </c>
      <c r="I573" t="n">
        <v>0</v>
      </c>
      <c r="J573" t="n">
        <v>0</v>
      </c>
      <c r="K573" t="n">
        <v>0</v>
      </c>
      <c r="L573" t="n">
        <v>0</v>
      </c>
      <c r="M573" t="n">
        <v>0</v>
      </c>
      <c r="N573" t="n">
        <v>0</v>
      </c>
      <c r="O573" t="n">
        <v>0</v>
      </c>
      <c r="P573" t="n">
        <v>0</v>
      </c>
      <c r="Q573" t="n">
        <v>0</v>
      </c>
      <c r="R573" s="2" t="inlineStr"/>
    </row>
    <row r="574" ht="15" customHeight="1">
      <c r="A574" t="inlineStr">
        <is>
          <t>A 35572-2021</t>
        </is>
      </c>
      <c r="B574" s="1" t="n">
        <v>44386</v>
      </c>
      <c r="C574" s="1" t="n">
        <v>45728</v>
      </c>
      <c r="D574" t="inlineStr">
        <is>
          <t>JÄMTLANDS LÄN</t>
        </is>
      </c>
      <c r="E574" t="inlineStr">
        <is>
          <t>HÄRJEDALEN</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35573-2021</t>
        </is>
      </c>
      <c r="B575" s="1" t="n">
        <v>44386</v>
      </c>
      <c r="C575" s="1" t="n">
        <v>45728</v>
      </c>
      <c r="D575" t="inlineStr">
        <is>
          <t>JÄMTLANDS LÄN</t>
        </is>
      </c>
      <c r="E575" t="inlineStr">
        <is>
          <t>HÄRJEDALEN</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36235-2021</t>
        </is>
      </c>
      <c r="B576" s="1" t="n">
        <v>44389</v>
      </c>
      <c r="C576" s="1" t="n">
        <v>45728</v>
      </c>
      <c r="D576" t="inlineStr">
        <is>
          <t>JÄMTLANDS LÄN</t>
        </is>
      </c>
      <c r="E576" t="inlineStr">
        <is>
          <t>HÄRJEDALEN</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37155-2021</t>
        </is>
      </c>
      <c r="B577" s="1" t="n">
        <v>44396</v>
      </c>
      <c r="C577" s="1" t="n">
        <v>45728</v>
      </c>
      <c r="D577" t="inlineStr">
        <is>
          <t>JÄMTLANDS LÄN</t>
        </is>
      </c>
      <c r="E577" t="inlineStr">
        <is>
          <t>HÄRJEDALEN</t>
        </is>
      </c>
      <c r="G577" t="n">
        <v>2.3</v>
      </c>
      <c r="H577" t="n">
        <v>0</v>
      </c>
      <c r="I577" t="n">
        <v>0</v>
      </c>
      <c r="J577" t="n">
        <v>0</v>
      </c>
      <c r="K577" t="n">
        <v>0</v>
      </c>
      <c r="L577" t="n">
        <v>0</v>
      </c>
      <c r="M577" t="n">
        <v>0</v>
      </c>
      <c r="N577" t="n">
        <v>0</v>
      </c>
      <c r="O577" t="n">
        <v>0</v>
      </c>
      <c r="P577" t="n">
        <v>0</v>
      </c>
      <c r="Q577" t="n">
        <v>0</v>
      </c>
      <c r="R577" s="2" t="inlineStr"/>
    </row>
    <row r="578" ht="15" customHeight="1">
      <c r="A578" t="inlineStr">
        <is>
          <t>A 37832-2021</t>
        </is>
      </c>
      <c r="B578" s="1" t="n">
        <v>44403</v>
      </c>
      <c r="C578" s="1" t="n">
        <v>45728</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37825-2021</t>
        </is>
      </c>
      <c r="B579" s="1" t="n">
        <v>44403</v>
      </c>
      <c r="C579" s="1" t="n">
        <v>45728</v>
      </c>
      <c r="D579" t="inlineStr">
        <is>
          <t>JÄMTLANDS LÄN</t>
        </is>
      </c>
      <c r="E579" t="inlineStr">
        <is>
          <t>HÄRJEDALEN</t>
        </is>
      </c>
      <c r="G579" t="n">
        <v>0.1</v>
      </c>
      <c r="H579" t="n">
        <v>0</v>
      </c>
      <c r="I579" t="n">
        <v>0</v>
      </c>
      <c r="J579" t="n">
        <v>0</v>
      </c>
      <c r="K579" t="n">
        <v>0</v>
      </c>
      <c r="L579" t="n">
        <v>0</v>
      </c>
      <c r="M579" t="n">
        <v>0</v>
      </c>
      <c r="N579" t="n">
        <v>0</v>
      </c>
      <c r="O579" t="n">
        <v>0</v>
      </c>
      <c r="P579" t="n">
        <v>0</v>
      </c>
      <c r="Q579" t="n">
        <v>0</v>
      </c>
      <c r="R579" s="2" t="inlineStr"/>
    </row>
    <row r="580" ht="15" customHeight="1">
      <c r="A580" t="inlineStr">
        <is>
          <t>A 38001-2021</t>
        </is>
      </c>
      <c r="B580" s="1" t="n">
        <v>44404</v>
      </c>
      <c r="C580" s="1" t="n">
        <v>45728</v>
      </c>
      <c r="D580" t="inlineStr">
        <is>
          <t>JÄMTLANDS LÄN</t>
        </is>
      </c>
      <c r="E580" t="inlineStr">
        <is>
          <t>HÄRJEDALEN</t>
        </is>
      </c>
      <c r="G580" t="n">
        <v>1.9</v>
      </c>
      <c r="H580" t="n">
        <v>0</v>
      </c>
      <c r="I580" t="n">
        <v>0</v>
      </c>
      <c r="J580" t="n">
        <v>0</v>
      </c>
      <c r="K580" t="n">
        <v>0</v>
      </c>
      <c r="L580" t="n">
        <v>0</v>
      </c>
      <c r="M580" t="n">
        <v>0</v>
      </c>
      <c r="N580" t="n">
        <v>0</v>
      </c>
      <c r="O580" t="n">
        <v>0</v>
      </c>
      <c r="P580" t="n">
        <v>0</v>
      </c>
      <c r="Q580" t="n">
        <v>0</v>
      </c>
      <c r="R580" s="2" t="inlineStr"/>
    </row>
    <row r="581" ht="15" customHeight="1">
      <c r="A581" t="inlineStr">
        <is>
          <t>A 38215-2021</t>
        </is>
      </c>
      <c r="B581" s="1" t="n">
        <v>44405</v>
      </c>
      <c r="C581" s="1" t="n">
        <v>45728</v>
      </c>
      <c r="D581" t="inlineStr">
        <is>
          <t>JÄMTLANDS LÄN</t>
        </is>
      </c>
      <c r="E581" t="inlineStr">
        <is>
          <t>HÄRJEDALEN</t>
        </is>
      </c>
      <c r="F581" t="inlineStr">
        <is>
          <t>Övriga Aktiebolag</t>
        </is>
      </c>
      <c r="G581" t="n">
        <v>6.4</v>
      </c>
      <c r="H581" t="n">
        <v>0</v>
      </c>
      <c r="I581" t="n">
        <v>0</v>
      </c>
      <c r="J581" t="n">
        <v>0</v>
      </c>
      <c r="K581" t="n">
        <v>0</v>
      </c>
      <c r="L581" t="n">
        <v>0</v>
      </c>
      <c r="M581" t="n">
        <v>0</v>
      </c>
      <c r="N581" t="n">
        <v>0</v>
      </c>
      <c r="O581" t="n">
        <v>0</v>
      </c>
      <c r="P581" t="n">
        <v>0</v>
      </c>
      <c r="Q581" t="n">
        <v>0</v>
      </c>
      <c r="R581" s="2" t="inlineStr"/>
    </row>
    <row r="582" ht="15" customHeight="1">
      <c r="A582" t="inlineStr">
        <is>
          <t>A 38356-2021</t>
        </is>
      </c>
      <c r="B582" s="1" t="n">
        <v>44406</v>
      </c>
      <c r="C582" s="1" t="n">
        <v>45728</v>
      </c>
      <c r="D582" t="inlineStr">
        <is>
          <t>JÄMTLANDS LÄN</t>
        </is>
      </c>
      <c r="E582" t="inlineStr">
        <is>
          <t>HÄRJEDALEN</t>
        </is>
      </c>
      <c r="G582" t="n">
        <v>5.4</v>
      </c>
      <c r="H582" t="n">
        <v>0</v>
      </c>
      <c r="I582" t="n">
        <v>0</v>
      </c>
      <c r="J582" t="n">
        <v>0</v>
      </c>
      <c r="K582" t="n">
        <v>0</v>
      </c>
      <c r="L582" t="n">
        <v>0</v>
      </c>
      <c r="M582" t="n">
        <v>0</v>
      </c>
      <c r="N582" t="n">
        <v>0</v>
      </c>
      <c r="O582" t="n">
        <v>0</v>
      </c>
      <c r="P582" t="n">
        <v>0</v>
      </c>
      <c r="Q582" t="n">
        <v>0</v>
      </c>
      <c r="R582" s="2" t="inlineStr"/>
    </row>
    <row r="583" ht="15" customHeight="1">
      <c r="A583" t="inlineStr">
        <is>
          <t>A 38794-2021</t>
        </is>
      </c>
      <c r="B583" s="1" t="n">
        <v>44410</v>
      </c>
      <c r="C583" s="1" t="n">
        <v>45728</v>
      </c>
      <c r="D583" t="inlineStr">
        <is>
          <t>JÄMTLANDS LÄN</t>
        </is>
      </c>
      <c r="E583" t="inlineStr">
        <is>
          <t>HÄRJEDALEN</t>
        </is>
      </c>
      <c r="G583" t="n">
        <v>4.2</v>
      </c>
      <c r="H583" t="n">
        <v>0</v>
      </c>
      <c r="I583" t="n">
        <v>0</v>
      </c>
      <c r="J583" t="n">
        <v>0</v>
      </c>
      <c r="K583" t="n">
        <v>0</v>
      </c>
      <c r="L583" t="n">
        <v>0</v>
      </c>
      <c r="M583" t="n">
        <v>0</v>
      </c>
      <c r="N583" t="n">
        <v>0</v>
      </c>
      <c r="O583" t="n">
        <v>0</v>
      </c>
      <c r="P583" t="n">
        <v>0</v>
      </c>
      <c r="Q583" t="n">
        <v>0</v>
      </c>
      <c r="R583" s="2" t="inlineStr"/>
    </row>
    <row r="584" ht="15" customHeight="1">
      <c r="A584" t="inlineStr">
        <is>
          <t>A 39321-2021</t>
        </is>
      </c>
      <c r="B584" s="1" t="n">
        <v>44413</v>
      </c>
      <c r="C584" s="1" t="n">
        <v>45728</v>
      </c>
      <c r="D584" t="inlineStr">
        <is>
          <t>JÄMTLANDS LÄN</t>
        </is>
      </c>
      <c r="E584" t="inlineStr">
        <is>
          <t>HÄRJEDALEN</t>
        </is>
      </c>
      <c r="G584" t="n">
        <v>3.6</v>
      </c>
      <c r="H584" t="n">
        <v>0</v>
      </c>
      <c r="I584" t="n">
        <v>0</v>
      </c>
      <c r="J584" t="n">
        <v>0</v>
      </c>
      <c r="K584" t="n">
        <v>0</v>
      </c>
      <c r="L584" t="n">
        <v>0</v>
      </c>
      <c r="M584" t="n">
        <v>0</v>
      </c>
      <c r="N584" t="n">
        <v>0</v>
      </c>
      <c r="O584" t="n">
        <v>0</v>
      </c>
      <c r="P584" t="n">
        <v>0</v>
      </c>
      <c r="Q584" t="n">
        <v>0</v>
      </c>
      <c r="R584" s="2" t="inlineStr"/>
    </row>
    <row r="585" ht="15" customHeight="1">
      <c r="A585" t="inlineStr">
        <is>
          <t>A 39493-2021</t>
        </is>
      </c>
      <c r="B585" s="1" t="n">
        <v>44414</v>
      </c>
      <c r="C585" s="1" t="n">
        <v>45728</v>
      </c>
      <c r="D585" t="inlineStr">
        <is>
          <t>JÄMTLANDS LÄN</t>
        </is>
      </c>
      <c r="E585" t="inlineStr">
        <is>
          <t>HÄRJEDALEN</t>
        </is>
      </c>
      <c r="G585" t="n">
        <v>13.5</v>
      </c>
      <c r="H585" t="n">
        <v>0</v>
      </c>
      <c r="I585" t="n">
        <v>0</v>
      </c>
      <c r="J585" t="n">
        <v>0</v>
      </c>
      <c r="K585" t="n">
        <v>0</v>
      </c>
      <c r="L585" t="n">
        <v>0</v>
      </c>
      <c r="M585" t="n">
        <v>0</v>
      </c>
      <c r="N585" t="n">
        <v>0</v>
      </c>
      <c r="O585" t="n">
        <v>0</v>
      </c>
      <c r="P585" t="n">
        <v>0</v>
      </c>
      <c r="Q585" t="n">
        <v>0</v>
      </c>
      <c r="R585" s="2" t="inlineStr"/>
    </row>
    <row r="586" ht="15" customHeight="1">
      <c r="A586" t="inlineStr">
        <is>
          <t>A 39492-2021</t>
        </is>
      </c>
      <c r="B586" s="1" t="n">
        <v>44414</v>
      </c>
      <c r="C586" s="1" t="n">
        <v>45728</v>
      </c>
      <c r="D586" t="inlineStr">
        <is>
          <t>JÄMTLANDS LÄN</t>
        </is>
      </c>
      <c r="E586" t="inlineStr">
        <is>
          <t>HÄRJEDALEN</t>
        </is>
      </c>
      <c r="G586" t="n">
        <v>28.3</v>
      </c>
      <c r="H586" t="n">
        <v>0</v>
      </c>
      <c r="I586" t="n">
        <v>0</v>
      </c>
      <c r="J586" t="n">
        <v>0</v>
      </c>
      <c r="K586" t="n">
        <v>0</v>
      </c>
      <c r="L586" t="n">
        <v>0</v>
      </c>
      <c r="M586" t="n">
        <v>0</v>
      </c>
      <c r="N586" t="n">
        <v>0</v>
      </c>
      <c r="O586" t="n">
        <v>0</v>
      </c>
      <c r="P586" t="n">
        <v>0</v>
      </c>
      <c r="Q586" t="n">
        <v>0</v>
      </c>
      <c r="R586" s="2" t="inlineStr"/>
    </row>
    <row r="587" ht="15" customHeight="1">
      <c r="A587" t="inlineStr">
        <is>
          <t>A 39610-2021</t>
        </is>
      </c>
      <c r="B587" s="1" t="n">
        <v>44417</v>
      </c>
      <c r="C587" s="1" t="n">
        <v>45728</v>
      </c>
      <c r="D587" t="inlineStr">
        <is>
          <t>JÄMTLANDS LÄN</t>
        </is>
      </c>
      <c r="E587" t="inlineStr">
        <is>
          <t>HÄRJEDALEN</t>
        </is>
      </c>
      <c r="G587" t="n">
        <v>5.1</v>
      </c>
      <c r="H587" t="n">
        <v>0</v>
      </c>
      <c r="I587" t="n">
        <v>0</v>
      </c>
      <c r="J587" t="n">
        <v>0</v>
      </c>
      <c r="K587" t="n">
        <v>0</v>
      </c>
      <c r="L587" t="n">
        <v>0</v>
      </c>
      <c r="M587" t="n">
        <v>0</v>
      </c>
      <c r="N587" t="n">
        <v>0</v>
      </c>
      <c r="O587" t="n">
        <v>0</v>
      </c>
      <c r="P587" t="n">
        <v>0</v>
      </c>
      <c r="Q587" t="n">
        <v>0</v>
      </c>
      <c r="R587" s="2" t="inlineStr"/>
    </row>
    <row r="588" ht="15" customHeight="1">
      <c r="A588" t="inlineStr">
        <is>
          <t>A 39616-2021</t>
        </is>
      </c>
      <c r="B588" s="1" t="n">
        <v>44417</v>
      </c>
      <c r="C588" s="1" t="n">
        <v>45728</v>
      </c>
      <c r="D588" t="inlineStr">
        <is>
          <t>JÄMTLANDS LÄN</t>
        </is>
      </c>
      <c r="E588" t="inlineStr">
        <is>
          <t>HÄRJEDALEN</t>
        </is>
      </c>
      <c r="G588" t="n">
        <v>0.7</v>
      </c>
      <c r="H588" t="n">
        <v>0</v>
      </c>
      <c r="I588" t="n">
        <v>0</v>
      </c>
      <c r="J588" t="n">
        <v>0</v>
      </c>
      <c r="K588" t="n">
        <v>0</v>
      </c>
      <c r="L588" t="n">
        <v>0</v>
      </c>
      <c r="M588" t="n">
        <v>0</v>
      </c>
      <c r="N588" t="n">
        <v>0</v>
      </c>
      <c r="O588" t="n">
        <v>0</v>
      </c>
      <c r="P588" t="n">
        <v>0</v>
      </c>
      <c r="Q588" t="n">
        <v>0</v>
      </c>
      <c r="R588" s="2" t="inlineStr"/>
    </row>
    <row r="589" ht="15" customHeight="1">
      <c r="A589" t="inlineStr">
        <is>
          <t>A 39611-2021</t>
        </is>
      </c>
      <c r="B589" s="1" t="n">
        <v>44417</v>
      </c>
      <c r="C589" s="1" t="n">
        <v>45728</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39631-2021</t>
        </is>
      </c>
      <c r="B590" s="1" t="n">
        <v>44417</v>
      </c>
      <c r="C590" s="1" t="n">
        <v>45728</v>
      </c>
      <c r="D590" t="inlineStr">
        <is>
          <t>JÄMTLANDS LÄN</t>
        </is>
      </c>
      <c r="E590" t="inlineStr">
        <is>
          <t>HÄRJEDALEN</t>
        </is>
      </c>
      <c r="G590" t="n">
        <v>4.3</v>
      </c>
      <c r="H590" t="n">
        <v>0</v>
      </c>
      <c r="I590" t="n">
        <v>0</v>
      </c>
      <c r="J590" t="n">
        <v>0</v>
      </c>
      <c r="K590" t="n">
        <v>0</v>
      </c>
      <c r="L590" t="n">
        <v>0</v>
      </c>
      <c r="M590" t="n">
        <v>0</v>
      </c>
      <c r="N590" t="n">
        <v>0</v>
      </c>
      <c r="O590" t="n">
        <v>0</v>
      </c>
      <c r="P590" t="n">
        <v>0</v>
      </c>
      <c r="Q590" t="n">
        <v>0</v>
      </c>
      <c r="R590" s="2" t="inlineStr"/>
    </row>
    <row r="591" ht="15" customHeight="1">
      <c r="A591" t="inlineStr">
        <is>
          <t>A 39618-2021</t>
        </is>
      </c>
      <c r="B591" s="1" t="n">
        <v>44417</v>
      </c>
      <c r="C591" s="1" t="n">
        <v>45728</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39979-2021</t>
        </is>
      </c>
      <c r="B592" s="1" t="n">
        <v>44418</v>
      </c>
      <c r="C592" s="1" t="n">
        <v>45728</v>
      </c>
      <c r="D592" t="inlineStr">
        <is>
          <t>JÄMTLANDS LÄN</t>
        </is>
      </c>
      <c r="E592" t="inlineStr">
        <is>
          <t>HÄRJEDALEN</t>
        </is>
      </c>
      <c r="G592" t="n">
        <v>9</v>
      </c>
      <c r="H592" t="n">
        <v>0</v>
      </c>
      <c r="I592" t="n">
        <v>0</v>
      </c>
      <c r="J592" t="n">
        <v>0</v>
      </c>
      <c r="K592" t="n">
        <v>0</v>
      </c>
      <c r="L592" t="n">
        <v>0</v>
      </c>
      <c r="M592" t="n">
        <v>0</v>
      </c>
      <c r="N592" t="n">
        <v>0</v>
      </c>
      <c r="O592" t="n">
        <v>0</v>
      </c>
      <c r="P592" t="n">
        <v>0</v>
      </c>
      <c r="Q592" t="n">
        <v>0</v>
      </c>
      <c r="R592" s="2" t="inlineStr"/>
    </row>
    <row r="593" ht="15" customHeight="1">
      <c r="A593" t="inlineStr">
        <is>
          <t>A 39951-2021</t>
        </is>
      </c>
      <c r="B593" s="1" t="n">
        <v>44418</v>
      </c>
      <c r="C593" s="1" t="n">
        <v>45728</v>
      </c>
      <c r="D593" t="inlineStr">
        <is>
          <t>JÄMTLANDS LÄN</t>
        </is>
      </c>
      <c r="E593" t="inlineStr">
        <is>
          <t>HÄRJEDALEN</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39950-2021</t>
        </is>
      </c>
      <c r="B594" s="1" t="n">
        <v>44418</v>
      </c>
      <c r="C594" s="1" t="n">
        <v>45728</v>
      </c>
      <c r="D594" t="inlineStr">
        <is>
          <t>JÄMTLANDS LÄN</t>
        </is>
      </c>
      <c r="E594" t="inlineStr">
        <is>
          <t>HÄRJEDALEN</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40412-2021</t>
        </is>
      </c>
      <c r="B595" s="1" t="n">
        <v>44419</v>
      </c>
      <c r="C595" s="1" t="n">
        <v>45728</v>
      </c>
      <c r="D595" t="inlineStr">
        <is>
          <t>JÄMTLANDS LÄN</t>
        </is>
      </c>
      <c r="E595" t="inlineStr">
        <is>
          <t>HÄRJEDALEN</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40497-2021</t>
        </is>
      </c>
      <c r="B596" s="1" t="n">
        <v>44420</v>
      </c>
      <c r="C596" s="1" t="n">
        <v>45728</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40808-2021</t>
        </is>
      </c>
      <c r="B597" s="1" t="n">
        <v>44421</v>
      </c>
      <c r="C597" s="1" t="n">
        <v>45728</v>
      </c>
      <c r="D597" t="inlineStr">
        <is>
          <t>JÄMTLANDS LÄN</t>
        </is>
      </c>
      <c r="E597" t="inlineStr">
        <is>
          <t>HÄRJEDALEN</t>
        </is>
      </c>
      <c r="G597" t="n">
        <v>0.5</v>
      </c>
      <c r="H597" t="n">
        <v>0</v>
      </c>
      <c r="I597" t="n">
        <v>0</v>
      </c>
      <c r="J597" t="n">
        <v>0</v>
      </c>
      <c r="K597" t="n">
        <v>0</v>
      </c>
      <c r="L597" t="n">
        <v>0</v>
      </c>
      <c r="M597" t="n">
        <v>0</v>
      </c>
      <c r="N597" t="n">
        <v>0</v>
      </c>
      <c r="O597" t="n">
        <v>0</v>
      </c>
      <c r="P597" t="n">
        <v>0</v>
      </c>
      <c r="Q597" t="n">
        <v>0</v>
      </c>
      <c r="R597" s="2" t="inlineStr"/>
    </row>
    <row r="598" ht="15" customHeight="1">
      <c r="A598" t="inlineStr">
        <is>
          <t>A 41149-2021</t>
        </is>
      </c>
      <c r="B598" s="1" t="n">
        <v>44423</v>
      </c>
      <c r="C598" s="1" t="n">
        <v>45728</v>
      </c>
      <c r="D598" t="inlineStr">
        <is>
          <t>JÄMTLANDS LÄN</t>
        </is>
      </c>
      <c r="E598" t="inlineStr">
        <is>
          <t>HÄRJEDALEN</t>
        </is>
      </c>
      <c r="G598" t="n">
        <v>1.2</v>
      </c>
      <c r="H598" t="n">
        <v>0</v>
      </c>
      <c r="I598" t="n">
        <v>0</v>
      </c>
      <c r="J598" t="n">
        <v>0</v>
      </c>
      <c r="K598" t="n">
        <v>0</v>
      </c>
      <c r="L598" t="n">
        <v>0</v>
      </c>
      <c r="M598" t="n">
        <v>0</v>
      </c>
      <c r="N598" t="n">
        <v>0</v>
      </c>
      <c r="O598" t="n">
        <v>0</v>
      </c>
      <c r="P598" t="n">
        <v>0</v>
      </c>
      <c r="Q598" t="n">
        <v>0</v>
      </c>
      <c r="R598" s="2" t="inlineStr"/>
    </row>
    <row r="599" ht="15" customHeight="1">
      <c r="A599" t="inlineStr">
        <is>
          <t>A 41147-2021</t>
        </is>
      </c>
      <c r="B599" s="1" t="n">
        <v>44423</v>
      </c>
      <c r="C599" s="1" t="n">
        <v>45728</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41146-2021</t>
        </is>
      </c>
      <c r="B600" s="1" t="n">
        <v>44423</v>
      </c>
      <c r="C600" s="1" t="n">
        <v>45728</v>
      </c>
      <c r="D600" t="inlineStr">
        <is>
          <t>JÄMTLANDS LÄN</t>
        </is>
      </c>
      <c r="E600" t="inlineStr">
        <is>
          <t>HÄRJEDALEN</t>
        </is>
      </c>
      <c r="G600" t="n">
        <v>14.9</v>
      </c>
      <c r="H600" t="n">
        <v>0</v>
      </c>
      <c r="I600" t="n">
        <v>0</v>
      </c>
      <c r="J600" t="n">
        <v>0</v>
      </c>
      <c r="K600" t="n">
        <v>0</v>
      </c>
      <c r="L600" t="n">
        <v>0</v>
      </c>
      <c r="M600" t="n">
        <v>0</v>
      </c>
      <c r="N600" t="n">
        <v>0</v>
      </c>
      <c r="O600" t="n">
        <v>0</v>
      </c>
      <c r="P600" t="n">
        <v>0</v>
      </c>
      <c r="Q600" t="n">
        <v>0</v>
      </c>
      <c r="R600" s="2" t="inlineStr"/>
    </row>
    <row r="601" ht="15" customHeight="1">
      <c r="A601" t="inlineStr">
        <is>
          <t>A 41387-2021</t>
        </is>
      </c>
      <c r="B601" s="1" t="n">
        <v>44424</v>
      </c>
      <c r="C601" s="1" t="n">
        <v>45728</v>
      </c>
      <c r="D601" t="inlineStr">
        <is>
          <t>JÄMTLANDS LÄN</t>
        </is>
      </c>
      <c r="E601" t="inlineStr">
        <is>
          <t>HÄRJEDALEN</t>
        </is>
      </c>
      <c r="G601" t="n">
        <v>9.5</v>
      </c>
      <c r="H601" t="n">
        <v>0</v>
      </c>
      <c r="I601" t="n">
        <v>0</v>
      </c>
      <c r="J601" t="n">
        <v>0</v>
      </c>
      <c r="K601" t="n">
        <v>0</v>
      </c>
      <c r="L601" t="n">
        <v>0</v>
      </c>
      <c r="M601" t="n">
        <v>0</v>
      </c>
      <c r="N601" t="n">
        <v>0</v>
      </c>
      <c r="O601" t="n">
        <v>0</v>
      </c>
      <c r="P601" t="n">
        <v>0</v>
      </c>
      <c r="Q601" t="n">
        <v>0</v>
      </c>
      <c r="R601" s="2" t="inlineStr"/>
    </row>
    <row r="602" ht="15" customHeight="1">
      <c r="A602" t="inlineStr">
        <is>
          <t>A 41395-2021</t>
        </is>
      </c>
      <c r="B602" s="1" t="n">
        <v>44424</v>
      </c>
      <c r="C602" s="1" t="n">
        <v>45728</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41400-2021</t>
        </is>
      </c>
      <c r="B603" s="1" t="n">
        <v>44424</v>
      </c>
      <c r="C603" s="1" t="n">
        <v>45728</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41391-2021</t>
        </is>
      </c>
      <c r="B604" s="1" t="n">
        <v>44424</v>
      </c>
      <c r="C604" s="1" t="n">
        <v>45728</v>
      </c>
      <c r="D604" t="inlineStr">
        <is>
          <t>JÄMTLANDS LÄN</t>
        </is>
      </c>
      <c r="E604" t="inlineStr">
        <is>
          <t>HÄRJEDALEN</t>
        </is>
      </c>
      <c r="G604" t="n">
        <v>1.5</v>
      </c>
      <c r="H604" t="n">
        <v>0</v>
      </c>
      <c r="I604" t="n">
        <v>0</v>
      </c>
      <c r="J604" t="n">
        <v>0</v>
      </c>
      <c r="K604" t="n">
        <v>0</v>
      </c>
      <c r="L604" t="n">
        <v>0</v>
      </c>
      <c r="M604" t="n">
        <v>0</v>
      </c>
      <c r="N604" t="n">
        <v>0</v>
      </c>
      <c r="O604" t="n">
        <v>0</v>
      </c>
      <c r="P604" t="n">
        <v>0</v>
      </c>
      <c r="Q604" t="n">
        <v>0</v>
      </c>
      <c r="R604" s="2" t="inlineStr"/>
    </row>
    <row r="605" ht="15" customHeight="1">
      <c r="A605" t="inlineStr">
        <is>
          <t>A 41978-2021</t>
        </is>
      </c>
      <c r="B605" s="1" t="n">
        <v>44426</v>
      </c>
      <c r="C605" s="1" t="n">
        <v>45728</v>
      </c>
      <c r="D605" t="inlineStr">
        <is>
          <t>JÄMTLANDS LÄN</t>
        </is>
      </c>
      <c r="E605" t="inlineStr">
        <is>
          <t>HÄRJEDALEN</t>
        </is>
      </c>
      <c r="G605" t="n">
        <v>2</v>
      </c>
      <c r="H605" t="n">
        <v>0</v>
      </c>
      <c r="I605" t="n">
        <v>0</v>
      </c>
      <c r="J605" t="n">
        <v>0</v>
      </c>
      <c r="K605" t="n">
        <v>0</v>
      </c>
      <c r="L605" t="n">
        <v>0</v>
      </c>
      <c r="M605" t="n">
        <v>0</v>
      </c>
      <c r="N605" t="n">
        <v>0</v>
      </c>
      <c r="O605" t="n">
        <v>0</v>
      </c>
      <c r="P605" t="n">
        <v>0</v>
      </c>
      <c r="Q605" t="n">
        <v>0</v>
      </c>
      <c r="R605" s="2" t="inlineStr"/>
    </row>
    <row r="606" ht="15" customHeight="1">
      <c r="A606" t="inlineStr">
        <is>
          <t>A 42827-2021</t>
        </is>
      </c>
      <c r="B606" s="1" t="n">
        <v>44430</v>
      </c>
      <c r="C606" s="1" t="n">
        <v>45728</v>
      </c>
      <c r="D606" t="inlineStr">
        <is>
          <t>JÄMTLANDS LÄN</t>
        </is>
      </c>
      <c r="E606" t="inlineStr">
        <is>
          <t>HÄRJEDALEN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44519-2021</t>
        </is>
      </c>
      <c r="B607" s="1" t="n">
        <v>44435</v>
      </c>
      <c r="C607" s="1" t="n">
        <v>45728</v>
      </c>
      <c r="D607" t="inlineStr">
        <is>
          <t>JÄMTLANDS LÄN</t>
        </is>
      </c>
      <c r="E607" t="inlineStr">
        <is>
          <t>HÄRJEDALEN</t>
        </is>
      </c>
      <c r="F607" t="inlineStr">
        <is>
          <t>Kyrkan</t>
        </is>
      </c>
      <c r="G607" t="n">
        <v>6.7</v>
      </c>
      <c r="H607" t="n">
        <v>0</v>
      </c>
      <c r="I607" t="n">
        <v>0</v>
      </c>
      <c r="J607" t="n">
        <v>0</v>
      </c>
      <c r="K607" t="n">
        <v>0</v>
      </c>
      <c r="L607" t="n">
        <v>0</v>
      </c>
      <c r="M607" t="n">
        <v>0</v>
      </c>
      <c r="N607" t="n">
        <v>0</v>
      </c>
      <c r="O607" t="n">
        <v>0</v>
      </c>
      <c r="P607" t="n">
        <v>0</v>
      </c>
      <c r="Q607" t="n">
        <v>0</v>
      </c>
      <c r="R607" s="2" t="inlineStr"/>
    </row>
    <row r="608" ht="15" customHeight="1">
      <c r="A608" t="inlineStr">
        <is>
          <t>A 45409-2021</t>
        </is>
      </c>
      <c r="B608" s="1" t="n">
        <v>44440</v>
      </c>
      <c r="C608" s="1" t="n">
        <v>45728</v>
      </c>
      <c r="D608" t="inlineStr">
        <is>
          <t>JÄMTLANDS LÄN</t>
        </is>
      </c>
      <c r="E608" t="inlineStr">
        <is>
          <t>HÄRJEDALEN</t>
        </is>
      </c>
      <c r="G608" t="n">
        <v>18.9</v>
      </c>
      <c r="H608" t="n">
        <v>0</v>
      </c>
      <c r="I608" t="n">
        <v>0</v>
      </c>
      <c r="J608" t="n">
        <v>0</v>
      </c>
      <c r="K608" t="n">
        <v>0</v>
      </c>
      <c r="L608" t="n">
        <v>0</v>
      </c>
      <c r="M608" t="n">
        <v>0</v>
      </c>
      <c r="N608" t="n">
        <v>0</v>
      </c>
      <c r="O608" t="n">
        <v>0</v>
      </c>
      <c r="P608" t="n">
        <v>0</v>
      </c>
      <c r="Q608" t="n">
        <v>0</v>
      </c>
      <c r="R608" s="2" t="inlineStr"/>
    </row>
    <row r="609" ht="15" customHeight="1">
      <c r="A609" t="inlineStr">
        <is>
          <t>A 45363-2021</t>
        </is>
      </c>
      <c r="B609" s="1" t="n">
        <v>44440</v>
      </c>
      <c r="C609" s="1" t="n">
        <v>45728</v>
      </c>
      <c r="D609" t="inlineStr">
        <is>
          <t>JÄMTLANDS LÄN</t>
        </is>
      </c>
      <c r="E609" t="inlineStr">
        <is>
          <t>HÄRJEDALEN</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45365-2021</t>
        </is>
      </c>
      <c r="B610" s="1" t="n">
        <v>44440</v>
      </c>
      <c r="C610" s="1" t="n">
        <v>45728</v>
      </c>
      <c r="D610" t="inlineStr">
        <is>
          <t>JÄMTLANDS LÄN</t>
        </is>
      </c>
      <c r="E610" t="inlineStr">
        <is>
          <t>HÄRJEDALEN</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45744-2021</t>
        </is>
      </c>
      <c r="B611" s="1" t="n">
        <v>44441</v>
      </c>
      <c r="C611" s="1" t="n">
        <v>45728</v>
      </c>
      <c r="D611" t="inlineStr">
        <is>
          <t>JÄMTLANDS LÄN</t>
        </is>
      </c>
      <c r="E611" t="inlineStr">
        <is>
          <t>HÄRJEDALEN</t>
        </is>
      </c>
      <c r="F611" t="inlineStr">
        <is>
          <t>Holmen skog AB</t>
        </is>
      </c>
      <c r="G611" t="n">
        <v>6.9</v>
      </c>
      <c r="H611" t="n">
        <v>0</v>
      </c>
      <c r="I611" t="n">
        <v>0</v>
      </c>
      <c r="J611" t="n">
        <v>0</v>
      </c>
      <c r="K611" t="n">
        <v>0</v>
      </c>
      <c r="L611" t="n">
        <v>0</v>
      </c>
      <c r="M611" t="n">
        <v>0</v>
      </c>
      <c r="N611" t="n">
        <v>0</v>
      </c>
      <c r="O611" t="n">
        <v>0</v>
      </c>
      <c r="P611" t="n">
        <v>0</v>
      </c>
      <c r="Q611" t="n">
        <v>0</v>
      </c>
      <c r="R611" s="2" t="inlineStr"/>
    </row>
    <row r="612" ht="15" customHeight="1">
      <c r="A612" t="inlineStr">
        <is>
          <t>A 46352-2021</t>
        </is>
      </c>
      <c r="B612" s="1" t="n">
        <v>44442</v>
      </c>
      <c r="C612" s="1" t="n">
        <v>45728</v>
      </c>
      <c r="D612" t="inlineStr">
        <is>
          <t>JÄMTLANDS LÄN</t>
        </is>
      </c>
      <c r="E612" t="inlineStr">
        <is>
          <t>HÄRJEDALEN</t>
        </is>
      </c>
      <c r="G612" t="n">
        <v>4.4</v>
      </c>
      <c r="H612" t="n">
        <v>0</v>
      </c>
      <c r="I612" t="n">
        <v>0</v>
      </c>
      <c r="J612" t="n">
        <v>0</v>
      </c>
      <c r="K612" t="n">
        <v>0</v>
      </c>
      <c r="L612" t="n">
        <v>0</v>
      </c>
      <c r="M612" t="n">
        <v>0</v>
      </c>
      <c r="N612" t="n">
        <v>0</v>
      </c>
      <c r="O612" t="n">
        <v>0</v>
      </c>
      <c r="P612" t="n">
        <v>0</v>
      </c>
      <c r="Q612" t="n">
        <v>0</v>
      </c>
      <c r="R612" s="2" t="inlineStr"/>
    </row>
    <row r="613" ht="15" customHeight="1">
      <c r="A613" t="inlineStr">
        <is>
          <t>A 47289-2021</t>
        </is>
      </c>
      <c r="B613" s="1" t="n">
        <v>44447</v>
      </c>
      <c r="C613" s="1" t="n">
        <v>45728</v>
      </c>
      <c r="D613" t="inlineStr">
        <is>
          <t>JÄMTLANDS LÄN</t>
        </is>
      </c>
      <c r="E613" t="inlineStr">
        <is>
          <t>HÄRJEDALEN</t>
        </is>
      </c>
      <c r="F613" t="inlineStr">
        <is>
          <t>Holmen skog AB</t>
        </is>
      </c>
      <c r="G613" t="n">
        <v>31.7</v>
      </c>
      <c r="H613" t="n">
        <v>0</v>
      </c>
      <c r="I613" t="n">
        <v>0</v>
      </c>
      <c r="J613" t="n">
        <v>0</v>
      </c>
      <c r="K613" t="n">
        <v>0</v>
      </c>
      <c r="L613" t="n">
        <v>0</v>
      </c>
      <c r="M613" t="n">
        <v>0</v>
      </c>
      <c r="N613" t="n">
        <v>0</v>
      </c>
      <c r="O613" t="n">
        <v>0</v>
      </c>
      <c r="P613" t="n">
        <v>0</v>
      </c>
      <c r="Q613" t="n">
        <v>0</v>
      </c>
      <c r="R613" s="2" t="inlineStr"/>
    </row>
    <row r="614" ht="15" customHeight="1">
      <c r="A614" t="inlineStr">
        <is>
          <t>A 48079-2021</t>
        </is>
      </c>
      <c r="B614" s="1" t="n">
        <v>44449</v>
      </c>
      <c r="C614" s="1" t="n">
        <v>45728</v>
      </c>
      <c r="D614" t="inlineStr">
        <is>
          <t>JÄMTLANDS LÄN</t>
        </is>
      </c>
      <c r="E614" t="inlineStr">
        <is>
          <t>HÄRJEDALEN</t>
        </is>
      </c>
      <c r="G614" t="n">
        <v>12.5</v>
      </c>
      <c r="H614" t="n">
        <v>0</v>
      </c>
      <c r="I614" t="n">
        <v>0</v>
      </c>
      <c r="J614" t="n">
        <v>0</v>
      </c>
      <c r="K614" t="n">
        <v>0</v>
      </c>
      <c r="L614" t="n">
        <v>0</v>
      </c>
      <c r="M614" t="n">
        <v>0</v>
      </c>
      <c r="N614" t="n">
        <v>0</v>
      </c>
      <c r="O614" t="n">
        <v>0</v>
      </c>
      <c r="P614" t="n">
        <v>0</v>
      </c>
      <c r="Q614" t="n">
        <v>0</v>
      </c>
      <c r="R614" s="2" t="inlineStr"/>
    </row>
    <row r="615" ht="15" customHeight="1">
      <c r="A615" t="inlineStr">
        <is>
          <t>A 48132-2021</t>
        </is>
      </c>
      <c r="B615" s="1" t="n">
        <v>44449</v>
      </c>
      <c r="C615" s="1" t="n">
        <v>45728</v>
      </c>
      <c r="D615" t="inlineStr">
        <is>
          <t>JÄMTLANDS LÄN</t>
        </is>
      </c>
      <c r="E615" t="inlineStr">
        <is>
          <t>HÄRJEDALEN</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48142-2021</t>
        </is>
      </c>
      <c r="B616" s="1" t="n">
        <v>44449</v>
      </c>
      <c r="C616" s="1" t="n">
        <v>45728</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48444-2021</t>
        </is>
      </c>
      <c r="B617" s="1" t="n">
        <v>44452</v>
      </c>
      <c r="C617" s="1" t="n">
        <v>45728</v>
      </c>
      <c r="D617" t="inlineStr">
        <is>
          <t>JÄMTLANDS LÄN</t>
        </is>
      </c>
      <c r="E617" t="inlineStr">
        <is>
          <t>HÄRJEDALEN</t>
        </is>
      </c>
      <c r="F617" t="inlineStr">
        <is>
          <t>Holmen skog AB</t>
        </is>
      </c>
      <c r="G617" t="n">
        <v>7.4</v>
      </c>
      <c r="H617" t="n">
        <v>0</v>
      </c>
      <c r="I617" t="n">
        <v>0</v>
      </c>
      <c r="J617" t="n">
        <v>0</v>
      </c>
      <c r="K617" t="n">
        <v>0</v>
      </c>
      <c r="L617" t="n">
        <v>0</v>
      </c>
      <c r="M617" t="n">
        <v>0</v>
      </c>
      <c r="N617" t="n">
        <v>0</v>
      </c>
      <c r="O617" t="n">
        <v>0</v>
      </c>
      <c r="P617" t="n">
        <v>0</v>
      </c>
      <c r="Q617" t="n">
        <v>0</v>
      </c>
      <c r="R617" s="2" t="inlineStr"/>
    </row>
    <row r="618" ht="15" customHeight="1">
      <c r="A618" t="inlineStr">
        <is>
          <t>A 48586-2021</t>
        </is>
      </c>
      <c r="B618" s="1" t="n">
        <v>44452</v>
      </c>
      <c r="C618" s="1" t="n">
        <v>45728</v>
      </c>
      <c r="D618" t="inlineStr">
        <is>
          <t>JÄMTLANDS LÄN</t>
        </is>
      </c>
      <c r="E618" t="inlineStr">
        <is>
          <t>HÄRJEDALEN</t>
        </is>
      </c>
      <c r="F618" t="inlineStr">
        <is>
          <t>Holmen skog AB</t>
        </is>
      </c>
      <c r="G618" t="n">
        <v>5.2</v>
      </c>
      <c r="H618" t="n">
        <v>0</v>
      </c>
      <c r="I618" t="n">
        <v>0</v>
      </c>
      <c r="J618" t="n">
        <v>0</v>
      </c>
      <c r="K618" t="n">
        <v>0</v>
      </c>
      <c r="L618" t="n">
        <v>0</v>
      </c>
      <c r="M618" t="n">
        <v>0</v>
      </c>
      <c r="N618" t="n">
        <v>0</v>
      </c>
      <c r="O618" t="n">
        <v>0</v>
      </c>
      <c r="P618" t="n">
        <v>0</v>
      </c>
      <c r="Q618" t="n">
        <v>0</v>
      </c>
      <c r="R618" s="2" t="inlineStr"/>
    </row>
    <row r="619" ht="15" customHeight="1">
      <c r="A619" t="inlineStr">
        <is>
          <t>A 48769-2021</t>
        </is>
      </c>
      <c r="B619" s="1" t="n">
        <v>44452</v>
      </c>
      <c r="C619" s="1" t="n">
        <v>45728</v>
      </c>
      <c r="D619" t="inlineStr">
        <is>
          <t>JÄMTLANDS LÄN</t>
        </is>
      </c>
      <c r="E619" t="inlineStr">
        <is>
          <t>HÄRJEDALEN</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48681-2021</t>
        </is>
      </c>
      <c r="B620" s="1" t="n">
        <v>44452</v>
      </c>
      <c r="C620" s="1" t="n">
        <v>45728</v>
      </c>
      <c r="D620" t="inlineStr">
        <is>
          <t>JÄMTLANDS LÄN</t>
        </is>
      </c>
      <c r="E620" t="inlineStr">
        <is>
          <t>HÄRJEDALEN</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50775-2021</t>
        </is>
      </c>
      <c r="B621" s="1" t="n">
        <v>44460</v>
      </c>
      <c r="C621" s="1" t="n">
        <v>45728</v>
      </c>
      <c r="D621" t="inlineStr">
        <is>
          <t>JÄMTLANDS LÄN</t>
        </is>
      </c>
      <c r="E621" t="inlineStr">
        <is>
          <t>HÄRJEDALEN</t>
        </is>
      </c>
      <c r="F621" t="inlineStr">
        <is>
          <t>Bergvik skog väst AB</t>
        </is>
      </c>
      <c r="G621" t="n">
        <v>4.9</v>
      </c>
      <c r="H621" t="n">
        <v>0</v>
      </c>
      <c r="I621" t="n">
        <v>0</v>
      </c>
      <c r="J621" t="n">
        <v>0</v>
      </c>
      <c r="K621" t="n">
        <v>0</v>
      </c>
      <c r="L621" t="n">
        <v>0</v>
      </c>
      <c r="M621" t="n">
        <v>0</v>
      </c>
      <c r="N621" t="n">
        <v>0</v>
      </c>
      <c r="O621" t="n">
        <v>0</v>
      </c>
      <c r="P621" t="n">
        <v>0</v>
      </c>
      <c r="Q621" t="n">
        <v>0</v>
      </c>
      <c r="R621" s="2" t="inlineStr"/>
    </row>
    <row r="622" ht="15" customHeight="1">
      <c r="A622" t="inlineStr">
        <is>
          <t>A 52685-2021</t>
        </is>
      </c>
      <c r="B622" s="1" t="n">
        <v>44466</v>
      </c>
      <c r="C622" s="1" t="n">
        <v>45728</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54103-2021</t>
        </is>
      </c>
      <c r="B623" s="1" t="n">
        <v>44470</v>
      </c>
      <c r="C623" s="1" t="n">
        <v>45728</v>
      </c>
      <c r="D623" t="inlineStr">
        <is>
          <t>JÄMTLANDS LÄN</t>
        </is>
      </c>
      <c r="E623" t="inlineStr">
        <is>
          <t>HÄRJEDALEN</t>
        </is>
      </c>
      <c r="F623" t="inlineStr">
        <is>
          <t>Holmen skog AB</t>
        </is>
      </c>
      <c r="G623" t="n">
        <v>11.9</v>
      </c>
      <c r="H623" t="n">
        <v>0</v>
      </c>
      <c r="I623" t="n">
        <v>0</v>
      </c>
      <c r="J623" t="n">
        <v>0</v>
      </c>
      <c r="K623" t="n">
        <v>0</v>
      </c>
      <c r="L623" t="n">
        <v>0</v>
      </c>
      <c r="M623" t="n">
        <v>0</v>
      </c>
      <c r="N623" t="n">
        <v>0</v>
      </c>
      <c r="O623" t="n">
        <v>0</v>
      </c>
      <c r="P623" t="n">
        <v>0</v>
      </c>
      <c r="Q623" t="n">
        <v>0</v>
      </c>
      <c r="R623" s="2" t="inlineStr"/>
    </row>
    <row r="624" ht="15" customHeight="1">
      <c r="A624" t="inlineStr">
        <is>
          <t>A 54218-2021</t>
        </is>
      </c>
      <c r="B624" s="1" t="n">
        <v>44470</v>
      </c>
      <c r="C624" s="1" t="n">
        <v>45728</v>
      </c>
      <c r="D624" t="inlineStr">
        <is>
          <t>JÄMTLANDS LÄN</t>
        </is>
      </c>
      <c r="E624" t="inlineStr">
        <is>
          <t>HÄRJEDALEN</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54331-2021</t>
        </is>
      </c>
      <c r="B625" s="1" t="n">
        <v>44472</v>
      </c>
      <c r="C625" s="1" t="n">
        <v>45728</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54842-2021</t>
        </is>
      </c>
      <c r="B626" s="1" t="n">
        <v>44473</v>
      </c>
      <c r="C626" s="1" t="n">
        <v>45728</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55029-2021</t>
        </is>
      </c>
      <c r="B627" s="1" t="n">
        <v>44474</v>
      </c>
      <c r="C627" s="1" t="n">
        <v>45728</v>
      </c>
      <c r="D627" t="inlineStr">
        <is>
          <t>JÄMTLANDS LÄN</t>
        </is>
      </c>
      <c r="E627" t="inlineStr">
        <is>
          <t>HÄRJEDALEN</t>
        </is>
      </c>
      <c r="G627" t="n">
        <v>6.2</v>
      </c>
      <c r="H627" t="n">
        <v>0</v>
      </c>
      <c r="I627" t="n">
        <v>0</v>
      </c>
      <c r="J627" t="n">
        <v>0</v>
      </c>
      <c r="K627" t="n">
        <v>0</v>
      </c>
      <c r="L627" t="n">
        <v>0</v>
      </c>
      <c r="M627" t="n">
        <v>0</v>
      </c>
      <c r="N627" t="n">
        <v>0</v>
      </c>
      <c r="O627" t="n">
        <v>0</v>
      </c>
      <c r="P627" t="n">
        <v>0</v>
      </c>
      <c r="Q627" t="n">
        <v>0</v>
      </c>
      <c r="R627" s="2" t="inlineStr"/>
    </row>
    <row r="628" ht="15" customHeight="1">
      <c r="A628" t="inlineStr">
        <is>
          <t>A 55219-2021</t>
        </is>
      </c>
      <c r="B628" s="1" t="n">
        <v>44475</v>
      </c>
      <c r="C628" s="1" t="n">
        <v>45728</v>
      </c>
      <c r="D628" t="inlineStr">
        <is>
          <t>JÄMTLANDS LÄN</t>
        </is>
      </c>
      <c r="E628" t="inlineStr">
        <is>
          <t>HÄRJEDALEN</t>
        </is>
      </c>
      <c r="G628" t="n">
        <v>2.5</v>
      </c>
      <c r="H628" t="n">
        <v>0</v>
      </c>
      <c r="I628" t="n">
        <v>0</v>
      </c>
      <c r="J628" t="n">
        <v>0</v>
      </c>
      <c r="K628" t="n">
        <v>0</v>
      </c>
      <c r="L628" t="n">
        <v>0</v>
      </c>
      <c r="M628" t="n">
        <v>0</v>
      </c>
      <c r="N628" t="n">
        <v>0</v>
      </c>
      <c r="O628" t="n">
        <v>0</v>
      </c>
      <c r="P628" t="n">
        <v>0</v>
      </c>
      <c r="Q628" t="n">
        <v>0</v>
      </c>
      <c r="R628" s="2" t="inlineStr"/>
    </row>
    <row r="629" ht="15" customHeight="1">
      <c r="A629" t="inlineStr">
        <is>
          <t>A 55226-2021</t>
        </is>
      </c>
      <c r="B629" s="1" t="n">
        <v>44475</v>
      </c>
      <c r="C629" s="1" t="n">
        <v>45728</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55232-2021</t>
        </is>
      </c>
      <c r="B630" s="1" t="n">
        <v>44475</v>
      </c>
      <c r="C630" s="1" t="n">
        <v>45728</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55250-2021</t>
        </is>
      </c>
      <c r="B631" s="1" t="n">
        <v>44475</v>
      </c>
      <c r="C631" s="1" t="n">
        <v>45728</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55231-2021</t>
        </is>
      </c>
      <c r="B632" s="1" t="n">
        <v>44475</v>
      </c>
      <c r="C632" s="1" t="n">
        <v>45728</v>
      </c>
      <c r="D632" t="inlineStr">
        <is>
          <t>JÄMTLANDS LÄN</t>
        </is>
      </c>
      <c r="E632" t="inlineStr">
        <is>
          <t>HÄRJEDALEN</t>
        </is>
      </c>
      <c r="G632" t="n">
        <v>0.9</v>
      </c>
      <c r="H632" t="n">
        <v>0</v>
      </c>
      <c r="I632" t="n">
        <v>0</v>
      </c>
      <c r="J632" t="n">
        <v>0</v>
      </c>
      <c r="K632" t="n">
        <v>0</v>
      </c>
      <c r="L632" t="n">
        <v>0</v>
      </c>
      <c r="M632" t="n">
        <v>0</v>
      </c>
      <c r="N632" t="n">
        <v>0</v>
      </c>
      <c r="O632" t="n">
        <v>0</v>
      </c>
      <c r="P632" t="n">
        <v>0</v>
      </c>
      <c r="Q632" t="n">
        <v>0</v>
      </c>
      <c r="R632" s="2" t="inlineStr"/>
    </row>
    <row r="633" ht="15" customHeight="1">
      <c r="A633" t="inlineStr">
        <is>
          <t>A 55238-2021</t>
        </is>
      </c>
      <c r="B633" s="1" t="n">
        <v>44475</v>
      </c>
      <c r="C633" s="1" t="n">
        <v>45728</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55242-2021</t>
        </is>
      </c>
      <c r="B634" s="1" t="n">
        <v>44475</v>
      </c>
      <c r="C634" s="1" t="n">
        <v>45728</v>
      </c>
      <c r="D634" t="inlineStr">
        <is>
          <t>JÄMTLANDS LÄN</t>
        </is>
      </c>
      <c r="E634" t="inlineStr">
        <is>
          <t>HÄRJEDALEN</t>
        </is>
      </c>
      <c r="G634" t="n">
        <v>26</v>
      </c>
      <c r="H634" t="n">
        <v>0</v>
      </c>
      <c r="I634" t="n">
        <v>0</v>
      </c>
      <c r="J634" t="n">
        <v>0</v>
      </c>
      <c r="K634" t="n">
        <v>0</v>
      </c>
      <c r="L634" t="n">
        <v>0</v>
      </c>
      <c r="M634" t="n">
        <v>0</v>
      </c>
      <c r="N634" t="n">
        <v>0</v>
      </c>
      <c r="O634" t="n">
        <v>0</v>
      </c>
      <c r="P634" t="n">
        <v>0</v>
      </c>
      <c r="Q634" t="n">
        <v>0</v>
      </c>
      <c r="R634" s="2" t="inlineStr"/>
    </row>
    <row r="635" ht="15" customHeight="1">
      <c r="A635" t="inlineStr">
        <is>
          <t>A 55252-2021</t>
        </is>
      </c>
      <c r="B635" s="1" t="n">
        <v>44475</v>
      </c>
      <c r="C635" s="1" t="n">
        <v>45728</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55257-2021</t>
        </is>
      </c>
      <c r="B636" s="1" t="n">
        <v>44475</v>
      </c>
      <c r="C636" s="1" t="n">
        <v>45728</v>
      </c>
      <c r="D636" t="inlineStr">
        <is>
          <t>JÄMTLANDS LÄN</t>
        </is>
      </c>
      <c r="E636" t="inlineStr">
        <is>
          <t>HÄRJEDALEN</t>
        </is>
      </c>
      <c r="G636" t="n">
        <v>0</v>
      </c>
      <c r="H636" t="n">
        <v>0</v>
      </c>
      <c r="I636" t="n">
        <v>0</v>
      </c>
      <c r="J636" t="n">
        <v>0</v>
      </c>
      <c r="K636" t="n">
        <v>0</v>
      </c>
      <c r="L636" t="n">
        <v>0</v>
      </c>
      <c r="M636" t="n">
        <v>0</v>
      </c>
      <c r="N636" t="n">
        <v>0</v>
      </c>
      <c r="O636" t="n">
        <v>0</v>
      </c>
      <c r="P636" t="n">
        <v>0</v>
      </c>
      <c r="Q636" t="n">
        <v>0</v>
      </c>
      <c r="R636" s="2" t="inlineStr"/>
    </row>
    <row r="637" ht="15" customHeight="1">
      <c r="A637" t="inlineStr">
        <is>
          <t>A 55255-2021</t>
        </is>
      </c>
      <c r="B637" s="1" t="n">
        <v>44475</v>
      </c>
      <c r="C637" s="1" t="n">
        <v>45728</v>
      </c>
      <c r="D637" t="inlineStr">
        <is>
          <t>JÄMTLANDS LÄN</t>
        </is>
      </c>
      <c r="E637" t="inlineStr">
        <is>
          <t>HÄRJEDALEN</t>
        </is>
      </c>
      <c r="G637" t="n">
        <v>0.7</v>
      </c>
      <c r="H637" t="n">
        <v>0</v>
      </c>
      <c r="I637" t="n">
        <v>0</v>
      </c>
      <c r="J637" t="n">
        <v>0</v>
      </c>
      <c r="K637" t="n">
        <v>0</v>
      </c>
      <c r="L637" t="n">
        <v>0</v>
      </c>
      <c r="M637" t="n">
        <v>0</v>
      </c>
      <c r="N637" t="n">
        <v>0</v>
      </c>
      <c r="O637" t="n">
        <v>0</v>
      </c>
      <c r="P637" t="n">
        <v>0</v>
      </c>
      <c r="Q637" t="n">
        <v>0</v>
      </c>
      <c r="R637" s="2" t="inlineStr"/>
    </row>
    <row r="638" ht="15" customHeight="1">
      <c r="A638" t="inlineStr">
        <is>
          <t>A 55246-2021</t>
        </is>
      </c>
      <c r="B638" s="1" t="n">
        <v>44475</v>
      </c>
      <c r="C638" s="1" t="n">
        <v>45728</v>
      </c>
      <c r="D638" t="inlineStr">
        <is>
          <t>JÄMTLANDS LÄN</t>
        </is>
      </c>
      <c r="E638" t="inlineStr">
        <is>
          <t>HÄRJEDALEN</t>
        </is>
      </c>
      <c r="G638" t="n">
        <v>3.8</v>
      </c>
      <c r="H638" t="n">
        <v>0</v>
      </c>
      <c r="I638" t="n">
        <v>0</v>
      </c>
      <c r="J638" t="n">
        <v>0</v>
      </c>
      <c r="K638" t="n">
        <v>0</v>
      </c>
      <c r="L638" t="n">
        <v>0</v>
      </c>
      <c r="M638" t="n">
        <v>0</v>
      </c>
      <c r="N638" t="n">
        <v>0</v>
      </c>
      <c r="O638" t="n">
        <v>0</v>
      </c>
      <c r="P638" t="n">
        <v>0</v>
      </c>
      <c r="Q638" t="n">
        <v>0</v>
      </c>
      <c r="R638" s="2" t="inlineStr"/>
    </row>
    <row r="639" ht="15" customHeight="1">
      <c r="A639" t="inlineStr">
        <is>
          <t>A 55384-2021</t>
        </is>
      </c>
      <c r="B639" s="1" t="n">
        <v>44475</v>
      </c>
      <c r="C639" s="1" t="n">
        <v>45728</v>
      </c>
      <c r="D639" t="inlineStr">
        <is>
          <t>JÄMTLANDS LÄN</t>
        </is>
      </c>
      <c r="E639" t="inlineStr">
        <is>
          <t>HÄRJEDALEN</t>
        </is>
      </c>
      <c r="G639" t="n">
        <v>0.3</v>
      </c>
      <c r="H639" t="n">
        <v>0</v>
      </c>
      <c r="I639" t="n">
        <v>0</v>
      </c>
      <c r="J639" t="n">
        <v>0</v>
      </c>
      <c r="K639" t="n">
        <v>0</v>
      </c>
      <c r="L639" t="n">
        <v>0</v>
      </c>
      <c r="M639" t="n">
        <v>0</v>
      </c>
      <c r="N639" t="n">
        <v>0</v>
      </c>
      <c r="O639" t="n">
        <v>0</v>
      </c>
      <c r="P639" t="n">
        <v>0</v>
      </c>
      <c r="Q639" t="n">
        <v>0</v>
      </c>
      <c r="R639" s="2" t="inlineStr"/>
    </row>
    <row r="640" ht="15" customHeight="1">
      <c r="A640" t="inlineStr">
        <is>
          <t>A 55379-2021</t>
        </is>
      </c>
      <c r="B640" s="1" t="n">
        <v>44475</v>
      </c>
      <c r="C640" s="1" t="n">
        <v>45728</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55388-2021</t>
        </is>
      </c>
      <c r="B641" s="1" t="n">
        <v>44475</v>
      </c>
      <c r="C641" s="1" t="n">
        <v>45728</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55396-2021</t>
        </is>
      </c>
      <c r="B642" s="1" t="n">
        <v>44475</v>
      </c>
      <c r="C642" s="1" t="n">
        <v>45728</v>
      </c>
      <c r="D642" t="inlineStr">
        <is>
          <t>JÄMTLANDS LÄN</t>
        </is>
      </c>
      <c r="E642" t="inlineStr">
        <is>
          <t>HÄRJEDALEN</t>
        </is>
      </c>
      <c r="G642" t="n">
        <v>0.5</v>
      </c>
      <c r="H642" t="n">
        <v>0</v>
      </c>
      <c r="I642" t="n">
        <v>0</v>
      </c>
      <c r="J642" t="n">
        <v>0</v>
      </c>
      <c r="K642" t="n">
        <v>0</v>
      </c>
      <c r="L642" t="n">
        <v>0</v>
      </c>
      <c r="M642" t="n">
        <v>0</v>
      </c>
      <c r="N642" t="n">
        <v>0</v>
      </c>
      <c r="O642" t="n">
        <v>0</v>
      </c>
      <c r="P642" t="n">
        <v>0</v>
      </c>
      <c r="Q642" t="n">
        <v>0</v>
      </c>
      <c r="R642" s="2" t="inlineStr"/>
    </row>
    <row r="643" ht="15" customHeight="1">
      <c r="A643" t="inlineStr">
        <is>
          <t>A 55385-2021</t>
        </is>
      </c>
      <c r="B643" s="1" t="n">
        <v>44475</v>
      </c>
      <c r="C643" s="1" t="n">
        <v>45728</v>
      </c>
      <c r="D643" t="inlineStr">
        <is>
          <t>JÄMTLANDS LÄN</t>
        </is>
      </c>
      <c r="E643" t="inlineStr">
        <is>
          <t>HÄRJEDALEN</t>
        </is>
      </c>
      <c r="G643" t="n">
        <v>1</v>
      </c>
      <c r="H643" t="n">
        <v>0</v>
      </c>
      <c r="I643" t="n">
        <v>0</v>
      </c>
      <c r="J643" t="n">
        <v>0</v>
      </c>
      <c r="K643" t="n">
        <v>0</v>
      </c>
      <c r="L643" t="n">
        <v>0</v>
      </c>
      <c r="M643" t="n">
        <v>0</v>
      </c>
      <c r="N643" t="n">
        <v>0</v>
      </c>
      <c r="O643" t="n">
        <v>0</v>
      </c>
      <c r="P643" t="n">
        <v>0</v>
      </c>
      <c r="Q643" t="n">
        <v>0</v>
      </c>
      <c r="R643" s="2" t="inlineStr"/>
    </row>
    <row r="644" ht="15" customHeight="1">
      <c r="A644" t="inlineStr">
        <is>
          <t>A 55381-2021</t>
        </is>
      </c>
      <c r="B644" s="1" t="n">
        <v>44475</v>
      </c>
      <c r="C644" s="1" t="n">
        <v>45728</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55399-2021</t>
        </is>
      </c>
      <c r="B645" s="1" t="n">
        <v>44475</v>
      </c>
      <c r="C645" s="1" t="n">
        <v>45728</v>
      </c>
      <c r="D645" t="inlineStr">
        <is>
          <t>JÄMTLANDS LÄN</t>
        </is>
      </c>
      <c r="E645" t="inlineStr">
        <is>
          <t>HÄRJEDALEN</t>
        </is>
      </c>
      <c r="G645" t="n">
        <v>0.2</v>
      </c>
      <c r="H645" t="n">
        <v>0</v>
      </c>
      <c r="I645" t="n">
        <v>0</v>
      </c>
      <c r="J645" t="n">
        <v>0</v>
      </c>
      <c r="K645" t="n">
        <v>0</v>
      </c>
      <c r="L645" t="n">
        <v>0</v>
      </c>
      <c r="M645" t="n">
        <v>0</v>
      </c>
      <c r="N645" t="n">
        <v>0</v>
      </c>
      <c r="O645" t="n">
        <v>0</v>
      </c>
      <c r="P645" t="n">
        <v>0</v>
      </c>
      <c r="Q645" t="n">
        <v>0</v>
      </c>
      <c r="R645" s="2" t="inlineStr"/>
    </row>
    <row r="646" ht="15" customHeight="1">
      <c r="A646" t="inlineStr">
        <is>
          <t>A 55517-2021</t>
        </is>
      </c>
      <c r="B646" s="1" t="n">
        <v>44475</v>
      </c>
      <c r="C646" s="1" t="n">
        <v>45728</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55542-2021</t>
        </is>
      </c>
      <c r="B647" s="1" t="n">
        <v>44475</v>
      </c>
      <c r="C647" s="1" t="n">
        <v>45728</v>
      </c>
      <c r="D647" t="inlineStr">
        <is>
          <t>JÄMTLANDS LÄN</t>
        </is>
      </c>
      <c r="E647" t="inlineStr">
        <is>
          <t>HÄRJEDALEN</t>
        </is>
      </c>
      <c r="G647" t="n">
        <v>1.3</v>
      </c>
      <c r="H647" t="n">
        <v>0</v>
      </c>
      <c r="I647" t="n">
        <v>0</v>
      </c>
      <c r="J647" t="n">
        <v>0</v>
      </c>
      <c r="K647" t="n">
        <v>0</v>
      </c>
      <c r="L647" t="n">
        <v>0</v>
      </c>
      <c r="M647" t="n">
        <v>0</v>
      </c>
      <c r="N647" t="n">
        <v>0</v>
      </c>
      <c r="O647" t="n">
        <v>0</v>
      </c>
      <c r="P647" t="n">
        <v>0</v>
      </c>
      <c r="Q647" t="n">
        <v>0</v>
      </c>
      <c r="R647" s="2" t="inlineStr"/>
    </row>
    <row r="648" ht="15" customHeight="1">
      <c r="A648" t="inlineStr">
        <is>
          <t>A 55393-2021</t>
        </is>
      </c>
      <c r="B648" s="1" t="n">
        <v>44475</v>
      </c>
      <c r="C648" s="1" t="n">
        <v>45728</v>
      </c>
      <c r="D648" t="inlineStr">
        <is>
          <t>JÄMTLANDS LÄN</t>
        </is>
      </c>
      <c r="E648" t="inlineStr">
        <is>
          <t>HÄRJEDALEN</t>
        </is>
      </c>
      <c r="G648" t="n">
        <v>3</v>
      </c>
      <c r="H648" t="n">
        <v>0</v>
      </c>
      <c r="I648" t="n">
        <v>0</v>
      </c>
      <c r="J648" t="n">
        <v>0</v>
      </c>
      <c r="K648" t="n">
        <v>0</v>
      </c>
      <c r="L648" t="n">
        <v>0</v>
      </c>
      <c r="M648" t="n">
        <v>0</v>
      </c>
      <c r="N648" t="n">
        <v>0</v>
      </c>
      <c r="O648" t="n">
        <v>0</v>
      </c>
      <c r="P648" t="n">
        <v>0</v>
      </c>
      <c r="Q648" t="n">
        <v>0</v>
      </c>
      <c r="R648" s="2" t="inlineStr"/>
    </row>
    <row r="649" ht="15" customHeight="1">
      <c r="A649" t="inlineStr">
        <is>
          <t>A 55215-2021</t>
        </is>
      </c>
      <c r="B649" s="1" t="n">
        <v>44475</v>
      </c>
      <c r="C649" s="1" t="n">
        <v>45728</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56852-2021</t>
        </is>
      </c>
      <c r="B650" s="1" t="n">
        <v>44481</v>
      </c>
      <c r="C650" s="1" t="n">
        <v>45728</v>
      </c>
      <c r="D650" t="inlineStr">
        <is>
          <t>JÄMTLANDS LÄN</t>
        </is>
      </c>
      <c r="E650" t="inlineStr">
        <is>
          <t>HÄRJEDALEN</t>
        </is>
      </c>
      <c r="G650" t="n">
        <v>2.8</v>
      </c>
      <c r="H650" t="n">
        <v>0</v>
      </c>
      <c r="I650" t="n">
        <v>0</v>
      </c>
      <c r="J650" t="n">
        <v>0</v>
      </c>
      <c r="K650" t="n">
        <v>0</v>
      </c>
      <c r="L650" t="n">
        <v>0</v>
      </c>
      <c r="M650" t="n">
        <v>0</v>
      </c>
      <c r="N650" t="n">
        <v>0</v>
      </c>
      <c r="O650" t="n">
        <v>0</v>
      </c>
      <c r="P650" t="n">
        <v>0</v>
      </c>
      <c r="Q650" t="n">
        <v>0</v>
      </c>
      <c r="R650" s="2" t="inlineStr"/>
    </row>
    <row r="651" ht="15" customHeight="1">
      <c r="A651" t="inlineStr">
        <is>
          <t>A 57381-2021</t>
        </is>
      </c>
      <c r="B651" s="1" t="n">
        <v>44483</v>
      </c>
      <c r="C651" s="1" t="n">
        <v>45728</v>
      </c>
      <c r="D651" t="inlineStr">
        <is>
          <t>JÄMTLANDS LÄN</t>
        </is>
      </c>
      <c r="E651" t="inlineStr">
        <is>
          <t>HÄRJEDALEN</t>
        </is>
      </c>
      <c r="G651" t="n">
        <v>17.9</v>
      </c>
      <c r="H651" t="n">
        <v>0</v>
      </c>
      <c r="I651" t="n">
        <v>0</v>
      </c>
      <c r="J651" t="n">
        <v>0</v>
      </c>
      <c r="K651" t="n">
        <v>0</v>
      </c>
      <c r="L651" t="n">
        <v>0</v>
      </c>
      <c r="M651" t="n">
        <v>0</v>
      </c>
      <c r="N651" t="n">
        <v>0</v>
      </c>
      <c r="O651" t="n">
        <v>0</v>
      </c>
      <c r="P651" t="n">
        <v>0</v>
      </c>
      <c r="Q651" t="n">
        <v>0</v>
      </c>
      <c r="R651" s="2" t="inlineStr"/>
    </row>
    <row r="652" ht="15" customHeight="1">
      <c r="A652" t="inlineStr">
        <is>
          <t>A 57256-2021</t>
        </is>
      </c>
      <c r="B652" s="1" t="n">
        <v>44483</v>
      </c>
      <c r="C652" s="1" t="n">
        <v>45728</v>
      </c>
      <c r="D652" t="inlineStr">
        <is>
          <t>JÄMTLANDS LÄN</t>
        </is>
      </c>
      <c r="E652" t="inlineStr">
        <is>
          <t>HÄRJEDALEN</t>
        </is>
      </c>
      <c r="G652" t="n">
        <v>4.5</v>
      </c>
      <c r="H652" t="n">
        <v>0</v>
      </c>
      <c r="I652" t="n">
        <v>0</v>
      </c>
      <c r="J652" t="n">
        <v>0</v>
      </c>
      <c r="K652" t="n">
        <v>0</v>
      </c>
      <c r="L652" t="n">
        <v>0</v>
      </c>
      <c r="M652" t="n">
        <v>0</v>
      </c>
      <c r="N652" t="n">
        <v>0</v>
      </c>
      <c r="O652" t="n">
        <v>0</v>
      </c>
      <c r="P652" t="n">
        <v>0</v>
      </c>
      <c r="Q652" t="n">
        <v>0</v>
      </c>
      <c r="R652" s="2" t="inlineStr"/>
    </row>
    <row r="653" ht="15" customHeight="1">
      <c r="A653" t="inlineStr">
        <is>
          <t>A 57373-2021</t>
        </is>
      </c>
      <c r="B653" s="1" t="n">
        <v>44483</v>
      </c>
      <c r="C653" s="1" t="n">
        <v>45728</v>
      </c>
      <c r="D653" t="inlineStr">
        <is>
          <t>JÄMTLANDS LÄN</t>
        </is>
      </c>
      <c r="E653" t="inlineStr">
        <is>
          <t>HÄRJEDALEN</t>
        </is>
      </c>
      <c r="G653" t="n">
        <v>10.8</v>
      </c>
      <c r="H653" t="n">
        <v>0</v>
      </c>
      <c r="I653" t="n">
        <v>0</v>
      </c>
      <c r="J653" t="n">
        <v>0</v>
      </c>
      <c r="K653" t="n">
        <v>0</v>
      </c>
      <c r="L653" t="n">
        <v>0</v>
      </c>
      <c r="M653" t="n">
        <v>0</v>
      </c>
      <c r="N653" t="n">
        <v>0</v>
      </c>
      <c r="O653" t="n">
        <v>0</v>
      </c>
      <c r="P653" t="n">
        <v>0</v>
      </c>
      <c r="Q653" t="n">
        <v>0</v>
      </c>
      <c r="R653" s="2" t="inlineStr"/>
    </row>
    <row r="654" ht="15" customHeight="1">
      <c r="A654" t="inlineStr">
        <is>
          <t>A 57755-2021</t>
        </is>
      </c>
      <c r="B654" s="1" t="n">
        <v>44484</v>
      </c>
      <c r="C654" s="1" t="n">
        <v>45728</v>
      </c>
      <c r="D654" t="inlineStr">
        <is>
          <t>JÄMTLANDS LÄN</t>
        </is>
      </c>
      <c r="E654" t="inlineStr">
        <is>
          <t>HÄRJEDALEN</t>
        </is>
      </c>
      <c r="G654" t="n">
        <v>3.9</v>
      </c>
      <c r="H654" t="n">
        <v>0</v>
      </c>
      <c r="I654" t="n">
        <v>0</v>
      </c>
      <c r="J654" t="n">
        <v>0</v>
      </c>
      <c r="K654" t="n">
        <v>0</v>
      </c>
      <c r="L654" t="n">
        <v>0</v>
      </c>
      <c r="M654" t="n">
        <v>0</v>
      </c>
      <c r="N654" t="n">
        <v>0</v>
      </c>
      <c r="O654" t="n">
        <v>0</v>
      </c>
      <c r="P654" t="n">
        <v>0</v>
      </c>
      <c r="Q654" t="n">
        <v>0</v>
      </c>
      <c r="R654" s="2" t="inlineStr"/>
    </row>
    <row r="655" ht="15" customHeight="1">
      <c r="A655" t="inlineStr">
        <is>
          <t>A 57782-2021</t>
        </is>
      </c>
      <c r="B655" s="1" t="n">
        <v>44484</v>
      </c>
      <c r="C655" s="1" t="n">
        <v>45728</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58451-2021</t>
        </is>
      </c>
      <c r="B656" s="1" t="n">
        <v>44488</v>
      </c>
      <c r="C656" s="1" t="n">
        <v>45728</v>
      </c>
      <c r="D656" t="inlineStr">
        <is>
          <t>JÄMTLANDS LÄN</t>
        </is>
      </c>
      <c r="E656" t="inlineStr">
        <is>
          <t>HÄRJEDALEN</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59928-2021</t>
        </is>
      </c>
      <c r="B657" s="1" t="n">
        <v>44494</v>
      </c>
      <c r="C657" s="1" t="n">
        <v>45728</v>
      </c>
      <c r="D657" t="inlineStr">
        <is>
          <t>JÄMTLANDS LÄN</t>
        </is>
      </c>
      <c r="E657" t="inlineStr">
        <is>
          <t>HÄRJEDALEN</t>
        </is>
      </c>
      <c r="G657" t="n">
        <v>28.6</v>
      </c>
      <c r="H657" t="n">
        <v>0</v>
      </c>
      <c r="I657" t="n">
        <v>0</v>
      </c>
      <c r="J657" t="n">
        <v>0</v>
      </c>
      <c r="K657" t="n">
        <v>0</v>
      </c>
      <c r="L657" t="n">
        <v>0</v>
      </c>
      <c r="M657" t="n">
        <v>0</v>
      </c>
      <c r="N657" t="n">
        <v>0</v>
      </c>
      <c r="O657" t="n">
        <v>0</v>
      </c>
      <c r="P657" t="n">
        <v>0</v>
      </c>
      <c r="Q657" t="n">
        <v>0</v>
      </c>
      <c r="R657" s="2" t="inlineStr"/>
    </row>
    <row r="658" ht="15" customHeight="1">
      <c r="A658" t="inlineStr">
        <is>
          <t>A 60841-2021</t>
        </is>
      </c>
      <c r="B658" s="1" t="n">
        <v>44497</v>
      </c>
      <c r="C658" s="1" t="n">
        <v>45728</v>
      </c>
      <c r="D658" t="inlineStr">
        <is>
          <t>JÄMTLANDS LÄN</t>
        </is>
      </c>
      <c r="E658" t="inlineStr">
        <is>
          <t>HÄRJEDALEN</t>
        </is>
      </c>
      <c r="G658" t="n">
        <v>1.7</v>
      </c>
      <c r="H658" t="n">
        <v>0</v>
      </c>
      <c r="I658" t="n">
        <v>0</v>
      </c>
      <c r="J658" t="n">
        <v>0</v>
      </c>
      <c r="K658" t="n">
        <v>0</v>
      </c>
      <c r="L658" t="n">
        <v>0</v>
      </c>
      <c r="M658" t="n">
        <v>0</v>
      </c>
      <c r="N658" t="n">
        <v>0</v>
      </c>
      <c r="O658" t="n">
        <v>0</v>
      </c>
      <c r="P658" t="n">
        <v>0</v>
      </c>
      <c r="Q658" t="n">
        <v>0</v>
      </c>
      <c r="R658" s="2" t="inlineStr"/>
    </row>
    <row r="659" ht="15" customHeight="1">
      <c r="A659" t="inlineStr">
        <is>
          <t>A 61547-2021</t>
        </is>
      </c>
      <c r="B659" s="1" t="n">
        <v>44501</v>
      </c>
      <c r="C659" s="1" t="n">
        <v>45728</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63774-2021</t>
        </is>
      </c>
      <c r="B660" s="1" t="n">
        <v>44508</v>
      </c>
      <c r="C660" s="1" t="n">
        <v>45728</v>
      </c>
      <c r="D660" t="inlineStr">
        <is>
          <t>JÄMTLANDS LÄN</t>
        </is>
      </c>
      <c r="E660" t="inlineStr">
        <is>
          <t>HÄRJEDALEN</t>
        </is>
      </c>
      <c r="F660" t="inlineStr">
        <is>
          <t>Holmen skog AB</t>
        </is>
      </c>
      <c r="G660" t="n">
        <v>14.8</v>
      </c>
      <c r="H660" t="n">
        <v>0</v>
      </c>
      <c r="I660" t="n">
        <v>0</v>
      </c>
      <c r="J660" t="n">
        <v>0</v>
      </c>
      <c r="K660" t="n">
        <v>0</v>
      </c>
      <c r="L660" t="n">
        <v>0</v>
      </c>
      <c r="M660" t="n">
        <v>0</v>
      </c>
      <c r="N660" t="n">
        <v>0</v>
      </c>
      <c r="O660" t="n">
        <v>0</v>
      </c>
      <c r="P660" t="n">
        <v>0</v>
      </c>
      <c r="Q660" t="n">
        <v>0</v>
      </c>
      <c r="R660" s="2" t="inlineStr"/>
    </row>
    <row r="661" ht="15" customHeight="1">
      <c r="A661" t="inlineStr">
        <is>
          <t>A 64937-2021</t>
        </is>
      </c>
      <c r="B661" s="1" t="n">
        <v>44512</v>
      </c>
      <c r="C661" s="1" t="n">
        <v>45728</v>
      </c>
      <c r="D661" t="inlineStr">
        <is>
          <t>JÄMTLANDS LÄN</t>
        </is>
      </c>
      <c r="E661" t="inlineStr">
        <is>
          <t>HÄRJEDALEN</t>
        </is>
      </c>
      <c r="G661" t="n">
        <v>7</v>
      </c>
      <c r="H661" t="n">
        <v>0</v>
      </c>
      <c r="I661" t="n">
        <v>0</v>
      </c>
      <c r="J661" t="n">
        <v>0</v>
      </c>
      <c r="K661" t="n">
        <v>0</v>
      </c>
      <c r="L661" t="n">
        <v>0</v>
      </c>
      <c r="M661" t="n">
        <v>0</v>
      </c>
      <c r="N661" t="n">
        <v>0</v>
      </c>
      <c r="O661" t="n">
        <v>0</v>
      </c>
      <c r="P661" t="n">
        <v>0</v>
      </c>
      <c r="Q661" t="n">
        <v>0</v>
      </c>
      <c r="R661" s="2" t="inlineStr"/>
    </row>
    <row r="662" ht="15" customHeight="1">
      <c r="A662" t="inlineStr">
        <is>
          <t>A 65125-2021</t>
        </is>
      </c>
      <c r="B662" s="1" t="n">
        <v>44515</v>
      </c>
      <c r="C662" s="1" t="n">
        <v>45728</v>
      </c>
      <c r="D662" t="inlineStr">
        <is>
          <t>JÄMTLANDS LÄN</t>
        </is>
      </c>
      <c r="E662" t="inlineStr">
        <is>
          <t>HÄRJEDALEN</t>
        </is>
      </c>
      <c r="F662" t="inlineStr">
        <is>
          <t>Bergvik skog väst AB</t>
        </is>
      </c>
      <c r="G662" t="n">
        <v>2.9</v>
      </c>
      <c r="H662" t="n">
        <v>0</v>
      </c>
      <c r="I662" t="n">
        <v>0</v>
      </c>
      <c r="J662" t="n">
        <v>0</v>
      </c>
      <c r="K662" t="n">
        <v>0</v>
      </c>
      <c r="L662" t="n">
        <v>0</v>
      </c>
      <c r="M662" t="n">
        <v>0</v>
      </c>
      <c r="N662" t="n">
        <v>0</v>
      </c>
      <c r="O662" t="n">
        <v>0</v>
      </c>
      <c r="P662" t="n">
        <v>0</v>
      </c>
      <c r="Q662" t="n">
        <v>0</v>
      </c>
      <c r="R662" s="2" t="inlineStr"/>
    </row>
    <row r="663" ht="15" customHeight="1">
      <c r="A663" t="inlineStr">
        <is>
          <t>A 65549-2021</t>
        </is>
      </c>
      <c r="B663" s="1" t="n">
        <v>44516</v>
      </c>
      <c r="C663" s="1" t="n">
        <v>45728</v>
      </c>
      <c r="D663" t="inlineStr">
        <is>
          <t>JÄMTLANDS LÄN</t>
        </is>
      </c>
      <c r="E663" t="inlineStr">
        <is>
          <t>HÄRJEDALEN</t>
        </is>
      </c>
      <c r="F663" t="inlineStr">
        <is>
          <t>Bergvik skog väst AB</t>
        </is>
      </c>
      <c r="G663" t="n">
        <v>7</v>
      </c>
      <c r="H663" t="n">
        <v>0</v>
      </c>
      <c r="I663" t="n">
        <v>0</v>
      </c>
      <c r="J663" t="n">
        <v>0</v>
      </c>
      <c r="K663" t="n">
        <v>0</v>
      </c>
      <c r="L663" t="n">
        <v>0</v>
      </c>
      <c r="M663" t="n">
        <v>0</v>
      </c>
      <c r="N663" t="n">
        <v>0</v>
      </c>
      <c r="O663" t="n">
        <v>0</v>
      </c>
      <c r="P663" t="n">
        <v>0</v>
      </c>
      <c r="Q663" t="n">
        <v>0</v>
      </c>
      <c r="R663" s="2" t="inlineStr"/>
    </row>
    <row r="664" ht="15" customHeight="1">
      <c r="A664" t="inlineStr">
        <is>
          <t>A 68858-2021</t>
        </is>
      </c>
      <c r="B664" s="1" t="n">
        <v>44530</v>
      </c>
      <c r="C664" s="1" t="n">
        <v>45728</v>
      </c>
      <c r="D664" t="inlineStr">
        <is>
          <t>JÄMTLANDS LÄN</t>
        </is>
      </c>
      <c r="E664" t="inlineStr">
        <is>
          <t>HÄRJEDALEN</t>
        </is>
      </c>
      <c r="G664" t="n">
        <v>0.9</v>
      </c>
      <c r="H664" t="n">
        <v>0</v>
      </c>
      <c r="I664" t="n">
        <v>0</v>
      </c>
      <c r="J664" t="n">
        <v>0</v>
      </c>
      <c r="K664" t="n">
        <v>0</v>
      </c>
      <c r="L664" t="n">
        <v>0</v>
      </c>
      <c r="M664" t="n">
        <v>0</v>
      </c>
      <c r="N664" t="n">
        <v>0</v>
      </c>
      <c r="O664" t="n">
        <v>0</v>
      </c>
      <c r="P664" t="n">
        <v>0</v>
      </c>
      <c r="Q664" t="n">
        <v>0</v>
      </c>
      <c r="R664" s="2" t="inlineStr"/>
    </row>
    <row r="665" ht="15" customHeight="1">
      <c r="A665" t="inlineStr">
        <is>
          <t>A 69271-2021</t>
        </is>
      </c>
      <c r="B665" s="1" t="n">
        <v>44531</v>
      </c>
      <c r="C665" s="1" t="n">
        <v>45728</v>
      </c>
      <c r="D665" t="inlineStr">
        <is>
          <t>JÄMTLANDS LÄN</t>
        </is>
      </c>
      <c r="E665" t="inlineStr">
        <is>
          <t>HÄRJEDALEN</t>
        </is>
      </c>
      <c r="F665" t="inlineStr">
        <is>
          <t>Bergvik skog väst AB</t>
        </is>
      </c>
      <c r="G665" t="n">
        <v>6.3</v>
      </c>
      <c r="H665" t="n">
        <v>0</v>
      </c>
      <c r="I665" t="n">
        <v>0</v>
      </c>
      <c r="J665" t="n">
        <v>0</v>
      </c>
      <c r="K665" t="n">
        <v>0</v>
      </c>
      <c r="L665" t="n">
        <v>0</v>
      </c>
      <c r="M665" t="n">
        <v>0</v>
      </c>
      <c r="N665" t="n">
        <v>0</v>
      </c>
      <c r="O665" t="n">
        <v>0</v>
      </c>
      <c r="P665" t="n">
        <v>0</v>
      </c>
      <c r="Q665" t="n">
        <v>0</v>
      </c>
      <c r="R665" s="2" t="inlineStr"/>
    </row>
    <row r="666" ht="15" customHeight="1">
      <c r="A666" t="inlineStr">
        <is>
          <t>A 69501-2021</t>
        </is>
      </c>
      <c r="B666" s="1" t="n">
        <v>44531</v>
      </c>
      <c r="C666" s="1" t="n">
        <v>45728</v>
      </c>
      <c r="D666" t="inlineStr">
        <is>
          <t>JÄMTLANDS LÄN</t>
        </is>
      </c>
      <c r="E666" t="inlineStr">
        <is>
          <t>HÄRJEDALEN</t>
        </is>
      </c>
      <c r="G666" t="n">
        <v>1.9</v>
      </c>
      <c r="H666" t="n">
        <v>0</v>
      </c>
      <c r="I666" t="n">
        <v>0</v>
      </c>
      <c r="J666" t="n">
        <v>0</v>
      </c>
      <c r="K666" t="n">
        <v>0</v>
      </c>
      <c r="L666" t="n">
        <v>0</v>
      </c>
      <c r="M666" t="n">
        <v>0</v>
      </c>
      <c r="N666" t="n">
        <v>0</v>
      </c>
      <c r="O666" t="n">
        <v>0</v>
      </c>
      <c r="P666" t="n">
        <v>0</v>
      </c>
      <c r="Q666" t="n">
        <v>0</v>
      </c>
      <c r="R666" s="2" t="inlineStr"/>
    </row>
    <row r="667" ht="15" customHeight="1">
      <c r="A667" t="inlineStr">
        <is>
          <t>A 69490-2021</t>
        </is>
      </c>
      <c r="B667" s="1" t="n">
        <v>44531</v>
      </c>
      <c r="C667" s="1" t="n">
        <v>45728</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69504-2021</t>
        </is>
      </c>
      <c r="B668" s="1" t="n">
        <v>44531</v>
      </c>
      <c r="C668" s="1" t="n">
        <v>45728</v>
      </c>
      <c r="D668" t="inlineStr">
        <is>
          <t>JÄMTLANDS LÄN</t>
        </is>
      </c>
      <c r="E668" t="inlineStr">
        <is>
          <t>HÄRJEDALEN</t>
        </is>
      </c>
      <c r="G668" t="n">
        <v>11.5</v>
      </c>
      <c r="H668" t="n">
        <v>0</v>
      </c>
      <c r="I668" t="n">
        <v>0</v>
      </c>
      <c r="J668" t="n">
        <v>0</v>
      </c>
      <c r="K668" t="n">
        <v>0</v>
      </c>
      <c r="L668" t="n">
        <v>0</v>
      </c>
      <c r="M668" t="n">
        <v>0</v>
      </c>
      <c r="N668" t="n">
        <v>0</v>
      </c>
      <c r="O668" t="n">
        <v>0</v>
      </c>
      <c r="P668" t="n">
        <v>0</v>
      </c>
      <c r="Q668" t="n">
        <v>0</v>
      </c>
      <c r="R668" s="2" t="inlineStr"/>
    </row>
    <row r="669" ht="15" customHeight="1">
      <c r="A669" t="inlineStr">
        <is>
          <t>A 69499-2021</t>
        </is>
      </c>
      <c r="B669" s="1" t="n">
        <v>44531</v>
      </c>
      <c r="C669" s="1" t="n">
        <v>45728</v>
      </c>
      <c r="D669" t="inlineStr">
        <is>
          <t>JÄMTLANDS LÄN</t>
        </is>
      </c>
      <c r="E669" t="inlineStr">
        <is>
          <t>HÄRJEDALEN</t>
        </is>
      </c>
      <c r="G669" t="n">
        <v>7.5</v>
      </c>
      <c r="H669" t="n">
        <v>0</v>
      </c>
      <c r="I669" t="n">
        <v>0</v>
      </c>
      <c r="J669" t="n">
        <v>0</v>
      </c>
      <c r="K669" t="n">
        <v>0</v>
      </c>
      <c r="L669" t="n">
        <v>0</v>
      </c>
      <c r="M669" t="n">
        <v>0</v>
      </c>
      <c r="N669" t="n">
        <v>0</v>
      </c>
      <c r="O669" t="n">
        <v>0</v>
      </c>
      <c r="P669" t="n">
        <v>0</v>
      </c>
      <c r="Q669" t="n">
        <v>0</v>
      </c>
      <c r="R669" s="2" t="inlineStr"/>
    </row>
    <row r="670" ht="15" customHeight="1">
      <c r="A670" t="inlineStr">
        <is>
          <t>A 71649-2021</t>
        </is>
      </c>
      <c r="B670" s="1" t="n">
        <v>44538</v>
      </c>
      <c r="C670" s="1" t="n">
        <v>45728</v>
      </c>
      <c r="D670" t="inlineStr">
        <is>
          <t>JÄMTLANDS LÄN</t>
        </is>
      </c>
      <c r="E670" t="inlineStr">
        <is>
          <t>HÄRJEDALEN</t>
        </is>
      </c>
      <c r="F670" t="inlineStr">
        <is>
          <t>Övriga statliga verk och myndigheter</t>
        </is>
      </c>
      <c r="G670" t="n">
        <v>3.7</v>
      </c>
      <c r="H670" t="n">
        <v>0</v>
      </c>
      <c r="I670" t="n">
        <v>0</v>
      </c>
      <c r="J670" t="n">
        <v>0</v>
      </c>
      <c r="K670" t="n">
        <v>0</v>
      </c>
      <c r="L670" t="n">
        <v>0</v>
      </c>
      <c r="M670" t="n">
        <v>0</v>
      </c>
      <c r="N670" t="n">
        <v>0</v>
      </c>
      <c r="O670" t="n">
        <v>0</v>
      </c>
      <c r="P670" t="n">
        <v>0</v>
      </c>
      <c r="Q670" t="n">
        <v>0</v>
      </c>
      <c r="R670" s="2" t="inlineStr"/>
    </row>
    <row r="671" ht="15" customHeight="1">
      <c r="A671" t="inlineStr">
        <is>
          <t>A 71668-2021</t>
        </is>
      </c>
      <c r="B671" s="1" t="n">
        <v>44538</v>
      </c>
      <c r="C671" s="1" t="n">
        <v>45728</v>
      </c>
      <c r="D671" t="inlineStr">
        <is>
          <t>JÄMTLANDS LÄN</t>
        </is>
      </c>
      <c r="E671" t="inlineStr">
        <is>
          <t>HÄRJEDALEN</t>
        </is>
      </c>
      <c r="F671" t="inlineStr">
        <is>
          <t>Övriga statliga verk och myndigheter</t>
        </is>
      </c>
      <c r="G671" t="n">
        <v>3.1</v>
      </c>
      <c r="H671" t="n">
        <v>0</v>
      </c>
      <c r="I671" t="n">
        <v>0</v>
      </c>
      <c r="J671" t="n">
        <v>0</v>
      </c>
      <c r="K671" t="n">
        <v>0</v>
      </c>
      <c r="L671" t="n">
        <v>0</v>
      </c>
      <c r="M671" t="n">
        <v>0</v>
      </c>
      <c r="N671" t="n">
        <v>0</v>
      </c>
      <c r="O671" t="n">
        <v>0</v>
      </c>
      <c r="P671" t="n">
        <v>0</v>
      </c>
      <c r="Q671" t="n">
        <v>0</v>
      </c>
      <c r="R671" s="2" t="inlineStr"/>
    </row>
    <row r="672" ht="15" customHeight="1">
      <c r="A672" t="inlineStr">
        <is>
          <t>A 71638-2021</t>
        </is>
      </c>
      <c r="B672" s="1" t="n">
        <v>44538</v>
      </c>
      <c r="C672" s="1" t="n">
        <v>45728</v>
      </c>
      <c r="D672" t="inlineStr">
        <is>
          <t>JÄMTLANDS LÄN</t>
        </is>
      </c>
      <c r="E672" t="inlineStr">
        <is>
          <t>HÄRJEDALEN</t>
        </is>
      </c>
      <c r="F672" t="inlineStr">
        <is>
          <t>Övriga statliga verk och myndigheter</t>
        </is>
      </c>
      <c r="G672" t="n">
        <v>1.2</v>
      </c>
      <c r="H672" t="n">
        <v>0</v>
      </c>
      <c r="I672" t="n">
        <v>0</v>
      </c>
      <c r="J672" t="n">
        <v>0</v>
      </c>
      <c r="K672" t="n">
        <v>0</v>
      </c>
      <c r="L672" t="n">
        <v>0</v>
      </c>
      <c r="M672" t="n">
        <v>0</v>
      </c>
      <c r="N672" t="n">
        <v>0</v>
      </c>
      <c r="O672" t="n">
        <v>0</v>
      </c>
      <c r="P672" t="n">
        <v>0</v>
      </c>
      <c r="Q672" t="n">
        <v>0</v>
      </c>
      <c r="R672" s="2" t="inlineStr"/>
    </row>
    <row r="673" ht="15" customHeight="1">
      <c r="A673" t="inlineStr">
        <is>
          <t>A 71493-2021</t>
        </is>
      </c>
      <c r="B673" s="1" t="n">
        <v>44540</v>
      </c>
      <c r="C673" s="1" t="n">
        <v>45728</v>
      </c>
      <c r="D673" t="inlineStr">
        <is>
          <t>JÄMTLANDS LÄN</t>
        </is>
      </c>
      <c r="E673" t="inlineStr">
        <is>
          <t>HÄRJEDALEN</t>
        </is>
      </c>
      <c r="G673" t="n">
        <v>0.4</v>
      </c>
      <c r="H673" t="n">
        <v>0</v>
      </c>
      <c r="I673" t="n">
        <v>0</v>
      </c>
      <c r="J673" t="n">
        <v>0</v>
      </c>
      <c r="K673" t="n">
        <v>0</v>
      </c>
      <c r="L673" t="n">
        <v>0</v>
      </c>
      <c r="M673" t="n">
        <v>0</v>
      </c>
      <c r="N673" t="n">
        <v>0</v>
      </c>
      <c r="O673" t="n">
        <v>0</v>
      </c>
      <c r="P673" t="n">
        <v>0</v>
      </c>
      <c r="Q673" t="n">
        <v>0</v>
      </c>
      <c r="R673" s="2" t="inlineStr"/>
    </row>
    <row r="674" ht="15" customHeight="1">
      <c r="A674" t="inlineStr">
        <is>
          <t>A 71467-2021</t>
        </is>
      </c>
      <c r="B674" s="1" t="n">
        <v>44540</v>
      </c>
      <c r="C674" s="1" t="n">
        <v>45728</v>
      </c>
      <c r="D674" t="inlineStr">
        <is>
          <t>JÄMTLANDS LÄN</t>
        </is>
      </c>
      <c r="E674" t="inlineStr">
        <is>
          <t>HÄRJEDALEN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71501-2021</t>
        </is>
      </c>
      <c r="B675" s="1" t="n">
        <v>44540</v>
      </c>
      <c r="C675" s="1" t="n">
        <v>45728</v>
      </c>
      <c r="D675" t="inlineStr">
        <is>
          <t>JÄMTLANDS LÄN</t>
        </is>
      </c>
      <c r="E675" t="inlineStr">
        <is>
          <t>HÄRJEDALEN</t>
        </is>
      </c>
      <c r="G675" t="n">
        <v>2.4</v>
      </c>
      <c r="H675" t="n">
        <v>0</v>
      </c>
      <c r="I675" t="n">
        <v>0</v>
      </c>
      <c r="J675" t="n">
        <v>0</v>
      </c>
      <c r="K675" t="n">
        <v>0</v>
      </c>
      <c r="L675" t="n">
        <v>0</v>
      </c>
      <c r="M675" t="n">
        <v>0</v>
      </c>
      <c r="N675" t="n">
        <v>0</v>
      </c>
      <c r="O675" t="n">
        <v>0</v>
      </c>
      <c r="P675" t="n">
        <v>0</v>
      </c>
      <c r="Q675" t="n">
        <v>0</v>
      </c>
      <c r="R675" s="2" t="inlineStr"/>
    </row>
    <row r="676" ht="15" customHeight="1">
      <c r="A676" t="inlineStr">
        <is>
          <t>A 71864-2021</t>
        </is>
      </c>
      <c r="B676" s="1" t="n">
        <v>44543</v>
      </c>
      <c r="C676" s="1" t="n">
        <v>45728</v>
      </c>
      <c r="D676" t="inlineStr">
        <is>
          <t>JÄMTLANDS LÄN</t>
        </is>
      </c>
      <c r="E676" t="inlineStr">
        <is>
          <t>HÄRJEDALEN</t>
        </is>
      </c>
      <c r="F676" t="inlineStr">
        <is>
          <t>Holmen skog AB</t>
        </is>
      </c>
      <c r="G676" t="n">
        <v>0.2</v>
      </c>
      <c r="H676" t="n">
        <v>0</v>
      </c>
      <c r="I676" t="n">
        <v>0</v>
      </c>
      <c r="J676" t="n">
        <v>0</v>
      </c>
      <c r="K676" t="n">
        <v>0</v>
      </c>
      <c r="L676" t="n">
        <v>0</v>
      </c>
      <c r="M676" t="n">
        <v>0</v>
      </c>
      <c r="N676" t="n">
        <v>0</v>
      </c>
      <c r="O676" t="n">
        <v>0</v>
      </c>
      <c r="P676" t="n">
        <v>0</v>
      </c>
      <c r="Q676" t="n">
        <v>0</v>
      </c>
      <c r="R676" s="2" t="inlineStr"/>
    </row>
    <row r="677" ht="15" customHeight="1">
      <c r="A677" t="inlineStr">
        <is>
          <t>A 71756-2021</t>
        </is>
      </c>
      <c r="B677" s="1" t="n">
        <v>44543</v>
      </c>
      <c r="C677" s="1" t="n">
        <v>45728</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71989-2021</t>
        </is>
      </c>
      <c r="B678" s="1" t="n">
        <v>44544</v>
      </c>
      <c r="C678" s="1" t="n">
        <v>45728</v>
      </c>
      <c r="D678" t="inlineStr">
        <is>
          <t>JÄMTLANDS LÄN</t>
        </is>
      </c>
      <c r="E678" t="inlineStr">
        <is>
          <t>HÄRJEDALEN</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72374-2021</t>
        </is>
      </c>
      <c r="B679" s="1" t="n">
        <v>44545</v>
      </c>
      <c r="C679" s="1" t="n">
        <v>45728</v>
      </c>
      <c r="D679" t="inlineStr">
        <is>
          <t>JÄMTLANDS LÄN</t>
        </is>
      </c>
      <c r="E679" t="inlineStr">
        <is>
          <t>HÄRJEDALEN</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72790-2021</t>
        </is>
      </c>
      <c r="B680" s="1" t="n">
        <v>44547</v>
      </c>
      <c r="C680" s="1" t="n">
        <v>45728</v>
      </c>
      <c r="D680" t="inlineStr">
        <is>
          <t>JÄMTLANDS LÄN</t>
        </is>
      </c>
      <c r="E680" t="inlineStr">
        <is>
          <t>HÄRJEDALEN</t>
        </is>
      </c>
      <c r="F680" t="inlineStr">
        <is>
          <t>Holmen skog AB</t>
        </is>
      </c>
      <c r="G680" t="n">
        <v>3.1</v>
      </c>
      <c r="H680" t="n">
        <v>0</v>
      </c>
      <c r="I680" t="n">
        <v>0</v>
      </c>
      <c r="J680" t="n">
        <v>0</v>
      </c>
      <c r="K680" t="n">
        <v>0</v>
      </c>
      <c r="L680" t="n">
        <v>0</v>
      </c>
      <c r="M680" t="n">
        <v>0</v>
      </c>
      <c r="N680" t="n">
        <v>0</v>
      </c>
      <c r="O680" t="n">
        <v>0</v>
      </c>
      <c r="P680" t="n">
        <v>0</v>
      </c>
      <c r="Q680" t="n">
        <v>0</v>
      </c>
      <c r="R680" s="2" t="inlineStr"/>
    </row>
    <row r="681" ht="15" customHeight="1">
      <c r="A681" t="inlineStr">
        <is>
          <t>A 73051-2021</t>
        </is>
      </c>
      <c r="B681" s="1" t="n">
        <v>44550</v>
      </c>
      <c r="C681" s="1" t="n">
        <v>45728</v>
      </c>
      <c r="D681" t="inlineStr">
        <is>
          <t>JÄMTLANDS LÄN</t>
        </is>
      </c>
      <c r="E681" t="inlineStr">
        <is>
          <t>HÄRJEDALEN</t>
        </is>
      </c>
      <c r="G681" t="n">
        <v>3.7</v>
      </c>
      <c r="H681" t="n">
        <v>0</v>
      </c>
      <c r="I681" t="n">
        <v>0</v>
      </c>
      <c r="J681" t="n">
        <v>0</v>
      </c>
      <c r="K681" t="n">
        <v>0</v>
      </c>
      <c r="L681" t="n">
        <v>0</v>
      </c>
      <c r="M681" t="n">
        <v>0</v>
      </c>
      <c r="N681" t="n">
        <v>0</v>
      </c>
      <c r="O681" t="n">
        <v>0</v>
      </c>
      <c r="P681" t="n">
        <v>0</v>
      </c>
      <c r="Q681" t="n">
        <v>0</v>
      </c>
      <c r="R681" s="2" t="inlineStr"/>
    </row>
    <row r="682" ht="15" customHeight="1">
      <c r="A682" t="inlineStr">
        <is>
          <t>A 73211-2021</t>
        </is>
      </c>
      <c r="B682" s="1" t="n">
        <v>44550</v>
      </c>
      <c r="C682" s="1" t="n">
        <v>45728</v>
      </c>
      <c r="D682" t="inlineStr">
        <is>
          <t>JÄMTLANDS LÄN</t>
        </is>
      </c>
      <c r="E682" t="inlineStr">
        <is>
          <t>HÄRJEDALEN</t>
        </is>
      </c>
      <c r="G682" t="n">
        <v>0.8</v>
      </c>
      <c r="H682" t="n">
        <v>0</v>
      </c>
      <c r="I682" t="n">
        <v>0</v>
      </c>
      <c r="J682" t="n">
        <v>0</v>
      </c>
      <c r="K682" t="n">
        <v>0</v>
      </c>
      <c r="L682" t="n">
        <v>0</v>
      </c>
      <c r="M682" t="n">
        <v>0</v>
      </c>
      <c r="N682" t="n">
        <v>0</v>
      </c>
      <c r="O682" t="n">
        <v>0</v>
      </c>
      <c r="P682" t="n">
        <v>0</v>
      </c>
      <c r="Q682" t="n">
        <v>0</v>
      </c>
      <c r="R682" s="2" t="inlineStr"/>
    </row>
    <row r="683" ht="15" customHeight="1">
      <c r="A683" t="inlineStr">
        <is>
          <t>A 73573-2021</t>
        </is>
      </c>
      <c r="B683" s="1" t="n">
        <v>44552</v>
      </c>
      <c r="C683" s="1" t="n">
        <v>45728</v>
      </c>
      <c r="D683" t="inlineStr">
        <is>
          <t>JÄMTLANDS LÄN</t>
        </is>
      </c>
      <c r="E683" t="inlineStr">
        <is>
          <t>HÄRJEDALEN</t>
        </is>
      </c>
      <c r="F683" t="inlineStr">
        <is>
          <t>Holmen skog AB</t>
        </is>
      </c>
      <c r="G683" t="n">
        <v>10.5</v>
      </c>
      <c r="H683" t="n">
        <v>0</v>
      </c>
      <c r="I683" t="n">
        <v>0</v>
      </c>
      <c r="J683" t="n">
        <v>0</v>
      </c>
      <c r="K683" t="n">
        <v>0</v>
      </c>
      <c r="L683" t="n">
        <v>0</v>
      </c>
      <c r="M683" t="n">
        <v>0</v>
      </c>
      <c r="N683" t="n">
        <v>0</v>
      </c>
      <c r="O683" t="n">
        <v>0</v>
      </c>
      <c r="P683" t="n">
        <v>0</v>
      </c>
      <c r="Q683" t="n">
        <v>0</v>
      </c>
      <c r="R683" s="2" t="inlineStr"/>
    </row>
    <row r="684" ht="15" customHeight="1">
      <c r="A684" t="inlineStr">
        <is>
          <t>A 197-2022</t>
        </is>
      </c>
      <c r="B684" s="1" t="n">
        <v>44564</v>
      </c>
      <c r="C684" s="1" t="n">
        <v>45728</v>
      </c>
      <c r="D684" t="inlineStr">
        <is>
          <t>JÄMTLANDS LÄN</t>
        </is>
      </c>
      <c r="E684" t="inlineStr">
        <is>
          <t>HÄRJEDALEN</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241-2022</t>
        </is>
      </c>
      <c r="B685" s="1" t="n">
        <v>44565</v>
      </c>
      <c r="C685" s="1" t="n">
        <v>45728</v>
      </c>
      <c r="D685" t="inlineStr">
        <is>
          <t>JÄMTLANDS LÄN</t>
        </is>
      </c>
      <c r="E685" t="inlineStr">
        <is>
          <t>HÄRJEDALEN</t>
        </is>
      </c>
      <c r="F685" t="inlineStr">
        <is>
          <t>Övriga Aktiebolag</t>
        </is>
      </c>
      <c r="G685" t="n">
        <v>16.5</v>
      </c>
      <c r="H685" t="n">
        <v>0</v>
      </c>
      <c r="I685" t="n">
        <v>0</v>
      </c>
      <c r="J685" t="n">
        <v>0</v>
      </c>
      <c r="K685" t="n">
        <v>0</v>
      </c>
      <c r="L685" t="n">
        <v>0</v>
      </c>
      <c r="M685" t="n">
        <v>0</v>
      </c>
      <c r="N685" t="n">
        <v>0</v>
      </c>
      <c r="O685" t="n">
        <v>0</v>
      </c>
      <c r="P685" t="n">
        <v>0</v>
      </c>
      <c r="Q685" t="n">
        <v>0</v>
      </c>
      <c r="R685" s="2" t="inlineStr"/>
    </row>
    <row r="686" ht="15" customHeight="1">
      <c r="A686" t="inlineStr">
        <is>
          <t>A 239-2022</t>
        </is>
      </c>
      <c r="B686" s="1" t="n">
        <v>44565</v>
      </c>
      <c r="C686" s="1" t="n">
        <v>45728</v>
      </c>
      <c r="D686" t="inlineStr">
        <is>
          <t>JÄMTLANDS LÄN</t>
        </is>
      </c>
      <c r="E686" t="inlineStr">
        <is>
          <t>HÄRJEDALEN</t>
        </is>
      </c>
      <c r="F686" t="inlineStr">
        <is>
          <t>Övriga Aktiebolag</t>
        </is>
      </c>
      <c r="G686" t="n">
        <v>4.3</v>
      </c>
      <c r="H686" t="n">
        <v>0</v>
      </c>
      <c r="I686" t="n">
        <v>0</v>
      </c>
      <c r="J686" t="n">
        <v>0</v>
      </c>
      <c r="K686" t="n">
        <v>0</v>
      </c>
      <c r="L686" t="n">
        <v>0</v>
      </c>
      <c r="M686" t="n">
        <v>0</v>
      </c>
      <c r="N686" t="n">
        <v>0</v>
      </c>
      <c r="O686" t="n">
        <v>0</v>
      </c>
      <c r="P686" t="n">
        <v>0</v>
      </c>
      <c r="Q686" t="n">
        <v>0</v>
      </c>
      <c r="R686" s="2" t="inlineStr"/>
    </row>
    <row r="687" ht="15" customHeight="1">
      <c r="A687" t="inlineStr">
        <is>
          <t>A 240-2022</t>
        </is>
      </c>
      <c r="B687" s="1" t="n">
        <v>44565</v>
      </c>
      <c r="C687" s="1" t="n">
        <v>45728</v>
      </c>
      <c r="D687" t="inlineStr">
        <is>
          <t>JÄMTLANDS LÄN</t>
        </is>
      </c>
      <c r="E687" t="inlineStr">
        <is>
          <t>HÄRJEDALEN</t>
        </is>
      </c>
      <c r="F687" t="inlineStr">
        <is>
          <t>Övriga Aktiebolag</t>
        </is>
      </c>
      <c r="G687" t="n">
        <v>53.9</v>
      </c>
      <c r="H687" t="n">
        <v>0</v>
      </c>
      <c r="I687" t="n">
        <v>0</v>
      </c>
      <c r="J687" t="n">
        <v>0</v>
      </c>
      <c r="K687" t="n">
        <v>0</v>
      </c>
      <c r="L687" t="n">
        <v>0</v>
      </c>
      <c r="M687" t="n">
        <v>0</v>
      </c>
      <c r="N687" t="n">
        <v>0</v>
      </c>
      <c r="O687" t="n">
        <v>0</v>
      </c>
      <c r="P687" t="n">
        <v>0</v>
      </c>
      <c r="Q687" t="n">
        <v>0</v>
      </c>
      <c r="R687" s="2" t="inlineStr"/>
    </row>
    <row r="688" ht="15" customHeight="1">
      <c r="A688" t="inlineStr">
        <is>
          <t>A 537-2022</t>
        </is>
      </c>
      <c r="B688" s="1" t="n">
        <v>44566</v>
      </c>
      <c r="C688" s="1" t="n">
        <v>45728</v>
      </c>
      <c r="D688" t="inlineStr">
        <is>
          <t>JÄMTLANDS LÄN</t>
        </is>
      </c>
      <c r="E688" t="inlineStr">
        <is>
          <t>HÄRJEDALEN</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859-2022</t>
        </is>
      </c>
      <c r="B689" s="1" t="n">
        <v>44571</v>
      </c>
      <c r="C689" s="1" t="n">
        <v>45728</v>
      </c>
      <c r="D689" t="inlineStr">
        <is>
          <t>JÄMTLANDS LÄN</t>
        </is>
      </c>
      <c r="E689" t="inlineStr">
        <is>
          <t>HÄRJEDALEN</t>
        </is>
      </c>
      <c r="G689" t="n">
        <v>16.9</v>
      </c>
      <c r="H689" t="n">
        <v>0</v>
      </c>
      <c r="I689" t="n">
        <v>0</v>
      </c>
      <c r="J689" t="n">
        <v>0</v>
      </c>
      <c r="K689" t="n">
        <v>0</v>
      </c>
      <c r="L689" t="n">
        <v>0</v>
      </c>
      <c r="M689" t="n">
        <v>0</v>
      </c>
      <c r="N689" t="n">
        <v>0</v>
      </c>
      <c r="O689" t="n">
        <v>0</v>
      </c>
      <c r="P689" t="n">
        <v>0</v>
      </c>
      <c r="Q689" t="n">
        <v>0</v>
      </c>
      <c r="R689" s="2" t="inlineStr"/>
    </row>
    <row r="690" ht="15" customHeight="1">
      <c r="A690" t="inlineStr">
        <is>
          <t>A 2846-2022</t>
        </is>
      </c>
      <c r="B690" s="1" t="n">
        <v>44581</v>
      </c>
      <c r="C690" s="1" t="n">
        <v>45728</v>
      </c>
      <c r="D690" t="inlineStr">
        <is>
          <t>JÄMTLANDS LÄN</t>
        </is>
      </c>
      <c r="E690" t="inlineStr">
        <is>
          <t>HÄRJEDALEN</t>
        </is>
      </c>
      <c r="G690" t="n">
        <v>15.2</v>
      </c>
      <c r="H690" t="n">
        <v>0</v>
      </c>
      <c r="I690" t="n">
        <v>0</v>
      </c>
      <c r="J690" t="n">
        <v>0</v>
      </c>
      <c r="K690" t="n">
        <v>0</v>
      </c>
      <c r="L690" t="n">
        <v>0</v>
      </c>
      <c r="M690" t="n">
        <v>0</v>
      </c>
      <c r="N690" t="n">
        <v>0</v>
      </c>
      <c r="O690" t="n">
        <v>0</v>
      </c>
      <c r="P690" t="n">
        <v>0</v>
      </c>
      <c r="Q690" t="n">
        <v>0</v>
      </c>
      <c r="R690" s="2" t="inlineStr"/>
    </row>
    <row r="691" ht="15" customHeight="1">
      <c r="A691" t="inlineStr">
        <is>
          <t>A 3163-2022</t>
        </is>
      </c>
      <c r="B691" s="1" t="n">
        <v>44582</v>
      </c>
      <c r="C691" s="1" t="n">
        <v>45728</v>
      </c>
      <c r="D691" t="inlineStr">
        <is>
          <t>JÄMTLANDS LÄN</t>
        </is>
      </c>
      <c r="E691" t="inlineStr">
        <is>
          <t>HÄRJEDALEN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3373-2022</t>
        </is>
      </c>
      <c r="B692" s="1" t="n">
        <v>44585</v>
      </c>
      <c r="C692" s="1" t="n">
        <v>45728</v>
      </c>
      <c r="D692" t="inlineStr">
        <is>
          <t>JÄMTLANDS LÄN</t>
        </is>
      </c>
      <c r="E692" t="inlineStr">
        <is>
          <t>HÄRJEDALEN</t>
        </is>
      </c>
      <c r="G692" t="n">
        <v>7.4</v>
      </c>
      <c r="H692" t="n">
        <v>0</v>
      </c>
      <c r="I692" t="n">
        <v>0</v>
      </c>
      <c r="J692" t="n">
        <v>0</v>
      </c>
      <c r="K692" t="n">
        <v>0</v>
      </c>
      <c r="L692" t="n">
        <v>0</v>
      </c>
      <c r="M692" t="n">
        <v>0</v>
      </c>
      <c r="N692" t="n">
        <v>0</v>
      </c>
      <c r="O692" t="n">
        <v>0</v>
      </c>
      <c r="P692" t="n">
        <v>0</v>
      </c>
      <c r="Q692" t="n">
        <v>0</v>
      </c>
      <c r="R692" s="2" t="inlineStr"/>
    </row>
    <row r="693" ht="15" customHeight="1">
      <c r="A693" t="inlineStr">
        <is>
          <t>A 4487-2022</t>
        </is>
      </c>
      <c r="B693" s="1" t="n">
        <v>44589</v>
      </c>
      <c r="C693" s="1" t="n">
        <v>45728</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4914-2022</t>
        </is>
      </c>
      <c r="B694" s="1" t="n">
        <v>44593</v>
      </c>
      <c r="C694" s="1" t="n">
        <v>45728</v>
      </c>
      <c r="D694" t="inlineStr">
        <is>
          <t>JÄMTLANDS LÄN</t>
        </is>
      </c>
      <c r="E694" t="inlineStr">
        <is>
          <t>HÄRJEDALEN</t>
        </is>
      </c>
      <c r="F694" t="inlineStr">
        <is>
          <t>Sveaskog</t>
        </is>
      </c>
      <c r="G694" t="n">
        <v>7.7</v>
      </c>
      <c r="H694" t="n">
        <v>0</v>
      </c>
      <c r="I694" t="n">
        <v>0</v>
      </c>
      <c r="J694" t="n">
        <v>0</v>
      </c>
      <c r="K694" t="n">
        <v>0</v>
      </c>
      <c r="L694" t="n">
        <v>0</v>
      </c>
      <c r="M694" t="n">
        <v>0</v>
      </c>
      <c r="N694" t="n">
        <v>0</v>
      </c>
      <c r="O694" t="n">
        <v>0</v>
      </c>
      <c r="P694" t="n">
        <v>0</v>
      </c>
      <c r="Q694" t="n">
        <v>0</v>
      </c>
      <c r="R694" s="2" t="inlineStr"/>
    </row>
    <row r="695" ht="15" customHeight="1">
      <c r="A695" t="inlineStr">
        <is>
          <t>A 6309-2022</t>
        </is>
      </c>
      <c r="B695" s="1" t="n">
        <v>44600</v>
      </c>
      <c r="C695" s="1" t="n">
        <v>45728</v>
      </c>
      <c r="D695" t="inlineStr">
        <is>
          <t>JÄMTLANDS LÄN</t>
        </is>
      </c>
      <c r="E695" t="inlineStr">
        <is>
          <t>HÄRJEDALEN</t>
        </is>
      </c>
      <c r="G695" t="n">
        <v>38.2</v>
      </c>
      <c r="H695" t="n">
        <v>0</v>
      </c>
      <c r="I695" t="n">
        <v>0</v>
      </c>
      <c r="J695" t="n">
        <v>0</v>
      </c>
      <c r="K695" t="n">
        <v>0</v>
      </c>
      <c r="L695" t="n">
        <v>0</v>
      </c>
      <c r="M695" t="n">
        <v>0</v>
      </c>
      <c r="N695" t="n">
        <v>0</v>
      </c>
      <c r="O695" t="n">
        <v>0</v>
      </c>
      <c r="P695" t="n">
        <v>0</v>
      </c>
      <c r="Q695" t="n">
        <v>0</v>
      </c>
      <c r="R695" s="2" t="inlineStr"/>
    </row>
    <row r="696" ht="15" customHeight="1">
      <c r="A696" t="inlineStr">
        <is>
          <t>A 6208-2022</t>
        </is>
      </c>
      <c r="B696" s="1" t="n">
        <v>44600</v>
      </c>
      <c r="C696" s="1" t="n">
        <v>45728</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6312-2022</t>
        </is>
      </c>
      <c r="B697" s="1" t="n">
        <v>44600</v>
      </c>
      <c r="C697" s="1" t="n">
        <v>45728</v>
      </c>
      <c r="D697" t="inlineStr">
        <is>
          <t>JÄMTLANDS LÄN</t>
        </is>
      </c>
      <c r="E697" t="inlineStr">
        <is>
          <t>HÄRJEDALEN</t>
        </is>
      </c>
      <c r="G697" t="n">
        <v>18.4</v>
      </c>
      <c r="H697" t="n">
        <v>0</v>
      </c>
      <c r="I697" t="n">
        <v>0</v>
      </c>
      <c r="J697" t="n">
        <v>0</v>
      </c>
      <c r="K697" t="n">
        <v>0</v>
      </c>
      <c r="L697" t="n">
        <v>0</v>
      </c>
      <c r="M697" t="n">
        <v>0</v>
      </c>
      <c r="N697" t="n">
        <v>0</v>
      </c>
      <c r="O697" t="n">
        <v>0</v>
      </c>
      <c r="P697" t="n">
        <v>0</v>
      </c>
      <c r="Q697" t="n">
        <v>0</v>
      </c>
      <c r="R697" s="2" t="inlineStr"/>
    </row>
    <row r="698" ht="15" customHeight="1">
      <c r="A698" t="inlineStr">
        <is>
          <t>A 6444-2022</t>
        </is>
      </c>
      <c r="B698" s="1" t="n">
        <v>44601</v>
      </c>
      <c r="C698" s="1" t="n">
        <v>45728</v>
      </c>
      <c r="D698" t="inlineStr">
        <is>
          <t>JÄMTLANDS LÄN</t>
        </is>
      </c>
      <c r="E698" t="inlineStr">
        <is>
          <t>HÄRJEDALEN</t>
        </is>
      </c>
      <c r="F698" t="inlineStr">
        <is>
          <t>Holmen skog AB</t>
        </is>
      </c>
      <c r="G698" t="n">
        <v>4.3</v>
      </c>
      <c r="H698" t="n">
        <v>0</v>
      </c>
      <c r="I698" t="n">
        <v>0</v>
      </c>
      <c r="J698" t="n">
        <v>0</v>
      </c>
      <c r="K698" t="n">
        <v>0</v>
      </c>
      <c r="L698" t="n">
        <v>0</v>
      </c>
      <c r="M698" t="n">
        <v>0</v>
      </c>
      <c r="N698" t="n">
        <v>0</v>
      </c>
      <c r="O698" t="n">
        <v>0</v>
      </c>
      <c r="P698" t="n">
        <v>0</v>
      </c>
      <c r="Q698" t="n">
        <v>0</v>
      </c>
      <c r="R698" s="2" t="inlineStr"/>
    </row>
    <row r="699" ht="15" customHeight="1">
      <c r="A699" t="inlineStr">
        <is>
          <t>A 6933-2022</t>
        </is>
      </c>
      <c r="B699" s="1" t="n">
        <v>44603</v>
      </c>
      <c r="C699" s="1" t="n">
        <v>45728</v>
      </c>
      <c r="D699" t="inlineStr">
        <is>
          <t>JÄMTLANDS LÄN</t>
        </is>
      </c>
      <c r="E699" t="inlineStr">
        <is>
          <t>HÄRJEDALEN</t>
        </is>
      </c>
      <c r="F699" t="inlineStr">
        <is>
          <t>Holmen skog AB</t>
        </is>
      </c>
      <c r="G699" t="n">
        <v>3.9</v>
      </c>
      <c r="H699" t="n">
        <v>0</v>
      </c>
      <c r="I699" t="n">
        <v>0</v>
      </c>
      <c r="J699" t="n">
        <v>0</v>
      </c>
      <c r="K699" t="n">
        <v>0</v>
      </c>
      <c r="L699" t="n">
        <v>0</v>
      </c>
      <c r="M699" t="n">
        <v>0</v>
      </c>
      <c r="N699" t="n">
        <v>0</v>
      </c>
      <c r="O699" t="n">
        <v>0</v>
      </c>
      <c r="P699" t="n">
        <v>0</v>
      </c>
      <c r="Q699" t="n">
        <v>0</v>
      </c>
      <c r="R699" s="2" t="inlineStr"/>
    </row>
    <row r="700" ht="15" customHeight="1">
      <c r="A700" t="inlineStr">
        <is>
          <t>A 6938-2022</t>
        </is>
      </c>
      <c r="B700" s="1" t="n">
        <v>44603</v>
      </c>
      <c r="C700" s="1" t="n">
        <v>45728</v>
      </c>
      <c r="D700" t="inlineStr">
        <is>
          <t>JÄMTLANDS LÄN</t>
        </is>
      </c>
      <c r="E700" t="inlineStr">
        <is>
          <t>HÄRJEDALEN</t>
        </is>
      </c>
      <c r="F700" t="inlineStr">
        <is>
          <t>Holmen skog AB</t>
        </is>
      </c>
      <c r="G700" t="n">
        <v>4.3</v>
      </c>
      <c r="H700" t="n">
        <v>0</v>
      </c>
      <c r="I700" t="n">
        <v>0</v>
      </c>
      <c r="J700" t="n">
        <v>0</v>
      </c>
      <c r="K700" t="n">
        <v>0</v>
      </c>
      <c r="L700" t="n">
        <v>0</v>
      </c>
      <c r="M700" t="n">
        <v>0</v>
      </c>
      <c r="N700" t="n">
        <v>0</v>
      </c>
      <c r="O700" t="n">
        <v>0</v>
      </c>
      <c r="P700" t="n">
        <v>0</v>
      </c>
      <c r="Q700" t="n">
        <v>0</v>
      </c>
      <c r="R700" s="2" t="inlineStr"/>
    </row>
    <row r="701" ht="15" customHeight="1">
      <c r="A701" t="inlineStr">
        <is>
          <t>A 6935-2022</t>
        </is>
      </c>
      <c r="B701" s="1" t="n">
        <v>44603</v>
      </c>
      <c r="C701" s="1" t="n">
        <v>45728</v>
      </c>
      <c r="D701" t="inlineStr">
        <is>
          <t>JÄMTLANDS LÄN</t>
        </is>
      </c>
      <c r="E701" t="inlineStr">
        <is>
          <t>HÄRJEDALEN</t>
        </is>
      </c>
      <c r="F701" t="inlineStr">
        <is>
          <t>Holmen skog AB</t>
        </is>
      </c>
      <c r="G701" t="n">
        <v>4</v>
      </c>
      <c r="H701" t="n">
        <v>0</v>
      </c>
      <c r="I701" t="n">
        <v>0</v>
      </c>
      <c r="J701" t="n">
        <v>0</v>
      </c>
      <c r="K701" t="n">
        <v>0</v>
      </c>
      <c r="L701" t="n">
        <v>0</v>
      </c>
      <c r="M701" t="n">
        <v>0</v>
      </c>
      <c r="N701" t="n">
        <v>0</v>
      </c>
      <c r="O701" t="n">
        <v>0</v>
      </c>
      <c r="P701" t="n">
        <v>0</v>
      </c>
      <c r="Q701" t="n">
        <v>0</v>
      </c>
      <c r="R701" s="2" t="inlineStr"/>
    </row>
    <row r="702" ht="15" customHeight="1">
      <c r="A702" t="inlineStr">
        <is>
          <t>A 6941-2022</t>
        </is>
      </c>
      <c r="B702" s="1" t="n">
        <v>44603</v>
      </c>
      <c r="C702" s="1" t="n">
        <v>45728</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8368-2022</t>
        </is>
      </c>
      <c r="B703" s="1" t="n">
        <v>44610</v>
      </c>
      <c r="C703" s="1" t="n">
        <v>45728</v>
      </c>
      <c r="D703" t="inlineStr">
        <is>
          <t>JÄMTLANDS LÄN</t>
        </is>
      </c>
      <c r="E703" t="inlineStr">
        <is>
          <t>HÄRJEDALEN</t>
        </is>
      </c>
      <c r="G703" t="n">
        <v>1.6</v>
      </c>
      <c r="H703" t="n">
        <v>0</v>
      </c>
      <c r="I703" t="n">
        <v>0</v>
      </c>
      <c r="J703" t="n">
        <v>0</v>
      </c>
      <c r="K703" t="n">
        <v>0</v>
      </c>
      <c r="L703" t="n">
        <v>0</v>
      </c>
      <c r="M703" t="n">
        <v>0</v>
      </c>
      <c r="N703" t="n">
        <v>0</v>
      </c>
      <c r="O703" t="n">
        <v>0</v>
      </c>
      <c r="P703" t="n">
        <v>0</v>
      </c>
      <c r="Q703" t="n">
        <v>0</v>
      </c>
      <c r="R703" s="2" t="inlineStr"/>
    </row>
    <row r="704" ht="15" customHeight="1">
      <c r="A704" t="inlineStr">
        <is>
          <t>A 8538-2022</t>
        </is>
      </c>
      <c r="B704" s="1" t="n">
        <v>44613</v>
      </c>
      <c r="C704" s="1" t="n">
        <v>45728</v>
      </c>
      <c r="D704" t="inlineStr">
        <is>
          <t>JÄMTLANDS LÄN</t>
        </is>
      </c>
      <c r="E704" t="inlineStr">
        <is>
          <t>HÄRJEDALEN</t>
        </is>
      </c>
      <c r="F704" t="inlineStr">
        <is>
          <t>Naturvårdsverket</t>
        </is>
      </c>
      <c r="G704" t="n">
        <v>0.4</v>
      </c>
      <c r="H704" t="n">
        <v>0</v>
      </c>
      <c r="I704" t="n">
        <v>0</v>
      </c>
      <c r="J704" t="n">
        <v>0</v>
      </c>
      <c r="K704" t="n">
        <v>0</v>
      </c>
      <c r="L704" t="n">
        <v>0</v>
      </c>
      <c r="M704" t="n">
        <v>0</v>
      </c>
      <c r="N704" t="n">
        <v>0</v>
      </c>
      <c r="O704" t="n">
        <v>0</v>
      </c>
      <c r="P704" t="n">
        <v>0</v>
      </c>
      <c r="Q704" t="n">
        <v>0</v>
      </c>
      <c r="R704" s="2" t="inlineStr"/>
    </row>
    <row r="705" ht="15" customHeight="1">
      <c r="A705" t="inlineStr">
        <is>
          <t>A 8823-2022</t>
        </is>
      </c>
      <c r="B705" s="1" t="n">
        <v>44614</v>
      </c>
      <c r="C705" s="1" t="n">
        <v>45728</v>
      </c>
      <c r="D705" t="inlineStr">
        <is>
          <t>JÄMTLANDS LÄN</t>
        </is>
      </c>
      <c r="E705" t="inlineStr">
        <is>
          <t>HÄRJEDALEN</t>
        </is>
      </c>
      <c r="F705" t="inlineStr">
        <is>
          <t>Naturvårdsverket</t>
        </is>
      </c>
      <c r="G705" t="n">
        <v>23.7</v>
      </c>
      <c r="H705" t="n">
        <v>0</v>
      </c>
      <c r="I705" t="n">
        <v>0</v>
      </c>
      <c r="J705" t="n">
        <v>0</v>
      </c>
      <c r="K705" t="n">
        <v>0</v>
      </c>
      <c r="L705" t="n">
        <v>0</v>
      </c>
      <c r="M705" t="n">
        <v>0</v>
      </c>
      <c r="N705" t="n">
        <v>0</v>
      </c>
      <c r="O705" t="n">
        <v>0</v>
      </c>
      <c r="P705" t="n">
        <v>0</v>
      </c>
      <c r="Q705" t="n">
        <v>0</v>
      </c>
      <c r="R705" s="2" t="inlineStr"/>
    </row>
    <row r="706" ht="15" customHeight="1">
      <c r="A706" t="inlineStr">
        <is>
          <t>A 9095-2022</t>
        </is>
      </c>
      <c r="B706" s="1" t="n">
        <v>44615</v>
      </c>
      <c r="C706" s="1" t="n">
        <v>45728</v>
      </c>
      <c r="D706" t="inlineStr">
        <is>
          <t>JÄMTLANDS LÄN</t>
        </is>
      </c>
      <c r="E706" t="inlineStr">
        <is>
          <t>HÄRJEDALEN</t>
        </is>
      </c>
      <c r="F706" t="inlineStr">
        <is>
          <t>Kyrkan</t>
        </is>
      </c>
      <c r="G706" t="n">
        <v>15.9</v>
      </c>
      <c r="H706" t="n">
        <v>0</v>
      </c>
      <c r="I706" t="n">
        <v>0</v>
      </c>
      <c r="J706" t="n">
        <v>0</v>
      </c>
      <c r="K706" t="n">
        <v>0</v>
      </c>
      <c r="L706" t="n">
        <v>0</v>
      </c>
      <c r="M706" t="n">
        <v>0</v>
      </c>
      <c r="N706" t="n">
        <v>0</v>
      </c>
      <c r="O706" t="n">
        <v>0</v>
      </c>
      <c r="P706" t="n">
        <v>0</v>
      </c>
      <c r="Q706" t="n">
        <v>0</v>
      </c>
      <c r="R706" s="2" t="inlineStr"/>
    </row>
    <row r="707" ht="15" customHeight="1">
      <c r="A707" t="inlineStr">
        <is>
          <t>A 10504-2022</t>
        </is>
      </c>
      <c r="B707" s="1" t="n">
        <v>44623</v>
      </c>
      <c r="C707" s="1" t="n">
        <v>45728</v>
      </c>
      <c r="D707" t="inlineStr">
        <is>
          <t>JÄMTLANDS LÄN</t>
        </is>
      </c>
      <c r="E707" t="inlineStr">
        <is>
          <t>HÄRJEDALEN</t>
        </is>
      </c>
      <c r="F707" t="inlineStr">
        <is>
          <t>Holmen skog AB</t>
        </is>
      </c>
      <c r="G707" t="n">
        <v>11.6</v>
      </c>
      <c r="H707" t="n">
        <v>0</v>
      </c>
      <c r="I707" t="n">
        <v>0</v>
      </c>
      <c r="J707" t="n">
        <v>0</v>
      </c>
      <c r="K707" t="n">
        <v>0</v>
      </c>
      <c r="L707" t="n">
        <v>0</v>
      </c>
      <c r="M707" t="n">
        <v>0</v>
      </c>
      <c r="N707" t="n">
        <v>0</v>
      </c>
      <c r="O707" t="n">
        <v>0</v>
      </c>
      <c r="P707" t="n">
        <v>0</v>
      </c>
      <c r="Q707" t="n">
        <v>0</v>
      </c>
      <c r="R707" s="2" t="inlineStr"/>
    </row>
    <row r="708" ht="15" customHeight="1">
      <c r="A708" t="inlineStr">
        <is>
          <t>A 10727-2022</t>
        </is>
      </c>
      <c r="B708" s="1" t="n">
        <v>44627</v>
      </c>
      <c r="C708" s="1" t="n">
        <v>45728</v>
      </c>
      <c r="D708" t="inlineStr">
        <is>
          <t>JÄMTLANDS LÄN</t>
        </is>
      </c>
      <c r="E708" t="inlineStr">
        <is>
          <t>HÄRJEDALEN</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10741-2022</t>
        </is>
      </c>
      <c r="B709" s="1" t="n">
        <v>44627</v>
      </c>
      <c r="C709" s="1" t="n">
        <v>45728</v>
      </c>
      <c r="D709" t="inlineStr">
        <is>
          <t>JÄMTLANDS LÄN</t>
        </is>
      </c>
      <c r="E709" t="inlineStr">
        <is>
          <t>HÄRJEDALEN</t>
        </is>
      </c>
      <c r="F709" t="inlineStr">
        <is>
          <t>Holmen skog AB</t>
        </is>
      </c>
      <c r="G709" t="n">
        <v>8</v>
      </c>
      <c r="H709" t="n">
        <v>0</v>
      </c>
      <c r="I709" t="n">
        <v>0</v>
      </c>
      <c r="J709" t="n">
        <v>0</v>
      </c>
      <c r="K709" t="n">
        <v>0</v>
      </c>
      <c r="L709" t="n">
        <v>0</v>
      </c>
      <c r="M709" t="n">
        <v>0</v>
      </c>
      <c r="N709" t="n">
        <v>0</v>
      </c>
      <c r="O709" t="n">
        <v>0</v>
      </c>
      <c r="P709" t="n">
        <v>0</v>
      </c>
      <c r="Q709" t="n">
        <v>0</v>
      </c>
      <c r="R709" s="2" t="inlineStr"/>
    </row>
    <row r="710" ht="15" customHeight="1">
      <c r="A710" t="inlineStr">
        <is>
          <t>A 10956-2022</t>
        </is>
      </c>
      <c r="B710" s="1" t="n">
        <v>44628</v>
      </c>
      <c r="C710" s="1" t="n">
        <v>45728</v>
      </c>
      <c r="D710" t="inlineStr">
        <is>
          <t>JÄMTLANDS LÄN</t>
        </is>
      </c>
      <c r="E710" t="inlineStr">
        <is>
          <t>HÄRJEDALEN</t>
        </is>
      </c>
      <c r="F710" t="inlineStr">
        <is>
          <t>Holmen skog AB</t>
        </is>
      </c>
      <c r="G710" t="n">
        <v>21.8</v>
      </c>
      <c r="H710" t="n">
        <v>0</v>
      </c>
      <c r="I710" t="n">
        <v>0</v>
      </c>
      <c r="J710" t="n">
        <v>0</v>
      </c>
      <c r="K710" t="n">
        <v>0</v>
      </c>
      <c r="L710" t="n">
        <v>0</v>
      </c>
      <c r="M710" t="n">
        <v>0</v>
      </c>
      <c r="N710" t="n">
        <v>0</v>
      </c>
      <c r="O710" t="n">
        <v>0</v>
      </c>
      <c r="P710" t="n">
        <v>0</v>
      </c>
      <c r="Q710" t="n">
        <v>0</v>
      </c>
      <c r="R710" s="2" t="inlineStr"/>
    </row>
    <row r="711" ht="15" customHeight="1">
      <c r="A711" t="inlineStr">
        <is>
          <t>A 10959-2022</t>
        </is>
      </c>
      <c r="B711" s="1" t="n">
        <v>44628</v>
      </c>
      <c r="C711" s="1" t="n">
        <v>45728</v>
      </c>
      <c r="D711" t="inlineStr">
        <is>
          <t>JÄMTLANDS LÄN</t>
        </is>
      </c>
      <c r="E711" t="inlineStr">
        <is>
          <t>HÄRJEDALEN</t>
        </is>
      </c>
      <c r="G711" t="n">
        <v>2.1</v>
      </c>
      <c r="H711" t="n">
        <v>0</v>
      </c>
      <c r="I711" t="n">
        <v>0</v>
      </c>
      <c r="J711" t="n">
        <v>0</v>
      </c>
      <c r="K711" t="n">
        <v>0</v>
      </c>
      <c r="L711" t="n">
        <v>0</v>
      </c>
      <c r="M711" t="n">
        <v>0</v>
      </c>
      <c r="N711" t="n">
        <v>0</v>
      </c>
      <c r="O711" t="n">
        <v>0</v>
      </c>
      <c r="P711" t="n">
        <v>0</v>
      </c>
      <c r="Q711" t="n">
        <v>0</v>
      </c>
      <c r="R711" s="2" t="inlineStr"/>
    </row>
    <row r="712" ht="15" customHeight="1">
      <c r="A712" t="inlineStr">
        <is>
          <t>A 11334-2022</t>
        </is>
      </c>
      <c r="B712" s="1" t="n">
        <v>44630</v>
      </c>
      <c r="C712" s="1" t="n">
        <v>45728</v>
      </c>
      <c r="D712" t="inlineStr">
        <is>
          <t>JÄMTLANDS LÄN</t>
        </is>
      </c>
      <c r="E712" t="inlineStr">
        <is>
          <t>HÄRJEDALEN</t>
        </is>
      </c>
      <c r="F712" t="inlineStr">
        <is>
          <t>Holmen skog AB</t>
        </is>
      </c>
      <c r="G712" t="n">
        <v>5.8</v>
      </c>
      <c r="H712" t="n">
        <v>0</v>
      </c>
      <c r="I712" t="n">
        <v>0</v>
      </c>
      <c r="J712" t="n">
        <v>0</v>
      </c>
      <c r="K712" t="n">
        <v>0</v>
      </c>
      <c r="L712" t="n">
        <v>0</v>
      </c>
      <c r="M712" t="n">
        <v>0</v>
      </c>
      <c r="N712" t="n">
        <v>0</v>
      </c>
      <c r="O712" t="n">
        <v>0</v>
      </c>
      <c r="P712" t="n">
        <v>0</v>
      </c>
      <c r="Q712" t="n">
        <v>0</v>
      </c>
      <c r="R712" s="2" t="inlineStr"/>
    </row>
    <row r="713" ht="15" customHeight="1">
      <c r="A713" t="inlineStr">
        <is>
          <t>A 11512-2022</t>
        </is>
      </c>
      <c r="B713" s="1" t="n">
        <v>44631</v>
      </c>
      <c r="C713" s="1" t="n">
        <v>45728</v>
      </c>
      <c r="D713" t="inlineStr">
        <is>
          <t>JÄMTLANDS LÄN</t>
        </is>
      </c>
      <c r="E713" t="inlineStr">
        <is>
          <t>HÄRJEDALEN</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11528-2022</t>
        </is>
      </c>
      <c r="B714" s="1" t="n">
        <v>44631</v>
      </c>
      <c r="C714" s="1" t="n">
        <v>45728</v>
      </c>
      <c r="D714" t="inlineStr">
        <is>
          <t>JÄMTLANDS LÄN</t>
        </is>
      </c>
      <c r="E714" t="inlineStr">
        <is>
          <t>HÄRJEDALEN</t>
        </is>
      </c>
      <c r="F714" t="inlineStr">
        <is>
          <t>Holmen skog AB</t>
        </is>
      </c>
      <c r="G714" t="n">
        <v>6.1</v>
      </c>
      <c r="H714" t="n">
        <v>0</v>
      </c>
      <c r="I714" t="n">
        <v>0</v>
      </c>
      <c r="J714" t="n">
        <v>0</v>
      </c>
      <c r="K714" t="n">
        <v>0</v>
      </c>
      <c r="L714" t="n">
        <v>0</v>
      </c>
      <c r="M714" t="n">
        <v>0</v>
      </c>
      <c r="N714" t="n">
        <v>0</v>
      </c>
      <c r="O714" t="n">
        <v>0</v>
      </c>
      <c r="P714" t="n">
        <v>0</v>
      </c>
      <c r="Q714" t="n">
        <v>0</v>
      </c>
      <c r="R714" s="2" t="inlineStr"/>
    </row>
    <row r="715" ht="15" customHeight="1">
      <c r="A715" t="inlineStr">
        <is>
          <t>A 11553-2022</t>
        </is>
      </c>
      <c r="B715" s="1" t="n">
        <v>44631</v>
      </c>
      <c r="C715" s="1" t="n">
        <v>45728</v>
      </c>
      <c r="D715" t="inlineStr">
        <is>
          <t>JÄMTLANDS LÄN</t>
        </is>
      </c>
      <c r="E715" t="inlineStr">
        <is>
          <t>HÄRJEDALEN</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11525-2022</t>
        </is>
      </c>
      <c r="B716" s="1" t="n">
        <v>44631</v>
      </c>
      <c r="C716" s="1" t="n">
        <v>45728</v>
      </c>
      <c r="D716" t="inlineStr">
        <is>
          <t>JÄMTLANDS LÄN</t>
        </is>
      </c>
      <c r="E716" t="inlineStr">
        <is>
          <t>HÄRJEDALEN</t>
        </is>
      </c>
      <c r="F716" t="inlineStr">
        <is>
          <t>Holmen skog AB</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11545-2022</t>
        </is>
      </c>
      <c r="B717" s="1" t="n">
        <v>44631</v>
      </c>
      <c r="C717" s="1" t="n">
        <v>45728</v>
      </c>
      <c r="D717" t="inlineStr">
        <is>
          <t>JÄMTLANDS LÄN</t>
        </is>
      </c>
      <c r="E717" t="inlineStr">
        <is>
          <t>HÄRJEDALEN</t>
        </is>
      </c>
      <c r="F717" t="inlineStr">
        <is>
          <t>Holmen skog AB</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11522-2022</t>
        </is>
      </c>
      <c r="B718" s="1" t="n">
        <v>44631</v>
      </c>
      <c r="C718" s="1" t="n">
        <v>45728</v>
      </c>
      <c r="D718" t="inlineStr">
        <is>
          <t>JÄMTLANDS LÄN</t>
        </is>
      </c>
      <c r="E718" t="inlineStr">
        <is>
          <t>HÄRJEDALEN</t>
        </is>
      </c>
      <c r="F718" t="inlineStr">
        <is>
          <t>Holmen skog AB</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11527-2022</t>
        </is>
      </c>
      <c r="B719" s="1" t="n">
        <v>44631</v>
      </c>
      <c r="C719" s="1" t="n">
        <v>45728</v>
      </c>
      <c r="D719" t="inlineStr">
        <is>
          <t>JÄMTLANDS LÄN</t>
        </is>
      </c>
      <c r="E719" t="inlineStr">
        <is>
          <t>HÄRJEDALEN</t>
        </is>
      </c>
      <c r="F719" t="inlineStr">
        <is>
          <t>Holmen skog AB</t>
        </is>
      </c>
      <c r="G719" t="n">
        <v>4.6</v>
      </c>
      <c r="H719" t="n">
        <v>0</v>
      </c>
      <c r="I719" t="n">
        <v>0</v>
      </c>
      <c r="J719" t="n">
        <v>0</v>
      </c>
      <c r="K719" t="n">
        <v>0</v>
      </c>
      <c r="L719" t="n">
        <v>0</v>
      </c>
      <c r="M719" t="n">
        <v>0</v>
      </c>
      <c r="N719" t="n">
        <v>0</v>
      </c>
      <c r="O719" t="n">
        <v>0</v>
      </c>
      <c r="P719" t="n">
        <v>0</v>
      </c>
      <c r="Q719" t="n">
        <v>0</v>
      </c>
      <c r="R719" s="2" t="inlineStr"/>
    </row>
    <row r="720" ht="15" customHeight="1">
      <c r="A720" t="inlineStr">
        <is>
          <t>A 11557-2022</t>
        </is>
      </c>
      <c r="B720" s="1" t="n">
        <v>44631</v>
      </c>
      <c r="C720" s="1" t="n">
        <v>45728</v>
      </c>
      <c r="D720" t="inlineStr">
        <is>
          <t>JÄMTLANDS LÄN</t>
        </is>
      </c>
      <c r="E720" t="inlineStr">
        <is>
          <t>HÄRJEDALEN</t>
        </is>
      </c>
      <c r="F720" t="inlineStr">
        <is>
          <t>Holmen skog AB</t>
        </is>
      </c>
      <c r="G720" t="n">
        <v>2.7</v>
      </c>
      <c r="H720" t="n">
        <v>0</v>
      </c>
      <c r="I720" t="n">
        <v>0</v>
      </c>
      <c r="J720" t="n">
        <v>0</v>
      </c>
      <c r="K720" t="n">
        <v>0</v>
      </c>
      <c r="L720" t="n">
        <v>0</v>
      </c>
      <c r="M720" t="n">
        <v>0</v>
      </c>
      <c r="N720" t="n">
        <v>0</v>
      </c>
      <c r="O720" t="n">
        <v>0</v>
      </c>
      <c r="P720" t="n">
        <v>0</v>
      </c>
      <c r="Q720" t="n">
        <v>0</v>
      </c>
      <c r="R720" s="2" t="inlineStr"/>
    </row>
    <row r="721" ht="15" customHeight="1">
      <c r="A721" t="inlineStr">
        <is>
          <t>A 11541-2022</t>
        </is>
      </c>
      <c r="B721" s="1" t="n">
        <v>44631</v>
      </c>
      <c r="C721" s="1" t="n">
        <v>45728</v>
      </c>
      <c r="D721" t="inlineStr">
        <is>
          <t>JÄMTLANDS LÄN</t>
        </is>
      </c>
      <c r="E721" t="inlineStr">
        <is>
          <t>HÄRJEDALEN</t>
        </is>
      </c>
      <c r="F721" t="inlineStr">
        <is>
          <t>Holmen skog AB</t>
        </is>
      </c>
      <c r="G721" t="n">
        <v>5.5</v>
      </c>
      <c r="H721" t="n">
        <v>0</v>
      </c>
      <c r="I721" t="n">
        <v>0</v>
      </c>
      <c r="J721" t="n">
        <v>0</v>
      </c>
      <c r="K721" t="n">
        <v>0</v>
      </c>
      <c r="L721" t="n">
        <v>0</v>
      </c>
      <c r="M721" t="n">
        <v>0</v>
      </c>
      <c r="N721" t="n">
        <v>0</v>
      </c>
      <c r="O721" t="n">
        <v>0</v>
      </c>
      <c r="P721" t="n">
        <v>0</v>
      </c>
      <c r="Q721" t="n">
        <v>0</v>
      </c>
      <c r="R721" s="2" t="inlineStr"/>
    </row>
    <row r="722" ht="15" customHeight="1">
      <c r="A722" t="inlineStr">
        <is>
          <t>A 11551-2022</t>
        </is>
      </c>
      <c r="B722" s="1" t="n">
        <v>44631</v>
      </c>
      <c r="C722" s="1" t="n">
        <v>45728</v>
      </c>
      <c r="D722" t="inlineStr">
        <is>
          <t>JÄMTLANDS LÄN</t>
        </is>
      </c>
      <c r="E722" t="inlineStr">
        <is>
          <t>HÄRJEDALEN</t>
        </is>
      </c>
      <c r="F722" t="inlineStr">
        <is>
          <t>Holmen skog AB</t>
        </is>
      </c>
      <c r="G722" t="n">
        <v>17.6</v>
      </c>
      <c r="H722" t="n">
        <v>0</v>
      </c>
      <c r="I722" t="n">
        <v>0</v>
      </c>
      <c r="J722" t="n">
        <v>0</v>
      </c>
      <c r="K722" t="n">
        <v>0</v>
      </c>
      <c r="L722" t="n">
        <v>0</v>
      </c>
      <c r="M722" t="n">
        <v>0</v>
      </c>
      <c r="N722" t="n">
        <v>0</v>
      </c>
      <c r="O722" t="n">
        <v>0</v>
      </c>
      <c r="P722" t="n">
        <v>0</v>
      </c>
      <c r="Q722" t="n">
        <v>0</v>
      </c>
      <c r="R722" s="2" t="inlineStr"/>
    </row>
    <row r="723" ht="15" customHeight="1">
      <c r="A723" t="inlineStr">
        <is>
          <t>A 12468-2022</t>
        </is>
      </c>
      <c r="B723" s="1" t="n">
        <v>44638</v>
      </c>
      <c r="C723" s="1" t="n">
        <v>45728</v>
      </c>
      <c r="D723" t="inlineStr">
        <is>
          <t>JÄMTLANDS LÄN</t>
        </is>
      </c>
      <c r="E723" t="inlineStr">
        <is>
          <t>HÄRJEDALEN</t>
        </is>
      </c>
      <c r="G723" t="n">
        <v>2.5</v>
      </c>
      <c r="H723" t="n">
        <v>0</v>
      </c>
      <c r="I723" t="n">
        <v>0</v>
      </c>
      <c r="J723" t="n">
        <v>0</v>
      </c>
      <c r="K723" t="n">
        <v>0</v>
      </c>
      <c r="L723" t="n">
        <v>0</v>
      </c>
      <c r="M723" t="n">
        <v>0</v>
      </c>
      <c r="N723" t="n">
        <v>0</v>
      </c>
      <c r="O723" t="n">
        <v>0</v>
      </c>
      <c r="P723" t="n">
        <v>0</v>
      </c>
      <c r="Q723" t="n">
        <v>0</v>
      </c>
      <c r="R723" s="2" t="inlineStr"/>
    </row>
    <row r="724" ht="15" customHeight="1">
      <c r="A724" t="inlineStr">
        <is>
          <t>A 12810-2022</t>
        </is>
      </c>
      <c r="B724" s="1" t="n">
        <v>44642</v>
      </c>
      <c r="C724" s="1" t="n">
        <v>45728</v>
      </c>
      <c r="D724" t="inlineStr">
        <is>
          <t>JÄMTLANDS LÄN</t>
        </is>
      </c>
      <c r="E724" t="inlineStr">
        <is>
          <t>HÄRJEDALEN</t>
        </is>
      </c>
      <c r="F724" t="inlineStr">
        <is>
          <t>Holmen skog AB</t>
        </is>
      </c>
      <c r="G724" t="n">
        <v>2.5</v>
      </c>
      <c r="H724" t="n">
        <v>0</v>
      </c>
      <c r="I724" t="n">
        <v>0</v>
      </c>
      <c r="J724" t="n">
        <v>0</v>
      </c>
      <c r="K724" t="n">
        <v>0</v>
      </c>
      <c r="L724" t="n">
        <v>0</v>
      </c>
      <c r="M724" t="n">
        <v>0</v>
      </c>
      <c r="N724" t="n">
        <v>0</v>
      </c>
      <c r="O724" t="n">
        <v>0</v>
      </c>
      <c r="P724" t="n">
        <v>0</v>
      </c>
      <c r="Q724" t="n">
        <v>0</v>
      </c>
      <c r="R724" s="2" t="inlineStr"/>
    </row>
    <row r="725" ht="15" customHeight="1">
      <c r="A725" t="inlineStr">
        <is>
          <t>A 13081-2022</t>
        </is>
      </c>
      <c r="B725" s="1" t="n">
        <v>44643</v>
      </c>
      <c r="C725" s="1" t="n">
        <v>45728</v>
      </c>
      <c r="D725" t="inlineStr">
        <is>
          <t>JÄMTLANDS LÄN</t>
        </is>
      </c>
      <c r="E725" t="inlineStr">
        <is>
          <t>HÄRJEDALEN</t>
        </is>
      </c>
      <c r="G725" t="n">
        <v>1</v>
      </c>
      <c r="H725" t="n">
        <v>0</v>
      </c>
      <c r="I725" t="n">
        <v>0</v>
      </c>
      <c r="J725" t="n">
        <v>0</v>
      </c>
      <c r="K725" t="n">
        <v>0</v>
      </c>
      <c r="L725" t="n">
        <v>0</v>
      </c>
      <c r="M725" t="n">
        <v>0</v>
      </c>
      <c r="N725" t="n">
        <v>0</v>
      </c>
      <c r="O725" t="n">
        <v>0</v>
      </c>
      <c r="P725" t="n">
        <v>0</v>
      </c>
      <c r="Q725" t="n">
        <v>0</v>
      </c>
      <c r="R725" s="2" t="inlineStr"/>
    </row>
    <row r="726" ht="15" customHeight="1">
      <c r="A726" t="inlineStr">
        <is>
          <t>A 13991-2022</t>
        </is>
      </c>
      <c r="B726" s="1" t="n">
        <v>44650</v>
      </c>
      <c r="C726" s="1" t="n">
        <v>45728</v>
      </c>
      <c r="D726" t="inlineStr">
        <is>
          <t>JÄMTLANDS LÄN</t>
        </is>
      </c>
      <c r="E726" t="inlineStr">
        <is>
          <t>HÄRJEDALEN</t>
        </is>
      </c>
      <c r="F726" t="inlineStr">
        <is>
          <t>Holmen skog AB</t>
        </is>
      </c>
      <c r="G726" t="n">
        <v>6.2</v>
      </c>
      <c r="H726" t="n">
        <v>0</v>
      </c>
      <c r="I726" t="n">
        <v>0</v>
      </c>
      <c r="J726" t="n">
        <v>0</v>
      </c>
      <c r="K726" t="n">
        <v>0</v>
      </c>
      <c r="L726" t="n">
        <v>0</v>
      </c>
      <c r="M726" t="n">
        <v>0</v>
      </c>
      <c r="N726" t="n">
        <v>0</v>
      </c>
      <c r="O726" t="n">
        <v>0</v>
      </c>
      <c r="P726" t="n">
        <v>0</v>
      </c>
      <c r="Q726" t="n">
        <v>0</v>
      </c>
      <c r="R726" s="2" t="inlineStr"/>
    </row>
    <row r="727" ht="15" customHeight="1">
      <c r="A727" t="inlineStr">
        <is>
          <t>A 15374-2022</t>
        </is>
      </c>
      <c r="B727" s="1" t="n">
        <v>44659</v>
      </c>
      <c r="C727" s="1" t="n">
        <v>45728</v>
      </c>
      <c r="D727" t="inlineStr">
        <is>
          <t>JÄMTLANDS LÄN</t>
        </is>
      </c>
      <c r="E727" t="inlineStr">
        <is>
          <t>HÄRJEDALEN</t>
        </is>
      </c>
      <c r="G727" t="n">
        <v>1.9</v>
      </c>
      <c r="H727" t="n">
        <v>0</v>
      </c>
      <c r="I727" t="n">
        <v>0</v>
      </c>
      <c r="J727" t="n">
        <v>0</v>
      </c>
      <c r="K727" t="n">
        <v>0</v>
      </c>
      <c r="L727" t="n">
        <v>0</v>
      </c>
      <c r="M727" t="n">
        <v>0</v>
      </c>
      <c r="N727" t="n">
        <v>0</v>
      </c>
      <c r="O727" t="n">
        <v>0</v>
      </c>
      <c r="P727" t="n">
        <v>0</v>
      </c>
      <c r="Q727" t="n">
        <v>0</v>
      </c>
      <c r="R727" s="2" t="inlineStr"/>
    </row>
    <row r="728" ht="15" customHeight="1">
      <c r="A728" t="inlineStr">
        <is>
          <t>A 15611-2022</t>
        </is>
      </c>
      <c r="B728" s="1" t="n">
        <v>44662</v>
      </c>
      <c r="C728" s="1" t="n">
        <v>45728</v>
      </c>
      <c r="D728" t="inlineStr">
        <is>
          <t>JÄMTLANDS LÄN</t>
        </is>
      </c>
      <c r="E728" t="inlineStr">
        <is>
          <t>HÄRJEDALEN</t>
        </is>
      </c>
      <c r="F728" t="inlineStr">
        <is>
          <t>Kyrkan</t>
        </is>
      </c>
      <c r="G728" t="n">
        <v>6.9</v>
      </c>
      <c r="H728" t="n">
        <v>0</v>
      </c>
      <c r="I728" t="n">
        <v>0</v>
      </c>
      <c r="J728" t="n">
        <v>0</v>
      </c>
      <c r="K728" t="n">
        <v>0</v>
      </c>
      <c r="L728" t="n">
        <v>0</v>
      </c>
      <c r="M728" t="n">
        <v>0</v>
      </c>
      <c r="N728" t="n">
        <v>0</v>
      </c>
      <c r="O728" t="n">
        <v>0</v>
      </c>
      <c r="P728" t="n">
        <v>0</v>
      </c>
      <c r="Q728" t="n">
        <v>0</v>
      </c>
      <c r="R728" s="2" t="inlineStr"/>
    </row>
    <row r="729" ht="15" customHeight="1">
      <c r="A729" t="inlineStr">
        <is>
          <t>A 15763-2022</t>
        </is>
      </c>
      <c r="B729" s="1" t="n">
        <v>44663</v>
      </c>
      <c r="C729" s="1" t="n">
        <v>45728</v>
      </c>
      <c r="D729" t="inlineStr">
        <is>
          <t>JÄMTLANDS LÄN</t>
        </is>
      </c>
      <c r="E729" t="inlineStr">
        <is>
          <t>HÄRJEDALEN</t>
        </is>
      </c>
      <c r="G729" t="n">
        <v>4.4</v>
      </c>
      <c r="H729" t="n">
        <v>0</v>
      </c>
      <c r="I729" t="n">
        <v>0</v>
      </c>
      <c r="J729" t="n">
        <v>0</v>
      </c>
      <c r="K729" t="n">
        <v>0</v>
      </c>
      <c r="L729" t="n">
        <v>0</v>
      </c>
      <c r="M729" t="n">
        <v>0</v>
      </c>
      <c r="N729" t="n">
        <v>0</v>
      </c>
      <c r="O729" t="n">
        <v>0</v>
      </c>
      <c r="P729" t="n">
        <v>0</v>
      </c>
      <c r="Q729" t="n">
        <v>0</v>
      </c>
      <c r="R729" s="2" t="inlineStr"/>
    </row>
    <row r="730" ht="15" customHeight="1">
      <c r="A730" t="inlineStr">
        <is>
          <t>A 16014-2022</t>
        </is>
      </c>
      <c r="B730" s="1" t="n">
        <v>44665</v>
      </c>
      <c r="C730" s="1" t="n">
        <v>45728</v>
      </c>
      <c r="D730" t="inlineStr">
        <is>
          <t>JÄMTLANDS LÄN</t>
        </is>
      </c>
      <c r="E730" t="inlineStr">
        <is>
          <t>HÄRJEDALEN</t>
        </is>
      </c>
      <c r="G730" t="n">
        <v>38.7</v>
      </c>
      <c r="H730" t="n">
        <v>0</v>
      </c>
      <c r="I730" t="n">
        <v>0</v>
      </c>
      <c r="J730" t="n">
        <v>0</v>
      </c>
      <c r="K730" t="n">
        <v>0</v>
      </c>
      <c r="L730" t="n">
        <v>0</v>
      </c>
      <c r="M730" t="n">
        <v>0</v>
      </c>
      <c r="N730" t="n">
        <v>0</v>
      </c>
      <c r="O730" t="n">
        <v>0</v>
      </c>
      <c r="P730" t="n">
        <v>0</v>
      </c>
      <c r="Q730" t="n">
        <v>0</v>
      </c>
      <c r="R730" s="2" t="inlineStr"/>
    </row>
    <row r="731" ht="15" customHeight="1">
      <c r="A731" t="inlineStr">
        <is>
          <t>A 17805-2022</t>
        </is>
      </c>
      <c r="B731" s="1" t="n">
        <v>44683</v>
      </c>
      <c r="C731" s="1" t="n">
        <v>45728</v>
      </c>
      <c r="D731" t="inlineStr">
        <is>
          <t>JÄMTLANDS LÄN</t>
        </is>
      </c>
      <c r="E731" t="inlineStr">
        <is>
          <t>HÄRJEDALEN</t>
        </is>
      </c>
      <c r="G731" t="n">
        <v>15.7</v>
      </c>
      <c r="H731" t="n">
        <v>0</v>
      </c>
      <c r="I731" t="n">
        <v>0</v>
      </c>
      <c r="J731" t="n">
        <v>0</v>
      </c>
      <c r="K731" t="n">
        <v>0</v>
      </c>
      <c r="L731" t="n">
        <v>0</v>
      </c>
      <c r="M731" t="n">
        <v>0</v>
      </c>
      <c r="N731" t="n">
        <v>0</v>
      </c>
      <c r="O731" t="n">
        <v>0</v>
      </c>
      <c r="P731" t="n">
        <v>0</v>
      </c>
      <c r="Q731" t="n">
        <v>0</v>
      </c>
      <c r="R731" s="2" t="inlineStr"/>
    </row>
    <row r="732" ht="15" customHeight="1">
      <c r="A732" t="inlineStr">
        <is>
          <t>A 17797-2022</t>
        </is>
      </c>
      <c r="B732" s="1" t="n">
        <v>44683</v>
      </c>
      <c r="C732" s="1" t="n">
        <v>45728</v>
      </c>
      <c r="D732" t="inlineStr">
        <is>
          <t>JÄMTLANDS LÄN</t>
        </is>
      </c>
      <c r="E732" t="inlineStr">
        <is>
          <t>HÄRJEDALEN</t>
        </is>
      </c>
      <c r="G732" t="n">
        <v>15.4</v>
      </c>
      <c r="H732" t="n">
        <v>0</v>
      </c>
      <c r="I732" t="n">
        <v>0</v>
      </c>
      <c r="J732" t="n">
        <v>0</v>
      </c>
      <c r="K732" t="n">
        <v>0</v>
      </c>
      <c r="L732" t="n">
        <v>0</v>
      </c>
      <c r="M732" t="n">
        <v>0</v>
      </c>
      <c r="N732" t="n">
        <v>0</v>
      </c>
      <c r="O732" t="n">
        <v>0</v>
      </c>
      <c r="P732" t="n">
        <v>0</v>
      </c>
      <c r="Q732" t="n">
        <v>0</v>
      </c>
      <c r="R732" s="2" t="inlineStr"/>
    </row>
    <row r="733" ht="15" customHeight="1">
      <c r="A733" t="inlineStr">
        <is>
          <t>A 17935-2022</t>
        </is>
      </c>
      <c r="B733" s="1" t="n">
        <v>44683</v>
      </c>
      <c r="C733" s="1" t="n">
        <v>45728</v>
      </c>
      <c r="D733" t="inlineStr">
        <is>
          <t>JÄMTLANDS LÄN</t>
        </is>
      </c>
      <c r="E733" t="inlineStr">
        <is>
          <t>HÄRJEDALEN</t>
        </is>
      </c>
      <c r="G733" t="n">
        <v>4.2</v>
      </c>
      <c r="H733" t="n">
        <v>0</v>
      </c>
      <c r="I733" t="n">
        <v>0</v>
      </c>
      <c r="J733" t="n">
        <v>0</v>
      </c>
      <c r="K733" t="n">
        <v>0</v>
      </c>
      <c r="L733" t="n">
        <v>0</v>
      </c>
      <c r="M733" t="n">
        <v>0</v>
      </c>
      <c r="N733" t="n">
        <v>0</v>
      </c>
      <c r="O733" t="n">
        <v>0</v>
      </c>
      <c r="P733" t="n">
        <v>0</v>
      </c>
      <c r="Q733" t="n">
        <v>0</v>
      </c>
      <c r="R733" s="2" t="inlineStr"/>
    </row>
    <row r="734" ht="15" customHeight="1">
      <c r="A734" t="inlineStr">
        <is>
          <t>A 18169-2022</t>
        </is>
      </c>
      <c r="B734" s="1" t="n">
        <v>44684</v>
      </c>
      <c r="C734" s="1" t="n">
        <v>45728</v>
      </c>
      <c r="D734" t="inlineStr">
        <is>
          <t>JÄMTLANDS LÄN</t>
        </is>
      </c>
      <c r="E734" t="inlineStr">
        <is>
          <t>HÄRJEDALEN</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18778-2022</t>
        </is>
      </c>
      <c r="B735" s="1" t="n">
        <v>44689</v>
      </c>
      <c r="C735" s="1" t="n">
        <v>45728</v>
      </c>
      <c r="D735" t="inlineStr">
        <is>
          <t>JÄMTLANDS LÄN</t>
        </is>
      </c>
      <c r="E735" t="inlineStr">
        <is>
          <t>HÄRJEDALEN</t>
        </is>
      </c>
      <c r="G735" t="n">
        <v>4.1</v>
      </c>
      <c r="H735" t="n">
        <v>0</v>
      </c>
      <c r="I735" t="n">
        <v>0</v>
      </c>
      <c r="J735" t="n">
        <v>0</v>
      </c>
      <c r="K735" t="n">
        <v>0</v>
      </c>
      <c r="L735" t="n">
        <v>0</v>
      </c>
      <c r="M735" t="n">
        <v>0</v>
      </c>
      <c r="N735" t="n">
        <v>0</v>
      </c>
      <c r="O735" t="n">
        <v>0</v>
      </c>
      <c r="P735" t="n">
        <v>0</v>
      </c>
      <c r="Q735" t="n">
        <v>0</v>
      </c>
      <c r="R735" s="2" t="inlineStr"/>
    </row>
    <row r="736" ht="15" customHeight="1">
      <c r="A736" t="inlineStr">
        <is>
          <t>A 18808-2022</t>
        </is>
      </c>
      <c r="B736" s="1" t="n">
        <v>44690</v>
      </c>
      <c r="C736" s="1" t="n">
        <v>45728</v>
      </c>
      <c r="D736" t="inlineStr">
        <is>
          <t>JÄMTLANDS LÄN</t>
        </is>
      </c>
      <c r="E736" t="inlineStr">
        <is>
          <t>HÄRJEDALEN</t>
        </is>
      </c>
      <c r="G736" t="n">
        <v>0.5</v>
      </c>
      <c r="H736" t="n">
        <v>0</v>
      </c>
      <c r="I736" t="n">
        <v>0</v>
      </c>
      <c r="J736" t="n">
        <v>0</v>
      </c>
      <c r="K736" t="n">
        <v>0</v>
      </c>
      <c r="L736" t="n">
        <v>0</v>
      </c>
      <c r="M736" t="n">
        <v>0</v>
      </c>
      <c r="N736" t="n">
        <v>0</v>
      </c>
      <c r="O736" t="n">
        <v>0</v>
      </c>
      <c r="P736" t="n">
        <v>0</v>
      </c>
      <c r="Q736" t="n">
        <v>0</v>
      </c>
      <c r="R736" s="2" t="inlineStr"/>
    </row>
    <row r="737" ht="15" customHeight="1">
      <c r="A737" t="inlineStr">
        <is>
          <t>A 20059-2022</t>
        </is>
      </c>
      <c r="B737" s="1" t="n">
        <v>44698</v>
      </c>
      <c r="C737" s="1" t="n">
        <v>45728</v>
      </c>
      <c r="D737" t="inlineStr">
        <is>
          <t>JÄMTLANDS LÄN</t>
        </is>
      </c>
      <c r="E737" t="inlineStr">
        <is>
          <t>HÄRJEDALEN</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20206-2022</t>
        </is>
      </c>
      <c r="B738" s="1" t="n">
        <v>44698</v>
      </c>
      <c r="C738" s="1" t="n">
        <v>45728</v>
      </c>
      <c r="D738" t="inlineStr">
        <is>
          <t>JÄMTLANDS LÄN</t>
        </is>
      </c>
      <c r="E738" t="inlineStr">
        <is>
          <t>HÄRJEDALEN</t>
        </is>
      </c>
      <c r="F738" t="inlineStr">
        <is>
          <t>Bergvik skog väst AB</t>
        </is>
      </c>
      <c r="G738" t="n">
        <v>5.8</v>
      </c>
      <c r="H738" t="n">
        <v>0</v>
      </c>
      <c r="I738" t="n">
        <v>0</v>
      </c>
      <c r="J738" t="n">
        <v>0</v>
      </c>
      <c r="K738" t="n">
        <v>0</v>
      </c>
      <c r="L738" t="n">
        <v>0</v>
      </c>
      <c r="M738" t="n">
        <v>0</v>
      </c>
      <c r="N738" t="n">
        <v>0</v>
      </c>
      <c r="O738" t="n">
        <v>0</v>
      </c>
      <c r="P738" t="n">
        <v>0</v>
      </c>
      <c r="Q738" t="n">
        <v>0</v>
      </c>
      <c r="R738" s="2" t="inlineStr"/>
    </row>
    <row r="739" ht="15" customHeight="1">
      <c r="A739" t="inlineStr">
        <is>
          <t>A 21610-2022</t>
        </is>
      </c>
      <c r="B739" s="1" t="n">
        <v>44706</v>
      </c>
      <c r="C739" s="1" t="n">
        <v>45728</v>
      </c>
      <c r="D739" t="inlineStr">
        <is>
          <t>JÄMTLANDS LÄN</t>
        </is>
      </c>
      <c r="E739" t="inlineStr">
        <is>
          <t>HÄRJEDALEN</t>
        </is>
      </c>
      <c r="F739" t="inlineStr">
        <is>
          <t>Holmen skog AB</t>
        </is>
      </c>
      <c r="G739" t="n">
        <v>15.3</v>
      </c>
      <c r="H739" t="n">
        <v>0</v>
      </c>
      <c r="I739" t="n">
        <v>0</v>
      </c>
      <c r="J739" t="n">
        <v>0</v>
      </c>
      <c r="K739" t="n">
        <v>0</v>
      </c>
      <c r="L739" t="n">
        <v>0</v>
      </c>
      <c r="M739" t="n">
        <v>0</v>
      </c>
      <c r="N739" t="n">
        <v>0</v>
      </c>
      <c r="O739" t="n">
        <v>0</v>
      </c>
      <c r="P739" t="n">
        <v>0</v>
      </c>
      <c r="Q739" t="n">
        <v>0</v>
      </c>
      <c r="R739" s="2" t="inlineStr"/>
    </row>
    <row r="740" ht="15" customHeight="1">
      <c r="A740" t="inlineStr">
        <is>
          <t>A 21767-2022</t>
        </is>
      </c>
      <c r="B740" s="1" t="n">
        <v>44708</v>
      </c>
      <c r="C740" s="1" t="n">
        <v>45728</v>
      </c>
      <c r="D740" t="inlineStr">
        <is>
          <t>JÄMTLANDS LÄN</t>
        </is>
      </c>
      <c r="E740" t="inlineStr">
        <is>
          <t>HÄRJEDALEN</t>
        </is>
      </c>
      <c r="F740" t="inlineStr">
        <is>
          <t>Holmen skog AB</t>
        </is>
      </c>
      <c r="G740" t="n">
        <v>8.1</v>
      </c>
      <c r="H740" t="n">
        <v>0</v>
      </c>
      <c r="I740" t="n">
        <v>0</v>
      </c>
      <c r="J740" t="n">
        <v>0</v>
      </c>
      <c r="K740" t="n">
        <v>0</v>
      </c>
      <c r="L740" t="n">
        <v>0</v>
      </c>
      <c r="M740" t="n">
        <v>0</v>
      </c>
      <c r="N740" t="n">
        <v>0</v>
      </c>
      <c r="O740" t="n">
        <v>0</v>
      </c>
      <c r="P740" t="n">
        <v>0</v>
      </c>
      <c r="Q740" t="n">
        <v>0</v>
      </c>
      <c r="R740" s="2" t="inlineStr"/>
    </row>
    <row r="741" ht="15" customHeight="1">
      <c r="A741" t="inlineStr">
        <is>
          <t>A 21774-2022</t>
        </is>
      </c>
      <c r="B741" s="1" t="n">
        <v>44708</v>
      </c>
      <c r="C741" s="1" t="n">
        <v>45728</v>
      </c>
      <c r="D741" t="inlineStr">
        <is>
          <t>JÄMTLANDS LÄN</t>
        </is>
      </c>
      <c r="E741" t="inlineStr">
        <is>
          <t>HÄRJEDALEN</t>
        </is>
      </c>
      <c r="F741" t="inlineStr">
        <is>
          <t>Holmen skog AB</t>
        </is>
      </c>
      <c r="G741" t="n">
        <v>17.3</v>
      </c>
      <c r="H741" t="n">
        <v>0</v>
      </c>
      <c r="I741" t="n">
        <v>0</v>
      </c>
      <c r="J741" t="n">
        <v>0</v>
      </c>
      <c r="K741" t="n">
        <v>0</v>
      </c>
      <c r="L741" t="n">
        <v>0</v>
      </c>
      <c r="M741" t="n">
        <v>0</v>
      </c>
      <c r="N741" t="n">
        <v>0</v>
      </c>
      <c r="O741" t="n">
        <v>0</v>
      </c>
      <c r="P741" t="n">
        <v>0</v>
      </c>
      <c r="Q741" t="n">
        <v>0</v>
      </c>
      <c r="R741" s="2" t="inlineStr"/>
    </row>
    <row r="742" ht="15" customHeight="1">
      <c r="A742" t="inlineStr">
        <is>
          <t>A 21778-2022</t>
        </is>
      </c>
      <c r="B742" s="1" t="n">
        <v>44708</v>
      </c>
      <c r="C742" s="1" t="n">
        <v>45728</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21770-2022</t>
        </is>
      </c>
      <c r="B743" s="1" t="n">
        <v>44708</v>
      </c>
      <c r="C743" s="1" t="n">
        <v>45728</v>
      </c>
      <c r="D743" t="inlineStr">
        <is>
          <t>JÄMTLANDS LÄN</t>
        </is>
      </c>
      <c r="E743" t="inlineStr">
        <is>
          <t>HÄRJEDALEN</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21781-2022</t>
        </is>
      </c>
      <c r="B744" s="1" t="n">
        <v>44708</v>
      </c>
      <c r="C744" s="1" t="n">
        <v>45728</v>
      </c>
      <c r="D744" t="inlineStr">
        <is>
          <t>JÄMTLANDS LÄN</t>
        </is>
      </c>
      <c r="E744" t="inlineStr">
        <is>
          <t>HÄRJEDALEN</t>
        </is>
      </c>
      <c r="F744" t="inlineStr">
        <is>
          <t>Holmen skog AB</t>
        </is>
      </c>
      <c r="G744" t="n">
        <v>16.3</v>
      </c>
      <c r="H744" t="n">
        <v>0</v>
      </c>
      <c r="I744" t="n">
        <v>0</v>
      </c>
      <c r="J744" t="n">
        <v>0</v>
      </c>
      <c r="K744" t="n">
        <v>0</v>
      </c>
      <c r="L744" t="n">
        <v>0</v>
      </c>
      <c r="M744" t="n">
        <v>0</v>
      </c>
      <c r="N744" t="n">
        <v>0</v>
      </c>
      <c r="O744" t="n">
        <v>0</v>
      </c>
      <c r="P744" t="n">
        <v>0</v>
      </c>
      <c r="Q744" t="n">
        <v>0</v>
      </c>
      <c r="R744" s="2" t="inlineStr"/>
    </row>
    <row r="745" ht="15" customHeight="1">
      <c r="A745" t="inlineStr">
        <is>
          <t>A 21796-2022</t>
        </is>
      </c>
      <c r="B745" s="1" t="n">
        <v>44708</v>
      </c>
      <c r="C745" s="1" t="n">
        <v>45728</v>
      </c>
      <c r="D745" t="inlineStr">
        <is>
          <t>JÄMTLANDS LÄN</t>
        </is>
      </c>
      <c r="E745" t="inlineStr">
        <is>
          <t>HÄRJEDALEN</t>
        </is>
      </c>
      <c r="F745" t="inlineStr">
        <is>
          <t>Holmen skog AB</t>
        </is>
      </c>
      <c r="G745" t="n">
        <v>22.3</v>
      </c>
      <c r="H745" t="n">
        <v>0</v>
      </c>
      <c r="I745" t="n">
        <v>0</v>
      </c>
      <c r="J745" t="n">
        <v>0</v>
      </c>
      <c r="K745" t="n">
        <v>0</v>
      </c>
      <c r="L745" t="n">
        <v>0</v>
      </c>
      <c r="M745" t="n">
        <v>0</v>
      </c>
      <c r="N745" t="n">
        <v>0</v>
      </c>
      <c r="O745" t="n">
        <v>0</v>
      </c>
      <c r="P745" t="n">
        <v>0</v>
      </c>
      <c r="Q745" t="n">
        <v>0</v>
      </c>
      <c r="R745" s="2" t="inlineStr"/>
    </row>
    <row r="746" ht="15" customHeight="1">
      <c r="A746" t="inlineStr">
        <is>
          <t>A 22166-2022</t>
        </is>
      </c>
      <c r="B746" s="1" t="n">
        <v>44712</v>
      </c>
      <c r="C746" s="1" t="n">
        <v>45728</v>
      </c>
      <c r="D746" t="inlineStr">
        <is>
          <t>JÄMTLANDS LÄN</t>
        </is>
      </c>
      <c r="E746" t="inlineStr">
        <is>
          <t>HÄRJEDALEN</t>
        </is>
      </c>
      <c r="F746" t="inlineStr">
        <is>
          <t>Holmen skog AB</t>
        </is>
      </c>
      <c r="G746" t="n">
        <v>5.6</v>
      </c>
      <c r="H746" t="n">
        <v>0</v>
      </c>
      <c r="I746" t="n">
        <v>0</v>
      </c>
      <c r="J746" t="n">
        <v>0</v>
      </c>
      <c r="K746" t="n">
        <v>0</v>
      </c>
      <c r="L746" t="n">
        <v>0</v>
      </c>
      <c r="M746" t="n">
        <v>0</v>
      </c>
      <c r="N746" t="n">
        <v>0</v>
      </c>
      <c r="O746" t="n">
        <v>0</v>
      </c>
      <c r="P746" t="n">
        <v>0</v>
      </c>
      <c r="Q746" t="n">
        <v>0</v>
      </c>
      <c r="R746" s="2" t="inlineStr"/>
    </row>
    <row r="747" ht="15" customHeight="1">
      <c r="A747" t="inlineStr">
        <is>
          <t>A 23074-2022</t>
        </is>
      </c>
      <c r="B747" s="1" t="n">
        <v>44719</v>
      </c>
      <c r="C747" s="1" t="n">
        <v>45728</v>
      </c>
      <c r="D747" t="inlineStr">
        <is>
          <t>JÄMTLANDS LÄN</t>
        </is>
      </c>
      <c r="E747" t="inlineStr">
        <is>
          <t>HÄRJEDALEN</t>
        </is>
      </c>
      <c r="F747" t="inlineStr">
        <is>
          <t>Bergvik skog väst AB</t>
        </is>
      </c>
      <c r="G747" t="n">
        <v>23.2</v>
      </c>
      <c r="H747" t="n">
        <v>0</v>
      </c>
      <c r="I747" t="n">
        <v>0</v>
      </c>
      <c r="J747" t="n">
        <v>0</v>
      </c>
      <c r="K747" t="n">
        <v>0</v>
      </c>
      <c r="L747" t="n">
        <v>0</v>
      </c>
      <c r="M747" t="n">
        <v>0</v>
      </c>
      <c r="N747" t="n">
        <v>0</v>
      </c>
      <c r="O747" t="n">
        <v>0</v>
      </c>
      <c r="P747" t="n">
        <v>0</v>
      </c>
      <c r="Q747" t="n">
        <v>0</v>
      </c>
      <c r="R747" s="2" t="inlineStr"/>
    </row>
    <row r="748" ht="15" customHeight="1">
      <c r="A748" t="inlineStr">
        <is>
          <t>A 23140-2022</t>
        </is>
      </c>
      <c r="B748" s="1" t="n">
        <v>44719</v>
      </c>
      <c r="C748" s="1" t="n">
        <v>45728</v>
      </c>
      <c r="D748" t="inlineStr">
        <is>
          <t>JÄMTLANDS LÄN</t>
        </is>
      </c>
      <c r="E748" t="inlineStr">
        <is>
          <t>HÄRJEDALEN</t>
        </is>
      </c>
      <c r="F748" t="inlineStr">
        <is>
          <t>Bergvik skog väst AB</t>
        </is>
      </c>
      <c r="G748" t="n">
        <v>3.3</v>
      </c>
      <c r="H748" t="n">
        <v>0</v>
      </c>
      <c r="I748" t="n">
        <v>0</v>
      </c>
      <c r="J748" t="n">
        <v>0</v>
      </c>
      <c r="K748" t="n">
        <v>0</v>
      </c>
      <c r="L748" t="n">
        <v>0</v>
      </c>
      <c r="M748" t="n">
        <v>0</v>
      </c>
      <c r="N748" t="n">
        <v>0</v>
      </c>
      <c r="O748" t="n">
        <v>0</v>
      </c>
      <c r="P748" t="n">
        <v>0</v>
      </c>
      <c r="Q748" t="n">
        <v>0</v>
      </c>
      <c r="R748" s="2" t="inlineStr"/>
    </row>
    <row r="749" ht="15" customHeight="1">
      <c r="A749" t="inlineStr">
        <is>
          <t>A 23731-2022</t>
        </is>
      </c>
      <c r="B749" s="1" t="n">
        <v>44722</v>
      </c>
      <c r="C749" s="1" t="n">
        <v>45728</v>
      </c>
      <c r="D749" t="inlineStr">
        <is>
          <t>JÄMTLANDS LÄN</t>
        </is>
      </c>
      <c r="E749" t="inlineStr">
        <is>
          <t>HÄRJEDALEN</t>
        </is>
      </c>
      <c r="G749" t="n">
        <v>15.6</v>
      </c>
      <c r="H749" t="n">
        <v>0</v>
      </c>
      <c r="I749" t="n">
        <v>0</v>
      </c>
      <c r="J749" t="n">
        <v>0</v>
      </c>
      <c r="K749" t="n">
        <v>0</v>
      </c>
      <c r="L749" t="n">
        <v>0</v>
      </c>
      <c r="M749" t="n">
        <v>0</v>
      </c>
      <c r="N749" t="n">
        <v>0</v>
      </c>
      <c r="O749" t="n">
        <v>0</v>
      </c>
      <c r="P749" t="n">
        <v>0</v>
      </c>
      <c r="Q749" t="n">
        <v>0</v>
      </c>
      <c r="R749" s="2" t="inlineStr"/>
    </row>
    <row r="750" ht="15" customHeight="1">
      <c r="A750" t="inlineStr">
        <is>
          <t>A 24214-2022</t>
        </is>
      </c>
      <c r="B750" s="1" t="n">
        <v>44725</v>
      </c>
      <c r="C750" s="1" t="n">
        <v>45728</v>
      </c>
      <c r="D750" t="inlineStr">
        <is>
          <t>JÄMTLANDS LÄN</t>
        </is>
      </c>
      <c r="E750" t="inlineStr">
        <is>
          <t>HÄRJEDALEN</t>
        </is>
      </c>
      <c r="F750" t="inlineStr">
        <is>
          <t>Holmen skog AB</t>
        </is>
      </c>
      <c r="G750" t="n">
        <v>7.8</v>
      </c>
      <c r="H750" t="n">
        <v>0</v>
      </c>
      <c r="I750" t="n">
        <v>0</v>
      </c>
      <c r="J750" t="n">
        <v>0</v>
      </c>
      <c r="K750" t="n">
        <v>0</v>
      </c>
      <c r="L750" t="n">
        <v>0</v>
      </c>
      <c r="M750" t="n">
        <v>0</v>
      </c>
      <c r="N750" t="n">
        <v>0</v>
      </c>
      <c r="O750" t="n">
        <v>0</v>
      </c>
      <c r="P750" t="n">
        <v>0</v>
      </c>
      <c r="Q750" t="n">
        <v>0</v>
      </c>
      <c r="R750" s="2" t="inlineStr"/>
    </row>
    <row r="751" ht="15" customHeight="1">
      <c r="A751" t="inlineStr">
        <is>
          <t>A 24426-2022</t>
        </is>
      </c>
      <c r="B751" s="1" t="n">
        <v>44726</v>
      </c>
      <c r="C751" s="1" t="n">
        <v>45728</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24530-2022</t>
        </is>
      </c>
      <c r="B752" s="1" t="n">
        <v>44726</v>
      </c>
      <c r="C752" s="1" t="n">
        <v>45728</v>
      </c>
      <c r="D752" t="inlineStr">
        <is>
          <t>JÄMTLANDS LÄN</t>
        </is>
      </c>
      <c r="E752" t="inlineStr">
        <is>
          <t>HÄRJEDALEN</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24571-2022</t>
        </is>
      </c>
      <c r="B753" s="1" t="n">
        <v>44727</v>
      </c>
      <c r="C753" s="1" t="n">
        <v>45728</v>
      </c>
      <c r="D753" t="inlineStr">
        <is>
          <t>JÄMTLANDS LÄN</t>
        </is>
      </c>
      <c r="E753" t="inlineStr">
        <is>
          <t>HÄRJEDALEN</t>
        </is>
      </c>
      <c r="G753" t="n">
        <v>2.6</v>
      </c>
      <c r="H753" t="n">
        <v>0</v>
      </c>
      <c r="I753" t="n">
        <v>0</v>
      </c>
      <c r="J753" t="n">
        <v>0</v>
      </c>
      <c r="K753" t="n">
        <v>0</v>
      </c>
      <c r="L753" t="n">
        <v>0</v>
      </c>
      <c r="M753" t="n">
        <v>0</v>
      </c>
      <c r="N753" t="n">
        <v>0</v>
      </c>
      <c r="O753" t="n">
        <v>0</v>
      </c>
      <c r="P753" t="n">
        <v>0</v>
      </c>
      <c r="Q753" t="n">
        <v>0</v>
      </c>
      <c r="R753" s="2" t="inlineStr"/>
    </row>
    <row r="754" ht="15" customHeight="1">
      <c r="A754" t="inlineStr">
        <is>
          <t>A 24690-2022</t>
        </is>
      </c>
      <c r="B754" s="1" t="n">
        <v>44727</v>
      </c>
      <c r="C754" s="1" t="n">
        <v>45728</v>
      </c>
      <c r="D754" t="inlineStr">
        <is>
          <t>JÄMTLANDS LÄN</t>
        </is>
      </c>
      <c r="E754" t="inlineStr">
        <is>
          <t>HÄRJEDALEN</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24693-2022</t>
        </is>
      </c>
      <c r="B755" s="1" t="n">
        <v>44727</v>
      </c>
      <c r="C755" s="1" t="n">
        <v>45728</v>
      </c>
      <c r="D755" t="inlineStr">
        <is>
          <t>JÄMTLANDS LÄN</t>
        </is>
      </c>
      <c r="E755" t="inlineStr">
        <is>
          <t>HÄRJEDALEN</t>
        </is>
      </c>
      <c r="F755" t="inlineStr">
        <is>
          <t>Kyrkan</t>
        </is>
      </c>
      <c r="G755" t="n">
        <v>0.9</v>
      </c>
      <c r="H755" t="n">
        <v>0</v>
      </c>
      <c r="I755" t="n">
        <v>0</v>
      </c>
      <c r="J755" t="n">
        <v>0</v>
      </c>
      <c r="K755" t="n">
        <v>0</v>
      </c>
      <c r="L755" t="n">
        <v>0</v>
      </c>
      <c r="M755" t="n">
        <v>0</v>
      </c>
      <c r="N755" t="n">
        <v>0</v>
      </c>
      <c r="O755" t="n">
        <v>0</v>
      </c>
      <c r="P755" t="n">
        <v>0</v>
      </c>
      <c r="Q755" t="n">
        <v>0</v>
      </c>
      <c r="R755" s="2" t="inlineStr"/>
    </row>
    <row r="756" ht="15" customHeight="1">
      <c r="A756" t="inlineStr">
        <is>
          <t>A 24824-2022</t>
        </is>
      </c>
      <c r="B756" s="1" t="n">
        <v>44728</v>
      </c>
      <c r="C756" s="1" t="n">
        <v>45728</v>
      </c>
      <c r="D756" t="inlineStr">
        <is>
          <t>JÄMTLANDS LÄN</t>
        </is>
      </c>
      <c r="E756" t="inlineStr">
        <is>
          <t>HÄRJEDALEN</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24834-2022</t>
        </is>
      </c>
      <c r="B757" s="1" t="n">
        <v>44728</v>
      </c>
      <c r="C757" s="1" t="n">
        <v>45728</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24792-2022</t>
        </is>
      </c>
      <c r="B758" s="1" t="n">
        <v>44728</v>
      </c>
      <c r="C758" s="1" t="n">
        <v>45728</v>
      </c>
      <c r="D758" t="inlineStr">
        <is>
          <t>JÄMTLANDS LÄN</t>
        </is>
      </c>
      <c r="E758" t="inlineStr">
        <is>
          <t>HÄRJEDALEN</t>
        </is>
      </c>
      <c r="G758" t="n">
        <v>0.2</v>
      </c>
      <c r="H758" t="n">
        <v>0</v>
      </c>
      <c r="I758" t="n">
        <v>0</v>
      </c>
      <c r="J758" t="n">
        <v>0</v>
      </c>
      <c r="K758" t="n">
        <v>0</v>
      </c>
      <c r="L758" t="n">
        <v>0</v>
      </c>
      <c r="M758" t="n">
        <v>0</v>
      </c>
      <c r="N758" t="n">
        <v>0</v>
      </c>
      <c r="O758" t="n">
        <v>0</v>
      </c>
      <c r="P758" t="n">
        <v>0</v>
      </c>
      <c r="Q758" t="n">
        <v>0</v>
      </c>
      <c r="R758" s="2" t="inlineStr"/>
    </row>
    <row r="759" ht="15" customHeight="1">
      <c r="A759" t="inlineStr">
        <is>
          <t>A 25500-2022</t>
        </is>
      </c>
      <c r="B759" s="1" t="n">
        <v>44732</v>
      </c>
      <c r="C759" s="1" t="n">
        <v>45728</v>
      </c>
      <c r="D759" t="inlineStr">
        <is>
          <t>JÄMTLANDS LÄN</t>
        </is>
      </c>
      <c r="E759" t="inlineStr">
        <is>
          <t>HÄRJEDALEN</t>
        </is>
      </c>
      <c r="G759" t="n">
        <v>2.6</v>
      </c>
      <c r="H759" t="n">
        <v>0</v>
      </c>
      <c r="I759" t="n">
        <v>0</v>
      </c>
      <c r="J759" t="n">
        <v>0</v>
      </c>
      <c r="K759" t="n">
        <v>0</v>
      </c>
      <c r="L759" t="n">
        <v>0</v>
      </c>
      <c r="M759" t="n">
        <v>0</v>
      </c>
      <c r="N759" t="n">
        <v>0</v>
      </c>
      <c r="O759" t="n">
        <v>0</v>
      </c>
      <c r="P759" t="n">
        <v>0</v>
      </c>
      <c r="Q759" t="n">
        <v>0</v>
      </c>
      <c r="R759" s="2" t="inlineStr"/>
    </row>
    <row r="760" ht="15" customHeight="1">
      <c r="A760" t="inlineStr">
        <is>
          <t>A 25583-2022</t>
        </is>
      </c>
      <c r="B760" s="1" t="n">
        <v>44732</v>
      </c>
      <c r="C760" s="1" t="n">
        <v>45728</v>
      </c>
      <c r="D760" t="inlineStr">
        <is>
          <t>JÄMTLANDS LÄN</t>
        </is>
      </c>
      <c r="E760" t="inlineStr">
        <is>
          <t>HÄRJEDALEN</t>
        </is>
      </c>
      <c r="F760" t="inlineStr">
        <is>
          <t>Bergvik skog väst AB</t>
        </is>
      </c>
      <c r="G760" t="n">
        <v>7.5</v>
      </c>
      <c r="H760" t="n">
        <v>0</v>
      </c>
      <c r="I760" t="n">
        <v>0</v>
      </c>
      <c r="J760" t="n">
        <v>0</v>
      </c>
      <c r="K760" t="n">
        <v>0</v>
      </c>
      <c r="L760" t="n">
        <v>0</v>
      </c>
      <c r="M760" t="n">
        <v>0</v>
      </c>
      <c r="N760" t="n">
        <v>0</v>
      </c>
      <c r="O760" t="n">
        <v>0</v>
      </c>
      <c r="P760" t="n">
        <v>0</v>
      </c>
      <c r="Q760" t="n">
        <v>0</v>
      </c>
      <c r="R760" s="2" t="inlineStr"/>
    </row>
    <row r="761" ht="15" customHeight="1">
      <c r="A761" t="inlineStr">
        <is>
          <t>A 25780-2022</t>
        </is>
      </c>
      <c r="B761" s="1" t="n">
        <v>44733</v>
      </c>
      <c r="C761" s="1" t="n">
        <v>45728</v>
      </c>
      <c r="D761" t="inlineStr">
        <is>
          <t>JÄMTLANDS LÄN</t>
        </is>
      </c>
      <c r="E761" t="inlineStr">
        <is>
          <t>HÄRJEDALEN</t>
        </is>
      </c>
      <c r="F761" t="inlineStr">
        <is>
          <t>Kyrkan</t>
        </is>
      </c>
      <c r="G761" t="n">
        <v>7.7</v>
      </c>
      <c r="H761" t="n">
        <v>0</v>
      </c>
      <c r="I761" t="n">
        <v>0</v>
      </c>
      <c r="J761" t="n">
        <v>0</v>
      </c>
      <c r="K761" t="n">
        <v>0</v>
      </c>
      <c r="L761" t="n">
        <v>0</v>
      </c>
      <c r="M761" t="n">
        <v>0</v>
      </c>
      <c r="N761" t="n">
        <v>0</v>
      </c>
      <c r="O761" t="n">
        <v>0</v>
      </c>
      <c r="P761" t="n">
        <v>0</v>
      </c>
      <c r="Q761" t="n">
        <v>0</v>
      </c>
      <c r="R761" s="2" t="inlineStr"/>
    </row>
    <row r="762" ht="15" customHeight="1">
      <c r="A762" t="inlineStr">
        <is>
          <t>A 25725-2022</t>
        </is>
      </c>
      <c r="B762" s="1" t="n">
        <v>44733</v>
      </c>
      <c r="C762" s="1" t="n">
        <v>45728</v>
      </c>
      <c r="D762" t="inlineStr">
        <is>
          <t>JÄMTLANDS LÄN</t>
        </is>
      </c>
      <c r="E762" t="inlineStr">
        <is>
          <t>HÄRJEDALEN</t>
        </is>
      </c>
      <c r="F762" t="inlineStr">
        <is>
          <t>Kyrkan</t>
        </is>
      </c>
      <c r="G762" t="n">
        <v>14</v>
      </c>
      <c r="H762" t="n">
        <v>0</v>
      </c>
      <c r="I762" t="n">
        <v>0</v>
      </c>
      <c r="J762" t="n">
        <v>0</v>
      </c>
      <c r="K762" t="n">
        <v>0</v>
      </c>
      <c r="L762" t="n">
        <v>0</v>
      </c>
      <c r="M762" t="n">
        <v>0</v>
      </c>
      <c r="N762" t="n">
        <v>0</v>
      </c>
      <c r="O762" t="n">
        <v>0</v>
      </c>
      <c r="P762" t="n">
        <v>0</v>
      </c>
      <c r="Q762" t="n">
        <v>0</v>
      </c>
      <c r="R762" s="2" t="inlineStr"/>
    </row>
    <row r="763" ht="15" customHeight="1">
      <c r="A763" t="inlineStr">
        <is>
          <t>A 25912-2022</t>
        </is>
      </c>
      <c r="B763" s="1" t="n">
        <v>44734</v>
      </c>
      <c r="C763" s="1" t="n">
        <v>45728</v>
      </c>
      <c r="D763" t="inlineStr">
        <is>
          <t>JÄMTLANDS LÄN</t>
        </is>
      </c>
      <c r="E763" t="inlineStr">
        <is>
          <t>HÄRJEDALEN</t>
        </is>
      </c>
      <c r="F763" t="inlineStr">
        <is>
          <t>Bergvik skog väst AB</t>
        </is>
      </c>
      <c r="G763" t="n">
        <v>13.7</v>
      </c>
      <c r="H763" t="n">
        <v>0</v>
      </c>
      <c r="I763" t="n">
        <v>0</v>
      </c>
      <c r="J763" t="n">
        <v>0</v>
      </c>
      <c r="K763" t="n">
        <v>0</v>
      </c>
      <c r="L763" t="n">
        <v>0</v>
      </c>
      <c r="M763" t="n">
        <v>0</v>
      </c>
      <c r="N763" t="n">
        <v>0</v>
      </c>
      <c r="O763" t="n">
        <v>0</v>
      </c>
      <c r="P763" t="n">
        <v>0</v>
      </c>
      <c r="Q763" t="n">
        <v>0</v>
      </c>
      <c r="R763" s="2" t="inlineStr"/>
    </row>
    <row r="764" ht="15" customHeight="1">
      <c r="A764" t="inlineStr">
        <is>
          <t>A 26613-2022</t>
        </is>
      </c>
      <c r="B764" s="1" t="n">
        <v>44739</v>
      </c>
      <c r="C764" s="1" t="n">
        <v>45728</v>
      </c>
      <c r="D764" t="inlineStr">
        <is>
          <t>JÄMTLANDS LÄN</t>
        </is>
      </c>
      <c r="E764" t="inlineStr">
        <is>
          <t>HÄRJEDALEN</t>
        </is>
      </c>
      <c r="F764" t="inlineStr">
        <is>
          <t>Bergvik skog väst AB</t>
        </is>
      </c>
      <c r="G764" t="n">
        <v>7.9</v>
      </c>
      <c r="H764" t="n">
        <v>0</v>
      </c>
      <c r="I764" t="n">
        <v>0</v>
      </c>
      <c r="J764" t="n">
        <v>0</v>
      </c>
      <c r="K764" t="n">
        <v>0</v>
      </c>
      <c r="L764" t="n">
        <v>0</v>
      </c>
      <c r="M764" t="n">
        <v>0</v>
      </c>
      <c r="N764" t="n">
        <v>0</v>
      </c>
      <c r="O764" t="n">
        <v>0</v>
      </c>
      <c r="P764" t="n">
        <v>0</v>
      </c>
      <c r="Q764" t="n">
        <v>0</v>
      </c>
      <c r="R764" s="2" t="inlineStr"/>
    </row>
    <row r="765" ht="15" customHeight="1">
      <c r="A765" t="inlineStr">
        <is>
          <t>A 26935-2022</t>
        </is>
      </c>
      <c r="B765" s="1" t="n">
        <v>44740</v>
      </c>
      <c r="C765" s="1" t="n">
        <v>45728</v>
      </c>
      <c r="D765" t="inlineStr">
        <is>
          <t>JÄMTLANDS LÄN</t>
        </is>
      </c>
      <c r="E765" t="inlineStr">
        <is>
          <t>HÄRJEDALEN</t>
        </is>
      </c>
      <c r="G765" t="n">
        <v>10.8</v>
      </c>
      <c r="H765" t="n">
        <v>0</v>
      </c>
      <c r="I765" t="n">
        <v>0</v>
      </c>
      <c r="J765" t="n">
        <v>0</v>
      </c>
      <c r="K765" t="n">
        <v>0</v>
      </c>
      <c r="L765" t="n">
        <v>0</v>
      </c>
      <c r="M765" t="n">
        <v>0</v>
      </c>
      <c r="N765" t="n">
        <v>0</v>
      </c>
      <c r="O765" t="n">
        <v>0</v>
      </c>
      <c r="P765" t="n">
        <v>0</v>
      </c>
      <c r="Q765" t="n">
        <v>0</v>
      </c>
      <c r="R765" s="2" t="inlineStr"/>
    </row>
    <row r="766" ht="15" customHeight="1">
      <c r="A766" t="inlineStr">
        <is>
          <t>A 27483-2022</t>
        </is>
      </c>
      <c r="B766" s="1" t="n">
        <v>44742</v>
      </c>
      <c r="C766" s="1" t="n">
        <v>45728</v>
      </c>
      <c r="D766" t="inlineStr">
        <is>
          <t>JÄMTLANDS LÄN</t>
        </is>
      </c>
      <c r="E766" t="inlineStr">
        <is>
          <t>HÄRJEDALEN</t>
        </is>
      </c>
      <c r="F766" t="inlineStr">
        <is>
          <t>Holmen skog AB</t>
        </is>
      </c>
      <c r="G766" t="n">
        <v>0</v>
      </c>
      <c r="H766" t="n">
        <v>0</v>
      </c>
      <c r="I766" t="n">
        <v>0</v>
      </c>
      <c r="J766" t="n">
        <v>0</v>
      </c>
      <c r="K766" t="n">
        <v>0</v>
      </c>
      <c r="L766" t="n">
        <v>0</v>
      </c>
      <c r="M766" t="n">
        <v>0</v>
      </c>
      <c r="N766" t="n">
        <v>0</v>
      </c>
      <c r="O766" t="n">
        <v>0</v>
      </c>
      <c r="P766" t="n">
        <v>0</v>
      </c>
      <c r="Q766" t="n">
        <v>0</v>
      </c>
      <c r="R766" s="2" t="inlineStr"/>
    </row>
    <row r="767" ht="15" customHeight="1">
      <c r="A767" t="inlineStr">
        <is>
          <t>A 29000-2022</t>
        </is>
      </c>
      <c r="B767" s="1" t="n">
        <v>44749</v>
      </c>
      <c r="C767" s="1" t="n">
        <v>45728</v>
      </c>
      <c r="D767" t="inlineStr">
        <is>
          <t>JÄMTLANDS LÄN</t>
        </is>
      </c>
      <c r="E767" t="inlineStr">
        <is>
          <t>HÄRJEDALEN</t>
        </is>
      </c>
      <c r="F767" t="inlineStr">
        <is>
          <t>Kyrkan</t>
        </is>
      </c>
      <c r="G767" t="n">
        <v>16.7</v>
      </c>
      <c r="H767" t="n">
        <v>0</v>
      </c>
      <c r="I767" t="n">
        <v>0</v>
      </c>
      <c r="J767" t="n">
        <v>0</v>
      </c>
      <c r="K767" t="n">
        <v>0</v>
      </c>
      <c r="L767" t="n">
        <v>0</v>
      </c>
      <c r="M767" t="n">
        <v>0</v>
      </c>
      <c r="N767" t="n">
        <v>0</v>
      </c>
      <c r="O767" t="n">
        <v>0</v>
      </c>
      <c r="P767" t="n">
        <v>0</v>
      </c>
      <c r="Q767" t="n">
        <v>0</v>
      </c>
      <c r="R767" s="2" t="inlineStr"/>
    </row>
    <row r="768" ht="15" customHeight="1">
      <c r="A768" t="inlineStr">
        <is>
          <t>A 29455-2022</t>
        </is>
      </c>
      <c r="B768" s="1" t="n">
        <v>44753</v>
      </c>
      <c r="C768" s="1" t="n">
        <v>45728</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30082-2022</t>
        </is>
      </c>
      <c r="B769" s="1" t="n">
        <v>44757</v>
      </c>
      <c r="C769" s="1" t="n">
        <v>45728</v>
      </c>
      <c r="D769" t="inlineStr">
        <is>
          <t>JÄMTLANDS LÄN</t>
        </is>
      </c>
      <c r="E769" t="inlineStr">
        <is>
          <t>HÄRJEDALEN</t>
        </is>
      </c>
      <c r="G769" t="n">
        <v>3</v>
      </c>
      <c r="H769" t="n">
        <v>0</v>
      </c>
      <c r="I769" t="n">
        <v>0</v>
      </c>
      <c r="J769" t="n">
        <v>0</v>
      </c>
      <c r="K769" t="n">
        <v>0</v>
      </c>
      <c r="L769" t="n">
        <v>0</v>
      </c>
      <c r="M769" t="n">
        <v>0</v>
      </c>
      <c r="N769" t="n">
        <v>0</v>
      </c>
      <c r="O769" t="n">
        <v>0</v>
      </c>
      <c r="P769" t="n">
        <v>0</v>
      </c>
      <c r="Q769" t="n">
        <v>0</v>
      </c>
      <c r="R769" s="2" t="inlineStr"/>
    </row>
    <row r="770" ht="15" customHeight="1">
      <c r="A770" t="inlineStr">
        <is>
          <t>A 30537-2022</t>
        </is>
      </c>
      <c r="B770" s="1" t="n">
        <v>44762</v>
      </c>
      <c r="C770" s="1" t="n">
        <v>45728</v>
      </c>
      <c r="D770" t="inlineStr">
        <is>
          <t>JÄMTLANDS LÄN</t>
        </is>
      </c>
      <c r="E770" t="inlineStr">
        <is>
          <t>HÄRJEDALEN</t>
        </is>
      </c>
      <c r="F770" t="inlineStr">
        <is>
          <t>Bergvik skog väst AB</t>
        </is>
      </c>
      <c r="G770" t="n">
        <v>18.5</v>
      </c>
      <c r="H770" t="n">
        <v>0</v>
      </c>
      <c r="I770" t="n">
        <v>0</v>
      </c>
      <c r="J770" t="n">
        <v>0</v>
      </c>
      <c r="K770" t="n">
        <v>0</v>
      </c>
      <c r="L770" t="n">
        <v>0</v>
      </c>
      <c r="M770" t="n">
        <v>0</v>
      </c>
      <c r="N770" t="n">
        <v>0</v>
      </c>
      <c r="O770" t="n">
        <v>0</v>
      </c>
      <c r="P770" t="n">
        <v>0</v>
      </c>
      <c r="Q770" t="n">
        <v>0</v>
      </c>
      <c r="R770" s="2" t="inlineStr"/>
    </row>
    <row r="771" ht="15" customHeight="1">
      <c r="A771" t="inlineStr">
        <is>
          <t>A 30643-2022</t>
        </is>
      </c>
      <c r="B771" s="1" t="n">
        <v>44763</v>
      </c>
      <c r="C771" s="1" t="n">
        <v>45728</v>
      </c>
      <c r="D771" t="inlineStr">
        <is>
          <t>JÄMTLANDS LÄN</t>
        </is>
      </c>
      <c r="E771" t="inlineStr">
        <is>
          <t>HÄRJEDALEN</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30962-2022</t>
        </is>
      </c>
      <c r="B772" s="1" t="n">
        <v>44768</v>
      </c>
      <c r="C772" s="1" t="n">
        <v>45728</v>
      </c>
      <c r="D772" t="inlineStr">
        <is>
          <t>JÄMTLANDS LÄN</t>
        </is>
      </c>
      <c r="E772" t="inlineStr">
        <is>
          <t>HÄRJEDALEN</t>
        </is>
      </c>
      <c r="G772" t="n">
        <v>0.6</v>
      </c>
      <c r="H772" t="n">
        <v>0</v>
      </c>
      <c r="I772" t="n">
        <v>0</v>
      </c>
      <c r="J772" t="n">
        <v>0</v>
      </c>
      <c r="K772" t="n">
        <v>0</v>
      </c>
      <c r="L772" t="n">
        <v>0</v>
      </c>
      <c r="M772" t="n">
        <v>0</v>
      </c>
      <c r="N772" t="n">
        <v>0</v>
      </c>
      <c r="O772" t="n">
        <v>0</v>
      </c>
      <c r="P772" t="n">
        <v>0</v>
      </c>
      <c r="Q772" t="n">
        <v>0</v>
      </c>
      <c r="R772" s="2" t="inlineStr"/>
    </row>
    <row r="773" ht="15" customHeight="1">
      <c r="A773" t="inlineStr">
        <is>
          <t>A 31167-2022</t>
        </is>
      </c>
      <c r="B773" s="1" t="n">
        <v>44770</v>
      </c>
      <c r="C773" s="1" t="n">
        <v>45728</v>
      </c>
      <c r="D773" t="inlineStr">
        <is>
          <t>JÄMTLANDS LÄN</t>
        </is>
      </c>
      <c r="E773" t="inlineStr">
        <is>
          <t>HÄRJEDALEN</t>
        </is>
      </c>
      <c r="G773" t="n">
        <v>1.9</v>
      </c>
      <c r="H773" t="n">
        <v>0</v>
      </c>
      <c r="I773" t="n">
        <v>0</v>
      </c>
      <c r="J773" t="n">
        <v>0</v>
      </c>
      <c r="K773" t="n">
        <v>0</v>
      </c>
      <c r="L773" t="n">
        <v>0</v>
      </c>
      <c r="M773" t="n">
        <v>0</v>
      </c>
      <c r="N773" t="n">
        <v>0</v>
      </c>
      <c r="O773" t="n">
        <v>0</v>
      </c>
      <c r="P773" t="n">
        <v>0</v>
      </c>
      <c r="Q773" t="n">
        <v>0</v>
      </c>
      <c r="R773" s="2" t="inlineStr"/>
    </row>
    <row r="774" ht="15" customHeight="1">
      <c r="A774" t="inlineStr">
        <is>
          <t>A 32910-2022</t>
        </is>
      </c>
      <c r="B774" s="1" t="n">
        <v>44784</v>
      </c>
      <c r="C774" s="1" t="n">
        <v>45728</v>
      </c>
      <c r="D774" t="inlineStr">
        <is>
          <t>JÄMTLANDS LÄN</t>
        </is>
      </c>
      <c r="E774" t="inlineStr">
        <is>
          <t>HÄRJEDALEN</t>
        </is>
      </c>
      <c r="F774" t="inlineStr">
        <is>
          <t>Bergvik skog väst AB</t>
        </is>
      </c>
      <c r="G774" t="n">
        <v>14.4</v>
      </c>
      <c r="H774" t="n">
        <v>0</v>
      </c>
      <c r="I774" t="n">
        <v>0</v>
      </c>
      <c r="J774" t="n">
        <v>0</v>
      </c>
      <c r="K774" t="n">
        <v>0</v>
      </c>
      <c r="L774" t="n">
        <v>0</v>
      </c>
      <c r="M774" t="n">
        <v>0</v>
      </c>
      <c r="N774" t="n">
        <v>0</v>
      </c>
      <c r="O774" t="n">
        <v>0</v>
      </c>
      <c r="P774" t="n">
        <v>0</v>
      </c>
      <c r="Q774" t="n">
        <v>0</v>
      </c>
      <c r="R774" s="2" t="inlineStr"/>
    </row>
    <row r="775" ht="15" customHeight="1">
      <c r="A775" t="inlineStr">
        <is>
          <t>A 32974-2022</t>
        </is>
      </c>
      <c r="B775" s="1" t="n">
        <v>44784</v>
      </c>
      <c r="C775" s="1" t="n">
        <v>45728</v>
      </c>
      <c r="D775" t="inlineStr">
        <is>
          <t>JÄMTLANDS LÄN</t>
        </is>
      </c>
      <c r="E775" t="inlineStr">
        <is>
          <t>HÄRJEDALEN</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33465-2022</t>
        </is>
      </c>
      <c r="B776" s="1" t="n">
        <v>44788</v>
      </c>
      <c r="C776" s="1" t="n">
        <v>45728</v>
      </c>
      <c r="D776" t="inlineStr">
        <is>
          <t>JÄMTLANDS LÄN</t>
        </is>
      </c>
      <c r="E776" t="inlineStr">
        <is>
          <t>HÄRJEDALEN</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33900-2022</t>
        </is>
      </c>
      <c r="B777" s="1" t="n">
        <v>44790</v>
      </c>
      <c r="C777" s="1" t="n">
        <v>45728</v>
      </c>
      <c r="D777" t="inlineStr">
        <is>
          <t>JÄMTLANDS LÄN</t>
        </is>
      </c>
      <c r="E777" t="inlineStr">
        <is>
          <t>HÄRJEDALEN</t>
        </is>
      </c>
      <c r="F777" t="inlineStr">
        <is>
          <t>Bergvik skog väst AB</t>
        </is>
      </c>
      <c r="G777" t="n">
        <v>15.2</v>
      </c>
      <c r="H777" t="n">
        <v>0</v>
      </c>
      <c r="I777" t="n">
        <v>0</v>
      </c>
      <c r="J777" t="n">
        <v>0</v>
      </c>
      <c r="K777" t="n">
        <v>0</v>
      </c>
      <c r="L777" t="n">
        <v>0</v>
      </c>
      <c r="M777" t="n">
        <v>0</v>
      </c>
      <c r="N777" t="n">
        <v>0</v>
      </c>
      <c r="O777" t="n">
        <v>0</v>
      </c>
      <c r="P777" t="n">
        <v>0</v>
      </c>
      <c r="Q777" t="n">
        <v>0</v>
      </c>
      <c r="R777" s="2" t="inlineStr"/>
    </row>
    <row r="778" ht="15" customHeight="1">
      <c r="A778" t="inlineStr">
        <is>
          <t>A 33889-2022</t>
        </is>
      </c>
      <c r="B778" s="1" t="n">
        <v>44790</v>
      </c>
      <c r="C778" s="1" t="n">
        <v>45728</v>
      </c>
      <c r="D778" t="inlineStr">
        <is>
          <t>JÄMTLANDS LÄN</t>
        </is>
      </c>
      <c r="E778" t="inlineStr">
        <is>
          <t>HÄRJEDALEN</t>
        </is>
      </c>
      <c r="F778" t="inlineStr">
        <is>
          <t>Bergvik skog väst AB</t>
        </is>
      </c>
      <c r="G778" t="n">
        <v>6.6</v>
      </c>
      <c r="H778" t="n">
        <v>0</v>
      </c>
      <c r="I778" t="n">
        <v>0</v>
      </c>
      <c r="J778" t="n">
        <v>0</v>
      </c>
      <c r="K778" t="n">
        <v>0</v>
      </c>
      <c r="L778" t="n">
        <v>0</v>
      </c>
      <c r="M778" t="n">
        <v>0</v>
      </c>
      <c r="N778" t="n">
        <v>0</v>
      </c>
      <c r="O778" t="n">
        <v>0</v>
      </c>
      <c r="P778" t="n">
        <v>0</v>
      </c>
      <c r="Q778" t="n">
        <v>0</v>
      </c>
      <c r="R778" s="2" t="inlineStr"/>
    </row>
    <row r="779" ht="15" customHeight="1">
      <c r="A779" t="inlineStr">
        <is>
          <t>A 34112-2022</t>
        </is>
      </c>
      <c r="B779" s="1" t="n">
        <v>44791</v>
      </c>
      <c r="C779" s="1" t="n">
        <v>45728</v>
      </c>
      <c r="D779" t="inlineStr">
        <is>
          <t>JÄMTLANDS LÄN</t>
        </is>
      </c>
      <c r="E779" t="inlineStr">
        <is>
          <t>HÄRJEDALEN</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34359-2022</t>
        </is>
      </c>
      <c r="B780" s="1" t="n">
        <v>44792</v>
      </c>
      <c r="C780" s="1" t="n">
        <v>45728</v>
      </c>
      <c r="D780" t="inlineStr">
        <is>
          <t>JÄMTLANDS LÄN</t>
        </is>
      </c>
      <c r="E780" t="inlineStr">
        <is>
          <t>HÄRJEDALEN</t>
        </is>
      </c>
      <c r="F780" t="inlineStr">
        <is>
          <t>Bergvik skog väst AB</t>
        </is>
      </c>
      <c r="G780" t="n">
        <v>23.1</v>
      </c>
      <c r="H780" t="n">
        <v>0</v>
      </c>
      <c r="I780" t="n">
        <v>0</v>
      </c>
      <c r="J780" t="n">
        <v>0</v>
      </c>
      <c r="K780" t="n">
        <v>0</v>
      </c>
      <c r="L780" t="n">
        <v>0</v>
      </c>
      <c r="M780" t="n">
        <v>0</v>
      </c>
      <c r="N780" t="n">
        <v>0</v>
      </c>
      <c r="O780" t="n">
        <v>0</v>
      </c>
      <c r="P780" t="n">
        <v>0</v>
      </c>
      <c r="Q780" t="n">
        <v>0</v>
      </c>
      <c r="R780" s="2" t="inlineStr"/>
    </row>
    <row r="781" ht="15" customHeight="1">
      <c r="A781" t="inlineStr">
        <is>
          <t>A 34361-2022</t>
        </is>
      </c>
      <c r="B781" s="1" t="n">
        <v>44792</v>
      </c>
      <c r="C781" s="1" t="n">
        <v>45728</v>
      </c>
      <c r="D781" t="inlineStr">
        <is>
          <t>JÄMTLANDS LÄN</t>
        </is>
      </c>
      <c r="E781" t="inlineStr">
        <is>
          <t>HÄRJEDALEN</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34392-2022</t>
        </is>
      </c>
      <c r="B782" s="1" t="n">
        <v>44792</v>
      </c>
      <c r="C782" s="1" t="n">
        <v>45728</v>
      </c>
      <c r="D782" t="inlineStr">
        <is>
          <t>JÄMTLANDS LÄN</t>
        </is>
      </c>
      <c r="E782" t="inlineStr">
        <is>
          <t>HÄRJEDALEN</t>
        </is>
      </c>
      <c r="G782" t="n">
        <v>23.5</v>
      </c>
      <c r="H782" t="n">
        <v>0</v>
      </c>
      <c r="I782" t="n">
        <v>0</v>
      </c>
      <c r="J782" t="n">
        <v>0</v>
      </c>
      <c r="K782" t="n">
        <v>0</v>
      </c>
      <c r="L782" t="n">
        <v>0</v>
      </c>
      <c r="M782" t="n">
        <v>0</v>
      </c>
      <c r="N782" t="n">
        <v>0</v>
      </c>
      <c r="O782" t="n">
        <v>0</v>
      </c>
      <c r="P782" t="n">
        <v>0</v>
      </c>
      <c r="Q782" t="n">
        <v>0</v>
      </c>
      <c r="R782" s="2" t="inlineStr"/>
    </row>
    <row r="783" ht="15" customHeight="1">
      <c r="A783" t="inlineStr">
        <is>
          <t>A 34492-2022</t>
        </is>
      </c>
      <c r="B783" s="1" t="n">
        <v>44792</v>
      </c>
      <c r="C783" s="1" t="n">
        <v>45728</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34627-2022</t>
        </is>
      </c>
      <c r="B784" s="1" t="n">
        <v>44795</v>
      </c>
      <c r="C784" s="1" t="n">
        <v>45728</v>
      </c>
      <c r="D784" t="inlineStr">
        <is>
          <t>JÄMTLANDS LÄN</t>
        </is>
      </c>
      <c r="E784" t="inlineStr">
        <is>
          <t>HÄRJEDALEN</t>
        </is>
      </c>
      <c r="G784" t="n">
        <v>2.4</v>
      </c>
      <c r="H784" t="n">
        <v>0</v>
      </c>
      <c r="I784" t="n">
        <v>0</v>
      </c>
      <c r="J784" t="n">
        <v>0</v>
      </c>
      <c r="K784" t="n">
        <v>0</v>
      </c>
      <c r="L784" t="n">
        <v>0</v>
      </c>
      <c r="M784" t="n">
        <v>0</v>
      </c>
      <c r="N784" t="n">
        <v>0</v>
      </c>
      <c r="O784" t="n">
        <v>0</v>
      </c>
      <c r="P784" t="n">
        <v>0</v>
      </c>
      <c r="Q784" t="n">
        <v>0</v>
      </c>
      <c r="R784" s="2" t="inlineStr"/>
    </row>
    <row r="785" ht="15" customHeight="1">
      <c r="A785" t="inlineStr">
        <is>
          <t>A 34621-2022</t>
        </is>
      </c>
      <c r="B785" s="1" t="n">
        <v>44795</v>
      </c>
      <c r="C785" s="1" t="n">
        <v>45728</v>
      </c>
      <c r="D785" t="inlineStr">
        <is>
          <t>JÄMTLANDS LÄN</t>
        </is>
      </c>
      <c r="E785" t="inlineStr">
        <is>
          <t>HÄRJEDALEN</t>
        </is>
      </c>
      <c r="G785" t="n">
        <v>3.8</v>
      </c>
      <c r="H785" t="n">
        <v>0</v>
      </c>
      <c r="I785" t="n">
        <v>0</v>
      </c>
      <c r="J785" t="n">
        <v>0</v>
      </c>
      <c r="K785" t="n">
        <v>0</v>
      </c>
      <c r="L785" t="n">
        <v>0</v>
      </c>
      <c r="M785" t="n">
        <v>0</v>
      </c>
      <c r="N785" t="n">
        <v>0</v>
      </c>
      <c r="O785" t="n">
        <v>0</v>
      </c>
      <c r="P785" t="n">
        <v>0</v>
      </c>
      <c r="Q785" t="n">
        <v>0</v>
      </c>
      <c r="R785" s="2" t="inlineStr"/>
    </row>
    <row r="786" ht="15" customHeight="1">
      <c r="A786" t="inlineStr">
        <is>
          <t>A 35614-2022</t>
        </is>
      </c>
      <c r="B786" s="1" t="n">
        <v>44799</v>
      </c>
      <c r="C786" s="1" t="n">
        <v>45728</v>
      </c>
      <c r="D786" t="inlineStr">
        <is>
          <t>JÄMTLANDS LÄN</t>
        </is>
      </c>
      <c r="E786" t="inlineStr">
        <is>
          <t>HÄRJEDALEN</t>
        </is>
      </c>
      <c r="F786" t="inlineStr">
        <is>
          <t>Bergvik skog väst AB</t>
        </is>
      </c>
      <c r="G786" t="n">
        <v>72.09999999999999</v>
      </c>
      <c r="H786" t="n">
        <v>0</v>
      </c>
      <c r="I786" t="n">
        <v>0</v>
      </c>
      <c r="J786" t="n">
        <v>0</v>
      </c>
      <c r="K786" t="n">
        <v>0</v>
      </c>
      <c r="L786" t="n">
        <v>0</v>
      </c>
      <c r="M786" t="n">
        <v>0</v>
      </c>
      <c r="N786" t="n">
        <v>0</v>
      </c>
      <c r="O786" t="n">
        <v>0</v>
      </c>
      <c r="P786" t="n">
        <v>0</v>
      </c>
      <c r="Q786" t="n">
        <v>0</v>
      </c>
      <c r="R786" s="2" t="inlineStr"/>
    </row>
    <row r="787" ht="15" customHeight="1">
      <c r="A787" t="inlineStr">
        <is>
          <t>A 36249-2022</t>
        </is>
      </c>
      <c r="B787" s="1" t="n">
        <v>44803</v>
      </c>
      <c r="C787" s="1" t="n">
        <v>45728</v>
      </c>
      <c r="D787" t="inlineStr">
        <is>
          <t>JÄMTLANDS LÄN</t>
        </is>
      </c>
      <c r="E787" t="inlineStr">
        <is>
          <t>HÄRJEDALEN</t>
        </is>
      </c>
      <c r="G787" t="n">
        <v>7.2</v>
      </c>
      <c r="H787" t="n">
        <v>0</v>
      </c>
      <c r="I787" t="n">
        <v>0</v>
      </c>
      <c r="J787" t="n">
        <v>0</v>
      </c>
      <c r="K787" t="n">
        <v>0</v>
      </c>
      <c r="L787" t="n">
        <v>0</v>
      </c>
      <c r="M787" t="n">
        <v>0</v>
      </c>
      <c r="N787" t="n">
        <v>0</v>
      </c>
      <c r="O787" t="n">
        <v>0</v>
      </c>
      <c r="P787" t="n">
        <v>0</v>
      </c>
      <c r="Q787" t="n">
        <v>0</v>
      </c>
      <c r="R787" s="2" t="inlineStr"/>
    </row>
    <row r="788" ht="15" customHeight="1">
      <c r="A788" t="inlineStr">
        <is>
          <t>A 36170-2022</t>
        </is>
      </c>
      <c r="B788" s="1" t="n">
        <v>44803</v>
      </c>
      <c r="C788" s="1" t="n">
        <v>45728</v>
      </c>
      <c r="D788" t="inlineStr">
        <is>
          <t>JÄMTLANDS LÄN</t>
        </is>
      </c>
      <c r="E788" t="inlineStr">
        <is>
          <t>HÄRJEDALEN</t>
        </is>
      </c>
      <c r="G788" t="n">
        <v>14.7</v>
      </c>
      <c r="H788" t="n">
        <v>0</v>
      </c>
      <c r="I788" t="n">
        <v>0</v>
      </c>
      <c r="J788" t="n">
        <v>0</v>
      </c>
      <c r="K788" t="n">
        <v>0</v>
      </c>
      <c r="L788" t="n">
        <v>0</v>
      </c>
      <c r="M788" t="n">
        <v>0</v>
      </c>
      <c r="N788" t="n">
        <v>0</v>
      </c>
      <c r="O788" t="n">
        <v>0</v>
      </c>
      <c r="P788" t="n">
        <v>0</v>
      </c>
      <c r="Q788" t="n">
        <v>0</v>
      </c>
      <c r="R788" s="2" t="inlineStr"/>
    </row>
    <row r="789" ht="15" customHeight="1">
      <c r="A789" t="inlineStr">
        <is>
          <t>A 36182-2022</t>
        </is>
      </c>
      <c r="B789" s="1" t="n">
        <v>44803</v>
      </c>
      <c r="C789" s="1" t="n">
        <v>45728</v>
      </c>
      <c r="D789" t="inlineStr">
        <is>
          <t>JÄMTLANDS LÄN</t>
        </is>
      </c>
      <c r="E789" t="inlineStr">
        <is>
          <t>HÄRJEDALEN</t>
        </is>
      </c>
      <c r="G789" t="n">
        <v>13</v>
      </c>
      <c r="H789" t="n">
        <v>0</v>
      </c>
      <c r="I789" t="n">
        <v>0</v>
      </c>
      <c r="J789" t="n">
        <v>0</v>
      </c>
      <c r="K789" t="n">
        <v>0</v>
      </c>
      <c r="L789" t="n">
        <v>0</v>
      </c>
      <c r="M789" t="n">
        <v>0</v>
      </c>
      <c r="N789" t="n">
        <v>0</v>
      </c>
      <c r="O789" t="n">
        <v>0</v>
      </c>
      <c r="P789" t="n">
        <v>0</v>
      </c>
      <c r="Q789" t="n">
        <v>0</v>
      </c>
      <c r="R789" s="2" t="inlineStr"/>
    </row>
    <row r="790" ht="15" customHeight="1">
      <c r="A790" t="inlineStr">
        <is>
          <t>A 36187-2022</t>
        </is>
      </c>
      <c r="B790" s="1" t="n">
        <v>44803</v>
      </c>
      <c r="C790" s="1" t="n">
        <v>45728</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36448-2022</t>
        </is>
      </c>
      <c r="B791" s="1" t="n">
        <v>44804</v>
      </c>
      <c r="C791" s="1" t="n">
        <v>45728</v>
      </c>
      <c r="D791" t="inlineStr">
        <is>
          <t>JÄMTLANDS LÄN</t>
        </is>
      </c>
      <c r="E791" t="inlineStr">
        <is>
          <t>HÄRJEDALEN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37515-2022</t>
        </is>
      </c>
      <c r="B792" s="1" t="n">
        <v>44809</v>
      </c>
      <c r="C792" s="1" t="n">
        <v>45728</v>
      </c>
      <c r="D792" t="inlineStr">
        <is>
          <t>JÄMTLANDS LÄN</t>
        </is>
      </c>
      <c r="E792" t="inlineStr">
        <is>
          <t>HÄRJEDALEN</t>
        </is>
      </c>
      <c r="F792" t="inlineStr">
        <is>
          <t>Bergvik skog väst AB</t>
        </is>
      </c>
      <c r="G792" t="n">
        <v>3.2</v>
      </c>
      <c r="H792" t="n">
        <v>0</v>
      </c>
      <c r="I792" t="n">
        <v>0</v>
      </c>
      <c r="J792" t="n">
        <v>0</v>
      </c>
      <c r="K792" t="n">
        <v>0</v>
      </c>
      <c r="L792" t="n">
        <v>0</v>
      </c>
      <c r="M792" t="n">
        <v>0</v>
      </c>
      <c r="N792" t="n">
        <v>0</v>
      </c>
      <c r="O792" t="n">
        <v>0</v>
      </c>
      <c r="P792" t="n">
        <v>0</v>
      </c>
      <c r="Q792" t="n">
        <v>0</v>
      </c>
      <c r="R792" s="2" t="inlineStr"/>
    </row>
    <row r="793" ht="15" customHeight="1">
      <c r="A793" t="inlineStr">
        <is>
          <t>A 37666-2022</t>
        </is>
      </c>
      <c r="B793" s="1" t="n">
        <v>44810</v>
      </c>
      <c r="C793" s="1" t="n">
        <v>45728</v>
      </c>
      <c r="D793" t="inlineStr">
        <is>
          <t>JÄMTLANDS LÄN</t>
        </is>
      </c>
      <c r="E793" t="inlineStr">
        <is>
          <t>HÄRJEDALEN</t>
        </is>
      </c>
      <c r="F793" t="inlineStr">
        <is>
          <t>Holmen skog AB</t>
        </is>
      </c>
      <c r="G793" t="n">
        <v>7.2</v>
      </c>
      <c r="H793" t="n">
        <v>0</v>
      </c>
      <c r="I793" t="n">
        <v>0</v>
      </c>
      <c r="J793" t="n">
        <v>0</v>
      </c>
      <c r="K793" t="n">
        <v>0</v>
      </c>
      <c r="L793" t="n">
        <v>0</v>
      </c>
      <c r="M793" t="n">
        <v>0</v>
      </c>
      <c r="N793" t="n">
        <v>0</v>
      </c>
      <c r="O793" t="n">
        <v>0</v>
      </c>
      <c r="P793" t="n">
        <v>0</v>
      </c>
      <c r="Q793" t="n">
        <v>0</v>
      </c>
      <c r="R793" s="2" t="inlineStr"/>
    </row>
    <row r="794" ht="15" customHeight="1">
      <c r="A794" t="inlineStr">
        <is>
          <t>A 37690-2022</t>
        </is>
      </c>
      <c r="B794" s="1" t="n">
        <v>44810</v>
      </c>
      <c r="C794" s="1" t="n">
        <v>45728</v>
      </c>
      <c r="D794" t="inlineStr">
        <is>
          <t>JÄMTLANDS LÄN</t>
        </is>
      </c>
      <c r="E794" t="inlineStr">
        <is>
          <t>HÄRJEDALEN</t>
        </is>
      </c>
      <c r="F794" t="inlineStr">
        <is>
          <t>Holmen skog AB</t>
        </is>
      </c>
      <c r="G794" t="n">
        <v>7.8</v>
      </c>
      <c r="H794" t="n">
        <v>0</v>
      </c>
      <c r="I794" t="n">
        <v>0</v>
      </c>
      <c r="J794" t="n">
        <v>0</v>
      </c>
      <c r="K794" t="n">
        <v>0</v>
      </c>
      <c r="L794" t="n">
        <v>0</v>
      </c>
      <c r="M794" t="n">
        <v>0</v>
      </c>
      <c r="N794" t="n">
        <v>0</v>
      </c>
      <c r="O794" t="n">
        <v>0</v>
      </c>
      <c r="P794" t="n">
        <v>0</v>
      </c>
      <c r="Q794" t="n">
        <v>0</v>
      </c>
      <c r="R794" s="2" t="inlineStr"/>
    </row>
    <row r="795" ht="15" customHeight="1">
      <c r="A795" t="inlineStr">
        <is>
          <t>A 37678-2022</t>
        </is>
      </c>
      <c r="B795" s="1" t="n">
        <v>44810</v>
      </c>
      <c r="C795" s="1" t="n">
        <v>45728</v>
      </c>
      <c r="D795" t="inlineStr">
        <is>
          <t>JÄMTLANDS LÄN</t>
        </is>
      </c>
      <c r="E795" t="inlineStr">
        <is>
          <t>HÄRJEDALEN</t>
        </is>
      </c>
      <c r="F795" t="inlineStr">
        <is>
          <t>Bergvik skog väst AB</t>
        </is>
      </c>
      <c r="G795" t="n">
        <v>4.7</v>
      </c>
      <c r="H795" t="n">
        <v>0</v>
      </c>
      <c r="I795" t="n">
        <v>0</v>
      </c>
      <c r="J795" t="n">
        <v>0</v>
      </c>
      <c r="K795" t="n">
        <v>0</v>
      </c>
      <c r="L795" t="n">
        <v>0</v>
      </c>
      <c r="M795" t="n">
        <v>0</v>
      </c>
      <c r="N795" t="n">
        <v>0</v>
      </c>
      <c r="O795" t="n">
        <v>0</v>
      </c>
      <c r="P795" t="n">
        <v>0</v>
      </c>
      <c r="Q795" t="n">
        <v>0</v>
      </c>
      <c r="R795" s="2" t="inlineStr"/>
    </row>
    <row r="796" ht="15" customHeight="1">
      <c r="A796" t="inlineStr">
        <is>
          <t>A 37873-2022</t>
        </is>
      </c>
      <c r="B796" s="1" t="n">
        <v>44811</v>
      </c>
      <c r="C796" s="1" t="n">
        <v>45728</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37990-2022</t>
        </is>
      </c>
      <c r="B797" s="1" t="n">
        <v>44811</v>
      </c>
      <c r="C797" s="1" t="n">
        <v>45728</v>
      </c>
      <c r="D797" t="inlineStr">
        <is>
          <t>JÄMTLANDS LÄN</t>
        </is>
      </c>
      <c r="E797" t="inlineStr">
        <is>
          <t>HÄRJEDALEN</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37988-2022</t>
        </is>
      </c>
      <c r="B798" s="1" t="n">
        <v>44811</v>
      </c>
      <c r="C798" s="1" t="n">
        <v>45728</v>
      </c>
      <c r="D798" t="inlineStr">
        <is>
          <t>JÄMTLANDS LÄN</t>
        </is>
      </c>
      <c r="E798" t="inlineStr">
        <is>
          <t>HÄRJEDALEN</t>
        </is>
      </c>
      <c r="F798" t="inlineStr">
        <is>
          <t>Bergvik skog väst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39396-2022</t>
        </is>
      </c>
      <c r="B799" s="1" t="n">
        <v>44818</v>
      </c>
      <c r="C799" s="1" t="n">
        <v>45728</v>
      </c>
      <c r="D799" t="inlineStr">
        <is>
          <t>JÄMTLANDS LÄN</t>
        </is>
      </c>
      <c r="E799" t="inlineStr">
        <is>
          <t>HÄRJEDALEN</t>
        </is>
      </c>
      <c r="F799" t="inlineStr">
        <is>
          <t>SCA</t>
        </is>
      </c>
      <c r="G799" t="n">
        <v>11.4</v>
      </c>
      <c r="H799" t="n">
        <v>0</v>
      </c>
      <c r="I799" t="n">
        <v>0</v>
      </c>
      <c r="J799" t="n">
        <v>0</v>
      </c>
      <c r="K799" t="n">
        <v>0</v>
      </c>
      <c r="L799" t="n">
        <v>0</v>
      </c>
      <c r="M799" t="n">
        <v>0</v>
      </c>
      <c r="N799" t="n">
        <v>0</v>
      </c>
      <c r="O799" t="n">
        <v>0</v>
      </c>
      <c r="P799" t="n">
        <v>0</v>
      </c>
      <c r="Q799" t="n">
        <v>0</v>
      </c>
      <c r="R799" s="2" t="inlineStr"/>
    </row>
    <row r="800" ht="15" customHeight="1">
      <c r="A800" t="inlineStr">
        <is>
          <t>A 39625-2022</t>
        </is>
      </c>
      <c r="B800" s="1" t="n">
        <v>44818</v>
      </c>
      <c r="C800" s="1" t="n">
        <v>45728</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39618-2022</t>
        </is>
      </c>
      <c r="B801" s="1" t="n">
        <v>44818</v>
      </c>
      <c r="C801" s="1" t="n">
        <v>45728</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39820-2022</t>
        </is>
      </c>
      <c r="B802" s="1" t="n">
        <v>44819</v>
      </c>
      <c r="C802" s="1" t="n">
        <v>45728</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40084-2022</t>
        </is>
      </c>
      <c r="B803" s="1" t="n">
        <v>44820</v>
      </c>
      <c r="C803" s="1" t="n">
        <v>45728</v>
      </c>
      <c r="D803" t="inlineStr">
        <is>
          <t>JÄMTLANDS LÄN</t>
        </is>
      </c>
      <c r="E803" t="inlineStr">
        <is>
          <t>HÄRJEDALEN</t>
        </is>
      </c>
      <c r="F803" t="inlineStr">
        <is>
          <t>Bergvik skog väst AB</t>
        </is>
      </c>
      <c r="G803" t="n">
        <v>6</v>
      </c>
      <c r="H803" t="n">
        <v>0</v>
      </c>
      <c r="I803" t="n">
        <v>0</v>
      </c>
      <c r="J803" t="n">
        <v>0</v>
      </c>
      <c r="K803" t="n">
        <v>0</v>
      </c>
      <c r="L803" t="n">
        <v>0</v>
      </c>
      <c r="M803" t="n">
        <v>0</v>
      </c>
      <c r="N803" t="n">
        <v>0</v>
      </c>
      <c r="O803" t="n">
        <v>0</v>
      </c>
      <c r="P803" t="n">
        <v>0</v>
      </c>
      <c r="Q803" t="n">
        <v>0</v>
      </c>
      <c r="R803" s="2" t="inlineStr"/>
    </row>
    <row r="804" ht="15" customHeight="1">
      <c r="A804" t="inlineStr">
        <is>
          <t>A 40201-2022</t>
        </is>
      </c>
      <c r="B804" s="1" t="n">
        <v>44820</v>
      </c>
      <c r="C804" s="1" t="n">
        <v>45728</v>
      </c>
      <c r="D804" t="inlineStr">
        <is>
          <t>JÄMTLANDS LÄN</t>
        </is>
      </c>
      <c r="E804" t="inlineStr">
        <is>
          <t>HÄRJEDALEN</t>
        </is>
      </c>
      <c r="F804" t="inlineStr">
        <is>
          <t>Kyrkan</t>
        </is>
      </c>
      <c r="G804" t="n">
        <v>14.6</v>
      </c>
      <c r="H804" t="n">
        <v>0</v>
      </c>
      <c r="I804" t="n">
        <v>0</v>
      </c>
      <c r="J804" t="n">
        <v>0</v>
      </c>
      <c r="K804" t="n">
        <v>0</v>
      </c>
      <c r="L804" t="n">
        <v>0</v>
      </c>
      <c r="M804" t="n">
        <v>0</v>
      </c>
      <c r="N804" t="n">
        <v>0</v>
      </c>
      <c r="O804" t="n">
        <v>0</v>
      </c>
      <c r="P804" t="n">
        <v>0</v>
      </c>
      <c r="Q804" t="n">
        <v>0</v>
      </c>
      <c r="R804" s="2" t="inlineStr"/>
    </row>
    <row r="805" ht="15" customHeight="1">
      <c r="A805" t="inlineStr">
        <is>
          <t>A 40596-2022</t>
        </is>
      </c>
      <c r="B805" s="1" t="n">
        <v>44823</v>
      </c>
      <c r="C805" s="1" t="n">
        <v>45728</v>
      </c>
      <c r="D805" t="inlineStr">
        <is>
          <t>JÄMTLANDS LÄN</t>
        </is>
      </c>
      <c r="E805" t="inlineStr">
        <is>
          <t>HÄRJEDALEN</t>
        </is>
      </c>
      <c r="G805" t="n">
        <v>2.9</v>
      </c>
      <c r="H805" t="n">
        <v>0</v>
      </c>
      <c r="I805" t="n">
        <v>0</v>
      </c>
      <c r="J805" t="n">
        <v>0</v>
      </c>
      <c r="K805" t="n">
        <v>0</v>
      </c>
      <c r="L805" t="n">
        <v>0</v>
      </c>
      <c r="M805" t="n">
        <v>0</v>
      </c>
      <c r="N805" t="n">
        <v>0</v>
      </c>
      <c r="O805" t="n">
        <v>0</v>
      </c>
      <c r="P805" t="n">
        <v>0</v>
      </c>
      <c r="Q805" t="n">
        <v>0</v>
      </c>
      <c r="R805" s="2" t="inlineStr"/>
    </row>
    <row r="806" ht="15" customHeight="1">
      <c r="A806" t="inlineStr">
        <is>
          <t>A 40561-2022</t>
        </is>
      </c>
      <c r="B806" s="1" t="n">
        <v>44823</v>
      </c>
      <c r="C806" s="1" t="n">
        <v>45728</v>
      </c>
      <c r="D806" t="inlineStr">
        <is>
          <t>JÄMTLANDS LÄN</t>
        </is>
      </c>
      <c r="E806" t="inlineStr">
        <is>
          <t>HÄRJEDALEN</t>
        </is>
      </c>
      <c r="F806" t="inlineStr">
        <is>
          <t>Bergvik skog väst AB</t>
        </is>
      </c>
      <c r="G806" t="n">
        <v>2.4</v>
      </c>
      <c r="H806" t="n">
        <v>0</v>
      </c>
      <c r="I806" t="n">
        <v>0</v>
      </c>
      <c r="J806" t="n">
        <v>0</v>
      </c>
      <c r="K806" t="n">
        <v>0</v>
      </c>
      <c r="L806" t="n">
        <v>0</v>
      </c>
      <c r="M806" t="n">
        <v>0</v>
      </c>
      <c r="N806" t="n">
        <v>0</v>
      </c>
      <c r="O806" t="n">
        <v>0</v>
      </c>
      <c r="P806" t="n">
        <v>0</v>
      </c>
      <c r="Q806" t="n">
        <v>0</v>
      </c>
      <c r="R806" s="2" t="inlineStr"/>
    </row>
    <row r="807" ht="15" customHeight="1">
      <c r="A807" t="inlineStr">
        <is>
          <t>A 40578-2022</t>
        </is>
      </c>
      <c r="B807" s="1" t="n">
        <v>44823</v>
      </c>
      <c r="C807" s="1" t="n">
        <v>45728</v>
      </c>
      <c r="D807" t="inlineStr">
        <is>
          <t>JÄMTLANDS LÄN</t>
        </is>
      </c>
      <c r="E807" t="inlineStr">
        <is>
          <t>HÄRJEDALEN</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41080-2022</t>
        </is>
      </c>
      <c r="B808" s="1" t="n">
        <v>44825</v>
      </c>
      <c r="C808" s="1" t="n">
        <v>45728</v>
      </c>
      <c r="D808" t="inlineStr">
        <is>
          <t>JÄMTLANDS LÄN</t>
        </is>
      </c>
      <c r="E808" t="inlineStr">
        <is>
          <t>HÄRJEDALEN</t>
        </is>
      </c>
      <c r="G808" t="n">
        <v>1.3</v>
      </c>
      <c r="H808" t="n">
        <v>0</v>
      </c>
      <c r="I808" t="n">
        <v>0</v>
      </c>
      <c r="J808" t="n">
        <v>0</v>
      </c>
      <c r="K808" t="n">
        <v>0</v>
      </c>
      <c r="L808" t="n">
        <v>0</v>
      </c>
      <c r="M808" t="n">
        <v>0</v>
      </c>
      <c r="N808" t="n">
        <v>0</v>
      </c>
      <c r="O808" t="n">
        <v>0</v>
      </c>
      <c r="P808" t="n">
        <v>0</v>
      </c>
      <c r="Q808" t="n">
        <v>0</v>
      </c>
      <c r="R808" s="2" t="inlineStr"/>
    </row>
    <row r="809" ht="15" customHeight="1">
      <c r="A809" t="inlineStr">
        <is>
          <t>A 41164-2022</t>
        </is>
      </c>
      <c r="B809" s="1" t="n">
        <v>44825</v>
      </c>
      <c r="C809" s="1" t="n">
        <v>45728</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41209-2022</t>
        </is>
      </c>
      <c r="B810" s="1" t="n">
        <v>44825</v>
      </c>
      <c r="C810" s="1" t="n">
        <v>45728</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41293-2022</t>
        </is>
      </c>
      <c r="B811" s="1" t="n">
        <v>44826</v>
      </c>
      <c r="C811" s="1" t="n">
        <v>45728</v>
      </c>
      <c r="D811" t="inlineStr">
        <is>
          <t>JÄMTLANDS LÄN</t>
        </is>
      </c>
      <c r="E811" t="inlineStr">
        <is>
          <t>HÄRJEDALEN</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41759-2022</t>
        </is>
      </c>
      <c r="B812" s="1" t="n">
        <v>44827</v>
      </c>
      <c r="C812" s="1" t="n">
        <v>45728</v>
      </c>
      <c r="D812" t="inlineStr">
        <is>
          <t>JÄMTLANDS LÄN</t>
        </is>
      </c>
      <c r="E812" t="inlineStr">
        <is>
          <t>HÄRJEDALEN</t>
        </is>
      </c>
      <c r="G812" t="n">
        <v>20</v>
      </c>
      <c r="H812" t="n">
        <v>0</v>
      </c>
      <c r="I812" t="n">
        <v>0</v>
      </c>
      <c r="J812" t="n">
        <v>0</v>
      </c>
      <c r="K812" t="n">
        <v>0</v>
      </c>
      <c r="L812" t="n">
        <v>0</v>
      </c>
      <c r="M812" t="n">
        <v>0</v>
      </c>
      <c r="N812" t="n">
        <v>0</v>
      </c>
      <c r="O812" t="n">
        <v>0</v>
      </c>
      <c r="P812" t="n">
        <v>0</v>
      </c>
      <c r="Q812" t="n">
        <v>0</v>
      </c>
      <c r="R812" s="2" t="inlineStr"/>
    </row>
    <row r="813" ht="15" customHeight="1">
      <c r="A813" t="inlineStr">
        <is>
          <t>A 41711-2022</t>
        </is>
      </c>
      <c r="B813" s="1" t="n">
        <v>44827</v>
      </c>
      <c r="C813" s="1" t="n">
        <v>45728</v>
      </c>
      <c r="D813" t="inlineStr">
        <is>
          <t>JÄMTLANDS LÄN</t>
        </is>
      </c>
      <c r="E813" t="inlineStr">
        <is>
          <t>HÄRJEDALEN</t>
        </is>
      </c>
      <c r="G813" t="n">
        <v>18.3</v>
      </c>
      <c r="H813" t="n">
        <v>0</v>
      </c>
      <c r="I813" t="n">
        <v>0</v>
      </c>
      <c r="J813" t="n">
        <v>0</v>
      </c>
      <c r="K813" t="n">
        <v>0</v>
      </c>
      <c r="L813" t="n">
        <v>0</v>
      </c>
      <c r="M813" t="n">
        <v>0</v>
      </c>
      <c r="N813" t="n">
        <v>0</v>
      </c>
      <c r="O813" t="n">
        <v>0</v>
      </c>
      <c r="P813" t="n">
        <v>0</v>
      </c>
      <c r="Q813" t="n">
        <v>0</v>
      </c>
      <c r="R813" s="2" t="inlineStr"/>
    </row>
    <row r="814" ht="15" customHeight="1">
      <c r="A814" t="inlineStr">
        <is>
          <t>A 41771-2022</t>
        </is>
      </c>
      <c r="B814" s="1" t="n">
        <v>44827</v>
      </c>
      <c r="C814" s="1" t="n">
        <v>45728</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41766-2022</t>
        </is>
      </c>
      <c r="B815" s="1" t="n">
        <v>44827</v>
      </c>
      <c r="C815" s="1" t="n">
        <v>45728</v>
      </c>
      <c r="D815" t="inlineStr">
        <is>
          <t>JÄMTLANDS LÄN</t>
        </is>
      </c>
      <c r="E815" t="inlineStr">
        <is>
          <t>HÄRJEDALEN</t>
        </is>
      </c>
      <c r="G815" t="n">
        <v>12.5</v>
      </c>
      <c r="H815" t="n">
        <v>0</v>
      </c>
      <c r="I815" t="n">
        <v>0</v>
      </c>
      <c r="J815" t="n">
        <v>0</v>
      </c>
      <c r="K815" t="n">
        <v>0</v>
      </c>
      <c r="L815" t="n">
        <v>0</v>
      </c>
      <c r="M815" t="n">
        <v>0</v>
      </c>
      <c r="N815" t="n">
        <v>0</v>
      </c>
      <c r="O815" t="n">
        <v>0</v>
      </c>
      <c r="P815" t="n">
        <v>0</v>
      </c>
      <c r="Q815" t="n">
        <v>0</v>
      </c>
      <c r="R815" s="2" t="inlineStr"/>
    </row>
    <row r="816" ht="15" customHeight="1">
      <c r="A816" t="inlineStr">
        <is>
          <t>A 42673-2022</t>
        </is>
      </c>
      <c r="B816" s="1" t="n">
        <v>44832</v>
      </c>
      <c r="C816" s="1" t="n">
        <v>45728</v>
      </c>
      <c r="D816" t="inlineStr">
        <is>
          <t>JÄMTLANDS LÄN</t>
        </is>
      </c>
      <c r="E816" t="inlineStr">
        <is>
          <t>HÄRJEDALEN</t>
        </is>
      </c>
      <c r="F816" t="inlineStr">
        <is>
          <t>Bergvik skog väst AB</t>
        </is>
      </c>
      <c r="G816" t="n">
        <v>18.6</v>
      </c>
      <c r="H816" t="n">
        <v>0</v>
      </c>
      <c r="I816" t="n">
        <v>0</v>
      </c>
      <c r="J816" t="n">
        <v>0</v>
      </c>
      <c r="K816" t="n">
        <v>0</v>
      </c>
      <c r="L816" t="n">
        <v>0</v>
      </c>
      <c r="M816" t="n">
        <v>0</v>
      </c>
      <c r="N816" t="n">
        <v>0</v>
      </c>
      <c r="O816" t="n">
        <v>0</v>
      </c>
      <c r="P816" t="n">
        <v>0</v>
      </c>
      <c r="Q816" t="n">
        <v>0</v>
      </c>
      <c r="R816" s="2" t="inlineStr"/>
    </row>
    <row r="817" ht="15" customHeight="1">
      <c r="A817" t="inlineStr">
        <is>
          <t>A 42916-2022</t>
        </is>
      </c>
      <c r="B817" s="1" t="n">
        <v>44833</v>
      </c>
      <c r="C817" s="1" t="n">
        <v>45728</v>
      </c>
      <c r="D817" t="inlineStr">
        <is>
          <t>JÄMTLANDS LÄN</t>
        </is>
      </c>
      <c r="E817" t="inlineStr">
        <is>
          <t>HÄRJEDALEN</t>
        </is>
      </c>
      <c r="F817" t="inlineStr">
        <is>
          <t>Bergvik skog väst AB</t>
        </is>
      </c>
      <c r="G817" t="n">
        <v>8.6</v>
      </c>
      <c r="H817" t="n">
        <v>0</v>
      </c>
      <c r="I817" t="n">
        <v>0</v>
      </c>
      <c r="J817" t="n">
        <v>0</v>
      </c>
      <c r="K817" t="n">
        <v>0</v>
      </c>
      <c r="L817" t="n">
        <v>0</v>
      </c>
      <c r="M817" t="n">
        <v>0</v>
      </c>
      <c r="N817" t="n">
        <v>0</v>
      </c>
      <c r="O817" t="n">
        <v>0</v>
      </c>
      <c r="P817" t="n">
        <v>0</v>
      </c>
      <c r="Q817" t="n">
        <v>0</v>
      </c>
      <c r="R817" s="2" t="inlineStr"/>
    </row>
    <row r="818" ht="15" customHeight="1">
      <c r="A818" t="inlineStr">
        <is>
          <t>A 43293-2022</t>
        </is>
      </c>
      <c r="B818" s="1" t="n">
        <v>44834</v>
      </c>
      <c r="C818" s="1" t="n">
        <v>45728</v>
      </c>
      <c r="D818" t="inlineStr">
        <is>
          <t>JÄMTLANDS LÄN</t>
        </is>
      </c>
      <c r="E818" t="inlineStr">
        <is>
          <t>HÄRJEDALEN</t>
        </is>
      </c>
      <c r="F818" t="inlineStr">
        <is>
          <t>Bergvik skog väst AB</t>
        </is>
      </c>
      <c r="G818" t="n">
        <v>6.7</v>
      </c>
      <c r="H818" t="n">
        <v>0</v>
      </c>
      <c r="I818" t="n">
        <v>0</v>
      </c>
      <c r="J818" t="n">
        <v>0</v>
      </c>
      <c r="K818" t="n">
        <v>0</v>
      </c>
      <c r="L818" t="n">
        <v>0</v>
      </c>
      <c r="M818" t="n">
        <v>0</v>
      </c>
      <c r="N818" t="n">
        <v>0</v>
      </c>
      <c r="O818" t="n">
        <v>0</v>
      </c>
      <c r="P818" t="n">
        <v>0</v>
      </c>
      <c r="Q818" t="n">
        <v>0</v>
      </c>
      <c r="R818" s="2" t="inlineStr"/>
    </row>
    <row r="819" ht="15" customHeight="1">
      <c r="A819" t="inlineStr">
        <is>
          <t>A 43531-2022</t>
        </is>
      </c>
      <c r="B819" s="1" t="n">
        <v>44837</v>
      </c>
      <c r="C819" s="1" t="n">
        <v>45728</v>
      </c>
      <c r="D819" t="inlineStr">
        <is>
          <t>JÄMTLANDS LÄN</t>
        </is>
      </c>
      <c r="E819" t="inlineStr">
        <is>
          <t>HÄRJEDALEN</t>
        </is>
      </c>
      <c r="F819" t="inlineStr">
        <is>
          <t>Bergvik skog väst AB</t>
        </is>
      </c>
      <c r="G819" t="n">
        <v>7.1</v>
      </c>
      <c r="H819" t="n">
        <v>0</v>
      </c>
      <c r="I819" t="n">
        <v>0</v>
      </c>
      <c r="J819" t="n">
        <v>0</v>
      </c>
      <c r="K819" t="n">
        <v>0</v>
      </c>
      <c r="L819" t="n">
        <v>0</v>
      </c>
      <c r="M819" t="n">
        <v>0</v>
      </c>
      <c r="N819" t="n">
        <v>0</v>
      </c>
      <c r="O819" t="n">
        <v>0</v>
      </c>
      <c r="P819" t="n">
        <v>0</v>
      </c>
      <c r="Q819" t="n">
        <v>0</v>
      </c>
      <c r="R819" s="2" t="inlineStr"/>
    </row>
    <row r="820" ht="15" customHeight="1">
      <c r="A820" t="inlineStr">
        <is>
          <t>A 43552-2022</t>
        </is>
      </c>
      <c r="B820" s="1" t="n">
        <v>44837</v>
      </c>
      <c r="C820" s="1" t="n">
        <v>45728</v>
      </c>
      <c r="D820" t="inlineStr">
        <is>
          <t>JÄMTLANDS LÄN</t>
        </is>
      </c>
      <c r="E820" t="inlineStr">
        <is>
          <t>HÄRJEDALEN</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43825-2022</t>
        </is>
      </c>
      <c r="B821" s="1" t="n">
        <v>44838</v>
      </c>
      <c r="C821" s="1" t="n">
        <v>45728</v>
      </c>
      <c r="D821" t="inlineStr">
        <is>
          <t>JÄMTLANDS LÄN</t>
        </is>
      </c>
      <c r="E821" t="inlineStr">
        <is>
          <t>HÄRJEDALEN</t>
        </is>
      </c>
      <c r="F821" t="inlineStr">
        <is>
          <t>Bergvik skog väst AB</t>
        </is>
      </c>
      <c r="G821" t="n">
        <v>0.4</v>
      </c>
      <c r="H821" t="n">
        <v>0</v>
      </c>
      <c r="I821" t="n">
        <v>0</v>
      </c>
      <c r="J821" t="n">
        <v>0</v>
      </c>
      <c r="K821" t="n">
        <v>0</v>
      </c>
      <c r="L821" t="n">
        <v>0</v>
      </c>
      <c r="M821" t="n">
        <v>0</v>
      </c>
      <c r="N821" t="n">
        <v>0</v>
      </c>
      <c r="O821" t="n">
        <v>0</v>
      </c>
      <c r="P821" t="n">
        <v>0</v>
      </c>
      <c r="Q821" t="n">
        <v>0</v>
      </c>
      <c r="R821" s="2" t="inlineStr"/>
    </row>
    <row r="822" ht="15" customHeight="1">
      <c r="A822" t="inlineStr">
        <is>
          <t>A 45017-2022</t>
        </is>
      </c>
      <c r="B822" s="1" t="n">
        <v>44841</v>
      </c>
      <c r="C822" s="1" t="n">
        <v>45728</v>
      </c>
      <c r="D822" t="inlineStr">
        <is>
          <t>JÄMTLANDS LÄN</t>
        </is>
      </c>
      <c r="E822" t="inlineStr">
        <is>
          <t>HÄRJEDALEN</t>
        </is>
      </c>
      <c r="F822" t="inlineStr">
        <is>
          <t>Bergvik skog väst AB</t>
        </is>
      </c>
      <c r="G822" t="n">
        <v>5.4</v>
      </c>
      <c r="H822" t="n">
        <v>0</v>
      </c>
      <c r="I822" t="n">
        <v>0</v>
      </c>
      <c r="J822" t="n">
        <v>0</v>
      </c>
      <c r="K822" t="n">
        <v>0</v>
      </c>
      <c r="L822" t="n">
        <v>0</v>
      </c>
      <c r="M822" t="n">
        <v>0</v>
      </c>
      <c r="N822" t="n">
        <v>0</v>
      </c>
      <c r="O822" t="n">
        <v>0</v>
      </c>
      <c r="P822" t="n">
        <v>0</v>
      </c>
      <c r="Q822" t="n">
        <v>0</v>
      </c>
      <c r="R822" s="2" t="inlineStr"/>
    </row>
    <row r="823" ht="15" customHeight="1">
      <c r="A823" t="inlineStr">
        <is>
          <t>A 47351-2022</t>
        </is>
      </c>
      <c r="B823" s="1" t="n">
        <v>44853</v>
      </c>
      <c r="C823" s="1" t="n">
        <v>45728</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47450-2022</t>
        </is>
      </c>
      <c r="B824" s="1" t="n">
        <v>44853</v>
      </c>
      <c r="C824" s="1" t="n">
        <v>45728</v>
      </c>
      <c r="D824" t="inlineStr">
        <is>
          <t>JÄMTLANDS LÄN</t>
        </is>
      </c>
      <c r="E824" t="inlineStr">
        <is>
          <t>HÄRJEDALEN</t>
        </is>
      </c>
      <c r="G824" t="n">
        <v>1.5</v>
      </c>
      <c r="H824" t="n">
        <v>0</v>
      </c>
      <c r="I824" t="n">
        <v>0</v>
      </c>
      <c r="J824" t="n">
        <v>0</v>
      </c>
      <c r="K824" t="n">
        <v>0</v>
      </c>
      <c r="L824" t="n">
        <v>0</v>
      </c>
      <c r="M824" t="n">
        <v>0</v>
      </c>
      <c r="N824" t="n">
        <v>0</v>
      </c>
      <c r="O824" t="n">
        <v>0</v>
      </c>
      <c r="P824" t="n">
        <v>0</v>
      </c>
      <c r="Q824" t="n">
        <v>0</v>
      </c>
      <c r="R824" s="2" t="inlineStr"/>
    </row>
    <row r="825" ht="15" customHeight="1">
      <c r="A825" t="inlineStr">
        <is>
          <t>A 47635-2022</t>
        </is>
      </c>
      <c r="B825" s="1" t="n">
        <v>44854</v>
      </c>
      <c r="C825" s="1" t="n">
        <v>45728</v>
      </c>
      <c r="D825" t="inlineStr">
        <is>
          <t>JÄMTLANDS LÄN</t>
        </is>
      </c>
      <c r="E825" t="inlineStr">
        <is>
          <t>HÄRJEDALEN</t>
        </is>
      </c>
      <c r="G825" t="n">
        <v>2.2</v>
      </c>
      <c r="H825" t="n">
        <v>0</v>
      </c>
      <c r="I825" t="n">
        <v>0</v>
      </c>
      <c r="J825" t="n">
        <v>0</v>
      </c>
      <c r="K825" t="n">
        <v>0</v>
      </c>
      <c r="L825" t="n">
        <v>0</v>
      </c>
      <c r="M825" t="n">
        <v>0</v>
      </c>
      <c r="N825" t="n">
        <v>0</v>
      </c>
      <c r="O825" t="n">
        <v>0</v>
      </c>
      <c r="P825" t="n">
        <v>0</v>
      </c>
      <c r="Q825" t="n">
        <v>0</v>
      </c>
      <c r="R825" s="2" t="inlineStr"/>
    </row>
    <row r="826" ht="15" customHeight="1">
      <c r="A826" t="inlineStr">
        <is>
          <t>A 47738-2022</t>
        </is>
      </c>
      <c r="B826" s="1" t="n">
        <v>44854</v>
      </c>
      <c r="C826" s="1" t="n">
        <v>45728</v>
      </c>
      <c r="D826" t="inlineStr">
        <is>
          <t>JÄMTLANDS LÄN</t>
        </is>
      </c>
      <c r="E826" t="inlineStr">
        <is>
          <t>HÄRJEDALEN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47975-2022</t>
        </is>
      </c>
      <c r="B827" s="1" t="n">
        <v>44855</v>
      </c>
      <c r="C827" s="1" t="n">
        <v>45728</v>
      </c>
      <c r="D827" t="inlineStr">
        <is>
          <t>JÄMTLANDS LÄN</t>
        </is>
      </c>
      <c r="E827" t="inlineStr">
        <is>
          <t>HÄRJEDALEN</t>
        </is>
      </c>
      <c r="G827" t="n">
        <v>3</v>
      </c>
      <c r="H827" t="n">
        <v>0</v>
      </c>
      <c r="I827" t="n">
        <v>0</v>
      </c>
      <c r="J827" t="n">
        <v>0</v>
      </c>
      <c r="K827" t="n">
        <v>0</v>
      </c>
      <c r="L827" t="n">
        <v>0</v>
      </c>
      <c r="M827" t="n">
        <v>0</v>
      </c>
      <c r="N827" t="n">
        <v>0</v>
      </c>
      <c r="O827" t="n">
        <v>0</v>
      </c>
      <c r="P827" t="n">
        <v>0</v>
      </c>
      <c r="Q827" t="n">
        <v>0</v>
      </c>
      <c r="R827" s="2" t="inlineStr"/>
    </row>
    <row r="828" ht="15" customHeight="1">
      <c r="A828" t="inlineStr">
        <is>
          <t>A 48438-2022</t>
        </is>
      </c>
      <c r="B828" s="1" t="n">
        <v>44858</v>
      </c>
      <c r="C828" s="1" t="n">
        <v>45728</v>
      </c>
      <c r="D828" t="inlineStr">
        <is>
          <t>JÄMTLANDS LÄN</t>
        </is>
      </c>
      <c r="E828" t="inlineStr">
        <is>
          <t>HÄRJEDALEN</t>
        </is>
      </c>
      <c r="G828" t="n">
        <v>1.9</v>
      </c>
      <c r="H828" t="n">
        <v>0</v>
      </c>
      <c r="I828" t="n">
        <v>0</v>
      </c>
      <c r="J828" t="n">
        <v>0</v>
      </c>
      <c r="K828" t="n">
        <v>0</v>
      </c>
      <c r="L828" t="n">
        <v>0</v>
      </c>
      <c r="M828" t="n">
        <v>0</v>
      </c>
      <c r="N828" t="n">
        <v>0</v>
      </c>
      <c r="O828" t="n">
        <v>0</v>
      </c>
      <c r="P828" t="n">
        <v>0</v>
      </c>
      <c r="Q828" t="n">
        <v>0</v>
      </c>
      <c r="R828" s="2" t="inlineStr"/>
    </row>
    <row r="829" ht="15" customHeight="1">
      <c r="A829" t="inlineStr">
        <is>
          <t>A 48583-2022</t>
        </is>
      </c>
      <c r="B829" s="1" t="n">
        <v>44859</v>
      </c>
      <c r="C829" s="1" t="n">
        <v>45728</v>
      </c>
      <c r="D829" t="inlineStr">
        <is>
          <t>JÄMTLANDS LÄN</t>
        </is>
      </c>
      <c r="E829" t="inlineStr">
        <is>
          <t>HÄRJEDALEN</t>
        </is>
      </c>
      <c r="F829" t="inlineStr">
        <is>
          <t>Bergvik skog väst AB</t>
        </is>
      </c>
      <c r="G829" t="n">
        <v>8.6</v>
      </c>
      <c r="H829" t="n">
        <v>0</v>
      </c>
      <c r="I829" t="n">
        <v>0</v>
      </c>
      <c r="J829" t="n">
        <v>0</v>
      </c>
      <c r="K829" t="n">
        <v>0</v>
      </c>
      <c r="L829" t="n">
        <v>0</v>
      </c>
      <c r="M829" t="n">
        <v>0</v>
      </c>
      <c r="N829" t="n">
        <v>0</v>
      </c>
      <c r="O829" t="n">
        <v>0</v>
      </c>
      <c r="P829" t="n">
        <v>0</v>
      </c>
      <c r="Q829" t="n">
        <v>0</v>
      </c>
      <c r="R829" s="2" t="inlineStr"/>
    </row>
    <row r="830" ht="15" customHeight="1">
      <c r="A830" t="inlineStr">
        <is>
          <t>A 49237-2022</t>
        </is>
      </c>
      <c r="B830" s="1" t="n">
        <v>44861</v>
      </c>
      <c r="C830" s="1" t="n">
        <v>45728</v>
      </c>
      <c r="D830" t="inlineStr">
        <is>
          <t>JÄMTLANDS LÄN</t>
        </is>
      </c>
      <c r="E830" t="inlineStr">
        <is>
          <t>HÄRJEDALEN</t>
        </is>
      </c>
      <c r="G830" t="n">
        <v>5.8</v>
      </c>
      <c r="H830" t="n">
        <v>0</v>
      </c>
      <c r="I830" t="n">
        <v>0</v>
      </c>
      <c r="J830" t="n">
        <v>0</v>
      </c>
      <c r="K830" t="n">
        <v>0</v>
      </c>
      <c r="L830" t="n">
        <v>0</v>
      </c>
      <c r="M830" t="n">
        <v>0</v>
      </c>
      <c r="N830" t="n">
        <v>0</v>
      </c>
      <c r="O830" t="n">
        <v>0</v>
      </c>
      <c r="P830" t="n">
        <v>0</v>
      </c>
      <c r="Q830" t="n">
        <v>0</v>
      </c>
      <c r="R830" s="2" t="inlineStr"/>
    </row>
    <row r="831" ht="15" customHeight="1">
      <c r="A831" t="inlineStr">
        <is>
          <t>A 49295-2022</t>
        </is>
      </c>
      <c r="B831" s="1" t="n">
        <v>44861</v>
      </c>
      <c r="C831" s="1" t="n">
        <v>45728</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49663-2022</t>
        </is>
      </c>
      <c r="B832" s="1" t="n">
        <v>44862</v>
      </c>
      <c r="C832" s="1" t="n">
        <v>45728</v>
      </c>
      <c r="D832" t="inlineStr">
        <is>
          <t>JÄMTLANDS LÄN</t>
        </is>
      </c>
      <c r="E832" t="inlineStr">
        <is>
          <t>HÄRJEDALEN</t>
        </is>
      </c>
      <c r="F832" t="inlineStr">
        <is>
          <t>Bergvik skog väst AB</t>
        </is>
      </c>
      <c r="G832" t="n">
        <v>17.5</v>
      </c>
      <c r="H832" t="n">
        <v>0</v>
      </c>
      <c r="I832" t="n">
        <v>0</v>
      </c>
      <c r="J832" t="n">
        <v>0</v>
      </c>
      <c r="K832" t="n">
        <v>0</v>
      </c>
      <c r="L832" t="n">
        <v>0</v>
      </c>
      <c r="M832" t="n">
        <v>0</v>
      </c>
      <c r="N832" t="n">
        <v>0</v>
      </c>
      <c r="O832" t="n">
        <v>0</v>
      </c>
      <c r="P832" t="n">
        <v>0</v>
      </c>
      <c r="Q832" t="n">
        <v>0</v>
      </c>
      <c r="R832" s="2" t="inlineStr"/>
    </row>
    <row r="833" ht="15" customHeight="1">
      <c r="A833" t="inlineStr">
        <is>
          <t>A 49689-2022</t>
        </is>
      </c>
      <c r="B833" s="1" t="n">
        <v>44862</v>
      </c>
      <c r="C833" s="1" t="n">
        <v>45728</v>
      </c>
      <c r="D833" t="inlineStr">
        <is>
          <t>JÄMTLANDS LÄN</t>
        </is>
      </c>
      <c r="E833" t="inlineStr">
        <is>
          <t>HÄRJEDALEN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49995-2022</t>
        </is>
      </c>
      <c r="B834" s="1" t="n">
        <v>44865</v>
      </c>
      <c r="C834" s="1" t="n">
        <v>45728</v>
      </c>
      <c r="D834" t="inlineStr">
        <is>
          <t>JÄMTLANDS LÄN</t>
        </is>
      </c>
      <c r="E834" t="inlineStr">
        <is>
          <t>HÄRJEDALEN</t>
        </is>
      </c>
      <c r="F834" t="inlineStr">
        <is>
          <t>Bergvik skog väst AB</t>
        </is>
      </c>
      <c r="G834" t="n">
        <v>3</v>
      </c>
      <c r="H834" t="n">
        <v>0</v>
      </c>
      <c r="I834" t="n">
        <v>0</v>
      </c>
      <c r="J834" t="n">
        <v>0</v>
      </c>
      <c r="K834" t="n">
        <v>0</v>
      </c>
      <c r="L834" t="n">
        <v>0</v>
      </c>
      <c r="M834" t="n">
        <v>0</v>
      </c>
      <c r="N834" t="n">
        <v>0</v>
      </c>
      <c r="O834" t="n">
        <v>0</v>
      </c>
      <c r="P834" t="n">
        <v>0</v>
      </c>
      <c r="Q834" t="n">
        <v>0</v>
      </c>
      <c r="R834" s="2" t="inlineStr"/>
    </row>
    <row r="835" ht="15" customHeight="1">
      <c r="A835" t="inlineStr">
        <is>
          <t>A 51948-2022</t>
        </is>
      </c>
      <c r="B835" s="1" t="n">
        <v>44872</v>
      </c>
      <c r="C835" s="1" t="n">
        <v>45728</v>
      </c>
      <c r="D835" t="inlineStr">
        <is>
          <t>JÄMTLANDS LÄN</t>
        </is>
      </c>
      <c r="E835" t="inlineStr">
        <is>
          <t>HÄRJEDALEN</t>
        </is>
      </c>
      <c r="F835" t="inlineStr">
        <is>
          <t>Bergvik skog väst AB</t>
        </is>
      </c>
      <c r="G835" t="n">
        <v>3.8</v>
      </c>
      <c r="H835" t="n">
        <v>0</v>
      </c>
      <c r="I835" t="n">
        <v>0</v>
      </c>
      <c r="J835" t="n">
        <v>0</v>
      </c>
      <c r="K835" t="n">
        <v>0</v>
      </c>
      <c r="L835" t="n">
        <v>0</v>
      </c>
      <c r="M835" t="n">
        <v>0</v>
      </c>
      <c r="N835" t="n">
        <v>0</v>
      </c>
      <c r="O835" t="n">
        <v>0</v>
      </c>
      <c r="P835" t="n">
        <v>0</v>
      </c>
      <c r="Q835" t="n">
        <v>0</v>
      </c>
      <c r="R835" s="2" t="inlineStr"/>
    </row>
    <row r="836" ht="15" customHeight="1">
      <c r="A836" t="inlineStr">
        <is>
          <t>A 52852-2022</t>
        </is>
      </c>
      <c r="B836" s="1" t="n">
        <v>44872</v>
      </c>
      <c r="C836" s="1" t="n">
        <v>45728</v>
      </c>
      <c r="D836" t="inlineStr">
        <is>
          <t>JÄMTLANDS LÄN</t>
        </is>
      </c>
      <c r="E836" t="inlineStr">
        <is>
          <t>HÄRJEDALEN</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52867-2022</t>
        </is>
      </c>
      <c r="B837" s="1" t="n">
        <v>44872</v>
      </c>
      <c r="C837" s="1" t="n">
        <v>45728</v>
      </c>
      <c r="D837" t="inlineStr">
        <is>
          <t>JÄMTLANDS LÄN</t>
        </is>
      </c>
      <c r="E837" t="inlineStr">
        <is>
          <t>HÄRJEDALEN</t>
        </is>
      </c>
      <c r="G837" t="n">
        <v>0.3</v>
      </c>
      <c r="H837" t="n">
        <v>0</v>
      </c>
      <c r="I837" t="n">
        <v>0</v>
      </c>
      <c r="J837" t="n">
        <v>0</v>
      </c>
      <c r="K837" t="n">
        <v>0</v>
      </c>
      <c r="L837" t="n">
        <v>0</v>
      </c>
      <c r="M837" t="n">
        <v>0</v>
      </c>
      <c r="N837" t="n">
        <v>0</v>
      </c>
      <c r="O837" t="n">
        <v>0</v>
      </c>
      <c r="P837" t="n">
        <v>0</v>
      </c>
      <c r="Q837" t="n">
        <v>0</v>
      </c>
      <c r="R837" s="2" t="inlineStr"/>
    </row>
    <row r="838" ht="15" customHeight="1">
      <c r="A838" t="inlineStr">
        <is>
          <t>A 52339-2022</t>
        </is>
      </c>
      <c r="B838" s="1" t="n">
        <v>44873</v>
      </c>
      <c r="C838" s="1" t="n">
        <v>45728</v>
      </c>
      <c r="D838" t="inlineStr">
        <is>
          <t>JÄMTLANDS LÄN</t>
        </is>
      </c>
      <c r="E838" t="inlineStr">
        <is>
          <t>HÄRJEDALEN</t>
        </is>
      </c>
      <c r="G838" t="n">
        <v>28.1</v>
      </c>
      <c r="H838" t="n">
        <v>0</v>
      </c>
      <c r="I838" t="n">
        <v>0</v>
      </c>
      <c r="J838" t="n">
        <v>0</v>
      </c>
      <c r="K838" t="n">
        <v>0</v>
      </c>
      <c r="L838" t="n">
        <v>0</v>
      </c>
      <c r="M838" t="n">
        <v>0</v>
      </c>
      <c r="N838" t="n">
        <v>0</v>
      </c>
      <c r="O838" t="n">
        <v>0</v>
      </c>
      <c r="P838" t="n">
        <v>0</v>
      </c>
      <c r="Q838" t="n">
        <v>0</v>
      </c>
      <c r="R838" s="2" t="inlineStr"/>
    </row>
    <row r="839" ht="15" customHeight="1">
      <c r="A839" t="inlineStr">
        <is>
          <t>A 52586-2022</t>
        </is>
      </c>
      <c r="B839" s="1" t="n">
        <v>44874</v>
      </c>
      <c r="C839" s="1" t="n">
        <v>45728</v>
      </c>
      <c r="D839" t="inlineStr">
        <is>
          <t>JÄMTLANDS LÄN</t>
        </is>
      </c>
      <c r="E839" t="inlineStr">
        <is>
          <t>HÄRJEDALEN</t>
        </is>
      </c>
      <c r="F839" t="inlineStr">
        <is>
          <t>Bergvik skog väst AB</t>
        </is>
      </c>
      <c r="G839" t="n">
        <v>6.1</v>
      </c>
      <c r="H839" t="n">
        <v>0</v>
      </c>
      <c r="I839" t="n">
        <v>0</v>
      </c>
      <c r="J839" t="n">
        <v>0</v>
      </c>
      <c r="K839" t="n">
        <v>0</v>
      </c>
      <c r="L839" t="n">
        <v>0</v>
      </c>
      <c r="M839" t="n">
        <v>0</v>
      </c>
      <c r="N839" t="n">
        <v>0</v>
      </c>
      <c r="O839" t="n">
        <v>0</v>
      </c>
      <c r="P839" t="n">
        <v>0</v>
      </c>
      <c r="Q839" t="n">
        <v>0</v>
      </c>
      <c r="R839" s="2" t="inlineStr"/>
    </row>
    <row r="840" ht="15" customHeight="1">
      <c r="A840" t="inlineStr">
        <is>
          <t>A 53104-2022</t>
        </is>
      </c>
      <c r="B840" s="1" t="n">
        <v>44876</v>
      </c>
      <c r="C840" s="1" t="n">
        <v>45728</v>
      </c>
      <c r="D840" t="inlineStr">
        <is>
          <t>JÄMTLANDS LÄN</t>
        </is>
      </c>
      <c r="E840" t="inlineStr">
        <is>
          <t>HÄRJEDALEN</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53107-2022</t>
        </is>
      </c>
      <c r="B841" s="1" t="n">
        <v>44876</v>
      </c>
      <c r="C841" s="1" t="n">
        <v>45728</v>
      </c>
      <c r="D841" t="inlineStr">
        <is>
          <t>JÄMTLANDS LÄN</t>
        </is>
      </c>
      <c r="E841" t="inlineStr">
        <is>
          <t>HÄRJEDALEN</t>
        </is>
      </c>
      <c r="F841" t="inlineStr">
        <is>
          <t>Bergvik skog väst AB</t>
        </is>
      </c>
      <c r="G841" t="n">
        <v>9.1</v>
      </c>
      <c r="H841" t="n">
        <v>0</v>
      </c>
      <c r="I841" t="n">
        <v>0</v>
      </c>
      <c r="J841" t="n">
        <v>0</v>
      </c>
      <c r="K841" t="n">
        <v>0</v>
      </c>
      <c r="L841" t="n">
        <v>0</v>
      </c>
      <c r="M841" t="n">
        <v>0</v>
      </c>
      <c r="N841" t="n">
        <v>0</v>
      </c>
      <c r="O841" t="n">
        <v>0</v>
      </c>
      <c r="P841" t="n">
        <v>0</v>
      </c>
      <c r="Q841" t="n">
        <v>0</v>
      </c>
      <c r="R841" s="2" t="inlineStr"/>
    </row>
    <row r="842" ht="15" customHeight="1">
      <c r="A842" t="inlineStr">
        <is>
          <t>A 53120-2022</t>
        </is>
      </c>
      <c r="B842" s="1" t="n">
        <v>44876</v>
      </c>
      <c r="C842" s="1" t="n">
        <v>45728</v>
      </c>
      <c r="D842" t="inlineStr">
        <is>
          <t>JÄMTLANDS LÄN</t>
        </is>
      </c>
      <c r="E842" t="inlineStr">
        <is>
          <t>HÄRJEDALEN</t>
        </is>
      </c>
      <c r="F842" t="inlineStr">
        <is>
          <t>Bergvik skog väst AB</t>
        </is>
      </c>
      <c r="G842" t="n">
        <v>2.9</v>
      </c>
      <c r="H842" t="n">
        <v>0</v>
      </c>
      <c r="I842" t="n">
        <v>0</v>
      </c>
      <c r="J842" t="n">
        <v>0</v>
      </c>
      <c r="K842" t="n">
        <v>0</v>
      </c>
      <c r="L842" t="n">
        <v>0</v>
      </c>
      <c r="M842" t="n">
        <v>0</v>
      </c>
      <c r="N842" t="n">
        <v>0</v>
      </c>
      <c r="O842" t="n">
        <v>0</v>
      </c>
      <c r="P842" t="n">
        <v>0</v>
      </c>
      <c r="Q842" t="n">
        <v>0</v>
      </c>
      <c r="R842" s="2" t="inlineStr"/>
    </row>
    <row r="843" ht="15" customHeight="1">
      <c r="A843" t="inlineStr">
        <is>
          <t>A 53563-2022</t>
        </is>
      </c>
      <c r="B843" s="1" t="n">
        <v>44879</v>
      </c>
      <c r="C843" s="1" t="n">
        <v>45728</v>
      </c>
      <c r="D843" t="inlineStr">
        <is>
          <t>JÄMTLANDS LÄN</t>
        </is>
      </c>
      <c r="E843" t="inlineStr">
        <is>
          <t>HÄRJEDALEN</t>
        </is>
      </c>
      <c r="G843" t="n">
        <v>8.6</v>
      </c>
      <c r="H843" t="n">
        <v>0</v>
      </c>
      <c r="I843" t="n">
        <v>0</v>
      </c>
      <c r="J843" t="n">
        <v>0</v>
      </c>
      <c r="K843" t="n">
        <v>0</v>
      </c>
      <c r="L843" t="n">
        <v>0</v>
      </c>
      <c r="M843" t="n">
        <v>0</v>
      </c>
      <c r="N843" t="n">
        <v>0</v>
      </c>
      <c r="O843" t="n">
        <v>0</v>
      </c>
      <c r="P843" t="n">
        <v>0</v>
      </c>
      <c r="Q843" t="n">
        <v>0</v>
      </c>
      <c r="R843" s="2" t="inlineStr"/>
    </row>
    <row r="844" ht="15" customHeight="1">
      <c r="A844" t="inlineStr">
        <is>
          <t>A 54059-2022</t>
        </is>
      </c>
      <c r="B844" s="1" t="n">
        <v>44881</v>
      </c>
      <c r="C844" s="1" t="n">
        <v>45728</v>
      </c>
      <c r="D844" t="inlineStr">
        <is>
          <t>JÄMTLANDS LÄN</t>
        </is>
      </c>
      <c r="E844" t="inlineStr">
        <is>
          <t>HÄRJEDALEN</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54065-2022</t>
        </is>
      </c>
      <c r="B845" s="1" t="n">
        <v>44881</v>
      </c>
      <c r="C845" s="1" t="n">
        <v>45728</v>
      </c>
      <c r="D845" t="inlineStr">
        <is>
          <t>JÄMTLANDS LÄN</t>
        </is>
      </c>
      <c r="E845" t="inlineStr">
        <is>
          <t>HÄRJEDALEN</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54305-2022</t>
        </is>
      </c>
      <c r="B846" s="1" t="n">
        <v>44882</v>
      </c>
      <c r="C846" s="1" t="n">
        <v>45728</v>
      </c>
      <c r="D846" t="inlineStr">
        <is>
          <t>JÄMTLANDS LÄN</t>
        </is>
      </c>
      <c r="E846" t="inlineStr">
        <is>
          <t>HÄRJEDALEN</t>
        </is>
      </c>
      <c r="G846" t="n">
        <v>2.3</v>
      </c>
      <c r="H846" t="n">
        <v>0</v>
      </c>
      <c r="I846" t="n">
        <v>0</v>
      </c>
      <c r="J846" t="n">
        <v>0</v>
      </c>
      <c r="K846" t="n">
        <v>0</v>
      </c>
      <c r="L846" t="n">
        <v>0</v>
      </c>
      <c r="M846" t="n">
        <v>0</v>
      </c>
      <c r="N846" t="n">
        <v>0</v>
      </c>
      <c r="O846" t="n">
        <v>0</v>
      </c>
      <c r="P846" t="n">
        <v>0</v>
      </c>
      <c r="Q846" t="n">
        <v>0</v>
      </c>
      <c r="R846" s="2" t="inlineStr"/>
    </row>
    <row r="847" ht="15" customHeight="1">
      <c r="A847" t="inlineStr">
        <is>
          <t>A 54661-2022</t>
        </is>
      </c>
      <c r="B847" s="1" t="n">
        <v>44883</v>
      </c>
      <c r="C847" s="1" t="n">
        <v>45728</v>
      </c>
      <c r="D847" t="inlineStr">
        <is>
          <t>JÄMTLANDS LÄN</t>
        </is>
      </c>
      <c r="E847" t="inlineStr">
        <is>
          <t>HÄRJEDALEN</t>
        </is>
      </c>
      <c r="G847" t="n">
        <v>5.9</v>
      </c>
      <c r="H847" t="n">
        <v>0</v>
      </c>
      <c r="I847" t="n">
        <v>0</v>
      </c>
      <c r="J847" t="n">
        <v>0</v>
      </c>
      <c r="K847" t="n">
        <v>0</v>
      </c>
      <c r="L847" t="n">
        <v>0</v>
      </c>
      <c r="M847" t="n">
        <v>0</v>
      </c>
      <c r="N847" t="n">
        <v>0</v>
      </c>
      <c r="O847" t="n">
        <v>0</v>
      </c>
      <c r="P847" t="n">
        <v>0</v>
      </c>
      <c r="Q847" t="n">
        <v>0</v>
      </c>
      <c r="R847" s="2" t="inlineStr"/>
    </row>
    <row r="848" ht="15" customHeight="1">
      <c r="A848" t="inlineStr">
        <is>
          <t>A 54762-2022</t>
        </is>
      </c>
      <c r="B848" s="1" t="n">
        <v>44883</v>
      </c>
      <c r="C848" s="1" t="n">
        <v>45728</v>
      </c>
      <c r="D848" t="inlineStr">
        <is>
          <t>JÄMTLANDS LÄN</t>
        </is>
      </c>
      <c r="E848" t="inlineStr">
        <is>
          <t>HÄRJEDALEN</t>
        </is>
      </c>
      <c r="G848" t="n">
        <v>1.8</v>
      </c>
      <c r="H848" t="n">
        <v>0</v>
      </c>
      <c r="I848" t="n">
        <v>0</v>
      </c>
      <c r="J848" t="n">
        <v>0</v>
      </c>
      <c r="K848" t="n">
        <v>0</v>
      </c>
      <c r="L848" t="n">
        <v>0</v>
      </c>
      <c r="M848" t="n">
        <v>0</v>
      </c>
      <c r="N848" t="n">
        <v>0</v>
      </c>
      <c r="O848" t="n">
        <v>0</v>
      </c>
      <c r="P848" t="n">
        <v>0</v>
      </c>
      <c r="Q848" t="n">
        <v>0</v>
      </c>
      <c r="R848" s="2" t="inlineStr"/>
    </row>
    <row r="849" ht="15" customHeight="1">
      <c r="A849" t="inlineStr">
        <is>
          <t>A 55100-2022</t>
        </is>
      </c>
      <c r="B849" s="1" t="n">
        <v>44886</v>
      </c>
      <c r="C849" s="1" t="n">
        <v>45728</v>
      </c>
      <c r="D849" t="inlineStr">
        <is>
          <t>JÄMTLANDS LÄN</t>
        </is>
      </c>
      <c r="E849" t="inlineStr">
        <is>
          <t>HÄRJEDALEN</t>
        </is>
      </c>
      <c r="G849" t="n">
        <v>4.4</v>
      </c>
      <c r="H849" t="n">
        <v>0</v>
      </c>
      <c r="I849" t="n">
        <v>0</v>
      </c>
      <c r="J849" t="n">
        <v>0</v>
      </c>
      <c r="K849" t="n">
        <v>0</v>
      </c>
      <c r="L849" t="n">
        <v>0</v>
      </c>
      <c r="M849" t="n">
        <v>0</v>
      </c>
      <c r="N849" t="n">
        <v>0</v>
      </c>
      <c r="O849" t="n">
        <v>0</v>
      </c>
      <c r="P849" t="n">
        <v>0</v>
      </c>
      <c r="Q849" t="n">
        <v>0</v>
      </c>
      <c r="R849" s="2" t="inlineStr"/>
    </row>
    <row r="850" ht="15" customHeight="1">
      <c r="A850" t="inlineStr">
        <is>
          <t>A 55103-2022</t>
        </is>
      </c>
      <c r="B850" s="1" t="n">
        <v>44886</v>
      </c>
      <c r="C850" s="1" t="n">
        <v>45728</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55931-2022</t>
        </is>
      </c>
      <c r="B851" s="1" t="n">
        <v>44886</v>
      </c>
      <c r="C851" s="1" t="n">
        <v>45728</v>
      </c>
      <c r="D851" t="inlineStr">
        <is>
          <t>JÄMTLANDS LÄN</t>
        </is>
      </c>
      <c r="E851" t="inlineStr">
        <is>
          <t>HÄRJEDALEN</t>
        </is>
      </c>
      <c r="F851" t="inlineStr">
        <is>
          <t>Övriga statliga verk och myndigheter</t>
        </is>
      </c>
      <c r="G851" t="n">
        <v>2.9</v>
      </c>
      <c r="H851" t="n">
        <v>0</v>
      </c>
      <c r="I851" t="n">
        <v>0</v>
      </c>
      <c r="J851" t="n">
        <v>0</v>
      </c>
      <c r="K851" t="n">
        <v>0</v>
      </c>
      <c r="L851" t="n">
        <v>0</v>
      </c>
      <c r="M851" t="n">
        <v>0</v>
      </c>
      <c r="N851" t="n">
        <v>0</v>
      </c>
      <c r="O851" t="n">
        <v>0</v>
      </c>
      <c r="P851" t="n">
        <v>0</v>
      </c>
      <c r="Q851" t="n">
        <v>0</v>
      </c>
      <c r="R851" s="2" t="inlineStr"/>
    </row>
    <row r="852" ht="15" customHeight="1">
      <c r="A852" t="inlineStr">
        <is>
          <t>A 55969-2022</t>
        </is>
      </c>
      <c r="B852" s="1" t="n">
        <v>44886</v>
      </c>
      <c r="C852" s="1" t="n">
        <v>45728</v>
      </c>
      <c r="D852" t="inlineStr">
        <is>
          <t>JÄMTLANDS LÄN</t>
        </is>
      </c>
      <c r="E852" t="inlineStr">
        <is>
          <t>HÄRJEDALEN</t>
        </is>
      </c>
      <c r="F852" t="inlineStr">
        <is>
          <t>Övriga statliga verk och myndigheter</t>
        </is>
      </c>
      <c r="G852" t="n">
        <v>1.6</v>
      </c>
      <c r="H852" t="n">
        <v>0</v>
      </c>
      <c r="I852" t="n">
        <v>0</v>
      </c>
      <c r="J852" t="n">
        <v>0</v>
      </c>
      <c r="K852" t="n">
        <v>0</v>
      </c>
      <c r="L852" t="n">
        <v>0</v>
      </c>
      <c r="M852" t="n">
        <v>0</v>
      </c>
      <c r="N852" t="n">
        <v>0</v>
      </c>
      <c r="O852" t="n">
        <v>0</v>
      </c>
      <c r="P852" t="n">
        <v>0</v>
      </c>
      <c r="Q852" t="n">
        <v>0</v>
      </c>
      <c r="R852" s="2" t="inlineStr"/>
    </row>
    <row r="853" ht="15" customHeight="1">
      <c r="A853" t="inlineStr">
        <is>
          <t>A 56043-2022</t>
        </is>
      </c>
      <c r="B853" s="1" t="n">
        <v>44889</v>
      </c>
      <c r="C853" s="1" t="n">
        <v>45728</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57223-2022</t>
        </is>
      </c>
      <c r="B854" s="1" t="n">
        <v>44889</v>
      </c>
      <c r="C854" s="1" t="n">
        <v>45728</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56533-2022</t>
        </is>
      </c>
      <c r="B855" s="1" t="n">
        <v>44893</v>
      </c>
      <c r="C855" s="1" t="n">
        <v>45728</v>
      </c>
      <c r="D855" t="inlineStr">
        <is>
          <t>JÄMTLANDS LÄN</t>
        </is>
      </c>
      <c r="E855" t="inlineStr">
        <is>
          <t>HÄRJEDALEN</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56992-2022</t>
        </is>
      </c>
      <c r="B856" s="1" t="n">
        <v>44894</v>
      </c>
      <c r="C856" s="1" t="n">
        <v>45728</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58425-2022</t>
        </is>
      </c>
      <c r="B857" s="1" t="n">
        <v>44901</v>
      </c>
      <c r="C857" s="1" t="n">
        <v>45728</v>
      </c>
      <c r="D857" t="inlineStr">
        <is>
          <t>JÄMTLANDS LÄN</t>
        </is>
      </c>
      <c r="E857" t="inlineStr">
        <is>
          <t>HÄRJEDALEN</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59094-2022</t>
        </is>
      </c>
      <c r="B858" s="1" t="n">
        <v>44904</v>
      </c>
      <c r="C858" s="1" t="n">
        <v>45728</v>
      </c>
      <c r="D858" t="inlineStr">
        <is>
          <t>JÄMTLANDS LÄN</t>
        </is>
      </c>
      <c r="E858" t="inlineStr">
        <is>
          <t>HÄRJEDALEN</t>
        </is>
      </c>
      <c r="F858" t="inlineStr">
        <is>
          <t>Bergvik skog väst AB</t>
        </is>
      </c>
      <c r="G858" t="n">
        <v>49.8</v>
      </c>
      <c r="H858" t="n">
        <v>0</v>
      </c>
      <c r="I858" t="n">
        <v>0</v>
      </c>
      <c r="J858" t="n">
        <v>0</v>
      </c>
      <c r="K858" t="n">
        <v>0</v>
      </c>
      <c r="L858" t="n">
        <v>0</v>
      </c>
      <c r="M858" t="n">
        <v>0</v>
      </c>
      <c r="N858" t="n">
        <v>0</v>
      </c>
      <c r="O858" t="n">
        <v>0</v>
      </c>
      <c r="P858" t="n">
        <v>0</v>
      </c>
      <c r="Q858" t="n">
        <v>0</v>
      </c>
      <c r="R858" s="2" t="inlineStr"/>
    </row>
    <row r="859" ht="15" customHeight="1">
      <c r="A859" t="inlineStr">
        <is>
          <t>A 59112-2022</t>
        </is>
      </c>
      <c r="B859" s="1" t="n">
        <v>44904</v>
      </c>
      <c r="C859" s="1" t="n">
        <v>45728</v>
      </c>
      <c r="D859" t="inlineStr">
        <is>
          <t>JÄMTLANDS LÄN</t>
        </is>
      </c>
      <c r="E859" t="inlineStr">
        <is>
          <t>HÄRJEDALEN</t>
        </is>
      </c>
      <c r="F859" t="inlineStr">
        <is>
          <t>Bergvik skog väst AB</t>
        </is>
      </c>
      <c r="G859" t="n">
        <v>5.7</v>
      </c>
      <c r="H859" t="n">
        <v>0</v>
      </c>
      <c r="I859" t="n">
        <v>0</v>
      </c>
      <c r="J859" t="n">
        <v>0</v>
      </c>
      <c r="K859" t="n">
        <v>0</v>
      </c>
      <c r="L859" t="n">
        <v>0</v>
      </c>
      <c r="M859" t="n">
        <v>0</v>
      </c>
      <c r="N859" t="n">
        <v>0</v>
      </c>
      <c r="O859" t="n">
        <v>0</v>
      </c>
      <c r="P859" t="n">
        <v>0</v>
      </c>
      <c r="Q859" t="n">
        <v>0</v>
      </c>
      <c r="R859" s="2" t="inlineStr"/>
    </row>
    <row r="860" ht="15" customHeight="1">
      <c r="A860" t="inlineStr">
        <is>
          <t>A 59824-2022</t>
        </is>
      </c>
      <c r="B860" s="1" t="n">
        <v>44908</v>
      </c>
      <c r="C860" s="1" t="n">
        <v>45728</v>
      </c>
      <c r="D860" t="inlineStr">
        <is>
          <t>JÄMTLANDS LÄN</t>
        </is>
      </c>
      <c r="E860" t="inlineStr">
        <is>
          <t>HÄRJEDALEN</t>
        </is>
      </c>
      <c r="G860" t="n">
        <v>4.9</v>
      </c>
      <c r="H860" t="n">
        <v>0</v>
      </c>
      <c r="I860" t="n">
        <v>0</v>
      </c>
      <c r="J860" t="n">
        <v>0</v>
      </c>
      <c r="K860" t="n">
        <v>0</v>
      </c>
      <c r="L860" t="n">
        <v>0</v>
      </c>
      <c r="M860" t="n">
        <v>0</v>
      </c>
      <c r="N860" t="n">
        <v>0</v>
      </c>
      <c r="O860" t="n">
        <v>0</v>
      </c>
      <c r="P860" t="n">
        <v>0</v>
      </c>
      <c r="Q860" t="n">
        <v>0</v>
      </c>
      <c r="R860" s="2" t="inlineStr"/>
    </row>
    <row r="861" ht="15" customHeight="1">
      <c r="A861" t="inlineStr">
        <is>
          <t>A 59851-2022</t>
        </is>
      </c>
      <c r="B861" s="1" t="n">
        <v>44908</v>
      </c>
      <c r="C861" s="1" t="n">
        <v>45728</v>
      </c>
      <c r="D861" t="inlineStr">
        <is>
          <t>JÄMTLANDS LÄN</t>
        </is>
      </c>
      <c r="E861" t="inlineStr">
        <is>
          <t>HÄRJEDALEN</t>
        </is>
      </c>
      <c r="G861" t="n">
        <v>3.2</v>
      </c>
      <c r="H861" t="n">
        <v>0</v>
      </c>
      <c r="I861" t="n">
        <v>0</v>
      </c>
      <c r="J861" t="n">
        <v>0</v>
      </c>
      <c r="K861" t="n">
        <v>0</v>
      </c>
      <c r="L861" t="n">
        <v>0</v>
      </c>
      <c r="M861" t="n">
        <v>0</v>
      </c>
      <c r="N861" t="n">
        <v>0</v>
      </c>
      <c r="O861" t="n">
        <v>0</v>
      </c>
      <c r="P861" t="n">
        <v>0</v>
      </c>
      <c r="Q861" t="n">
        <v>0</v>
      </c>
      <c r="R861" s="2" t="inlineStr"/>
    </row>
    <row r="862" ht="15" customHeight="1">
      <c r="A862" t="inlineStr">
        <is>
          <t>A 59828-2022</t>
        </is>
      </c>
      <c r="B862" s="1" t="n">
        <v>44908</v>
      </c>
      <c r="C862" s="1" t="n">
        <v>45728</v>
      </c>
      <c r="D862" t="inlineStr">
        <is>
          <t>JÄMTLANDS LÄN</t>
        </is>
      </c>
      <c r="E862" t="inlineStr">
        <is>
          <t>HÄRJEDALEN</t>
        </is>
      </c>
      <c r="G862" t="n">
        <v>7.4</v>
      </c>
      <c r="H862" t="n">
        <v>0</v>
      </c>
      <c r="I862" t="n">
        <v>0</v>
      </c>
      <c r="J862" t="n">
        <v>0</v>
      </c>
      <c r="K862" t="n">
        <v>0</v>
      </c>
      <c r="L862" t="n">
        <v>0</v>
      </c>
      <c r="M862" t="n">
        <v>0</v>
      </c>
      <c r="N862" t="n">
        <v>0</v>
      </c>
      <c r="O862" t="n">
        <v>0</v>
      </c>
      <c r="P862" t="n">
        <v>0</v>
      </c>
      <c r="Q862" t="n">
        <v>0</v>
      </c>
      <c r="R862" s="2" t="inlineStr"/>
    </row>
    <row r="863" ht="15" customHeight="1">
      <c r="A863" t="inlineStr">
        <is>
          <t>A 59818-2022</t>
        </is>
      </c>
      <c r="B863" s="1" t="n">
        <v>44908</v>
      </c>
      <c r="C863" s="1" t="n">
        <v>45728</v>
      </c>
      <c r="D863" t="inlineStr">
        <is>
          <t>JÄMTLANDS LÄN</t>
        </is>
      </c>
      <c r="E863" t="inlineStr">
        <is>
          <t>HÄRJEDALEN</t>
        </is>
      </c>
      <c r="G863" t="n">
        <v>5.3</v>
      </c>
      <c r="H863" t="n">
        <v>0</v>
      </c>
      <c r="I863" t="n">
        <v>0</v>
      </c>
      <c r="J863" t="n">
        <v>0</v>
      </c>
      <c r="K863" t="n">
        <v>0</v>
      </c>
      <c r="L863" t="n">
        <v>0</v>
      </c>
      <c r="M863" t="n">
        <v>0</v>
      </c>
      <c r="N863" t="n">
        <v>0</v>
      </c>
      <c r="O863" t="n">
        <v>0</v>
      </c>
      <c r="P863" t="n">
        <v>0</v>
      </c>
      <c r="Q863" t="n">
        <v>0</v>
      </c>
      <c r="R863" s="2" t="inlineStr"/>
    </row>
    <row r="864" ht="15" customHeight="1">
      <c r="A864" t="inlineStr">
        <is>
          <t>A 61300-2022</t>
        </is>
      </c>
      <c r="B864" s="1" t="n">
        <v>44909</v>
      </c>
      <c r="C864" s="1" t="n">
        <v>45728</v>
      </c>
      <c r="D864" t="inlineStr">
        <is>
          <t>JÄMTLANDS LÄN</t>
        </is>
      </c>
      <c r="E864" t="inlineStr">
        <is>
          <t>HÄRJEDALEN</t>
        </is>
      </c>
      <c r="F864" t="inlineStr">
        <is>
          <t>Bergvik skog väst AB</t>
        </is>
      </c>
      <c r="G864" t="n">
        <v>14.1</v>
      </c>
      <c r="H864" t="n">
        <v>0</v>
      </c>
      <c r="I864" t="n">
        <v>0</v>
      </c>
      <c r="J864" t="n">
        <v>0</v>
      </c>
      <c r="K864" t="n">
        <v>0</v>
      </c>
      <c r="L864" t="n">
        <v>0</v>
      </c>
      <c r="M864" t="n">
        <v>0</v>
      </c>
      <c r="N864" t="n">
        <v>0</v>
      </c>
      <c r="O864" t="n">
        <v>0</v>
      </c>
      <c r="P864" t="n">
        <v>0</v>
      </c>
      <c r="Q864" t="n">
        <v>0</v>
      </c>
      <c r="R864" s="2" t="inlineStr"/>
    </row>
    <row r="865" ht="15" customHeight="1">
      <c r="A865" t="inlineStr">
        <is>
          <t>A 60236-2022</t>
        </is>
      </c>
      <c r="B865" s="1" t="n">
        <v>44910</v>
      </c>
      <c r="C865" s="1" t="n">
        <v>45728</v>
      </c>
      <c r="D865" t="inlineStr">
        <is>
          <t>JÄMTLANDS LÄN</t>
        </is>
      </c>
      <c r="E865" t="inlineStr">
        <is>
          <t>HÄRJEDALEN</t>
        </is>
      </c>
      <c r="G865" t="n">
        <v>2</v>
      </c>
      <c r="H865" t="n">
        <v>0</v>
      </c>
      <c r="I865" t="n">
        <v>0</v>
      </c>
      <c r="J865" t="n">
        <v>0</v>
      </c>
      <c r="K865" t="n">
        <v>0</v>
      </c>
      <c r="L865" t="n">
        <v>0</v>
      </c>
      <c r="M865" t="n">
        <v>0</v>
      </c>
      <c r="N865" t="n">
        <v>0</v>
      </c>
      <c r="O865" t="n">
        <v>0</v>
      </c>
      <c r="P865" t="n">
        <v>0</v>
      </c>
      <c r="Q865" t="n">
        <v>0</v>
      </c>
      <c r="R865" s="2" t="inlineStr"/>
    </row>
    <row r="866" ht="15" customHeight="1">
      <c r="A866" t="inlineStr">
        <is>
          <t>A 60542-2022</t>
        </is>
      </c>
      <c r="B866" s="1" t="n">
        <v>44911</v>
      </c>
      <c r="C866" s="1" t="n">
        <v>45728</v>
      </c>
      <c r="D866" t="inlineStr">
        <is>
          <t>JÄMTLANDS LÄN</t>
        </is>
      </c>
      <c r="E866" t="inlineStr">
        <is>
          <t>HÄRJEDALEN</t>
        </is>
      </c>
      <c r="F866" t="inlineStr">
        <is>
          <t>Bergvik skog väst AB</t>
        </is>
      </c>
      <c r="G866" t="n">
        <v>1.3</v>
      </c>
      <c r="H866" t="n">
        <v>0</v>
      </c>
      <c r="I866" t="n">
        <v>0</v>
      </c>
      <c r="J866" t="n">
        <v>0</v>
      </c>
      <c r="K866" t="n">
        <v>0</v>
      </c>
      <c r="L866" t="n">
        <v>0</v>
      </c>
      <c r="M866" t="n">
        <v>0</v>
      </c>
      <c r="N866" t="n">
        <v>0</v>
      </c>
      <c r="O866" t="n">
        <v>0</v>
      </c>
      <c r="P866" t="n">
        <v>0</v>
      </c>
      <c r="Q866" t="n">
        <v>0</v>
      </c>
      <c r="R866" s="2" t="inlineStr"/>
    </row>
    <row r="867" ht="15" customHeight="1">
      <c r="A867" t="inlineStr">
        <is>
          <t>A 60887-2022</t>
        </is>
      </c>
      <c r="B867" s="1" t="n">
        <v>44914</v>
      </c>
      <c r="C867" s="1" t="n">
        <v>45728</v>
      </c>
      <c r="D867" t="inlineStr">
        <is>
          <t>JÄMTLANDS LÄN</t>
        </is>
      </c>
      <c r="E867" t="inlineStr">
        <is>
          <t>HÄRJEDALEN</t>
        </is>
      </c>
      <c r="G867" t="n">
        <v>0.9</v>
      </c>
      <c r="H867" t="n">
        <v>0</v>
      </c>
      <c r="I867" t="n">
        <v>0</v>
      </c>
      <c r="J867" t="n">
        <v>0</v>
      </c>
      <c r="K867" t="n">
        <v>0</v>
      </c>
      <c r="L867" t="n">
        <v>0</v>
      </c>
      <c r="M867" t="n">
        <v>0</v>
      </c>
      <c r="N867" t="n">
        <v>0</v>
      </c>
      <c r="O867" t="n">
        <v>0</v>
      </c>
      <c r="P867" t="n">
        <v>0</v>
      </c>
      <c r="Q867" t="n">
        <v>0</v>
      </c>
      <c r="R867" s="2" t="inlineStr"/>
    </row>
    <row r="868" ht="15" customHeight="1">
      <c r="A868" t="inlineStr">
        <is>
          <t>A 60983-2022</t>
        </is>
      </c>
      <c r="B868" s="1" t="n">
        <v>44914</v>
      </c>
      <c r="C868" s="1" t="n">
        <v>45728</v>
      </c>
      <c r="D868" t="inlineStr">
        <is>
          <t>JÄMTLANDS LÄN</t>
        </is>
      </c>
      <c r="E868" t="inlineStr">
        <is>
          <t>HÄRJEDALEN</t>
        </is>
      </c>
      <c r="G868" t="n">
        <v>44</v>
      </c>
      <c r="H868" t="n">
        <v>0</v>
      </c>
      <c r="I868" t="n">
        <v>0</v>
      </c>
      <c r="J868" t="n">
        <v>0</v>
      </c>
      <c r="K868" t="n">
        <v>0</v>
      </c>
      <c r="L868" t="n">
        <v>0</v>
      </c>
      <c r="M868" t="n">
        <v>0</v>
      </c>
      <c r="N868" t="n">
        <v>0</v>
      </c>
      <c r="O868" t="n">
        <v>0</v>
      </c>
      <c r="P868" t="n">
        <v>0</v>
      </c>
      <c r="Q868" t="n">
        <v>0</v>
      </c>
      <c r="R868" s="2" t="inlineStr"/>
    </row>
    <row r="869" ht="15" customHeight="1">
      <c r="A869" t="inlineStr">
        <is>
          <t>A 60897-2022</t>
        </is>
      </c>
      <c r="B869" s="1" t="n">
        <v>44914</v>
      </c>
      <c r="C869" s="1" t="n">
        <v>45728</v>
      </c>
      <c r="D869" t="inlineStr">
        <is>
          <t>JÄMTLANDS LÄN</t>
        </is>
      </c>
      <c r="E869" t="inlineStr">
        <is>
          <t>HÄRJEDALEN</t>
        </is>
      </c>
      <c r="F869" t="inlineStr">
        <is>
          <t>Holmen skog AB</t>
        </is>
      </c>
      <c r="G869" t="n">
        <v>0.3</v>
      </c>
      <c r="H869" t="n">
        <v>0</v>
      </c>
      <c r="I869" t="n">
        <v>0</v>
      </c>
      <c r="J869" t="n">
        <v>0</v>
      </c>
      <c r="K869" t="n">
        <v>0</v>
      </c>
      <c r="L869" t="n">
        <v>0</v>
      </c>
      <c r="M869" t="n">
        <v>0</v>
      </c>
      <c r="N869" t="n">
        <v>0</v>
      </c>
      <c r="O869" t="n">
        <v>0</v>
      </c>
      <c r="P869" t="n">
        <v>0</v>
      </c>
      <c r="Q869" t="n">
        <v>0</v>
      </c>
      <c r="R869" s="2" t="inlineStr"/>
      <c r="U869">
        <f>HYPERLINK("https://klasma.github.io/Logging_2361/knärot/A 60897-2022 karta knärot.png", "A 60897-2022")</f>
        <v/>
      </c>
      <c r="V869">
        <f>HYPERLINK("https://klasma.github.io/Logging_2361/klagomål/A 60897-2022 FSC-klagomål.docx", "A 60897-2022")</f>
        <v/>
      </c>
      <c r="W869">
        <f>HYPERLINK("https://klasma.github.io/Logging_2361/klagomålsmail/A 60897-2022 FSC-klagomål mail.docx", "A 60897-2022")</f>
        <v/>
      </c>
      <c r="X869">
        <f>HYPERLINK("https://klasma.github.io/Logging_2361/tillsyn/A 60897-2022 tillsynsbegäran.docx", "A 60897-2022")</f>
        <v/>
      </c>
      <c r="Y869">
        <f>HYPERLINK("https://klasma.github.io/Logging_2361/tillsynsmail/A 60897-2022 tillsynsbegäran mail.docx", "A 60897-2022")</f>
        <v/>
      </c>
    </row>
    <row r="870" ht="15" customHeight="1">
      <c r="A870" t="inlineStr">
        <is>
          <t>A 60933-2022</t>
        </is>
      </c>
      <c r="B870" s="1" t="n">
        <v>44914</v>
      </c>
      <c r="C870" s="1" t="n">
        <v>45728</v>
      </c>
      <c r="D870" t="inlineStr">
        <is>
          <t>JÄMTLANDS LÄN</t>
        </is>
      </c>
      <c r="E870" t="inlineStr">
        <is>
          <t>HÄRJEDALEN</t>
        </is>
      </c>
      <c r="G870" t="n">
        <v>0.7</v>
      </c>
      <c r="H870" t="n">
        <v>0</v>
      </c>
      <c r="I870" t="n">
        <v>0</v>
      </c>
      <c r="J870" t="n">
        <v>0</v>
      </c>
      <c r="K870" t="n">
        <v>0</v>
      </c>
      <c r="L870" t="n">
        <v>0</v>
      </c>
      <c r="M870" t="n">
        <v>0</v>
      </c>
      <c r="N870" t="n">
        <v>0</v>
      </c>
      <c r="O870" t="n">
        <v>0</v>
      </c>
      <c r="P870" t="n">
        <v>0</v>
      </c>
      <c r="Q870" t="n">
        <v>0</v>
      </c>
      <c r="R870" s="2" t="inlineStr"/>
    </row>
    <row r="871" ht="15" customHeight="1">
      <c r="A871" t="inlineStr">
        <is>
          <t>A 61571-2022</t>
        </is>
      </c>
      <c r="B871" s="1" t="n">
        <v>44916</v>
      </c>
      <c r="C871" s="1" t="n">
        <v>45728</v>
      </c>
      <c r="D871" t="inlineStr">
        <is>
          <t>JÄMTLANDS LÄN</t>
        </is>
      </c>
      <c r="E871" t="inlineStr">
        <is>
          <t>HÄRJEDALEN</t>
        </is>
      </c>
      <c r="G871" t="n">
        <v>3.4</v>
      </c>
      <c r="H871" t="n">
        <v>0</v>
      </c>
      <c r="I871" t="n">
        <v>0</v>
      </c>
      <c r="J871" t="n">
        <v>0</v>
      </c>
      <c r="K871" t="n">
        <v>0</v>
      </c>
      <c r="L871" t="n">
        <v>0</v>
      </c>
      <c r="M871" t="n">
        <v>0</v>
      </c>
      <c r="N871" t="n">
        <v>0</v>
      </c>
      <c r="O871" t="n">
        <v>0</v>
      </c>
      <c r="P871" t="n">
        <v>0</v>
      </c>
      <c r="Q871" t="n">
        <v>0</v>
      </c>
      <c r="R871" s="2" t="inlineStr"/>
    </row>
    <row r="872" ht="15" customHeight="1">
      <c r="A872" t="inlineStr">
        <is>
          <t>A 62500-2022</t>
        </is>
      </c>
      <c r="B872" s="1" t="n">
        <v>44924</v>
      </c>
      <c r="C872" s="1" t="n">
        <v>45728</v>
      </c>
      <c r="D872" t="inlineStr">
        <is>
          <t>JÄMTLANDS LÄN</t>
        </is>
      </c>
      <c r="E872" t="inlineStr">
        <is>
          <t>HÄRJEDALEN</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62513-2022</t>
        </is>
      </c>
      <c r="B873" s="1" t="n">
        <v>44924</v>
      </c>
      <c r="C873" s="1" t="n">
        <v>45728</v>
      </c>
      <c r="D873" t="inlineStr">
        <is>
          <t>JÄMTLANDS LÄN</t>
        </is>
      </c>
      <c r="E873" t="inlineStr">
        <is>
          <t>HÄRJEDALEN</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62535-2022</t>
        </is>
      </c>
      <c r="B874" s="1" t="n">
        <v>44924</v>
      </c>
      <c r="C874" s="1" t="n">
        <v>45728</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62505-2022</t>
        </is>
      </c>
      <c r="B875" s="1" t="n">
        <v>44924</v>
      </c>
      <c r="C875" s="1" t="n">
        <v>45728</v>
      </c>
      <c r="D875" t="inlineStr">
        <is>
          <t>JÄMTLANDS LÄN</t>
        </is>
      </c>
      <c r="E875" t="inlineStr">
        <is>
          <t>HÄRJEDALEN</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62533-2022</t>
        </is>
      </c>
      <c r="B876" s="1" t="n">
        <v>44924</v>
      </c>
      <c r="C876" s="1" t="n">
        <v>45728</v>
      </c>
      <c r="D876" t="inlineStr">
        <is>
          <t>JÄMTLANDS LÄN</t>
        </is>
      </c>
      <c r="E876" t="inlineStr">
        <is>
          <t>HÄRJEDALEN</t>
        </is>
      </c>
      <c r="F876" t="inlineStr">
        <is>
          <t>Holmen skog AB</t>
        </is>
      </c>
      <c r="G876" t="n">
        <v>1.1</v>
      </c>
      <c r="H876" t="n">
        <v>0</v>
      </c>
      <c r="I876" t="n">
        <v>0</v>
      </c>
      <c r="J876" t="n">
        <v>0</v>
      </c>
      <c r="K876" t="n">
        <v>0</v>
      </c>
      <c r="L876" t="n">
        <v>0</v>
      </c>
      <c r="M876" t="n">
        <v>0</v>
      </c>
      <c r="N876" t="n">
        <v>0</v>
      </c>
      <c r="O876" t="n">
        <v>0</v>
      </c>
      <c r="P876" t="n">
        <v>0</v>
      </c>
      <c r="Q876" t="n">
        <v>0</v>
      </c>
      <c r="R876" s="2" t="inlineStr"/>
    </row>
    <row r="877" ht="15" customHeight="1">
      <c r="A877" t="inlineStr">
        <is>
          <t>A 62639-2022</t>
        </is>
      </c>
      <c r="B877" s="1" t="n">
        <v>44925</v>
      </c>
      <c r="C877" s="1" t="n">
        <v>45728</v>
      </c>
      <c r="D877" t="inlineStr">
        <is>
          <t>JÄMTLANDS LÄN</t>
        </is>
      </c>
      <c r="E877" t="inlineStr">
        <is>
          <t>HÄRJEDALEN</t>
        </is>
      </c>
      <c r="G877" t="n">
        <v>4.3</v>
      </c>
      <c r="H877" t="n">
        <v>0</v>
      </c>
      <c r="I877" t="n">
        <v>0</v>
      </c>
      <c r="J877" t="n">
        <v>0</v>
      </c>
      <c r="K877" t="n">
        <v>0</v>
      </c>
      <c r="L877" t="n">
        <v>0</v>
      </c>
      <c r="M877" t="n">
        <v>0</v>
      </c>
      <c r="N877" t="n">
        <v>0</v>
      </c>
      <c r="O877" t="n">
        <v>0</v>
      </c>
      <c r="P877" t="n">
        <v>0</v>
      </c>
      <c r="Q877" t="n">
        <v>0</v>
      </c>
      <c r="R877" s="2" t="inlineStr"/>
    </row>
    <row r="878" ht="15" customHeight="1">
      <c r="A878" t="inlineStr">
        <is>
          <t>A 62696-2022</t>
        </is>
      </c>
      <c r="B878" s="1" t="n">
        <v>44925</v>
      </c>
      <c r="C878" s="1" t="n">
        <v>45728</v>
      </c>
      <c r="D878" t="inlineStr">
        <is>
          <t>JÄMTLANDS LÄN</t>
        </is>
      </c>
      <c r="E878" t="inlineStr">
        <is>
          <t>HÄRJEDALEN</t>
        </is>
      </c>
      <c r="F878" t="inlineStr">
        <is>
          <t>Holmen skog AB</t>
        </is>
      </c>
      <c r="G878" t="n">
        <v>2.9</v>
      </c>
      <c r="H878" t="n">
        <v>0</v>
      </c>
      <c r="I878" t="n">
        <v>0</v>
      </c>
      <c r="J878" t="n">
        <v>0</v>
      </c>
      <c r="K878" t="n">
        <v>0</v>
      </c>
      <c r="L878" t="n">
        <v>0</v>
      </c>
      <c r="M878" t="n">
        <v>0</v>
      </c>
      <c r="N878" t="n">
        <v>0</v>
      </c>
      <c r="O878" t="n">
        <v>0</v>
      </c>
      <c r="P878" t="n">
        <v>0</v>
      </c>
      <c r="Q878" t="n">
        <v>0</v>
      </c>
      <c r="R878" s="2" t="inlineStr"/>
    </row>
    <row r="879" ht="15" customHeight="1">
      <c r="A879" t="inlineStr">
        <is>
          <t>A 62702-2022</t>
        </is>
      </c>
      <c r="B879" s="1" t="n">
        <v>44925</v>
      </c>
      <c r="C879" s="1" t="n">
        <v>45728</v>
      </c>
      <c r="D879" t="inlineStr">
        <is>
          <t>JÄMTLANDS LÄN</t>
        </is>
      </c>
      <c r="E879" t="inlineStr">
        <is>
          <t>HÄRJEDALEN</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62719-2022</t>
        </is>
      </c>
      <c r="B880" s="1" t="n">
        <v>44925</v>
      </c>
      <c r="C880" s="1" t="n">
        <v>45728</v>
      </c>
      <c r="D880" t="inlineStr">
        <is>
          <t>JÄMTLANDS LÄN</t>
        </is>
      </c>
      <c r="E880" t="inlineStr">
        <is>
          <t>HÄRJEDALEN</t>
        </is>
      </c>
      <c r="F880" t="inlineStr">
        <is>
          <t>Holmen skog AB</t>
        </is>
      </c>
      <c r="G880" t="n">
        <v>3.1</v>
      </c>
      <c r="H880" t="n">
        <v>0</v>
      </c>
      <c r="I880" t="n">
        <v>0</v>
      </c>
      <c r="J880" t="n">
        <v>0</v>
      </c>
      <c r="K880" t="n">
        <v>0</v>
      </c>
      <c r="L880" t="n">
        <v>0</v>
      </c>
      <c r="M880" t="n">
        <v>0</v>
      </c>
      <c r="N880" t="n">
        <v>0</v>
      </c>
      <c r="O880" t="n">
        <v>0</v>
      </c>
      <c r="P880" t="n">
        <v>0</v>
      </c>
      <c r="Q880" t="n">
        <v>0</v>
      </c>
      <c r="R880" s="2" t="inlineStr"/>
    </row>
    <row r="881" ht="15" customHeight="1">
      <c r="A881" t="inlineStr">
        <is>
          <t>A 62724-2022</t>
        </is>
      </c>
      <c r="B881" s="1" t="n">
        <v>44925</v>
      </c>
      <c r="C881" s="1" t="n">
        <v>45728</v>
      </c>
      <c r="D881" t="inlineStr">
        <is>
          <t>JÄMTLANDS LÄN</t>
        </is>
      </c>
      <c r="E881" t="inlineStr">
        <is>
          <t>HÄRJEDALEN</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62599-2022</t>
        </is>
      </c>
      <c r="B882" s="1" t="n">
        <v>44925</v>
      </c>
      <c r="C882" s="1" t="n">
        <v>45728</v>
      </c>
      <c r="D882" t="inlineStr">
        <is>
          <t>JÄMTLANDS LÄN</t>
        </is>
      </c>
      <c r="E882" t="inlineStr">
        <is>
          <t>HÄRJEDALEN</t>
        </is>
      </c>
      <c r="F882" t="inlineStr">
        <is>
          <t>Holmen skog AB</t>
        </is>
      </c>
      <c r="G882" t="n">
        <v>8.1</v>
      </c>
      <c r="H882" t="n">
        <v>0</v>
      </c>
      <c r="I882" t="n">
        <v>0</v>
      </c>
      <c r="J882" t="n">
        <v>0</v>
      </c>
      <c r="K882" t="n">
        <v>0</v>
      </c>
      <c r="L882" t="n">
        <v>0</v>
      </c>
      <c r="M882" t="n">
        <v>0</v>
      </c>
      <c r="N882" t="n">
        <v>0</v>
      </c>
      <c r="O882" t="n">
        <v>0</v>
      </c>
      <c r="P882" t="n">
        <v>0</v>
      </c>
      <c r="Q882" t="n">
        <v>0</v>
      </c>
      <c r="R882" s="2" t="inlineStr"/>
    </row>
    <row r="883" ht="15" customHeight="1">
      <c r="A883" t="inlineStr">
        <is>
          <t>A 62641-2022</t>
        </is>
      </c>
      <c r="B883" s="1" t="n">
        <v>44925</v>
      </c>
      <c r="C883" s="1" t="n">
        <v>45728</v>
      </c>
      <c r="D883" t="inlineStr">
        <is>
          <t>JÄMTLANDS LÄN</t>
        </is>
      </c>
      <c r="E883" t="inlineStr">
        <is>
          <t>HÄRJEDALEN</t>
        </is>
      </c>
      <c r="G883" t="n">
        <v>2.7</v>
      </c>
      <c r="H883" t="n">
        <v>0</v>
      </c>
      <c r="I883" t="n">
        <v>0</v>
      </c>
      <c r="J883" t="n">
        <v>0</v>
      </c>
      <c r="K883" t="n">
        <v>0</v>
      </c>
      <c r="L883" t="n">
        <v>0</v>
      </c>
      <c r="M883" t="n">
        <v>0</v>
      </c>
      <c r="N883" t="n">
        <v>0</v>
      </c>
      <c r="O883" t="n">
        <v>0</v>
      </c>
      <c r="P883" t="n">
        <v>0</v>
      </c>
      <c r="Q883" t="n">
        <v>0</v>
      </c>
      <c r="R883" s="2" t="inlineStr"/>
    </row>
    <row r="884" ht="15" customHeight="1">
      <c r="A884" t="inlineStr">
        <is>
          <t>A 62591-2022</t>
        </is>
      </c>
      <c r="B884" s="1" t="n">
        <v>44925</v>
      </c>
      <c r="C884" s="1" t="n">
        <v>45728</v>
      </c>
      <c r="D884" t="inlineStr">
        <is>
          <t>JÄMTLANDS LÄN</t>
        </is>
      </c>
      <c r="E884" t="inlineStr">
        <is>
          <t>HÄRJEDALEN</t>
        </is>
      </c>
      <c r="G884" t="n">
        <v>32.7</v>
      </c>
      <c r="H884" t="n">
        <v>0</v>
      </c>
      <c r="I884" t="n">
        <v>0</v>
      </c>
      <c r="J884" t="n">
        <v>0</v>
      </c>
      <c r="K884" t="n">
        <v>0</v>
      </c>
      <c r="L884" t="n">
        <v>0</v>
      </c>
      <c r="M884" t="n">
        <v>0</v>
      </c>
      <c r="N884" t="n">
        <v>0</v>
      </c>
      <c r="O884" t="n">
        <v>0</v>
      </c>
      <c r="P884" t="n">
        <v>0</v>
      </c>
      <c r="Q884" t="n">
        <v>0</v>
      </c>
      <c r="R884" s="2" t="inlineStr"/>
    </row>
    <row r="885" ht="15" customHeight="1">
      <c r="A885" t="inlineStr">
        <is>
          <t>A 62653-2022</t>
        </is>
      </c>
      <c r="B885" s="1" t="n">
        <v>44925</v>
      </c>
      <c r="C885" s="1" t="n">
        <v>45728</v>
      </c>
      <c r="D885" t="inlineStr">
        <is>
          <t>JÄMTLANDS LÄN</t>
        </is>
      </c>
      <c r="E885" t="inlineStr">
        <is>
          <t>HÄRJEDALEN</t>
        </is>
      </c>
      <c r="G885" t="n">
        <v>3.8</v>
      </c>
      <c r="H885" t="n">
        <v>0</v>
      </c>
      <c r="I885" t="n">
        <v>0</v>
      </c>
      <c r="J885" t="n">
        <v>0</v>
      </c>
      <c r="K885" t="n">
        <v>0</v>
      </c>
      <c r="L885" t="n">
        <v>0</v>
      </c>
      <c r="M885" t="n">
        <v>0</v>
      </c>
      <c r="N885" t="n">
        <v>0</v>
      </c>
      <c r="O885" t="n">
        <v>0</v>
      </c>
      <c r="P885" t="n">
        <v>0</v>
      </c>
      <c r="Q885" t="n">
        <v>0</v>
      </c>
      <c r="R885" s="2" t="inlineStr"/>
    </row>
    <row r="886" ht="15" customHeight="1">
      <c r="A886" t="inlineStr">
        <is>
          <t>A 62687-2022</t>
        </is>
      </c>
      <c r="B886" s="1" t="n">
        <v>44925</v>
      </c>
      <c r="C886" s="1" t="n">
        <v>45728</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62694-2022</t>
        </is>
      </c>
      <c r="B887" s="1" t="n">
        <v>44925</v>
      </c>
      <c r="C887" s="1" t="n">
        <v>45728</v>
      </c>
      <c r="D887" t="inlineStr">
        <is>
          <t>JÄMTLANDS LÄN</t>
        </is>
      </c>
      <c r="E887" t="inlineStr">
        <is>
          <t>HÄRJEDALEN</t>
        </is>
      </c>
      <c r="F887" t="inlineStr">
        <is>
          <t>Holmen skog AB</t>
        </is>
      </c>
      <c r="G887" t="n">
        <v>4.5</v>
      </c>
      <c r="H887" t="n">
        <v>0</v>
      </c>
      <c r="I887" t="n">
        <v>0</v>
      </c>
      <c r="J887" t="n">
        <v>0</v>
      </c>
      <c r="K887" t="n">
        <v>0</v>
      </c>
      <c r="L887" t="n">
        <v>0</v>
      </c>
      <c r="M887" t="n">
        <v>0</v>
      </c>
      <c r="N887" t="n">
        <v>0</v>
      </c>
      <c r="O887" t="n">
        <v>0</v>
      </c>
      <c r="P887" t="n">
        <v>0</v>
      </c>
      <c r="Q887" t="n">
        <v>0</v>
      </c>
      <c r="R887" s="2" t="inlineStr"/>
    </row>
    <row r="888" ht="15" customHeight="1">
      <c r="A888" t="inlineStr">
        <is>
          <t>A 62708-2022</t>
        </is>
      </c>
      <c r="B888" s="1" t="n">
        <v>44925</v>
      </c>
      <c r="C888" s="1" t="n">
        <v>45728</v>
      </c>
      <c r="D888" t="inlineStr">
        <is>
          <t>JÄMTLANDS LÄN</t>
        </is>
      </c>
      <c r="E888" t="inlineStr">
        <is>
          <t>HÄRJEDALEN</t>
        </is>
      </c>
      <c r="F888" t="inlineStr">
        <is>
          <t>Holmen skog AB</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62590-2022</t>
        </is>
      </c>
      <c r="B889" s="1" t="n">
        <v>44925</v>
      </c>
      <c r="C889" s="1" t="n">
        <v>45728</v>
      </c>
      <c r="D889" t="inlineStr">
        <is>
          <t>JÄMTLANDS LÄN</t>
        </is>
      </c>
      <c r="E889" t="inlineStr">
        <is>
          <t>HÄRJEDALEN</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62684-2022</t>
        </is>
      </c>
      <c r="B890" s="1" t="n">
        <v>44925</v>
      </c>
      <c r="C890" s="1" t="n">
        <v>45728</v>
      </c>
      <c r="D890" t="inlineStr">
        <is>
          <t>JÄMTLANDS LÄN</t>
        </is>
      </c>
      <c r="E890" t="inlineStr">
        <is>
          <t>HÄRJEDALEN</t>
        </is>
      </c>
      <c r="F890" t="inlineStr">
        <is>
          <t>Holmen skog AB</t>
        </is>
      </c>
      <c r="G890" t="n">
        <v>4.4</v>
      </c>
      <c r="H890" t="n">
        <v>0</v>
      </c>
      <c r="I890" t="n">
        <v>0</v>
      </c>
      <c r="J890" t="n">
        <v>0</v>
      </c>
      <c r="K890" t="n">
        <v>0</v>
      </c>
      <c r="L890" t="n">
        <v>0</v>
      </c>
      <c r="M890" t="n">
        <v>0</v>
      </c>
      <c r="N890" t="n">
        <v>0</v>
      </c>
      <c r="O890" t="n">
        <v>0</v>
      </c>
      <c r="P890" t="n">
        <v>0</v>
      </c>
      <c r="Q890" t="n">
        <v>0</v>
      </c>
      <c r="R890" s="2" t="inlineStr"/>
    </row>
    <row r="891" ht="15" customHeight="1">
      <c r="A891" t="inlineStr">
        <is>
          <t>A 62699-2022</t>
        </is>
      </c>
      <c r="B891" s="1" t="n">
        <v>44925</v>
      </c>
      <c r="C891" s="1" t="n">
        <v>45728</v>
      </c>
      <c r="D891" t="inlineStr">
        <is>
          <t>JÄMTLANDS LÄN</t>
        </is>
      </c>
      <c r="E891" t="inlineStr">
        <is>
          <t>HÄRJEDALEN</t>
        </is>
      </c>
      <c r="F891" t="inlineStr">
        <is>
          <t>Holmen skog AB</t>
        </is>
      </c>
      <c r="G891" t="n">
        <v>5</v>
      </c>
      <c r="H891" t="n">
        <v>0</v>
      </c>
      <c r="I891" t="n">
        <v>0</v>
      </c>
      <c r="J891" t="n">
        <v>0</v>
      </c>
      <c r="K891" t="n">
        <v>0</v>
      </c>
      <c r="L891" t="n">
        <v>0</v>
      </c>
      <c r="M891" t="n">
        <v>0</v>
      </c>
      <c r="N891" t="n">
        <v>0</v>
      </c>
      <c r="O891" t="n">
        <v>0</v>
      </c>
      <c r="P891" t="n">
        <v>0</v>
      </c>
      <c r="Q891" t="n">
        <v>0</v>
      </c>
      <c r="R891" s="2" t="inlineStr"/>
    </row>
    <row r="892" ht="15" customHeight="1">
      <c r="A892" t="inlineStr">
        <is>
          <t>A 62706-2022</t>
        </is>
      </c>
      <c r="B892" s="1" t="n">
        <v>44925</v>
      </c>
      <c r="C892" s="1" t="n">
        <v>45728</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62721-2022</t>
        </is>
      </c>
      <c r="B893" s="1" t="n">
        <v>44925</v>
      </c>
      <c r="C893" s="1" t="n">
        <v>45728</v>
      </c>
      <c r="D893" t="inlineStr">
        <is>
          <t>JÄMTLANDS LÄN</t>
        </is>
      </c>
      <c r="E893" t="inlineStr">
        <is>
          <t>HÄRJEDALEN</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105-2023</t>
        </is>
      </c>
      <c r="B894" s="1" t="n">
        <v>44928</v>
      </c>
      <c r="C894" s="1" t="n">
        <v>45728</v>
      </c>
      <c r="D894" t="inlineStr">
        <is>
          <t>JÄMTLANDS LÄN</t>
        </is>
      </c>
      <c r="E894" t="inlineStr">
        <is>
          <t>HÄRJEDALEN</t>
        </is>
      </c>
      <c r="F894" t="inlineStr">
        <is>
          <t>Holmen skog AB</t>
        </is>
      </c>
      <c r="G894" t="n">
        <v>17.5</v>
      </c>
      <c r="H894" t="n">
        <v>0</v>
      </c>
      <c r="I894" t="n">
        <v>0</v>
      </c>
      <c r="J894" t="n">
        <v>0</v>
      </c>
      <c r="K894" t="n">
        <v>0</v>
      </c>
      <c r="L894" t="n">
        <v>0</v>
      </c>
      <c r="M894" t="n">
        <v>0</v>
      </c>
      <c r="N894" t="n">
        <v>0</v>
      </c>
      <c r="O894" t="n">
        <v>0</v>
      </c>
      <c r="P894" t="n">
        <v>0</v>
      </c>
      <c r="Q894" t="n">
        <v>0</v>
      </c>
      <c r="R894" s="2" t="inlineStr"/>
    </row>
    <row r="895" ht="15" customHeight="1">
      <c r="A895" t="inlineStr">
        <is>
          <t>A 29-2023</t>
        </is>
      </c>
      <c r="B895" s="1" t="n">
        <v>44928</v>
      </c>
      <c r="C895" s="1" t="n">
        <v>45728</v>
      </c>
      <c r="D895" t="inlineStr">
        <is>
          <t>JÄMTLANDS LÄN</t>
        </is>
      </c>
      <c r="E895" t="inlineStr">
        <is>
          <t>HÄRJEDALEN</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35-2023</t>
        </is>
      </c>
      <c r="B896" s="1" t="n">
        <v>44928</v>
      </c>
      <c r="C896" s="1" t="n">
        <v>45728</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78-2023</t>
        </is>
      </c>
      <c r="B897" s="1" t="n">
        <v>44928</v>
      </c>
      <c r="C897" s="1" t="n">
        <v>45728</v>
      </c>
      <c r="D897" t="inlineStr">
        <is>
          <t>JÄMTLANDS LÄN</t>
        </is>
      </c>
      <c r="E897" t="inlineStr">
        <is>
          <t>HÄRJEDALEN</t>
        </is>
      </c>
      <c r="F897" t="inlineStr">
        <is>
          <t>Holmen skog AB</t>
        </is>
      </c>
      <c r="G897" t="n">
        <v>3.1</v>
      </c>
      <c r="H897" t="n">
        <v>0</v>
      </c>
      <c r="I897" t="n">
        <v>0</v>
      </c>
      <c r="J897" t="n">
        <v>0</v>
      </c>
      <c r="K897" t="n">
        <v>0</v>
      </c>
      <c r="L897" t="n">
        <v>0</v>
      </c>
      <c r="M897" t="n">
        <v>0</v>
      </c>
      <c r="N897" t="n">
        <v>0</v>
      </c>
      <c r="O897" t="n">
        <v>0</v>
      </c>
      <c r="P897" t="n">
        <v>0</v>
      </c>
      <c r="Q897" t="n">
        <v>0</v>
      </c>
      <c r="R897" s="2" t="inlineStr"/>
    </row>
    <row r="898" ht="15" customHeight="1">
      <c r="A898" t="inlineStr">
        <is>
          <t>A 103-2023</t>
        </is>
      </c>
      <c r="B898" s="1" t="n">
        <v>44928</v>
      </c>
      <c r="C898" s="1" t="n">
        <v>45728</v>
      </c>
      <c r="D898" t="inlineStr">
        <is>
          <t>JÄMTLANDS LÄN</t>
        </is>
      </c>
      <c r="E898" t="inlineStr">
        <is>
          <t>HÄRJEDALEN</t>
        </is>
      </c>
      <c r="F898" t="inlineStr">
        <is>
          <t>Holmen skog AB</t>
        </is>
      </c>
      <c r="G898" t="n">
        <v>6.9</v>
      </c>
      <c r="H898" t="n">
        <v>0</v>
      </c>
      <c r="I898" t="n">
        <v>0</v>
      </c>
      <c r="J898" t="n">
        <v>0</v>
      </c>
      <c r="K898" t="n">
        <v>0</v>
      </c>
      <c r="L898" t="n">
        <v>0</v>
      </c>
      <c r="M898" t="n">
        <v>0</v>
      </c>
      <c r="N898" t="n">
        <v>0</v>
      </c>
      <c r="O898" t="n">
        <v>0</v>
      </c>
      <c r="P898" t="n">
        <v>0</v>
      </c>
      <c r="Q898" t="n">
        <v>0</v>
      </c>
      <c r="R898" s="2" t="inlineStr"/>
    </row>
    <row r="899" ht="15" customHeight="1">
      <c r="A899" t="inlineStr">
        <is>
          <t>A 166-2023</t>
        </is>
      </c>
      <c r="B899" s="1" t="n">
        <v>44928</v>
      </c>
      <c r="C899" s="1" t="n">
        <v>45728</v>
      </c>
      <c r="D899" t="inlineStr">
        <is>
          <t>JÄMTLANDS LÄN</t>
        </is>
      </c>
      <c r="E899" t="inlineStr">
        <is>
          <t>HÄRJEDALEN</t>
        </is>
      </c>
      <c r="F899" t="inlineStr">
        <is>
          <t>Holmen skog AB</t>
        </is>
      </c>
      <c r="G899" t="n">
        <v>13.5</v>
      </c>
      <c r="H899" t="n">
        <v>0</v>
      </c>
      <c r="I899" t="n">
        <v>0</v>
      </c>
      <c r="J899" t="n">
        <v>0</v>
      </c>
      <c r="K899" t="n">
        <v>0</v>
      </c>
      <c r="L899" t="n">
        <v>0</v>
      </c>
      <c r="M899" t="n">
        <v>0</v>
      </c>
      <c r="N899" t="n">
        <v>0</v>
      </c>
      <c r="O899" t="n">
        <v>0</v>
      </c>
      <c r="P899" t="n">
        <v>0</v>
      </c>
      <c r="Q899" t="n">
        <v>0</v>
      </c>
      <c r="R899" s="2" t="inlineStr"/>
    </row>
    <row r="900" ht="15" customHeight="1">
      <c r="A900" t="inlineStr">
        <is>
          <t>A 176-2023</t>
        </is>
      </c>
      <c r="B900" s="1" t="n">
        <v>44928</v>
      </c>
      <c r="C900" s="1" t="n">
        <v>45728</v>
      </c>
      <c r="D900" t="inlineStr">
        <is>
          <t>JÄMTLANDS LÄN</t>
        </is>
      </c>
      <c r="E900" t="inlineStr">
        <is>
          <t>HÄRJEDALEN</t>
        </is>
      </c>
      <c r="F900" t="inlineStr">
        <is>
          <t>Holmen skog AB</t>
        </is>
      </c>
      <c r="G900" t="n">
        <v>5.9</v>
      </c>
      <c r="H900" t="n">
        <v>0</v>
      </c>
      <c r="I900" t="n">
        <v>0</v>
      </c>
      <c r="J900" t="n">
        <v>0</v>
      </c>
      <c r="K900" t="n">
        <v>0</v>
      </c>
      <c r="L900" t="n">
        <v>0</v>
      </c>
      <c r="M900" t="n">
        <v>0</v>
      </c>
      <c r="N900" t="n">
        <v>0</v>
      </c>
      <c r="O900" t="n">
        <v>0</v>
      </c>
      <c r="P900" t="n">
        <v>0</v>
      </c>
      <c r="Q900" t="n">
        <v>0</v>
      </c>
      <c r="R900" s="2" t="inlineStr"/>
    </row>
    <row r="901" ht="15" customHeight="1">
      <c r="A901" t="inlineStr">
        <is>
          <t>A 171-2023</t>
        </is>
      </c>
      <c r="B901" s="1" t="n">
        <v>44928</v>
      </c>
      <c r="C901" s="1" t="n">
        <v>45728</v>
      </c>
      <c r="D901" t="inlineStr">
        <is>
          <t>JÄMTLANDS LÄN</t>
        </is>
      </c>
      <c r="E901" t="inlineStr">
        <is>
          <t>HÄRJEDALEN</t>
        </is>
      </c>
      <c r="F901" t="inlineStr">
        <is>
          <t>Holmen skog AB</t>
        </is>
      </c>
      <c r="G901" t="n">
        <v>5.7</v>
      </c>
      <c r="H901" t="n">
        <v>0</v>
      </c>
      <c r="I901" t="n">
        <v>0</v>
      </c>
      <c r="J901" t="n">
        <v>0</v>
      </c>
      <c r="K901" t="n">
        <v>0</v>
      </c>
      <c r="L901" t="n">
        <v>0</v>
      </c>
      <c r="M901" t="n">
        <v>0</v>
      </c>
      <c r="N901" t="n">
        <v>0</v>
      </c>
      <c r="O901" t="n">
        <v>0</v>
      </c>
      <c r="P901" t="n">
        <v>0</v>
      </c>
      <c r="Q901" t="n">
        <v>0</v>
      </c>
      <c r="R901" s="2" t="inlineStr"/>
    </row>
    <row r="902" ht="15" customHeight="1">
      <c r="A902" t="inlineStr">
        <is>
          <t>A 1907-2023</t>
        </is>
      </c>
      <c r="B902" s="1" t="n">
        <v>44939</v>
      </c>
      <c r="C902" s="1" t="n">
        <v>45728</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1954-2023</t>
        </is>
      </c>
      <c r="B903" s="1" t="n">
        <v>44939</v>
      </c>
      <c r="C903" s="1" t="n">
        <v>45728</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4196-2023</t>
        </is>
      </c>
      <c r="B904" s="1" t="n">
        <v>44953</v>
      </c>
      <c r="C904" s="1" t="n">
        <v>45728</v>
      </c>
      <c r="D904" t="inlineStr">
        <is>
          <t>JÄMTLANDS LÄN</t>
        </is>
      </c>
      <c r="E904" t="inlineStr">
        <is>
          <t>HÄRJEDALEN</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4694-2023</t>
        </is>
      </c>
      <c r="B905" s="1" t="n">
        <v>44957</v>
      </c>
      <c r="C905" s="1" t="n">
        <v>45728</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4712-2023</t>
        </is>
      </c>
      <c r="B906" s="1" t="n">
        <v>44957</v>
      </c>
      <c r="C906" s="1" t="n">
        <v>45728</v>
      </c>
      <c r="D906" t="inlineStr">
        <is>
          <t>JÄMTLANDS LÄN</t>
        </is>
      </c>
      <c r="E906" t="inlineStr">
        <is>
          <t>HÄRJEDALEN</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4711-2023</t>
        </is>
      </c>
      <c r="B907" s="1" t="n">
        <v>44957</v>
      </c>
      <c r="C907" s="1" t="n">
        <v>45728</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4782-2023</t>
        </is>
      </c>
      <c r="B908" s="1" t="n">
        <v>44957</v>
      </c>
      <c r="C908" s="1" t="n">
        <v>45728</v>
      </c>
      <c r="D908" t="inlineStr">
        <is>
          <t>JÄMTLANDS LÄN</t>
        </is>
      </c>
      <c r="E908" t="inlineStr">
        <is>
          <t>HÄRJEDALEN</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5013-2023</t>
        </is>
      </c>
      <c r="B909" s="1" t="n">
        <v>44958</v>
      </c>
      <c r="C909" s="1" t="n">
        <v>45728</v>
      </c>
      <c r="D909" t="inlineStr">
        <is>
          <t>JÄMTLANDS LÄN</t>
        </is>
      </c>
      <c r="E909" t="inlineStr">
        <is>
          <t>HÄRJEDALEN</t>
        </is>
      </c>
      <c r="F909" t="inlineStr">
        <is>
          <t>Bergvik skog väst AB</t>
        </is>
      </c>
      <c r="G909" t="n">
        <v>0.2</v>
      </c>
      <c r="H909" t="n">
        <v>0</v>
      </c>
      <c r="I909" t="n">
        <v>0</v>
      </c>
      <c r="J909" t="n">
        <v>0</v>
      </c>
      <c r="K909" t="n">
        <v>0</v>
      </c>
      <c r="L909" t="n">
        <v>0</v>
      </c>
      <c r="M909" t="n">
        <v>0</v>
      </c>
      <c r="N909" t="n">
        <v>0</v>
      </c>
      <c r="O909" t="n">
        <v>0</v>
      </c>
      <c r="P909" t="n">
        <v>0</v>
      </c>
      <c r="Q909" t="n">
        <v>0</v>
      </c>
      <c r="R909" s="2" t="inlineStr"/>
    </row>
    <row r="910" ht="15" customHeight="1">
      <c r="A910" t="inlineStr">
        <is>
          <t>A 5640-2023</t>
        </is>
      </c>
      <c r="B910" s="1" t="n">
        <v>44960</v>
      </c>
      <c r="C910" s="1" t="n">
        <v>45728</v>
      </c>
      <c r="D910" t="inlineStr">
        <is>
          <t>JÄMTLANDS LÄN</t>
        </is>
      </c>
      <c r="E910" t="inlineStr">
        <is>
          <t>HÄRJEDALEN</t>
        </is>
      </c>
      <c r="G910" t="n">
        <v>8.4</v>
      </c>
      <c r="H910" t="n">
        <v>0</v>
      </c>
      <c r="I910" t="n">
        <v>0</v>
      </c>
      <c r="J910" t="n">
        <v>0</v>
      </c>
      <c r="K910" t="n">
        <v>0</v>
      </c>
      <c r="L910" t="n">
        <v>0</v>
      </c>
      <c r="M910" t="n">
        <v>0</v>
      </c>
      <c r="N910" t="n">
        <v>0</v>
      </c>
      <c r="O910" t="n">
        <v>0</v>
      </c>
      <c r="P910" t="n">
        <v>0</v>
      </c>
      <c r="Q910" t="n">
        <v>0</v>
      </c>
      <c r="R910" s="2" t="inlineStr"/>
    </row>
    <row r="911" ht="15" customHeight="1">
      <c r="A911" t="inlineStr">
        <is>
          <t>A 6001-2023</t>
        </is>
      </c>
      <c r="B911" s="1" t="n">
        <v>44964</v>
      </c>
      <c r="C911" s="1" t="n">
        <v>45728</v>
      </c>
      <c r="D911" t="inlineStr">
        <is>
          <t>JÄMTLANDS LÄN</t>
        </is>
      </c>
      <c r="E911" t="inlineStr">
        <is>
          <t>HÄRJEDALEN</t>
        </is>
      </c>
      <c r="G911" t="n">
        <v>1.3</v>
      </c>
      <c r="H911" t="n">
        <v>0</v>
      </c>
      <c r="I911" t="n">
        <v>0</v>
      </c>
      <c r="J911" t="n">
        <v>0</v>
      </c>
      <c r="K911" t="n">
        <v>0</v>
      </c>
      <c r="L911" t="n">
        <v>0</v>
      </c>
      <c r="M911" t="n">
        <v>0</v>
      </c>
      <c r="N911" t="n">
        <v>0</v>
      </c>
      <c r="O911" t="n">
        <v>0</v>
      </c>
      <c r="P911" t="n">
        <v>0</v>
      </c>
      <c r="Q911" t="n">
        <v>0</v>
      </c>
      <c r="R911" s="2" t="inlineStr"/>
    </row>
    <row r="912" ht="15" customHeight="1">
      <c r="A912" t="inlineStr">
        <is>
          <t>A 6124-2023</t>
        </is>
      </c>
      <c r="B912" s="1" t="n">
        <v>44964</v>
      </c>
      <c r="C912" s="1" t="n">
        <v>45728</v>
      </c>
      <c r="D912" t="inlineStr">
        <is>
          <t>JÄMTLANDS LÄN</t>
        </is>
      </c>
      <c r="E912" t="inlineStr">
        <is>
          <t>HÄRJEDALEN</t>
        </is>
      </c>
      <c r="G912" t="n">
        <v>20</v>
      </c>
      <c r="H912" t="n">
        <v>0</v>
      </c>
      <c r="I912" t="n">
        <v>0</v>
      </c>
      <c r="J912" t="n">
        <v>0</v>
      </c>
      <c r="K912" t="n">
        <v>0</v>
      </c>
      <c r="L912" t="n">
        <v>0</v>
      </c>
      <c r="M912" t="n">
        <v>0</v>
      </c>
      <c r="N912" t="n">
        <v>0</v>
      </c>
      <c r="O912" t="n">
        <v>0</v>
      </c>
      <c r="P912" t="n">
        <v>0</v>
      </c>
      <c r="Q912" t="n">
        <v>0</v>
      </c>
      <c r="R912" s="2" t="inlineStr"/>
    </row>
    <row r="913" ht="15" customHeight="1">
      <c r="A913" t="inlineStr">
        <is>
          <t>A 7636-2023</t>
        </is>
      </c>
      <c r="B913" s="1" t="n">
        <v>44972</v>
      </c>
      <c r="C913" s="1" t="n">
        <v>45728</v>
      </c>
      <c r="D913" t="inlineStr">
        <is>
          <t>JÄMTLANDS LÄN</t>
        </is>
      </c>
      <c r="E913" t="inlineStr">
        <is>
          <t>HÄRJEDALEN</t>
        </is>
      </c>
      <c r="G913" t="n">
        <v>1.5</v>
      </c>
      <c r="H913" t="n">
        <v>0</v>
      </c>
      <c r="I913" t="n">
        <v>0</v>
      </c>
      <c r="J913" t="n">
        <v>0</v>
      </c>
      <c r="K913" t="n">
        <v>0</v>
      </c>
      <c r="L913" t="n">
        <v>0</v>
      </c>
      <c r="M913" t="n">
        <v>0</v>
      </c>
      <c r="N913" t="n">
        <v>0</v>
      </c>
      <c r="O913" t="n">
        <v>0</v>
      </c>
      <c r="P913" t="n">
        <v>0</v>
      </c>
      <c r="Q913" t="n">
        <v>0</v>
      </c>
      <c r="R913" s="2" t="inlineStr"/>
    </row>
    <row r="914" ht="15" customHeight="1">
      <c r="A914" t="inlineStr">
        <is>
          <t>A 8365-2023</t>
        </is>
      </c>
      <c r="B914" s="1" t="n">
        <v>44977</v>
      </c>
      <c r="C914" s="1" t="n">
        <v>45728</v>
      </c>
      <c r="D914" t="inlineStr">
        <is>
          <t>JÄMTLANDS LÄN</t>
        </is>
      </c>
      <c r="E914" t="inlineStr">
        <is>
          <t>HÄRJEDALEN</t>
        </is>
      </c>
      <c r="F914" t="inlineStr">
        <is>
          <t>Holmen skog AB</t>
        </is>
      </c>
      <c r="G914" t="n">
        <v>2</v>
      </c>
      <c r="H914" t="n">
        <v>0</v>
      </c>
      <c r="I914" t="n">
        <v>0</v>
      </c>
      <c r="J914" t="n">
        <v>0</v>
      </c>
      <c r="K914" t="n">
        <v>0</v>
      </c>
      <c r="L914" t="n">
        <v>0</v>
      </c>
      <c r="M914" t="n">
        <v>0</v>
      </c>
      <c r="N914" t="n">
        <v>0</v>
      </c>
      <c r="O914" t="n">
        <v>0</v>
      </c>
      <c r="P914" t="n">
        <v>0</v>
      </c>
      <c r="Q914" t="n">
        <v>0</v>
      </c>
      <c r="R914" s="2" t="inlineStr"/>
    </row>
    <row r="915" ht="15" customHeight="1">
      <c r="A915" t="inlineStr">
        <is>
          <t>A 8420-2023</t>
        </is>
      </c>
      <c r="B915" s="1" t="n">
        <v>44977</v>
      </c>
      <c r="C915" s="1" t="n">
        <v>45728</v>
      </c>
      <c r="D915" t="inlineStr">
        <is>
          <t>JÄMTLANDS LÄN</t>
        </is>
      </c>
      <c r="E915" t="inlineStr">
        <is>
          <t>HÄRJEDALEN</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8577-2023</t>
        </is>
      </c>
      <c r="B916" s="1" t="n">
        <v>44977</v>
      </c>
      <c r="C916" s="1" t="n">
        <v>45728</v>
      </c>
      <c r="D916" t="inlineStr">
        <is>
          <t>JÄMTLANDS LÄN</t>
        </is>
      </c>
      <c r="E916" t="inlineStr">
        <is>
          <t>HÄRJEDALEN</t>
        </is>
      </c>
      <c r="G916" t="n">
        <v>19.6</v>
      </c>
      <c r="H916" t="n">
        <v>0</v>
      </c>
      <c r="I916" t="n">
        <v>0</v>
      </c>
      <c r="J916" t="n">
        <v>0</v>
      </c>
      <c r="K916" t="n">
        <v>0</v>
      </c>
      <c r="L916" t="n">
        <v>0</v>
      </c>
      <c r="M916" t="n">
        <v>0</v>
      </c>
      <c r="N916" t="n">
        <v>0</v>
      </c>
      <c r="O916" t="n">
        <v>0</v>
      </c>
      <c r="P916" t="n">
        <v>0</v>
      </c>
      <c r="Q916" t="n">
        <v>0</v>
      </c>
      <c r="R916" s="2" t="inlineStr"/>
    </row>
    <row r="917" ht="15" customHeight="1">
      <c r="A917" t="inlineStr">
        <is>
          <t>A 8804-2023</t>
        </is>
      </c>
      <c r="B917" s="1" t="n">
        <v>44978</v>
      </c>
      <c r="C917" s="1" t="n">
        <v>45728</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9188-2023</t>
        </is>
      </c>
      <c r="B918" s="1" t="n">
        <v>44980</v>
      </c>
      <c r="C918" s="1" t="n">
        <v>45728</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9998-2023</t>
        </is>
      </c>
      <c r="B919" s="1" t="n">
        <v>44985</v>
      </c>
      <c r="C919" s="1" t="n">
        <v>45728</v>
      </c>
      <c r="D919" t="inlineStr">
        <is>
          <t>JÄMTLANDS LÄN</t>
        </is>
      </c>
      <c r="E919" t="inlineStr">
        <is>
          <t>HÄRJEDALEN</t>
        </is>
      </c>
      <c r="F919" t="inlineStr">
        <is>
          <t>Holmen skog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10002-2023</t>
        </is>
      </c>
      <c r="B920" s="1" t="n">
        <v>44985</v>
      </c>
      <c r="C920" s="1" t="n">
        <v>45728</v>
      </c>
      <c r="D920" t="inlineStr">
        <is>
          <t>JÄMTLANDS LÄN</t>
        </is>
      </c>
      <c r="E920" t="inlineStr">
        <is>
          <t>HÄRJEDALEN</t>
        </is>
      </c>
      <c r="F920" t="inlineStr">
        <is>
          <t>Holmen skog AB</t>
        </is>
      </c>
      <c r="G920" t="n">
        <v>8.6</v>
      </c>
      <c r="H920" t="n">
        <v>0</v>
      </c>
      <c r="I920" t="n">
        <v>0</v>
      </c>
      <c r="J920" t="n">
        <v>0</v>
      </c>
      <c r="K920" t="n">
        <v>0</v>
      </c>
      <c r="L920" t="n">
        <v>0</v>
      </c>
      <c r="M920" t="n">
        <v>0</v>
      </c>
      <c r="N920" t="n">
        <v>0</v>
      </c>
      <c r="O920" t="n">
        <v>0</v>
      </c>
      <c r="P920" t="n">
        <v>0</v>
      </c>
      <c r="Q920" t="n">
        <v>0</v>
      </c>
      <c r="R920" s="2" t="inlineStr"/>
    </row>
    <row r="921" ht="15" customHeight="1">
      <c r="A921" t="inlineStr">
        <is>
          <t>A 10006-2023</t>
        </is>
      </c>
      <c r="B921" s="1" t="n">
        <v>44985</v>
      </c>
      <c r="C921" s="1" t="n">
        <v>45728</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10000-2023</t>
        </is>
      </c>
      <c r="B922" s="1" t="n">
        <v>44985</v>
      </c>
      <c r="C922" s="1" t="n">
        <v>45728</v>
      </c>
      <c r="D922" t="inlineStr">
        <is>
          <t>JÄMTLANDS LÄN</t>
        </is>
      </c>
      <c r="E922" t="inlineStr">
        <is>
          <t>HÄRJEDALEN</t>
        </is>
      </c>
      <c r="F922" t="inlineStr">
        <is>
          <t>Holmen skog AB</t>
        </is>
      </c>
      <c r="G922" t="n">
        <v>12.6</v>
      </c>
      <c r="H922" t="n">
        <v>0</v>
      </c>
      <c r="I922" t="n">
        <v>0</v>
      </c>
      <c r="J922" t="n">
        <v>0</v>
      </c>
      <c r="K922" t="n">
        <v>0</v>
      </c>
      <c r="L922" t="n">
        <v>0</v>
      </c>
      <c r="M922" t="n">
        <v>0</v>
      </c>
      <c r="N922" t="n">
        <v>0</v>
      </c>
      <c r="O922" t="n">
        <v>0</v>
      </c>
      <c r="P922" t="n">
        <v>0</v>
      </c>
      <c r="Q922" t="n">
        <v>0</v>
      </c>
      <c r="R922" s="2" t="inlineStr"/>
    </row>
    <row r="923" ht="15" customHeight="1">
      <c r="A923" t="inlineStr">
        <is>
          <t>A 9997-2023</t>
        </is>
      </c>
      <c r="B923" s="1" t="n">
        <v>44985</v>
      </c>
      <c r="C923" s="1" t="n">
        <v>45728</v>
      </c>
      <c r="D923" t="inlineStr">
        <is>
          <t>JÄMTLANDS LÄN</t>
        </is>
      </c>
      <c r="E923" t="inlineStr">
        <is>
          <t>HÄRJEDALEN</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10014-2023</t>
        </is>
      </c>
      <c r="B924" s="1" t="n">
        <v>44985</v>
      </c>
      <c r="C924" s="1" t="n">
        <v>45728</v>
      </c>
      <c r="D924" t="inlineStr">
        <is>
          <t>JÄMTLANDS LÄN</t>
        </is>
      </c>
      <c r="E924" t="inlineStr">
        <is>
          <t>HÄRJEDALEN</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10008-2023</t>
        </is>
      </c>
      <c r="B925" s="1" t="n">
        <v>44985</v>
      </c>
      <c r="C925" s="1" t="n">
        <v>45728</v>
      </c>
      <c r="D925" t="inlineStr">
        <is>
          <t>JÄMTLANDS LÄN</t>
        </is>
      </c>
      <c r="E925" t="inlineStr">
        <is>
          <t>HÄRJEDALEN</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10046-2023</t>
        </is>
      </c>
      <c r="B926" s="1" t="n">
        <v>44985</v>
      </c>
      <c r="C926" s="1" t="n">
        <v>45728</v>
      </c>
      <c r="D926" t="inlineStr">
        <is>
          <t>JÄMTLANDS LÄN</t>
        </is>
      </c>
      <c r="E926" t="inlineStr">
        <is>
          <t>HÄRJEDALEN</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10015-2023</t>
        </is>
      </c>
      <c r="B927" s="1" t="n">
        <v>44985</v>
      </c>
      <c r="C927" s="1" t="n">
        <v>45728</v>
      </c>
      <c r="D927" t="inlineStr">
        <is>
          <t>JÄMTLANDS LÄN</t>
        </is>
      </c>
      <c r="E927" t="inlineStr">
        <is>
          <t>HÄRJEDALEN</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10043-2023</t>
        </is>
      </c>
      <c r="B928" s="1" t="n">
        <v>44985</v>
      </c>
      <c r="C928" s="1" t="n">
        <v>45728</v>
      </c>
      <c r="D928" t="inlineStr">
        <is>
          <t>JÄMTLANDS LÄN</t>
        </is>
      </c>
      <c r="E928" t="inlineStr">
        <is>
          <t>HÄRJEDALEN</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9993-2023</t>
        </is>
      </c>
      <c r="B929" s="1" t="n">
        <v>44985</v>
      </c>
      <c r="C929" s="1" t="n">
        <v>45728</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10003-2023</t>
        </is>
      </c>
      <c r="B930" s="1" t="n">
        <v>44985</v>
      </c>
      <c r="C930" s="1" t="n">
        <v>45728</v>
      </c>
      <c r="D930" t="inlineStr">
        <is>
          <t>JÄMTLANDS LÄN</t>
        </is>
      </c>
      <c r="E930" t="inlineStr">
        <is>
          <t>HÄRJEDALEN</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10007-2023</t>
        </is>
      </c>
      <c r="B931" s="1" t="n">
        <v>44985</v>
      </c>
      <c r="C931" s="1" t="n">
        <v>45728</v>
      </c>
      <c r="D931" t="inlineStr">
        <is>
          <t>JÄMTLANDS LÄN</t>
        </is>
      </c>
      <c r="E931" t="inlineStr">
        <is>
          <t>HÄRJEDALEN</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10012-2023</t>
        </is>
      </c>
      <c r="B932" s="1" t="n">
        <v>44985</v>
      </c>
      <c r="C932" s="1" t="n">
        <v>45728</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10040-2023</t>
        </is>
      </c>
      <c r="B933" s="1" t="n">
        <v>44985</v>
      </c>
      <c r="C933" s="1" t="n">
        <v>45728</v>
      </c>
      <c r="D933" t="inlineStr">
        <is>
          <t>JÄMTLANDS LÄN</t>
        </is>
      </c>
      <c r="E933" t="inlineStr">
        <is>
          <t>HÄRJEDALEN</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10329-2023</t>
        </is>
      </c>
      <c r="B934" s="1" t="n">
        <v>44987</v>
      </c>
      <c r="C934" s="1" t="n">
        <v>45728</v>
      </c>
      <c r="D934" t="inlineStr">
        <is>
          <t>JÄMTLANDS LÄN</t>
        </is>
      </c>
      <c r="E934" t="inlineStr">
        <is>
          <t>HÄRJEDALEN</t>
        </is>
      </c>
      <c r="F934" t="inlineStr">
        <is>
          <t>Holmen skog AB</t>
        </is>
      </c>
      <c r="G934" t="n">
        <v>4.7</v>
      </c>
      <c r="H934" t="n">
        <v>0</v>
      </c>
      <c r="I934" t="n">
        <v>0</v>
      </c>
      <c r="J934" t="n">
        <v>0</v>
      </c>
      <c r="K934" t="n">
        <v>0</v>
      </c>
      <c r="L934" t="n">
        <v>0</v>
      </c>
      <c r="M934" t="n">
        <v>0</v>
      </c>
      <c r="N934" t="n">
        <v>0</v>
      </c>
      <c r="O934" t="n">
        <v>0</v>
      </c>
      <c r="P934" t="n">
        <v>0</v>
      </c>
      <c r="Q934" t="n">
        <v>0</v>
      </c>
      <c r="R934" s="2" t="inlineStr"/>
    </row>
    <row r="935" ht="15" customHeight="1">
      <c r="A935" t="inlineStr">
        <is>
          <t>A 10353-2023</t>
        </is>
      </c>
      <c r="B935" s="1" t="n">
        <v>44987</v>
      </c>
      <c r="C935" s="1" t="n">
        <v>45728</v>
      </c>
      <c r="D935" t="inlineStr">
        <is>
          <t>JÄMTLANDS LÄN</t>
        </is>
      </c>
      <c r="E935" t="inlineStr">
        <is>
          <t>HÄRJEDALEN</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10342-2023</t>
        </is>
      </c>
      <c r="B936" s="1" t="n">
        <v>44987</v>
      </c>
      <c r="C936" s="1" t="n">
        <v>45728</v>
      </c>
      <c r="D936" t="inlineStr">
        <is>
          <t>JÄMTLANDS LÄN</t>
        </is>
      </c>
      <c r="E936" t="inlineStr">
        <is>
          <t>HÄRJEDALEN</t>
        </is>
      </c>
      <c r="F936" t="inlineStr">
        <is>
          <t>Holmen skog AB</t>
        </is>
      </c>
      <c r="G936" t="n">
        <v>32.6</v>
      </c>
      <c r="H936" t="n">
        <v>0</v>
      </c>
      <c r="I936" t="n">
        <v>0</v>
      </c>
      <c r="J936" t="n">
        <v>0</v>
      </c>
      <c r="K936" t="n">
        <v>0</v>
      </c>
      <c r="L936" t="n">
        <v>0</v>
      </c>
      <c r="M936" t="n">
        <v>0</v>
      </c>
      <c r="N936" t="n">
        <v>0</v>
      </c>
      <c r="O936" t="n">
        <v>0</v>
      </c>
      <c r="P936" t="n">
        <v>0</v>
      </c>
      <c r="Q936" t="n">
        <v>0</v>
      </c>
      <c r="R936" s="2" t="inlineStr"/>
    </row>
    <row r="937" ht="15" customHeight="1">
      <c r="A937" t="inlineStr">
        <is>
          <t>A 10340-2023</t>
        </is>
      </c>
      <c r="B937" s="1" t="n">
        <v>44987</v>
      </c>
      <c r="C937" s="1" t="n">
        <v>45728</v>
      </c>
      <c r="D937" t="inlineStr">
        <is>
          <t>JÄMTLANDS LÄN</t>
        </is>
      </c>
      <c r="E937" t="inlineStr">
        <is>
          <t>HÄRJEDALEN</t>
        </is>
      </c>
      <c r="F937" t="inlineStr">
        <is>
          <t>Holmen skog AB</t>
        </is>
      </c>
      <c r="G937" t="n">
        <v>5.7</v>
      </c>
      <c r="H937" t="n">
        <v>0</v>
      </c>
      <c r="I937" t="n">
        <v>0</v>
      </c>
      <c r="J937" t="n">
        <v>0</v>
      </c>
      <c r="K937" t="n">
        <v>0</v>
      </c>
      <c r="L937" t="n">
        <v>0</v>
      </c>
      <c r="M937" t="n">
        <v>0</v>
      </c>
      <c r="N937" t="n">
        <v>0</v>
      </c>
      <c r="O937" t="n">
        <v>0</v>
      </c>
      <c r="P937" t="n">
        <v>0</v>
      </c>
      <c r="Q937" t="n">
        <v>0</v>
      </c>
      <c r="R937" s="2" t="inlineStr"/>
    </row>
    <row r="938" ht="15" customHeight="1">
      <c r="A938" t="inlineStr">
        <is>
          <t>A 10348-2023</t>
        </is>
      </c>
      <c r="B938" s="1" t="n">
        <v>44987</v>
      </c>
      <c r="C938" s="1" t="n">
        <v>45728</v>
      </c>
      <c r="D938" t="inlineStr">
        <is>
          <t>JÄMTLANDS LÄN</t>
        </is>
      </c>
      <c r="E938" t="inlineStr">
        <is>
          <t>HÄRJEDALEN</t>
        </is>
      </c>
      <c r="F938" t="inlineStr">
        <is>
          <t>Holmen skog AB</t>
        </is>
      </c>
      <c r="G938" t="n">
        <v>17.8</v>
      </c>
      <c r="H938" t="n">
        <v>0</v>
      </c>
      <c r="I938" t="n">
        <v>0</v>
      </c>
      <c r="J938" t="n">
        <v>0</v>
      </c>
      <c r="K938" t="n">
        <v>0</v>
      </c>
      <c r="L938" t="n">
        <v>0</v>
      </c>
      <c r="M938" t="n">
        <v>0</v>
      </c>
      <c r="N938" t="n">
        <v>0</v>
      </c>
      <c r="O938" t="n">
        <v>0</v>
      </c>
      <c r="P938" t="n">
        <v>0</v>
      </c>
      <c r="Q938" t="n">
        <v>0</v>
      </c>
      <c r="R938" s="2" t="inlineStr"/>
    </row>
    <row r="939" ht="15" customHeight="1">
      <c r="A939" t="inlineStr">
        <is>
          <t>A 10338-2023</t>
        </is>
      </c>
      <c r="B939" s="1" t="n">
        <v>44987</v>
      </c>
      <c r="C939" s="1" t="n">
        <v>45728</v>
      </c>
      <c r="D939" t="inlineStr">
        <is>
          <t>JÄMTLANDS LÄN</t>
        </is>
      </c>
      <c r="E939" t="inlineStr">
        <is>
          <t>HÄRJEDALEN</t>
        </is>
      </c>
      <c r="F939" t="inlineStr">
        <is>
          <t>Holmen skog AB</t>
        </is>
      </c>
      <c r="G939" t="n">
        <v>11.8</v>
      </c>
      <c r="H939" t="n">
        <v>0</v>
      </c>
      <c r="I939" t="n">
        <v>0</v>
      </c>
      <c r="J939" t="n">
        <v>0</v>
      </c>
      <c r="K939" t="n">
        <v>0</v>
      </c>
      <c r="L939" t="n">
        <v>0</v>
      </c>
      <c r="M939" t="n">
        <v>0</v>
      </c>
      <c r="N939" t="n">
        <v>0</v>
      </c>
      <c r="O939" t="n">
        <v>0</v>
      </c>
      <c r="P939" t="n">
        <v>0</v>
      </c>
      <c r="Q939" t="n">
        <v>0</v>
      </c>
      <c r="R939" s="2" t="inlineStr"/>
    </row>
    <row r="940" ht="15" customHeight="1">
      <c r="A940" t="inlineStr">
        <is>
          <t>A 11448-2023</t>
        </is>
      </c>
      <c r="B940" s="1" t="n">
        <v>44993</v>
      </c>
      <c r="C940" s="1" t="n">
        <v>45728</v>
      </c>
      <c r="D940" t="inlineStr">
        <is>
          <t>JÄMTLANDS LÄN</t>
        </is>
      </c>
      <c r="E940" t="inlineStr">
        <is>
          <t>HÄRJEDALEN</t>
        </is>
      </c>
      <c r="G940" t="n">
        <v>12.1</v>
      </c>
      <c r="H940" t="n">
        <v>0</v>
      </c>
      <c r="I940" t="n">
        <v>0</v>
      </c>
      <c r="J940" t="n">
        <v>0</v>
      </c>
      <c r="K940" t="n">
        <v>0</v>
      </c>
      <c r="L940" t="n">
        <v>0</v>
      </c>
      <c r="M940" t="n">
        <v>0</v>
      </c>
      <c r="N940" t="n">
        <v>0</v>
      </c>
      <c r="O940" t="n">
        <v>0</v>
      </c>
      <c r="P940" t="n">
        <v>0</v>
      </c>
      <c r="Q940" t="n">
        <v>0</v>
      </c>
      <c r="R940" s="2" t="inlineStr"/>
    </row>
    <row r="941" ht="15" customHeight="1">
      <c r="A941" t="inlineStr">
        <is>
          <t>A 11818-2023</t>
        </is>
      </c>
      <c r="B941" s="1" t="n">
        <v>44994</v>
      </c>
      <c r="C941" s="1" t="n">
        <v>45728</v>
      </c>
      <c r="D941" t="inlineStr">
        <is>
          <t>JÄMTLANDS LÄN</t>
        </is>
      </c>
      <c r="E941" t="inlineStr">
        <is>
          <t>HÄRJEDALEN</t>
        </is>
      </c>
      <c r="G941" t="n">
        <v>8.9</v>
      </c>
      <c r="H941" t="n">
        <v>0</v>
      </c>
      <c r="I941" t="n">
        <v>0</v>
      </c>
      <c r="J941" t="n">
        <v>0</v>
      </c>
      <c r="K941" t="n">
        <v>0</v>
      </c>
      <c r="L941" t="n">
        <v>0</v>
      </c>
      <c r="M941" t="n">
        <v>0</v>
      </c>
      <c r="N941" t="n">
        <v>0</v>
      </c>
      <c r="O941" t="n">
        <v>0</v>
      </c>
      <c r="P941" t="n">
        <v>0</v>
      </c>
      <c r="Q941" t="n">
        <v>0</v>
      </c>
      <c r="R941" s="2" t="inlineStr"/>
    </row>
    <row r="942" ht="15" customHeight="1">
      <c r="A942" t="inlineStr">
        <is>
          <t>A 12484-2023</t>
        </is>
      </c>
      <c r="B942" s="1" t="n">
        <v>44998</v>
      </c>
      <c r="C942" s="1" t="n">
        <v>45728</v>
      </c>
      <c r="D942" t="inlineStr">
        <is>
          <t>JÄMTLANDS LÄN</t>
        </is>
      </c>
      <c r="E942" t="inlineStr">
        <is>
          <t>HÄRJEDALEN</t>
        </is>
      </c>
      <c r="G942" t="n">
        <v>43.1</v>
      </c>
      <c r="H942" t="n">
        <v>0</v>
      </c>
      <c r="I942" t="n">
        <v>0</v>
      </c>
      <c r="J942" t="n">
        <v>0</v>
      </c>
      <c r="K942" t="n">
        <v>0</v>
      </c>
      <c r="L942" t="n">
        <v>0</v>
      </c>
      <c r="M942" t="n">
        <v>0</v>
      </c>
      <c r="N942" t="n">
        <v>0</v>
      </c>
      <c r="O942" t="n">
        <v>0</v>
      </c>
      <c r="P942" t="n">
        <v>0</v>
      </c>
      <c r="Q942" t="n">
        <v>0</v>
      </c>
      <c r="R942" s="2" t="inlineStr"/>
    </row>
    <row r="943" ht="15" customHeight="1">
      <c r="A943" t="inlineStr">
        <is>
          <t>A 12462-2023</t>
        </is>
      </c>
      <c r="B943" s="1" t="n">
        <v>44999</v>
      </c>
      <c r="C943" s="1" t="n">
        <v>45728</v>
      </c>
      <c r="D943" t="inlineStr">
        <is>
          <t>JÄMTLANDS LÄN</t>
        </is>
      </c>
      <c r="E943" t="inlineStr">
        <is>
          <t>HÄRJEDALEN</t>
        </is>
      </c>
      <c r="G943" t="n">
        <v>7.8</v>
      </c>
      <c r="H943" t="n">
        <v>0</v>
      </c>
      <c r="I943" t="n">
        <v>0</v>
      </c>
      <c r="J943" t="n">
        <v>0</v>
      </c>
      <c r="K943" t="n">
        <v>0</v>
      </c>
      <c r="L943" t="n">
        <v>0</v>
      </c>
      <c r="M943" t="n">
        <v>0</v>
      </c>
      <c r="N943" t="n">
        <v>0</v>
      </c>
      <c r="O943" t="n">
        <v>0</v>
      </c>
      <c r="P943" t="n">
        <v>0</v>
      </c>
      <c r="Q943" t="n">
        <v>0</v>
      </c>
      <c r="R943" s="2" t="inlineStr"/>
    </row>
    <row r="944" ht="15" customHeight="1">
      <c r="A944" t="inlineStr">
        <is>
          <t>A 12625-2023</t>
        </is>
      </c>
      <c r="B944" s="1" t="n">
        <v>45000</v>
      </c>
      <c r="C944" s="1" t="n">
        <v>45728</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12921-2023</t>
        </is>
      </c>
      <c r="B945" s="1" t="n">
        <v>45001</v>
      </c>
      <c r="C945" s="1" t="n">
        <v>45728</v>
      </c>
      <c r="D945" t="inlineStr">
        <is>
          <t>JÄMTLANDS LÄN</t>
        </is>
      </c>
      <c r="E945" t="inlineStr">
        <is>
          <t>HÄRJEDALEN</t>
        </is>
      </c>
      <c r="G945" t="n">
        <v>13.9</v>
      </c>
      <c r="H945" t="n">
        <v>0</v>
      </c>
      <c r="I945" t="n">
        <v>0</v>
      </c>
      <c r="J945" t="n">
        <v>0</v>
      </c>
      <c r="K945" t="n">
        <v>0</v>
      </c>
      <c r="L945" t="n">
        <v>0</v>
      </c>
      <c r="M945" t="n">
        <v>0</v>
      </c>
      <c r="N945" t="n">
        <v>0</v>
      </c>
      <c r="O945" t="n">
        <v>0</v>
      </c>
      <c r="P945" t="n">
        <v>0</v>
      </c>
      <c r="Q945" t="n">
        <v>0</v>
      </c>
      <c r="R945" s="2" t="inlineStr"/>
    </row>
    <row r="946" ht="15" customHeight="1">
      <c r="A946" t="inlineStr">
        <is>
          <t>A 13774-2023</t>
        </is>
      </c>
      <c r="B946" s="1" t="n">
        <v>45007</v>
      </c>
      <c r="C946" s="1" t="n">
        <v>45728</v>
      </c>
      <c r="D946" t="inlineStr">
        <is>
          <t>JÄMTLANDS LÄN</t>
        </is>
      </c>
      <c r="E946" t="inlineStr">
        <is>
          <t>HÄRJEDALEN</t>
        </is>
      </c>
      <c r="G946" t="n">
        <v>0.7</v>
      </c>
      <c r="H946" t="n">
        <v>0</v>
      </c>
      <c r="I946" t="n">
        <v>0</v>
      </c>
      <c r="J946" t="n">
        <v>0</v>
      </c>
      <c r="K946" t="n">
        <v>0</v>
      </c>
      <c r="L946" t="n">
        <v>0</v>
      </c>
      <c r="M946" t="n">
        <v>0</v>
      </c>
      <c r="N946" t="n">
        <v>0</v>
      </c>
      <c r="O946" t="n">
        <v>0</v>
      </c>
      <c r="P946" t="n">
        <v>0</v>
      </c>
      <c r="Q946" t="n">
        <v>0</v>
      </c>
      <c r="R946" s="2" t="inlineStr"/>
    </row>
    <row r="947" ht="15" customHeight="1">
      <c r="A947" t="inlineStr">
        <is>
          <t>A 14631-2023</t>
        </is>
      </c>
      <c r="B947" s="1" t="n">
        <v>45012</v>
      </c>
      <c r="C947" s="1" t="n">
        <v>45728</v>
      </c>
      <c r="D947" t="inlineStr">
        <is>
          <t>JÄMTLANDS LÄN</t>
        </is>
      </c>
      <c r="E947" t="inlineStr">
        <is>
          <t>HÄRJEDALEN</t>
        </is>
      </c>
      <c r="F947" t="inlineStr">
        <is>
          <t>Bergvik skog väst AB</t>
        </is>
      </c>
      <c r="G947" t="n">
        <v>14.2</v>
      </c>
      <c r="H947" t="n">
        <v>0</v>
      </c>
      <c r="I947" t="n">
        <v>0</v>
      </c>
      <c r="J947" t="n">
        <v>0</v>
      </c>
      <c r="K947" t="n">
        <v>0</v>
      </c>
      <c r="L947" t="n">
        <v>0</v>
      </c>
      <c r="M947" t="n">
        <v>0</v>
      </c>
      <c r="N947" t="n">
        <v>0</v>
      </c>
      <c r="O947" t="n">
        <v>0</v>
      </c>
      <c r="P947" t="n">
        <v>0</v>
      </c>
      <c r="Q947" t="n">
        <v>0</v>
      </c>
      <c r="R947" s="2" t="inlineStr"/>
    </row>
    <row r="948" ht="15" customHeight="1">
      <c r="A948" t="inlineStr">
        <is>
          <t>A 15511-2023</t>
        </is>
      </c>
      <c r="B948" s="1" t="n">
        <v>45020</v>
      </c>
      <c r="C948" s="1" t="n">
        <v>45728</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15747-2023</t>
        </is>
      </c>
      <c r="B949" s="1" t="n">
        <v>45020</v>
      </c>
      <c r="C949" s="1" t="n">
        <v>45728</v>
      </c>
      <c r="D949" t="inlineStr">
        <is>
          <t>JÄMTLANDS LÄN</t>
        </is>
      </c>
      <c r="E949" t="inlineStr">
        <is>
          <t>HÄRJEDALEN</t>
        </is>
      </c>
      <c r="G949" t="n">
        <v>0.1</v>
      </c>
      <c r="H949" t="n">
        <v>0</v>
      </c>
      <c r="I949" t="n">
        <v>0</v>
      </c>
      <c r="J949" t="n">
        <v>0</v>
      </c>
      <c r="K949" t="n">
        <v>0</v>
      </c>
      <c r="L949" t="n">
        <v>0</v>
      </c>
      <c r="M949" t="n">
        <v>0</v>
      </c>
      <c r="N949" t="n">
        <v>0</v>
      </c>
      <c r="O949" t="n">
        <v>0</v>
      </c>
      <c r="P949" t="n">
        <v>0</v>
      </c>
      <c r="Q949" t="n">
        <v>0</v>
      </c>
      <c r="R949" s="2" t="inlineStr"/>
    </row>
    <row r="950" ht="15" customHeight="1">
      <c r="A950" t="inlineStr">
        <is>
          <t>A 16115-2023</t>
        </is>
      </c>
      <c r="B950" s="1" t="n">
        <v>45027</v>
      </c>
      <c r="C950" s="1" t="n">
        <v>45728</v>
      </c>
      <c r="D950" t="inlineStr">
        <is>
          <t>JÄMTLANDS LÄN</t>
        </is>
      </c>
      <c r="E950" t="inlineStr">
        <is>
          <t>HÄRJEDALEN</t>
        </is>
      </c>
      <c r="G950" t="n">
        <v>26</v>
      </c>
      <c r="H950" t="n">
        <v>0</v>
      </c>
      <c r="I950" t="n">
        <v>0</v>
      </c>
      <c r="J950" t="n">
        <v>0</v>
      </c>
      <c r="K950" t="n">
        <v>0</v>
      </c>
      <c r="L950" t="n">
        <v>0</v>
      </c>
      <c r="M950" t="n">
        <v>0</v>
      </c>
      <c r="N950" t="n">
        <v>0</v>
      </c>
      <c r="O950" t="n">
        <v>0</v>
      </c>
      <c r="P950" t="n">
        <v>0</v>
      </c>
      <c r="Q950" t="n">
        <v>0</v>
      </c>
      <c r="R950" s="2" t="inlineStr"/>
    </row>
    <row r="951" ht="15" customHeight="1">
      <c r="A951" t="inlineStr">
        <is>
          <t>A 16468-2023</t>
        </is>
      </c>
      <c r="B951" s="1" t="n">
        <v>45029</v>
      </c>
      <c r="C951" s="1" t="n">
        <v>45728</v>
      </c>
      <c r="D951" t="inlineStr">
        <is>
          <t>JÄMTLANDS LÄN</t>
        </is>
      </c>
      <c r="E951" t="inlineStr">
        <is>
          <t>HÄRJEDALEN</t>
        </is>
      </c>
      <c r="G951" t="n">
        <v>6.7</v>
      </c>
      <c r="H951" t="n">
        <v>0</v>
      </c>
      <c r="I951" t="n">
        <v>0</v>
      </c>
      <c r="J951" t="n">
        <v>0</v>
      </c>
      <c r="K951" t="n">
        <v>0</v>
      </c>
      <c r="L951" t="n">
        <v>0</v>
      </c>
      <c r="M951" t="n">
        <v>0</v>
      </c>
      <c r="N951" t="n">
        <v>0</v>
      </c>
      <c r="O951" t="n">
        <v>0</v>
      </c>
      <c r="P951" t="n">
        <v>0</v>
      </c>
      <c r="Q951" t="n">
        <v>0</v>
      </c>
      <c r="R951" s="2" t="inlineStr"/>
    </row>
    <row r="952" ht="15" customHeight="1">
      <c r="A952" t="inlineStr">
        <is>
          <t>A 17121-2023</t>
        </is>
      </c>
      <c r="B952" s="1" t="n">
        <v>45034</v>
      </c>
      <c r="C952" s="1" t="n">
        <v>45728</v>
      </c>
      <c r="D952" t="inlineStr">
        <is>
          <t>JÄMTLANDS LÄN</t>
        </is>
      </c>
      <c r="E952" t="inlineStr">
        <is>
          <t>HÄRJEDALEN</t>
        </is>
      </c>
      <c r="G952" t="n">
        <v>6.4</v>
      </c>
      <c r="H952" t="n">
        <v>0</v>
      </c>
      <c r="I952" t="n">
        <v>0</v>
      </c>
      <c r="J952" t="n">
        <v>0</v>
      </c>
      <c r="K952" t="n">
        <v>0</v>
      </c>
      <c r="L952" t="n">
        <v>0</v>
      </c>
      <c r="M952" t="n">
        <v>0</v>
      </c>
      <c r="N952" t="n">
        <v>0</v>
      </c>
      <c r="O952" t="n">
        <v>0</v>
      </c>
      <c r="P952" t="n">
        <v>0</v>
      </c>
      <c r="Q952" t="n">
        <v>0</v>
      </c>
      <c r="R952" s="2" t="inlineStr"/>
    </row>
    <row r="953" ht="15" customHeight="1">
      <c r="A953" t="inlineStr">
        <is>
          <t>A 17105-2023</t>
        </is>
      </c>
      <c r="B953" s="1" t="n">
        <v>45034</v>
      </c>
      <c r="C953" s="1" t="n">
        <v>45728</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17122-2023</t>
        </is>
      </c>
      <c r="B954" s="1" t="n">
        <v>45034</v>
      </c>
      <c r="C954" s="1" t="n">
        <v>45728</v>
      </c>
      <c r="D954" t="inlineStr">
        <is>
          <t>JÄMTLANDS LÄN</t>
        </is>
      </c>
      <c r="E954" t="inlineStr">
        <is>
          <t>HÄRJEDALEN</t>
        </is>
      </c>
      <c r="G954" t="n">
        <v>3.8</v>
      </c>
      <c r="H954" t="n">
        <v>0</v>
      </c>
      <c r="I954" t="n">
        <v>0</v>
      </c>
      <c r="J954" t="n">
        <v>0</v>
      </c>
      <c r="K954" t="n">
        <v>0</v>
      </c>
      <c r="L954" t="n">
        <v>0</v>
      </c>
      <c r="M954" t="n">
        <v>0</v>
      </c>
      <c r="N954" t="n">
        <v>0</v>
      </c>
      <c r="O954" t="n">
        <v>0</v>
      </c>
      <c r="P954" t="n">
        <v>0</v>
      </c>
      <c r="Q954" t="n">
        <v>0</v>
      </c>
      <c r="R954" s="2" t="inlineStr"/>
    </row>
    <row r="955" ht="15" customHeight="1">
      <c r="A955" t="inlineStr">
        <is>
          <t>A 17153-2023</t>
        </is>
      </c>
      <c r="B955" s="1" t="n">
        <v>45034</v>
      </c>
      <c r="C955" s="1" t="n">
        <v>45728</v>
      </c>
      <c r="D955" t="inlineStr">
        <is>
          <t>JÄMTLANDS LÄN</t>
        </is>
      </c>
      <c r="E955" t="inlineStr">
        <is>
          <t>HÄRJEDALEN</t>
        </is>
      </c>
      <c r="G955" t="n">
        <v>5.6</v>
      </c>
      <c r="H955" t="n">
        <v>0</v>
      </c>
      <c r="I955" t="n">
        <v>0</v>
      </c>
      <c r="J955" t="n">
        <v>0</v>
      </c>
      <c r="K955" t="n">
        <v>0</v>
      </c>
      <c r="L955" t="n">
        <v>0</v>
      </c>
      <c r="M955" t="n">
        <v>0</v>
      </c>
      <c r="N955" t="n">
        <v>0</v>
      </c>
      <c r="O955" t="n">
        <v>0</v>
      </c>
      <c r="P955" t="n">
        <v>0</v>
      </c>
      <c r="Q955" t="n">
        <v>0</v>
      </c>
      <c r="R955" s="2" t="inlineStr"/>
    </row>
    <row r="956" ht="15" customHeight="1">
      <c r="A956" t="inlineStr">
        <is>
          <t>A 17118-2023</t>
        </is>
      </c>
      <c r="B956" s="1" t="n">
        <v>45034</v>
      </c>
      <c r="C956" s="1" t="n">
        <v>45728</v>
      </c>
      <c r="D956" t="inlineStr">
        <is>
          <t>JÄMTLANDS LÄN</t>
        </is>
      </c>
      <c r="E956" t="inlineStr">
        <is>
          <t>HÄRJEDALEN</t>
        </is>
      </c>
      <c r="G956" t="n">
        <v>0.6</v>
      </c>
      <c r="H956" t="n">
        <v>0</v>
      </c>
      <c r="I956" t="n">
        <v>0</v>
      </c>
      <c r="J956" t="n">
        <v>0</v>
      </c>
      <c r="K956" t="n">
        <v>0</v>
      </c>
      <c r="L956" t="n">
        <v>0</v>
      </c>
      <c r="M956" t="n">
        <v>0</v>
      </c>
      <c r="N956" t="n">
        <v>0</v>
      </c>
      <c r="O956" t="n">
        <v>0</v>
      </c>
      <c r="P956" t="n">
        <v>0</v>
      </c>
      <c r="Q956" t="n">
        <v>0</v>
      </c>
      <c r="R956" s="2" t="inlineStr"/>
    </row>
    <row r="957" ht="15" customHeight="1">
      <c r="A957" t="inlineStr">
        <is>
          <t>A 17238-2023</t>
        </is>
      </c>
      <c r="B957" s="1" t="n">
        <v>45035</v>
      </c>
      <c r="C957" s="1" t="n">
        <v>45728</v>
      </c>
      <c r="D957" t="inlineStr">
        <is>
          <t>JÄMTLANDS LÄN</t>
        </is>
      </c>
      <c r="E957" t="inlineStr">
        <is>
          <t>HÄRJEDALEN</t>
        </is>
      </c>
      <c r="G957" t="n">
        <v>3.1</v>
      </c>
      <c r="H957" t="n">
        <v>0</v>
      </c>
      <c r="I957" t="n">
        <v>0</v>
      </c>
      <c r="J957" t="n">
        <v>0</v>
      </c>
      <c r="K957" t="n">
        <v>0</v>
      </c>
      <c r="L957" t="n">
        <v>0</v>
      </c>
      <c r="M957" t="n">
        <v>0</v>
      </c>
      <c r="N957" t="n">
        <v>0</v>
      </c>
      <c r="O957" t="n">
        <v>0</v>
      </c>
      <c r="P957" t="n">
        <v>0</v>
      </c>
      <c r="Q957" t="n">
        <v>0</v>
      </c>
      <c r="R957" s="2" t="inlineStr"/>
    </row>
    <row r="958" ht="15" customHeight="1">
      <c r="A958" t="inlineStr">
        <is>
          <t>A 17246-2023</t>
        </is>
      </c>
      <c r="B958" s="1" t="n">
        <v>45035</v>
      </c>
      <c r="C958" s="1" t="n">
        <v>45728</v>
      </c>
      <c r="D958" t="inlineStr">
        <is>
          <t>JÄMTLANDS LÄN</t>
        </is>
      </c>
      <c r="E958" t="inlineStr">
        <is>
          <t>HÄRJEDALEN</t>
        </is>
      </c>
      <c r="G958" t="n">
        <v>2.4</v>
      </c>
      <c r="H958" t="n">
        <v>0</v>
      </c>
      <c r="I958" t="n">
        <v>0</v>
      </c>
      <c r="J958" t="n">
        <v>0</v>
      </c>
      <c r="K958" t="n">
        <v>0</v>
      </c>
      <c r="L958" t="n">
        <v>0</v>
      </c>
      <c r="M958" t="n">
        <v>0</v>
      </c>
      <c r="N958" t="n">
        <v>0</v>
      </c>
      <c r="O958" t="n">
        <v>0</v>
      </c>
      <c r="P958" t="n">
        <v>0</v>
      </c>
      <c r="Q958" t="n">
        <v>0</v>
      </c>
      <c r="R958" s="2" t="inlineStr"/>
    </row>
    <row r="959" ht="15" customHeight="1">
      <c r="A959" t="inlineStr">
        <is>
          <t>A 17232-2023</t>
        </is>
      </c>
      <c r="B959" s="1" t="n">
        <v>45035</v>
      </c>
      <c r="C959" s="1" t="n">
        <v>45728</v>
      </c>
      <c r="D959" t="inlineStr">
        <is>
          <t>JÄMTLANDS LÄN</t>
        </is>
      </c>
      <c r="E959" t="inlineStr">
        <is>
          <t>HÄRJEDALEN</t>
        </is>
      </c>
      <c r="G959" t="n">
        <v>6.9</v>
      </c>
      <c r="H959" t="n">
        <v>0</v>
      </c>
      <c r="I959" t="n">
        <v>0</v>
      </c>
      <c r="J959" t="n">
        <v>0</v>
      </c>
      <c r="K959" t="n">
        <v>0</v>
      </c>
      <c r="L959" t="n">
        <v>0</v>
      </c>
      <c r="M959" t="n">
        <v>0</v>
      </c>
      <c r="N959" t="n">
        <v>0</v>
      </c>
      <c r="O959" t="n">
        <v>0</v>
      </c>
      <c r="P959" t="n">
        <v>0</v>
      </c>
      <c r="Q959" t="n">
        <v>0</v>
      </c>
      <c r="R959" s="2" t="inlineStr"/>
    </row>
    <row r="960" ht="15" customHeight="1">
      <c r="A960" t="inlineStr">
        <is>
          <t>A 17368-2023</t>
        </is>
      </c>
      <c r="B960" s="1" t="n">
        <v>45035</v>
      </c>
      <c r="C960" s="1" t="n">
        <v>45728</v>
      </c>
      <c r="D960" t="inlineStr">
        <is>
          <t>JÄMTLANDS LÄN</t>
        </is>
      </c>
      <c r="E960" t="inlineStr">
        <is>
          <t>HÄRJEDALEN</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18334-2023</t>
        </is>
      </c>
      <c r="B961" s="1" t="n">
        <v>45041</v>
      </c>
      <c r="C961" s="1" t="n">
        <v>45728</v>
      </c>
      <c r="D961" t="inlineStr">
        <is>
          <t>JÄMTLANDS LÄN</t>
        </is>
      </c>
      <c r="E961" t="inlineStr">
        <is>
          <t>HÄRJEDALEN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18258-2023</t>
        </is>
      </c>
      <c r="B962" s="1" t="n">
        <v>45041</v>
      </c>
      <c r="C962" s="1" t="n">
        <v>45728</v>
      </c>
      <c r="D962" t="inlineStr">
        <is>
          <t>JÄMTLANDS LÄN</t>
        </is>
      </c>
      <c r="E962" t="inlineStr">
        <is>
          <t>HÄRJEDALEN</t>
        </is>
      </c>
      <c r="F962" t="inlineStr">
        <is>
          <t>Bergvik skog väst AB</t>
        </is>
      </c>
      <c r="G962" t="n">
        <v>14.7</v>
      </c>
      <c r="H962" t="n">
        <v>0</v>
      </c>
      <c r="I962" t="n">
        <v>0</v>
      </c>
      <c r="J962" t="n">
        <v>0</v>
      </c>
      <c r="K962" t="n">
        <v>0</v>
      </c>
      <c r="L962" t="n">
        <v>0</v>
      </c>
      <c r="M962" t="n">
        <v>0</v>
      </c>
      <c r="N962" t="n">
        <v>0</v>
      </c>
      <c r="O962" t="n">
        <v>0</v>
      </c>
      <c r="P962" t="n">
        <v>0</v>
      </c>
      <c r="Q962" t="n">
        <v>0</v>
      </c>
      <c r="R962" s="2" t="inlineStr"/>
    </row>
    <row r="963" ht="15" customHeight="1">
      <c r="A963" t="inlineStr">
        <is>
          <t>A 18620-2023</t>
        </is>
      </c>
      <c r="B963" s="1" t="n">
        <v>45041</v>
      </c>
      <c r="C963" s="1" t="n">
        <v>45728</v>
      </c>
      <c r="D963" t="inlineStr">
        <is>
          <t>JÄMTLANDS LÄN</t>
        </is>
      </c>
      <c r="E963" t="inlineStr">
        <is>
          <t>HÄRJEDALEN</t>
        </is>
      </c>
      <c r="G963" t="n">
        <v>0.5</v>
      </c>
      <c r="H963" t="n">
        <v>0</v>
      </c>
      <c r="I963" t="n">
        <v>0</v>
      </c>
      <c r="J963" t="n">
        <v>0</v>
      </c>
      <c r="K963" t="n">
        <v>0</v>
      </c>
      <c r="L963" t="n">
        <v>0</v>
      </c>
      <c r="M963" t="n">
        <v>0</v>
      </c>
      <c r="N963" t="n">
        <v>0</v>
      </c>
      <c r="O963" t="n">
        <v>0</v>
      </c>
      <c r="P963" t="n">
        <v>0</v>
      </c>
      <c r="Q963" t="n">
        <v>0</v>
      </c>
      <c r="R963" s="2" t="inlineStr"/>
    </row>
    <row r="964" ht="15" customHeight="1">
      <c r="A964" t="inlineStr">
        <is>
          <t>A 18646-2023</t>
        </is>
      </c>
      <c r="B964" s="1" t="n">
        <v>45041</v>
      </c>
      <c r="C964" s="1" t="n">
        <v>45728</v>
      </c>
      <c r="D964" t="inlineStr">
        <is>
          <t>JÄMTLANDS LÄN</t>
        </is>
      </c>
      <c r="E964" t="inlineStr">
        <is>
          <t>HÄRJEDALEN</t>
        </is>
      </c>
      <c r="G964" t="n">
        <v>0.2</v>
      </c>
      <c r="H964" t="n">
        <v>0</v>
      </c>
      <c r="I964" t="n">
        <v>0</v>
      </c>
      <c r="J964" t="n">
        <v>0</v>
      </c>
      <c r="K964" t="n">
        <v>0</v>
      </c>
      <c r="L964" t="n">
        <v>0</v>
      </c>
      <c r="M964" t="n">
        <v>0</v>
      </c>
      <c r="N964" t="n">
        <v>0</v>
      </c>
      <c r="O964" t="n">
        <v>0</v>
      </c>
      <c r="P964" t="n">
        <v>0</v>
      </c>
      <c r="Q964" t="n">
        <v>0</v>
      </c>
      <c r="R964" s="2" t="inlineStr"/>
    </row>
    <row r="965" ht="15" customHeight="1">
      <c r="A965" t="inlineStr">
        <is>
          <t>A 18659-2023</t>
        </is>
      </c>
      <c r="B965" s="1" t="n">
        <v>45041</v>
      </c>
      <c r="C965" s="1" t="n">
        <v>45728</v>
      </c>
      <c r="D965" t="inlineStr">
        <is>
          <t>JÄMTLANDS LÄN</t>
        </is>
      </c>
      <c r="E965" t="inlineStr">
        <is>
          <t>HÄRJEDALEN</t>
        </is>
      </c>
      <c r="G965" t="n">
        <v>0.9</v>
      </c>
      <c r="H965" t="n">
        <v>0</v>
      </c>
      <c r="I965" t="n">
        <v>0</v>
      </c>
      <c r="J965" t="n">
        <v>0</v>
      </c>
      <c r="K965" t="n">
        <v>0</v>
      </c>
      <c r="L965" t="n">
        <v>0</v>
      </c>
      <c r="M965" t="n">
        <v>0</v>
      </c>
      <c r="N965" t="n">
        <v>0</v>
      </c>
      <c r="O965" t="n">
        <v>0</v>
      </c>
      <c r="P965" t="n">
        <v>0</v>
      </c>
      <c r="Q965" t="n">
        <v>0</v>
      </c>
      <c r="R965" s="2" t="inlineStr"/>
    </row>
    <row r="966" ht="15" customHeight="1">
      <c r="A966" t="inlineStr">
        <is>
          <t>A 18617-2023</t>
        </is>
      </c>
      <c r="B966" s="1" t="n">
        <v>45043</v>
      </c>
      <c r="C966" s="1" t="n">
        <v>45728</v>
      </c>
      <c r="D966" t="inlineStr">
        <is>
          <t>JÄMTLANDS LÄN</t>
        </is>
      </c>
      <c r="E966" t="inlineStr">
        <is>
          <t>HÄRJEDALEN</t>
        </is>
      </c>
      <c r="G966" t="n">
        <v>15.1</v>
      </c>
      <c r="H966" t="n">
        <v>0</v>
      </c>
      <c r="I966" t="n">
        <v>0</v>
      </c>
      <c r="J966" t="n">
        <v>0</v>
      </c>
      <c r="K966" t="n">
        <v>0</v>
      </c>
      <c r="L966" t="n">
        <v>0</v>
      </c>
      <c r="M966" t="n">
        <v>0</v>
      </c>
      <c r="N966" t="n">
        <v>0</v>
      </c>
      <c r="O966" t="n">
        <v>0</v>
      </c>
      <c r="P966" t="n">
        <v>0</v>
      </c>
      <c r="Q966" t="n">
        <v>0</v>
      </c>
      <c r="R966" s="2" t="inlineStr"/>
    </row>
    <row r="967" ht="15" customHeight="1">
      <c r="A967" t="inlineStr">
        <is>
          <t>A 18875-2023</t>
        </is>
      </c>
      <c r="B967" s="1" t="n">
        <v>45044</v>
      </c>
      <c r="C967" s="1" t="n">
        <v>45728</v>
      </c>
      <c r="D967" t="inlineStr">
        <is>
          <t>JÄMTLANDS LÄN</t>
        </is>
      </c>
      <c r="E967" t="inlineStr">
        <is>
          <t>HÄRJEDALEN</t>
        </is>
      </c>
      <c r="F967" t="inlineStr">
        <is>
          <t>Kyrkan</t>
        </is>
      </c>
      <c r="G967" t="n">
        <v>1.4</v>
      </c>
      <c r="H967" t="n">
        <v>0</v>
      </c>
      <c r="I967" t="n">
        <v>0</v>
      </c>
      <c r="J967" t="n">
        <v>0</v>
      </c>
      <c r="K967" t="n">
        <v>0</v>
      </c>
      <c r="L967" t="n">
        <v>0</v>
      </c>
      <c r="M967" t="n">
        <v>0</v>
      </c>
      <c r="N967" t="n">
        <v>0</v>
      </c>
      <c r="O967" t="n">
        <v>0</v>
      </c>
      <c r="P967" t="n">
        <v>0</v>
      </c>
      <c r="Q967" t="n">
        <v>0</v>
      </c>
      <c r="R967" s="2" t="inlineStr"/>
    </row>
    <row r="968" ht="15" customHeight="1">
      <c r="A968" t="inlineStr">
        <is>
          <t>A 19353-2023</t>
        </is>
      </c>
      <c r="B968" s="1" t="n">
        <v>45049</v>
      </c>
      <c r="C968" s="1" t="n">
        <v>45728</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19337-2023</t>
        </is>
      </c>
      <c r="B969" s="1" t="n">
        <v>45049</v>
      </c>
      <c r="C969" s="1" t="n">
        <v>45728</v>
      </c>
      <c r="D969" t="inlineStr">
        <is>
          <t>JÄMTLANDS LÄN</t>
        </is>
      </c>
      <c r="E969" t="inlineStr">
        <is>
          <t>HÄRJEDALEN</t>
        </is>
      </c>
      <c r="G969" t="n">
        <v>3.6</v>
      </c>
      <c r="H969" t="n">
        <v>0</v>
      </c>
      <c r="I969" t="n">
        <v>0</v>
      </c>
      <c r="J969" t="n">
        <v>0</v>
      </c>
      <c r="K969" t="n">
        <v>0</v>
      </c>
      <c r="L969" t="n">
        <v>0</v>
      </c>
      <c r="M969" t="n">
        <v>0</v>
      </c>
      <c r="N969" t="n">
        <v>0</v>
      </c>
      <c r="O969" t="n">
        <v>0</v>
      </c>
      <c r="P969" t="n">
        <v>0</v>
      </c>
      <c r="Q969" t="n">
        <v>0</v>
      </c>
      <c r="R969" s="2" t="inlineStr"/>
    </row>
    <row r="970" ht="15" customHeight="1">
      <c r="A970" t="inlineStr">
        <is>
          <t>A 19730-2023</t>
        </is>
      </c>
      <c r="B970" s="1" t="n">
        <v>45050</v>
      </c>
      <c r="C970" s="1" t="n">
        <v>45728</v>
      </c>
      <c r="D970" t="inlineStr">
        <is>
          <t>JÄMTLANDS LÄN</t>
        </is>
      </c>
      <c r="E970" t="inlineStr">
        <is>
          <t>HÄRJEDALEN</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19915-2023</t>
        </is>
      </c>
      <c r="B971" s="1" t="n">
        <v>45054</v>
      </c>
      <c r="C971" s="1" t="n">
        <v>45728</v>
      </c>
      <c r="D971" t="inlineStr">
        <is>
          <t>JÄMTLANDS LÄN</t>
        </is>
      </c>
      <c r="E971" t="inlineStr">
        <is>
          <t>HÄRJEDALEN</t>
        </is>
      </c>
      <c r="F971" t="inlineStr">
        <is>
          <t>Sveaskog</t>
        </is>
      </c>
      <c r="G971" t="n">
        <v>0.1</v>
      </c>
      <c r="H971" t="n">
        <v>0</v>
      </c>
      <c r="I971" t="n">
        <v>0</v>
      </c>
      <c r="J971" t="n">
        <v>0</v>
      </c>
      <c r="K971" t="n">
        <v>0</v>
      </c>
      <c r="L971" t="n">
        <v>0</v>
      </c>
      <c r="M971" t="n">
        <v>0</v>
      </c>
      <c r="N971" t="n">
        <v>0</v>
      </c>
      <c r="O971" t="n">
        <v>0</v>
      </c>
      <c r="P971" t="n">
        <v>0</v>
      </c>
      <c r="Q971" t="n">
        <v>0</v>
      </c>
      <c r="R971" s="2" t="inlineStr"/>
    </row>
    <row r="972" ht="15" customHeight="1">
      <c r="A972" t="inlineStr">
        <is>
          <t>A 19981-2023</t>
        </is>
      </c>
      <c r="B972" s="1" t="n">
        <v>45054</v>
      </c>
      <c r="C972" s="1" t="n">
        <v>45728</v>
      </c>
      <c r="D972" t="inlineStr">
        <is>
          <t>JÄMTLANDS LÄN</t>
        </is>
      </c>
      <c r="E972" t="inlineStr">
        <is>
          <t>HÄRJEDALEN</t>
        </is>
      </c>
      <c r="G972" t="n">
        <v>13.5</v>
      </c>
      <c r="H972" t="n">
        <v>0</v>
      </c>
      <c r="I972" t="n">
        <v>0</v>
      </c>
      <c r="J972" t="n">
        <v>0</v>
      </c>
      <c r="K972" t="n">
        <v>0</v>
      </c>
      <c r="L972" t="n">
        <v>0</v>
      </c>
      <c r="M972" t="n">
        <v>0</v>
      </c>
      <c r="N972" t="n">
        <v>0</v>
      </c>
      <c r="O972" t="n">
        <v>0</v>
      </c>
      <c r="P972" t="n">
        <v>0</v>
      </c>
      <c r="Q972" t="n">
        <v>0</v>
      </c>
      <c r="R972" s="2" t="inlineStr"/>
    </row>
    <row r="973" ht="15" customHeight="1">
      <c r="A973" t="inlineStr">
        <is>
          <t>A 20539-2023</t>
        </is>
      </c>
      <c r="B973" s="1" t="n">
        <v>45055</v>
      </c>
      <c r="C973" s="1" t="n">
        <v>45728</v>
      </c>
      <c r="D973" t="inlineStr">
        <is>
          <t>JÄMTLANDS LÄN</t>
        </is>
      </c>
      <c r="E973" t="inlineStr">
        <is>
          <t>HÄRJEDALEN</t>
        </is>
      </c>
      <c r="G973" t="n">
        <v>3.9</v>
      </c>
      <c r="H973" t="n">
        <v>0</v>
      </c>
      <c r="I973" t="n">
        <v>0</v>
      </c>
      <c r="J973" t="n">
        <v>0</v>
      </c>
      <c r="K973" t="n">
        <v>0</v>
      </c>
      <c r="L973" t="n">
        <v>0</v>
      </c>
      <c r="M973" t="n">
        <v>0</v>
      </c>
      <c r="N973" t="n">
        <v>0</v>
      </c>
      <c r="O973" t="n">
        <v>0</v>
      </c>
      <c r="P973" t="n">
        <v>0</v>
      </c>
      <c r="Q973" t="n">
        <v>0</v>
      </c>
      <c r="R973" s="2" t="inlineStr"/>
    </row>
    <row r="974" ht="15" customHeight="1">
      <c r="A974" t="inlineStr">
        <is>
          <t>A 20851-2023</t>
        </is>
      </c>
      <c r="B974" s="1" t="n">
        <v>45056</v>
      </c>
      <c r="C974" s="1" t="n">
        <v>45728</v>
      </c>
      <c r="D974" t="inlineStr">
        <is>
          <t>JÄMTLANDS LÄN</t>
        </is>
      </c>
      <c r="E974" t="inlineStr">
        <is>
          <t>HÄRJEDALEN</t>
        </is>
      </c>
      <c r="F974" t="inlineStr">
        <is>
          <t>Holmen skog AB</t>
        </is>
      </c>
      <c r="G974" t="n">
        <v>41.1</v>
      </c>
      <c r="H974" t="n">
        <v>0</v>
      </c>
      <c r="I974" t="n">
        <v>0</v>
      </c>
      <c r="J974" t="n">
        <v>0</v>
      </c>
      <c r="K974" t="n">
        <v>0</v>
      </c>
      <c r="L974" t="n">
        <v>0</v>
      </c>
      <c r="M974" t="n">
        <v>0</v>
      </c>
      <c r="N974" t="n">
        <v>0</v>
      </c>
      <c r="O974" t="n">
        <v>0</v>
      </c>
      <c r="P974" t="n">
        <v>0</v>
      </c>
      <c r="Q974" t="n">
        <v>0</v>
      </c>
      <c r="R974" s="2" t="inlineStr"/>
    </row>
    <row r="975" ht="15" customHeight="1">
      <c r="A975" t="inlineStr">
        <is>
          <t>A 20609-2023</t>
        </is>
      </c>
      <c r="B975" s="1" t="n">
        <v>45057</v>
      </c>
      <c r="C975" s="1" t="n">
        <v>45728</v>
      </c>
      <c r="D975" t="inlineStr">
        <is>
          <t>JÄMTLANDS LÄN</t>
        </is>
      </c>
      <c r="E975" t="inlineStr">
        <is>
          <t>HÄRJEDALEN</t>
        </is>
      </c>
      <c r="F975" t="inlineStr">
        <is>
          <t>SCA</t>
        </is>
      </c>
      <c r="G975" t="n">
        <v>15.6</v>
      </c>
      <c r="H975" t="n">
        <v>0</v>
      </c>
      <c r="I975" t="n">
        <v>0</v>
      </c>
      <c r="J975" t="n">
        <v>0</v>
      </c>
      <c r="K975" t="n">
        <v>0</v>
      </c>
      <c r="L975" t="n">
        <v>0</v>
      </c>
      <c r="M975" t="n">
        <v>0</v>
      </c>
      <c r="N975" t="n">
        <v>0</v>
      </c>
      <c r="O975" t="n">
        <v>0</v>
      </c>
      <c r="P975" t="n">
        <v>0</v>
      </c>
      <c r="Q975" t="n">
        <v>0</v>
      </c>
      <c r="R975" s="2" t="inlineStr"/>
      <c r="U975">
        <f>HYPERLINK("https://klasma.github.io/Logging_2361/knärot/A 20609-2023 karta knärot.png", "A 20609-2023")</f>
        <v/>
      </c>
      <c r="V975">
        <f>HYPERLINK("https://klasma.github.io/Logging_2361/klagomål/A 20609-2023 FSC-klagomål.docx", "A 20609-2023")</f>
        <v/>
      </c>
      <c r="W975">
        <f>HYPERLINK("https://klasma.github.io/Logging_2361/klagomålsmail/A 20609-2023 FSC-klagomål mail.docx", "A 20609-2023")</f>
        <v/>
      </c>
      <c r="X975">
        <f>HYPERLINK("https://klasma.github.io/Logging_2361/tillsyn/A 20609-2023 tillsynsbegäran.docx", "A 20609-2023")</f>
        <v/>
      </c>
      <c r="Y975">
        <f>HYPERLINK("https://klasma.github.io/Logging_2361/tillsynsmail/A 20609-2023 tillsynsbegäran mail.docx", "A 20609-2023")</f>
        <v/>
      </c>
    </row>
    <row r="976" ht="15" customHeight="1">
      <c r="A976" t="inlineStr">
        <is>
          <t>A 20768-2023</t>
        </is>
      </c>
      <c r="B976" s="1" t="n">
        <v>45058</v>
      </c>
      <c r="C976" s="1" t="n">
        <v>45728</v>
      </c>
      <c r="D976" t="inlineStr">
        <is>
          <t>JÄMTLANDS LÄN</t>
        </is>
      </c>
      <c r="E976" t="inlineStr">
        <is>
          <t>HÄRJEDALEN</t>
        </is>
      </c>
      <c r="G976" t="n">
        <v>7.8</v>
      </c>
      <c r="H976" t="n">
        <v>0</v>
      </c>
      <c r="I976" t="n">
        <v>0</v>
      </c>
      <c r="J976" t="n">
        <v>0</v>
      </c>
      <c r="K976" t="n">
        <v>0</v>
      </c>
      <c r="L976" t="n">
        <v>0</v>
      </c>
      <c r="M976" t="n">
        <v>0</v>
      </c>
      <c r="N976" t="n">
        <v>0</v>
      </c>
      <c r="O976" t="n">
        <v>0</v>
      </c>
      <c r="P976" t="n">
        <v>0</v>
      </c>
      <c r="Q976" t="n">
        <v>0</v>
      </c>
      <c r="R976" s="2" t="inlineStr"/>
    </row>
    <row r="977" ht="15" customHeight="1">
      <c r="A977" t="inlineStr">
        <is>
          <t>A 20718-2023</t>
        </is>
      </c>
      <c r="B977" s="1" t="n">
        <v>45058</v>
      </c>
      <c r="C977" s="1" t="n">
        <v>45728</v>
      </c>
      <c r="D977" t="inlineStr">
        <is>
          <t>JÄMTLANDS LÄN</t>
        </is>
      </c>
      <c r="E977" t="inlineStr">
        <is>
          <t>HÄRJEDALEN</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20935-2023</t>
        </is>
      </c>
      <c r="B978" s="1" t="n">
        <v>45061</v>
      </c>
      <c r="C978" s="1" t="n">
        <v>45728</v>
      </c>
      <c r="D978" t="inlineStr">
        <is>
          <t>JÄMTLANDS LÄN</t>
        </is>
      </c>
      <c r="E978" t="inlineStr">
        <is>
          <t>HÄRJEDALEN</t>
        </is>
      </c>
      <c r="G978" t="n">
        <v>7.3</v>
      </c>
      <c r="H978" t="n">
        <v>0</v>
      </c>
      <c r="I978" t="n">
        <v>0</v>
      </c>
      <c r="J978" t="n">
        <v>0</v>
      </c>
      <c r="K978" t="n">
        <v>0</v>
      </c>
      <c r="L978" t="n">
        <v>0</v>
      </c>
      <c r="M978" t="n">
        <v>0</v>
      </c>
      <c r="N978" t="n">
        <v>0</v>
      </c>
      <c r="O978" t="n">
        <v>0</v>
      </c>
      <c r="P978" t="n">
        <v>0</v>
      </c>
      <c r="Q978" t="n">
        <v>0</v>
      </c>
      <c r="R978" s="2" t="inlineStr"/>
    </row>
    <row r="979" ht="15" customHeight="1">
      <c r="A979" t="inlineStr">
        <is>
          <t>A 21050-2023</t>
        </is>
      </c>
      <c r="B979" s="1" t="n">
        <v>45061</v>
      </c>
      <c r="C979" s="1" t="n">
        <v>45728</v>
      </c>
      <c r="D979" t="inlineStr">
        <is>
          <t>JÄMTLANDS LÄN</t>
        </is>
      </c>
      <c r="E979" t="inlineStr">
        <is>
          <t>HÄRJEDALEN</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21054-2023</t>
        </is>
      </c>
      <c r="B980" s="1" t="n">
        <v>45061</v>
      </c>
      <c r="C980" s="1" t="n">
        <v>45728</v>
      </c>
      <c r="D980" t="inlineStr">
        <is>
          <t>JÄMTLANDS LÄN</t>
        </is>
      </c>
      <c r="E980" t="inlineStr">
        <is>
          <t>HÄRJEDALEN</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21517-2023</t>
        </is>
      </c>
      <c r="B981" s="1" t="n">
        <v>45063</v>
      </c>
      <c r="C981" s="1" t="n">
        <v>45728</v>
      </c>
      <c r="D981" t="inlineStr">
        <is>
          <t>JÄMTLANDS LÄN</t>
        </is>
      </c>
      <c r="E981" t="inlineStr">
        <is>
          <t>HÄRJEDALEN</t>
        </is>
      </c>
      <c r="G981" t="n">
        <v>9</v>
      </c>
      <c r="H981" t="n">
        <v>0</v>
      </c>
      <c r="I981" t="n">
        <v>0</v>
      </c>
      <c r="J981" t="n">
        <v>0</v>
      </c>
      <c r="K981" t="n">
        <v>0</v>
      </c>
      <c r="L981" t="n">
        <v>0</v>
      </c>
      <c r="M981" t="n">
        <v>0</v>
      </c>
      <c r="N981" t="n">
        <v>0</v>
      </c>
      <c r="O981" t="n">
        <v>0</v>
      </c>
      <c r="P981" t="n">
        <v>0</v>
      </c>
      <c r="Q981" t="n">
        <v>0</v>
      </c>
      <c r="R981" s="2" t="inlineStr"/>
    </row>
    <row r="982" ht="15" customHeight="1">
      <c r="A982" t="inlineStr">
        <is>
          <t>A 21531-2023</t>
        </is>
      </c>
      <c r="B982" s="1" t="n">
        <v>45063</v>
      </c>
      <c r="C982" s="1" t="n">
        <v>45728</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21439-2023</t>
        </is>
      </c>
      <c r="B983" s="1" t="n">
        <v>45063</v>
      </c>
      <c r="C983" s="1" t="n">
        <v>45728</v>
      </c>
      <c r="D983" t="inlineStr">
        <is>
          <t>JÄMTLANDS LÄN</t>
        </is>
      </c>
      <c r="E983" t="inlineStr">
        <is>
          <t>HÄRJEDALEN</t>
        </is>
      </c>
      <c r="G983" t="n">
        <v>57</v>
      </c>
      <c r="H983" t="n">
        <v>0</v>
      </c>
      <c r="I983" t="n">
        <v>0</v>
      </c>
      <c r="J983" t="n">
        <v>0</v>
      </c>
      <c r="K983" t="n">
        <v>0</v>
      </c>
      <c r="L983" t="n">
        <v>0</v>
      </c>
      <c r="M983" t="n">
        <v>0</v>
      </c>
      <c r="N983" t="n">
        <v>0</v>
      </c>
      <c r="O983" t="n">
        <v>0</v>
      </c>
      <c r="P983" t="n">
        <v>0</v>
      </c>
      <c r="Q983" t="n">
        <v>0</v>
      </c>
      <c r="R983" s="2" t="inlineStr"/>
    </row>
    <row r="984" ht="15" customHeight="1">
      <c r="A984" t="inlineStr">
        <is>
          <t>A 21521-2023</t>
        </is>
      </c>
      <c r="B984" s="1" t="n">
        <v>45063</v>
      </c>
      <c r="C984" s="1" t="n">
        <v>45728</v>
      </c>
      <c r="D984" t="inlineStr">
        <is>
          <t>JÄMTLANDS LÄN</t>
        </is>
      </c>
      <c r="E984" t="inlineStr">
        <is>
          <t>HÄRJEDALEN</t>
        </is>
      </c>
      <c r="G984" t="n">
        <v>3</v>
      </c>
      <c r="H984" t="n">
        <v>0</v>
      </c>
      <c r="I984" t="n">
        <v>0</v>
      </c>
      <c r="J984" t="n">
        <v>0</v>
      </c>
      <c r="K984" t="n">
        <v>0</v>
      </c>
      <c r="L984" t="n">
        <v>0</v>
      </c>
      <c r="M984" t="n">
        <v>0</v>
      </c>
      <c r="N984" t="n">
        <v>0</v>
      </c>
      <c r="O984" t="n">
        <v>0</v>
      </c>
      <c r="P984" t="n">
        <v>0</v>
      </c>
      <c r="Q984" t="n">
        <v>0</v>
      </c>
      <c r="R984" s="2" t="inlineStr"/>
    </row>
    <row r="985" ht="15" customHeight="1">
      <c r="A985" t="inlineStr">
        <is>
          <t>A 21525-2023</t>
        </is>
      </c>
      <c r="B985" s="1" t="n">
        <v>45063</v>
      </c>
      <c r="C985" s="1" t="n">
        <v>45728</v>
      </c>
      <c r="D985" t="inlineStr">
        <is>
          <t>JÄMTLANDS LÄN</t>
        </is>
      </c>
      <c r="E985" t="inlineStr">
        <is>
          <t>HÄRJEDALEN</t>
        </is>
      </c>
      <c r="G985" t="n">
        <v>20</v>
      </c>
      <c r="H985" t="n">
        <v>0</v>
      </c>
      <c r="I985" t="n">
        <v>0</v>
      </c>
      <c r="J985" t="n">
        <v>0</v>
      </c>
      <c r="K985" t="n">
        <v>0</v>
      </c>
      <c r="L985" t="n">
        <v>0</v>
      </c>
      <c r="M985" t="n">
        <v>0</v>
      </c>
      <c r="N985" t="n">
        <v>0</v>
      </c>
      <c r="O985" t="n">
        <v>0</v>
      </c>
      <c r="P985" t="n">
        <v>0</v>
      </c>
      <c r="Q985" t="n">
        <v>0</v>
      </c>
      <c r="R985" s="2" t="inlineStr"/>
    </row>
    <row r="986" ht="15" customHeight="1">
      <c r="A986" t="inlineStr">
        <is>
          <t>A 21530-2023</t>
        </is>
      </c>
      <c r="B986" s="1" t="n">
        <v>45063</v>
      </c>
      <c r="C986" s="1" t="n">
        <v>45728</v>
      </c>
      <c r="D986" t="inlineStr">
        <is>
          <t>JÄMTLANDS LÄN</t>
        </is>
      </c>
      <c r="E986" t="inlineStr">
        <is>
          <t>HÄRJEDALEN</t>
        </is>
      </c>
      <c r="G986" t="n">
        <v>15.3</v>
      </c>
      <c r="H986" t="n">
        <v>0</v>
      </c>
      <c r="I986" t="n">
        <v>0</v>
      </c>
      <c r="J986" t="n">
        <v>0</v>
      </c>
      <c r="K986" t="n">
        <v>0</v>
      </c>
      <c r="L986" t="n">
        <v>0</v>
      </c>
      <c r="M986" t="n">
        <v>0</v>
      </c>
      <c r="N986" t="n">
        <v>0</v>
      </c>
      <c r="O986" t="n">
        <v>0</v>
      </c>
      <c r="P986" t="n">
        <v>0</v>
      </c>
      <c r="Q986" t="n">
        <v>0</v>
      </c>
      <c r="R986" s="2" t="inlineStr"/>
    </row>
    <row r="987" ht="15" customHeight="1">
      <c r="A987" t="inlineStr">
        <is>
          <t>A 21645-2023</t>
        </is>
      </c>
      <c r="B987" s="1" t="n">
        <v>45063</v>
      </c>
      <c r="C987" s="1" t="n">
        <v>45728</v>
      </c>
      <c r="D987" t="inlineStr">
        <is>
          <t>JÄMTLANDS LÄN</t>
        </is>
      </c>
      <c r="E987" t="inlineStr">
        <is>
          <t>HÄRJEDALEN</t>
        </is>
      </c>
      <c r="F987" t="inlineStr">
        <is>
          <t>Sveaskog</t>
        </is>
      </c>
      <c r="G987" t="n">
        <v>2.8</v>
      </c>
      <c r="H987" t="n">
        <v>0</v>
      </c>
      <c r="I987" t="n">
        <v>0</v>
      </c>
      <c r="J987" t="n">
        <v>0</v>
      </c>
      <c r="K987" t="n">
        <v>0</v>
      </c>
      <c r="L987" t="n">
        <v>0</v>
      </c>
      <c r="M987" t="n">
        <v>0</v>
      </c>
      <c r="N987" t="n">
        <v>0</v>
      </c>
      <c r="O987" t="n">
        <v>0</v>
      </c>
      <c r="P987" t="n">
        <v>0</v>
      </c>
      <c r="Q987" t="n">
        <v>0</v>
      </c>
      <c r="R987" s="2" t="inlineStr"/>
    </row>
    <row r="988" ht="15" customHeight="1">
      <c r="A988" t="inlineStr">
        <is>
          <t>A 21646-2023</t>
        </is>
      </c>
      <c r="B988" s="1" t="n">
        <v>45063</v>
      </c>
      <c r="C988" s="1" t="n">
        <v>45728</v>
      </c>
      <c r="D988" t="inlineStr">
        <is>
          <t>JÄMTLANDS LÄN</t>
        </is>
      </c>
      <c r="E988" t="inlineStr">
        <is>
          <t>HÄRJEDALEN</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21665-2023</t>
        </is>
      </c>
      <c r="B989" s="1" t="n">
        <v>45063</v>
      </c>
      <c r="C989" s="1" t="n">
        <v>45728</v>
      </c>
      <c r="D989" t="inlineStr">
        <is>
          <t>JÄMTLANDS LÄN</t>
        </is>
      </c>
      <c r="E989" t="inlineStr">
        <is>
          <t>HÄRJEDALEN</t>
        </is>
      </c>
      <c r="G989" t="n">
        <v>19.3</v>
      </c>
      <c r="H989" t="n">
        <v>0</v>
      </c>
      <c r="I989" t="n">
        <v>0</v>
      </c>
      <c r="J989" t="n">
        <v>0</v>
      </c>
      <c r="K989" t="n">
        <v>0</v>
      </c>
      <c r="L989" t="n">
        <v>0</v>
      </c>
      <c r="M989" t="n">
        <v>0</v>
      </c>
      <c r="N989" t="n">
        <v>0</v>
      </c>
      <c r="O989" t="n">
        <v>0</v>
      </c>
      <c r="P989" t="n">
        <v>0</v>
      </c>
      <c r="Q989" t="n">
        <v>0</v>
      </c>
      <c r="R989" s="2" t="inlineStr"/>
    </row>
    <row r="990" ht="15" customHeight="1">
      <c r="A990" t="inlineStr">
        <is>
          <t>A 21666-2023</t>
        </is>
      </c>
      <c r="B990" s="1" t="n">
        <v>45064</v>
      </c>
      <c r="C990" s="1" t="n">
        <v>45728</v>
      </c>
      <c r="D990" t="inlineStr">
        <is>
          <t>JÄMTLANDS LÄN</t>
        </is>
      </c>
      <c r="E990" t="inlineStr">
        <is>
          <t>HÄRJEDALEN</t>
        </is>
      </c>
      <c r="G990" t="n">
        <v>2.5</v>
      </c>
      <c r="H990" t="n">
        <v>0</v>
      </c>
      <c r="I990" t="n">
        <v>0</v>
      </c>
      <c r="J990" t="n">
        <v>0</v>
      </c>
      <c r="K990" t="n">
        <v>0</v>
      </c>
      <c r="L990" t="n">
        <v>0</v>
      </c>
      <c r="M990" t="n">
        <v>0</v>
      </c>
      <c r="N990" t="n">
        <v>0</v>
      </c>
      <c r="O990" t="n">
        <v>0</v>
      </c>
      <c r="P990" t="n">
        <v>0</v>
      </c>
      <c r="Q990" t="n">
        <v>0</v>
      </c>
      <c r="R990" s="2" t="inlineStr"/>
    </row>
    <row r="991" ht="15" customHeight="1">
      <c r="A991" t="inlineStr">
        <is>
          <t>A 22674-2023</t>
        </is>
      </c>
      <c r="B991" s="1" t="n">
        <v>45071</v>
      </c>
      <c r="C991" s="1" t="n">
        <v>45728</v>
      </c>
      <c r="D991" t="inlineStr">
        <is>
          <t>JÄMTLANDS LÄN</t>
        </is>
      </c>
      <c r="E991" t="inlineStr">
        <is>
          <t>HÄRJEDALEN</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22728-2023</t>
        </is>
      </c>
      <c r="B992" s="1" t="n">
        <v>45072</v>
      </c>
      <c r="C992" s="1" t="n">
        <v>45728</v>
      </c>
      <c r="D992" t="inlineStr">
        <is>
          <t>JÄMTLANDS LÄN</t>
        </is>
      </c>
      <c r="E992" t="inlineStr">
        <is>
          <t>HÄRJEDALEN</t>
        </is>
      </c>
      <c r="G992" t="n">
        <v>2.8</v>
      </c>
      <c r="H992" t="n">
        <v>0</v>
      </c>
      <c r="I992" t="n">
        <v>0</v>
      </c>
      <c r="J992" t="n">
        <v>0</v>
      </c>
      <c r="K992" t="n">
        <v>0</v>
      </c>
      <c r="L992" t="n">
        <v>0</v>
      </c>
      <c r="M992" t="n">
        <v>0</v>
      </c>
      <c r="N992" t="n">
        <v>0</v>
      </c>
      <c r="O992" t="n">
        <v>0</v>
      </c>
      <c r="P992" t="n">
        <v>0</v>
      </c>
      <c r="Q992" t="n">
        <v>0</v>
      </c>
      <c r="R992" s="2" t="inlineStr"/>
    </row>
    <row r="993" ht="15" customHeight="1">
      <c r="A993" t="inlineStr">
        <is>
          <t>A 22747-2023</t>
        </is>
      </c>
      <c r="B993" s="1" t="n">
        <v>45071</v>
      </c>
      <c r="C993" s="1" t="n">
        <v>45728</v>
      </c>
      <c r="D993" t="inlineStr">
        <is>
          <t>JÄMTLANDS LÄN</t>
        </is>
      </c>
      <c r="E993" t="inlineStr">
        <is>
          <t>HÄRJEDALEN</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22746-2023</t>
        </is>
      </c>
      <c r="B994" s="1" t="n">
        <v>45071</v>
      </c>
      <c r="C994" s="1" t="n">
        <v>45728</v>
      </c>
      <c r="D994" t="inlineStr">
        <is>
          <t>JÄMTLANDS LÄN</t>
        </is>
      </c>
      <c r="E994" t="inlineStr">
        <is>
          <t>HÄRJEDALEN</t>
        </is>
      </c>
      <c r="F994" t="inlineStr">
        <is>
          <t>SCA</t>
        </is>
      </c>
      <c r="G994" t="n">
        <v>10.7</v>
      </c>
      <c r="H994" t="n">
        <v>0</v>
      </c>
      <c r="I994" t="n">
        <v>0</v>
      </c>
      <c r="J994" t="n">
        <v>0</v>
      </c>
      <c r="K994" t="n">
        <v>0</v>
      </c>
      <c r="L994" t="n">
        <v>0</v>
      </c>
      <c r="M994" t="n">
        <v>0</v>
      </c>
      <c r="N994" t="n">
        <v>0</v>
      </c>
      <c r="O994" t="n">
        <v>0</v>
      </c>
      <c r="P994" t="n">
        <v>0</v>
      </c>
      <c r="Q994" t="n">
        <v>0</v>
      </c>
      <c r="R994" s="2" t="inlineStr"/>
    </row>
    <row r="995" ht="15" customHeight="1">
      <c r="A995" t="inlineStr">
        <is>
          <t>A 22729-2023</t>
        </is>
      </c>
      <c r="B995" s="1" t="n">
        <v>45072</v>
      </c>
      <c r="C995" s="1" t="n">
        <v>45728</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23186-2023</t>
        </is>
      </c>
      <c r="B996" s="1" t="n">
        <v>45075</v>
      </c>
      <c r="C996" s="1" t="n">
        <v>45728</v>
      </c>
      <c r="D996" t="inlineStr">
        <is>
          <t>JÄMTLANDS LÄN</t>
        </is>
      </c>
      <c r="E996" t="inlineStr">
        <is>
          <t>HÄRJEDALEN</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23185-2023</t>
        </is>
      </c>
      <c r="B997" s="1" t="n">
        <v>45075</v>
      </c>
      <c r="C997" s="1" t="n">
        <v>45728</v>
      </c>
      <c r="D997" t="inlineStr">
        <is>
          <t>JÄMTLANDS LÄN</t>
        </is>
      </c>
      <c r="E997" t="inlineStr">
        <is>
          <t>HÄRJEDALEN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23356-2023</t>
        </is>
      </c>
      <c r="B998" s="1" t="n">
        <v>45076</v>
      </c>
      <c r="C998" s="1" t="n">
        <v>45728</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23465-2023</t>
        </is>
      </c>
      <c r="B999" s="1" t="n">
        <v>45076</v>
      </c>
      <c r="C999" s="1" t="n">
        <v>45728</v>
      </c>
      <c r="D999" t="inlineStr">
        <is>
          <t>JÄMTLANDS LÄN</t>
        </is>
      </c>
      <c r="E999" t="inlineStr">
        <is>
          <t>HÄRJEDALEN</t>
        </is>
      </c>
      <c r="G999" t="n">
        <v>14.1</v>
      </c>
      <c r="H999" t="n">
        <v>0</v>
      </c>
      <c r="I999" t="n">
        <v>0</v>
      </c>
      <c r="J999" t="n">
        <v>0</v>
      </c>
      <c r="K999" t="n">
        <v>0</v>
      </c>
      <c r="L999" t="n">
        <v>0</v>
      </c>
      <c r="M999" t="n">
        <v>0</v>
      </c>
      <c r="N999" t="n">
        <v>0</v>
      </c>
      <c r="O999" t="n">
        <v>0</v>
      </c>
      <c r="P999" t="n">
        <v>0</v>
      </c>
      <c r="Q999" t="n">
        <v>0</v>
      </c>
      <c r="R999" s="2" t="inlineStr"/>
    </row>
    <row r="1000" ht="15" customHeight="1">
      <c r="A1000" t="inlineStr">
        <is>
          <t>A 23895-2023</t>
        </is>
      </c>
      <c r="B1000" s="1" t="n">
        <v>45078</v>
      </c>
      <c r="C1000" s="1" t="n">
        <v>45728</v>
      </c>
      <c r="D1000" t="inlineStr">
        <is>
          <t>JÄMTLANDS LÄN</t>
        </is>
      </c>
      <c r="E1000" t="inlineStr">
        <is>
          <t>HÄRJEDALEN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23908-2023</t>
        </is>
      </c>
      <c r="B1001" s="1" t="n">
        <v>45078</v>
      </c>
      <c r="C1001" s="1" t="n">
        <v>45728</v>
      </c>
      <c r="D1001" t="inlineStr">
        <is>
          <t>JÄMTLANDS LÄN</t>
        </is>
      </c>
      <c r="E1001" t="inlineStr">
        <is>
          <t>HÄRJEDALEN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24240-2023</t>
        </is>
      </c>
      <c r="B1002" s="1" t="n">
        <v>45079</v>
      </c>
      <c r="C1002" s="1" t="n">
        <v>45728</v>
      </c>
      <c r="D1002" t="inlineStr">
        <is>
          <t>JÄMTLANDS LÄN</t>
        </is>
      </c>
      <c r="E1002" t="inlineStr">
        <is>
          <t>HÄRJEDALEN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24238-2023</t>
        </is>
      </c>
      <c r="B1003" s="1" t="n">
        <v>45079</v>
      </c>
      <c r="C1003" s="1" t="n">
        <v>45728</v>
      </c>
      <c r="D1003" t="inlineStr">
        <is>
          <t>JÄMTLANDS LÄN</t>
        </is>
      </c>
      <c r="E1003" t="inlineStr">
        <is>
          <t>HÄRJEDALEN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24255-2023</t>
        </is>
      </c>
      <c r="B1004" s="1" t="n">
        <v>45079</v>
      </c>
      <c r="C1004" s="1" t="n">
        <v>45728</v>
      </c>
      <c r="D1004" t="inlineStr">
        <is>
          <t>JÄMTLANDS LÄN</t>
        </is>
      </c>
      <c r="E1004" t="inlineStr">
        <is>
          <t>HÄRJEDALEN</t>
        </is>
      </c>
      <c r="G1004" t="n">
        <v>16.1</v>
      </c>
      <c r="H1004" t="n">
        <v>0</v>
      </c>
      <c r="I1004" t="n">
        <v>0</v>
      </c>
      <c r="J1004" t="n">
        <v>0</v>
      </c>
      <c r="K1004" t="n">
        <v>0</v>
      </c>
      <c r="L1004" t="n">
        <v>0</v>
      </c>
      <c r="M1004" t="n">
        <v>0</v>
      </c>
      <c r="N1004" t="n">
        <v>0</v>
      </c>
      <c r="O1004" t="n">
        <v>0</v>
      </c>
      <c r="P1004" t="n">
        <v>0</v>
      </c>
      <c r="Q1004" t="n">
        <v>0</v>
      </c>
      <c r="R1004" s="2" t="inlineStr"/>
    </row>
    <row r="1005" ht="15" customHeight="1">
      <c r="A1005" t="inlineStr">
        <is>
          <t>A 24220-2023</t>
        </is>
      </c>
      <c r="B1005" s="1" t="n">
        <v>45079</v>
      </c>
      <c r="C1005" s="1" t="n">
        <v>45728</v>
      </c>
      <c r="D1005" t="inlineStr">
        <is>
          <t>JÄMTLANDS LÄN</t>
        </is>
      </c>
      <c r="E1005" t="inlineStr">
        <is>
          <t>HÄRJEDALEN</t>
        </is>
      </c>
      <c r="F1005" t="inlineStr">
        <is>
          <t>Bergvik skog väst AB</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25536-2023</t>
        </is>
      </c>
      <c r="B1006" s="1" t="n">
        <v>45082</v>
      </c>
      <c r="C1006" s="1" t="n">
        <v>45728</v>
      </c>
      <c r="D1006" t="inlineStr">
        <is>
          <t>JÄMTLANDS LÄN</t>
        </is>
      </c>
      <c r="E1006" t="inlineStr">
        <is>
          <t>HÄRJEDALEN</t>
        </is>
      </c>
      <c r="F1006" t="inlineStr">
        <is>
          <t>Bergvik skog väst AB</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25526-2023</t>
        </is>
      </c>
      <c r="B1007" s="1" t="n">
        <v>45082</v>
      </c>
      <c r="C1007" s="1" t="n">
        <v>45728</v>
      </c>
      <c r="D1007" t="inlineStr">
        <is>
          <t>JÄMTLANDS LÄN</t>
        </is>
      </c>
      <c r="E1007" t="inlineStr">
        <is>
          <t>HÄRJEDALEN</t>
        </is>
      </c>
      <c r="F1007" t="inlineStr">
        <is>
          <t>Bergvik skog väst AB</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25582-2023</t>
        </is>
      </c>
      <c r="B1008" s="1" t="n">
        <v>45082</v>
      </c>
      <c r="C1008" s="1" t="n">
        <v>45728</v>
      </c>
      <c r="D1008" t="inlineStr">
        <is>
          <t>JÄMTLANDS LÄN</t>
        </is>
      </c>
      <c r="E1008" t="inlineStr">
        <is>
          <t>HÄRJEDALEN</t>
        </is>
      </c>
      <c r="F1008" t="inlineStr">
        <is>
          <t>Bergvik skog väst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24834-2023</t>
        </is>
      </c>
      <c r="B1009" s="1" t="n">
        <v>45084</v>
      </c>
      <c r="C1009" s="1" t="n">
        <v>45728</v>
      </c>
      <c r="D1009" t="inlineStr">
        <is>
          <t>JÄMTLANDS LÄN</t>
        </is>
      </c>
      <c r="E1009" t="inlineStr">
        <is>
          <t>HÄRJEDALEN</t>
        </is>
      </c>
      <c r="F1009" t="inlineStr">
        <is>
          <t>SCA</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24835-2023</t>
        </is>
      </c>
      <c r="B1010" s="1" t="n">
        <v>45084</v>
      </c>
      <c r="C1010" s="1" t="n">
        <v>45728</v>
      </c>
      <c r="D1010" t="inlineStr">
        <is>
          <t>JÄMTLANDS LÄN</t>
        </is>
      </c>
      <c r="E1010" t="inlineStr">
        <is>
          <t>HÄRJEDALEN</t>
        </is>
      </c>
      <c r="F1010" t="inlineStr">
        <is>
          <t>SCA</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25018-2023</t>
        </is>
      </c>
      <c r="B1011" s="1" t="n">
        <v>45085</v>
      </c>
      <c r="C1011" s="1" t="n">
        <v>45728</v>
      </c>
      <c r="D1011" t="inlineStr">
        <is>
          <t>JÄMTLANDS LÄN</t>
        </is>
      </c>
      <c r="E1011" t="inlineStr">
        <is>
          <t>HÄRJEDALEN</t>
        </is>
      </c>
      <c r="F1011" t="inlineStr">
        <is>
          <t>Sveaskog</t>
        </is>
      </c>
      <c r="G1011" t="n">
        <v>39.7</v>
      </c>
      <c r="H1011" t="n">
        <v>0</v>
      </c>
      <c r="I1011" t="n">
        <v>0</v>
      </c>
      <c r="J1011" t="n">
        <v>0</v>
      </c>
      <c r="K1011" t="n">
        <v>0</v>
      </c>
      <c r="L1011" t="n">
        <v>0</v>
      </c>
      <c r="M1011" t="n">
        <v>0</v>
      </c>
      <c r="N1011" t="n">
        <v>0</v>
      </c>
      <c r="O1011" t="n">
        <v>0</v>
      </c>
      <c r="P1011" t="n">
        <v>0</v>
      </c>
      <c r="Q1011" t="n">
        <v>0</v>
      </c>
      <c r="R1011" s="2" t="inlineStr"/>
    </row>
    <row r="1012" ht="15" customHeight="1">
      <c r="A1012" t="inlineStr">
        <is>
          <t>A 24964-2023</t>
        </is>
      </c>
      <c r="B1012" s="1" t="n">
        <v>45085</v>
      </c>
      <c r="C1012" s="1" t="n">
        <v>45728</v>
      </c>
      <c r="D1012" t="inlineStr">
        <is>
          <t>JÄMTLANDS LÄN</t>
        </is>
      </c>
      <c r="E1012" t="inlineStr">
        <is>
          <t>HÄRJEDALEN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25181-2023</t>
        </is>
      </c>
      <c r="B1013" s="1" t="n">
        <v>45086</v>
      </c>
      <c r="C1013" s="1" t="n">
        <v>45728</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25485-2023</t>
        </is>
      </c>
      <c r="B1014" s="1" t="n">
        <v>45089</v>
      </c>
      <c r="C1014" s="1" t="n">
        <v>45728</v>
      </c>
      <c r="D1014" t="inlineStr">
        <is>
          <t>JÄMTLANDS LÄN</t>
        </is>
      </c>
      <c r="E1014" t="inlineStr">
        <is>
          <t>HÄRJEDALEN</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26411-2023</t>
        </is>
      </c>
      <c r="B1015" s="1" t="n">
        <v>45092</v>
      </c>
      <c r="C1015" s="1" t="n">
        <v>45728</v>
      </c>
      <c r="D1015" t="inlineStr">
        <is>
          <t>JÄMTLANDS LÄN</t>
        </is>
      </c>
      <c r="E1015" t="inlineStr">
        <is>
          <t>HÄRJEDALEN</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26701-2023</t>
        </is>
      </c>
      <c r="B1016" s="1" t="n">
        <v>45093</v>
      </c>
      <c r="C1016" s="1" t="n">
        <v>45728</v>
      </c>
      <c r="D1016" t="inlineStr">
        <is>
          <t>JÄMTLANDS LÄN</t>
        </is>
      </c>
      <c r="E1016" t="inlineStr">
        <is>
          <t>HÄRJEDALEN</t>
        </is>
      </c>
      <c r="F1016" t="inlineStr">
        <is>
          <t>Bergvik skog väst AB</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26902-2023</t>
        </is>
      </c>
      <c r="B1017" s="1" t="n">
        <v>45093</v>
      </c>
      <c r="C1017" s="1" t="n">
        <v>45728</v>
      </c>
      <c r="D1017" t="inlineStr">
        <is>
          <t>JÄMTLANDS LÄN</t>
        </is>
      </c>
      <c r="E1017" t="inlineStr">
        <is>
          <t>HÄRJEDALEN</t>
        </is>
      </c>
      <c r="F1017" t="inlineStr">
        <is>
          <t>Bergvik skog väst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26905-2023</t>
        </is>
      </c>
      <c r="B1018" s="1" t="n">
        <v>45093</v>
      </c>
      <c r="C1018" s="1" t="n">
        <v>45728</v>
      </c>
      <c r="D1018" t="inlineStr">
        <is>
          <t>JÄMTLANDS LÄN</t>
        </is>
      </c>
      <c r="E1018" t="inlineStr">
        <is>
          <t>HÄRJEDALEN</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27136-2023</t>
        </is>
      </c>
      <c r="B1019" s="1" t="n">
        <v>45096</v>
      </c>
      <c r="C1019" s="1" t="n">
        <v>45728</v>
      </c>
      <c r="D1019" t="inlineStr">
        <is>
          <t>JÄMTLANDS LÄN</t>
        </is>
      </c>
      <c r="E1019" t="inlineStr">
        <is>
          <t>HÄRJEDALEN</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27261-2023</t>
        </is>
      </c>
      <c r="B1020" s="1" t="n">
        <v>45096</v>
      </c>
      <c r="C1020" s="1" t="n">
        <v>45728</v>
      </c>
      <c r="D1020" t="inlineStr">
        <is>
          <t>JÄMTLANDS LÄN</t>
        </is>
      </c>
      <c r="E1020" t="inlineStr">
        <is>
          <t>HÄRJEDALEN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27541-2023</t>
        </is>
      </c>
      <c r="B1021" s="1" t="n">
        <v>45097</v>
      </c>
      <c r="C1021" s="1" t="n">
        <v>45728</v>
      </c>
      <c r="D1021" t="inlineStr">
        <is>
          <t>JÄMTLANDS LÄN</t>
        </is>
      </c>
      <c r="E1021" t="inlineStr">
        <is>
          <t>HÄRJEDALEN</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27764-2023</t>
        </is>
      </c>
      <c r="B1022" s="1" t="n">
        <v>45098</v>
      </c>
      <c r="C1022" s="1" t="n">
        <v>45728</v>
      </c>
      <c r="D1022" t="inlineStr">
        <is>
          <t>JÄMTLANDS LÄN</t>
        </is>
      </c>
      <c r="E1022" t="inlineStr">
        <is>
          <t>HÄRJEDALEN</t>
        </is>
      </c>
      <c r="G1022" t="n">
        <v>66.40000000000001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27812-2023</t>
        </is>
      </c>
      <c r="B1023" s="1" t="n">
        <v>45098</v>
      </c>
      <c r="C1023" s="1" t="n">
        <v>45728</v>
      </c>
      <c r="D1023" t="inlineStr">
        <is>
          <t>JÄMTLANDS LÄN</t>
        </is>
      </c>
      <c r="E1023" t="inlineStr">
        <is>
          <t>HÄRJEDALEN</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27940-2023</t>
        </is>
      </c>
      <c r="B1024" s="1" t="n">
        <v>45098</v>
      </c>
      <c r="C1024" s="1" t="n">
        <v>45728</v>
      </c>
      <c r="D1024" t="inlineStr">
        <is>
          <t>JÄMTLANDS LÄN</t>
        </is>
      </c>
      <c r="E1024" t="inlineStr">
        <is>
          <t>HÄRJEDALEN</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28078-2023</t>
        </is>
      </c>
      <c r="B1025" s="1" t="n">
        <v>45099</v>
      </c>
      <c r="C1025" s="1" t="n">
        <v>45728</v>
      </c>
      <c r="D1025" t="inlineStr">
        <is>
          <t>JÄMTLANDS LÄN</t>
        </is>
      </c>
      <c r="E1025" t="inlineStr">
        <is>
          <t>HÄRJEDALEN</t>
        </is>
      </c>
      <c r="F1025" t="inlineStr">
        <is>
          <t>Bergvik skog väst AB</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28059-2023</t>
        </is>
      </c>
      <c r="B1026" s="1" t="n">
        <v>45099</v>
      </c>
      <c r="C1026" s="1" t="n">
        <v>45728</v>
      </c>
      <c r="D1026" t="inlineStr">
        <is>
          <t>JÄMTLANDS LÄN</t>
        </is>
      </c>
      <c r="E1026" t="inlineStr">
        <is>
          <t>HÄRJEDALEN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28209-2023</t>
        </is>
      </c>
      <c r="B1027" s="1" t="n">
        <v>45099</v>
      </c>
      <c r="C1027" s="1" t="n">
        <v>45728</v>
      </c>
      <c r="D1027" t="inlineStr">
        <is>
          <t>JÄMTLANDS LÄN</t>
        </is>
      </c>
      <c r="E1027" t="inlineStr">
        <is>
          <t>HÄRJEDALEN</t>
        </is>
      </c>
      <c r="F1027" t="inlineStr">
        <is>
          <t>Bergvik skog väst AB</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28802-2023</t>
        </is>
      </c>
      <c r="B1028" s="1" t="n">
        <v>45104</v>
      </c>
      <c r="C1028" s="1" t="n">
        <v>45728</v>
      </c>
      <c r="D1028" t="inlineStr">
        <is>
          <t>JÄMTLANDS LÄN</t>
        </is>
      </c>
      <c r="E1028" t="inlineStr">
        <is>
          <t>HÄRJEDALEN</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29067-2023</t>
        </is>
      </c>
      <c r="B1029" s="1" t="n">
        <v>45104</v>
      </c>
      <c r="C1029" s="1" t="n">
        <v>45728</v>
      </c>
      <c r="D1029" t="inlineStr">
        <is>
          <t>JÄMTLANDS LÄN</t>
        </is>
      </c>
      <c r="E1029" t="inlineStr">
        <is>
          <t>HÄRJEDALEN</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29194-2023</t>
        </is>
      </c>
      <c r="B1030" s="1" t="n">
        <v>45105</v>
      </c>
      <c r="C1030" s="1" t="n">
        <v>45728</v>
      </c>
      <c r="D1030" t="inlineStr">
        <is>
          <t>JÄMTLANDS LÄN</t>
        </is>
      </c>
      <c r="E1030" t="inlineStr">
        <is>
          <t>HÄRJEDALEN</t>
        </is>
      </c>
      <c r="F1030" t="inlineStr">
        <is>
          <t>Bergvik skog väst AB</t>
        </is>
      </c>
      <c r="G1030" t="n">
        <v>21.4</v>
      </c>
      <c r="H1030" t="n">
        <v>0</v>
      </c>
      <c r="I1030" t="n">
        <v>0</v>
      </c>
      <c r="J1030" t="n">
        <v>0</v>
      </c>
      <c r="K1030" t="n">
        <v>0</v>
      </c>
      <c r="L1030" t="n">
        <v>0</v>
      </c>
      <c r="M1030" t="n">
        <v>0</v>
      </c>
      <c r="N1030" t="n">
        <v>0</v>
      </c>
      <c r="O1030" t="n">
        <v>0</v>
      </c>
      <c r="P1030" t="n">
        <v>0</v>
      </c>
      <c r="Q1030" t="n">
        <v>0</v>
      </c>
      <c r="R1030" s="2" t="inlineStr"/>
    </row>
    <row r="1031" ht="15" customHeight="1">
      <c r="A1031" t="inlineStr">
        <is>
          <t>A 29094-2023</t>
        </is>
      </c>
      <c r="B1031" s="1" t="n">
        <v>45105</v>
      </c>
      <c r="C1031" s="1" t="n">
        <v>45728</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29431-2023</t>
        </is>
      </c>
      <c r="B1032" s="1" t="n">
        <v>45106</v>
      </c>
      <c r="C1032" s="1" t="n">
        <v>45728</v>
      </c>
      <c r="D1032" t="inlineStr">
        <is>
          <t>JÄMTLANDS LÄN</t>
        </is>
      </c>
      <c r="E1032" t="inlineStr">
        <is>
          <t>HÄRJEDALEN</t>
        </is>
      </c>
      <c r="F1032" t="inlineStr">
        <is>
          <t>Bergvik skog väst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29772-2023</t>
        </is>
      </c>
      <c r="B1033" s="1" t="n">
        <v>45107</v>
      </c>
      <c r="C1033" s="1" t="n">
        <v>45728</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30411-2023</t>
        </is>
      </c>
      <c r="B1034" s="1" t="n">
        <v>45111</v>
      </c>
      <c r="C1034" s="1" t="n">
        <v>45728</v>
      </c>
      <c r="D1034" t="inlineStr">
        <is>
          <t>JÄMTLANDS LÄN</t>
        </is>
      </c>
      <c r="E1034" t="inlineStr">
        <is>
          <t>HÄRJEDALEN</t>
        </is>
      </c>
      <c r="F1034" t="inlineStr">
        <is>
          <t>Bergvik skog väst AB</t>
        </is>
      </c>
      <c r="G1034" t="n">
        <v>28.3</v>
      </c>
      <c r="H1034" t="n">
        <v>0</v>
      </c>
      <c r="I1034" t="n">
        <v>0</v>
      </c>
      <c r="J1034" t="n">
        <v>0</v>
      </c>
      <c r="K1034" t="n">
        <v>0</v>
      </c>
      <c r="L1034" t="n">
        <v>0</v>
      </c>
      <c r="M1034" t="n">
        <v>0</v>
      </c>
      <c r="N1034" t="n">
        <v>0</v>
      </c>
      <c r="O1034" t="n">
        <v>0</v>
      </c>
      <c r="P1034" t="n">
        <v>0</v>
      </c>
      <c r="Q1034" t="n">
        <v>0</v>
      </c>
      <c r="R1034" s="2" t="inlineStr"/>
    </row>
    <row r="1035" ht="15" customHeight="1">
      <c r="A1035" t="inlineStr">
        <is>
          <t>A 30435-2023</t>
        </is>
      </c>
      <c r="B1035" s="1" t="n">
        <v>45111</v>
      </c>
      <c r="C1035" s="1" t="n">
        <v>45728</v>
      </c>
      <c r="D1035" t="inlineStr">
        <is>
          <t>JÄMTLANDS LÄN</t>
        </is>
      </c>
      <c r="E1035" t="inlineStr">
        <is>
          <t>HÄRJEDALEN</t>
        </is>
      </c>
      <c r="G1035" t="n">
        <v>20</v>
      </c>
      <c r="H1035" t="n">
        <v>0</v>
      </c>
      <c r="I1035" t="n">
        <v>0</v>
      </c>
      <c r="J1035" t="n">
        <v>0</v>
      </c>
      <c r="K1035" t="n">
        <v>0</v>
      </c>
      <c r="L1035" t="n">
        <v>0</v>
      </c>
      <c r="M1035" t="n">
        <v>0</v>
      </c>
      <c r="N1035" t="n">
        <v>0</v>
      </c>
      <c r="O1035" t="n">
        <v>0</v>
      </c>
      <c r="P1035" t="n">
        <v>0</v>
      </c>
      <c r="Q1035" t="n">
        <v>0</v>
      </c>
      <c r="R1035" s="2" t="inlineStr"/>
    </row>
    <row r="1036" ht="15" customHeight="1">
      <c r="A1036" t="inlineStr">
        <is>
          <t>A 30751-2023</t>
        </is>
      </c>
      <c r="B1036" s="1" t="n">
        <v>45112</v>
      </c>
      <c r="C1036" s="1" t="n">
        <v>45728</v>
      </c>
      <c r="D1036" t="inlineStr">
        <is>
          <t>JÄMTLANDS LÄN</t>
        </is>
      </c>
      <c r="E1036" t="inlineStr">
        <is>
          <t>HÄRJEDALEN</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30709-2023</t>
        </is>
      </c>
      <c r="B1037" s="1" t="n">
        <v>45112</v>
      </c>
      <c r="C1037" s="1" t="n">
        <v>45728</v>
      </c>
      <c r="D1037" t="inlineStr">
        <is>
          <t>JÄMTLANDS LÄN</t>
        </is>
      </c>
      <c r="E1037" t="inlineStr">
        <is>
          <t>HÄRJEDALEN</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30984-2023</t>
        </is>
      </c>
      <c r="B1038" s="1" t="n">
        <v>45113</v>
      </c>
      <c r="C1038" s="1" t="n">
        <v>45728</v>
      </c>
      <c r="D1038" t="inlineStr">
        <is>
          <t>JÄMTLANDS LÄN</t>
        </is>
      </c>
      <c r="E1038" t="inlineStr">
        <is>
          <t>HÄRJEDALEN</t>
        </is>
      </c>
      <c r="F1038" t="inlineStr">
        <is>
          <t>Bergvik skog väst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31269-2023</t>
        </is>
      </c>
      <c r="B1039" s="1" t="n">
        <v>45114</v>
      </c>
      <c r="C1039" s="1" t="n">
        <v>45728</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31435-2023</t>
        </is>
      </c>
      <c r="B1040" s="1" t="n">
        <v>45114</v>
      </c>
      <c r="C1040" s="1" t="n">
        <v>45728</v>
      </c>
      <c r="D1040" t="inlineStr">
        <is>
          <t>JÄMTLANDS LÄN</t>
        </is>
      </c>
      <c r="E1040" t="inlineStr">
        <is>
          <t>HÄRJEDALEN</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31778-2023</t>
        </is>
      </c>
      <c r="B1041" s="1" t="n">
        <v>45118</v>
      </c>
      <c r="C1041" s="1" t="n">
        <v>45728</v>
      </c>
      <c r="D1041" t="inlineStr">
        <is>
          <t>JÄMTLANDS LÄN</t>
        </is>
      </c>
      <c r="E1041" t="inlineStr">
        <is>
          <t>HÄRJEDALEN</t>
        </is>
      </c>
      <c r="F1041" t="inlineStr">
        <is>
          <t>Bergvik skog väst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31811-2023</t>
        </is>
      </c>
      <c r="B1042" s="1" t="n">
        <v>45118</v>
      </c>
      <c r="C1042" s="1" t="n">
        <v>45728</v>
      </c>
      <c r="D1042" t="inlineStr">
        <is>
          <t>JÄMTLANDS LÄN</t>
        </is>
      </c>
      <c r="E1042" t="inlineStr">
        <is>
          <t>HÄRJEDALEN</t>
        </is>
      </c>
      <c r="F1042" t="inlineStr">
        <is>
          <t>Bergvik skog väst AB</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31910-2023</t>
        </is>
      </c>
      <c r="B1043" s="1" t="n">
        <v>45118</v>
      </c>
      <c r="C1043" s="1" t="n">
        <v>45728</v>
      </c>
      <c r="D1043" t="inlineStr">
        <is>
          <t>JÄMTLANDS LÄN</t>
        </is>
      </c>
      <c r="E1043" t="inlineStr">
        <is>
          <t>HÄRJEDALEN</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31958-2023</t>
        </is>
      </c>
      <c r="B1044" s="1" t="n">
        <v>45119</v>
      </c>
      <c r="C1044" s="1" t="n">
        <v>45728</v>
      </c>
      <c r="D1044" t="inlineStr">
        <is>
          <t>JÄMTLANDS LÄN</t>
        </is>
      </c>
      <c r="E1044" t="inlineStr">
        <is>
          <t>HÄRJEDALEN</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31996-2023</t>
        </is>
      </c>
      <c r="B1045" s="1" t="n">
        <v>45119</v>
      </c>
      <c r="C1045" s="1" t="n">
        <v>45728</v>
      </c>
      <c r="D1045" t="inlineStr">
        <is>
          <t>JÄMTLANDS LÄN</t>
        </is>
      </c>
      <c r="E1045" t="inlineStr">
        <is>
          <t>HÄRJEDALEN</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31960-2023</t>
        </is>
      </c>
      <c r="B1046" s="1" t="n">
        <v>45119</v>
      </c>
      <c r="C1046" s="1" t="n">
        <v>45728</v>
      </c>
      <c r="D1046" t="inlineStr">
        <is>
          <t>JÄMTLANDS LÄN</t>
        </is>
      </c>
      <c r="E1046" t="inlineStr">
        <is>
          <t>HÄRJEDALEN</t>
        </is>
      </c>
      <c r="F1046" t="inlineStr">
        <is>
          <t>Bergvik skog väst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31956-2023</t>
        </is>
      </c>
      <c r="B1047" s="1" t="n">
        <v>45119</v>
      </c>
      <c r="C1047" s="1" t="n">
        <v>45728</v>
      </c>
      <c r="D1047" t="inlineStr">
        <is>
          <t>JÄMTLANDS LÄN</t>
        </is>
      </c>
      <c r="E1047" t="inlineStr">
        <is>
          <t>HÄRJEDALEN</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31961-2023</t>
        </is>
      </c>
      <c r="B1048" s="1" t="n">
        <v>45119</v>
      </c>
      <c r="C1048" s="1" t="n">
        <v>45728</v>
      </c>
      <c r="D1048" t="inlineStr">
        <is>
          <t>JÄMTLANDS LÄN</t>
        </is>
      </c>
      <c r="E1048" t="inlineStr">
        <is>
          <t>HÄRJEDALEN</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33257-2023</t>
        </is>
      </c>
      <c r="B1049" s="1" t="n">
        <v>45127</v>
      </c>
      <c r="C1049" s="1" t="n">
        <v>45728</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33232-2023</t>
        </is>
      </c>
      <c r="B1050" s="1" t="n">
        <v>45127</v>
      </c>
      <c r="C1050" s="1" t="n">
        <v>45728</v>
      </c>
      <c r="D1050" t="inlineStr">
        <is>
          <t>JÄMTLANDS LÄN</t>
        </is>
      </c>
      <c r="E1050" t="inlineStr">
        <is>
          <t>HÄRJEDALEN</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33992-2023</t>
        </is>
      </c>
      <c r="B1051" s="1" t="n">
        <v>45134</v>
      </c>
      <c r="C1051" s="1" t="n">
        <v>45728</v>
      </c>
      <c r="D1051" t="inlineStr">
        <is>
          <t>JÄMTLANDS LÄN</t>
        </is>
      </c>
      <c r="E1051" t="inlineStr">
        <is>
          <t>HÄRJEDALEN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34260-2023</t>
        </is>
      </c>
      <c r="B1052" s="1" t="n">
        <v>45138</v>
      </c>
      <c r="C1052" s="1" t="n">
        <v>45728</v>
      </c>
      <c r="D1052" t="inlineStr">
        <is>
          <t>JÄMTLANDS LÄN</t>
        </is>
      </c>
      <c r="E1052" t="inlineStr">
        <is>
          <t>HÄRJEDALEN</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34313-2023</t>
        </is>
      </c>
      <c r="B1053" s="1" t="n">
        <v>45139</v>
      </c>
      <c r="C1053" s="1" t="n">
        <v>45728</v>
      </c>
      <c r="D1053" t="inlineStr">
        <is>
          <t>JÄMTLANDS LÄN</t>
        </is>
      </c>
      <c r="E1053" t="inlineStr">
        <is>
          <t>HÄRJEDALEN</t>
        </is>
      </c>
      <c r="F1053" t="inlineStr">
        <is>
          <t>SCA</t>
        </is>
      </c>
      <c r="G1053" t="n">
        <v>31.6</v>
      </c>
      <c r="H1053" t="n">
        <v>0</v>
      </c>
      <c r="I1053" t="n">
        <v>0</v>
      </c>
      <c r="J1053" t="n">
        <v>0</v>
      </c>
      <c r="K1053" t="n">
        <v>0</v>
      </c>
      <c r="L1053" t="n">
        <v>0</v>
      </c>
      <c r="M1053" t="n">
        <v>0</v>
      </c>
      <c r="N1053" t="n">
        <v>0</v>
      </c>
      <c r="O1053" t="n">
        <v>0</v>
      </c>
      <c r="P1053" t="n">
        <v>0</v>
      </c>
      <c r="Q1053" t="n">
        <v>0</v>
      </c>
      <c r="R1053" s="2" t="inlineStr"/>
    </row>
    <row r="1054" ht="15" customHeight="1">
      <c r="A1054" t="inlineStr">
        <is>
          <t>A 34314-2023</t>
        </is>
      </c>
      <c r="B1054" s="1" t="n">
        <v>45138</v>
      </c>
      <c r="C1054" s="1" t="n">
        <v>45728</v>
      </c>
      <c r="D1054" t="inlineStr">
        <is>
          <t>JÄMTLANDS LÄN</t>
        </is>
      </c>
      <c r="E1054" t="inlineStr">
        <is>
          <t>HÄRJEDALEN</t>
        </is>
      </c>
      <c r="F1054" t="inlineStr">
        <is>
          <t>SCA</t>
        </is>
      </c>
      <c r="G1054" t="n">
        <v>18.1</v>
      </c>
      <c r="H1054" t="n">
        <v>0</v>
      </c>
      <c r="I1054" t="n">
        <v>0</v>
      </c>
      <c r="J1054" t="n">
        <v>0</v>
      </c>
      <c r="K1054" t="n">
        <v>0</v>
      </c>
      <c r="L1054" t="n">
        <v>0</v>
      </c>
      <c r="M1054" t="n">
        <v>0</v>
      </c>
      <c r="N1054" t="n">
        <v>0</v>
      </c>
      <c r="O1054" t="n">
        <v>0</v>
      </c>
      <c r="P1054" t="n">
        <v>0</v>
      </c>
      <c r="Q1054" t="n">
        <v>0</v>
      </c>
      <c r="R1054" s="2" t="inlineStr"/>
    </row>
    <row r="1055" ht="15" customHeight="1">
      <c r="A1055" t="inlineStr">
        <is>
          <t>A 35396-2023</t>
        </is>
      </c>
      <c r="B1055" s="1" t="n">
        <v>45146</v>
      </c>
      <c r="C1055" s="1" t="n">
        <v>45728</v>
      </c>
      <c r="D1055" t="inlineStr">
        <is>
          <t>JÄMTLANDS LÄN</t>
        </is>
      </c>
      <c r="E1055" t="inlineStr">
        <is>
          <t>HÄRJEDALEN</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35813-2023</t>
        </is>
      </c>
      <c r="B1056" s="1" t="n">
        <v>45147</v>
      </c>
      <c r="C1056" s="1" t="n">
        <v>45728</v>
      </c>
      <c r="D1056" t="inlineStr">
        <is>
          <t>JÄMTLANDS LÄN</t>
        </is>
      </c>
      <c r="E1056" t="inlineStr">
        <is>
          <t>HÄRJEDALEN</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35891-2023</t>
        </is>
      </c>
      <c r="B1057" s="1" t="n">
        <v>45148</v>
      </c>
      <c r="C1057" s="1" t="n">
        <v>45728</v>
      </c>
      <c r="D1057" t="inlineStr">
        <is>
          <t>JÄMTLANDS LÄN</t>
        </is>
      </c>
      <c r="E1057" t="inlineStr">
        <is>
          <t>HÄRJEDALEN</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36027-2023</t>
        </is>
      </c>
      <c r="B1058" s="1" t="n">
        <v>45149</v>
      </c>
      <c r="C1058" s="1" t="n">
        <v>45728</v>
      </c>
      <c r="D1058" t="inlineStr">
        <is>
          <t>JÄMTLANDS LÄN</t>
        </is>
      </c>
      <c r="E1058" t="inlineStr">
        <is>
          <t>HÄRJEDALEN</t>
        </is>
      </c>
      <c r="F1058" t="inlineStr">
        <is>
          <t>Bergvik skog väst AB</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36111-2023</t>
        </is>
      </c>
      <c r="B1059" s="1" t="n">
        <v>45149</v>
      </c>
      <c r="C1059" s="1" t="n">
        <v>45728</v>
      </c>
      <c r="D1059" t="inlineStr">
        <is>
          <t>JÄMTLANDS LÄN</t>
        </is>
      </c>
      <c r="E1059" t="inlineStr">
        <is>
          <t>HÄRJEDALEN</t>
        </is>
      </c>
      <c r="F1059" t="inlineStr">
        <is>
          <t>Bergvik skog väst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36143-2023</t>
        </is>
      </c>
      <c r="B1060" s="1" t="n">
        <v>45149</v>
      </c>
      <c r="C1060" s="1" t="n">
        <v>45728</v>
      </c>
      <c r="D1060" t="inlineStr">
        <is>
          <t>JÄMTLANDS LÄN</t>
        </is>
      </c>
      <c r="E1060" t="inlineStr">
        <is>
          <t>HÄRJEDALEN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36570-2023</t>
        </is>
      </c>
      <c r="B1061" s="1" t="n">
        <v>45153</v>
      </c>
      <c r="C1061" s="1" t="n">
        <v>45728</v>
      </c>
      <c r="D1061" t="inlineStr">
        <is>
          <t>JÄMTLANDS LÄN</t>
        </is>
      </c>
      <c r="E1061" t="inlineStr">
        <is>
          <t>HÄRJEDALEN</t>
        </is>
      </c>
      <c r="F1061" t="inlineStr">
        <is>
          <t>Bergvik skog väst AB</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36565-2023</t>
        </is>
      </c>
      <c r="B1062" s="1" t="n">
        <v>45153</v>
      </c>
      <c r="C1062" s="1" t="n">
        <v>45728</v>
      </c>
      <c r="D1062" t="inlineStr">
        <is>
          <t>JÄMTLANDS LÄN</t>
        </is>
      </c>
      <c r="E1062" t="inlineStr">
        <is>
          <t>HÄRJEDALEN</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36568-2023</t>
        </is>
      </c>
      <c r="B1063" s="1" t="n">
        <v>45153</v>
      </c>
      <c r="C1063" s="1" t="n">
        <v>45728</v>
      </c>
      <c r="D1063" t="inlineStr">
        <is>
          <t>JÄMTLANDS LÄN</t>
        </is>
      </c>
      <c r="E1063" t="inlineStr">
        <is>
          <t>HÄRJEDALEN</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36651-2023</t>
        </is>
      </c>
      <c r="B1064" s="1" t="n">
        <v>45153</v>
      </c>
      <c r="C1064" s="1" t="n">
        <v>45728</v>
      </c>
      <c r="D1064" t="inlineStr">
        <is>
          <t>JÄMTLANDS LÄN</t>
        </is>
      </c>
      <c r="E1064" t="inlineStr">
        <is>
          <t>HÄRJEDALEN</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36720-2023</t>
        </is>
      </c>
      <c r="B1065" s="1" t="n">
        <v>45153</v>
      </c>
      <c r="C1065" s="1" t="n">
        <v>45728</v>
      </c>
      <c r="D1065" t="inlineStr">
        <is>
          <t>JÄMTLANDS LÄN</t>
        </is>
      </c>
      <c r="E1065" t="inlineStr">
        <is>
          <t>HÄRJEDALEN</t>
        </is>
      </c>
      <c r="F1065" t="inlineStr">
        <is>
          <t>Bergvik skog väst AB</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36677-2023</t>
        </is>
      </c>
      <c r="B1066" s="1" t="n">
        <v>45153</v>
      </c>
      <c r="C1066" s="1" t="n">
        <v>45728</v>
      </c>
      <c r="D1066" t="inlineStr">
        <is>
          <t>JÄMTLANDS LÄN</t>
        </is>
      </c>
      <c r="E1066" t="inlineStr">
        <is>
          <t>HÄRJEDALEN</t>
        </is>
      </c>
      <c r="F1066" t="inlineStr">
        <is>
          <t>Bergvik skog väst AB</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36921-2023</t>
        </is>
      </c>
      <c r="B1067" s="1" t="n">
        <v>45154</v>
      </c>
      <c r="C1067" s="1" t="n">
        <v>45728</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36926-2023</t>
        </is>
      </c>
      <c r="B1068" s="1" t="n">
        <v>45154</v>
      </c>
      <c r="C1068" s="1" t="n">
        <v>45728</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36930-2023</t>
        </is>
      </c>
      <c r="B1069" s="1" t="n">
        <v>45154</v>
      </c>
      <c r="C1069" s="1" t="n">
        <v>45728</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36946-2023</t>
        </is>
      </c>
      <c r="B1070" s="1" t="n">
        <v>45154</v>
      </c>
      <c r="C1070" s="1" t="n">
        <v>45728</v>
      </c>
      <c r="D1070" t="inlineStr">
        <is>
          <t>JÄMTLANDS LÄN</t>
        </is>
      </c>
      <c r="E1070" t="inlineStr">
        <is>
          <t>HÄRJEDALEN</t>
        </is>
      </c>
      <c r="F1070" t="inlineStr">
        <is>
          <t>Kyrkan</t>
        </is>
      </c>
      <c r="G1070" t="n">
        <v>43.1</v>
      </c>
      <c r="H1070" t="n">
        <v>0</v>
      </c>
      <c r="I1070" t="n">
        <v>0</v>
      </c>
      <c r="J1070" t="n">
        <v>0</v>
      </c>
      <c r="K1070" t="n">
        <v>0</v>
      </c>
      <c r="L1070" t="n">
        <v>0</v>
      </c>
      <c r="M1070" t="n">
        <v>0</v>
      </c>
      <c r="N1070" t="n">
        <v>0</v>
      </c>
      <c r="O1070" t="n">
        <v>0</v>
      </c>
      <c r="P1070" t="n">
        <v>0</v>
      </c>
      <c r="Q1070" t="n">
        <v>0</v>
      </c>
      <c r="R1070" s="2" t="inlineStr"/>
    </row>
    <row r="1071" ht="15" customHeight="1">
      <c r="A1071" t="inlineStr">
        <is>
          <t>A 36840-2023</t>
        </is>
      </c>
      <c r="B1071" s="1" t="n">
        <v>45154</v>
      </c>
      <c r="C1071" s="1" t="n">
        <v>45728</v>
      </c>
      <c r="D1071" t="inlineStr">
        <is>
          <t>JÄMTLANDS LÄN</t>
        </is>
      </c>
      <c r="E1071" t="inlineStr">
        <is>
          <t>HÄRJEDALEN</t>
        </is>
      </c>
      <c r="G1071" t="n">
        <v>2.8</v>
      </c>
      <c r="H1071" t="n">
        <v>0</v>
      </c>
      <c r="I1071" t="n">
        <v>0</v>
      </c>
      <c r="J1071" t="n">
        <v>0</v>
      </c>
      <c r="K1071" t="n">
        <v>0</v>
      </c>
      <c r="L1071" t="n">
        <v>0</v>
      </c>
      <c r="M1071" t="n">
        <v>0</v>
      </c>
      <c r="N1071" t="n">
        <v>0</v>
      </c>
      <c r="O1071" t="n">
        <v>0</v>
      </c>
      <c r="P1071" t="n">
        <v>0</v>
      </c>
      <c r="Q1071" t="n">
        <v>0</v>
      </c>
      <c r="R1071" s="2" t="inlineStr"/>
      <c r="U1071">
        <f>HYPERLINK("https://klasma.github.io/Logging_2361/knärot/A 36840-2023 karta knärot.png", "A 36840-2023")</f>
        <v/>
      </c>
      <c r="V1071">
        <f>HYPERLINK("https://klasma.github.io/Logging_2361/klagomål/A 36840-2023 FSC-klagomål.docx", "A 36840-2023")</f>
        <v/>
      </c>
      <c r="W1071">
        <f>HYPERLINK("https://klasma.github.io/Logging_2361/klagomålsmail/A 36840-2023 FSC-klagomål mail.docx", "A 36840-2023")</f>
        <v/>
      </c>
      <c r="X1071">
        <f>HYPERLINK("https://klasma.github.io/Logging_2361/tillsyn/A 36840-2023 tillsynsbegäran.docx", "A 36840-2023")</f>
        <v/>
      </c>
      <c r="Y1071">
        <f>HYPERLINK("https://klasma.github.io/Logging_2361/tillsynsmail/A 36840-2023 tillsynsbegäran mail.docx", "A 36840-2023")</f>
        <v/>
      </c>
    </row>
    <row r="1072" ht="15" customHeight="1">
      <c r="A1072" t="inlineStr">
        <is>
          <t>A 37054-2023</t>
        </is>
      </c>
      <c r="B1072" s="1" t="n">
        <v>45154</v>
      </c>
      <c r="C1072" s="1" t="n">
        <v>45728</v>
      </c>
      <c r="D1072" t="inlineStr">
        <is>
          <t>JÄMTLANDS LÄN</t>
        </is>
      </c>
      <c r="E1072" t="inlineStr">
        <is>
          <t>HÄRJEDALEN</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36931-2023</t>
        </is>
      </c>
      <c r="B1073" s="1" t="n">
        <v>45154</v>
      </c>
      <c r="C1073" s="1" t="n">
        <v>45728</v>
      </c>
      <c r="D1073" t="inlineStr">
        <is>
          <t>JÄMTLANDS LÄN</t>
        </is>
      </c>
      <c r="E1073" t="inlineStr">
        <is>
          <t>HÄRJEDALEN</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37315-2023</t>
        </is>
      </c>
      <c r="B1074" s="1" t="n">
        <v>45156</v>
      </c>
      <c r="C1074" s="1" t="n">
        <v>45728</v>
      </c>
      <c r="D1074" t="inlineStr">
        <is>
          <t>JÄMTLANDS LÄN</t>
        </is>
      </c>
      <c r="E1074" t="inlineStr">
        <is>
          <t>HÄRJEDALEN</t>
        </is>
      </c>
      <c r="F1074" t="inlineStr">
        <is>
          <t>Bergvik skog väst AB</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37345-2023</t>
        </is>
      </c>
      <c r="B1075" s="1" t="n">
        <v>45156</v>
      </c>
      <c r="C1075" s="1" t="n">
        <v>45728</v>
      </c>
      <c r="D1075" t="inlineStr">
        <is>
          <t>JÄMTLANDS LÄN</t>
        </is>
      </c>
      <c r="E1075" t="inlineStr">
        <is>
          <t>HÄRJEDALEN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37365-2023</t>
        </is>
      </c>
      <c r="B1076" s="1" t="n">
        <v>45156</v>
      </c>
      <c r="C1076" s="1" t="n">
        <v>45728</v>
      </c>
      <c r="D1076" t="inlineStr">
        <is>
          <t>JÄMTLANDS LÄN</t>
        </is>
      </c>
      <c r="E1076" t="inlineStr">
        <is>
          <t>HÄRJEDALEN</t>
        </is>
      </c>
      <c r="F1076" t="inlineStr">
        <is>
          <t>Bergvik skog väst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37363-2023</t>
        </is>
      </c>
      <c r="B1077" s="1" t="n">
        <v>45156</v>
      </c>
      <c r="C1077" s="1" t="n">
        <v>45728</v>
      </c>
      <c r="D1077" t="inlineStr">
        <is>
          <t>JÄMTLANDS LÄN</t>
        </is>
      </c>
      <c r="E1077" t="inlineStr">
        <is>
          <t>HÄRJEDALEN</t>
        </is>
      </c>
      <c r="F1077" t="inlineStr">
        <is>
          <t>Bergvik skog väst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37638-2023</t>
        </is>
      </c>
      <c r="B1078" s="1" t="n">
        <v>45159</v>
      </c>
      <c r="C1078" s="1" t="n">
        <v>45728</v>
      </c>
      <c r="D1078" t="inlineStr">
        <is>
          <t>JÄMTLANDS LÄN</t>
        </is>
      </c>
      <c r="E1078" t="inlineStr">
        <is>
          <t>HÄRJEDALEN</t>
        </is>
      </c>
      <c r="F1078" t="inlineStr">
        <is>
          <t>Bergvik skog väst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37764-2023</t>
        </is>
      </c>
      <c r="B1079" s="1" t="n">
        <v>45159</v>
      </c>
      <c r="C1079" s="1" t="n">
        <v>45728</v>
      </c>
      <c r="D1079" t="inlineStr">
        <is>
          <t>JÄMTLANDS LÄN</t>
        </is>
      </c>
      <c r="E1079" t="inlineStr">
        <is>
          <t>HÄRJEDALEN</t>
        </is>
      </c>
      <c r="F1079" t="inlineStr">
        <is>
          <t>Bergvik skog väst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37715-2023</t>
        </is>
      </c>
      <c r="B1080" s="1" t="n">
        <v>45159</v>
      </c>
      <c r="C1080" s="1" t="n">
        <v>45728</v>
      </c>
      <c r="D1080" t="inlineStr">
        <is>
          <t>JÄMTLANDS LÄN</t>
        </is>
      </c>
      <c r="E1080" t="inlineStr">
        <is>
          <t>HÄRJEDALEN</t>
        </is>
      </c>
      <c r="G1080" t="n">
        <v>23.3</v>
      </c>
      <c r="H1080" t="n">
        <v>0</v>
      </c>
      <c r="I1080" t="n">
        <v>0</v>
      </c>
      <c r="J1080" t="n">
        <v>0</v>
      </c>
      <c r="K1080" t="n">
        <v>0</v>
      </c>
      <c r="L1080" t="n">
        <v>0</v>
      </c>
      <c r="M1080" t="n">
        <v>0</v>
      </c>
      <c r="N1080" t="n">
        <v>0</v>
      </c>
      <c r="O1080" t="n">
        <v>0</v>
      </c>
      <c r="P1080" t="n">
        <v>0</v>
      </c>
      <c r="Q1080" t="n">
        <v>0</v>
      </c>
      <c r="R1080" s="2" t="inlineStr"/>
    </row>
    <row r="1081" ht="15" customHeight="1">
      <c r="A1081" t="inlineStr">
        <is>
          <t>A 37719-2023</t>
        </is>
      </c>
      <c r="B1081" s="1" t="n">
        <v>45159</v>
      </c>
      <c r="C1081" s="1" t="n">
        <v>45728</v>
      </c>
      <c r="D1081" t="inlineStr">
        <is>
          <t>JÄMTLANDS LÄN</t>
        </is>
      </c>
      <c r="E1081" t="inlineStr">
        <is>
          <t>HÄRJEDALEN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37747-2023</t>
        </is>
      </c>
      <c r="B1082" s="1" t="n">
        <v>45159</v>
      </c>
      <c r="C1082" s="1" t="n">
        <v>45728</v>
      </c>
      <c r="D1082" t="inlineStr">
        <is>
          <t>JÄMTLANDS LÄN</t>
        </is>
      </c>
      <c r="E1082" t="inlineStr">
        <is>
          <t>HÄRJEDALEN</t>
        </is>
      </c>
      <c r="F1082" t="inlineStr">
        <is>
          <t>Bergvik skog väst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37762-2023</t>
        </is>
      </c>
      <c r="B1083" s="1" t="n">
        <v>45159</v>
      </c>
      <c r="C1083" s="1" t="n">
        <v>45728</v>
      </c>
      <c r="D1083" t="inlineStr">
        <is>
          <t>JÄMTLANDS LÄN</t>
        </is>
      </c>
      <c r="E1083" t="inlineStr">
        <is>
          <t>HÄRJEDALEN</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38683-2023</t>
        </is>
      </c>
      <c r="B1084" s="1" t="n">
        <v>45162</v>
      </c>
      <c r="C1084" s="1" t="n">
        <v>45728</v>
      </c>
      <c r="D1084" t="inlineStr">
        <is>
          <t>JÄMTLANDS LÄN</t>
        </is>
      </c>
      <c r="E1084" t="inlineStr">
        <is>
          <t>HÄRJEDALEN</t>
        </is>
      </c>
      <c r="F1084" t="inlineStr">
        <is>
          <t>SCA</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38929-2023</t>
        </is>
      </c>
      <c r="B1085" s="1" t="n">
        <v>45163</v>
      </c>
      <c r="C1085" s="1" t="n">
        <v>45728</v>
      </c>
      <c r="D1085" t="inlineStr">
        <is>
          <t>JÄMTLANDS LÄN</t>
        </is>
      </c>
      <c r="E1085" t="inlineStr">
        <is>
          <t>HÄRJEDALEN</t>
        </is>
      </c>
      <c r="G1085" t="n">
        <v>23.1</v>
      </c>
      <c r="H1085" t="n">
        <v>0</v>
      </c>
      <c r="I1085" t="n">
        <v>0</v>
      </c>
      <c r="J1085" t="n">
        <v>0</v>
      </c>
      <c r="K1085" t="n">
        <v>0</v>
      </c>
      <c r="L1085" t="n">
        <v>0</v>
      </c>
      <c r="M1085" t="n">
        <v>0</v>
      </c>
      <c r="N1085" t="n">
        <v>0</v>
      </c>
      <c r="O1085" t="n">
        <v>0</v>
      </c>
      <c r="P1085" t="n">
        <v>0</v>
      </c>
      <c r="Q1085" t="n">
        <v>0</v>
      </c>
      <c r="R1085" s="2" t="inlineStr"/>
    </row>
    <row r="1086" ht="15" customHeight="1">
      <c r="A1086" t="inlineStr">
        <is>
          <t>A 39158-2023</t>
        </is>
      </c>
      <c r="B1086" s="1" t="n">
        <v>45166</v>
      </c>
      <c r="C1086" s="1" t="n">
        <v>45728</v>
      </c>
      <c r="D1086" t="inlineStr">
        <is>
          <t>JÄMTLANDS LÄN</t>
        </is>
      </c>
      <c r="E1086" t="inlineStr">
        <is>
          <t>HÄRJEDALEN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39355-2023</t>
        </is>
      </c>
      <c r="B1087" s="1" t="n">
        <v>45166</v>
      </c>
      <c r="C1087" s="1" t="n">
        <v>45728</v>
      </c>
      <c r="D1087" t="inlineStr">
        <is>
          <t>JÄMTLANDS LÄN</t>
        </is>
      </c>
      <c r="E1087" t="inlineStr">
        <is>
          <t>HÄRJEDALEN</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39614-2023</t>
        </is>
      </c>
      <c r="B1088" s="1" t="n">
        <v>45167</v>
      </c>
      <c r="C1088" s="1" t="n">
        <v>45728</v>
      </c>
      <c r="D1088" t="inlineStr">
        <is>
          <t>JÄMTLANDS LÄN</t>
        </is>
      </c>
      <c r="E1088" t="inlineStr">
        <is>
          <t>HÄRJEDALEN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39612-2023</t>
        </is>
      </c>
      <c r="B1089" s="1" t="n">
        <v>45167</v>
      </c>
      <c r="C1089" s="1" t="n">
        <v>45728</v>
      </c>
      <c r="D1089" t="inlineStr">
        <is>
          <t>JÄMTLANDS LÄN</t>
        </is>
      </c>
      <c r="E1089" t="inlineStr">
        <is>
          <t>HÄRJEDALEN</t>
        </is>
      </c>
      <c r="F1089" t="inlineStr">
        <is>
          <t>Bergvik skog väst AB</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39649-2023</t>
        </is>
      </c>
      <c r="B1090" s="1" t="n">
        <v>45167</v>
      </c>
      <c r="C1090" s="1" t="n">
        <v>45728</v>
      </c>
      <c r="D1090" t="inlineStr">
        <is>
          <t>JÄMTLANDS LÄN</t>
        </is>
      </c>
      <c r="E1090" t="inlineStr">
        <is>
          <t>HÄRJEDALEN</t>
        </is>
      </c>
      <c r="F1090" t="inlineStr">
        <is>
          <t>Bergvik skog väst AB</t>
        </is>
      </c>
      <c r="G1090" t="n">
        <v>23.6</v>
      </c>
      <c r="H1090" t="n">
        <v>0</v>
      </c>
      <c r="I1090" t="n">
        <v>0</v>
      </c>
      <c r="J1090" t="n">
        <v>0</v>
      </c>
      <c r="K1090" t="n">
        <v>0</v>
      </c>
      <c r="L1090" t="n">
        <v>0</v>
      </c>
      <c r="M1090" t="n">
        <v>0</v>
      </c>
      <c r="N1090" t="n">
        <v>0</v>
      </c>
      <c r="O1090" t="n">
        <v>0</v>
      </c>
      <c r="P1090" t="n">
        <v>0</v>
      </c>
      <c r="Q1090" t="n">
        <v>0</v>
      </c>
      <c r="R1090" s="2" t="inlineStr"/>
      <c r="U1090">
        <f>HYPERLINK("https://klasma.github.io/Logging_2361/knärot/A 39649-2023 karta knärot.png", "A 39649-2023")</f>
        <v/>
      </c>
      <c r="V1090">
        <f>HYPERLINK("https://klasma.github.io/Logging_2361/klagomål/A 39649-2023 FSC-klagomål.docx", "A 39649-2023")</f>
        <v/>
      </c>
      <c r="W1090">
        <f>HYPERLINK("https://klasma.github.io/Logging_2361/klagomålsmail/A 39649-2023 FSC-klagomål mail.docx", "A 39649-2023")</f>
        <v/>
      </c>
      <c r="X1090">
        <f>HYPERLINK("https://klasma.github.io/Logging_2361/tillsyn/A 39649-2023 tillsynsbegäran.docx", "A 39649-2023")</f>
        <v/>
      </c>
      <c r="Y1090">
        <f>HYPERLINK("https://klasma.github.io/Logging_2361/tillsynsmail/A 39649-2023 tillsynsbegäran mail.docx", "A 39649-2023")</f>
        <v/>
      </c>
    </row>
    <row r="1091" ht="15" customHeight="1">
      <c r="A1091" t="inlineStr">
        <is>
          <t>A 40215-2023</t>
        </is>
      </c>
      <c r="B1091" s="1" t="n">
        <v>45169</v>
      </c>
      <c r="C1091" s="1" t="n">
        <v>45728</v>
      </c>
      <c r="D1091" t="inlineStr">
        <is>
          <t>JÄMTLANDS LÄN</t>
        </is>
      </c>
      <c r="E1091" t="inlineStr">
        <is>
          <t>HÄRJEDALEN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40217-2023</t>
        </is>
      </c>
      <c r="B1092" s="1" t="n">
        <v>45169</v>
      </c>
      <c r="C1092" s="1" t="n">
        <v>45728</v>
      </c>
      <c r="D1092" t="inlineStr">
        <is>
          <t>JÄMTLANDS LÄN</t>
        </is>
      </c>
      <c r="E1092" t="inlineStr">
        <is>
          <t>HÄRJEDALEN</t>
        </is>
      </c>
      <c r="G1092" t="n">
        <v>23.5</v>
      </c>
      <c r="H1092" t="n">
        <v>0</v>
      </c>
      <c r="I1092" t="n">
        <v>0</v>
      </c>
      <c r="J1092" t="n">
        <v>0</v>
      </c>
      <c r="K1092" t="n">
        <v>0</v>
      </c>
      <c r="L1092" t="n">
        <v>0</v>
      </c>
      <c r="M1092" t="n">
        <v>0</v>
      </c>
      <c r="N1092" t="n">
        <v>0</v>
      </c>
      <c r="O1092" t="n">
        <v>0</v>
      </c>
      <c r="P1092" t="n">
        <v>0</v>
      </c>
      <c r="Q1092" t="n">
        <v>0</v>
      </c>
      <c r="R1092" s="2" t="inlineStr"/>
    </row>
    <row r="1093" ht="15" customHeight="1">
      <c r="A1093" t="inlineStr">
        <is>
          <t>A 40560-2023</t>
        </is>
      </c>
      <c r="B1093" s="1" t="n">
        <v>45170</v>
      </c>
      <c r="C1093" s="1" t="n">
        <v>45728</v>
      </c>
      <c r="D1093" t="inlineStr">
        <is>
          <t>JÄMTLANDS LÄN</t>
        </is>
      </c>
      <c r="E1093" t="inlineStr">
        <is>
          <t>HÄRJEDALEN</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40569-2023</t>
        </is>
      </c>
      <c r="B1094" s="1" t="n">
        <v>45170</v>
      </c>
      <c r="C1094" s="1" t="n">
        <v>45728</v>
      </c>
      <c r="D1094" t="inlineStr">
        <is>
          <t>JÄMTLANDS LÄN</t>
        </is>
      </c>
      <c r="E1094" t="inlineStr">
        <is>
          <t>HÄRJEDALEN</t>
        </is>
      </c>
      <c r="F1094" t="inlineStr">
        <is>
          <t>Holmen skog AB</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40578-2023</t>
        </is>
      </c>
      <c r="B1095" s="1" t="n">
        <v>45170</v>
      </c>
      <c r="C1095" s="1" t="n">
        <v>45728</v>
      </c>
      <c r="D1095" t="inlineStr">
        <is>
          <t>JÄMTLANDS LÄN</t>
        </is>
      </c>
      <c r="E1095" t="inlineStr">
        <is>
          <t>HÄRJEDALEN</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40664-2023</t>
        </is>
      </c>
      <c r="B1096" s="1" t="n">
        <v>45170</v>
      </c>
      <c r="C1096" s="1" t="n">
        <v>45728</v>
      </c>
      <c r="D1096" t="inlineStr">
        <is>
          <t>JÄMTLANDS LÄN</t>
        </is>
      </c>
      <c r="E1096" t="inlineStr">
        <is>
          <t>HÄRJEDALEN</t>
        </is>
      </c>
      <c r="G1096" t="n">
        <v>65.3</v>
      </c>
      <c r="H1096" t="n">
        <v>0</v>
      </c>
      <c r="I1096" t="n">
        <v>0</v>
      </c>
      <c r="J1096" t="n">
        <v>0</v>
      </c>
      <c r="K1096" t="n">
        <v>0</v>
      </c>
      <c r="L1096" t="n">
        <v>0</v>
      </c>
      <c r="M1096" t="n">
        <v>0</v>
      </c>
      <c r="N1096" t="n">
        <v>0</v>
      </c>
      <c r="O1096" t="n">
        <v>0</v>
      </c>
      <c r="P1096" t="n">
        <v>0</v>
      </c>
      <c r="Q1096" t="n">
        <v>0</v>
      </c>
      <c r="R1096" s="2" t="inlineStr"/>
    </row>
    <row r="1097" ht="15" customHeight="1">
      <c r="A1097" t="inlineStr">
        <is>
          <t>A 40567-2023</t>
        </is>
      </c>
      <c r="B1097" s="1" t="n">
        <v>45170</v>
      </c>
      <c r="C1097" s="1" t="n">
        <v>45728</v>
      </c>
      <c r="D1097" t="inlineStr">
        <is>
          <t>JÄMTLANDS LÄN</t>
        </is>
      </c>
      <c r="E1097" t="inlineStr">
        <is>
          <t>HÄRJEDALEN</t>
        </is>
      </c>
      <c r="F1097" t="inlineStr">
        <is>
          <t>Holmen skog AB</t>
        </is>
      </c>
      <c r="G1097" t="n">
        <v>19.4</v>
      </c>
      <c r="H1097" t="n">
        <v>0</v>
      </c>
      <c r="I1097" t="n">
        <v>0</v>
      </c>
      <c r="J1097" t="n">
        <v>0</v>
      </c>
      <c r="K1097" t="n">
        <v>0</v>
      </c>
      <c r="L1097" t="n">
        <v>0</v>
      </c>
      <c r="M1097" t="n">
        <v>0</v>
      </c>
      <c r="N1097" t="n">
        <v>0</v>
      </c>
      <c r="O1097" t="n">
        <v>0</v>
      </c>
      <c r="P1097" t="n">
        <v>0</v>
      </c>
      <c r="Q1097" t="n">
        <v>0</v>
      </c>
      <c r="R1097" s="2" t="inlineStr"/>
    </row>
    <row r="1098" ht="15" customHeight="1">
      <c r="A1098" t="inlineStr">
        <is>
          <t>A 40573-2023</t>
        </is>
      </c>
      <c r="B1098" s="1" t="n">
        <v>45170</v>
      </c>
      <c r="C1098" s="1" t="n">
        <v>45728</v>
      </c>
      <c r="D1098" t="inlineStr">
        <is>
          <t>JÄMTLANDS LÄN</t>
        </is>
      </c>
      <c r="E1098" t="inlineStr">
        <is>
          <t>HÄRJEDALEN</t>
        </is>
      </c>
      <c r="F1098" t="inlineStr">
        <is>
          <t>Holmen skog AB</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40900-2023</t>
        </is>
      </c>
      <c r="B1099" s="1" t="n">
        <v>45173</v>
      </c>
      <c r="C1099" s="1" t="n">
        <v>45728</v>
      </c>
      <c r="D1099" t="inlineStr">
        <is>
          <t>JÄMTLANDS LÄN</t>
        </is>
      </c>
      <c r="E1099" t="inlineStr">
        <is>
          <t>HÄRJEDALEN</t>
        </is>
      </c>
      <c r="F1099" t="inlineStr">
        <is>
          <t>Bergvik skog väst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40904-2023</t>
        </is>
      </c>
      <c r="B1100" s="1" t="n">
        <v>45173</v>
      </c>
      <c r="C1100" s="1" t="n">
        <v>45728</v>
      </c>
      <c r="D1100" t="inlineStr">
        <is>
          <t>JÄMTLANDS LÄN</t>
        </is>
      </c>
      <c r="E1100" t="inlineStr">
        <is>
          <t>HÄRJEDALEN</t>
        </is>
      </c>
      <c r="F1100" t="inlineStr">
        <is>
          <t>Bergvik skog väst AB</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41058-2023</t>
        </is>
      </c>
      <c r="B1101" s="1" t="n">
        <v>45173</v>
      </c>
      <c r="C1101" s="1" t="n">
        <v>45728</v>
      </c>
      <c r="D1101" t="inlineStr">
        <is>
          <t>JÄMTLANDS LÄN</t>
        </is>
      </c>
      <c r="E1101" t="inlineStr">
        <is>
          <t>HÄRJEDALEN</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41094-2023</t>
        </is>
      </c>
      <c r="B1102" s="1" t="n">
        <v>45173</v>
      </c>
      <c r="C1102" s="1" t="n">
        <v>45728</v>
      </c>
      <c r="D1102" t="inlineStr">
        <is>
          <t>JÄMTLANDS LÄN</t>
        </is>
      </c>
      <c r="E1102" t="inlineStr">
        <is>
          <t>HÄRJEDALEN</t>
        </is>
      </c>
      <c r="F1102" t="inlineStr">
        <is>
          <t>Sveaskog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41955-2023</t>
        </is>
      </c>
      <c r="B1103" s="1" t="n">
        <v>45174</v>
      </c>
      <c r="C1103" s="1" t="n">
        <v>45728</v>
      </c>
      <c r="D1103" t="inlineStr">
        <is>
          <t>JÄMTLANDS LÄN</t>
        </is>
      </c>
      <c r="E1103" t="inlineStr">
        <is>
          <t>HÄRJEDALEN</t>
        </is>
      </c>
      <c r="G1103" t="n">
        <v>60.4</v>
      </c>
      <c r="H1103" t="n">
        <v>0</v>
      </c>
      <c r="I1103" t="n">
        <v>0</v>
      </c>
      <c r="J1103" t="n">
        <v>0</v>
      </c>
      <c r="K1103" t="n">
        <v>0</v>
      </c>
      <c r="L1103" t="n">
        <v>0</v>
      </c>
      <c r="M1103" t="n">
        <v>0</v>
      </c>
      <c r="N1103" t="n">
        <v>0</v>
      </c>
      <c r="O1103" t="n">
        <v>0</v>
      </c>
      <c r="P1103" t="n">
        <v>0</v>
      </c>
      <c r="Q1103" t="n">
        <v>0</v>
      </c>
      <c r="R1103" s="2" t="inlineStr"/>
    </row>
    <row r="1104" ht="15" customHeight="1">
      <c r="A1104" t="inlineStr">
        <is>
          <t>A 42146-2023</t>
        </is>
      </c>
      <c r="B1104" s="1" t="n">
        <v>45178</v>
      </c>
      <c r="C1104" s="1" t="n">
        <v>45728</v>
      </c>
      <c r="D1104" t="inlineStr">
        <is>
          <t>JÄMTLANDS LÄN</t>
        </is>
      </c>
      <c r="E1104" t="inlineStr">
        <is>
          <t>HÄRJEDALEN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42143-2023</t>
        </is>
      </c>
      <c r="B1105" s="1" t="n">
        <v>45178</v>
      </c>
      <c r="C1105" s="1" t="n">
        <v>45728</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43192-2023</t>
        </is>
      </c>
      <c r="B1106" s="1" t="n">
        <v>45180</v>
      </c>
      <c r="C1106" s="1" t="n">
        <v>45728</v>
      </c>
      <c r="D1106" t="inlineStr">
        <is>
          <t>JÄMTLANDS LÄN</t>
        </is>
      </c>
      <c r="E1106" t="inlineStr">
        <is>
          <t>HÄRJEDALEN</t>
        </is>
      </c>
      <c r="F1106" t="inlineStr">
        <is>
          <t>Övriga Aktiebolag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43211-2023</t>
        </is>
      </c>
      <c r="B1107" s="1" t="n">
        <v>45180</v>
      </c>
      <c r="C1107" s="1" t="n">
        <v>45728</v>
      </c>
      <c r="D1107" t="inlineStr">
        <is>
          <t>JÄMTLANDS LÄN</t>
        </is>
      </c>
      <c r="E1107" t="inlineStr">
        <is>
          <t>HÄRJEDALEN</t>
        </is>
      </c>
      <c r="F1107" t="inlineStr">
        <is>
          <t>Övriga Aktiebolag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42720-2023</t>
        </is>
      </c>
      <c r="B1108" s="1" t="n">
        <v>45181</v>
      </c>
      <c r="C1108" s="1" t="n">
        <v>45728</v>
      </c>
      <c r="D1108" t="inlineStr">
        <is>
          <t>JÄMTLANDS LÄN</t>
        </is>
      </c>
      <c r="E1108" t="inlineStr">
        <is>
          <t>HÄRJEDALEN</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43503-2023</t>
        </is>
      </c>
      <c r="B1109" s="1" t="n">
        <v>45184</v>
      </c>
      <c r="C1109" s="1" t="n">
        <v>45728</v>
      </c>
      <c r="D1109" t="inlineStr">
        <is>
          <t>JÄMTLANDS LÄN</t>
        </is>
      </c>
      <c r="E1109" t="inlineStr">
        <is>
          <t>HÄRJEDALEN</t>
        </is>
      </c>
      <c r="F1109" t="inlineStr">
        <is>
          <t>Bergvik skog väst AB</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43481-2023</t>
        </is>
      </c>
      <c r="B1110" s="1" t="n">
        <v>45184</v>
      </c>
      <c r="C1110" s="1" t="n">
        <v>45728</v>
      </c>
      <c r="D1110" t="inlineStr">
        <is>
          <t>JÄMTLANDS LÄN</t>
        </is>
      </c>
      <c r="E1110" t="inlineStr">
        <is>
          <t>HÄRJEDALEN</t>
        </is>
      </c>
      <c r="F1110" t="inlineStr">
        <is>
          <t>Bergvik skog väst AB</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43870-2023</t>
        </is>
      </c>
      <c r="B1111" s="1" t="n">
        <v>45187</v>
      </c>
      <c r="C1111" s="1" t="n">
        <v>45728</v>
      </c>
      <c r="D1111" t="inlineStr">
        <is>
          <t>JÄMTLANDS LÄN</t>
        </is>
      </c>
      <c r="E1111" t="inlineStr">
        <is>
          <t>HÄRJEDALEN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43804-2023</t>
        </is>
      </c>
      <c r="B1112" s="1" t="n">
        <v>45187</v>
      </c>
      <c r="C1112" s="1" t="n">
        <v>45728</v>
      </c>
      <c r="D1112" t="inlineStr">
        <is>
          <t>JÄMTLANDS LÄN</t>
        </is>
      </c>
      <c r="E1112" t="inlineStr">
        <is>
          <t>HÄRJEDALEN</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43811-2023</t>
        </is>
      </c>
      <c r="B1113" s="1" t="n">
        <v>45187</v>
      </c>
      <c r="C1113" s="1" t="n">
        <v>45728</v>
      </c>
      <c r="D1113" t="inlineStr">
        <is>
          <t>JÄMTLANDS LÄN</t>
        </is>
      </c>
      <c r="E1113" t="inlineStr">
        <is>
          <t>HÄRJEDALEN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43820-2023</t>
        </is>
      </c>
      <c r="B1114" s="1" t="n">
        <v>45187</v>
      </c>
      <c r="C1114" s="1" t="n">
        <v>45728</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44102-2023</t>
        </is>
      </c>
      <c r="B1115" s="1" t="n">
        <v>45188</v>
      </c>
      <c r="C1115" s="1" t="n">
        <v>45728</v>
      </c>
      <c r="D1115" t="inlineStr">
        <is>
          <t>JÄMTLANDS LÄN</t>
        </is>
      </c>
      <c r="E1115" t="inlineStr">
        <is>
          <t>HÄRJEDALEN</t>
        </is>
      </c>
      <c r="F1115" t="inlineStr">
        <is>
          <t>Bergvik skog väst AB</t>
        </is>
      </c>
      <c r="G1115" t="n">
        <v>11.6</v>
      </c>
      <c r="H1115" t="n">
        <v>0</v>
      </c>
      <c r="I1115" t="n">
        <v>0</v>
      </c>
      <c r="J1115" t="n">
        <v>0</v>
      </c>
      <c r="K1115" t="n">
        <v>0</v>
      </c>
      <c r="L1115" t="n">
        <v>0</v>
      </c>
      <c r="M1115" t="n">
        <v>0</v>
      </c>
      <c r="N1115" t="n">
        <v>0</v>
      </c>
      <c r="O1115" t="n">
        <v>0</v>
      </c>
      <c r="P1115" t="n">
        <v>0</v>
      </c>
      <c r="Q1115" t="n">
        <v>0</v>
      </c>
      <c r="R1115" s="2" t="inlineStr"/>
    </row>
    <row r="1116" ht="15" customHeight="1">
      <c r="A1116" t="inlineStr">
        <is>
          <t>A 44270-2023</t>
        </is>
      </c>
      <c r="B1116" s="1" t="n">
        <v>45188</v>
      </c>
      <c r="C1116" s="1" t="n">
        <v>45728</v>
      </c>
      <c r="D1116" t="inlineStr">
        <is>
          <t>JÄMTLANDS LÄN</t>
        </is>
      </c>
      <c r="E1116" t="inlineStr">
        <is>
          <t>HÄRJEDALEN</t>
        </is>
      </c>
      <c r="G1116" t="n">
        <v>15.6</v>
      </c>
      <c r="H1116" t="n">
        <v>0</v>
      </c>
      <c r="I1116" t="n">
        <v>0</v>
      </c>
      <c r="J1116" t="n">
        <v>0</v>
      </c>
      <c r="K1116" t="n">
        <v>0</v>
      </c>
      <c r="L1116" t="n">
        <v>0</v>
      </c>
      <c r="M1116" t="n">
        <v>0</v>
      </c>
      <c r="N1116" t="n">
        <v>0</v>
      </c>
      <c r="O1116" t="n">
        <v>0</v>
      </c>
      <c r="P1116" t="n">
        <v>0</v>
      </c>
      <c r="Q1116" t="n">
        <v>0</v>
      </c>
      <c r="R1116" s="2" t="inlineStr"/>
    </row>
    <row r="1117" ht="15" customHeight="1">
      <c r="A1117" t="inlineStr">
        <is>
          <t>A 45640-2023</t>
        </is>
      </c>
      <c r="B1117" s="1" t="n">
        <v>45188</v>
      </c>
      <c r="C1117" s="1" t="n">
        <v>45728</v>
      </c>
      <c r="D1117" t="inlineStr">
        <is>
          <t>JÄMTLANDS LÄN</t>
        </is>
      </c>
      <c r="E1117" t="inlineStr">
        <is>
          <t>HÄRJEDALEN</t>
        </is>
      </c>
      <c r="F1117" t="inlineStr">
        <is>
          <t>Bergvik skog väst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45179-2023</t>
        </is>
      </c>
      <c r="B1118" s="1" t="n">
        <v>45191</v>
      </c>
      <c r="C1118" s="1" t="n">
        <v>45728</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45143-2023</t>
        </is>
      </c>
      <c r="B1119" s="1" t="n">
        <v>45191</v>
      </c>
      <c r="C1119" s="1" t="n">
        <v>45728</v>
      </c>
      <c r="D1119" t="inlineStr">
        <is>
          <t>JÄMTLANDS LÄN</t>
        </is>
      </c>
      <c r="E1119" t="inlineStr">
        <is>
          <t>HÄRJEDALEN</t>
        </is>
      </c>
      <c r="G1119" t="n">
        <v>24.8</v>
      </c>
      <c r="H1119" t="n">
        <v>0</v>
      </c>
      <c r="I1119" t="n">
        <v>0</v>
      </c>
      <c r="J1119" t="n">
        <v>0</v>
      </c>
      <c r="K1119" t="n">
        <v>0</v>
      </c>
      <c r="L1119" t="n">
        <v>0</v>
      </c>
      <c r="M1119" t="n">
        <v>0</v>
      </c>
      <c r="N1119" t="n">
        <v>0</v>
      </c>
      <c r="O1119" t="n">
        <v>0</v>
      </c>
      <c r="P1119" t="n">
        <v>0</v>
      </c>
      <c r="Q1119" t="n">
        <v>0</v>
      </c>
      <c r="R1119" s="2" t="inlineStr"/>
    </row>
    <row r="1120" ht="15" customHeight="1">
      <c r="A1120" t="inlineStr">
        <is>
          <t>A 45274-2023</t>
        </is>
      </c>
      <c r="B1120" s="1" t="n">
        <v>45191</v>
      </c>
      <c r="C1120" s="1" t="n">
        <v>45728</v>
      </c>
      <c r="D1120" t="inlineStr">
        <is>
          <t>JÄMTLANDS LÄN</t>
        </is>
      </c>
      <c r="E1120" t="inlineStr">
        <is>
          <t>HÄRJEDALEN</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45491-2023</t>
        </is>
      </c>
      <c r="B1121" s="1" t="n">
        <v>45194</v>
      </c>
      <c r="C1121" s="1" t="n">
        <v>45728</v>
      </c>
      <c r="D1121" t="inlineStr">
        <is>
          <t>JÄMTLANDS LÄN</t>
        </is>
      </c>
      <c r="E1121" t="inlineStr">
        <is>
          <t>HÄRJEDALEN</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45495-2023</t>
        </is>
      </c>
      <c r="B1122" s="1" t="n">
        <v>45194</v>
      </c>
      <c r="C1122" s="1" t="n">
        <v>45728</v>
      </c>
      <c r="D1122" t="inlineStr">
        <is>
          <t>JÄMTLANDS LÄN</t>
        </is>
      </c>
      <c r="E1122" t="inlineStr">
        <is>
          <t>HÄRJEDALEN</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45613-2023</t>
        </is>
      </c>
      <c r="B1123" s="1" t="n">
        <v>45194</v>
      </c>
      <c r="C1123" s="1" t="n">
        <v>45728</v>
      </c>
      <c r="D1123" t="inlineStr">
        <is>
          <t>JÄMTLANDS LÄN</t>
        </is>
      </c>
      <c r="E1123" t="inlineStr">
        <is>
          <t>HÄRJEDALEN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45636-2023</t>
        </is>
      </c>
      <c r="B1124" s="1" t="n">
        <v>45194</v>
      </c>
      <c r="C1124" s="1" t="n">
        <v>45728</v>
      </c>
      <c r="D1124" t="inlineStr">
        <is>
          <t>JÄMTLANDS LÄN</t>
        </is>
      </c>
      <c r="E1124" t="inlineStr">
        <is>
          <t>HÄRJEDALEN</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45616-2023</t>
        </is>
      </c>
      <c r="B1125" s="1" t="n">
        <v>45194</v>
      </c>
      <c r="C1125" s="1" t="n">
        <v>45728</v>
      </c>
      <c r="D1125" t="inlineStr">
        <is>
          <t>JÄMTLANDS LÄN</t>
        </is>
      </c>
      <c r="E1125" t="inlineStr">
        <is>
          <t>HÄRJEDALEN</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45684-2023</t>
        </is>
      </c>
      <c r="B1126" s="1" t="n">
        <v>45195</v>
      </c>
      <c r="C1126" s="1" t="n">
        <v>45728</v>
      </c>
      <c r="D1126" t="inlineStr">
        <is>
          <t>JÄMTLANDS LÄN</t>
        </is>
      </c>
      <c r="E1126" t="inlineStr">
        <is>
          <t>HÄRJEDALEN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45716-2023</t>
        </is>
      </c>
      <c r="B1127" s="1" t="n">
        <v>45195</v>
      </c>
      <c r="C1127" s="1" t="n">
        <v>45728</v>
      </c>
      <c r="D1127" t="inlineStr">
        <is>
          <t>JÄMTLANDS LÄN</t>
        </is>
      </c>
      <c r="E1127" t="inlineStr">
        <is>
          <t>HÄRJEDALEN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45720-2023</t>
        </is>
      </c>
      <c r="B1128" s="1" t="n">
        <v>45195</v>
      </c>
      <c r="C1128" s="1" t="n">
        <v>45728</v>
      </c>
      <c r="D1128" t="inlineStr">
        <is>
          <t>JÄMTLANDS LÄN</t>
        </is>
      </c>
      <c r="E1128" t="inlineStr">
        <is>
          <t>HÄRJEDALEN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45747-2023</t>
        </is>
      </c>
      <c r="B1129" s="1" t="n">
        <v>45195</v>
      </c>
      <c r="C1129" s="1" t="n">
        <v>45728</v>
      </c>
      <c r="D1129" t="inlineStr">
        <is>
          <t>JÄMTLANDS LÄN</t>
        </is>
      </c>
      <c r="E1129" t="inlineStr">
        <is>
          <t>HÄRJEDALEN</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45864-2023</t>
        </is>
      </c>
      <c r="B1130" s="1" t="n">
        <v>45195</v>
      </c>
      <c r="C1130" s="1" t="n">
        <v>45728</v>
      </c>
      <c r="D1130" t="inlineStr">
        <is>
          <t>JÄMTLANDS LÄN</t>
        </is>
      </c>
      <c r="E1130" t="inlineStr">
        <is>
          <t>HÄRJEDALEN</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45843-2023</t>
        </is>
      </c>
      <c r="B1131" s="1" t="n">
        <v>45195</v>
      </c>
      <c r="C1131" s="1" t="n">
        <v>45728</v>
      </c>
      <c r="D1131" t="inlineStr">
        <is>
          <t>JÄMTLANDS LÄN</t>
        </is>
      </c>
      <c r="E1131" t="inlineStr">
        <is>
          <t>HÄRJEDALEN</t>
        </is>
      </c>
      <c r="G1131" t="n">
        <v>19.5</v>
      </c>
      <c r="H1131" t="n">
        <v>0</v>
      </c>
      <c r="I1131" t="n">
        <v>0</v>
      </c>
      <c r="J1131" t="n">
        <v>0</v>
      </c>
      <c r="K1131" t="n">
        <v>0</v>
      </c>
      <c r="L1131" t="n">
        <v>0</v>
      </c>
      <c r="M1131" t="n">
        <v>0</v>
      </c>
      <c r="N1131" t="n">
        <v>0</v>
      </c>
      <c r="O1131" t="n">
        <v>0</v>
      </c>
      <c r="P1131" t="n">
        <v>0</v>
      </c>
      <c r="Q1131" t="n">
        <v>0</v>
      </c>
      <c r="R1131" s="2" t="inlineStr"/>
    </row>
    <row r="1132" ht="15" customHeight="1">
      <c r="A1132" t="inlineStr">
        <is>
          <t>A 45999-2023</t>
        </is>
      </c>
      <c r="B1132" s="1" t="n">
        <v>45196</v>
      </c>
      <c r="C1132" s="1" t="n">
        <v>45728</v>
      </c>
      <c r="D1132" t="inlineStr">
        <is>
          <t>JÄMTLANDS LÄN</t>
        </is>
      </c>
      <c r="E1132" t="inlineStr">
        <is>
          <t>HÄRJEDALEN</t>
        </is>
      </c>
      <c r="F1132" t="inlineStr">
        <is>
          <t>Bergvik skog väst AB</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46383-2023</t>
        </is>
      </c>
      <c r="B1133" s="1" t="n">
        <v>45197</v>
      </c>
      <c r="C1133" s="1" t="n">
        <v>45728</v>
      </c>
      <c r="D1133" t="inlineStr">
        <is>
          <t>JÄMTLANDS LÄN</t>
        </is>
      </c>
      <c r="E1133" t="inlineStr">
        <is>
          <t>HÄRJEDALEN</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46394-2023</t>
        </is>
      </c>
      <c r="B1134" s="1" t="n">
        <v>45197</v>
      </c>
      <c r="C1134" s="1" t="n">
        <v>45728</v>
      </c>
      <c r="D1134" t="inlineStr">
        <is>
          <t>JÄMTLANDS LÄN</t>
        </is>
      </c>
      <c r="E1134" t="inlineStr">
        <is>
          <t>HÄRJEDALEN</t>
        </is>
      </c>
      <c r="F1134" t="inlineStr">
        <is>
          <t>Bergvik skog väst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46977-2023</t>
        </is>
      </c>
      <c r="B1135" s="1" t="n">
        <v>45201</v>
      </c>
      <c r="C1135" s="1" t="n">
        <v>45728</v>
      </c>
      <c r="D1135" t="inlineStr">
        <is>
          <t>JÄMTLANDS LÄN</t>
        </is>
      </c>
      <c r="E1135" t="inlineStr">
        <is>
          <t>HÄRJEDALEN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46993-2023</t>
        </is>
      </c>
      <c r="B1136" s="1" t="n">
        <v>45201</v>
      </c>
      <c r="C1136" s="1" t="n">
        <v>45728</v>
      </c>
      <c r="D1136" t="inlineStr">
        <is>
          <t>JÄMTLANDS LÄN</t>
        </is>
      </c>
      <c r="E1136" t="inlineStr">
        <is>
          <t>HÄRJEDALEN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47095-2023</t>
        </is>
      </c>
      <c r="B1137" s="1" t="n">
        <v>45201</v>
      </c>
      <c r="C1137" s="1" t="n">
        <v>45728</v>
      </c>
      <c r="D1137" t="inlineStr">
        <is>
          <t>JÄMTLANDS LÄN</t>
        </is>
      </c>
      <c r="E1137" t="inlineStr">
        <is>
          <t>HÄRJEDALEN</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47244-2023</t>
        </is>
      </c>
      <c r="B1138" s="1" t="n">
        <v>45202</v>
      </c>
      <c r="C1138" s="1" t="n">
        <v>45728</v>
      </c>
      <c r="D1138" t="inlineStr">
        <is>
          <t>JÄMTLANDS LÄN</t>
        </is>
      </c>
      <c r="E1138" t="inlineStr">
        <is>
          <t>HÄRJEDALEN</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47546-2023</t>
        </is>
      </c>
      <c r="B1139" s="1" t="n">
        <v>45203</v>
      </c>
      <c r="C1139" s="1" t="n">
        <v>45728</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47705-2023</t>
        </is>
      </c>
      <c r="B1140" s="1" t="n">
        <v>45203</v>
      </c>
      <c r="C1140" s="1" t="n">
        <v>45728</v>
      </c>
      <c r="D1140" t="inlineStr">
        <is>
          <t>JÄMTLANDS LÄN</t>
        </is>
      </c>
      <c r="E1140" t="inlineStr">
        <is>
          <t>HÄRJEDALEN</t>
        </is>
      </c>
      <c r="F1140" t="inlineStr">
        <is>
          <t>Bergvik skog väst AB</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47510-2023</t>
        </is>
      </c>
      <c r="B1141" s="1" t="n">
        <v>45203</v>
      </c>
      <c r="C1141" s="1" t="n">
        <v>45728</v>
      </c>
      <c r="D1141" t="inlineStr">
        <is>
          <t>JÄMTLANDS LÄN</t>
        </is>
      </c>
      <c r="E1141" t="inlineStr">
        <is>
          <t>HÄRJEDALEN</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47795-2023</t>
        </is>
      </c>
      <c r="B1142" s="1" t="n">
        <v>45204</v>
      </c>
      <c r="C1142" s="1" t="n">
        <v>45728</v>
      </c>
      <c r="D1142" t="inlineStr">
        <is>
          <t>JÄMTLANDS LÄN</t>
        </is>
      </c>
      <c r="E1142" t="inlineStr">
        <is>
          <t>HÄRJEDALEN</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48669-2023</t>
        </is>
      </c>
      <c r="B1143" s="1" t="n">
        <v>45203</v>
      </c>
      <c r="C1143" s="1" t="n">
        <v>45728</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47955-2023</t>
        </is>
      </c>
      <c r="B1144" s="1" t="n">
        <v>45204</v>
      </c>
      <c r="C1144" s="1" t="n">
        <v>45728</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48051-2023</t>
        </is>
      </c>
      <c r="B1145" s="1" t="n">
        <v>45204</v>
      </c>
      <c r="C1145" s="1" t="n">
        <v>45728</v>
      </c>
      <c r="D1145" t="inlineStr">
        <is>
          <t>JÄMTLANDS LÄN</t>
        </is>
      </c>
      <c r="E1145" t="inlineStr">
        <is>
          <t>HÄRJEDALEN</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48050-2023</t>
        </is>
      </c>
      <c r="B1146" s="1" t="n">
        <v>45204</v>
      </c>
      <c r="C1146" s="1" t="n">
        <v>45728</v>
      </c>
      <c r="D1146" t="inlineStr">
        <is>
          <t>JÄMTLANDS LÄN</t>
        </is>
      </c>
      <c r="E1146" t="inlineStr">
        <is>
          <t>HÄRJEDALEN</t>
        </is>
      </c>
      <c r="G1146" t="n">
        <v>19.2</v>
      </c>
      <c r="H1146" t="n">
        <v>0</v>
      </c>
      <c r="I1146" t="n">
        <v>0</v>
      </c>
      <c r="J1146" t="n">
        <v>0</v>
      </c>
      <c r="K1146" t="n">
        <v>0</v>
      </c>
      <c r="L1146" t="n">
        <v>0</v>
      </c>
      <c r="M1146" t="n">
        <v>0</v>
      </c>
      <c r="N1146" t="n">
        <v>0</v>
      </c>
      <c r="O1146" t="n">
        <v>0</v>
      </c>
      <c r="P1146" t="n">
        <v>0</v>
      </c>
      <c r="Q1146" t="n">
        <v>0</v>
      </c>
      <c r="R1146" s="2" t="inlineStr"/>
    </row>
    <row r="1147" ht="15" customHeight="1">
      <c r="A1147" t="inlineStr">
        <is>
          <t>A 48048-2023</t>
        </is>
      </c>
      <c r="B1147" s="1" t="n">
        <v>45204</v>
      </c>
      <c r="C1147" s="1" t="n">
        <v>45728</v>
      </c>
      <c r="D1147" t="inlineStr">
        <is>
          <t>JÄMTLANDS LÄN</t>
        </is>
      </c>
      <c r="E1147" t="inlineStr">
        <is>
          <t>HÄRJEDALEN</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48100-2023</t>
        </is>
      </c>
      <c r="B1148" s="1" t="n">
        <v>45205</v>
      </c>
      <c r="C1148" s="1" t="n">
        <v>45728</v>
      </c>
      <c r="D1148" t="inlineStr">
        <is>
          <t>JÄMTLANDS LÄN</t>
        </is>
      </c>
      <c r="E1148" t="inlineStr">
        <is>
          <t>HÄRJEDALEN</t>
        </is>
      </c>
      <c r="F1148" t="inlineStr">
        <is>
          <t>Bergvik skog väst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48213-2023</t>
        </is>
      </c>
      <c r="B1149" s="1" t="n">
        <v>45205</v>
      </c>
      <c r="C1149" s="1" t="n">
        <v>45728</v>
      </c>
      <c r="D1149" t="inlineStr">
        <is>
          <t>JÄMTLANDS LÄN</t>
        </is>
      </c>
      <c r="E1149" t="inlineStr">
        <is>
          <t>HÄRJEDALEN</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48179-2023</t>
        </is>
      </c>
      <c r="B1150" s="1" t="n">
        <v>45205</v>
      </c>
      <c r="C1150" s="1" t="n">
        <v>45728</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48299-2023</t>
        </is>
      </c>
      <c r="B1151" s="1" t="n">
        <v>45205</v>
      </c>
      <c r="C1151" s="1" t="n">
        <v>45728</v>
      </c>
      <c r="D1151" t="inlineStr">
        <is>
          <t>JÄMTLANDS LÄN</t>
        </is>
      </c>
      <c r="E1151" t="inlineStr">
        <is>
          <t>HÄRJEDALEN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48318-2023</t>
        </is>
      </c>
      <c r="B1152" s="1" t="n">
        <v>45205</v>
      </c>
      <c r="C1152" s="1" t="n">
        <v>45728</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48226-2023</t>
        </is>
      </c>
      <c r="B1153" s="1" t="n">
        <v>45205</v>
      </c>
      <c r="C1153" s="1" t="n">
        <v>45728</v>
      </c>
      <c r="D1153" t="inlineStr">
        <is>
          <t>JÄMTLANDS LÄN</t>
        </is>
      </c>
      <c r="E1153" t="inlineStr">
        <is>
          <t>HÄRJEDALEN</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48364-2023</t>
        </is>
      </c>
      <c r="B1154" s="1" t="n">
        <v>45205</v>
      </c>
      <c r="C1154" s="1" t="n">
        <v>45728</v>
      </c>
      <c r="D1154" t="inlineStr">
        <is>
          <t>JÄMTLANDS LÄN</t>
        </is>
      </c>
      <c r="E1154" t="inlineStr">
        <is>
          <t>HÄRJEDALEN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48438-2023</t>
        </is>
      </c>
      <c r="B1155" s="1" t="n">
        <v>45205</v>
      </c>
      <c r="C1155" s="1" t="n">
        <v>45728</v>
      </c>
      <c r="D1155" t="inlineStr">
        <is>
          <t>JÄMTLANDS LÄN</t>
        </is>
      </c>
      <c r="E1155" t="inlineStr">
        <is>
          <t>HÄRJEDALEN</t>
        </is>
      </c>
      <c r="F1155" t="inlineStr">
        <is>
          <t>SCA</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48201-2023</t>
        </is>
      </c>
      <c r="B1156" s="1" t="n">
        <v>45205</v>
      </c>
      <c r="C1156" s="1" t="n">
        <v>45728</v>
      </c>
      <c r="D1156" t="inlineStr">
        <is>
          <t>JÄMTLANDS LÄN</t>
        </is>
      </c>
      <c r="E1156" t="inlineStr">
        <is>
          <t>HÄRJEDALEN</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48485-2023</t>
        </is>
      </c>
      <c r="B1157" s="1" t="n">
        <v>45206</v>
      </c>
      <c r="C1157" s="1" t="n">
        <v>45728</v>
      </c>
      <c r="D1157" t="inlineStr">
        <is>
          <t>JÄMTLANDS LÄN</t>
        </is>
      </c>
      <c r="E1157" t="inlineStr">
        <is>
          <t>HÄRJEDALEN</t>
        </is>
      </c>
      <c r="F1157" t="inlineStr">
        <is>
          <t>SCA</t>
        </is>
      </c>
      <c r="G1157" t="n">
        <v>23.3</v>
      </c>
      <c r="H1157" t="n">
        <v>0</v>
      </c>
      <c r="I1157" t="n">
        <v>0</v>
      </c>
      <c r="J1157" t="n">
        <v>0</v>
      </c>
      <c r="K1157" t="n">
        <v>0</v>
      </c>
      <c r="L1157" t="n">
        <v>0</v>
      </c>
      <c r="M1157" t="n">
        <v>0</v>
      </c>
      <c r="N1157" t="n">
        <v>0</v>
      </c>
      <c r="O1157" t="n">
        <v>0</v>
      </c>
      <c r="P1157" t="n">
        <v>0</v>
      </c>
      <c r="Q1157" t="n">
        <v>0</v>
      </c>
      <c r="R1157" s="2" t="inlineStr"/>
    </row>
    <row r="1158" ht="15" customHeight="1">
      <c r="A1158" t="inlineStr">
        <is>
          <t>A 48583-2023</t>
        </is>
      </c>
      <c r="B1158" s="1" t="n">
        <v>45208</v>
      </c>
      <c r="C1158" s="1" t="n">
        <v>45728</v>
      </c>
      <c r="D1158" t="inlineStr">
        <is>
          <t>JÄMTLANDS LÄN</t>
        </is>
      </c>
      <c r="E1158" t="inlineStr">
        <is>
          <t>HÄRJEDALEN</t>
        </is>
      </c>
      <c r="F1158" t="inlineStr">
        <is>
          <t>Holmen skog AB</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48675-2023</t>
        </is>
      </c>
      <c r="B1159" s="1" t="n">
        <v>45208</v>
      </c>
      <c r="C1159" s="1" t="n">
        <v>45728</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48689-2023</t>
        </is>
      </c>
      <c r="B1160" s="1" t="n">
        <v>45208</v>
      </c>
      <c r="C1160" s="1" t="n">
        <v>45728</v>
      </c>
      <c r="D1160" t="inlineStr">
        <is>
          <t>JÄMTLANDS LÄN</t>
        </is>
      </c>
      <c r="E1160" t="inlineStr">
        <is>
          <t>HÄRJEDALEN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48708-2023</t>
        </is>
      </c>
      <c r="B1161" s="1" t="n">
        <v>45208</v>
      </c>
      <c r="C1161" s="1" t="n">
        <v>45728</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48854-2023</t>
        </is>
      </c>
      <c r="B1162" s="1" t="n">
        <v>45209</v>
      </c>
      <c r="C1162" s="1" t="n">
        <v>45728</v>
      </c>
      <c r="D1162" t="inlineStr">
        <is>
          <t>JÄMTLANDS LÄN</t>
        </is>
      </c>
      <c r="E1162" t="inlineStr">
        <is>
          <t>HÄRJEDALEN</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48867-2023</t>
        </is>
      </c>
      <c r="B1163" s="1" t="n">
        <v>45209</v>
      </c>
      <c r="C1163" s="1" t="n">
        <v>45728</v>
      </c>
      <c r="D1163" t="inlineStr">
        <is>
          <t>JÄMTLANDS LÄN</t>
        </is>
      </c>
      <c r="E1163" t="inlineStr">
        <is>
          <t>HÄRJEDALEN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49120-2023</t>
        </is>
      </c>
      <c r="B1164" s="1" t="n">
        <v>45210</v>
      </c>
      <c r="C1164" s="1" t="n">
        <v>45728</v>
      </c>
      <c r="D1164" t="inlineStr">
        <is>
          <t>JÄMTLANDS LÄN</t>
        </is>
      </c>
      <c r="E1164" t="inlineStr">
        <is>
          <t>HÄRJEDALEN</t>
        </is>
      </c>
      <c r="G1164" t="n">
        <v>38.2</v>
      </c>
      <c r="H1164" t="n">
        <v>0</v>
      </c>
      <c r="I1164" t="n">
        <v>0</v>
      </c>
      <c r="J1164" t="n">
        <v>0</v>
      </c>
      <c r="K1164" t="n">
        <v>0</v>
      </c>
      <c r="L1164" t="n">
        <v>0</v>
      </c>
      <c r="M1164" t="n">
        <v>0</v>
      </c>
      <c r="N1164" t="n">
        <v>0</v>
      </c>
      <c r="O1164" t="n">
        <v>0</v>
      </c>
      <c r="P1164" t="n">
        <v>0</v>
      </c>
      <c r="Q1164" t="n">
        <v>0</v>
      </c>
      <c r="R1164" s="2" t="inlineStr"/>
    </row>
    <row r="1165" ht="15" customHeight="1">
      <c r="A1165" t="inlineStr">
        <is>
          <t>A 49134-2023</t>
        </is>
      </c>
      <c r="B1165" s="1" t="n">
        <v>45210</v>
      </c>
      <c r="C1165" s="1" t="n">
        <v>45728</v>
      </c>
      <c r="D1165" t="inlineStr">
        <is>
          <t>JÄMTLANDS LÄN</t>
        </is>
      </c>
      <c r="E1165" t="inlineStr">
        <is>
          <t>HÄRJEDALEN</t>
        </is>
      </c>
      <c r="G1165" t="n">
        <v>25.8</v>
      </c>
      <c r="H1165" t="n">
        <v>0</v>
      </c>
      <c r="I1165" t="n">
        <v>0</v>
      </c>
      <c r="J1165" t="n">
        <v>0</v>
      </c>
      <c r="K1165" t="n">
        <v>0</v>
      </c>
      <c r="L1165" t="n">
        <v>0</v>
      </c>
      <c r="M1165" t="n">
        <v>0</v>
      </c>
      <c r="N1165" t="n">
        <v>0</v>
      </c>
      <c r="O1165" t="n">
        <v>0</v>
      </c>
      <c r="P1165" t="n">
        <v>0</v>
      </c>
      <c r="Q1165" t="n">
        <v>0</v>
      </c>
      <c r="R1165" s="2" t="inlineStr"/>
    </row>
    <row r="1166" ht="15" customHeight="1">
      <c r="A1166" t="inlineStr">
        <is>
          <t>A 49712-2023</t>
        </is>
      </c>
      <c r="B1166" s="1" t="n">
        <v>45212</v>
      </c>
      <c r="C1166" s="1" t="n">
        <v>45728</v>
      </c>
      <c r="D1166" t="inlineStr">
        <is>
          <t>JÄMTLANDS LÄN</t>
        </is>
      </c>
      <c r="E1166" t="inlineStr">
        <is>
          <t>HÄRJEDALEN</t>
        </is>
      </c>
      <c r="G1166" t="n">
        <v>42.9</v>
      </c>
      <c r="H1166" t="n">
        <v>0</v>
      </c>
      <c r="I1166" t="n">
        <v>0</v>
      </c>
      <c r="J1166" t="n">
        <v>0</v>
      </c>
      <c r="K1166" t="n">
        <v>0</v>
      </c>
      <c r="L1166" t="n">
        <v>0</v>
      </c>
      <c r="M1166" t="n">
        <v>0</v>
      </c>
      <c r="N1166" t="n">
        <v>0</v>
      </c>
      <c r="O1166" t="n">
        <v>0</v>
      </c>
      <c r="P1166" t="n">
        <v>0</v>
      </c>
      <c r="Q1166" t="n">
        <v>0</v>
      </c>
      <c r="R1166" s="2" t="inlineStr"/>
    </row>
    <row r="1167" ht="15" customHeight="1">
      <c r="A1167" t="inlineStr">
        <is>
          <t>A 49792-2023</t>
        </is>
      </c>
      <c r="B1167" s="1" t="n">
        <v>45212</v>
      </c>
      <c r="C1167" s="1" t="n">
        <v>45728</v>
      </c>
      <c r="D1167" t="inlineStr">
        <is>
          <t>JÄMTLANDS LÄN</t>
        </is>
      </c>
      <c r="E1167" t="inlineStr">
        <is>
          <t>HÄRJEDALEN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49969-2023</t>
        </is>
      </c>
      <c r="B1168" s="1" t="n">
        <v>45215</v>
      </c>
      <c r="C1168" s="1" t="n">
        <v>45728</v>
      </c>
      <c r="D1168" t="inlineStr">
        <is>
          <t>JÄMTLANDS LÄN</t>
        </is>
      </c>
      <c r="E1168" t="inlineStr">
        <is>
          <t>HÄRJEDALEN</t>
        </is>
      </c>
      <c r="G1168" t="n">
        <v>43.7</v>
      </c>
      <c r="H1168" t="n">
        <v>0</v>
      </c>
      <c r="I1168" t="n">
        <v>0</v>
      </c>
      <c r="J1168" t="n">
        <v>0</v>
      </c>
      <c r="K1168" t="n">
        <v>0</v>
      </c>
      <c r="L1168" t="n">
        <v>0</v>
      </c>
      <c r="M1168" t="n">
        <v>0</v>
      </c>
      <c r="N1168" t="n">
        <v>0</v>
      </c>
      <c r="O1168" t="n">
        <v>0</v>
      </c>
      <c r="P1168" t="n">
        <v>0</v>
      </c>
      <c r="Q1168" t="n">
        <v>0</v>
      </c>
      <c r="R1168" s="2" t="inlineStr"/>
    </row>
    <row r="1169" ht="15" customHeight="1">
      <c r="A1169" t="inlineStr">
        <is>
          <t>A 50360-2023</t>
        </is>
      </c>
      <c r="B1169" s="1" t="n">
        <v>45216</v>
      </c>
      <c r="C1169" s="1" t="n">
        <v>45728</v>
      </c>
      <c r="D1169" t="inlineStr">
        <is>
          <t>JÄMTLANDS LÄN</t>
        </is>
      </c>
      <c r="E1169" t="inlineStr">
        <is>
          <t>HÄRJEDALEN</t>
        </is>
      </c>
      <c r="F1169" t="inlineStr">
        <is>
          <t>Bergvik skog väst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50331-2023</t>
        </is>
      </c>
      <c r="B1170" s="1" t="n">
        <v>45216</v>
      </c>
      <c r="C1170" s="1" t="n">
        <v>45728</v>
      </c>
      <c r="D1170" t="inlineStr">
        <is>
          <t>JÄMTLANDS LÄN</t>
        </is>
      </c>
      <c r="E1170" t="inlineStr">
        <is>
          <t>HÄRJEDALEN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50291-2023</t>
        </is>
      </c>
      <c r="B1171" s="1" t="n">
        <v>45216</v>
      </c>
      <c r="C1171" s="1" t="n">
        <v>45728</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50424-2023</t>
        </is>
      </c>
      <c r="B1172" s="1" t="n">
        <v>45216</v>
      </c>
      <c r="C1172" s="1" t="n">
        <v>45728</v>
      </c>
      <c r="D1172" t="inlineStr">
        <is>
          <t>JÄMTLANDS LÄN</t>
        </is>
      </c>
      <c r="E1172" t="inlineStr">
        <is>
          <t>HÄRJEDALEN</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50328-2023</t>
        </is>
      </c>
      <c r="B1173" s="1" t="n">
        <v>45216</v>
      </c>
      <c r="C1173" s="1" t="n">
        <v>45728</v>
      </c>
      <c r="D1173" t="inlineStr">
        <is>
          <t>JÄMTLANDS LÄN</t>
        </is>
      </c>
      <c r="E1173" t="inlineStr">
        <is>
          <t>HÄRJEDALEN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50539-2023</t>
        </is>
      </c>
      <c r="B1174" s="1" t="n">
        <v>45217</v>
      </c>
      <c r="C1174" s="1" t="n">
        <v>45728</v>
      </c>
      <c r="D1174" t="inlineStr">
        <is>
          <t>JÄMTLANDS LÄN</t>
        </is>
      </c>
      <c r="E1174" t="inlineStr">
        <is>
          <t>HÄRJEDALEN</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51017-2023</t>
        </is>
      </c>
      <c r="B1175" s="1" t="n">
        <v>45218</v>
      </c>
      <c r="C1175" s="1" t="n">
        <v>45728</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51351-2023</t>
        </is>
      </c>
      <c r="B1176" s="1" t="n">
        <v>45219</v>
      </c>
      <c r="C1176" s="1" t="n">
        <v>45728</v>
      </c>
      <c r="D1176" t="inlineStr">
        <is>
          <t>JÄMTLANDS LÄN</t>
        </is>
      </c>
      <c r="E1176" t="inlineStr">
        <is>
          <t>HÄRJEDALEN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51898-2023</t>
        </is>
      </c>
      <c r="B1177" s="1" t="n">
        <v>45223</v>
      </c>
      <c r="C1177" s="1" t="n">
        <v>45728</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52565-2023</t>
        </is>
      </c>
      <c r="B1178" s="1" t="n">
        <v>45225</v>
      </c>
      <c r="C1178" s="1" t="n">
        <v>45728</v>
      </c>
      <c r="D1178" t="inlineStr">
        <is>
          <t>JÄMTLANDS LÄN</t>
        </is>
      </c>
      <c r="E1178" t="inlineStr">
        <is>
          <t>HÄRJEDALEN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52554-2023</t>
        </is>
      </c>
      <c r="B1179" s="1" t="n">
        <v>45225</v>
      </c>
      <c r="C1179" s="1" t="n">
        <v>45728</v>
      </c>
      <c r="D1179" t="inlineStr">
        <is>
          <t>JÄMTLANDS LÄN</t>
        </is>
      </c>
      <c r="E1179" t="inlineStr">
        <is>
          <t>HÄRJEDALEN</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52567-2023</t>
        </is>
      </c>
      <c r="B1180" s="1" t="n">
        <v>45225</v>
      </c>
      <c r="C1180" s="1" t="n">
        <v>45728</v>
      </c>
      <c r="D1180" t="inlineStr">
        <is>
          <t>JÄMTLANDS LÄN</t>
        </is>
      </c>
      <c r="E1180" t="inlineStr">
        <is>
          <t>HÄRJEDALEN</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52683-2023</t>
        </is>
      </c>
      <c r="B1181" s="1" t="n">
        <v>45225</v>
      </c>
      <c r="C1181" s="1" t="n">
        <v>45728</v>
      </c>
      <c r="D1181" t="inlineStr">
        <is>
          <t>JÄMTLANDS LÄN</t>
        </is>
      </c>
      <c r="E1181" t="inlineStr">
        <is>
          <t>HÄRJEDALEN</t>
        </is>
      </c>
      <c r="F1181" t="inlineStr">
        <is>
          <t>Bergvik skog väst AB</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52741-2023</t>
        </is>
      </c>
      <c r="B1182" s="1" t="n">
        <v>45225</v>
      </c>
      <c r="C1182" s="1" t="n">
        <v>45728</v>
      </c>
      <c r="D1182" t="inlineStr">
        <is>
          <t>JÄMTLANDS LÄN</t>
        </is>
      </c>
      <c r="E1182" t="inlineStr">
        <is>
          <t>HÄRJEDALEN</t>
        </is>
      </c>
      <c r="F1182" t="inlineStr">
        <is>
          <t>SCA</t>
        </is>
      </c>
      <c r="G1182" t="n">
        <v>75.40000000000001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53003-2023</t>
        </is>
      </c>
      <c r="B1183" s="1" t="n">
        <v>45226</v>
      </c>
      <c r="C1183" s="1" t="n">
        <v>45728</v>
      </c>
      <c r="D1183" t="inlineStr">
        <is>
          <t>JÄMTLANDS LÄN</t>
        </is>
      </c>
      <c r="E1183" t="inlineStr">
        <is>
          <t>HÄRJEDALEN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53431-2023</t>
        </is>
      </c>
      <c r="B1184" s="1" t="n">
        <v>45229</v>
      </c>
      <c r="C1184" s="1" t="n">
        <v>45728</v>
      </c>
      <c r="D1184" t="inlineStr">
        <is>
          <t>JÄMTLANDS LÄN</t>
        </is>
      </c>
      <c r="E1184" t="inlineStr">
        <is>
          <t>HÄRJEDALEN</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53432-2023</t>
        </is>
      </c>
      <c r="B1185" s="1" t="n">
        <v>45229</v>
      </c>
      <c r="C1185" s="1" t="n">
        <v>45728</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53681-2023</t>
        </is>
      </c>
      <c r="B1186" s="1" t="n">
        <v>45230</v>
      </c>
      <c r="C1186" s="1" t="n">
        <v>45728</v>
      </c>
      <c r="D1186" t="inlineStr">
        <is>
          <t>JÄMTLANDS LÄN</t>
        </is>
      </c>
      <c r="E1186" t="inlineStr">
        <is>
          <t>HÄRJEDALEN</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53804-2023</t>
        </is>
      </c>
      <c r="B1187" s="1" t="n">
        <v>45231</v>
      </c>
      <c r="C1187" s="1" t="n">
        <v>45728</v>
      </c>
      <c r="D1187" t="inlineStr">
        <is>
          <t>JÄMTLANDS LÄN</t>
        </is>
      </c>
      <c r="E1187" t="inlineStr">
        <is>
          <t>HÄRJEDALEN</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53993-2023</t>
        </is>
      </c>
      <c r="B1188" s="1" t="n">
        <v>45231</v>
      </c>
      <c r="C1188" s="1" t="n">
        <v>45728</v>
      </c>
      <c r="D1188" t="inlineStr">
        <is>
          <t>JÄMTLANDS LÄN</t>
        </is>
      </c>
      <c r="E1188" t="inlineStr">
        <is>
          <t>HÄRJEDALEN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54382-2023</t>
        </is>
      </c>
      <c r="B1189" s="1" t="n">
        <v>45233</v>
      </c>
      <c r="C1189" s="1" t="n">
        <v>45728</v>
      </c>
      <c r="D1189" t="inlineStr">
        <is>
          <t>JÄMTLANDS LÄN</t>
        </is>
      </c>
      <c r="E1189" t="inlineStr">
        <is>
          <t>HÄRJEDALEN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55127-2023</t>
        </is>
      </c>
      <c r="B1190" s="1" t="n">
        <v>45237</v>
      </c>
      <c r="C1190" s="1" t="n">
        <v>45728</v>
      </c>
      <c r="D1190" t="inlineStr">
        <is>
          <t>JÄMTLANDS LÄN</t>
        </is>
      </c>
      <c r="E1190" t="inlineStr">
        <is>
          <t>HÄRJEDALEN</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55150-2023</t>
        </is>
      </c>
      <c r="B1191" s="1" t="n">
        <v>45237</v>
      </c>
      <c r="C1191" s="1" t="n">
        <v>45728</v>
      </c>
      <c r="D1191" t="inlineStr">
        <is>
          <t>JÄMTLANDS LÄN</t>
        </is>
      </c>
      <c r="E1191" t="inlineStr">
        <is>
          <t>HÄRJEDALEN</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55183-2023</t>
        </is>
      </c>
      <c r="B1192" s="1" t="n">
        <v>45237</v>
      </c>
      <c r="C1192" s="1" t="n">
        <v>45728</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55195-2023</t>
        </is>
      </c>
      <c r="B1193" s="1" t="n">
        <v>45237</v>
      </c>
      <c r="C1193" s="1" t="n">
        <v>45728</v>
      </c>
      <c r="D1193" t="inlineStr">
        <is>
          <t>JÄMTLANDS LÄN</t>
        </is>
      </c>
      <c r="E1193" t="inlineStr">
        <is>
          <t>HÄRJEDALEN</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55220-2023</t>
        </is>
      </c>
      <c r="B1194" s="1" t="n">
        <v>45237</v>
      </c>
      <c r="C1194" s="1" t="n">
        <v>45728</v>
      </c>
      <c r="D1194" t="inlineStr">
        <is>
          <t>JÄMTLANDS LÄN</t>
        </is>
      </c>
      <c r="E1194" t="inlineStr">
        <is>
          <t>HÄRJEDALEN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55180-2023</t>
        </is>
      </c>
      <c r="B1195" s="1" t="n">
        <v>45237</v>
      </c>
      <c r="C1195" s="1" t="n">
        <v>45728</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55185-2023</t>
        </is>
      </c>
      <c r="B1196" s="1" t="n">
        <v>45237</v>
      </c>
      <c r="C1196" s="1" t="n">
        <v>45728</v>
      </c>
      <c r="D1196" t="inlineStr">
        <is>
          <t>JÄMTLANDS LÄN</t>
        </is>
      </c>
      <c r="E1196" t="inlineStr">
        <is>
          <t>HÄRJEDALEN</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55189-2023</t>
        </is>
      </c>
      <c r="B1197" s="1" t="n">
        <v>45237</v>
      </c>
      <c r="C1197" s="1" t="n">
        <v>45728</v>
      </c>
      <c r="D1197" t="inlineStr">
        <is>
          <t>JÄMTLANDS LÄN</t>
        </is>
      </c>
      <c r="E1197" t="inlineStr">
        <is>
          <t>HÄRJEDALEN</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55193-2023</t>
        </is>
      </c>
      <c r="B1198" s="1" t="n">
        <v>45237</v>
      </c>
      <c r="C1198" s="1" t="n">
        <v>45728</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55500-2023</t>
        </is>
      </c>
      <c r="B1199" s="1" t="n">
        <v>45238</v>
      </c>
      <c r="C1199" s="1" t="n">
        <v>45728</v>
      </c>
      <c r="D1199" t="inlineStr">
        <is>
          <t>JÄMTLANDS LÄN</t>
        </is>
      </c>
      <c r="E1199" t="inlineStr">
        <is>
          <t>HÄRJEDALEN</t>
        </is>
      </c>
      <c r="F1199" t="inlineStr">
        <is>
          <t>Kyrkan</t>
        </is>
      </c>
      <c r="G1199" t="n">
        <v>81.2</v>
      </c>
      <c r="H1199" t="n">
        <v>0</v>
      </c>
      <c r="I1199" t="n">
        <v>0</v>
      </c>
      <c r="J1199" t="n">
        <v>0</v>
      </c>
      <c r="K1199" t="n">
        <v>0</v>
      </c>
      <c r="L1199" t="n">
        <v>0</v>
      </c>
      <c r="M1199" t="n">
        <v>0</v>
      </c>
      <c r="N1199" t="n">
        <v>0</v>
      </c>
      <c r="O1199" t="n">
        <v>0</v>
      </c>
      <c r="P1199" t="n">
        <v>0</v>
      </c>
      <c r="Q1199" t="n">
        <v>0</v>
      </c>
      <c r="R1199" s="2" t="inlineStr"/>
    </row>
    <row r="1200" ht="15" customHeight="1">
      <c r="A1200" t="inlineStr">
        <is>
          <t>A 55562-2023</t>
        </is>
      </c>
      <c r="B1200" s="1" t="n">
        <v>45238</v>
      </c>
      <c r="C1200" s="1" t="n">
        <v>45728</v>
      </c>
      <c r="D1200" t="inlineStr">
        <is>
          <t>JÄMTLANDS LÄN</t>
        </is>
      </c>
      <c r="E1200" t="inlineStr">
        <is>
          <t>HÄRJEDALEN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55463-2023</t>
        </is>
      </c>
      <c r="B1201" s="1" t="n">
        <v>45238</v>
      </c>
      <c r="C1201" s="1" t="n">
        <v>45728</v>
      </c>
      <c r="D1201" t="inlineStr">
        <is>
          <t>JÄMTLANDS LÄN</t>
        </is>
      </c>
      <c r="E1201" t="inlineStr">
        <is>
          <t>HÄRJEDALEN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55555-2023</t>
        </is>
      </c>
      <c r="B1202" s="1" t="n">
        <v>45238</v>
      </c>
      <c r="C1202" s="1" t="n">
        <v>45728</v>
      </c>
      <c r="D1202" t="inlineStr">
        <is>
          <t>JÄMTLANDS LÄN</t>
        </is>
      </c>
      <c r="E1202" t="inlineStr">
        <is>
          <t>HÄRJEDALEN</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55566-2023</t>
        </is>
      </c>
      <c r="B1203" s="1" t="n">
        <v>45238</v>
      </c>
      <c r="C1203" s="1" t="n">
        <v>45728</v>
      </c>
      <c r="D1203" t="inlineStr">
        <is>
          <t>JÄMTLANDS LÄN</t>
        </is>
      </c>
      <c r="E1203" t="inlineStr">
        <is>
          <t>HÄRJEDALEN</t>
        </is>
      </c>
      <c r="F1203" t="inlineStr">
        <is>
          <t>Bergvik skog väst AB</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55844-2023</t>
        </is>
      </c>
      <c r="B1204" s="1" t="n">
        <v>45239</v>
      </c>
      <c r="C1204" s="1" t="n">
        <v>45728</v>
      </c>
      <c r="D1204" t="inlineStr">
        <is>
          <t>JÄMTLANDS LÄN</t>
        </is>
      </c>
      <c r="E1204" t="inlineStr">
        <is>
          <t>HÄRJEDALEN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55736-2023</t>
        </is>
      </c>
      <c r="B1205" s="1" t="n">
        <v>45239</v>
      </c>
      <c r="C1205" s="1" t="n">
        <v>45728</v>
      </c>
      <c r="D1205" t="inlineStr">
        <is>
          <t>JÄMTLANDS LÄN</t>
        </is>
      </c>
      <c r="E1205" t="inlineStr">
        <is>
          <t>HÄRJEDALEN</t>
        </is>
      </c>
      <c r="F1205" t="inlineStr">
        <is>
          <t>Holmen skog AB</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55766-2023</t>
        </is>
      </c>
      <c r="B1206" s="1" t="n">
        <v>45239</v>
      </c>
      <c r="C1206" s="1" t="n">
        <v>45728</v>
      </c>
      <c r="D1206" t="inlineStr">
        <is>
          <t>JÄMTLANDS LÄN</t>
        </is>
      </c>
      <c r="E1206" t="inlineStr">
        <is>
          <t>HÄRJEDALEN</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55834-2023</t>
        </is>
      </c>
      <c r="B1207" s="1" t="n">
        <v>45239</v>
      </c>
      <c r="C1207" s="1" t="n">
        <v>45728</v>
      </c>
      <c r="D1207" t="inlineStr">
        <is>
          <t>JÄMTLANDS LÄN</t>
        </is>
      </c>
      <c r="E1207" t="inlineStr">
        <is>
          <t>HÄRJEDALEN</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56013-2023</t>
        </is>
      </c>
      <c r="B1208" s="1" t="n">
        <v>45240</v>
      </c>
      <c r="C1208" s="1" t="n">
        <v>45728</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56512-2023</t>
        </is>
      </c>
      <c r="B1209" s="1" t="n">
        <v>45243</v>
      </c>
      <c r="C1209" s="1" t="n">
        <v>45728</v>
      </c>
      <c r="D1209" t="inlineStr">
        <is>
          <t>JÄMTLANDS LÄN</t>
        </is>
      </c>
      <c r="E1209" t="inlineStr">
        <is>
          <t>HÄRJEDALEN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56587-2023</t>
        </is>
      </c>
      <c r="B1210" s="1" t="n">
        <v>45243</v>
      </c>
      <c r="C1210" s="1" t="n">
        <v>45728</v>
      </c>
      <c r="D1210" t="inlineStr">
        <is>
          <t>JÄMTLANDS LÄN</t>
        </is>
      </c>
      <c r="E1210" t="inlineStr">
        <is>
          <t>HÄRJEDALEN</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56909-2023</t>
        </is>
      </c>
      <c r="B1211" s="1" t="n">
        <v>45244</v>
      </c>
      <c r="C1211" s="1" t="n">
        <v>45728</v>
      </c>
      <c r="D1211" t="inlineStr">
        <is>
          <t>JÄMTLANDS LÄN</t>
        </is>
      </c>
      <c r="E1211" t="inlineStr">
        <is>
          <t>HÄRJEDALEN</t>
        </is>
      </c>
      <c r="F1211" t="inlineStr">
        <is>
          <t>Bergvik skog väst AB</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56912-2023</t>
        </is>
      </c>
      <c r="B1212" s="1" t="n">
        <v>45244</v>
      </c>
      <c r="C1212" s="1" t="n">
        <v>45728</v>
      </c>
      <c r="D1212" t="inlineStr">
        <is>
          <t>JÄMTLANDS LÄN</t>
        </is>
      </c>
      <c r="E1212" t="inlineStr">
        <is>
          <t>HÄRJEDALEN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56906-2023</t>
        </is>
      </c>
      <c r="B1213" s="1" t="n">
        <v>45244</v>
      </c>
      <c r="C1213" s="1" t="n">
        <v>45728</v>
      </c>
      <c r="D1213" t="inlineStr">
        <is>
          <t>JÄMTLANDS LÄN</t>
        </is>
      </c>
      <c r="E1213" t="inlineStr">
        <is>
          <t>HÄRJEDALEN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57313-2023</t>
        </is>
      </c>
      <c r="B1214" s="1" t="n">
        <v>45245</v>
      </c>
      <c r="C1214" s="1" t="n">
        <v>45728</v>
      </c>
      <c r="D1214" t="inlineStr">
        <is>
          <t>JÄMTLANDS LÄN</t>
        </is>
      </c>
      <c r="E1214" t="inlineStr">
        <is>
          <t>HÄRJEDALEN</t>
        </is>
      </c>
      <c r="F1214" t="inlineStr">
        <is>
          <t>Bergvik skog väst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57099-2023</t>
        </is>
      </c>
      <c r="B1215" s="1" t="n">
        <v>45245</v>
      </c>
      <c r="C1215" s="1" t="n">
        <v>45728</v>
      </c>
      <c r="D1215" t="inlineStr">
        <is>
          <t>JÄMTLANDS LÄN</t>
        </is>
      </c>
      <c r="E1215" t="inlineStr">
        <is>
          <t>HÄRJEDALEN</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57181-2023</t>
        </is>
      </c>
      <c r="B1216" s="1" t="n">
        <v>45245</v>
      </c>
      <c r="C1216" s="1" t="n">
        <v>45728</v>
      </c>
      <c r="D1216" t="inlineStr">
        <is>
          <t>JÄMTLANDS LÄN</t>
        </is>
      </c>
      <c r="E1216" t="inlineStr">
        <is>
          <t>HÄRJEDALEN</t>
        </is>
      </c>
      <c r="F1216" t="inlineStr">
        <is>
          <t>Bergvik skog väst AB</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57202-2023</t>
        </is>
      </c>
      <c r="B1217" s="1" t="n">
        <v>45245</v>
      </c>
      <c r="C1217" s="1" t="n">
        <v>45728</v>
      </c>
      <c r="D1217" t="inlineStr">
        <is>
          <t>JÄMTLANDS LÄN</t>
        </is>
      </c>
      <c r="E1217" t="inlineStr">
        <is>
          <t>HÄRJEDALEN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57140-2023</t>
        </is>
      </c>
      <c r="B1218" s="1" t="n">
        <v>45245</v>
      </c>
      <c r="C1218" s="1" t="n">
        <v>45728</v>
      </c>
      <c r="D1218" t="inlineStr">
        <is>
          <t>JÄMTLANDS LÄN</t>
        </is>
      </c>
      <c r="E1218" t="inlineStr">
        <is>
          <t>HÄRJEDALEN</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57281-2023</t>
        </is>
      </c>
      <c r="B1219" s="1" t="n">
        <v>45245</v>
      </c>
      <c r="C1219" s="1" t="n">
        <v>45728</v>
      </c>
      <c r="D1219" t="inlineStr">
        <is>
          <t>JÄMTLANDS LÄN</t>
        </is>
      </c>
      <c r="E1219" t="inlineStr">
        <is>
          <t>HÄRJEDALEN</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57661-2023</t>
        </is>
      </c>
      <c r="B1220" s="1" t="n">
        <v>45246</v>
      </c>
      <c r="C1220" s="1" t="n">
        <v>45728</v>
      </c>
      <c r="D1220" t="inlineStr">
        <is>
          <t>JÄMTLANDS LÄN</t>
        </is>
      </c>
      <c r="E1220" t="inlineStr">
        <is>
          <t>HÄRJEDALEN</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58146-2023</t>
        </is>
      </c>
      <c r="B1221" s="1" t="n">
        <v>45250</v>
      </c>
      <c r="C1221" s="1" t="n">
        <v>45728</v>
      </c>
      <c r="D1221" t="inlineStr">
        <is>
          <t>JÄMTLANDS LÄN</t>
        </is>
      </c>
      <c r="E1221" t="inlineStr">
        <is>
          <t>HÄRJEDALEN</t>
        </is>
      </c>
      <c r="F1221" t="inlineStr">
        <is>
          <t>Bergvik skog väst AB</t>
        </is>
      </c>
      <c r="G1221" t="n">
        <v>15.9</v>
      </c>
      <c r="H1221" t="n">
        <v>0</v>
      </c>
      <c r="I1221" t="n">
        <v>0</v>
      </c>
      <c r="J1221" t="n">
        <v>0</v>
      </c>
      <c r="K1221" t="n">
        <v>0</v>
      </c>
      <c r="L1221" t="n">
        <v>0</v>
      </c>
      <c r="M1221" t="n">
        <v>0</v>
      </c>
      <c r="N1221" t="n">
        <v>0</v>
      </c>
      <c r="O1221" t="n">
        <v>0</v>
      </c>
      <c r="P1221" t="n">
        <v>0</v>
      </c>
      <c r="Q1221" t="n">
        <v>0</v>
      </c>
      <c r="R1221" s="2" t="inlineStr"/>
    </row>
    <row r="1222" ht="15" customHeight="1">
      <c r="A1222" t="inlineStr">
        <is>
          <t>A 58144-2023</t>
        </is>
      </c>
      <c r="B1222" s="1" t="n">
        <v>45250</v>
      </c>
      <c r="C1222" s="1" t="n">
        <v>45728</v>
      </c>
      <c r="D1222" t="inlineStr">
        <is>
          <t>JÄMTLANDS LÄN</t>
        </is>
      </c>
      <c r="E1222" t="inlineStr">
        <is>
          <t>HÄRJEDALEN</t>
        </is>
      </c>
      <c r="F1222" t="inlineStr">
        <is>
          <t>Bergvik skog väst AB</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58890-2023</t>
        </is>
      </c>
      <c r="B1223" s="1" t="n">
        <v>45252</v>
      </c>
      <c r="C1223" s="1" t="n">
        <v>45728</v>
      </c>
      <c r="D1223" t="inlineStr">
        <is>
          <t>JÄMTLANDS LÄN</t>
        </is>
      </c>
      <c r="E1223" t="inlineStr">
        <is>
          <t>HÄRJEDALEN</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58930-2023</t>
        </is>
      </c>
      <c r="B1224" s="1" t="n">
        <v>45252</v>
      </c>
      <c r="C1224" s="1" t="n">
        <v>45728</v>
      </c>
      <c r="D1224" t="inlineStr">
        <is>
          <t>JÄMTLANDS LÄN</t>
        </is>
      </c>
      <c r="E1224" t="inlineStr">
        <is>
          <t>HÄRJEDALEN</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58866-2023</t>
        </is>
      </c>
      <c r="B1225" s="1" t="n">
        <v>45252</v>
      </c>
      <c r="C1225" s="1" t="n">
        <v>45728</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59092-2023</t>
        </is>
      </c>
      <c r="B1226" s="1" t="n">
        <v>45253</v>
      </c>
      <c r="C1226" s="1" t="n">
        <v>45728</v>
      </c>
      <c r="D1226" t="inlineStr">
        <is>
          <t>JÄMTLANDS LÄN</t>
        </is>
      </c>
      <c r="E1226" t="inlineStr">
        <is>
          <t>HÄRJEDALEN</t>
        </is>
      </c>
      <c r="F1226" t="inlineStr">
        <is>
          <t>SCA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59279-2023</t>
        </is>
      </c>
      <c r="B1227" s="1" t="n">
        <v>45253</v>
      </c>
      <c r="C1227" s="1" t="n">
        <v>45728</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59424-2023</t>
        </is>
      </c>
      <c r="B1228" s="1" t="n">
        <v>45254</v>
      </c>
      <c r="C1228" s="1" t="n">
        <v>45728</v>
      </c>
      <c r="D1228" t="inlineStr">
        <is>
          <t>JÄMTLANDS LÄN</t>
        </is>
      </c>
      <c r="E1228" t="inlineStr">
        <is>
          <t>HÄRJEDALEN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59577-2023</t>
        </is>
      </c>
      <c r="B1229" s="1" t="n">
        <v>45254</v>
      </c>
      <c r="C1229" s="1" t="n">
        <v>45728</v>
      </c>
      <c r="D1229" t="inlineStr">
        <is>
          <t>JÄMTLANDS LÄN</t>
        </is>
      </c>
      <c r="E1229" t="inlineStr">
        <is>
          <t>HÄRJEDALEN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59594-2023</t>
        </is>
      </c>
      <c r="B1230" s="1" t="n">
        <v>45254</v>
      </c>
      <c r="C1230" s="1" t="n">
        <v>45728</v>
      </c>
      <c r="D1230" t="inlineStr">
        <is>
          <t>JÄMTLANDS LÄN</t>
        </is>
      </c>
      <c r="E1230" t="inlineStr">
        <is>
          <t>HÄRJEDALEN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59620-2023</t>
        </is>
      </c>
      <c r="B1231" s="1" t="n">
        <v>45254</v>
      </c>
      <c r="C1231" s="1" t="n">
        <v>45728</v>
      </c>
      <c r="D1231" t="inlineStr">
        <is>
          <t>JÄMTLANDS LÄN</t>
        </is>
      </c>
      <c r="E1231" t="inlineStr">
        <is>
          <t>HÄRJEDALEN</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59738-2023</t>
        </is>
      </c>
      <c r="B1232" s="1" t="n">
        <v>45257</v>
      </c>
      <c r="C1232" s="1" t="n">
        <v>45728</v>
      </c>
      <c r="D1232" t="inlineStr">
        <is>
          <t>JÄMTLANDS LÄN</t>
        </is>
      </c>
      <c r="E1232" t="inlineStr">
        <is>
          <t>HÄRJEDALEN</t>
        </is>
      </c>
      <c r="F1232" t="inlineStr">
        <is>
          <t>Bergvik skog väst AB</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59750-2023</t>
        </is>
      </c>
      <c r="B1233" s="1" t="n">
        <v>45257</v>
      </c>
      <c r="C1233" s="1" t="n">
        <v>45728</v>
      </c>
      <c r="D1233" t="inlineStr">
        <is>
          <t>JÄMTLANDS LÄN</t>
        </is>
      </c>
      <c r="E1233" t="inlineStr">
        <is>
          <t>HÄRJEDALEN</t>
        </is>
      </c>
      <c r="F1233" t="inlineStr">
        <is>
          <t>Bergvik skog väst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60062-2023</t>
        </is>
      </c>
      <c r="B1234" s="1" t="n">
        <v>45257</v>
      </c>
      <c r="C1234" s="1" t="n">
        <v>45728</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60611-2023</t>
        </is>
      </c>
      <c r="B1235" s="1" t="n">
        <v>45260</v>
      </c>
      <c r="C1235" s="1" t="n">
        <v>45728</v>
      </c>
      <c r="D1235" t="inlineStr">
        <is>
          <t>JÄMTLANDS LÄN</t>
        </is>
      </c>
      <c r="E1235" t="inlineStr">
        <is>
          <t>HÄRJEDALEN</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60749-2023</t>
        </is>
      </c>
      <c r="B1236" s="1" t="n">
        <v>45260</v>
      </c>
      <c r="C1236" s="1" t="n">
        <v>45728</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61465-2023</t>
        </is>
      </c>
      <c r="B1237" s="1" t="n">
        <v>45264</v>
      </c>
      <c r="C1237" s="1" t="n">
        <v>45728</v>
      </c>
      <c r="D1237" t="inlineStr">
        <is>
          <t>JÄMTLANDS LÄN</t>
        </is>
      </c>
      <c r="E1237" t="inlineStr">
        <is>
          <t>HÄRJEDALEN</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61751-2023</t>
        </is>
      </c>
      <c r="B1238" s="1" t="n">
        <v>45265</v>
      </c>
      <c r="C1238" s="1" t="n">
        <v>45728</v>
      </c>
      <c r="D1238" t="inlineStr">
        <is>
          <t>JÄMTLANDS LÄN</t>
        </is>
      </c>
      <c r="E1238" t="inlineStr">
        <is>
          <t>HÄRJEDALEN</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62482-2023</t>
        </is>
      </c>
      <c r="B1239" s="1" t="n">
        <v>45268</v>
      </c>
      <c r="C1239" s="1" t="n">
        <v>45728</v>
      </c>
      <c r="D1239" t="inlineStr">
        <is>
          <t>JÄMTLANDS LÄN</t>
        </is>
      </c>
      <c r="E1239" t="inlineStr">
        <is>
          <t>HÄRJEDALEN</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62784-2023</t>
        </is>
      </c>
      <c r="B1240" s="1" t="n">
        <v>45271</v>
      </c>
      <c r="C1240" s="1" t="n">
        <v>45728</v>
      </c>
      <c r="D1240" t="inlineStr">
        <is>
          <t>JÄMTLANDS LÄN</t>
        </is>
      </c>
      <c r="E1240" t="inlineStr">
        <is>
          <t>HÄRJEDALEN</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63323-2023</t>
        </is>
      </c>
      <c r="B1241" s="1" t="n">
        <v>45274</v>
      </c>
      <c r="C1241" s="1" t="n">
        <v>45728</v>
      </c>
      <c r="D1241" t="inlineStr">
        <is>
          <t>JÄMTLANDS LÄN</t>
        </is>
      </c>
      <c r="E1241" t="inlineStr">
        <is>
          <t>HÄRJEDALEN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63546-2023</t>
        </is>
      </c>
      <c r="B1242" s="1" t="n">
        <v>45275</v>
      </c>
      <c r="C1242" s="1" t="n">
        <v>45728</v>
      </c>
      <c r="D1242" t="inlineStr">
        <is>
          <t>JÄMTLANDS LÄN</t>
        </is>
      </c>
      <c r="E1242" t="inlineStr">
        <is>
          <t>HÄRJEDALEN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63577-2023</t>
        </is>
      </c>
      <c r="B1243" s="1" t="n">
        <v>45275</v>
      </c>
      <c r="C1243" s="1" t="n">
        <v>45728</v>
      </c>
      <c r="D1243" t="inlineStr">
        <is>
          <t>JÄMTLANDS LÄN</t>
        </is>
      </c>
      <c r="E1243" t="inlineStr">
        <is>
          <t>HÄRJEDALEN</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63934-2023</t>
        </is>
      </c>
      <c r="B1244" s="1" t="n">
        <v>45278</v>
      </c>
      <c r="C1244" s="1" t="n">
        <v>45728</v>
      </c>
      <c r="D1244" t="inlineStr">
        <is>
          <t>JÄMTLANDS LÄN</t>
        </is>
      </c>
      <c r="E1244" t="inlineStr">
        <is>
          <t>HÄRJEDALEN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63802-2023</t>
        </is>
      </c>
      <c r="B1245" s="1" t="n">
        <v>45278</v>
      </c>
      <c r="C1245" s="1" t="n">
        <v>45728</v>
      </c>
      <c r="D1245" t="inlineStr">
        <is>
          <t>JÄMTLANDS LÄN</t>
        </is>
      </c>
      <c r="E1245" t="inlineStr">
        <is>
          <t>HÄRJEDALEN</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64144-2023</t>
        </is>
      </c>
      <c r="B1246" s="1" t="n">
        <v>45279</v>
      </c>
      <c r="C1246" s="1" t="n">
        <v>45728</v>
      </c>
      <c r="D1246" t="inlineStr">
        <is>
          <t>JÄMTLANDS LÄN</t>
        </is>
      </c>
      <c r="E1246" t="inlineStr">
        <is>
          <t>HÄRJEDALEN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64157-2023</t>
        </is>
      </c>
      <c r="B1247" s="1" t="n">
        <v>45279</v>
      </c>
      <c r="C1247" s="1" t="n">
        <v>45728</v>
      </c>
      <c r="D1247" t="inlineStr">
        <is>
          <t>JÄMTLANDS LÄN</t>
        </is>
      </c>
      <c r="E1247" t="inlineStr">
        <is>
          <t>HÄRJEDALEN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64165-2023</t>
        </is>
      </c>
      <c r="B1248" s="1" t="n">
        <v>45279</v>
      </c>
      <c r="C1248" s="1" t="n">
        <v>45728</v>
      </c>
      <c r="D1248" t="inlineStr">
        <is>
          <t>JÄMTLANDS LÄN</t>
        </is>
      </c>
      <c r="E1248" t="inlineStr">
        <is>
          <t>HÄRJEDALEN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64484-2023</t>
        </is>
      </c>
      <c r="B1249" s="1" t="n">
        <v>45280</v>
      </c>
      <c r="C1249" s="1" t="n">
        <v>45728</v>
      </c>
      <c r="D1249" t="inlineStr">
        <is>
          <t>JÄMTLANDS LÄN</t>
        </is>
      </c>
      <c r="E1249" t="inlineStr">
        <is>
          <t>HÄRJEDALEN</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64371-2023</t>
        </is>
      </c>
      <c r="B1250" s="1" t="n">
        <v>45280</v>
      </c>
      <c r="C1250" s="1" t="n">
        <v>45728</v>
      </c>
      <c r="D1250" t="inlineStr">
        <is>
          <t>JÄMTLANDS LÄN</t>
        </is>
      </c>
      <c r="E1250" t="inlineStr">
        <is>
          <t>HÄRJEDALEN</t>
        </is>
      </c>
      <c r="G1250" t="n">
        <v>31.8</v>
      </c>
      <c r="H1250" t="n">
        <v>0</v>
      </c>
      <c r="I1250" t="n">
        <v>0</v>
      </c>
      <c r="J1250" t="n">
        <v>0</v>
      </c>
      <c r="K1250" t="n">
        <v>0</v>
      </c>
      <c r="L1250" t="n">
        <v>0</v>
      </c>
      <c r="M1250" t="n">
        <v>0</v>
      </c>
      <c r="N1250" t="n">
        <v>0</v>
      </c>
      <c r="O1250" t="n">
        <v>0</v>
      </c>
      <c r="P1250" t="n">
        <v>0</v>
      </c>
      <c r="Q1250" t="n">
        <v>0</v>
      </c>
      <c r="R1250" s="2" t="inlineStr"/>
    </row>
    <row r="1251" ht="15" customHeight="1">
      <c r="A1251" t="inlineStr">
        <is>
          <t>A 64485-2023</t>
        </is>
      </c>
      <c r="B1251" s="1" t="n">
        <v>45280</v>
      </c>
      <c r="C1251" s="1" t="n">
        <v>45728</v>
      </c>
      <c r="D1251" t="inlineStr">
        <is>
          <t>JÄMTLANDS LÄN</t>
        </is>
      </c>
      <c r="E1251" t="inlineStr">
        <is>
          <t>HÄRJEDALEN</t>
        </is>
      </c>
      <c r="G1251" t="n">
        <v>21.3</v>
      </c>
      <c r="H1251" t="n">
        <v>0</v>
      </c>
      <c r="I1251" t="n">
        <v>0</v>
      </c>
      <c r="J1251" t="n">
        <v>0</v>
      </c>
      <c r="K1251" t="n">
        <v>0</v>
      </c>
      <c r="L1251" t="n">
        <v>0</v>
      </c>
      <c r="M1251" t="n">
        <v>0</v>
      </c>
      <c r="N1251" t="n">
        <v>0</v>
      </c>
      <c r="O1251" t="n">
        <v>0</v>
      </c>
      <c r="P1251" t="n">
        <v>0</v>
      </c>
      <c r="Q1251" t="n">
        <v>0</v>
      </c>
      <c r="R1251" s="2" t="inlineStr"/>
    </row>
    <row r="1252" ht="15" customHeight="1">
      <c r="A1252" t="inlineStr">
        <is>
          <t>A 64630-2023</t>
        </is>
      </c>
      <c r="B1252" s="1" t="n">
        <v>45281</v>
      </c>
      <c r="C1252" s="1" t="n">
        <v>45728</v>
      </c>
      <c r="D1252" t="inlineStr">
        <is>
          <t>JÄMTLANDS LÄN</t>
        </is>
      </c>
      <c r="E1252" t="inlineStr">
        <is>
          <t>HÄRJEDALEN</t>
        </is>
      </c>
      <c r="G1252" t="n">
        <v>82.2</v>
      </c>
      <c r="H1252" t="n">
        <v>0</v>
      </c>
      <c r="I1252" t="n">
        <v>0</v>
      </c>
      <c r="J1252" t="n">
        <v>0</v>
      </c>
      <c r="K1252" t="n">
        <v>0</v>
      </c>
      <c r="L1252" t="n">
        <v>0</v>
      </c>
      <c r="M1252" t="n">
        <v>0</v>
      </c>
      <c r="N1252" t="n">
        <v>0</v>
      </c>
      <c r="O1252" t="n">
        <v>0</v>
      </c>
      <c r="P1252" t="n">
        <v>0</v>
      </c>
      <c r="Q1252" t="n">
        <v>0</v>
      </c>
      <c r="R1252" s="2" t="inlineStr"/>
    </row>
    <row r="1253" ht="15" customHeight="1">
      <c r="A1253" t="inlineStr">
        <is>
          <t>A 64648-2023</t>
        </is>
      </c>
      <c r="B1253" s="1" t="n">
        <v>45281</v>
      </c>
      <c r="C1253" s="1" t="n">
        <v>45728</v>
      </c>
      <c r="D1253" t="inlineStr">
        <is>
          <t>JÄMTLANDS LÄN</t>
        </is>
      </c>
      <c r="E1253" t="inlineStr">
        <is>
          <t>HÄRJEDALEN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64645-2023</t>
        </is>
      </c>
      <c r="B1254" s="1" t="n">
        <v>45281</v>
      </c>
      <c r="C1254" s="1" t="n">
        <v>45728</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64647-2023</t>
        </is>
      </c>
      <c r="B1255" s="1" t="n">
        <v>45281</v>
      </c>
      <c r="C1255" s="1" t="n">
        <v>45728</v>
      </c>
      <c r="D1255" t="inlineStr">
        <is>
          <t>JÄMTLANDS LÄN</t>
        </is>
      </c>
      <c r="E1255" t="inlineStr">
        <is>
          <t>HÄRJEDALEN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64909-2023</t>
        </is>
      </c>
      <c r="B1256" s="1" t="n">
        <v>45282</v>
      </c>
      <c r="C1256" s="1" t="n">
        <v>45728</v>
      </c>
      <c r="D1256" t="inlineStr">
        <is>
          <t>JÄMTLANDS LÄN</t>
        </is>
      </c>
      <c r="E1256" t="inlineStr">
        <is>
          <t>HÄRJEDALEN</t>
        </is>
      </c>
      <c r="F1256" t="inlineStr">
        <is>
          <t>Holmen skog AB</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65032-2023</t>
        </is>
      </c>
      <c r="B1257" s="1" t="n">
        <v>45287</v>
      </c>
      <c r="C1257" s="1" t="n">
        <v>45728</v>
      </c>
      <c r="D1257" t="inlineStr">
        <is>
          <t>JÄMTLANDS LÄN</t>
        </is>
      </c>
      <c r="E1257" t="inlineStr">
        <is>
          <t>HÄRJEDALEN</t>
        </is>
      </c>
      <c r="F1257" t="inlineStr">
        <is>
          <t>Holmen skog AB</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65152-2023</t>
        </is>
      </c>
      <c r="B1258" s="1" t="n">
        <v>45288</v>
      </c>
      <c r="C1258" s="1" t="n">
        <v>45728</v>
      </c>
      <c r="D1258" t="inlineStr">
        <is>
          <t>JÄMTLANDS LÄN</t>
        </is>
      </c>
      <c r="E1258" t="inlineStr">
        <is>
          <t>HÄRJEDALEN</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65150-2023</t>
        </is>
      </c>
      <c r="B1259" s="1" t="n">
        <v>45288</v>
      </c>
      <c r="C1259" s="1" t="n">
        <v>45728</v>
      </c>
      <c r="D1259" t="inlineStr">
        <is>
          <t>JÄMTLANDS LÄN</t>
        </is>
      </c>
      <c r="E1259" t="inlineStr">
        <is>
          <t>HÄRJEDALEN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65248-2023</t>
        </is>
      </c>
      <c r="B1260" s="1" t="n">
        <v>45290</v>
      </c>
      <c r="C1260" s="1" t="n">
        <v>45728</v>
      </c>
      <c r="D1260" t="inlineStr">
        <is>
          <t>JÄMTLANDS LÄN</t>
        </is>
      </c>
      <c r="E1260" t="inlineStr">
        <is>
          <t>HÄRJEDALEN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54-2024</t>
        </is>
      </c>
      <c r="B1261" s="1" t="n">
        <v>45293</v>
      </c>
      <c r="C1261" s="1" t="n">
        <v>45728</v>
      </c>
      <c r="D1261" t="inlineStr">
        <is>
          <t>JÄMTLANDS LÄN</t>
        </is>
      </c>
      <c r="E1261" t="inlineStr">
        <is>
          <t>HÄRJEDALEN</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40-2024</t>
        </is>
      </c>
      <c r="B1262" s="1" t="n">
        <v>45293</v>
      </c>
      <c r="C1262" s="1" t="n">
        <v>45728</v>
      </c>
      <c r="D1262" t="inlineStr">
        <is>
          <t>JÄMTLANDS LÄN</t>
        </is>
      </c>
      <c r="E1262" t="inlineStr">
        <is>
          <t>HÄRJEDALEN</t>
        </is>
      </c>
      <c r="G1262" t="n">
        <v>24.2</v>
      </c>
      <c r="H1262" t="n">
        <v>0</v>
      </c>
      <c r="I1262" t="n">
        <v>0</v>
      </c>
      <c r="J1262" t="n">
        <v>0</v>
      </c>
      <c r="K1262" t="n">
        <v>0</v>
      </c>
      <c r="L1262" t="n">
        <v>0</v>
      </c>
      <c r="M1262" t="n">
        <v>0</v>
      </c>
      <c r="N1262" t="n">
        <v>0</v>
      </c>
      <c r="O1262" t="n">
        <v>0</v>
      </c>
      <c r="P1262" t="n">
        <v>0</v>
      </c>
      <c r="Q1262" t="n">
        <v>0</v>
      </c>
      <c r="R1262" s="2" t="inlineStr"/>
    </row>
    <row r="1263" ht="15" customHeight="1">
      <c r="A1263" t="inlineStr">
        <is>
          <t>A 1211-2024</t>
        </is>
      </c>
      <c r="B1263" s="1" t="n">
        <v>45302</v>
      </c>
      <c r="C1263" s="1" t="n">
        <v>45728</v>
      </c>
      <c r="D1263" t="inlineStr">
        <is>
          <t>JÄMTLANDS LÄN</t>
        </is>
      </c>
      <c r="E1263" t="inlineStr">
        <is>
          <t>HÄRJEDALEN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1366-2024</t>
        </is>
      </c>
      <c r="B1264" s="1" t="n">
        <v>45303</v>
      </c>
      <c r="C1264" s="1" t="n">
        <v>45728</v>
      </c>
      <c r="D1264" t="inlineStr">
        <is>
          <t>JÄMTLANDS LÄN</t>
        </is>
      </c>
      <c r="E1264" t="inlineStr">
        <is>
          <t>HÄRJEDALEN</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1398-2024</t>
        </is>
      </c>
      <c r="B1265" s="1" t="n">
        <v>45303</v>
      </c>
      <c r="C1265" s="1" t="n">
        <v>45728</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1361-2024</t>
        </is>
      </c>
      <c r="B1266" s="1" t="n">
        <v>45303</v>
      </c>
      <c r="C1266" s="1" t="n">
        <v>45728</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1364-2024</t>
        </is>
      </c>
      <c r="B1267" s="1" t="n">
        <v>45303</v>
      </c>
      <c r="C1267" s="1" t="n">
        <v>45728</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1587-2024</t>
        </is>
      </c>
      <c r="B1268" s="1" t="n">
        <v>45306</v>
      </c>
      <c r="C1268" s="1" t="n">
        <v>45728</v>
      </c>
      <c r="D1268" t="inlineStr">
        <is>
          <t>JÄMTLANDS LÄN</t>
        </is>
      </c>
      <c r="E1268" t="inlineStr">
        <is>
          <t>HÄRJEDALEN</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1952-2024</t>
        </is>
      </c>
      <c r="B1269" s="1" t="n">
        <v>45308</v>
      </c>
      <c r="C1269" s="1" t="n">
        <v>45728</v>
      </c>
      <c r="D1269" t="inlineStr">
        <is>
          <t>JÄMTLANDS LÄN</t>
        </is>
      </c>
      <c r="E1269" t="inlineStr">
        <is>
          <t>HÄRJEDALEN</t>
        </is>
      </c>
      <c r="F1269" t="inlineStr">
        <is>
          <t>Kyrkan</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2066-2024</t>
        </is>
      </c>
      <c r="B1270" s="1" t="n">
        <v>45308</v>
      </c>
      <c r="C1270" s="1" t="n">
        <v>45728</v>
      </c>
      <c r="D1270" t="inlineStr">
        <is>
          <t>JÄMTLANDS LÄN</t>
        </is>
      </c>
      <c r="E1270" t="inlineStr">
        <is>
          <t>HÄRJEDALEN</t>
        </is>
      </c>
      <c r="G1270" t="n">
        <v>23.2</v>
      </c>
      <c r="H1270" t="n">
        <v>0</v>
      </c>
      <c r="I1270" t="n">
        <v>0</v>
      </c>
      <c r="J1270" t="n">
        <v>0</v>
      </c>
      <c r="K1270" t="n">
        <v>0</v>
      </c>
      <c r="L1270" t="n">
        <v>0</v>
      </c>
      <c r="M1270" t="n">
        <v>0</v>
      </c>
      <c r="N1270" t="n">
        <v>0</v>
      </c>
      <c r="O1270" t="n">
        <v>0</v>
      </c>
      <c r="P1270" t="n">
        <v>0</v>
      </c>
      <c r="Q1270" t="n">
        <v>0</v>
      </c>
      <c r="R1270" s="2" t="inlineStr"/>
    </row>
    <row r="1271" ht="15" customHeight="1">
      <c r="A1271" t="inlineStr">
        <is>
          <t>A 2185-2024</t>
        </is>
      </c>
      <c r="B1271" s="1" t="n">
        <v>45309</v>
      </c>
      <c r="C1271" s="1" t="n">
        <v>45728</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4533-2024</t>
        </is>
      </c>
      <c r="B1272" s="1" t="n">
        <v>45327</v>
      </c>
      <c r="C1272" s="1" t="n">
        <v>45728</v>
      </c>
      <c r="D1272" t="inlineStr">
        <is>
          <t>JÄMTLANDS LÄN</t>
        </is>
      </c>
      <c r="E1272" t="inlineStr">
        <is>
          <t>HÄRJEDALEN</t>
        </is>
      </c>
      <c r="F1272" t="inlineStr">
        <is>
          <t>Övriga statliga verk och myndigheter</t>
        </is>
      </c>
      <c r="G1272" t="n">
        <v>21.1</v>
      </c>
      <c r="H1272" t="n">
        <v>0</v>
      </c>
      <c r="I1272" t="n">
        <v>0</v>
      </c>
      <c r="J1272" t="n">
        <v>0</v>
      </c>
      <c r="K1272" t="n">
        <v>0</v>
      </c>
      <c r="L1272" t="n">
        <v>0</v>
      </c>
      <c r="M1272" t="n">
        <v>0</v>
      </c>
      <c r="N1272" t="n">
        <v>0</v>
      </c>
      <c r="O1272" t="n">
        <v>0</v>
      </c>
      <c r="P1272" t="n">
        <v>0</v>
      </c>
      <c r="Q1272" t="n">
        <v>0</v>
      </c>
      <c r="R1272" s="2" t="inlineStr"/>
    </row>
    <row r="1273" ht="15" customHeight="1">
      <c r="A1273" t="inlineStr">
        <is>
          <t>A 5630-2024</t>
        </is>
      </c>
      <c r="B1273" s="1" t="n">
        <v>45334</v>
      </c>
      <c r="C1273" s="1" t="n">
        <v>45728</v>
      </c>
      <c r="D1273" t="inlineStr">
        <is>
          <t>JÄMTLANDS LÄN</t>
        </is>
      </c>
      <c r="E1273" t="inlineStr">
        <is>
          <t>HÄRJEDALEN</t>
        </is>
      </c>
      <c r="F1273" t="inlineStr">
        <is>
          <t>Övriga statliga verk och myndigheter</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5912-2024</t>
        </is>
      </c>
      <c r="B1274" s="1" t="n">
        <v>45335</v>
      </c>
      <c r="C1274" s="1" t="n">
        <v>45728</v>
      </c>
      <c r="D1274" t="inlineStr">
        <is>
          <t>JÄMTLANDS LÄN</t>
        </is>
      </c>
      <c r="E1274" t="inlineStr">
        <is>
          <t>HÄRJEDALEN</t>
        </is>
      </c>
      <c r="G1274" t="n">
        <v>39.3</v>
      </c>
      <c r="H1274" t="n">
        <v>0</v>
      </c>
      <c r="I1274" t="n">
        <v>0</v>
      </c>
      <c r="J1274" t="n">
        <v>0</v>
      </c>
      <c r="K1274" t="n">
        <v>0</v>
      </c>
      <c r="L1274" t="n">
        <v>0</v>
      </c>
      <c r="M1274" t="n">
        <v>0</v>
      </c>
      <c r="N1274" t="n">
        <v>0</v>
      </c>
      <c r="O1274" t="n">
        <v>0</v>
      </c>
      <c r="P1274" t="n">
        <v>0</v>
      </c>
      <c r="Q1274" t="n">
        <v>0</v>
      </c>
      <c r="R1274" s="2" t="inlineStr"/>
    </row>
    <row r="1275" ht="15" customHeight="1">
      <c r="A1275" t="inlineStr">
        <is>
          <t>A 5913-2024</t>
        </is>
      </c>
      <c r="B1275" s="1" t="n">
        <v>45335</v>
      </c>
      <c r="C1275" s="1" t="n">
        <v>45728</v>
      </c>
      <c r="D1275" t="inlineStr">
        <is>
          <t>JÄMTLANDS LÄN</t>
        </is>
      </c>
      <c r="E1275" t="inlineStr">
        <is>
          <t>HÄRJEDALEN</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6218-2024</t>
        </is>
      </c>
      <c r="B1276" s="1" t="n">
        <v>45337</v>
      </c>
      <c r="C1276" s="1" t="n">
        <v>45728</v>
      </c>
      <c r="D1276" t="inlineStr">
        <is>
          <t>JÄMTLANDS LÄN</t>
        </is>
      </c>
      <c r="E1276" t="inlineStr">
        <is>
          <t>HÄRJEDALEN</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6286-2024</t>
        </is>
      </c>
      <c r="B1277" s="1" t="n">
        <v>45337</v>
      </c>
      <c r="C1277" s="1" t="n">
        <v>45728</v>
      </c>
      <c r="D1277" t="inlineStr">
        <is>
          <t>JÄMTLANDS LÄN</t>
        </is>
      </c>
      <c r="E1277" t="inlineStr">
        <is>
          <t>HÄRJEDALEN</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6313-2024</t>
        </is>
      </c>
      <c r="B1278" s="1" t="n">
        <v>45338</v>
      </c>
      <c r="C1278" s="1" t="n">
        <v>45728</v>
      </c>
      <c r="D1278" t="inlineStr">
        <is>
          <t>JÄMTLANDS LÄN</t>
        </is>
      </c>
      <c r="E1278" t="inlineStr">
        <is>
          <t>HÄRJEDALEN</t>
        </is>
      </c>
      <c r="F1278" t="inlineStr">
        <is>
          <t>Bergvik skog väst AB</t>
        </is>
      </c>
      <c r="G1278" t="n">
        <v>60.7</v>
      </c>
      <c r="H1278" t="n">
        <v>0</v>
      </c>
      <c r="I1278" t="n">
        <v>0</v>
      </c>
      <c r="J1278" t="n">
        <v>0</v>
      </c>
      <c r="K1278" t="n">
        <v>0</v>
      </c>
      <c r="L1278" t="n">
        <v>0</v>
      </c>
      <c r="M1278" t="n">
        <v>0</v>
      </c>
      <c r="N1278" t="n">
        <v>0</v>
      </c>
      <c r="O1278" t="n">
        <v>0</v>
      </c>
      <c r="P1278" t="n">
        <v>0</v>
      </c>
      <c r="Q1278" t="n">
        <v>0</v>
      </c>
      <c r="R1278" s="2" t="inlineStr"/>
    </row>
    <row r="1279" ht="15" customHeight="1">
      <c r="A1279" t="inlineStr">
        <is>
          <t>A 6304-2024</t>
        </is>
      </c>
      <c r="B1279" s="1" t="n">
        <v>45338</v>
      </c>
      <c r="C1279" s="1" t="n">
        <v>45728</v>
      </c>
      <c r="D1279" t="inlineStr">
        <is>
          <t>JÄMTLANDS LÄN</t>
        </is>
      </c>
      <c r="E1279" t="inlineStr">
        <is>
          <t>HÄRJEDALEN</t>
        </is>
      </c>
      <c r="F1279" t="inlineStr">
        <is>
          <t>Bergvik skog väst AB</t>
        </is>
      </c>
      <c r="G1279" t="n">
        <v>23.5</v>
      </c>
      <c r="H1279" t="n">
        <v>0</v>
      </c>
      <c r="I1279" t="n">
        <v>0</v>
      </c>
      <c r="J1279" t="n">
        <v>0</v>
      </c>
      <c r="K1279" t="n">
        <v>0</v>
      </c>
      <c r="L1279" t="n">
        <v>0</v>
      </c>
      <c r="M1279" t="n">
        <v>0</v>
      </c>
      <c r="N1279" t="n">
        <v>0</v>
      </c>
      <c r="O1279" t="n">
        <v>0</v>
      </c>
      <c r="P1279" t="n">
        <v>0</v>
      </c>
      <c r="Q1279" t="n">
        <v>0</v>
      </c>
      <c r="R1279" s="2" t="inlineStr"/>
    </row>
    <row r="1280" ht="15" customHeight="1">
      <c r="A1280" t="inlineStr">
        <is>
          <t>A 6756-2024</t>
        </is>
      </c>
      <c r="B1280" s="1" t="n">
        <v>45342</v>
      </c>
      <c r="C1280" s="1" t="n">
        <v>45728</v>
      </c>
      <c r="D1280" t="inlineStr">
        <is>
          <t>JÄMTLANDS LÄN</t>
        </is>
      </c>
      <c r="E1280" t="inlineStr">
        <is>
          <t>HÄRJEDALEN</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7205-2024</t>
        </is>
      </c>
      <c r="B1281" s="1" t="n">
        <v>45344</v>
      </c>
      <c r="C1281" s="1" t="n">
        <v>45728</v>
      </c>
      <c r="D1281" t="inlineStr">
        <is>
          <t>JÄMTLANDS LÄN</t>
        </is>
      </c>
      <c r="E1281" t="inlineStr">
        <is>
          <t>HÄRJEDALEN</t>
        </is>
      </c>
      <c r="F1281" t="inlineStr">
        <is>
          <t>Holmen skog AB</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7199-2024</t>
        </is>
      </c>
      <c r="B1282" s="1" t="n">
        <v>45344</v>
      </c>
      <c r="C1282" s="1" t="n">
        <v>45728</v>
      </c>
      <c r="D1282" t="inlineStr">
        <is>
          <t>JÄMTLANDS LÄN</t>
        </is>
      </c>
      <c r="E1282" t="inlineStr">
        <is>
          <t>HÄRJEDALEN</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7235-2024</t>
        </is>
      </c>
      <c r="B1283" s="1" t="n">
        <v>45344</v>
      </c>
      <c r="C1283" s="1" t="n">
        <v>45728</v>
      </c>
      <c r="D1283" t="inlineStr">
        <is>
          <t>JÄMTLANDS LÄN</t>
        </is>
      </c>
      <c r="E1283" t="inlineStr">
        <is>
          <t>HÄRJEDALEN</t>
        </is>
      </c>
      <c r="F1283" t="inlineStr">
        <is>
          <t>Holmen skog AB</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7239-2024</t>
        </is>
      </c>
      <c r="B1284" s="1" t="n">
        <v>45344</v>
      </c>
      <c r="C1284" s="1" t="n">
        <v>45728</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7243-2024</t>
        </is>
      </c>
      <c r="B1285" s="1" t="n">
        <v>45344</v>
      </c>
      <c r="C1285" s="1" t="n">
        <v>45728</v>
      </c>
      <c r="D1285" t="inlineStr">
        <is>
          <t>JÄMTLANDS LÄN</t>
        </is>
      </c>
      <c r="E1285" t="inlineStr">
        <is>
          <t>HÄRJEDALEN</t>
        </is>
      </c>
      <c r="F1285" t="inlineStr">
        <is>
          <t>Holmen skog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7200-2024</t>
        </is>
      </c>
      <c r="B1286" s="1" t="n">
        <v>45344</v>
      </c>
      <c r="C1286" s="1" t="n">
        <v>45728</v>
      </c>
      <c r="D1286" t="inlineStr">
        <is>
          <t>JÄMTLANDS LÄN</t>
        </is>
      </c>
      <c r="E1286" t="inlineStr">
        <is>
          <t>HÄRJEDALEN</t>
        </is>
      </c>
      <c r="F1286" t="inlineStr">
        <is>
          <t>Holmen skog AB</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7313-2024</t>
        </is>
      </c>
      <c r="B1287" s="1" t="n">
        <v>45345</v>
      </c>
      <c r="C1287" s="1" t="n">
        <v>45728</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7311-2024</t>
        </is>
      </c>
      <c r="B1288" s="1" t="n">
        <v>45345</v>
      </c>
      <c r="C1288" s="1" t="n">
        <v>45728</v>
      </c>
      <c r="D1288" t="inlineStr">
        <is>
          <t>JÄMTLANDS LÄN</t>
        </is>
      </c>
      <c r="E1288" t="inlineStr">
        <is>
          <t>HÄRJEDALEN</t>
        </is>
      </c>
      <c r="F1288" t="inlineStr">
        <is>
          <t>Holmen skog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7392-2024</t>
        </is>
      </c>
      <c r="B1289" s="1" t="n">
        <v>45345</v>
      </c>
      <c r="C1289" s="1" t="n">
        <v>45728</v>
      </c>
      <c r="D1289" t="inlineStr">
        <is>
          <t>JÄMTLANDS LÄN</t>
        </is>
      </c>
      <c r="E1289" t="inlineStr">
        <is>
          <t>HÄRJEDALEN</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7396-2024</t>
        </is>
      </c>
      <c r="B1290" s="1" t="n">
        <v>45345</v>
      </c>
      <c r="C1290" s="1" t="n">
        <v>45728</v>
      </c>
      <c r="D1290" t="inlineStr">
        <is>
          <t>JÄMTLANDS LÄN</t>
        </is>
      </c>
      <c r="E1290" t="inlineStr">
        <is>
          <t>HÄRJEDALEN</t>
        </is>
      </c>
      <c r="F1290" t="inlineStr">
        <is>
          <t>Holmen skog AB</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7368-2024</t>
        </is>
      </c>
      <c r="B1291" s="1" t="n">
        <v>45345</v>
      </c>
      <c r="C1291" s="1" t="n">
        <v>45728</v>
      </c>
      <c r="D1291" t="inlineStr">
        <is>
          <t>JÄMTLANDS LÄN</t>
        </is>
      </c>
      <c r="E1291" t="inlineStr">
        <is>
          <t>HÄRJEDALEN</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7433-2024</t>
        </is>
      </c>
      <c r="B1292" s="1" t="n">
        <v>45345</v>
      </c>
      <c r="C1292" s="1" t="n">
        <v>45728</v>
      </c>
      <c r="D1292" t="inlineStr">
        <is>
          <t>JÄMTLANDS LÄN</t>
        </is>
      </c>
      <c r="E1292" t="inlineStr">
        <is>
          <t>HÄRJEDALEN</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7424-2024</t>
        </is>
      </c>
      <c r="B1293" s="1" t="n">
        <v>45345</v>
      </c>
      <c r="C1293" s="1" t="n">
        <v>45728</v>
      </c>
      <c r="D1293" t="inlineStr">
        <is>
          <t>JÄMTLANDS LÄN</t>
        </is>
      </c>
      <c r="E1293" t="inlineStr">
        <is>
          <t>HÄRJEDALEN</t>
        </is>
      </c>
      <c r="F1293" t="inlineStr">
        <is>
          <t>Holmen skog AB</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7328-2024</t>
        </is>
      </c>
      <c r="B1294" s="1" t="n">
        <v>45345</v>
      </c>
      <c r="C1294" s="1" t="n">
        <v>45728</v>
      </c>
      <c r="D1294" t="inlineStr">
        <is>
          <t>JÄMTLANDS LÄN</t>
        </is>
      </c>
      <c r="E1294" t="inlineStr">
        <is>
          <t>HÄRJEDALEN</t>
        </is>
      </c>
      <c r="F1294" t="inlineStr">
        <is>
          <t>Sveaskog</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7320-2024</t>
        </is>
      </c>
      <c r="B1295" s="1" t="n">
        <v>45345</v>
      </c>
      <c r="C1295" s="1" t="n">
        <v>45728</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7402-2024</t>
        </is>
      </c>
      <c r="B1296" s="1" t="n">
        <v>45345</v>
      </c>
      <c r="C1296" s="1" t="n">
        <v>45728</v>
      </c>
      <c r="D1296" t="inlineStr">
        <is>
          <t>JÄMTLANDS LÄN</t>
        </is>
      </c>
      <c r="E1296" t="inlineStr">
        <is>
          <t>HÄRJEDALEN</t>
        </is>
      </c>
      <c r="F1296" t="inlineStr">
        <is>
          <t>Holmen skog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7370-2024</t>
        </is>
      </c>
      <c r="B1297" s="1" t="n">
        <v>45345</v>
      </c>
      <c r="C1297" s="1" t="n">
        <v>45728</v>
      </c>
      <c r="D1297" t="inlineStr">
        <is>
          <t>JÄMTLANDS LÄN</t>
        </is>
      </c>
      <c r="E1297" t="inlineStr">
        <is>
          <t>HÄRJEDALEN</t>
        </is>
      </c>
      <c r="F1297" t="inlineStr">
        <is>
          <t>Holmen skog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7362-2024</t>
        </is>
      </c>
      <c r="B1298" s="1" t="n">
        <v>45345</v>
      </c>
      <c r="C1298" s="1" t="n">
        <v>45728</v>
      </c>
      <c r="D1298" t="inlineStr">
        <is>
          <t>JÄMTLANDS LÄN</t>
        </is>
      </c>
      <c r="E1298" t="inlineStr">
        <is>
          <t>HÄRJEDALEN</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7358-2024</t>
        </is>
      </c>
      <c r="B1299" s="1" t="n">
        <v>45345</v>
      </c>
      <c r="C1299" s="1" t="n">
        <v>45728</v>
      </c>
      <c r="D1299" t="inlineStr">
        <is>
          <t>JÄMTLANDS LÄN</t>
        </is>
      </c>
      <c r="E1299" t="inlineStr">
        <is>
          <t>HÄRJEDALEN</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7318-2024</t>
        </is>
      </c>
      <c r="B1300" s="1" t="n">
        <v>45345</v>
      </c>
      <c r="C1300" s="1" t="n">
        <v>45728</v>
      </c>
      <c r="D1300" t="inlineStr">
        <is>
          <t>JÄMTLANDS LÄN</t>
        </is>
      </c>
      <c r="E1300" t="inlineStr">
        <is>
          <t>HÄRJEDALEN</t>
        </is>
      </c>
      <c r="F1300" t="inlineStr">
        <is>
          <t>Holmen skog AB</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7430-2024</t>
        </is>
      </c>
      <c r="B1301" s="1" t="n">
        <v>45345</v>
      </c>
      <c r="C1301" s="1" t="n">
        <v>45728</v>
      </c>
      <c r="D1301" t="inlineStr">
        <is>
          <t>JÄMTLANDS LÄN</t>
        </is>
      </c>
      <c r="E1301" t="inlineStr">
        <is>
          <t>HÄRJEDALEN</t>
        </is>
      </c>
      <c r="F1301" t="inlineStr">
        <is>
          <t>Holmen skog AB</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7371-2024</t>
        </is>
      </c>
      <c r="B1302" s="1" t="n">
        <v>45345</v>
      </c>
      <c r="C1302" s="1" t="n">
        <v>45728</v>
      </c>
      <c r="D1302" t="inlineStr">
        <is>
          <t>JÄMTLANDS LÄN</t>
        </is>
      </c>
      <c r="E1302" t="inlineStr">
        <is>
          <t>HÄRJEDALEN</t>
        </is>
      </c>
      <c r="F1302" t="inlineStr">
        <is>
          <t>Holmen skog AB</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7405-2024</t>
        </is>
      </c>
      <c r="B1303" s="1" t="n">
        <v>45345</v>
      </c>
      <c r="C1303" s="1" t="n">
        <v>45728</v>
      </c>
      <c r="D1303" t="inlineStr">
        <is>
          <t>JÄMTLANDS LÄN</t>
        </is>
      </c>
      <c r="E1303" t="inlineStr">
        <is>
          <t>HÄRJEDALEN</t>
        </is>
      </c>
      <c r="F1303" t="inlineStr">
        <is>
          <t>Holmen skog AB</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7349-2024</t>
        </is>
      </c>
      <c r="B1304" s="1" t="n">
        <v>45345</v>
      </c>
      <c r="C1304" s="1" t="n">
        <v>45728</v>
      </c>
      <c r="D1304" t="inlineStr">
        <is>
          <t>JÄMTLANDS LÄN</t>
        </is>
      </c>
      <c r="E1304" t="inlineStr">
        <is>
          <t>HÄRJEDALEN</t>
        </is>
      </c>
      <c r="F1304" t="inlineStr">
        <is>
          <t>Holmen skog AB</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7341-2024</t>
        </is>
      </c>
      <c r="B1305" s="1" t="n">
        <v>45345</v>
      </c>
      <c r="C1305" s="1" t="n">
        <v>45728</v>
      </c>
      <c r="D1305" t="inlineStr">
        <is>
          <t>JÄMTLANDS LÄN</t>
        </is>
      </c>
      <c r="E1305" t="inlineStr">
        <is>
          <t>HÄRJEDALEN</t>
        </is>
      </c>
      <c r="F1305" t="inlineStr">
        <is>
          <t>Holmen skog AB</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7647-2024</t>
        </is>
      </c>
      <c r="B1306" s="1" t="n">
        <v>45348</v>
      </c>
      <c r="C1306" s="1" t="n">
        <v>45728</v>
      </c>
      <c r="D1306" t="inlineStr">
        <is>
          <t>JÄMTLANDS LÄN</t>
        </is>
      </c>
      <c r="E1306" t="inlineStr">
        <is>
          <t>HÄRJEDALEN</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7528-2024</t>
        </is>
      </c>
      <c r="B1307" s="1" t="n">
        <v>45348</v>
      </c>
      <c r="C1307" s="1" t="n">
        <v>45728</v>
      </c>
      <c r="D1307" t="inlineStr">
        <is>
          <t>JÄMTLANDS LÄN</t>
        </is>
      </c>
      <c r="E1307" t="inlineStr">
        <is>
          <t>HÄRJEDALEN</t>
        </is>
      </c>
      <c r="F1307" t="inlineStr">
        <is>
          <t>Holmen skog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7530-2024</t>
        </is>
      </c>
      <c r="B1308" s="1" t="n">
        <v>45348</v>
      </c>
      <c r="C1308" s="1" t="n">
        <v>45728</v>
      </c>
      <c r="D1308" t="inlineStr">
        <is>
          <t>JÄMTLANDS LÄN</t>
        </is>
      </c>
      <c r="E1308" t="inlineStr">
        <is>
          <t>HÄRJEDALEN</t>
        </is>
      </c>
      <c r="F1308" t="inlineStr">
        <is>
          <t>Holmen skog AB</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7639-2024</t>
        </is>
      </c>
      <c r="B1309" s="1" t="n">
        <v>45348</v>
      </c>
      <c r="C1309" s="1" t="n">
        <v>45728</v>
      </c>
      <c r="D1309" t="inlineStr">
        <is>
          <t>JÄMTLANDS LÄN</t>
        </is>
      </c>
      <c r="E1309" t="inlineStr">
        <is>
          <t>HÄRJEDALEN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7684-2024</t>
        </is>
      </c>
      <c r="B1310" s="1" t="n">
        <v>45348</v>
      </c>
      <c r="C1310" s="1" t="n">
        <v>45728</v>
      </c>
      <c r="D1310" t="inlineStr">
        <is>
          <t>JÄMTLANDS LÄN</t>
        </is>
      </c>
      <c r="E1310" t="inlineStr">
        <is>
          <t>HÄRJEDALEN</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7896-2024</t>
        </is>
      </c>
      <c r="B1311" s="1" t="n">
        <v>45350</v>
      </c>
      <c r="C1311" s="1" t="n">
        <v>45728</v>
      </c>
      <c r="D1311" t="inlineStr">
        <is>
          <t>JÄMTLANDS LÄN</t>
        </is>
      </c>
      <c r="E1311" t="inlineStr">
        <is>
          <t>HÄRJEDALEN</t>
        </is>
      </c>
      <c r="F1311" t="inlineStr">
        <is>
          <t>Holmen skog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7880-2024</t>
        </is>
      </c>
      <c r="B1312" s="1" t="n">
        <v>45350</v>
      </c>
      <c r="C1312" s="1" t="n">
        <v>45728</v>
      </c>
      <c r="D1312" t="inlineStr">
        <is>
          <t>JÄMTLANDS LÄN</t>
        </is>
      </c>
      <c r="E1312" t="inlineStr">
        <is>
          <t>HÄRJEDALEN</t>
        </is>
      </c>
      <c r="F1312" t="inlineStr">
        <is>
          <t>Holmen skog AB</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7995-2024</t>
        </is>
      </c>
      <c r="B1313" s="1" t="n">
        <v>45350</v>
      </c>
      <c r="C1313" s="1" t="n">
        <v>45728</v>
      </c>
      <c r="D1313" t="inlineStr">
        <is>
          <t>JÄMTLANDS LÄN</t>
        </is>
      </c>
      <c r="E1313" t="inlineStr">
        <is>
          <t>HÄRJEDALEN</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8178-2024</t>
        </is>
      </c>
      <c r="B1314" s="1" t="n">
        <v>45350</v>
      </c>
      <c r="C1314" s="1" t="n">
        <v>45728</v>
      </c>
      <c r="D1314" t="inlineStr">
        <is>
          <t>JÄMTLANDS LÄN</t>
        </is>
      </c>
      <c r="E1314" t="inlineStr">
        <is>
          <t>HÄRJEDALEN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8158-2024</t>
        </is>
      </c>
      <c r="B1315" s="1" t="n">
        <v>45351</v>
      </c>
      <c r="C1315" s="1" t="n">
        <v>45728</v>
      </c>
      <c r="D1315" t="inlineStr">
        <is>
          <t>JÄMTLANDS LÄN</t>
        </is>
      </c>
      <c r="E1315" t="inlineStr">
        <is>
          <t>HÄRJEDALEN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8215-2024</t>
        </is>
      </c>
      <c r="B1316" s="1" t="n">
        <v>45351</v>
      </c>
      <c r="C1316" s="1" t="n">
        <v>45728</v>
      </c>
      <c r="D1316" t="inlineStr">
        <is>
          <t>JÄMTLANDS LÄN</t>
        </is>
      </c>
      <c r="E1316" t="inlineStr">
        <is>
          <t>HÄRJEDALEN</t>
        </is>
      </c>
      <c r="G1316" t="n">
        <v>49.2</v>
      </c>
      <c r="H1316" t="n">
        <v>0</v>
      </c>
      <c r="I1316" t="n">
        <v>0</v>
      </c>
      <c r="J1316" t="n">
        <v>0</v>
      </c>
      <c r="K1316" t="n">
        <v>0</v>
      </c>
      <c r="L1316" t="n">
        <v>0</v>
      </c>
      <c r="M1316" t="n">
        <v>0</v>
      </c>
      <c r="N1316" t="n">
        <v>0</v>
      </c>
      <c r="O1316" t="n">
        <v>0</v>
      </c>
      <c r="P1316" t="n">
        <v>0</v>
      </c>
      <c r="Q1316" t="n">
        <v>0</v>
      </c>
      <c r="R1316" s="2" t="inlineStr"/>
    </row>
    <row r="1317" ht="15" customHeight="1">
      <c r="A1317" t="inlineStr">
        <is>
          <t>A 8136-2024</t>
        </is>
      </c>
      <c r="B1317" s="1" t="n">
        <v>45351</v>
      </c>
      <c r="C1317" s="1" t="n">
        <v>45728</v>
      </c>
      <c r="D1317" t="inlineStr">
        <is>
          <t>JÄMTLANDS LÄN</t>
        </is>
      </c>
      <c r="E1317" t="inlineStr">
        <is>
          <t>HÄRJEDALEN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8376-2024</t>
        </is>
      </c>
      <c r="B1318" s="1" t="n">
        <v>45352</v>
      </c>
      <c r="C1318" s="1" t="n">
        <v>45728</v>
      </c>
      <c r="D1318" t="inlineStr">
        <is>
          <t>JÄMTLANDS LÄN</t>
        </is>
      </c>
      <c r="E1318" t="inlineStr">
        <is>
          <t>HÄRJEDALEN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9013-2024</t>
        </is>
      </c>
      <c r="B1319" s="1" t="n">
        <v>45357</v>
      </c>
      <c r="C1319" s="1" t="n">
        <v>45728</v>
      </c>
      <c r="D1319" t="inlineStr">
        <is>
          <t>JÄMTLANDS LÄN</t>
        </is>
      </c>
      <c r="E1319" t="inlineStr">
        <is>
          <t>HÄRJEDALEN</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9778-2024</t>
        </is>
      </c>
      <c r="B1320" s="1" t="n">
        <v>45362</v>
      </c>
      <c r="C1320" s="1" t="n">
        <v>45728</v>
      </c>
      <c r="D1320" t="inlineStr">
        <is>
          <t>JÄMTLANDS LÄN</t>
        </is>
      </c>
      <c r="E1320" t="inlineStr">
        <is>
          <t>HÄRJEDALEN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9782-2024</t>
        </is>
      </c>
      <c r="B1321" s="1" t="n">
        <v>45362</v>
      </c>
      <c r="C1321" s="1" t="n">
        <v>45728</v>
      </c>
      <c r="D1321" t="inlineStr">
        <is>
          <t>JÄMTLANDS LÄN</t>
        </is>
      </c>
      <c r="E1321" t="inlineStr">
        <is>
          <t>HÄRJEDALEN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9767-2024</t>
        </is>
      </c>
      <c r="B1322" s="1" t="n">
        <v>45362</v>
      </c>
      <c r="C1322" s="1" t="n">
        <v>45728</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9780-2024</t>
        </is>
      </c>
      <c r="B1323" s="1" t="n">
        <v>45362</v>
      </c>
      <c r="C1323" s="1" t="n">
        <v>45728</v>
      </c>
      <c r="D1323" t="inlineStr">
        <is>
          <t>JÄMTLANDS LÄN</t>
        </is>
      </c>
      <c r="E1323" t="inlineStr">
        <is>
          <t>HÄRJEDALEN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9784-2024</t>
        </is>
      </c>
      <c r="B1324" s="1" t="n">
        <v>45362</v>
      </c>
      <c r="C1324" s="1" t="n">
        <v>45728</v>
      </c>
      <c r="D1324" t="inlineStr">
        <is>
          <t>JÄMTLANDS LÄN</t>
        </is>
      </c>
      <c r="E1324" t="inlineStr">
        <is>
          <t>HÄRJEDALEN</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9788-2024</t>
        </is>
      </c>
      <c r="B1325" s="1" t="n">
        <v>45362</v>
      </c>
      <c r="C1325" s="1" t="n">
        <v>45728</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9775-2024</t>
        </is>
      </c>
      <c r="B1326" s="1" t="n">
        <v>45362</v>
      </c>
      <c r="C1326" s="1" t="n">
        <v>45728</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10566-2024</t>
        </is>
      </c>
      <c r="B1327" s="1" t="n">
        <v>45366</v>
      </c>
      <c r="C1327" s="1" t="n">
        <v>45728</v>
      </c>
      <c r="D1327" t="inlineStr">
        <is>
          <t>JÄMTLANDS LÄN</t>
        </is>
      </c>
      <c r="E1327" t="inlineStr">
        <is>
          <t>HÄRJEDALEN</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10564-2024</t>
        </is>
      </c>
      <c r="B1328" s="1" t="n">
        <v>45366</v>
      </c>
      <c r="C1328" s="1" t="n">
        <v>45728</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10563-2024</t>
        </is>
      </c>
      <c r="B1329" s="1" t="n">
        <v>45366</v>
      </c>
      <c r="C1329" s="1" t="n">
        <v>45728</v>
      </c>
      <c r="D1329" t="inlineStr">
        <is>
          <t>JÄMTLANDS LÄN</t>
        </is>
      </c>
      <c r="E1329" t="inlineStr">
        <is>
          <t>HÄRJEDALEN</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11257-2024</t>
        </is>
      </c>
      <c r="B1330" s="1" t="n">
        <v>45371</v>
      </c>
      <c r="C1330" s="1" t="n">
        <v>45728</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11255-2024</t>
        </is>
      </c>
      <c r="B1331" s="1" t="n">
        <v>45371</v>
      </c>
      <c r="C1331" s="1" t="n">
        <v>45728</v>
      </c>
      <c r="D1331" t="inlineStr">
        <is>
          <t>JÄMTLANDS LÄN</t>
        </is>
      </c>
      <c r="E1331" t="inlineStr">
        <is>
          <t>HÄRJEDALEN</t>
        </is>
      </c>
      <c r="F1331" t="inlineStr">
        <is>
          <t>Holmen skog AB</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11494-2024</t>
        </is>
      </c>
      <c r="B1332" s="1" t="n">
        <v>45372</v>
      </c>
      <c r="C1332" s="1" t="n">
        <v>45728</v>
      </c>
      <c r="D1332" t="inlineStr">
        <is>
          <t>JÄMTLANDS LÄN</t>
        </is>
      </c>
      <c r="E1332" t="inlineStr">
        <is>
          <t>HÄRJEDALEN</t>
        </is>
      </c>
      <c r="G1332" t="n">
        <v>28.8</v>
      </c>
      <c r="H1332" t="n">
        <v>0</v>
      </c>
      <c r="I1332" t="n">
        <v>0</v>
      </c>
      <c r="J1332" t="n">
        <v>0</v>
      </c>
      <c r="K1332" t="n">
        <v>0</v>
      </c>
      <c r="L1332" t="n">
        <v>0</v>
      </c>
      <c r="M1332" t="n">
        <v>0</v>
      </c>
      <c r="N1332" t="n">
        <v>0</v>
      </c>
      <c r="O1332" t="n">
        <v>0</v>
      </c>
      <c r="P1332" t="n">
        <v>0</v>
      </c>
      <c r="Q1332" t="n">
        <v>0</v>
      </c>
      <c r="R1332" s="2" t="inlineStr"/>
    </row>
    <row r="1333" ht="15" customHeight="1">
      <c r="A1333" t="inlineStr">
        <is>
          <t>A 11624-2024</t>
        </is>
      </c>
      <c r="B1333" s="1" t="n">
        <v>45373</v>
      </c>
      <c r="C1333" s="1" t="n">
        <v>45728</v>
      </c>
      <c r="D1333" t="inlineStr">
        <is>
          <t>JÄMTLANDS LÄN</t>
        </is>
      </c>
      <c r="E1333" t="inlineStr">
        <is>
          <t>HÄRJEDALEN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11612-2024</t>
        </is>
      </c>
      <c r="B1334" s="1" t="n">
        <v>45373</v>
      </c>
      <c r="C1334" s="1" t="n">
        <v>45728</v>
      </c>
      <c r="D1334" t="inlineStr">
        <is>
          <t>JÄMTLANDS LÄN</t>
        </is>
      </c>
      <c r="E1334" t="inlineStr">
        <is>
          <t>HÄRJEDALEN</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12043-2024</t>
        </is>
      </c>
      <c r="B1335" s="1" t="n">
        <v>45377</v>
      </c>
      <c r="C1335" s="1" t="n">
        <v>45728</v>
      </c>
      <c r="D1335" t="inlineStr">
        <is>
          <t>JÄMTLANDS LÄN</t>
        </is>
      </c>
      <c r="E1335" t="inlineStr">
        <is>
          <t>HÄRJEDALEN</t>
        </is>
      </c>
      <c r="F1335" t="inlineStr">
        <is>
          <t>Bergvik skog väst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12929-2024</t>
        </is>
      </c>
      <c r="B1336" s="1" t="n">
        <v>45385</v>
      </c>
      <c r="C1336" s="1" t="n">
        <v>45728</v>
      </c>
      <c r="D1336" t="inlineStr">
        <is>
          <t>JÄMTLANDS LÄN</t>
        </is>
      </c>
      <c r="E1336" t="inlineStr">
        <is>
          <t>HÄRJEDALEN</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13542-2024</t>
        </is>
      </c>
      <c r="B1337" s="1" t="n">
        <v>45387</v>
      </c>
      <c r="C1337" s="1" t="n">
        <v>45728</v>
      </c>
      <c r="D1337" t="inlineStr">
        <is>
          <t>JÄMTLANDS LÄN</t>
        </is>
      </c>
      <c r="E1337" t="inlineStr">
        <is>
          <t>HÄRJEDALEN</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13543-2024</t>
        </is>
      </c>
      <c r="B1338" s="1" t="n">
        <v>45387</v>
      </c>
      <c r="C1338" s="1" t="n">
        <v>45728</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13544-2024</t>
        </is>
      </c>
      <c r="B1339" s="1" t="n">
        <v>45387</v>
      </c>
      <c r="C1339" s="1" t="n">
        <v>45728</v>
      </c>
      <c r="D1339" t="inlineStr">
        <is>
          <t>JÄMTLANDS LÄN</t>
        </is>
      </c>
      <c r="E1339" t="inlineStr">
        <is>
          <t>HÄRJEDALEN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13545-2024</t>
        </is>
      </c>
      <c r="B1340" s="1" t="n">
        <v>45387</v>
      </c>
      <c r="C1340" s="1" t="n">
        <v>45728</v>
      </c>
      <c r="D1340" t="inlineStr">
        <is>
          <t>JÄMTLANDS LÄN</t>
        </is>
      </c>
      <c r="E1340" t="inlineStr">
        <is>
          <t>HÄRJEDALEN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13541-2024</t>
        </is>
      </c>
      <c r="B1341" s="1" t="n">
        <v>45387</v>
      </c>
      <c r="C1341" s="1" t="n">
        <v>45728</v>
      </c>
      <c r="D1341" t="inlineStr">
        <is>
          <t>JÄMTLANDS LÄN</t>
        </is>
      </c>
      <c r="E1341" t="inlineStr">
        <is>
          <t>HÄRJEDALEN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13723-2024</t>
        </is>
      </c>
      <c r="B1342" s="1" t="n">
        <v>45390</v>
      </c>
      <c r="C1342" s="1" t="n">
        <v>45728</v>
      </c>
      <c r="D1342" t="inlineStr">
        <is>
          <t>JÄMTLANDS LÄN</t>
        </is>
      </c>
      <c r="E1342" t="inlineStr">
        <is>
          <t>HÄRJEDALEN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14301-2024</t>
        </is>
      </c>
      <c r="B1343" s="1" t="n">
        <v>45393</v>
      </c>
      <c r="C1343" s="1" t="n">
        <v>45728</v>
      </c>
      <c r="D1343" t="inlineStr">
        <is>
          <t>JÄMTLANDS LÄN</t>
        </is>
      </c>
      <c r="E1343" t="inlineStr">
        <is>
          <t>HÄRJEDALEN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14306-2024</t>
        </is>
      </c>
      <c r="B1344" s="1" t="n">
        <v>45393</v>
      </c>
      <c r="C1344" s="1" t="n">
        <v>45728</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14752-2024</t>
        </is>
      </c>
      <c r="B1345" s="1" t="n">
        <v>45397</v>
      </c>
      <c r="C1345" s="1" t="n">
        <v>45728</v>
      </c>
      <c r="D1345" t="inlineStr">
        <is>
          <t>JÄMTLANDS LÄN</t>
        </is>
      </c>
      <c r="E1345" t="inlineStr">
        <is>
          <t>HÄRJEDALEN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15525-2024</t>
        </is>
      </c>
      <c r="B1346" s="1" t="n">
        <v>45401</v>
      </c>
      <c r="C1346" s="1" t="n">
        <v>45728</v>
      </c>
      <c r="D1346" t="inlineStr">
        <is>
          <t>JÄMTLANDS LÄN</t>
        </is>
      </c>
      <c r="E1346" t="inlineStr">
        <is>
          <t>HÄRJEDALEN</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16185-2024</t>
        </is>
      </c>
      <c r="B1347" s="1" t="n">
        <v>45406</v>
      </c>
      <c r="C1347" s="1" t="n">
        <v>45728</v>
      </c>
      <c r="D1347" t="inlineStr">
        <is>
          <t>JÄMTLANDS LÄN</t>
        </is>
      </c>
      <c r="E1347" t="inlineStr">
        <is>
          <t>HÄRJEDALEN</t>
        </is>
      </c>
      <c r="F1347" t="inlineStr">
        <is>
          <t>Holmen skog AB</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16151-2024</t>
        </is>
      </c>
      <c r="B1348" s="1" t="n">
        <v>45406</v>
      </c>
      <c r="C1348" s="1" t="n">
        <v>45728</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16175-2024</t>
        </is>
      </c>
      <c r="B1349" s="1" t="n">
        <v>45406</v>
      </c>
      <c r="C1349" s="1" t="n">
        <v>45728</v>
      </c>
      <c r="D1349" t="inlineStr">
        <is>
          <t>JÄMTLANDS LÄN</t>
        </is>
      </c>
      <c r="E1349" t="inlineStr">
        <is>
          <t>HÄRJEDALEN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16176-2024</t>
        </is>
      </c>
      <c r="B1350" s="1" t="n">
        <v>45406</v>
      </c>
      <c r="C1350" s="1" t="n">
        <v>45728</v>
      </c>
      <c r="D1350" t="inlineStr">
        <is>
          <t>JÄMTLANDS LÄN</t>
        </is>
      </c>
      <c r="E1350" t="inlineStr">
        <is>
          <t>HÄRJEDALEN</t>
        </is>
      </c>
      <c r="F1350" t="inlineStr">
        <is>
          <t>Holmen skog AB</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16283-2024</t>
        </is>
      </c>
      <c r="B1351" s="1" t="n">
        <v>45407</v>
      </c>
      <c r="C1351" s="1" t="n">
        <v>45728</v>
      </c>
      <c r="D1351" t="inlineStr">
        <is>
          <t>JÄMTLANDS LÄN</t>
        </is>
      </c>
      <c r="E1351" t="inlineStr">
        <is>
          <t>HÄRJEDALEN</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16511-2024</t>
        </is>
      </c>
      <c r="B1352" s="1" t="n">
        <v>45408</v>
      </c>
      <c r="C1352" s="1" t="n">
        <v>45728</v>
      </c>
      <c r="D1352" t="inlineStr">
        <is>
          <t>JÄMTLANDS LÄN</t>
        </is>
      </c>
      <c r="E1352" t="inlineStr">
        <is>
          <t>HÄRJEDALEN</t>
        </is>
      </c>
      <c r="G1352" t="n">
        <v>54.2</v>
      </c>
      <c r="H1352" t="n">
        <v>0</v>
      </c>
      <c r="I1352" t="n">
        <v>0</v>
      </c>
      <c r="J1352" t="n">
        <v>0</v>
      </c>
      <c r="K1352" t="n">
        <v>0</v>
      </c>
      <c r="L1352" t="n">
        <v>0</v>
      </c>
      <c r="M1352" t="n">
        <v>0</v>
      </c>
      <c r="N1352" t="n">
        <v>0</v>
      </c>
      <c r="O1352" t="n">
        <v>0</v>
      </c>
      <c r="P1352" t="n">
        <v>0</v>
      </c>
      <c r="Q1352" t="n">
        <v>0</v>
      </c>
      <c r="R1352" s="2" t="inlineStr"/>
    </row>
    <row r="1353" ht="15" customHeight="1">
      <c r="A1353" t="inlineStr">
        <is>
          <t>A 16535-2024</t>
        </is>
      </c>
      <c r="B1353" s="1" t="n">
        <v>45408</v>
      </c>
      <c r="C1353" s="1" t="n">
        <v>45728</v>
      </c>
      <c r="D1353" t="inlineStr">
        <is>
          <t>JÄMTLANDS LÄN</t>
        </is>
      </c>
      <c r="E1353" t="inlineStr">
        <is>
          <t>HÄRJEDALEN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16801-2024</t>
        </is>
      </c>
      <c r="B1354" s="1" t="n">
        <v>45411</v>
      </c>
      <c r="C1354" s="1" t="n">
        <v>45728</v>
      </c>
      <c r="D1354" t="inlineStr">
        <is>
          <t>JÄMTLANDS LÄN</t>
        </is>
      </c>
      <c r="E1354" t="inlineStr">
        <is>
          <t>HÄRJEDALEN</t>
        </is>
      </c>
      <c r="F1354" t="inlineStr">
        <is>
          <t>Bergvik skog väst AB</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17416-2024</t>
        </is>
      </c>
      <c r="B1355" s="1" t="n">
        <v>45415</v>
      </c>
      <c r="C1355" s="1" t="n">
        <v>45728</v>
      </c>
      <c r="D1355" t="inlineStr">
        <is>
          <t>JÄMTLANDS LÄN</t>
        </is>
      </c>
      <c r="E1355" t="inlineStr">
        <is>
          <t>HÄRJEDALEN</t>
        </is>
      </c>
      <c r="G1355" t="n">
        <v>15.6</v>
      </c>
      <c r="H1355" t="n">
        <v>0</v>
      </c>
      <c r="I1355" t="n">
        <v>0</v>
      </c>
      <c r="J1355" t="n">
        <v>0</v>
      </c>
      <c r="K1355" t="n">
        <v>0</v>
      </c>
      <c r="L1355" t="n">
        <v>0</v>
      </c>
      <c r="M1355" t="n">
        <v>0</v>
      </c>
      <c r="N1355" t="n">
        <v>0</v>
      </c>
      <c r="O1355" t="n">
        <v>0</v>
      </c>
      <c r="P1355" t="n">
        <v>0</v>
      </c>
      <c r="Q1355" t="n">
        <v>0</v>
      </c>
      <c r="R1355" s="2" t="inlineStr"/>
    </row>
    <row r="1356" ht="15" customHeight="1">
      <c r="A1356" t="inlineStr">
        <is>
          <t>A 17773-2024</t>
        </is>
      </c>
      <c r="B1356" s="1" t="n">
        <v>45418</v>
      </c>
      <c r="C1356" s="1" t="n">
        <v>45728</v>
      </c>
      <c r="D1356" t="inlineStr">
        <is>
          <t>JÄMTLANDS LÄN</t>
        </is>
      </c>
      <c r="E1356" t="inlineStr">
        <is>
          <t>HÄRJEDALEN</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17865-2024</t>
        </is>
      </c>
      <c r="B1357" s="1" t="n">
        <v>45419</v>
      </c>
      <c r="C1357" s="1" t="n">
        <v>45728</v>
      </c>
      <c r="D1357" t="inlineStr">
        <is>
          <t>JÄMTLANDS LÄN</t>
        </is>
      </c>
      <c r="E1357" t="inlineStr">
        <is>
          <t>HÄRJEDALEN</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18036-2024</t>
        </is>
      </c>
      <c r="B1358" s="1" t="n">
        <v>45420</v>
      </c>
      <c r="C1358" s="1" t="n">
        <v>45728</v>
      </c>
      <c r="D1358" t="inlineStr">
        <is>
          <t>JÄMTLANDS LÄN</t>
        </is>
      </c>
      <c r="E1358" t="inlineStr">
        <is>
          <t>HÄRJEDALEN</t>
        </is>
      </c>
      <c r="F1358" t="inlineStr">
        <is>
          <t>Holmen skog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18068-2024</t>
        </is>
      </c>
      <c r="B1359" s="1" t="n">
        <v>45420</v>
      </c>
      <c r="C1359" s="1" t="n">
        <v>45728</v>
      </c>
      <c r="D1359" t="inlineStr">
        <is>
          <t>JÄMTLANDS LÄN</t>
        </is>
      </c>
      <c r="E1359" t="inlineStr">
        <is>
          <t>HÄRJEDALEN</t>
        </is>
      </c>
      <c r="F1359" t="inlineStr">
        <is>
          <t>Bergvik skog väst AB</t>
        </is>
      </c>
      <c r="G1359" t="n">
        <v>14.5</v>
      </c>
      <c r="H1359" t="n">
        <v>0</v>
      </c>
      <c r="I1359" t="n">
        <v>0</v>
      </c>
      <c r="J1359" t="n">
        <v>0</v>
      </c>
      <c r="K1359" t="n">
        <v>0</v>
      </c>
      <c r="L1359" t="n">
        <v>0</v>
      </c>
      <c r="M1359" t="n">
        <v>0</v>
      </c>
      <c r="N1359" t="n">
        <v>0</v>
      </c>
      <c r="O1359" t="n">
        <v>0</v>
      </c>
      <c r="P1359" t="n">
        <v>0</v>
      </c>
      <c r="Q1359" t="n">
        <v>0</v>
      </c>
      <c r="R1359" s="2" t="inlineStr"/>
    </row>
    <row r="1360" ht="15" customHeight="1">
      <c r="A1360" t="inlineStr">
        <is>
          <t>A 18076-2024</t>
        </is>
      </c>
      <c r="B1360" s="1" t="n">
        <v>45420</v>
      </c>
      <c r="C1360" s="1" t="n">
        <v>45728</v>
      </c>
      <c r="D1360" t="inlineStr">
        <is>
          <t>JÄMTLANDS LÄN</t>
        </is>
      </c>
      <c r="E1360" t="inlineStr">
        <is>
          <t>HÄRJEDALEN</t>
        </is>
      </c>
      <c r="F1360" t="inlineStr">
        <is>
          <t>Holmen skog AB</t>
        </is>
      </c>
      <c r="G1360" t="n">
        <v>18.2</v>
      </c>
      <c r="H1360" t="n">
        <v>0</v>
      </c>
      <c r="I1360" t="n">
        <v>0</v>
      </c>
      <c r="J1360" t="n">
        <v>0</v>
      </c>
      <c r="K1360" t="n">
        <v>0</v>
      </c>
      <c r="L1360" t="n">
        <v>0</v>
      </c>
      <c r="M1360" t="n">
        <v>0</v>
      </c>
      <c r="N1360" t="n">
        <v>0</v>
      </c>
      <c r="O1360" t="n">
        <v>0</v>
      </c>
      <c r="P1360" t="n">
        <v>0</v>
      </c>
      <c r="Q1360" t="n">
        <v>0</v>
      </c>
      <c r="R1360" s="2" t="inlineStr"/>
    </row>
    <row r="1361" ht="15" customHeight="1">
      <c r="A1361" t="inlineStr">
        <is>
          <t>A 18080-2024</t>
        </is>
      </c>
      <c r="B1361" s="1" t="n">
        <v>45420</v>
      </c>
      <c r="C1361" s="1" t="n">
        <v>45728</v>
      </c>
      <c r="D1361" t="inlineStr">
        <is>
          <t>JÄMTLANDS LÄN</t>
        </is>
      </c>
      <c r="E1361" t="inlineStr">
        <is>
          <t>HÄRJEDALEN</t>
        </is>
      </c>
      <c r="F1361" t="inlineStr">
        <is>
          <t>Holmen skog AB</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18107-2024</t>
        </is>
      </c>
      <c r="B1362" s="1" t="n">
        <v>45420</v>
      </c>
      <c r="C1362" s="1" t="n">
        <v>45728</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18554-2024</t>
        </is>
      </c>
      <c r="B1363" s="1" t="n">
        <v>45425</v>
      </c>
      <c r="C1363" s="1" t="n">
        <v>45728</v>
      </c>
      <c r="D1363" t="inlineStr">
        <is>
          <t>JÄMTLANDS LÄN</t>
        </is>
      </c>
      <c r="E1363" t="inlineStr">
        <is>
          <t>HÄRJEDALEN</t>
        </is>
      </c>
      <c r="G1363" t="n">
        <v>18.7</v>
      </c>
      <c r="H1363" t="n">
        <v>0</v>
      </c>
      <c r="I1363" t="n">
        <v>0</v>
      </c>
      <c r="J1363" t="n">
        <v>0</v>
      </c>
      <c r="K1363" t="n">
        <v>0</v>
      </c>
      <c r="L1363" t="n">
        <v>0</v>
      </c>
      <c r="M1363" t="n">
        <v>0</v>
      </c>
      <c r="N1363" t="n">
        <v>0</v>
      </c>
      <c r="O1363" t="n">
        <v>0</v>
      </c>
      <c r="P1363" t="n">
        <v>0</v>
      </c>
      <c r="Q1363" t="n">
        <v>0</v>
      </c>
      <c r="R1363" s="2" t="inlineStr"/>
    </row>
    <row r="1364" ht="15" customHeight="1">
      <c r="A1364" t="inlineStr">
        <is>
          <t>A 18550-2024</t>
        </is>
      </c>
      <c r="B1364" s="1" t="n">
        <v>45425</v>
      </c>
      <c r="C1364" s="1" t="n">
        <v>45728</v>
      </c>
      <c r="D1364" t="inlineStr">
        <is>
          <t>JÄMTLANDS LÄN</t>
        </is>
      </c>
      <c r="E1364" t="inlineStr">
        <is>
          <t>HÄRJEDALEN</t>
        </is>
      </c>
      <c r="G1364" t="n">
        <v>15.7</v>
      </c>
      <c r="H1364" t="n">
        <v>0</v>
      </c>
      <c r="I1364" t="n">
        <v>0</v>
      </c>
      <c r="J1364" t="n">
        <v>0</v>
      </c>
      <c r="K1364" t="n">
        <v>0</v>
      </c>
      <c r="L1364" t="n">
        <v>0</v>
      </c>
      <c r="M1364" t="n">
        <v>0</v>
      </c>
      <c r="N1364" t="n">
        <v>0</v>
      </c>
      <c r="O1364" t="n">
        <v>0</v>
      </c>
      <c r="P1364" t="n">
        <v>0</v>
      </c>
      <c r="Q1364" t="n">
        <v>0</v>
      </c>
      <c r="R1364" s="2" t="inlineStr"/>
    </row>
    <row r="1365" ht="15" customHeight="1">
      <c r="A1365" t="inlineStr">
        <is>
          <t>A 18644-2024</t>
        </is>
      </c>
      <c r="B1365" s="1" t="n">
        <v>45426</v>
      </c>
      <c r="C1365" s="1" t="n">
        <v>45728</v>
      </c>
      <c r="D1365" t="inlineStr">
        <is>
          <t>JÄMTLANDS LÄN</t>
        </is>
      </c>
      <c r="E1365" t="inlineStr">
        <is>
          <t>HÄRJEDALEN</t>
        </is>
      </c>
      <c r="F1365" t="inlineStr">
        <is>
          <t>SCA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18903-2024</t>
        </is>
      </c>
      <c r="B1366" s="1" t="n">
        <v>45427</v>
      </c>
      <c r="C1366" s="1" t="n">
        <v>45728</v>
      </c>
      <c r="D1366" t="inlineStr">
        <is>
          <t>JÄMTLANDS LÄN</t>
        </is>
      </c>
      <c r="E1366" t="inlineStr">
        <is>
          <t>HÄRJEDALEN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19001-2024</t>
        </is>
      </c>
      <c r="B1367" s="1" t="n">
        <v>45427</v>
      </c>
      <c r="C1367" s="1" t="n">
        <v>45728</v>
      </c>
      <c r="D1367" t="inlineStr">
        <is>
          <t>JÄMTLANDS LÄN</t>
        </is>
      </c>
      <c r="E1367" t="inlineStr">
        <is>
          <t>HÄRJEDALEN</t>
        </is>
      </c>
      <c r="G1367" t="n">
        <v>22.6</v>
      </c>
      <c r="H1367" t="n">
        <v>0</v>
      </c>
      <c r="I1367" t="n">
        <v>0</v>
      </c>
      <c r="J1367" t="n">
        <v>0</v>
      </c>
      <c r="K1367" t="n">
        <v>0</v>
      </c>
      <c r="L1367" t="n">
        <v>0</v>
      </c>
      <c r="M1367" t="n">
        <v>0</v>
      </c>
      <c r="N1367" t="n">
        <v>0</v>
      </c>
      <c r="O1367" t="n">
        <v>0</v>
      </c>
      <c r="P1367" t="n">
        <v>0</v>
      </c>
      <c r="Q1367" t="n">
        <v>0</v>
      </c>
      <c r="R1367" s="2" t="inlineStr"/>
    </row>
    <row r="1368" ht="15" customHeight="1">
      <c r="A1368" t="inlineStr">
        <is>
          <t>A 19453-2024</t>
        </is>
      </c>
      <c r="B1368" s="1" t="n">
        <v>45429</v>
      </c>
      <c r="C1368" s="1" t="n">
        <v>45728</v>
      </c>
      <c r="D1368" t="inlineStr">
        <is>
          <t>JÄMTLANDS LÄN</t>
        </is>
      </c>
      <c r="E1368" t="inlineStr">
        <is>
          <t>HÄRJEDALEN</t>
        </is>
      </c>
      <c r="G1368" t="n">
        <v>31.6</v>
      </c>
      <c r="H1368" t="n">
        <v>0</v>
      </c>
      <c r="I1368" t="n">
        <v>0</v>
      </c>
      <c r="J1368" t="n">
        <v>0</v>
      </c>
      <c r="K1368" t="n">
        <v>0</v>
      </c>
      <c r="L1368" t="n">
        <v>0</v>
      </c>
      <c r="M1368" t="n">
        <v>0</v>
      </c>
      <c r="N1368" t="n">
        <v>0</v>
      </c>
      <c r="O1368" t="n">
        <v>0</v>
      </c>
      <c r="P1368" t="n">
        <v>0</v>
      </c>
      <c r="Q1368" t="n">
        <v>0</v>
      </c>
      <c r="R1368" s="2" t="inlineStr"/>
    </row>
    <row r="1369" ht="15" customHeight="1">
      <c r="A1369" t="inlineStr">
        <is>
          <t>A 19488-2024</t>
        </is>
      </c>
      <c r="B1369" s="1" t="n">
        <v>45429</v>
      </c>
      <c r="C1369" s="1" t="n">
        <v>45728</v>
      </c>
      <c r="D1369" t="inlineStr">
        <is>
          <t>JÄMTLANDS LÄN</t>
        </is>
      </c>
      <c r="E1369" t="inlineStr">
        <is>
          <t>HÄRJEDALEN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19492-2024</t>
        </is>
      </c>
      <c r="B1370" s="1" t="n">
        <v>45429</v>
      </c>
      <c r="C1370" s="1" t="n">
        <v>45728</v>
      </c>
      <c r="D1370" t="inlineStr">
        <is>
          <t>JÄMTLANDS LÄN</t>
        </is>
      </c>
      <c r="E1370" t="inlineStr">
        <is>
          <t>HÄRJEDALEN</t>
        </is>
      </c>
      <c r="G1370" t="n">
        <v>58.7</v>
      </c>
      <c r="H1370" t="n">
        <v>0</v>
      </c>
      <c r="I1370" t="n">
        <v>0</v>
      </c>
      <c r="J1370" t="n">
        <v>0</v>
      </c>
      <c r="K1370" t="n">
        <v>0</v>
      </c>
      <c r="L1370" t="n">
        <v>0</v>
      </c>
      <c r="M1370" t="n">
        <v>0</v>
      </c>
      <c r="N1370" t="n">
        <v>0</v>
      </c>
      <c r="O1370" t="n">
        <v>0</v>
      </c>
      <c r="P1370" t="n">
        <v>0</v>
      </c>
      <c r="Q1370" t="n">
        <v>0</v>
      </c>
      <c r="R1370" s="2" t="inlineStr"/>
    </row>
    <row r="1371" ht="15" customHeight="1">
      <c r="A1371" t="inlineStr">
        <is>
          <t>A 19402-2024</t>
        </is>
      </c>
      <c r="B1371" s="1" t="n">
        <v>45429</v>
      </c>
      <c r="C1371" s="1" t="n">
        <v>45728</v>
      </c>
      <c r="D1371" t="inlineStr">
        <is>
          <t>JÄMTLANDS LÄN</t>
        </is>
      </c>
      <c r="E1371" t="inlineStr">
        <is>
          <t>HÄRJEDALEN</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19426-2024</t>
        </is>
      </c>
      <c r="B1372" s="1" t="n">
        <v>45429</v>
      </c>
      <c r="C1372" s="1" t="n">
        <v>45728</v>
      </c>
      <c r="D1372" t="inlineStr">
        <is>
          <t>JÄMTLANDS LÄN</t>
        </is>
      </c>
      <c r="E1372" t="inlineStr">
        <is>
          <t>HÄRJEDALEN</t>
        </is>
      </c>
      <c r="G1372" t="n">
        <v>30.6</v>
      </c>
      <c r="H1372" t="n">
        <v>0</v>
      </c>
      <c r="I1372" t="n">
        <v>0</v>
      </c>
      <c r="J1372" t="n">
        <v>0</v>
      </c>
      <c r="K1372" t="n">
        <v>0</v>
      </c>
      <c r="L1372" t="n">
        <v>0</v>
      </c>
      <c r="M1372" t="n">
        <v>0</v>
      </c>
      <c r="N1372" t="n">
        <v>0</v>
      </c>
      <c r="O1372" t="n">
        <v>0</v>
      </c>
      <c r="P1372" t="n">
        <v>0</v>
      </c>
      <c r="Q1372" t="n">
        <v>0</v>
      </c>
      <c r="R1372" s="2" t="inlineStr"/>
    </row>
    <row r="1373" ht="15" customHeight="1">
      <c r="A1373" t="inlineStr">
        <is>
          <t>A 19661-2024</t>
        </is>
      </c>
      <c r="B1373" s="1" t="n">
        <v>45432</v>
      </c>
      <c r="C1373" s="1" t="n">
        <v>45728</v>
      </c>
      <c r="D1373" t="inlineStr">
        <is>
          <t>JÄMTLANDS LÄN</t>
        </is>
      </c>
      <c r="E1373" t="inlineStr">
        <is>
          <t>HÄRJEDALEN</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19677-2024</t>
        </is>
      </c>
      <c r="B1374" s="1" t="n">
        <v>45432</v>
      </c>
      <c r="C1374" s="1" t="n">
        <v>45728</v>
      </c>
      <c r="D1374" t="inlineStr">
        <is>
          <t>JÄMTLANDS LÄN</t>
        </is>
      </c>
      <c r="E1374" t="inlineStr">
        <is>
          <t>HÄRJEDALEN</t>
        </is>
      </c>
      <c r="F1374" t="inlineStr">
        <is>
          <t>Bergvik skog väst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20005-2024</t>
        </is>
      </c>
      <c r="B1375" s="1" t="n">
        <v>45434</v>
      </c>
      <c r="C1375" s="1" t="n">
        <v>45728</v>
      </c>
      <c r="D1375" t="inlineStr">
        <is>
          <t>JÄMTLANDS LÄN</t>
        </is>
      </c>
      <c r="E1375" t="inlineStr">
        <is>
          <t>HÄRJEDALEN</t>
        </is>
      </c>
      <c r="F1375" t="inlineStr">
        <is>
          <t>SCA</t>
        </is>
      </c>
      <c r="G1375" t="n">
        <v>20.7</v>
      </c>
      <c r="H1375" t="n">
        <v>0</v>
      </c>
      <c r="I1375" t="n">
        <v>0</v>
      </c>
      <c r="J1375" t="n">
        <v>0</v>
      </c>
      <c r="K1375" t="n">
        <v>0</v>
      </c>
      <c r="L1375" t="n">
        <v>0</v>
      </c>
      <c r="M1375" t="n">
        <v>0</v>
      </c>
      <c r="N1375" t="n">
        <v>0</v>
      </c>
      <c r="O1375" t="n">
        <v>0</v>
      </c>
      <c r="P1375" t="n">
        <v>0</v>
      </c>
      <c r="Q1375" t="n">
        <v>0</v>
      </c>
      <c r="R1375" s="2" t="inlineStr"/>
    </row>
    <row r="1376" ht="15" customHeight="1">
      <c r="A1376" t="inlineStr">
        <is>
          <t>A 20701-2024</t>
        </is>
      </c>
      <c r="B1376" s="1" t="n">
        <v>45436</v>
      </c>
      <c r="C1376" s="1" t="n">
        <v>45728</v>
      </c>
      <c r="D1376" t="inlineStr">
        <is>
          <t>JÄMTLANDS LÄN</t>
        </is>
      </c>
      <c r="E1376" t="inlineStr">
        <is>
          <t>HÄRJEDALEN</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20865-2024</t>
        </is>
      </c>
      <c r="B1377" s="1" t="n">
        <v>45439</v>
      </c>
      <c r="C1377" s="1" t="n">
        <v>45728</v>
      </c>
      <c r="D1377" t="inlineStr">
        <is>
          <t>JÄMTLANDS LÄN</t>
        </is>
      </c>
      <c r="E1377" t="inlineStr">
        <is>
          <t>HÄRJEDALEN</t>
        </is>
      </c>
      <c r="F1377" t="inlineStr">
        <is>
          <t>Holmen skog AB</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21011-2024</t>
        </is>
      </c>
      <c r="B1378" s="1" t="n">
        <v>45439</v>
      </c>
      <c r="C1378" s="1" t="n">
        <v>45728</v>
      </c>
      <c r="D1378" t="inlineStr">
        <is>
          <t>JÄMTLANDS LÄN</t>
        </is>
      </c>
      <c r="E1378" t="inlineStr">
        <is>
          <t>HÄRJEDALEN</t>
        </is>
      </c>
      <c r="G1378" t="n">
        <v>92.40000000000001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20853-2024</t>
        </is>
      </c>
      <c r="B1379" s="1" t="n">
        <v>45439</v>
      </c>
      <c r="C1379" s="1" t="n">
        <v>45728</v>
      </c>
      <c r="D1379" t="inlineStr">
        <is>
          <t>JÄMTLANDS LÄN</t>
        </is>
      </c>
      <c r="E1379" t="inlineStr">
        <is>
          <t>HÄRJEDALEN</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21478-2024</t>
        </is>
      </c>
      <c r="B1380" s="1" t="n">
        <v>45441</v>
      </c>
      <c r="C1380" s="1" t="n">
        <v>45728</v>
      </c>
      <c r="D1380" t="inlineStr">
        <is>
          <t>JÄMTLANDS LÄN</t>
        </is>
      </c>
      <c r="E1380" t="inlineStr">
        <is>
          <t>HÄRJEDALEN</t>
        </is>
      </c>
      <c r="G1380" t="n">
        <v>44.9</v>
      </c>
      <c r="H1380" t="n">
        <v>0</v>
      </c>
      <c r="I1380" t="n">
        <v>0</v>
      </c>
      <c r="J1380" t="n">
        <v>0</v>
      </c>
      <c r="K1380" t="n">
        <v>0</v>
      </c>
      <c r="L1380" t="n">
        <v>0</v>
      </c>
      <c r="M1380" t="n">
        <v>0</v>
      </c>
      <c r="N1380" t="n">
        <v>0</v>
      </c>
      <c r="O1380" t="n">
        <v>0</v>
      </c>
      <c r="P1380" t="n">
        <v>0</v>
      </c>
      <c r="Q1380" t="n">
        <v>0</v>
      </c>
      <c r="R1380" s="2" t="inlineStr"/>
    </row>
    <row r="1381" ht="15" customHeight="1">
      <c r="A1381" t="inlineStr">
        <is>
          <t>A 21621-2024</t>
        </is>
      </c>
      <c r="B1381" s="1" t="n">
        <v>45442</v>
      </c>
      <c r="C1381" s="1" t="n">
        <v>45728</v>
      </c>
      <c r="D1381" t="inlineStr">
        <is>
          <t>JÄMTLANDS LÄN</t>
        </is>
      </c>
      <c r="E1381" t="inlineStr">
        <is>
          <t>HÄRJEDALEN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21624-2024</t>
        </is>
      </c>
      <c r="B1382" s="1" t="n">
        <v>45442</v>
      </c>
      <c r="C1382" s="1" t="n">
        <v>45728</v>
      </c>
      <c r="D1382" t="inlineStr">
        <is>
          <t>JÄMTLANDS LÄN</t>
        </is>
      </c>
      <c r="E1382" t="inlineStr">
        <is>
          <t>HÄRJEDALEN</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21816-2024</t>
        </is>
      </c>
      <c r="B1383" s="1" t="n">
        <v>45442</v>
      </c>
      <c r="C1383" s="1" t="n">
        <v>45728</v>
      </c>
      <c r="D1383" t="inlineStr">
        <is>
          <t>JÄMTLANDS LÄN</t>
        </is>
      </c>
      <c r="E1383" t="inlineStr">
        <is>
          <t>HÄRJEDALEN</t>
        </is>
      </c>
      <c r="F1383" t="inlineStr">
        <is>
          <t>Bergvik skog väst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22499-2024</t>
        </is>
      </c>
      <c r="B1384" s="1" t="n">
        <v>45447</v>
      </c>
      <c r="C1384" s="1" t="n">
        <v>45728</v>
      </c>
      <c r="D1384" t="inlineStr">
        <is>
          <t>JÄMTLANDS LÄN</t>
        </is>
      </c>
      <c r="E1384" t="inlineStr">
        <is>
          <t>HÄRJEDALEN</t>
        </is>
      </c>
      <c r="G1384" t="n">
        <v>14.1</v>
      </c>
      <c r="H1384" t="n">
        <v>0</v>
      </c>
      <c r="I1384" t="n">
        <v>0</v>
      </c>
      <c r="J1384" t="n">
        <v>0</v>
      </c>
      <c r="K1384" t="n">
        <v>0</v>
      </c>
      <c r="L1384" t="n">
        <v>0</v>
      </c>
      <c r="M1384" t="n">
        <v>0</v>
      </c>
      <c r="N1384" t="n">
        <v>0</v>
      </c>
      <c r="O1384" t="n">
        <v>0</v>
      </c>
      <c r="P1384" t="n">
        <v>0</v>
      </c>
      <c r="Q1384" t="n">
        <v>0</v>
      </c>
      <c r="R1384" s="2" t="inlineStr"/>
    </row>
    <row r="1385" ht="15" customHeight="1">
      <c r="A1385" t="inlineStr">
        <is>
          <t>A 22685-2024</t>
        </is>
      </c>
      <c r="B1385" s="1" t="n">
        <v>45448</v>
      </c>
      <c r="C1385" s="1" t="n">
        <v>45728</v>
      </c>
      <c r="D1385" t="inlineStr">
        <is>
          <t>JÄMTLANDS LÄN</t>
        </is>
      </c>
      <c r="E1385" t="inlineStr">
        <is>
          <t>HÄRJEDALEN</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22706-2024</t>
        </is>
      </c>
      <c r="B1386" s="1" t="n">
        <v>45448</v>
      </c>
      <c r="C1386" s="1" t="n">
        <v>45728</v>
      </c>
      <c r="D1386" t="inlineStr">
        <is>
          <t>JÄMTLANDS LÄN</t>
        </is>
      </c>
      <c r="E1386" t="inlineStr">
        <is>
          <t>HÄRJEDALEN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22838-2024</t>
        </is>
      </c>
      <c r="B1387" s="1" t="n">
        <v>45448</v>
      </c>
      <c r="C1387" s="1" t="n">
        <v>45728</v>
      </c>
      <c r="D1387" t="inlineStr">
        <is>
          <t>JÄMTLANDS LÄN</t>
        </is>
      </c>
      <c r="E1387" t="inlineStr">
        <is>
          <t>HÄRJEDALEN</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23474-2024</t>
        </is>
      </c>
      <c r="B1388" s="1" t="n">
        <v>45453</v>
      </c>
      <c r="C1388" s="1" t="n">
        <v>45728</v>
      </c>
      <c r="D1388" t="inlineStr">
        <is>
          <t>JÄMTLANDS LÄN</t>
        </is>
      </c>
      <c r="E1388" t="inlineStr">
        <is>
          <t>HÄRJEDALEN</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23467-2024</t>
        </is>
      </c>
      <c r="B1389" s="1" t="n">
        <v>45453</v>
      </c>
      <c r="C1389" s="1" t="n">
        <v>45728</v>
      </c>
      <c r="D1389" t="inlineStr">
        <is>
          <t>JÄMTLANDS LÄN</t>
        </is>
      </c>
      <c r="E1389" t="inlineStr">
        <is>
          <t>HÄRJEDALEN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23965-2024</t>
        </is>
      </c>
      <c r="B1390" s="1" t="n">
        <v>45456</v>
      </c>
      <c r="C1390" s="1" t="n">
        <v>45728</v>
      </c>
      <c r="D1390" t="inlineStr">
        <is>
          <t>JÄMTLANDS LÄN</t>
        </is>
      </c>
      <c r="E1390" t="inlineStr">
        <is>
          <t>HÄRJEDALEN</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23964-2024</t>
        </is>
      </c>
      <c r="B1391" s="1" t="n">
        <v>45456</v>
      </c>
      <c r="C1391" s="1" t="n">
        <v>45728</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24250-2024</t>
        </is>
      </c>
      <c r="B1392" s="1" t="n">
        <v>45457</v>
      </c>
      <c r="C1392" s="1" t="n">
        <v>45728</v>
      </c>
      <c r="D1392" t="inlineStr">
        <is>
          <t>JÄMTLANDS LÄN</t>
        </is>
      </c>
      <c r="E1392" t="inlineStr">
        <is>
          <t>HÄRJEDALEN</t>
        </is>
      </c>
      <c r="F1392" t="inlineStr">
        <is>
          <t>Sveaskog</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24423-2024</t>
        </is>
      </c>
      <c r="B1393" s="1" t="n">
        <v>45458</v>
      </c>
      <c r="C1393" s="1" t="n">
        <v>45728</v>
      </c>
      <c r="D1393" t="inlineStr">
        <is>
          <t>JÄMTLANDS LÄN</t>
        </is>
      </c>
      <c r="E1393" t="inlineStr">
        <is>
          <t>HÄRJEDALEN</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24453-2024</t>
        </is>
      </c>
      <c r="B1394" s="1" t="n">
        <v>45458</v>
      </c>
      <c r="C1394" s="1" t="n">
        <v>45728</v>
      </c>
      <c r="D1394" t="inlineStr">
        <is>
          <t>JÄMTLANDS LÄN</t>
        </is>
      </c>
      <c r="E1394" t="inlineStr">
        <is>
          <t>HÄRJEDALEN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24240-2024</t>
        </is>
      </c>
      <c r="B1395" s="1" t="n">
        <v>45457</v>
      </c>
      <c r="C1395" s="1" t="n">
        <v>45728</v>
      </c>
      <c r="D1395" t="inlineStr">
        <is>
          <t>JÄMTLANDS LÄN</t>
        </is>
      </c>
      <c r="E1395" t="inlineStr">
        <is>
          <t>HÄRJEDALEN</t>
        </is>
      </c>
      <c r="F1395" t="inlineStr">
        <is>
          <t>Bergvik skog väst AB</t>
        </is>
      </c>
      <c r="G1395" t="n">
        <v>27.3</v>
      </c>
      <c r="H1395" t="n">
        <v>0</v>
      </c>
      <c r="I1395" t="n">
        <v>0</v>
      </c>
      <c r="J1395" t="n">
        <v>0</v>
      </c>
      <c r="K1395" t="n">
        <v>0</v>
      </c>
      <c r="L1395" t="n">
        <v>0</v>
      </c>
      <c r="M1395" t="n">
        <v>0</v>
      </c>
      <c r="N1395" t="n">
        <v>0</v>
      </c>
      <c r="O1395" t="n">
        <v>0</v>
      </c>
      <c r="P1395" t="n">
        <v>0</v>
      </c>
      <c r="Q1395" t="n">
        <v>0</v>
      </c>
      <c r="R1395" s="2" t="inlineStr"/>
    </row>
    <row r="1396" ht="15" customHeight="1">
      <c r="A1396" t="inlineStr">
        <is>
          <t>A 24421-2024</t>
        </is>
      </c>
      <c r="B1396" s="1" t="n">
        <v>45458</v>
      </c>
      <c r="C1396" s="1" t="n">
        <v>45728</v>
      </c>
      <c r="D1396" t="inlineStr">
        <is>
          <t>JÄMTLANDS LÄN</t>
        </is>
      </c>
      <c r="E1396" t="inlineStr">
        <is>
          <t>HÄRJEDALEN</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24452-2024</t>
        </is>
      </c>
      <c r="B1397" s="1" t="n">
        <v>45458</v>
      </c>
      <c r="C1397" s="1" t="n">
        <v>45728</v>
      </c>
      <c r="D1397" t="inlineStr">
        <is>
          <t>JÄMTLANDS LÄN</t>
        </is>
      </c>
      <c r="E1397" t="inlineStr">
        <is>
          <t>HÄRJEDALEN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24275-2024</t>
        </is>
      </c>
      <c r="B1398" s="1" t="n">
        <v>45457</v>
      </c>
      <c r="C1398" s="1" t="n">
        <v>45728</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24295-2024</t>
        </is>
      </c>
      <c r="B1399" s="1" t="n">
        <v>45457</v>
      </c>
      <c r="C1399" s="1" t="n">
        <v>45728</v>
      </c>
      <c r="D1399" t="inlineStr">
        <is>
          <t>JÄMTLANDS LÄN</t>
        </is>
      </c>
      <c r="E1399" t="inlineStr">
        <is>
          <t>HÄRJEDALEN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24335-2024</t>
        </is>
      </c>
      <c r="B1400" s="1" t="n">
        <v>45457</v>
      </c>
      <c r="C1400" s="1" t="n">
        <v>45728</v>
      </c>
      <c r="D1400" t="inlineStr">
        <is>
          <t>JÄMTLANDS LÄN</t>
        </is>
      </c>
      <c r="E1400" t="inlineStr">
        <is>
          <t>HÄRJEDALEN</t>
        </is>
      </c>
      <c r="F1400" t="inlineStr">
        <is>
          <t>Naturvårdsverket</t>
        </is>
      </c>
      <c r="G1400" t="n">
        <v>20.3</v>
      </c>
      <c r="H1400" t="n">
        <v>0</v>
      </c>
      <c r="I1400" t="n">
        <v>0</v>
      </c>
      <c r="J1400" t="n">
        <v>0</v>
      </c>
      <c r="K1400" t="n">
        <v>0</v>
      </c>
      <c r="L1400" t="n">
        <v>0</v>
      </c>
      <c r="M1400" t="n">
        <v>0</v>
      </c>
      <c r="N1400" t="n">
        <v>0</v>
      </c>
      <c r="O1400" t="n">
        <v>0</v>
      </c>
      <c r="P1400" t="n">
        <v>0</v>
      </c>
      <c r="Q1400" t="n">
        <v>0</v>
      </c>
      <c r="R1400" s="2" t="inlineStr"/>
    </row>
    <row r="1401" ht="15" customHeight="1">
      <c r="A1401" t="inlineStr">
        <is>
          <t>A 24425-2024</t>
        </is>
      </c>
      <c r="B1401" s="1" t="n">
        <v>45458</v>
      </c>
      <c r="C1401" s="1" t="n">
        <v>45728</v>
      </c>
      <c r="D1401" t="inlineStr">
        <is>
          <t>JÄMTLANDS LÄN</t>
        </is>
      </c>
      <c r="E1401" t="inlineStr">
        <is>
          <t>HÄRJEDALEN</t>
        </is>
      </c>
      <c r="G1401" t="n">
        <v>15.8</v>
      </c>
      <c r="H1401" t="n">
        <v>0</v>
      </c>
      <c r="I1401" t="n">
        <v>0</v>
      </c>
      <c r="J1401" t="n">
        <v>0</v>
      </c>
      <c r="K1401" t="n">
        <v>0</v>
      </c>
      <c r="L1401" t="n">
        <v>0</v>
      </c>
      <c r="M1401" t="n">
        <v>0</v>
      </c>
      <c r="N1401" t="n">
        <v>0</v>
      </c>
      <c r="O1401" t="n">
        <v>0</v>
      </c>
      <c r="P1401" t="n">
        <v>0</v>
      </c>
      <c r="Q1401" t="n">
        <v>0</v>
      </c>
      <c r="R1401" s="2" t="inlineStr"/>
    </row>
    <row r="1402" ht="15" customHeight="1">
      <c r="A1402" t="inlineStr">
        <is>
          <t>A 24494-2024</t>
        </is>
      </c>
      <c r="B1402" s="1" t="n">
        <v>45459</v>
      </c>
      <c r="C1402" s="1" t="n">
        <v>45728</v>
      </c>
      <c r="D1402" t="inlineStr">
        <is>
          <t>JÄMTLANDS LÄN</t>
        </is>
      </c>
      <c r="E1402" t="inlineStr">
        <is>
          <t>HÄRJEDALEN</t>
        </is>
      </c>
      <c r="G1402" t="n">
        <v>20.1</v>
      </c>
      <c r="H1402" t="n">
        <v>0</v>
      </c>
      <c r="I1402" t="n">
        <v>0</v>
      </c>
      <c r="J1402" t="n">
        <v>0</v>
      </c>
      <c r="K1402" t="n">
        <v>0</v>
      </c>
      <c r="L1402" t="n">
        <v>0</v>
      </c>
      <c r="M1402" t="n">
        <v>0</v>
      </c>
      <c r="N1402" t="n">
        <v>0</v>
      </c>
      <c r="O1402" t="n">
        <v>0</v>
      </c>
      <c r="P1402" t="n">
        <v>0</v>
      </c>
      <c r="Q1402" t="n">
        <v>0</v>
      </c>
      <c r="R1402" s="2" t="inlineStr"/>
    </row>
    <row r="1403" ht="15" customHeight="1">
      <c r="A1403" t="inlineStr">
        <is>
          <t>A 24711-2024</t>
        </is>
      </c>
      <c r="B1403" s="1" t="n">
        <v>45460</v>
      </c>
      <c r="C1403" s="1" t="n">
        <v>45728</v>
      </c>
      <c r="D1403" t="inlineStr">
        <is>
          <t>JÄMTLANDS LÄN</t>
        </is>
      </c>
      <c r="E1403" t="inlineStr">
        <is>
          <t>HÄRJEDALEN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24608-2024</t>
        </is>
      </c>
      <c r="B1404" s="1" t="n">
        <v>45460</v>
      </c>
      <c r="C1404" s="1" t="n">
        <v>45728</v>
      </c>
      <c r="D1404" t="inlineStr">
        <is>
          <t>JÄMTLANDS LÄN</t>
        </is>
      </c>
      <c r="E1404" t="inlineStr">
        <is>
          <t>HÄRJEDALEN</t>
        </is>
      </c>
      <c r="G1404" t="n">
        <v>15.7</v>
      </c>
      <c r="H1404" t="n">
        <v>0</v>
      </c>
      <c r="I1404" t="n">
        <v>0</v>
      </c>
      <c r="J1404" t="n">
        <v>0</v>
      </c>
      <c r="K1404" t="n">
        <v>0</v>
      </c>
      <c r="L1404" t="n">
        <v>0</v>
      </c>
      <c r="M1404" t="n">
        <v>0</v>
      </c>
      <c r="N1404" t="n">
        <v>0</v>
      </c>
      <c r="O1404" t="n">
        <v>0</v>
      </c>
      <c r="P1404" t="n">
        <v>0</v>
      </c>
      <c r="Q1404" t="n">
        <v>0</v>
      </c>
      <c r="R1404" s="2" t="inlineStr"/>
    </row>
    <row r="1405" ht="15" customHeight="1">
      <c r="A1405" t="inlineStr">
        <is>
          <t>A 24526-2024</t>
        </is>
      </c>
      <c r="B1405" s="1" t="n">
        <v>45460</v>
      </c>
      <c r="C1405" s="1" t="n">
        <v>45728</v>
      </c>
      <c r="D1405" t="inlineStr">
        <is>
          <t>JÄMTLANDS LÄN</t>
        </is>
      </c>
      <c r="E1405" t="inlineStr">
        <is>
          <t>HÄRJEDALEN</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24613-2024</t>
        </is>
      </c>
      <c r="B1406" s="1" t="n">
        <v>45460</v>
      </c>
      <c r="C1406" s="1" t="n">
        <v>45728</v>
      </c>
      <c r="D1406" t="inlineStr">
        <is>
          <t>JÄMTLANDS LÄN</t>
        </is>
      </c>
      <c r="E1406" t="inlineStr">
        <is>
          <t>HÄRJEDALEN</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25049-2024</t>
        </is>
      </c>
      <c r="B1407" s="1" t="n">
        <v>45462</v>
      </c>
      <c r="C1407" s="1" t="n">
        <v>45728</v>
      </c>
      <c r="D1407" t="inlineStr">
        <is>
          <t>JÄMTLANDS LÄN</t>
        </is>
      </c>
      <c r="E1407" t="inlineStr">
        <is>
          <t>HÄRJEDALEN</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25502-2024</t>
        </is>
      </c>
      <c r="B1408" s="1" t="n">
        <v>45463</v>
      </c>
      <c r="C1408" s="1" t="n">
        <v>45728</v>
      </c>
      <c r="D1408" t="inlineStr">
        <is>
          <t>JÄMTLANDS LÄN</t>
        </is>
      </c>
      <c r="E1408" t="inlineStr">
        <is>
          <t>HÄRJEDALEN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25893-2024</t>
        </is>
      </c>
      <c r="B1409" s="1" t="n">
        <v>45467</v>
      </c>
      <c r="C1409" s="1" t="n">
        <v>45728</v>
      </c>
      <c r="D1409" t="inlineStr">
        <is>
          <t>JÄMTLANDS LÄN</t>
        </is>
      </c>
      <c r="E1409" t="inlineStr">
        <is>
          <t>HÄRJEDALEN</t>
        </is>
      </c>
      <c r="G1409" t="n">
        <v>12.8</v>
      </c>
      <c r="H1409" t="n">
        <v>0</v>
      </c>
      <c r="I1409" t="n">
        <v>0</v>
      </c>
      <c r="J1409" t="n">
        <v>0</v>
      </c>
      <c r="K1409" t="n">
        <v>0</v>
      </c>
      <c r="L1409" t="n">
        <v>0</v>
      </c>
      <c r="M1409" t="n">
        <v>0</v>
      </c>
      <c r="N1409" t="n">
        <v>0</v>
      </c>
      <c r="O1409" t="n">
        <v>0</v>
      </c>
      <c r="P1409" t="n">
        <v>0</v>
      </c>
      <c r="Q1409" t="n">
        <v>0</v>
      </c>
      <c r="R1409" s="2" t="inlineStr"/>
    </row>
    <row r="1410" ht="15" customHeight="1">
      <c r="A1410" t="inlineStr">
        <is>
          <t>A 26001-2024</t>
        </is>
      </c>
      <c r="B1410" s="1" t="n">
        <v>45468</v>
      </c>
      <c r="C1410" s="1" t="n">
        <v>45728</v>
      </c>
      <c r="D1410" t="inlineStr">
        <is>
          <t>JÄMTLANDS LÄN</t>
        </is>
      </c>
      <c r="E1410" t="inlineStr">
        <is>
          <t>HÄRJEDALEN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27068-2024</t>
        </is>
      </c>
      <c r="B1411" s="1" t="n">
        <v>45471</v>
      </c>
      <c r="C1411" s="1" t="n">
        <v>45728</v>
      </c>
      <c r="D1411" t="inlineStr">
        <is>
          <t>JÄMTLANDS LÄN</t>
        </is>
      </c>
      <c r="E1411" t="inlineStr">
        <is>
          <t>HÄRJEDALEN</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27075-2024</t>
        </is>
      </c>
      <c r="B1412" s="1" t="n">
        <v>45471</v>
      </c>
      <c r="C1412" s="1" t="n">
        <v>45728</v>
      </c>
      <c r="D1412" t="inlineStr">
        <is>
          <t>JÄMTLANDS LÄN</t>
        </is>
      </c>
      <c r="E1412" t="inlineStr">
        <is>
          <t>HÄRJEDALEN</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27245-2024</t>
        </is>
      </c>
      <c r="B1413" s="1" t="n">
        <v>45471</v>
      </c>
      <c r="C1413" s="1" t="n">
        <v>45728</v>
      </c>
      <c r="D1413" t="inlineStr">
        <is>
          <t>JÄMTLANDS LÄN</t>
        </is>
      </c>
      <c r="E1413" t="inlineStr">
        <is>
          <t>HÄRJEDALEN</t>
        </is>
      </c>
      <c r="F1413" t="inlineStr">
        <is>
          <t>Bergvik skog väst AB</t>
        </is>
      </c>
      <c r="G1413" t="n">
        <v>31.2</v>
      </c>
      <c r="H1413" t="n">
        <v>0</v>
      </c>
      <c r="I1413" t="n">
        <v>0</v>
      </c>
      <c r="J1413" t="n">
        <v>0</v>
      </c>
      <c r="K1413" t="n">
        <v>0</v>
      </c>
      <c r="L1413" t="n">
        <v>0</v>
      </c>
      <c r="M1413" t="n">
        <v>0</v>
      </c>
      <c r="N1413" t="n">
        <v>0</v>
      </c>
      <c r="O1413" t="n">
        <v>0</v>
      </c>
      <c r="P1413" t="n">
        <v>0</v>
      </c>
      <c r="Q1413" t="n">
        <v>0</v>
      </c>
      <c r="R1413" s="2" t="inlineStr"/>
    </row>
    <row r="1414" ht="15" customHeight="1">
      <c r="A1414" t="inlineStr">
        <is>
          <t>A 27065-2024</t>
        </is>
      </c>
      <c r="B1414" s="1" t="n">
        <v>45471</v>
      </c>
      <c r="C1414" s="1" t="n">
        <v>45728</v>
      </c>
      <c r="D1414" t="inlineStr">
        <is>
          <t>JÄMTLANDS LÄN</t>
        </is>
      </c>
      <c r="E1414" t="inlineStr">
        <is>
          <t>HÄRJEDALEN</t>
        </is>
      </c>
      <c r="F1414" t="inlineStr">
        <is>
          <t>Bergvik skog väst AB</t>
        </is>
      </c>
      <c r="G1414" t="n">
        <v>15.2</v>
      </c>
      <c r="H1414" t="n">
        <v>0</v>
      </c>
      <c r="I1414" t="n">
        <v>0</v>
      </c>
      <c r="J1414" t="n">
        <v>0</v>
      </c>
      <c r="K1414" t="n">
        <v>0</v>
      </c>
      <c r="L1414" t="n">
        <v>0</v>
      </c>
      <c r="M1414" t="n">
        <v>0</v>
      </c>
      <c r="N1414" t="n">
        <v>0</v>
      </c>
      <c r="O1414" t="n">
        <v>0</v>
      </c>
      <c r="P1414" t="n">
        <v>0</v>
      </c>
      <c r="Q1414" t="n">
        <v>0</v>
      </c>
      <c r="R1414" s="2" t="inlineStr"/>
    </row>
    <row r="1415" ht="15" customHeight="1">
      <c r="A1415" t="inlineStr">
        <is>
          <t>A 27066-2024</t>
        </is>
      </c>
      <c r="B1415" s="1" t="n">
        <v>45471</v>
      </c>
      <c r="C1415" s="1" t="n">
        <v>45728</v>
      </c>
      <c r="D1415" t="inlineStr">
        <is>
          <t>JÄMTLANDS LÄN</t>
        </is>
      </c>
      <c r="E1415" t="inlineStr">
        <is>
          <t>HÄRJEDALEN</t>
        </is>
      </c>
      <c r="F1415" t="inlineStr">
        <is>
          <t>Bergvik skog väst AB</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27235-2024</t>
        </is>
      </c>
      <c r="B1416" s="1" t="n">
        <v>45471</v>
      </c>
      <c r="C1416" s="1" t="n">
        <v>45728</v>
      </c>
      <c r="D1416" t="inlineStr">
        <is>
          <t>JÄMTLANDS LÄN</t>
        </is>
      </c>
      <c r="E1416" t="inlineStr">
        <is>
          <t>HÄRJEDALEN</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27076-2024</t>
        </is>
      </c>
      <c r="B1417" s="1" t="n">
        <v>45471</v>
      </c>
      <c r="C1417" s="1" t="n">
        <v>45728</v>
      </c>
      <c r="D1417" t="inlineStr">
        <is>
          <t>JÄMTLANDS LÄN</t>
        </is>
      </c>
      <c r="E1417" t="inlineStr">
        <is>
          <t>HÄRJEDALEN</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27512-2024</t>
        </is>
      </c>
      <c r="B1418" s="1" t="n">
        <v>45474</v>
      </c>
      <c r="C1418" s="1" t="n">
        <v>45728</v>
      </c>
      <c r="D1418" t="inlineStr">
        <is>
          <t>JÄMTLANDS LÄN</t>
        </is>
      </c>
      <c r="E1418" t="inlineStr">
        <is>
          <t>HÄRJEDALEN</t>
        </is>
      </c>
      <c r="G1418" t="n">
        <v>19.3</v>
      </c>
      <c r="H1418" t="n">
        <v>0</v>
      </c>
      <c r="I1418" t="n">
        <v>0</v>
      </c>
      <c r="J1418" t="n">
        <v>0</v>
      </c>
      <c r="K1418" t="n">
        <v>0</v>
      </c>
      <c r="L1418" t="n">
        <v>0</v>
      </c>
      <c r="M1418" t="n">
        <v>0</v>
      </c>
      <c r="N1418" t="n">
        <v>0</v>
      </c>
      <c r="O1418" t="n">
        <v>0</v>
      </c>
      <c r="P1418" t="n">
        <v>0</v>
      </c>
      <c r="Q1418" t="n">
        <v>0</v>
      </c>
      <c r="R1418" s="2" t="inlineStr"/>
    </row>
    <row r="1419" ht="15" customHeight="1">
      <c r="A1419" t="inlineStr">
        <is>
          <t>A 28406-2024</t>
        </is>
      </c>
      <c r="B1419" s="1" t="n">
        <v>45477</v>
      </c>
      <c r="C1419" s="1" t="n">
        <v>45728</v>
      </c>
      <c r="D1419" t="inlineStr">
        <is>
          <t>JÄMTLANDS LÄN</t>
        </is>
      </c>
      <c r="E1419" t="inlineStr">
        <is>
          <t>HÄRJEDALEN</t>
        </is>
      </c>
      <c r="F1419" t="inlineStr">
        <is>
          <t>Holmen skog AB</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28444-2024</t>
        </is>
      </c>
      <c r="B1420" s="1" t="n">
        <v>45477</v>
      </c>
      <c r="C1420" s="1" t="n">
        <v>45728</v>
      </c>
      <c r="D1420" t="inlineStr">
        <is>
          <t>JÄMTLANDS LÄN</t>
        </is>
      </c>
      <c r="E1420" t="inlineStr">
        <is>
          <t>HÄRJEDALEN</t>
        </is>
      </c>
      <c r="F1420" t="inlineStr">
        <is>
          <t>Holmen skog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28408-2024</t>
        </is>
      </c>
      <c r="B1421" s="1" t="n">
        <v>45477</v>
      </c>
      <c r="C1421" s="1" t="n">
        <v>45728</v>
      </c>
      <c r="D1421" t="inlineStr">
        <is>
          <t>JÄMTLANDS LÄN</t>
        </is>
      </c>
      <c r="E1421" t="inlineStr">
        <is>
          <t>HÄRJEDALEN</t>
        </is>
      </c>
      <c r="F1421" t="inlineStr">
        <is>
          <t>Holmen skog AB</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28400-2024</t>
        </is>
      </c>
      <c r="B1422" s="1" t="n">
        <v>45477</v>
      </c>
      <c r="C1422" s="1" t="n">
        <v>45728</v>
      </c>
      <c r="D1422" t="inlineStr">
        <is>
          <t>JÄMTLANDS LÄN</t>
        </is>
      </c>
      <c r="E1422" t="inlineStr">
        <is>
          <t>HÄRJEDALEN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28403-2024</t>
        </is>
      </c>
      <c r="B1423" s="1" t="n">
        <v>45477</v>
      </c>
      <c r="C1423" s="1" t="n">
        <v>45728</v>
      </c>
      <c r="D1423" t="inlineStr">
        <is>
          <t>JÄMTLANDS LÄN</t>
        </is>
      </c>
      <c r="E1423" t="inlineStr">
        <is>
          <t>HÄRJEDALEN</t>
        </is>
      </c>
      <c r="F1423" t="inlineStr">
        <is>
          <t>Holmen skog AB</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28426-2024</t>
        </is>
      </c>
      <c r="B1424" s="1" t="n">
        <v>45477</v>
      </c>
      <c r="C1424" s="1" t="n">
        <v>45728</v>
      </c>
      <c r="D1424" t="inlineStr">
        <is>
          <t>JÄMTLANDS LÄN</t>
        </is>
      </c>
      <c r="E1424" t="inlineStr">
        <is>
          <t>HÄRJEDALEN</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28627-2024</t>
        </is>
      </c>
      <c r="B1425" s="1" t="n">
        <v>45478</v>
      </c>
      <c r="C1425" s="1" t="n">
        <v>45728</v>
      </c>
      <c r="D1425" t="inlineStr">
        <is>
          <t>JÄMTLANDS LÄN</t>
        </is>
      </c>
      <c r="E1425" t="inlineStr">
        <is>
          <t>HÄRJEDALEN</t>
        </is>
      </c>
      <c r="F1425" t="inlineStr">
        <is>
          <t>Bergvik skog väst AB</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28686-2024</t>
        </is>
      </c>
      <c r="B1426" s="1" t="n">
        <v>45478</v>
      </c>
      <c r="C1426" s="1" t="n">
        <v>45728</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28930-2024</t>
        </is>
      </c>
      <c r="B1427" s="1" t="n">
        <v>45481</v>
      </c>
      <c r="C1427" s="1" t="n">
        <v>45728</v>
      </c>
      <c r="D1427" t="inlineStr">
        <is>
          <t>JÄMTLANDS LÄN</t>
        </is>
      </c>
      <c r="E1427" t="inlineStr">
        <is>
          <t>HÄRJEDALEN</t>
        </is>
      </c>
      <c r="F1427" t="inlineStr">
        <is>
          <t>Holmen skog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29330-2024</t>
        </is>
      </c>
      <c r="B1428" s="1" t="n">
        <v>45483</v>
      </c>
      <c r="C1428" s="1" t="n">
        <v>45728</v>
      </c>
      <c r="D1428" t="inlineStr">
        <is>
          <t>JÄMTLANDS LÄN</t>
        </is>
      </c>
      <c r="E1428" t="inlineStr">
        <is>
          <t>HÄRJEDALEN</t>
        </is>
      </c>
      <c r="G1428" t="n">
        <v>21.4</v>
      </c>
      <c r="H1428" t="n">
        <v>0</v>
      </c>
      <c r="I1428" t="n">
        <v>0</v>
      </c>
      <c r="J1428" t="n">
        <v>0</v>
      </c>
      <c r="K1428" t="n">
        <v>0</v>
      </c>
      <c r="L1428" t="n">
        <v>0</v>
      </c>
      <c r="M1428" t="n">
        <v>0</v>
      </c>
      <c r="N1428" t="n">
        <v>0</v>
      </c>
      <c r="O1428" t="n">
        <v>0</v>
      </c>
      <c r="P1428" t="n">
        <v>0</v>
      </c>
      <c r="Q1428" t="n">
        <v>0</v>
      </c>
      <c r="R1428" s="2" t="inlineStr"/>
    </row>
    <row r="1429" ht="15" customHeight="1">
      <c r="A1429" t="inlineStr">
        <is>
          <t>A 29334-2024</t>
        </is>
      </c>
      <c r="B1429" s="1" t="n">
        <v>45483</v>
      </c>
      <c r="C1429" s="1" t="n">
        <v>45728</v>
      </c>
      <c r="D1429" t="inlineStr">
        <is>
          <t>JÄMTLANDS LÄN</t>
        </is>
      </c>
      <c r="E1429" t="inlineStr">
        <is>
          <t>HÄRJEDALEN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29343-2024</t>
        </is>
      </c>
      <c r="B1430" s="1" t="n">
        <v>45483</v>
      </c>
      <c r="C1430" s="1" t="n">
        <v>45728</v>
      </c>
      <c r="D1430" t="inlineStr">
        <is>
          <t>JÄMTLANDS LÄN</t>
        </is>
      </c>
      <c r="E1430" t="inlineStr">
        <is>
          <t>HÄRJEDALEN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29304-2024</t>
        </is>
      </c>
      <c r="B1431" s="1" t="n">
        <v>45483</v>
      </c>
      <c r="C1431" s="1" t="n">
        <v>45728</v>
      </c>
      <c r="D1431" t="inlineStr">
        <is>
          <t>JÄMTLANDS LÄN</t>
        </is>
      </c>
      <c r="E1431" t="inlineStr">
        <is>
          <t>HÄRJEDALEN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29347-2024</t>
        </is>
      </c>
      <c r="B1432" s="1" t="n">
        <v>45483</v>
      </c>
      <c r="C1432" s="1" t="n">
        <v>45728</v>
      </c>
      <c r="D1432" t="inlineStr">
        <is>
          <t>JÄMTLANDS LÄN</t>
        </is>
      </c>
      <c r="E1432" t="inlineStr">
        <is>
          <t>HÄRJEDALEN</t>
        </is>
      </c>
      <c r="G1432" t="n">
        <v>35.8</v>
      </c>
      <c r="H1432" t="n">
        <v>0</v>
      </c>
      <c r="I1432" t="n">
        <v>0</v>
      </c>
      <c r="J1432" t="n">
        <v>0</v>
      </c>
      <c r="K1432" t="n">
        <v>0</v>
      </c>
      <c r="L1432" t="n">
        <v>0</v>
      </c>
      <c r="M1432" t="n">
        <v>0</v>
      </c>
      <c r="N1432" t="n">
        <v>0</v>
      </c>
      <c r="O1432" t="n">
        <v>0</v>
      </c>
      <c r="P1432" t="n">
        <v>0</v>
      </c>
      <c r="Q1432" t="n">
        <v>0</v>
      </c>
      <c r="R1432" s="2" t="inlineStr"/>
    </row>
    <row r="1433" ht="15" customHeight="1">
      <c r="A1433" t="inlineStr">
        <is>
          <t>A 29536-2024</t>
        </is>
      </c>
      <c r="B1433" s="1" t="n">
        <v>45484</v>
      </c>
      <c r="C1433" s="1" t="n">
        <v>45728</v>
      </c>
      <c r="D1433" t="inlineStr">
        <is>
          <t>JÄMTLANDS LÄN</t>
        </is>
      </c>
      <c r="E1433" t="inlineStr">
        <is>
          <t>HÄRJEDALEN</t>
        </is>
      </c>
      <c r="F1433" t="inlineStr">
        <is>
          <t>Holmen skog AB</t>
        </is>
      </c>
      <c r="G1433" t="n">
        <v>25.2</v>
      </c>
      <c r="H1433" t="n">
        <v>0</v>
      </c>
      <c r="I1433" t="n">
        <v>0</v>
      </c>
      <c r="J1433" t="n">
        <v>0</v>
      </c>
      <c r="K1433" t="n">
        <v>0</v>
      </c>
      <c r="L1433" t="n">
        <v>0</v>
      </c>
      <c r="M1433" t="n">
        <v>0</v>
      </c>
      <c r="N1433" t="n">
        <v>0</v>
      </c>
      <c r="O1433" t="n">
        <v>0</v>
      </c>
      <c r="P1433" t="n">
        <v>0</v>
      </c>
      <c r="Q1433" t="n">
        <v>0</v>
      </c>
      <c r="R1433" s="2" t="inlineStr"/>
    </row>
    <row r="1434" ht="15" customHeight="1">
      <c r="A1434" t="inlineStr">
        <is>
          <t>A 29624-2024</t>
        </is>
      </c>
      <c r="B1434" s="1" t="n">
        <v>45484</v>
      </c>
      <c r="C1434" s="1" t="n">
        <v>45728</v>
      </c>
      <c r="D1434" t="inlineStr">
        <is>
          <t>JÄMTLANDS LÄN</t>
        </is>
      </c>
      <c r="E1434" t="inlineStr">
        <is>
          <t>HÄRJEDALEN</t>
        </is>
      </c>
      <c r="F1434" t="inlineStr">
        <is>
          <t>Holmen skog AB</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29584-2024</t>
        </is>
      </c>
      <c r="B1435" s="1" t="n">
        <v>45484</v>
      </c>
      <c r="C1435" s="1" t="n">
        <v>45728</v>
      </c>
      <c r="D1435" t="inlineStr">
        <is>
          <t>JÄMTLANDS LÄN</t>
        </is>
      </c>
      <c r="E1435" t="inlineStr">
        <is>
          <t>HÄRJEDALEN</t>
        </is>
      </c>
      <c r="F1435" t="inlineStr">
        <is>
          <t>Holmen skog AB</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29580-2024</t>
        </is>
      </c>
      <c r="B1436" s="1" t="n">
        <v>45484</v>
      </c>
      <c r="C1436" s="1" t="n">
        <v>45728</v>
      </c>
      <c r="D1436" t="inlineStr">
        <is>
          <t>JÄMTLANDS LÄN</t>
        </is>
      </c>
      <c r="E1436" t="inlineStr">
        <is>
          <t>HÄRJEDALEN</t>
        </is>
      </c>
      <c r="F1436" t="inlineStr">
        <is>
          <t>Holmen skog AB</t>
        </is>
      </c>
      <c r="G1436" t="n">
        <v>38.1</v>
      </c>
      <c r="H1436" t="n">
        <v>0</v>
      </c>
      <c r="I1436" t="n">
        <v>0</v>
      </c>
      <c r="J1436" t="n">
        <v>0</v>
      </c>
      <c r="K1436" t="n">
        <v>0</v>
      </c>
      <c r="L1436" t="n">
        <v>0</v>
      </c>
      <c r="M1436" t="n">
        <v>0</v>
      </c>
      <c r="N1436" t="n">
        <v>0</v>
      </c>
      <c r="O1436" t="n">
        <v>0</v>
      </c>
      <c r="P1436" t="n">
        <v>0</v>
      </c>
      <c r="Q1436" t="n">
        <v>0</v>
      </c>
      <c r="R1436" s="2" t="inlineStr"/>
    </row>
    <row r="1437" ht="15" customHeight="1">
      <c r="A1437" t="inlineStr">
        <is>
          <t>A 29631-2024</t>
        </is>
      </c>
      <c r="B1437" s="1" t="n">
        <v>45484</v>
      </c>
      <c r="C1437" s="1" t="n">
        <v>45728</v>
      </c>
      <c r="D1437" t="inlineStr">
        <is>
          <t>JÄMTLANDS LÄN</t>
        </is>
      </c>
      <c r="E1437" t="inlineStr">
        <is>
          <t>HÄRJEDALEN</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29538-2024</t>
        </is>
      </c>
      <c r="B1438" s="1" t="n">
        <v>45484</v>
      </c>
      <c r="C1438" s="1" t="n">
        <v>45728</v>
      </c>
      <c r="D1438" t="inlineStr">
        <is>
          <t>JÄMTLANDS LÄN</t>
        </is>
      </c>
      <c r="E1438" t="inlineStr">
        <is>
          <t>HÄRJEDALEN</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29626-2024</t>
        </is>
      </c>
      <c r="B1439" s="1" t="n">
        <v>45484</v>
      </c>
      <c r="C1439" s="1" t="n">
        <v>45728</v>
      </c>
      <c r="D1439" t="inlineStr">
        <is>
          <t>JÄMTLANDS LÄN</t>
        </is>
      </c>
      <c r="E1439" t="inlineStr">
        <is>
          <t>HÄRJEDALEN</t>
        </is>
      </c>
      <c r="F1439" t="inlineStr">
        <is>
          <t>Holmen skog AB</t>
        </is>
      </c>
      <c r="G1439" t="n">
        <v>15.4</v>
      </c>
      <c r="H1439" t="n">
        <v>0</v>
      </c>
      <c r="I1439" t="n">
        <v>0</v>
      </c>
      <c r="J1439" t="n">
        <v>0</v>
      </c>
      <c r="K1439" t="n">
        <v>0</v>
      </c>
      <c r="L1439" t="n">
        <v>0</v>
      </c>
      <c r="M1439" t="n">
        <v>0</v>
      </c>
      <c r="N1439" t="n">
        <v>0</v>
      </c>
      <c r="O1439" t="n">
        <v>0</v>
      </c>
      <c r="P1439" t="n">
        <v>0</v>
      </c>
      <c r="Q1439" t="n">
        <v>0</v>
      </c>
      <c r="R1439" s="2" t="inlineStr"/>
    </row>
    <row r="1440" ht="15" customHeight="1">
      <c r="A1440" t="inlineStr">
        <is>
          <t>A 29602-2024</t>
        </is>
      </c>
      <c r="B1440" s="1" t="n">
        <v>45484</v>
      </c>
      <c r="C1440" s="1" t="n">
        <v>45728</v>
      </c>
      <c r="D1440" t="inlineStr">
        <is>
          <t>JÄMTLANDS LÄN</t>
        </is>
      </c>
      <c r="E1440" t="inlineStr">
        <is>
          <t>HÄRJEDALEN</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29594-2024</t>
        </is>
      </c>
      <c r="B1441" s="1" t="n">
        <v>45484</v>
      </c>
      <c r="C1441" s="1" t="n">
        <v>45728</v>
      </c>
      <c r="D1441" t="inlineStr">
        <is>
          <t>JÄMTLANDS LÄN</t>
        </is>
      </c>
      <c r="E1441" t="inlineStr">
        <is>
          <t>HÄRJEDALEN</t>
        </is>
      </c>
      <c r="F1441" t="inlineStr">
        <is>
          <t>Holmen skog AB</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29803-2024</t>
        </is>
      </c>
      <c r="B1442" s="1" t="n">
        <v>45485</v>
      </c>
      <c r="C1442" s="1" t="n">
        <v>45728</v>
      </c>
      <c r="D1442" t="inlineStr">
        <is>
          <t>JÄMTLANDS LÄN</t>
        </is>
      </c>
      <c r="E1442" t="inlineStr">
        <is>
          <t>HÄRJEDALEN</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29791-2024</t>
        </is>
      </c>
      <c r="B1443" s="1" t="n">
        <v>45485</v>
      </c>
      <c r="C1443" s="1" t="n">
        <v>45728</v>
      </c>
      <c r="D1443" t="inlineStr">
        <is>
          <t>JÄMTLANDS LÄN</t>
        </is>
      </c>
      <c r="E1443" t="inlineStr">
        <is>
          <t>HÄRJEDALEN</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29706-2024</t>
        </is>
      </c>
      <c r="B1444" s="1" t="n">
        <v>45485</v>
      </c>
      <c r="C1444" s="1" t="n">
        <v>45728</v>
      </c>
      <c r="D1444" t="inlineStr">
        <is>
          <t>JÄMTLANDS LÄN</t>
        </is>
      </c>
      <c r="E1444" t="inlineStr">
        <is>
          <t>HÄRJEDALEN</t>
        </is>
      </c>
      <c r="F1444" t="inlineStr">
        <is>
          <t>Holmen skog AB</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29710-2024</t>
        </is>
      </c>
      <c r="B1445" s="1" t="n">
        <v>45485</v>
      </c>
      <c r="C1445" s="1" t="n">
        <v>45728</v>
      </c>
      <c r="D1445" t="inlineStr">
        <is>
          <t>JÄMTLANDS LÄN</t>
        </is>
      </c>
      <c r="E1445" t="inlineStr">
        <is>
          <t>HÄRJEDALEN</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29766-2024</t>
        </is>
      </c>
      <c r="B1446" s="1" t="n">
        <v>45485</v>
      </c>
      <c r="C1446" s="1" t="n">
        <v>45728</v>
      </c>
      <c r="D1446" t="inlineStr">
        <is>
          <t>JÄMTLANDS LÄN</t>
        </is>
      </c>
      <c r="E1446" t="inlineStr">
        <is>
          <t>HÄRJEDALEN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29774-2024</t>
        </is>
      </c>
      <c r="B1447" s="1" t="n">
        <v>45485</v>
      </c>
      <c r="C1447" s="1" t="n">
        <v>45728</v>
      </c>
      <c r="D1447" t="inlineStr">
        <is>
          <t>JÄMTLANDS LÄN</t>
        </is>
      </c>
      <c r="E1447" t="inlineStr">
        <is>
          <t>HÄRJEDALEN</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29712-2024</t>
        </is>
      </c>
      <c r="B1448" s="1" t="n">
        <v>45485</v>
      </c>
      <c r="C1448" s="1" t="n">
        <v>45728</v>
      </c>
      <c r="D1448" t="inlineStr">
        <is>
          <t>JÄMTLANDS LÄN</t>
        </is>
      </c>
      <c r="E1448" t="inlineStr">
        <is>
          <t>HÄRJEDALEN</t>
        </is>
      </c>
      <c r="F1448" t="inlineStr">
        <is>
          <t>Holmen skog AB</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29768-2024</t>
        </is>
      </c>
      <c r="B1449" s="1" t="n">
        <v>45485</v>
      </c>
      <c r="C1449" s="1" t="n">
        <v>45728</v>
      </c>
      <c r="D1449" t="inlineStr">
        <is>
          <t>JÄMTLANDS LÄN</t>
        </is>
      </c>
      <c r="E1449" t="inlineStr">
        <is>
          <t>HÄRJEDALEN</t>
        </is>
      </c>
      <c r="F1449" t="inlineStr">
        <is>
          <t>Holmen skog AB</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29717-2024</t>
        </is>
      </c>
      <c r="B1450" s="1" t="n">
        <v>45485</v>
      </c>
      <c r="C1450" s="1" t="n">
        <v>45728</v>
      </c>
      <c r="D1450" t="inlineStr">
        <is>
          <t>JÄMTLANDS LÄN</t>
        </is>
      </c>
      <c r="E1450" t="inlineStr">
        <is>
          <t>HÄRJEDALEN</t>
        </is>
      </c>
      <c r="F1450" t="inlineStr">
        <is>
          <t>Holmen skog AB</t>
        </is>
      </c>
      <c r="G1450" t="n">
        <v>25.7</v>
      </c>
      <c r="H1450" t="n">
        <v>0</v>
      </c>
      <c r="I1450" t="n">
        <v>0</v>
      </c>
      <c r="J1450" t="n">
        <v>0</v>
      </c>
      <c r="K1450" t="n">
        <v>0</v>
      </c>
      <c r="L1450" t="n">
        <v>0</v>
      </c>
      <c r="M1450" t="n">
        <v>0</v>
      </c>
      <c r="N1450" t="n">
        <v>0</v>
      </c>
      <c r="O1450" t="n">
        <v>0</v>
      </c>
      <c r="P1450" t="n">
        <v>0</v>
      </c>
      <c r="Q1450" t="n">
        <v>0</v>
      </c>
      <c r="R1450" s="2" t="inlineStr"/>
    </row>
    <row r="1451" ht="15" customHeight="1">
      <c r="A1451" t="inlineStr">
        <is>
          <t>A 29729-2024</t>
        </is>
      </c>
      <c r="B1451" s="1" t="n">
        <v>45485</v>
      </c>
      <c r="C1451" s="1" t="n">
        <v>45728</v>
      </c>
      <c r="D1451" t="inlineStr">
        <is>
          <t>JÄMTLANDS LÄN</t>
        </is>
      </c>
      <c r="E1451" t="inlineStr">
        <is>
          <t>HÄRJEDALEN</t>
        </is>
      </c>
      <c r="F1451" t="inlineStr">
        <is>
          <t>Holmen skog AB</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29749-2024</t>
        </is>
      </c>
      <c r="B1452" s="1" t="n">
        <v>45485</v>
      </c>
      <c r="C1452" s="1" t="n">
        <v>45728</v>
      </c>
      <c r="D1452" t="inlineStr">
        <is>
          <t>JÄMTLANDS LÄN</t>
        </is>
      </c>
      <c r="E1452" t="inlineStr">
        <is>
          <t>HÄRJEDALEN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29935-2024</t>
        </is>
      </c>
      <c r="B1453" s="1" t="n">
        <v>45488</v>
      </c>
      <c r="C1453" s="1" t="n">
        <v>45728</v>
      </c>
      <c r="D1453" t="inlineStr">
        <is>
          <t>JÄMTLANDS LÄN</t>
        </is>
      </c>
      <c r="E1453" t="inlineStr">
        <is>
          <t>HÄRJEDALEN</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30404-2024</t>
        </is>
      </c>
      <c r="B1454" s="1" t="n">
        <v>45491</v>
      </c>
      <c r="C1454" s="1" t="n">
        <v>45728</v>
      </c>
      <c r="D1454" t="inlineStr">
        <is>
          <t>JÄMTLANDS LÄN</t>
        </is>
      </c>
      <c r="E1454" t="inlineStr">
        <is>
          <t>HÄRJEDALEN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30626-2024</t>
        </is>
      </c>
      <c r="B1455" s="1" t="n">
        <v>45495</v>
      </c>
      <c r="C1455" s="1" t="n">
        <v>45728</v>
      </c>
      <c r="D1455" t="inlineStr">
        <is>
          <t>JÄMTLANDS LÄN</t>
        </is>
      </c>
      <c r="E1455" t="inlineStr">
        <is>
          <t>HÄRJEDALEN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30742-2024</t>
        </is>
      </c>
      <c r="B1456" s="1" t="n">
        <v>45496</v>
      </c>
      <c r="C1456" s="1" t="n">
        <v>45728</v>
      </c>
      <c r="D1456" t="inlineStr">
        <is>
          <t>JÄMTLANDS LÄN</t>
        </is>
      </c>
      <c r="E1456" t="inlineStr">
        <is>
          <t>HÄRJEDALEN</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30776-2024</t>
        </is>
      </c>
      <c r="B1457" s="1" t="n">
        <v>45497</v>
      </c>
      <c r="C1457" s="1" t="n">
        <v>45728</v>
      </c>
      <c r="D1457" t="inlineStr">
        <is>
          <t>JÄMTLANDS LÄN</t>
        </is>
      </c>
      <c r="E1457" t="inlineStr">
        <is>
          <t>HÄRJEDALEN</t>
        </is>
      </c>
      <c r="F1457" t="inlineStr">
        <is>
          <t>SCA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30744-2024</t>
        </is>
      </c>
      <c r="B1458" s="1" t="n">
        <v>45496</v>
      </c>
      <c r="C1458" s="1" t="n">
        <v>45728</v>
      </c>
      <c r="D1458" t="inlineStr">
        <is>
          <t>JÄMTLANDS LÄN</t>
        </is>
      </c>
      <c r="E1458" t="inlineStr">
        <is>
          <t>HÄRJEDALEN</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30781-2024</t>
        </is>
      </c>
      <c r="B1459" s="1" t="n">
        <v>45497</v>
      </c>
      <c r="C1459" s="1" t="n">
        <v>45728</v>
      </c>
      <c r="D1459" t="inlineStr">
        <is>
          <t>JÄMTLANDS LÄN</t>
        </is>
      </c>
      <c r="E1459" t="inlineStr">
        <is>
          <t>HÄRJEDALEN</t>
        </is>
      </c>
      <c r="F1459" t="inlineStr">
        <is>
          <t>SCA</t>
        </is>
      </c>
      <c r="G1459" t="n">
        <v>23.1</v>
      </c>
      <c r="H1459" t="n">
        <v>0</v>
      </c>
      <c r="I1459" t="n">
        <v>0</v>
      </c>
      <c r="J1459" t="n">
        <v>0</v>
      </c>
      <c r="K1459" t="n">
        <v>0</v>
      </c>
      <c r="L1459" t="n">
        <v>0</v>
      </c>
      <c r="M1459" t="n">
        <v>0</v>
      </c>
      <c r="N1459" t="n">
        <v>0</v>
      </c>
      <c r="O1459" t="n">
        <v>0</v>
      </c>
      <c r="P1459" t="n">
        <v>0</v>
      </c>
      <c r="Q1459" t="n">
        <v>0</v>
      </c>
      <c r="R1459" s="2" t="inlineStr"/>
    </row>
    <row r="1460" ht="15" customHeight="1">
      <c r="A1460" t="inlineStr">
        <is>
          <t>A 30777-2024</t>
        </is>
      </c>
      <c r="B1460" s="1" t="n">
        <v>45497</v>
      </c>
      <c r="C1460" s="1" t="n">
        <v>45728</v>
      </c>
      <c r="D1460" t="inlineStr">
        <is>
          <t>JÄMTLANDS LÄN</t>
        </is>
      </c>
      <c r="E1460" t="inlineStr">
        <is>
          <t>HÄRJEDALEN</t>
        </is>
      </c>
      <c r="F1460" t="inlineStr">
        <is>
          <t>SCA</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30743-2024</t>
        </is>
      </c>
      <c r="B1461" s="1" t="n">
        <v>45496</v>
      </c>
      <c r="C1461" s="1" t="n">
        <v>45728</v>
      </c>
      <c r="D1461" t="inlineStr">
        <is>
          <t>JÄMTLANDS LÄN</t>
        </is>
      </c>
      <c r="E1461" t="inlineStr">
        <is>
          <t>HÄRJEDALEN</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30775-2024</t>
        </is>
      </c>
      <c r="B1462" s="1" t="n">
        <v>45497</v>
      </c>
      <c r="C1462" s="1" t="n">
        <v>45728</v>
      </c>
      <c r="D1462" t="inlineStr">
        <is>
          <t>JÄMTLANDS LÄN</t>
        </is>
      </c>
      <c r="E1462" t="inlineStr">
        <is>
          <t>HÄRJEDALEN</t>
        </is>
      </c>
      <c r="F1462" t="inlineStr">
        <is>
          <t>SCA</t>
        </is>
      </c>
      <c r="G1462" t="n">
        <v>13.2</v>
      </c>
      <c r="H1462" t="n">
        <v>0</v>
      </c>
      <c r="I1462" t="n">
        <v>0</v>
      </c>
      <c r="J1462" t="n">
        <v>0</v>
      </c>
      <c r="K1462" t="n">
        <v>0</v>
      </c>
      <c r="L1462" t="n">
        <v>0</v>
      </c>
      <c r="M1462" t="n">
        <v>0</v>
      </c>
      <c r="N1462" t="n">
        <v>0</v>
      </c>
      <c r="O1462" t="n">
        <v>0</v>
      </c>
      <c r="P1462" t="n">
        <v>0</v>
      </c>
      <c r="Q1462" t="n">
        <v>0</v>
      </c>
      <c r="R1462" s="2" t="inlineStr"/>
    </row>
    <row r="1463" ht="15" customHeight="1">
      <c r="A1463" t="inlineStr">
        <is>
          <t>A 30729-2024</t>
        </is>
      </c>
      <c r="B1463" s="1" t="n">
        <v>45496</v>
      </c>
      <c r="C1463" s="1" t="n">
        <v>45728</v>
      </c>
      <c r="D1463" t="inlineStr">
        <is>
          <t>JÄMTLANDS LÄN</t>
        </is>
      </c>
      <c r="E1463" t="inlineStr">
        <is>
          <t>HÄRJEDALEN</t>
        </is>
      </c>
      <c r="F1463" t="inlineStr">
        <is>
          <t>Bergvik skog väst AB</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31116-2024</t>
        </is>
      </c>
      <c r="B1464" s="1" t="n">
        <v>45502</v>
      </c>
      <c r="C1464" s="1" t="n">
        <v>45728</v>
      </c>
      <c r="D1464" t="inlineStr">
        <is>
          <t>JÄMTLANDS LÄN</t>
        </is>
      </c>
      <c r="E1464" t="inlineStr">
        <is>
          <t>HÄRJEDALEN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31205-2024</t>
        </is>
      </c>
      <c r="B1465" s="1" t="n">
        <v>45503</v>
      </c>
      <c r="C1465" s="1" t="n">
        <v>45728</v>
      </c>
      <c r="D1465" t="inlineStr">
        <is>
          <t>JÄMTLANDS LÄN</t>
        </is>
      </c>
      <c r="E1465" t="inlineStr">
        <is>
          <t>HÄRJEDALEN</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31301-2024</t>
        </is>
      </c>
      <c r="B1466" s="1" t="n">
        <v>45504</v>
      </c>
      <c r="C1466" s="1" t="n">
        <v>45728</v>
      </c>
      <c r="D1466" t="inlineStr">
        <is>
          <t>JÄMTLANDS LÄN</t>
        </is>
      </c>
      <c r="E1466" t="inlineStr">
        <is>
          <t>HÄRJEDALEN</t>
        </is>
      </c>
      <c r="G1466" t="n">
        <v>32.9</v>
      </c>
      <c r="H1466" t="n">
        <v>0</v>
      </c>
      <c r="I1466" t="n">
        <v>0</v>
      </c>
      <c r="J1466" t="n">
        <v>0</v>
      </c>
      <c r="K1466" t="n">
        <v>0</v>
      </c>
      <c r="L1466" t="n">
        <v>0</v>
      </c>
      <c r="M1466" t="n">
        <v>0</v>
      </c>
      <c r="N1466" t="n">
        <v>0</v>
      </c>
      <c r="O1466" t="n">
        <v>0</v>
      </c>
      <c r="P1466" t="n">
        <v>0</v>
      </c>
      <c r="Q1466" t="n">
        <v>0</v>
      </c>
      <c r="R1466" s="2" t="inlineStr"/>
    </row>
    <row r="1467" ht="15" customHeight="1">
      <c r="A1467" t="inlineStr">
        <is>
          <t>A 31460-2024</t>
        </is>
      </c>
      <c r="B1467" s="1" t="n">
        <v>45505</v>
      </c>
      <c r="C1467" s="1" t="n">
        <v>45728</v>
      </c>
      <c r="D1467" t="inlineStr">
        <is>
          <t>JÄMTLANDS LÄN</t>
        </is>
      </c>
      <c r="E1467" t="inlineStr">
        <is>
          <t>HÄRJEDALEN</t>
        </is>
      </c>
      <c r="F1467" t="inlineStr">
        <is>
          <t>SCA</t>
        </is>
      </c>
      <c r="G1467" t="n">
        <v>30.3</v>
      </c>
      <c r="H1467" t="n">
        <v>0</v>
      </c>
      <c r="I1467" t="n">
        <v>0</v>
      </c>
      <c r="J1467" t="n">
        <v>0</v>
      </c>
      <c r="K1467" t="n">
        <v>0</v>
      </c>
      <c r="L1467" t="n">
        <v>0</v>
      </c>
      <c r="M1467" t="n">
        <v>0</v>
      </c>
      <c r="N1467" t="n">
        <v>0</v>
      </c>
      <c r="O1467" t="n">
        <v>0</v>
      </c>
      <c r="P1467" t="n">
        <v>0</v>
      </c>
      <c r="Q1467" t="n">
        <v>0</v>
      </c>
      <c r="R1467" s="2" t="inlineStr"/>
    </row>
    <row r="1468" ht="15" customHeight="1">
      <c r="A1468" t="inlineStr">
        <is>
          <t>A 31527-2024</t>
        </is>
      </c>
      <c r="B1468" s="1" t="n">
        <v>45505</v>
      </c>
      <c r="C1468" s="1" t="n">
        <v>45728</v>
      </c>
      <c r="D1468" t="inlineStr">
        <is>
          <t>JÄMTLANDS LÄN</t>
        </is>
      </c>
      <c r="E1468" t="inlineStr">
        <is>
          <t>HÄRJEDALEN</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31462-2024</t>
        </is>
      </c>
      <c r="B1469" s="1" t="n">
        <v>45505</v>
      </c>
      <c r="C1469" s="1" t="n">
        <v>45728</v>
      </c>
      <c r="D1469" t="inlineStr">
        <is>
          <t>JÄMTLANDS LÄN</t>
        </is>
      </c>
      <c r="E1469" t="inlineStr">
        <is>
          <t>HÄRJEDALEN</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31473-2024</t>
        </is>
      </c>
      <c r="B1470" s="1" t="n">
        <v>45505</v>
      </c>
      <c r="C1470" s="1" t="n">
        <v>45728</v>
      </c>
      <c r="D1470" t="inlineStr">
        <is>
          <t>JÄMTLANDS LÄN</t>
        </is>
      </c>
      <c r="E1470" t="inlineStr">
        <is>
          <t>HÄRJEDALEN</t>
        </is>
      </c>
      <c r="F1470" t="inlineStr">
        <is>
          <t>SCA</t>
        </is>
      </c>
      <c r="G1470" t="n">
        <v>30.4</v>
      </c>
      <c r="H1470" t="n">
        <v>0</v>
      </c>
      <c r="I1470" t="n">
        <v>0</v>
      </c>
      <c r="J1470" t="n">
        <v>0</v>
      </c>
      <c r="K1470" t="n">
        <v>0</v>
      </c>
      <c r="L1470" t="n">
        <v>0</v>
      </c>
      <c r="M1470" t="n">
        <v>0</v>
      </c>
      <c r="N1470" t="n">
        <v>0</v>
      </c>
      <c r="O1470" t="n">
        <v>0</v>
      </c>
      <c r="P1470" t="n">
        <v>0</v>
      </c>
      <c r="Q1470" t="n">
        <v>0</v>
      </c>
      <c r="R1470" s="2" t="inlineStr"/>
    </row>
    <row r="1471" ht="15" customHeight="1">
      <c r="A1471" t="inlineStr">
        <is>
          <t>A 31459-2024</t>
        </is>
      </c>
      <c r="B1471" s="1" t="n">
        <v>45505</v>
      </c>
      <c r="C1471" s="1" t="n">
        <v>45728</v>
      </c>
      <c r="D1471" t="inlineStr">
        <is>
          <t>JÄMTLANDS LÄN</t>
        </is>
      </c>
      <c r="E1471" t="inlineStr">
        <is>
          <t>HÄRJEDALEN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31672-2024</t>
        </is>
      </c>
      <c r="B1472" s="1" t="n">
        <v>45506</v>
      </c>
      <c r="C1472" s="1" t="n">
        <v>45728</v>
      </c>
      <c r="D1472" t="inlineStr">
        <is>
          <t>JÄMTLANDS LÄN</t>
        </is>
      </c>
      <c r="E1472" t="inlineStr">
        <is>
          <t>HÄRJEDALEN</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31581-2024</t>
        </is>
      </c>
      <c r="B1473" s="1" t="n">
        <v>45506</v>
      </c>
      <c r="C1473" s="1" t="n">
        <v>45728</v>
      </c>
      <c r="D1473" t="inlineStr">
        <is>
          <t>JÄMTLANDS LÄN</t>
        </is>
      </c>
      <c r="E1473" t="inlineStr">
        <is>
          <t>HÄRJEDALEN</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31584-2024</t>
        </is>
      </c>
      <c r="B1474" s="1" t="n">
        <v>45506</v>
      </c>
      <c r="C1474" s="1" t="n">
        <v>45728</v>
      </c>
      <c r="D1474" t="inlineStr">
        <is>
          <t>JÄMTLANDS LÄN</t>
        </is>
      </c>
      <c r="E1474" t="inlineStr">
        <is>
          <t>HÄRJEDALEN</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31683-2024</t>
        </is>
      </c>
      <c r="B1475" s="1" t="n">
        <v>45506</v>
      </c>
      <c r="C1475" s="1" t="n">
        <v>45728</v>
      </c>
      <c r="D1475" t="inlineStr">
        <is>
          <t>JÄMTLANDS LÄN</t>
        </is>
      </c>
      <c r="E1475" t="inlineStr">
        <is>
          <t>HÄRJEDALEN</t>
        </is>
      </c>
      <c r="F1475" t="inlineStr">
        <is>
          <t>SCA</t>
        </is>
      </c>
      <c r="G1475" t="n">
        <v>37.4</v>
      </c>
      <c r="H1475" t="n">
        <v>0</v>
      </c>
      <c r="I1475" t="n">
        <v>0</v>
      </c>
      <c r="J1475" t="n">
        <v>0</v>
      </c>
      <c r="K1475" t="n">
        <v>0</v>
      </c>
      <c r="L1475" t="n">
        <v>0</v>
      </c>
      <c r="M1475" t="n">
        <v>0</v>
      </c>
      <c r="N1475" t="n">
        <v>0</v>
      </c>
      <c r="O1475" t="n">
        <v>0</v>
      </c>
      <c r="P1475" t="n">
        <v>0</v>
      </c>
      <c r="Q1475" t="n">
        <v>0</v>
      </c>
      <c r="R1475" s="2" t="inlineStr"/>
    </row>
    <row r="1476" ht="15" customHeight="1">
      <c r="A1476" t="inlineStr">
        <is>
          <t>A 31588-2024</t>
        </is>
      </c>
      <c r="B1476" s="1" t="n">
        <v>45506</v>
      </c>
      <c r="C1476" s="1" t="n">
        <v>45728</v>
      </c>
      <c r="D1476" t="inlineStr">
        <is>
          <t>JÄMTLANDS LÄN</t>
        </is>
      </c>
      <c r="E1476" t="inlineStr">
        <is>
          <t>HÄRJEDALEN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31587-2024</t>
        </is>
      </c>
      <c r="B1477" s="1" t="n">
        <v>45506</v>
      </c>
      <c r="C1477" s="1" t="n">
        <v>45728</v>
      </c>
      <c r="D1477" t="inlineStr">
        <is>
          <t>JÄMTLANDS LÄN</t>
        </is>
      </c>
      <c r="E1477" t="inlineStr">
        <is>
          <t>HÄRJEDALEN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31586-2024</t>
        </is>
      </c>
      <c r="B1478" s="1" t="n">
        <v>45506</v>
      </c>
      <c r="C1478" s="1" t="n">
        <v>45728</v>
      </c>
      <c r="D1478" t="inlineStr">
        <is>
          <t>JÄMTLANDS LÄN</t>
        </is>
      </c>
      <c r="E1478" t="inlineStr">
        <is>
          <t>HÄRJEDALEN</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31682-2024</t>
        </is>
      </c>
      <c r="B1479" s="1" t="n">
        <v>45506</v>
      </c>
      <c r="C1479" s="1" t="n">
        <v>45728</v>
      </c>
      <c r="D1479" t="inlineStr">
        <is>
          <t>JÄMTLANDS LÄN</t>
        </is>
      </c>
      <c r="E1479" t="inlineStr">
        <is>
          <t>HÄRJEDALEN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31777-2024</t>
        </is>
      </c>
      <c r="B1480" s="1" t="n">
        <v>45509</v>
      </c>
      <c r="C1480" s="1" t="n">
        <v>45728</v>
      </c>
      <c r="D1480" t="inlineStr">
        <is>
          <t>JÄMTLANDS LÄN</t>
        </is>
      </c>
      <c r="E1480" t="inlineStr">
        <is>
          <t>HÄRJEDALEN</t>
        </is>
      </c>
      <c r="F1480" t="inlineStr">
        <is>
          <t>Övriga statliga verk och myndigheter</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31743-2024</t>
        </is>
      </c>
      <c r="B1481" s="1" t="n">
        <v>45509</v>
      </c>
      <c r="C1481" s="1" t="n">
        <v>45728</v>
      </c>
      <c r="D1481" t="inlineStr">
        <is>
          <t>JÄMTLANDS LÄN</t>
        </is>
      </c>
      <c r="E1481" t="inlineStr">
        <is>
          <t>HÄRJEDALEN</t>
        </is>
      </c>
      <c r="F1481" t="inlineStr">
        <is>
          <t>Bergvik skog väst AB</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31747-2024</t>
        </is>
      </c>
      <c r="B1482" s="1" t="n">
        <v>45509</v>
      </c>
      <c r="C1482" s="1" t="n">
        <v>45728</v>
      </c>
      <c r="D1482" t="inlineStr">
        <is>
          <t>JÄMTLANDS LÄN</t>
        </is>
      </c>
      <c r="E1482" t="inlineStr">
        <is>
          <t>HÄRJEDALEN</t>
        </is>
      </c>
      <c r="F1482" t="inlineStr">
        <is>
          <t>Övriga statliga verk och myndigheter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31759-2024</t>
        </is>
      </c>
      <c r="B1483" s="1" t="n">
        <v>45509</v>
      </c>
      <c r="C1483" s="1" t="n">
        <v>45728</v>
      </c>
      <c r="D1483" t="inlineStr">
        <is>
          <t>JÄMTLANDS LÄN</t>
        </is>
      </c>
      <c r="E1483" t="inlineStr">
        <is>
          <t>HÄRJEDALEN</t>
        </is>
      </c>
      <c r="F1483" t="inlineStr">
        <is>
          <t>Övriga statliga verk och myndigheter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31783-2024</t>
        </is>
      </c>
      <c r="B1484" s="1" t="n">
        <v>45509</v>
      </c>
      <c r="C1484" s="1" t="n">
        <v>45728</v>
      </c>
      <c r="D1484" t="inlineStr">
        <is>
          <t>JÄMTLANDS LÄN</t>
        </is>
      </c>
      <c r="E1484" t="inlineStr">
        <is>
          <t>HÄRJEDALEN</t>
        </is>
      </c>
      <c r="F1484" t="inlineStr">
        <is>
          <t>Övriga statliga verk och myndigheter</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31791-2024</t>
        </is>
      </c>
      <c r="B1485" s="1" t="n">
        <v>45509</v>
      </c>
      <c r="C1485" s="1" t="n">
        <v>45728</v>
      </c>
      <c r="D1485" t="inlineStr">
        <is>
          <t>JÄMTLANDS LÄN</t>
        </is>
      </c>
      <c r="E1485" t="inlineStr">
        <is>
          <t>HÄRJEDALEN</t>
        </is>
      </c>
      <c r="F1485" t="inlineStr">
        <is>
          <t>Övriga statliga verk och myndigheter</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31819-2024</t>
        </is>
      </c>
      <c r="B1486" s="1" t="n">
        <v>45509</v>
      </c>
      <c r="C1486" s="1" t="n">
        <v>45728</v>
      </c>
      <c r="D1486" t="inlineStr">
        <is>
          <t>JÄMTLANDS LÄN</t>
        </is>
      </c>
      <c r="E1486" t="inlineStr">
        <is>
          <t>HÄRJEDALEN</t>
        </is>
      </c>
      <c r="F1486" t="inlineStr">
        <is>
          <t>Bergvik skog väst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31816-2024</t>
        </is>
      </c>
      <c r="B1487" s="1" t="n">
        <v>45509</v>
      </c>
      <c r="C1487" s="1" t="n">
        <v>45728</v>
      </c>
      <c r="D1487" t="inlineStr">
        <is>
          <t>JÄMTLANDS LÄN</t>
        </is>
      </c>
      <c r="E1487" t="inlineStr">
        <is>
          <t>HÄRJEDALEN</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31764-2024</t>
        </is>
      </c>
      <c r="B1488" s="1" t="n">
        <v>45509</v>
      </c>
      <c r="C1488" s="1" t="n">
        <v>45728</v>
      </c>
      <c r="D1488" t="inlineStr">
        <is>
          <t>JÄMTLANDS LÄN</t>
        </is>
      </c>
      <c r="E1488" t="inlineStr">
        <is>
          <t>HÄRJEDALEN</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31732-2024</t>
        </is>
      </c>
      <c r="B1489" s="1" t="n">
        <v>45509</v>
      </c>
      <c r="C1489" s="1" t="n">
        <v>45728</v>
      </c>
      <c r="D1489" t="inlineStr">
        <is>
          <t>JÄMTLANDS LÄN</t>
        </is>
      </c>
      <c r="E1489" t="inlineStr">
        <is>
          <t>HÄRJEDALEN</t>
        </is>
      </c>
      <c r="F1489" t="inlineStr">
        <is>
          <t>Bergvik skog väst AB</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31834-2024</t>
        </is>
      </c>
      <c r="B1490" s="1" t="n">
        <v>45509</v>
      </c>
      <c r="C1490" s="1" t="n">
        <v>45728</v>
      </c>
      <c r="D1490" t="inlineStr">
        <is>
          <t>JÄMTLANDS LÄN</t>
        </is>
      </c>
      <c r="E1490" t="inlineStr">
        <is>
          <t>HÄRJEDALEN</t>
        </is>
      </c>
      <c r="F1490" t="inlineStr">
        <is>
          <t>Kommuner</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31806-2024</t>
        </is>
      </c>
      <c r="B1491" s="1" t="n">
        <v>45509</v>
      </c>
      <c r="C1491" s="1" t="n">
        <v>45728</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31891-2024</t>
        </is>
      </c>
      <c r="B1492" s="1" t="n">
        <v>45509</v>
      </c>
      <c r="C1492" s="1" t="n">
        <v>45728</v>
      </c>
      <c r="D1492" t="inlineStr">
        <is>
          <t>JÄMTLANDS LÄN</t>
        </is>
      </c>
      <c r="E1492" t="inlineStr">
        <is>
          <t>HÄRJEDALEN</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32064-2024</t>
        </is>
      </c>
      <c r="B1493" s="1" t="n">
        <v>45510</v>
      </c>
      <c r="C1493" s="1" t="n">
        <v>45728</v>
      </c>
      <c r="D1493" t="inlineStr">
        <is>
          <t>JÄMTLANDS LÄN</t>
        </is>
      </c>
      <c r="E1493" t="inlineStr">
        <is>
          <t>HÄRJEDALEN</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31920-2024</t>
        </is>
      </c>
      <c r="B1494" s="1" t="n">
        <v>45510</v>
      </c>
      <c r="C1494" s="1" t="n">
        <v>45728</v>
      </c>
      <c r="D1494" t="inlineStr">
        <is>
          <t>JÄMTLANDS LÄN</t>
        </is>
      </c>
      <c r="E1494" t="inlineStr">
        <is>
          <t>HÄRJEDALEN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32135-2024</t>
        </is>
      </c>
      <c r="B1495" s="1" t="n">
        <v>45511</v>
      </c>
      <c r="C1495" s="1" t="n">
        <v>45728</v>
      </c>
      <c r="D1495" t="inlineStr">
        <is>
          <t>JÄMTLANDS LÄN</t>
        </is>
      </c>
      <c r="E1495" t="inlineStr">
        <is>
          <t>HÄRJEDALEN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32122-2024</t>
        </is>
      </c>
      <c r="B1496" s="1" t="n">
        <v>45511</v>
      </c>
      <c r="C1496" s="1" t="n">
        <v>45728</v>
      </c>
      <c r="D1496" t="inlineStr">
        <is>
          <t>JÄMTLANDS LÄN</t>
        </is>
      </c>
      <c r="E1496" t="inlineStr">
        <is>
          <t>HÄRJEDALEN</t>
        </is>
      </c>
      <c r="F1496" t="inlineStr">
        <is>
          <t>Bergvik skog väst AB</t>
        </is>
      </c>
      <c r="G1496" t="n">
        <v>16.7</v>
      </c>
      <c r="H1496" t="n">
        <v>0</v>
      </c>
      <c r="I1496" t="n">
        <v>0</v>
      </c>
      <c r="J1496" t="n">
        <v>0</v>
      </c>
      <c r="K1496" t="n">
        <v>0</v>
      </c>
      <c r="L1496" t="n">
        <v>0</v>
      </c>
      <c r="M1496" t="n">
        <v>0</v>
      </c>
      <c r="N1496" t="n">
        <v>0</v>
      </c>
      <c r="O1496" t="n">
        <v>0</v>
      </c>
      <c r="P1496" t="n">
        <v>0</v>
      </c>
      <c r="Q1496" t="n">
        <v>0</v>
      </c>
      <c r="R1496" s="2" t="inlineStr"/>
    </row>
    <row r="1497" ht="15" customHeight="1">
      <c r="A1497" t="inlineStr">
        <is>
          <t>A 32233-2024</t>
        </is>
      </c>
      <c r="B1497" s="1" t="n">
        <v>45512</v>
      </c>
      <c r="C1497" s="1" t="n">
        <v>45728</v>
      </c>
      <c r="D1497" t="inlineStr">
        <is>
          <t>JÄMTLANDS LÄN</t>
        </is>
      </c>
      <c r="E1497" t="inlineStr">
        <is>
          <t>HÄRJEDALEN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32382-2024</t>
        </is>
      </c>
      <c r="B1498" s="1" t="n">
        <v>45512</v>
      </c>
      <c r="C1498" s="1" t="n">
        <v>45728</v>
      </c>
      <c r="D1498" t="inlineStr">
        <is>
          <t>JÄMTLANDS LÄN</t>
        </is>
      </c>
      <c r="E1498" t="inlineStr">
        <is>
          <t>HÄRJEDALEN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32403-2024</t>
        </is>
      </c>
      <c r="B1499" s="1" t="n">
        <v>45512</v>
      </c>
      <c r="C1499" s="1" t="n">
        <v>45728</v>
      </c>
      <c r="D1499" t="inlineStr">
        <is>
          <t>JÄMTLANDS LÄN</t>
        </is>
      </c>
      <c r="E1499" t="inlineStr">
        <is>
          <t>HÄRJEDALEN</t>
        </is>
      </c>
      <c r="F1499" t="inlineStr">
        <is>
          <t>Bergvik skog väst AB</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32765-2024</t>
        </is>
      </c>
      <c r="B1500" s="1" t="n">
        <v>45516</v>
      </c>
      <c r="C1500" s="1" t="n">
        <v>45728</v>
      </c>
      <c r="D1500" t="inlineStr">
        <is>
          <t>JÄMTLANDS LÄN</t>
        </is>
      </c>
      <c r="E1500" t="inlineStr">
        <is>
          <t>HÄRJEDALEN</t>
        </is>
      </c>
      <c r="F1500" t="inlineStr">
        <is>
          <t>Bergvik skog väst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32735-2024</t>
        </is>
      </c>
      <c r="B1501" s="1" t="n">
        <v>45516</v>
      </c>
      <c r="C1501" s="1" t="n">
        <v>45728</v>
      </c>
      <c r="D1501" t="inlineStr">
        <is>
          <t>JÄMTLANDS LÄN</t>
        </is>
      </c>
      <c r="E1501" t="inlineStr">
        <is>
          <t>HÄRJEDALEN</t>
        </is>
      </c>
      <c r="F1501" t="inlineStr">
        <is>
          <t>Bergvik skog väst AB</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33096-2024</t>
        </is>
      </c>
      <c r="B1502" s="1" t="n">
        <v>45517</v>
      </c>
      <c r="C1502" s="1" t="n">
        <v>45728</v>
      </c>
      <c r="D1502" t="inlineStr">
        <is>
          <t>JÄMTLANDS LÄN</t>
        </is>
      </c>
      <c r="E1502" t="inlineStr">
        <is>
          <t>HÄRJEDALEN</t>
        </is>
      </c>
      <c r="F1502" t="inlineStr">
        <is>
          <t>Övriga Aktiebolag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33123-2024</t>
        </is>
      </c>
      <c r="B1503" s="1" t="n">
        <v>45518</v>
      </c>
      <c r="C1503" s="1" t="n">
        <v>45728</v>
      </c>
      <c r="D1503" t="inlineStr">
        <is>
          <t>JÄMTLANDS LÄN</t>
        </is>
      </c>
      <c r="E1503" t="inlineStr">
        <is>
          <t>HÄRJEDALEN</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33125-2024</t>
        </is>
      </c>
      <c r="B1504" s="1" t="n">
        <v>45518</v>
      </c>
      <c r="C1504" s="1" t="n">
        <v>45728</v>
      </c>
      <c r="D1504" t="inlineStr">
        <is>
          <t>JÄMTLANDS LÄN</t>
        </is>
      </c>
      <c r="E1504" t="inlineStr">
        <is>
          <t>HÄRJEDALEN</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32962-2024</t>
        </is>
      </c>
      <c r="B1505" s="1" t="n">
        <v>45517</v>
      </c>
      <c r="C1505" s="1" t="n">
        <v>45728</v>
      </c>
      <c r="D1505" t="inlineStr">
        <is>
          <t>JÄMTLANDS LÄN</t>
        </is>
      </c>
      <c r="E1505" t="inlineStr">
        <is>
          <t>HÄRJEDALEN</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32964-2024</t>
        </is>
      </c>
      <c r="B1506" s="1" t="n">
        <v>45517</v>
      </c>
      <c r="C1506" s="1" t="n">
        <v>45728</v>
      </c>
      <c r="D1506" t="inlineStr">
        <is>
          <t>JÄMTLANDS LÄN</t>
        </is>
      </c>
      <c r="E1506" t="inlineStr">
        <is>
          <t>HÄRJEDALEN</t>
        </is>
      </c>
      <c r="F1506" t="inlineStr">
        <is>
          <t>Kommuner</t>
        </is>
      </c>
      <c r="G1506" t="n">
        <v>30.3</v>
      </c>
      <c r="H1506" t="n">
        <v>0</v>
      </c>
      <c r="I1506" t="n">
        <v>0</v>
      </c>
      <c r="J1506" t="n">
        <v>0</v>
      </c>
      <c r="K1506" t="n">
        <v>0</v>
      </c>
      <c r="L1506" t="n">
        <v>0</v>
      </c>
      <c r="M1506" t="n">
        <v>0</v>
      </c>
      <c r="N1506" t="n">
        <v>0</v>
      </c>
      <c r="O1506" t="n">
        <v>0</v>
      </c>
      <c r="P1506" t="n">
        <v>0</v>
      </c>
      <c r="Q1506" t="n">
        <v>0</v>
      </c>
      <c r="R1506" s="2" t="inlineStr"/>
    </row>
    <row r="1507" ht="15" customHeight="1">
      <c r="A1507" t="inlineStr">
        <is>
          <t>A 33124-2024</t>
        </is>
      </c>
      <c r="B1507" s="1" t="n">
        <v>45518</v>
      </c>
      <c r="C1507" s="1" t="n">
        <v>45728</v>
      </c>
      <c r="D1507" t="inlineStr">
        <is>
          <t>JÄMTLANDS LÄN</t>
        </is>
      </c>
      <c r="E1507" t="inlineStr">
        <is>
          <t>HÄRJEDALEN</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33307-2024</t>
        </is>
      </c>
      <c r="B1508" s="1" t="n">
        <v>45519</v>
      </c>
      <c r="C1508" s="1" t="n">
        <v>45728</v>
      </c>
      <c r="D1508" t="inlineStr">
        <is>
          <t>JÄMTLANDS LÄN</t>
        </is>
      </c>
      <c r="E1508" t="inlineStr">
        <is>
          <t>HÄRJEDALEN</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33308-2024</t>
        </is>
      </c>
      <c r="B1509" s="1" t="n">
        <v>45519</v>
      </c>
      <c r="C1509" s="1" t="n">
        <v>45728</v>
      </c>
      <c r="D1509" t="inlineStr">
        <is>
          <t>JÄMTLANDS LÄN</t>
        </is>
      </c>
      <c r="E1509" t="inlineStr">
        <is>
          <t>HÄRJEDALEN</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33502-2024</t>
        </is>
      </c>
      <c r="B1510" s="1" t="n">
        <v>45519</v>
      </c>
      <c r="C1510" s="1" t="n">
        <v>45728</v>
      </c>
      <c r="D1510" t="inlineStr">
        <is>
          <t>JÄMTLANDS LÄN</t>
        </is>
      </c>
      <c r="E1510" t="inlineStr">
        <is>
          <t>HÄRJEDALEN</t>
        </is>
      </c>
      <c r="F1510" t="inlineStr">
        <is>
          <t>SCA</t>
        </is>
      </c>
      <c r="G1510" t="n">
        <v>18.9</v>
      </c>
      <c r="H1510" t="n">
        <v>0</v>
      </c>
      <c r="I1510" t="n">
        <v>0</v>
      </c>
      <c r="J1510" t="n">
        <v>0</v>
      </c>
      <c r="K1510" t="n">
        <v>0</v>
      </c>
      <c r="L1510" t="n">
        <v>0</v>
      </c>
      <c r="M1510" t="n">
        <v>0</v>
      </c>
      <c r="N1510" t="n">
        <v>0</v>
      </c>
      <c r="O1510" t="n">
        <v>0</v>
      </c>
      <c r="P1510" t="n">
        <v>0</v>
      </c>
      <c r="Q1510" t="n">
        <v>0</v>
      </c>
      <c r="R1510" s="2" t="inlineStr"/>
    </row>
    <row r="1511" ht="15" customHeight="1">
      <c r="A1511" t="inlineStr">
        <is>
          <t>A 33523-2024</t>
        </is>
      </c>
      <c r="B1511" s="1" t="n">
        <v>45519</v>
      </c>
      <c r="C1511" s="1" t="n">
        <v>45728</v>
      </c>
      <c r="D1511" t="inlineStr">
        <is>
          <t>JÄMTLANDS LÄN</t>
        </is>
      </c>
      <c r="E1511" t="inlineStr">
        <is>
          <t>HÄRJEDALEN</t>
        </is>
      </c>
      <c r="F1511" t="inlineStr">
        <is>
          <t>SCA</t>
        </is>
      </c>
      <c r="G1511" t="n">
        <v>19.4</v>
      </c>
      <c r="H1511" t="n">
        <v>0</v>
      </c>
      <c r="I1511" t="n">
        <v>0</v>
      </c>
      <c r="J1511" t="n">
        <v>0</v>
      </c>
      <c r="K1511" t="n">
        <v>0</v>
      </c>
      <c r="L1511" t="n">
        <v>0</v>
      </c>
      <c r="M1511" t="n">
        <v>0</v>
      </c>
      <c r="N1511" t="n">
        <v>0</v>
      </c>
      <c r="O1511" t="n">
        <v>0</v>
      </c>
      <c r="P1511" t="n">
        <v>0</v>
      </c>
      <c r="Q1511" t="n">
        <v>0</v>
      </c>
      <c r="R1511" s="2" t="inlineStr"/>
    </row>
    <row r="1512" ht="15" customHeight="1">
      <c r="A1512" t="inlineStr">
        <is>
          <t>A 34291-2024</t>
        </is>
      </c>
      <c r="B1512" s="1" t="n">
        <v>45524</v>
      </c>
      <c r="C1512" s="1" t="n">
        <v>45728</v>
      </c>
      <c r="D1512" t="inlineStr">
        <is>
          <t>JÄMTLANDS LÄN</t>
        </is>
      </c>
      <c r="E1512" t="inlineStr">
        <is>
          <t>HÄRJEDALEN</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34523-2024</t>
        </is>
      </c>
      <c r="B1513" s="1" t="n">
        <v>45525</v>
      </c>
      <c r="C1513" s="1" t="n">
        <v>45728</v>
      </c>
      <c r="D1513" t="inlineStr">
        <is>
          <t>JÄMTLANDS LÄN</t>
        </is>
      </c>
      <c r="E1513" t="inlineStr">
        <is>
          <t>HÄRJEDALEN</t>
        </is>
      </c>
      <c r="G1513" t="n">
        <v>31.5</v>
      </c>
      <c r="H1513" t="n">
        <v>0</v>
      </c>
      <c r="I1513" t="n">
        <v>0</v>
      </c>
      <c r="J1513" t="n">
        <v>0</v>
      </c>
      <c r="K1513" t="n">
        <v>0</v>
      </c>
      <c r="L1513" t="n">
        <v>0</v>
      </c>
      <c r="M1513" t="n">
        <v>0</v>
      </c>
      <c r="N1513" t="n">
        <v>0</v>
      </c>
      <c r="O1513" t="n">
        <v>0</v>
      </c>
      <c r="P1513" t="n">
        <v>0</v>
      </c>
      <c r="Q1513" t="n">
        <v>0</v>
      </c>
      <c r="R1513" s="2" t="inlineStr"/>
    </row>
    <row r="1514" ht="15" customHeight="1">
      <c r="A1514" t="inlineStr">
        <is>
          <t>A 34660-2024</t>
        </is>
      </c>
      <c r="B1514" s="1" t="n">
        <v>45526</v>
      </c>
      <c r="C1514" s="1" t="n">
        <v>45728</v>
      </c>
      <c r="D1514" t="inlineStr">
        <is>
          <t>JÄMTLANDS LÄN</t>
        </is>
      </c>
      <c r="E1514" t="inlineStr">
        <is>
          <t>HÄRJEDALEN</t>
        </is>
      </c>
      <c r="F1514" t="inlineStr">
        <is>
          <t>Bergvik skog väst AB</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34775-2024</t>
        </is>
      </c>
      <c r="B1515" s="1" t="n">
        <v>45526</v>
      </c>
      <c r="C1515" s="1" t="n">
        <v>45728</v>
      </c>
      <c r="D1515" t="inlineStr">
        <is>
          <t>JÄMTLANDS LÄN</t>
        </is>
      </c>
      <c r="E1515" t="inlineStr">
        <is>
          <t>HÄRJEDALEN</t>
        </is>
      </c>
      <c r="F1515" t="inlineStr">
        <is>
          <t>Bergvik skog väst AB</t>
        </is>
      </c>
      <c r="G1515" t="n">
        <v>12.4</v>
      </c>
      <c r="H1515" t="n">
        <v>0</v>
      </c>
      <c r="I1515" t="n">
        <v>0</v>
      </c>
      <c r="J1515" t="n">
        <v>0</v>
      </c>
      <c r="K1515" t="n">
        <v>0</v>
      </c>
      <c r="L1515" t="n">
        <v>0</v>
      </c>
      <c r="M1515" t="n">
        <v>0</v>
      </c>
      <c r="N1515" t="n">
        <v>0</v>
      </c>
      <c r="O1515" t="n">
        <v>0</v>
      </c>
      <c r="P1515" t="n">
        <v>0</v>
      </c>
      <c r="Q1515" t="n">
        <v>0</v>
      </c>
      <c r="R1515" s="2" t="inlineStr"/>
    </row>
    <row r="1516" ht="15" customHeight="1">
      <c r="A1516" t="inlineStr">
        <is>
          <t>A 35015-2024</t>
        </is>
      </c>
      <c r="B1516" s="1" t="n">
        <v>45527</v>
      </c>
      <c r="C1516" s="1" t="n">
        <v>45728</v>
      </c>
      <c r="D1516" t="inlineStr">
        <is>
          <t>JÄMTLANDS LÄN</t>
        </is>
      </c>
      <c r="E1516" t="inlineStr">
        <is>
          <t>HÄRJEDALEN</t>
        </is>
      </c>
      <c r="G1516" t="n">
        <v>23.2</v>
      </c>
      <c r="H1516" t="n">
        <v>0</v>
      </c>
      <c r="I1516" t="n">
        <v>0</v>
      </c>
      <c r="J1516" t="n">
        <v>0</v>
      </c>
      <c r="K1516" t="n">
        <v>0</v>
      </c>
      <c r="L1516" t="n">
        <v>0</v>
      </c>
      <c r="M1516" t="n">
        <v>0</v>
      </c>
      <c r="N1516" t="n">
        <v>0</v>
      </c>
      <c r="O1516" t="n">
        <v>0</v>
      </c>
      <c r="P1516" t="n">
        <v>0</v>
      </c>
      <c r="Q1516" t="n">
        <v>0</v>
      </c>
      <c r="R1516" s="2" t="inlineStr"/>
    </row>
    <row r="1517" ht="15" customHeight="1">
      <c r="A1517" t="inlineStr">
        <is>
          <t>A 35046-2024</t>
        </is>
      </c>
      <c r="B1517" s="1" t="n">
        <v>45527</v>
      </c>
      <c r="C1517" s="1" t="n">
        <v>45728</v>
      </c>
      <c r="D1517" t="inlineStr">
        <is>
          <t>JÄMTLANDS LÄN</t>
        </is>
      </c>
      <c r="E1517" t="inlineStr">
        <is>
          <t>HÄRJEDALEN</t>
        </is>
      </c>
      <c r="F1517" t="inlineStr">
        <is>
          <t>Bergvik skog väst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35454-2024</t>
        </is>
      </c>
      <c r="B1518" s="1" t="n">
        <v>45531</v>
      </c>
      <c r="C1518" s="1" t="n">
        <v>45728</v>
      </c>
      <c r="D1518" t="inlineStr">
        <is>
          <t>JÄMTLANDS LÄN</t>
        </is>
      </c>
      <c r="E1518" t="inlineStr">
        <is>
          <t>HÄRJEDALEN</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35457-2024</t>
        </is>
      </c>
      <c r="B1519" s="1" t="n">
        <v>45531</v>
      </c>
      <c r="C1519" s="1" t="n">
        <v>45728</v>
      </c>
      <c r="D1519" t="inlineStr">
        <is>
          <t>JÄMTLANDS LÄN</t>
        </is>
      </c>
      <c r="E1519" t="inlineStr">
        <is>
          <t>HÄRJEDALEN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35599-2024</t>
        </is>
      </c>
      <c r="B1520" s="1" t="n">
        <v>45531</v>
      </c>
      <c r="C1520" s="1" t="n">
        <v>45728</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35635-2024</t>
        </is>
      </c>
      <c r="B1521" s="1" t="n">
        <v>45531</v>
      </c>
      <c r="C1521" s="1" t="n">
        <v>45728</v>
      </c>
      <c r="D1521" t="inlineStr">
        <is>
          <t>JÄMTLANDS LÄN</t>
        </is>
      </c>
      <c r="E1521" t="inlineStr">
        <is>
          <t>HÄRJEDALEN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35726-2024</t>
        </is>
      </c>
      <c r="B1522" s="1" t="n">
        <v>45532</v>
      </c>
      <c r="C1522" s="1" t="n">
        <v>45728</v>
      </c>
      <c r="D1522" t="inlineStr">
        <is>
          <t>JÄMTLANDS LÄN</t>
        </is>
      </c>
      <c r="E1522" t="inlineStr">
        <is>
          <t>HÄRJEDALEN</t>
        </is>
      </c>
      <c r="G1522" t="n">
        <v>14.3</v>
      </c>
      <c r="H1522" t="n">
        <v>0</v>
      </c>
      <c r="I1522" t="n">
        <v>0</v>
      </c>
      <c r="J1522" t="n">
        <v>0</v>
      </c>
      <c r="K1522" t="n">
        <v>0</v>
      </c>
      <c r="L1522" t="n">
        <v>0</v>
      </c>
      <c r="M1522" t="n">
        <v>0</v>
      </c>
      <c r="N1522" t="n">
        <v>0</v>
      </c>
      <c r="O1522" t="n">
        <v>0</v>
      </c>
      <c r="P1522" t="n">
        <v>0</v>
      </c>
      <c r="Q1522" t="n">
        <v>0</v>
      </c>
      <c r="R1522" s="2" t="inlineStr"/>
    </row>
    <row r="1523" ht="15" customHeight="1">
      <c r="A1523" t="inlineStr">
        <is>
          <t>A 35947-2024</t>
        </is>
      </c>
      <c r="B1523" s="1" t="n">
        <v>45533</v>
      </c>
      <c r="C1523" s="1" t="n">
        <v>45728</v>
      </c>
      <c r="D1523" t="inlineStr">
        <is>
          <t>JÄMTLANDS LÄN</t>
        </is>
      </c>
      <c r="E1523" t="inlineStr">
        <is>
          <t>HÄRJEDALEN</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35971-2024</t>
        </is>
      </c>
      <c r="B1524" s="1" t="n">
        <v>45533</v>
      </c>
      <c r="C1524" s="1" t="n">
        <v>45728</v>
      </c>
      <c r="D1524" t="inlineStr">
        <is>
          <t>JÄMTLANDS LÄN</t>
        </is>
      </c>
      <c r="E1524" t="inlineStr">
        <is>
          <t>HÄRJEDALEN</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36083-2024</t>
        </is>
      </c>
      <c r="B1525" s="1" t="n">
        <v>45533</v>
      </c>
      <c r="C1525" s="1" t="n">
        <v>45728</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36097-2024</t>
        </is>
      </c>
      <c r="B1526" s="1" t="n">
        <v>45533</v>
      </c>
      <c r="C1526" s="1" t="n">
        <v>45728</v>
      </c>
      <c r="D1526" t="inlineStr">
        <is>
          <t>JÄMTLANDS LÄN</t>
        </is>
      </c>
      <c r="E1526" t="inlineStr">
        <is>
          <t>HÄRJEDALEN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36123-2024</t>
        </is>
      </c>
      <c r="B1527" s="1" t="n">
        <v>45534</v>
      </c>
      <c r="C1527" s="1" t="n">
        <v>45728</v>
      </c>
      <c r="D1527" t="inlineStr">
        <is>
          <t>JÄMTLANDS LÄN</t>
        </is>
      </c>
      <c r="E1527" t="inlineStr">
        <is>
          <t>HÄRJEDALEN</t>
        </is>
      </c>
      <c r="F1527" t="inlineStr">
        <is>
          <t>Bergvik skog väst AB</t>
        </is>
      </c>
      <c r="G1527" t="n">
        <v>25.7</v>
      </c>
      <c r="H1527" t="n">
        <v>0</v>
      </c>
      <c r="I1527" t="n">
        <v>0</v>
      </c>
      <c r="J1527" t="n">
        <v>0</v>
      </c>
      <c r="K1527" t="n">
        <v>0</v>
      </c>
      <c r="L1527" t="n">
        <v>0</v>
      </c>
      <c r="M1527" t="n">
        <v>0</v>
      </c>
      <c r="N1527" t="n">
        <v>0</v>
      </c>
      <c r="O1527" t="n">
        <v>0</v>
      </c>
      <c r="P1527" t="n">
        <v>0</v>
      </c>
      <c r="Q1527" t="n">
        <v>0</v>
      </c>
      <c r="R1527" s="2" t="inlineStr"/>
    </row>
    <row r="1528" ht="15" customHeight="1">
      <c r="A1528" t="inlineStr">
        <is>
          <t>A 36239-2024</t>
        </is>
      </c>
      <c r="B1528" s="1" t="n">
        <v>45534</v>
      </c>
      <c r="C1528" s="1" t="n">
        <v>45728</v>
      </c>
      <c r="D1528" t="inlineStr">
        <is>
          <t>JÄMTLANDS LÄN</t>
        </is>
      </c>
      <c r="E1528" t="inlineStr">
        <is>
          <t>HÄRJEDALEN</t>
        </is>
      </c>
      <c r="F1528" t="inlineStr">
        <is>
          <t>Bergvik skog väst AB</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36645-2024</t>
        </is>
      </c>
      <c r="B1529" s="1" t="n">
        <v>45537</v>
      </c>
      <c r="C1529" s="1" t="n">
        <v>45728</v>
      </c>
      <c r="D1529" t="inlineStr">
        <is>
          <t>JÄMTLANDS LÄN</t>
        </is>
      </c>
      <c r="E1529" t="inlineStr">
        <is>
          <t>HÄRJEDALEN</t>
        </is>
      </c>
      <c r="F1529" t="inlineStr">
        <is>
          <t>Holmen skog AB</t>
        </is>
      </c>
      <c r="G1529" t="n">
        <v>16.8</v>
      </c>
      <c r="H1529" t="n">
        <v>0</v>
      </c>
      <c r="I1529" t="n">
        <v>0</v>
      </c>
      <c r="J1529" t="n">
        <v>0</v>
      </c>
      <c r="K1529" t="n">
        <v>0</v>
      </c>
      <c r="L1529" t="n">
        <v>0</v>
      </c>
      <c r="M1529" t="n">
        <v>0</v>
      </c>
      <c r="N1529" t="n">
        <v>0</v>
      </c>
      <c r="O1529" t="n">
        <v>0</v>
      </c>
      <c r="P1529" t="n">
        <v>0</v>
      </c>
      <c r="Q1529" t="n">
        <v>0</v>
      </c>
      <c r="R1529" s="2" t="inlineStr"/>
    </row>
    <row r="1530" ht="15" customHeight="1">
      <c r="A1530" t="inlineStr">
        <is>
          <t>A 36911-2024</t>
        </is>
      </c>
      <c r="B1530" s="1" t="n">
        <v>45538</v>
      </c>
      <c r="C1530" s="1" t="n">
        <v>45728</v>
      </c>
      <c r="D1530" t="inlineStr">
        <is>
          <t>JÄMTLANDS LÄN</t>
        </is>
      </c>
      <c r="E1530" t="inlineStr">
        <is>
          <t>HÄRJEDALEN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36941-2024</t>
        </is>
      </c>
      <c r="B1531" s="1" t="n">
        <v>45538</v>
      </c>
      <c r="C1531" s="1" t="n">
        <v>45728</v>
      </c>
      <c r="D1531" t="inlineStr">
        <is>
          <t>JÄMTLANDS LÄN</t>
        </is>
      </c>
      <c r="E1531" t="inlineStr">
        <is>
          <t>HÄRJEDALEN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37054-2024</t>
        </is>
      </c>
      <c r="B1532" s="1" t="n">
        <v>45539</v>
      </c>
      <c r="C1532" s="1" t="n">
        <v>45728</v>
      </c>
      <c r="D1532" t="inlineStr">
        <is>
          <t>JÄMTLANDS LÄN</t>
        </is>
      </c>
      <c r="E1532" t="inlineStr">
        <is>
          <t>HÄRJEDALEN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37281-2024</t>
        </is>
      </c>
      <c r="B1533" s="1" t="n">
        <v>45540</v>
      </c>
      <c r="C1533" s="1" t="n">
        <v>45728</v>
      </c>
      <c r="D1533" t="inlineStr">
        <is>
          <t>JÄMTLANDS LÄN</t>
        </is>
      </c>
      <c r="E1533" t="inlineStr">
        <is>
          <t>HÄRJEDALEN</t>
        </is>
      </c>
      <c r="F1533" t="inlineStr">
        <is>
          <t>Bergvik skog väst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38507-2024</t>
        </is>
      </c>
      <c r="B1534" s="1" t="n">
        <v>45546</v>
      </c>
      <c r="C1534" s="1" t="n">
        <v>45728</v>
      </c>
      <c r="D1534" t="inlineStr">
        <is>
          <t>JÄMTLANDS LÄN</t>
        </is>
      </c>
      <c r="E1534" t="inlineStr">
        <is>
          <t>HÄRJEDALEN</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38609-2024</t>
        </is>
      </c>
      <c r="B1535" s="1" t="n">
        <v>45546</v>
      </c>
      <c r="C1535" s="1" t="n">
        <v>45728</v>
      </c>
      <c r="D1535" t="inlineStr">
        <is>
          <t>JÄMTLANDS LÄN</t>
        </is>
      </c>
      <c r="E1535" t="inlineStr">
        <is>
          <t>HÄRJEDALEN</t>
        </is>
      </c>
      <c r="F1535" t="inlineStr">
        <is>
          <t>Bergvik skog väst AB</t>
        </is>
      </c>
      <c r="G1535" t="n">
        <v>32.4</v>
      </c>
      <c r="H1535" t="n">
        <v>0</v>
      </c>
      <c r="I1535" t="n">
        <v>0</v>
      </c>
      <c r="J1535" t="n">
        <v>0</v>
      </c>
      <c r="K1535" t="n">
        <v>0</v>
      </c>
      <c r="L1535" t="n">
        <v>0</v>
      </c>
      <c r="M1535" t="n">
        <v>0</v>
      </c>
      <c r="N1535" t="n">
        <v>0</v>
      </c>
      <c r="O1535" t="n">
        <v>0</v>
      </c>
      <c r="P1535" t="n">
        <v>0</v>
      </c>
      <c r="Q1535" t="n">
        <v>0</v>
      </c>
      <c r="R1535" s="2" t="inlineStr"/>
    </row>
    <row r="1536" ht="15" customHeight="1">
      <c r="A1536" t="inlineStr">
        <is>
          <t>A 38841-2024</t>
        </is>
      </c>
      <c r="B1536" s="1" t="n">
        <v>45547</v>
      </c>
      <c r="C1536" s="1" t="n">
        <v>45728</v>
      </c>
      <c r="D1536" t="inlineStr">
        <is>
          <t>JÄMTLANDS LÄN</t>
        </is>
      </c>
      <c r="E1536" t="inlineStr">
        <is>
          <t>HÄRJEDALEN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38827-2024</t>
        </is>
      </c>
      <c r="B1537" s="1" t="n">
        <v>45547</v>
      </c>
      <c r="C1537" s="1" t="n">
        <v>45728</v>
      </c>
      <c r="D1537" t="inlineStr">
        <is>
          <t>JÄMTLANDS LÄN</t>
        </is>
      </c>
      <c r="E1537" t="inlineStr">
        <is>
          <t>HÄRJEDALEN</t>
        </is>
      </c>
      <c r="F1537" t="inlineStr">
        <is>
          <t>Bergvik skog väst AB</t>
        </is>
      </c>
      <c r="G1537" t="n">
        <v>30</v>
      </c>
      <c r="H1537" t="n">
        <v>0</v>
      </c>
      <c r="I1537" t="n">
        <v>0</v>
      </c>
      <c r="J1537" t="n">
        <v>0</v>
      </c>
      <c r="K1537" t="n">
        <v>0</v>
      </c>
      <c r="L1537" t="n">
        <v>0</v>
      </c>
      <c r="M1537" t="n">
        <v>0</v>
      </c>
      <c r="N1537" t="n">
        <v>0</v>
      </c>
      <c r="O1537" t="n">
        <v>0</v>
      </c>
      <c r="P1537" t="n">
        <v>0</v>
      </c>
      <c r="Q1537" t="n">
        <v>0</v>
      </c>
      <c r="R1537" s="2" t="inlineStr"/>
    </row>
    <row r="1538" ht="15" customHeight="1">
      <c r="A1538" t="inlineStr">
        <is>
          <t>A 38851-2024</t>
        </is>
      </c>
      <c r="B1538" s="1" t="n">
        <v>45547</v>
      </c>
      <c r="C1538" s="1" t="n">
        <v>45728</v>
      </c>
      <c r="D1538" t="inlineStr">
        <is>
          <t>JÄMTLANDS LÄN</t>
        </is>
      </c>
      <c r="E1538" t="inlineStr">
        <is>
          <t>HÄRJEDALEN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38840-2024</t>
        </is>
      </c>
      <c r="B1539" s="1" t="n">
        <v>45547</v>
      </c>
      <c r="C1539" s="1" t="n">
        <v>45728</v>
      </c>
      <c r="D1539" t="inlineStr">
        <is>
          <t>JÄMTLANDS LÄN</t>
        </is>
      </c>
      <c r="E1539" t="inlineStr">
        <is>
          <t>HÄRJEDALEN</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40037-2024</t>
        </is>
      </c>
      <c r="B1540" s="1" t="n">
        <v>45553</v>
      </c>
      <c r="C1540" s="1" t="n">
        <v>45728</v>
      </c>
      <c r="D1540" t="inlineStr">
        <is>
          <t>JÄMTLANDS LÄN</t>
        </is>
      </c>
      <c r="E1540" t="inlineStr">
        <is>
          <t>HÄRJEDALEN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40114-2024</t>
        </is>
      </c>
      <c r="B1541" s="1" t="n">
        <v>45554</v>
      </c>
      <c r="C1541" s="1" t="n">
        <v>45728</v>
      </c>
      <c r="D1541" t="inlineStr">
        <is>
          <t>JÄMTLANDS LÄN</t>
        </is>
      </c>
      <c r="E1541" t="inlineStr">
        <is>
          <t>HÄRJEDALEN</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41259-2024</t>
        </is>
      </c>
      <c r="B1542" s="1" t="n">
        <v>45559</v>
      </c>
      <c r="C1542" s="1" t="n">
        <v>45728</v>
      </c>
      <c r="D1542" t="inlineStr">
        <is>
          <t>JÄMTLANDS LÄN</t>
        </is>
      </c>
      <c r="E1542" t="inlineStr">
        <is>
          <t>HÄRJEDALEN</t>
        </is>
      </c>
      <c r="F1542" t="inlineStr">
        <is>
          <t>Bergvik skog väst AB</t>
        </is>
      </c>
      <c r="G1542" t="n">
        <v>30.7</v>
      </c>
      <c r="H1542" t="n">
        <v>0</v>
      </c>
      <c r="I1542" t="n">
        <v>0</v>
      </c>
      <c r="J1542" t="n">
        <v>0</v>
      </c>
      <c r="K1542" t="n">
        <v>0</v>
      </c>
      <c r="L1542" t="n">
        <v>0</v>
      </c>
      <c r="M1542" t="n">
        <v>0</v>
      </c>
      <c r="N1542" t="n">
        <v>0</v>
      </c>
      <c r="O1542" t="n">
        <v>0</v>
      </c>
      <c r="P1542" t="n">
        <v>0</v>
      </c>
      <c r="Q1542" t="n">
        <v>0</v>
      </c>
      <c r="R1542" s="2" t="inlineStr"/>
    </row>
    <row r="1543" ht="15" customHeight="1">
      <c r="A1543" t="inlineStr">
        <is>
          <t>A 41329-2024</t>
        </is>
      </c>
      <c r="B1543" s="1" t="n">
        <v>45559</v>
      </c>
      <c r="C1543" s="1" t="n">
        <v>45728</v>
      </c>
      <c r="D1543" t="inlineStr">
        <is>
          <t>JÄMTLANDS LÄN</t>
        </is>
      </c>
      <c r="E1543" t="inlineStr">
        <is>
          <t>HÄRJEDALEN</t>
        </is>
      </c>
      <c r="G1543" t="n">
        <v>47.1</v>
      </c>
      <c r="H1543" t="n">
        <v>0</v>
      </c>
      <c r="I1543" t="n">
        <v>0</v>
      </c>
      <c r="J1543" t="n">
        <v>0</v>
      </c>
      <c r="K1543" t="n">
        <v>0</v>
      </c>
      <c r="L1543" t="n">
        <v>0</v>
      </c>
      <c r="M1543" t="n">
        <v>0</v>
      </c>
      <c r="N1543" t="n">
        <v>0</v>
      </c>
      <c r="O1543" t="n">
        <v>0</v>
      </c>
      <c r="P1543" t="n">
        <v>0</v>
      </c>
      <c r="Q1543" t="n">
        <v>0</v>
      </c>
      <c r="R1543" s="2" t="inlineStr"/>
    </row>
    <row r="1544" ht="15" customHeight="1">
      <c r="A1544" t="inlineStr">
        <is>
          <t>A 41101-2024</t>
        </is>
      </c>
      <c r="B1544" s="1" t="n">
        <v>45559</v>
      </c>
      <c r="C1544" s="1" t="n">
        <v>45728</v>
      </c>
      <c r="D1544" t="inlineStr">
        <is>
          <t>JÄMTLANDS LÄN</t>
        </is>
      </c>
      <c r="E1544" t="inlineStr">
        <is>
          <t>HÄRJEDALEN</t>
        </is>
      </c>
      <c r="F1544" t="inlineStr">
        <is>
          <t>Holmen skog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41604-2024</t>
        </is>
      </c>
      <c r="B1545" s="1" t="n">
        <v>45560</v>
      </c>
      <c r="C1545" s="1" t="n">
        <v>45728</v>
      </c>
      <c r="D1545" t="inlineStr">
        <is>
          <t>JÄMTLANDS LÄN</t>
        </is>
      </c>
      <c r="E1545" t="inlineStr">
        <is>
          <t>HÄRJEDALEN</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41401-2024</t>
        </is>
      </c>
      <c r="B1546" s="1" t="n">
        <v>45560</v>
      </c>
      <c r="C1546" s="1" t="n">
        <v>45728</v>
      </c>
      <c r="D1546" t="inlineStr">
        <is>
          <t>JÄMTLANDS LÄN</t>
        </is>
      </c>
      <c r="E1546" t="inlineStr">
        <is>
          <t>HÄRJEDALEN</t>
        </is>
      </c>
      <c r="F1546" t="inlineStr">
        <is>
          <t>Bergvik skog väst AB</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41615-2024</t>
        </is>
      </c>
      <c r="B1547" s="1" t="n">
        <v>45560</v>
      </c>
      <c r="C1547" s="1" t="n">
        <v>45728</v>
      </c>
      <c r="D1547" t="inlineStr">
        <is>
          <t>JÄMTLANDS LÄN</t>
        </is>
      </c>
      <c r="E1547" t="inlineStr">
        <is>
          <t>HÄRJEDALEN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41647-2024</t>
        </is>
      </c>
      <c r="B1548" s="1" t="n">
        <v>45560</v>
      </c>
      <c r="C1548" s="1" t="n">
        <v>45728</v>
      </c>
      <c r="D1548" t="inlineStr">
        <is>
          <t>JÄMTLANDS LÄN</t>
        </is>
      </c>
      <c r="E1548" t="inlineStr">
        <is>
          <t>HÄRJEDALEN</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41761-2024</t>
        </is>
      </c>
      <c r="B1549" s="1" t="n">
        <v>45561</v>
      </c>
      <c r="C1549" s="1" t="n">
        <v>45728</v>
      </c>
      <c r="D1549" t="inlineStr">
        <is>
          <t>JÄMTLANDS LÄN</t>
        </is>
      </c>
      <c r="E1549" t="inlineStr">
        <is>
          <t>HÄRJEDALEN</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41887-2024</t>
        </is>
      </c>
      <c r="B1550" s="1" t="n">
        <v>45561</v>
      </c>
      <c r="C1550" s="1" t="n">
        <v>45728</v>
      </c>
      <c r="D1550" t="inlineStr">
        <is>
          <t>JÄMTLANDS LÄN</t>
        </is>
      </c>
      <c r="E1550" t="inlineStr">
        <is>
          <t>HÄRJEDALEN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41895-2024</t>
        </is>
      </c>
      <c r="B1551" s="1" t="n">
        <v>45561</v>
      </c>
      <c r="C1551" s="1" t="n">
        <v>45728</v>
      </c>
      <c r="D1551" t="inlineStr">
        <is>
          <t>JÄMTLANDS LÄN</t>
        </is>
      </c>
      <c r="E1551" t="inlineStr">
        <is>
          <t>HÄRJEDALEN</t>
        </is>
      </c>
      <c r="G1551" t="n">
        <v>39.3</v>
      </c>
      <c r="H1551" t="n">
        <v>0</v>
      </c>
      <c r="I1551" t="n">
        <v>0</v>
      </c>
      <c r="J1551" t="n">
        <v>0</v>
      </c>
      <c r="K1551" t="n">
        <v>0</v>
      </c>
      <c r="L1551" t="n">
        <v>0</v>
      </c>
      <c r="M1551" t="n">
        <v>0</v>
      </c>
      <c r="N1551" t="n">
        <v>0</v>
      </c>
      <c r="O1551" t="n">
        <v>0</v>
      </c>
      <c r="P1551" t="n">
        <v>0</v>
      </c>
      <c r="Q1551" t="n">
        <v>0</v>
      </c>
      <c r="R1551" s="2" t="inlineStr"/>
    </row>
    <row r="1552" ht="15" customHeight="1">
      <c r="A1552" t="inlineStr">
        <is>
          <t>A 41885-2024</t>
        </is>
      </c>
      <c r="B1552" s="1" t="n">
        <v>45561</v>
      </c>
      <c r="C1552" s="1" t="n">
        <v>45728</v>
      </c>
      <c r="D1552" t="inlineStr">
        <is>
          <t>JÄMTLANDS LÄN</t>
        </is>
      </c>
      <c r="E1552" t="inlineStr">
        <is>
          <t>HÄRJEDALEN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41785-2024</t>
        </is>
      </c>
      <c r="B1553" s="1" t="n">
        <v>45561</v>
      </c>
      <c r="C1553" s="1" t="n">
        <v>45728</v>
      </c>
      <c r="D1553" t="inlineStr">
        <is>
          <t>JÄMTLANDS LÄN</t>
        </is>
      </c>
      <c r="E1553" t="inlineStr">
        <is>
          <t>HÄRJEDALEN</t>
        </is>
      </c>
      <c r="F1553" t="inlineStr">
        <is>
          <t>SCA</t>
        </is>
      </c>
      <c r="G1553" t="n">
        <v>45.1</v>
      </c>
      <c r="H1553" t="n">
        <v>0</v>
      </c>
      <c r="I1553" t="n">
        <v>0</v>
      </c>
      <c r="J1553" t="n">
        <v>0</v>
      </c>
      <c r="K1553" t="n">
        <v>0</v>
      </c>
      <c r="L1553" t="n">
        <v>0</v>
      </c>
      <c r="M1553" t="n">
        <v>0</v>
      </c>
      <c r="N1553" t="n">
        <v>0</v>
      </c>
      <c r="O1553" t="n">
        <v>0</v>
      </c>
      <c r="P1553" t="n">
        <v>0</v>
      </c>
      <c r="Q1553" t="n">
        <v>0</v>
      </c>
      <c r="R1553" s="2" t="inlineStr"/>
    </row>
    <row r="1554" ht="15" customHeight="1">
      <c r="A1554" t="inlineStr">
        <is>
          <t>A 42332-2024</t>
        </is>
      </c>
      <c r="B1554" s="1" t="n">
        <v>45562</v>
      </c>
      <c r="C1554" s="1" t="n">
        <v>45728</v>
      </c>
      <c r="D1554" t="inlineStr">
        <is>
          <t>JÄMTLANDS LÄN</t>
        </is>
      </c>
      <c r="E1554" t="inlineStr">
        <is>
          <t>HÄRJEDALEN</t>
        </is>
      </c>
      <c r="F1554" t="inlineStr">
        <is>
          <t>Sveaskog</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42333-2024</t>
        </is>
      </c>
      <c r="B1555" s="1" t="n">
        <v>45562</v>
      </c>
      <c r="C1555" s="1" t="n">
        <v>45728</v>
      </c>
      <c r="D1555" t="inlineStr">
        <is>
          <t>JÄMTLANDS LÄN</t>
        </is>
      </c>
      <c r="E1555" t="inlineStr">
        <is>
          <t>HÄRJEDALEN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42789-2024</t>
        </is>
      </c>
      <c r="B1556" s="1" t="n">
        <v>45566</v>
      </c>
      <c r="C1556" s="1" t="n">
        <v>45728</v>
      </c>
      <c r="D1556" t="inlineStr">
        <is>
          <t>JÄMTLANDS LÄN</t>
        </is>
      </c>
      <c r="E1556" t="inlineStr">
        <is>
          <t>HÄRJEDALEN</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42803-2024</t>
        </is>
      </c>
      <c r="B1557" s="1" t="n">
        <v>45566</v>
      </c>
      <c r="C1557" s="1" t="n">
        <v>45728</v>
      </c>
      <c r="D1557" t="inlineStr">
        <is>
          <t>JÄMTLANDS LÄN</t>
        </is>
      </c>
      <c r="E1557" t="inlineStr">
        <is>
          <t>HÄRJEDALEN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43036-2024</t>
        </is>
      </c>
      <c r="B1558" s="1" t="n">
        <v>45567</v>
      </c>
      <c r="C1558" s="1" t="n">
        <v>45728</v>
      </c>
      <c r="D1558" t="inlineStr">
        <is>
          <t>JÄMTLANDS LÄN</t>
        </is>
      </c>
      <c r="E1558" t="inlineStr">
        <is>
          <t>HÄRJEDALEN</t>
        </is>
      </c>
      <c r="F1558" t="inlineStr">
        <is>
          <t>Bergvik skog väst AB</t>
        </is>
      </c>
      <c r="G1558" t="n">
        <v>28.4</v>
      </c>
      <c r="H1558" t="n">
        <v>0</v>
      </c>
      <c r="I1558" t="n">
        <v>0</v>
      </c>
      <c r="J1558" t="n">
        <v>0</v>
      </c>
      <c r="K1558" t="n">
        <v>0</v>
      </c>
      <c r="L1558" t="n">
        <v>0</v>
      </c>
      <c r="M1558" t="n">
        <v>0</v>
      </c>
      <c r="N1558" t="n">
        <v>0</v>
      </c>
      <c r="O1558" t="n">
        <v>0</v>
      </c>
      <c r="P1558" t="n">
        <v>0</v>
      </c>
      <c r="Q1558" t="n">
        <v>0</v>
      </c>
      <c r="R1558" s="2" t="inlineStr"/>
    </row>
    <row r="1559" ht="15" customHeight="1">
      <c r="A1559" t="inlineStr">
        <is>
          <t>A 43287-2024</t>
        </is>
      </c>
      <c r="B1559" s="1" t="n">
        <v>45568</v>
      </c>
      <c r="C1559" s="1" t="n">
        <v>45728</v>
      </c>
      <c r="D1559" t="inlineStr">
        <is>
          <t>JÄMTLANDS LÄN</t>
        </is>
      </c>
      <c r="E1559" t="inlineStr">
        <is>
          <t>HÄRJEDALEN</t>
        </is>
      </c>
      <c r="F1559" t="inlineStr">
        <is>
          <t>SCA</t>
        </is>
      </c>
      <c r="G1559" t="n">
        <v>19.7</v>
      </c>
      <c r="H1559" t="n">
        <v>0</v>
      </c>
      <c r="I1559" t="n">
        <v>0</v>
      </c>
      <c r="J1559" t="n">
        <v>0</v>
      </c>
      <c r="K1559" t="n">
        <v>0</v>
      </c>
      <c r="L1559" t="n">
        <v>0</v>
      </c>
      <c r="M1559" t="n">
        <v>0</v>
      </c>
      <c r="N1559" t="n">
        <v>0</v>
      </c>
      <c r="O1559" t="n">
        <v>0</v>
      </c>
      <c r="P1559" t="n">
        <v>0</v>
      </c>
      <c r="Q1559" t="n">
        <v>0</v>
      </c>
      <c r="R1559" s="2" t="inlineStr"/>
    </row>
    <row r="1560" ht="15" customHeight="1">
      <c r="A1560" t="inlineStr">
        <is>
          <t>A 43297-2024</t>
        </is>
      </c>
      <c r="B1560" s="1" t="n">
        <v>45568</v>
      </c>
      <c r="C1560" s="1" t="n">
        <v>45728</v>
      </c>
      <c r="D1560" t="inlineStr">
        <is>
          <t>JÄMTLANDS LÄN</t>
        </is>
      </c>
      <c r="E1560" t="inlineStr">
        <is>
          <t>HÄRJEDALEN</t>
        </is>
      </c>
      <c r="F1560" t="inlineStr">
        <is>
          <t>SCA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43309-2024</t>
        </is>
      </c>
      <c r="B1561" s="1" t="n">
        <v>45568</v>
      </c>
      <c r="C1561" s="1" t="n">
        <v>45728</v>
      </c>
      <c r="D1561" t="inlineStr">
        <is>
          <t>JÄMTLANDS LÄN</t>
        </is>
      </c>
      <c r="E1561" t="inlineStr">
        <is>
          <t>HÄRJEDALEN</t>
        </is>
      </c>
      <c r="F1561" t="inlineStr">
        <is>
          <t>Bergvik skog väst AB</t>
        </is>
      </c>
      <c r="G1561" t="n">
        <v>79.8</v>
      </c>
      <c r="H1561" t="n">
        <v>0</v>
      </c>
      <c r="I1561" t="n">
        <v>0</v>
      </c>
      <c r="J1561" t="n">
        <v>0</v>
      </c>
      <c r="K1561" t="n">
        <v>0</v>
      </c>
      <c r="L1561" t="n">
        <v>0</v>
      </c>
      <c r="M1561" t="n">
        <v>0</v>
      </c>
      <c r="N1561" t="n">
        <v>0</v>
      </c>
      <c r="O1561" t="n">
        <v>0</v>
      </c>
      <c r="P1561" t="n">
        <v>0</v>
      </c>
      <c r="Q1561" t="n">
        <v>0</v>
      </c>
      <c r="R1561" s="2" t="inlineStr"/>
    </row>
    <row r="1562" ht="15" customHeight="1">
      <c r="A1562" t="inlineStr">
        <is>
          <t>A 43390-2024</t>
        </is>
      </c>
      <c r="B1562" s="1" t="n">
        <v>45568</v>
      </c>
      <c r="C1562" s="1" t="n">
        <v>45728</v>
      </c>
      <c r="D1562" t="inlineStr">
        <is>
          <t>JÄMTLANDS LÄN</t>
        </is>
      </c>
      <c r="E1562" t="inlineStr">
        <is>
          <t>HÄRJEDALEN</t>
        </is>
      </c>
      <c r="F1562" t="inlineStr">
        <is>
          <t>Bergvik skog väst AB</t>
        </is>
      </c>
      <c r="G1562" t="n">
        <v>10.9</v>
      </c>
      <c r="H1562" t="n">
        <v>0</v>
      </c>
      <c r="I1562" t="n">
        <v>0</v>
      </c>
      <c r="J1562" t="n">
        <v>0</v>
      </c>
      <c r="K1562" t="n">
        <v>0</v>
      </c>
      <c r="L1562" t="n">
        <v>0</v>
      </c>
      <c r="M1562" t="n">
        <v>0</v>
      </c>
      <c r="N1562" t="n">
        <v>0</v>
      </c>
      <c r="O1562" t="n">
        <v>0</v>
      </c>
      <c r="P1562" t="n">
        <v>0</v>
      </c>
      <c r="Q1562" t="n">
        <v>0</v>
      </c>
      <c r="R1562" s="2" t="inlineStr"/>
    </row>
    <row r="1563" ht="15" customHeight="1">
      <c r="A1563" t="inlineStr">
        <is>
          <t>A 43294-2024</t>
        </is>
      </c>
      <c r="B1563" s="1" t="n">
        <v>45568</v>
      </c>
      <c r="C1563" s="1" t="n">
        <v>45728</v>
      </c>
      <c r="D1563" t="inlineStr">
        <is>
          <t>JÄMTLANDS LÄN</t>
        </is>
      </c>
      <c r="E1563" t="inlineStr">
        <is>
          <t>HÄRJEDALEN</t>
        </is>
      </c>
      <c r="F1563" t="inlineStr">
        <is>
          <t>SCA</t>
        </is>
      </c>
      <c r="G1563" t="n">
        <v>18.5</v>
      </c>
      <c r="H1563" t="n">
        <v>0</v>
      </c>
      <c r="I1563" t="n">
        <v>0</v>
      </c>
      <c r="J1563" t="n">
        <v>0</v>
      </c>
      <c r="K1563" t="n">
        <v>0</v>
      </c>
      <c r="L1563" t="n">
        <v>0</v>
      </c>
      <c r="M1563" t="n">
        <v>0</v>
      </c>
      <c r="N1563" t="n">
        <v>0</v>
      </c>
      <c r="O1563" t="n">
        <v>0</v>
      </c>
      <c r="P1563" t="n">
        <v>0</v>
      </c>
      <c r="Q1563" t="n">
        <v>0</v>
      </c>
      <c r="R1563" s="2" t="inlineStr"/>
    </row>
    <row r="1564" ht="15" customHeight="1">
      <c r="A1564" t="inlineStr">
        <is>
          <t>A 43316-2024</t>
        </is>
      </c>
      <c r="B1564" s="1" t="n">
        <v>45568</v>
      </c>
      <c r="C1564" s="1" t="n">
        <v>45728</v>
      </c>
      <c r="D1564" t="inlineStr">
        <is>
          <t>JÄMTLANDS LÄN</t>
        </is>
      </c>
      <c r="E1564" t="inlineStr">
        <is>
          <t>HÄRJEDALEN</t>
        </is>
      </c>
      <c r="F1564" t="inlineStr">
        <is>
          <t>Bergvik skog väst AB</t>
        </is>
      </c>
      <c r="G1564" t="n">
        <v>79.90000000000001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43623-2024</t>
        </is>
      </c>
      <c r="B1565" s="1" t="n">
        <v>45569</v>
      </c>
      <c r="C1565" s="1" t="n">
        <v>45728</v>
      </c>
      <c r="D1565" t="inlineStr">
        <is>
          <t>JÄMTLANDS LÄN</t>
        </is>
      </c>
      <c r="E1565" t="inlineStr">
        <is>
          <t>HÄRJEDALEN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43555-2024</t>
        </is>
      </c>
      <c r="B1566" s="1" t="n">
        <v>45569</v>
      </c>
      <c r="C1566" s="1" t="n">
        <v>45728</v>
      </c>
      <c r="D1566" t="inlineStr">
        <is>
          <t>JÄMTLANDS LÄN</t>
        </is>
      </c>
      <c r="E1566" t="inlineStr">
        <is>
          <t>HÄRJEDALEN</t>
        </is>
      </c>
      <c r="G1566" t="n">
        <v>30.3</v>
      </c>
      <c r="H1566" t="n">
        <v>0</v>
      </c>
      <c r="I1566" t="n">
        <v>0</v>
      </c>
      <c r="J1566" t="n">
        <v>0</v>
      </c>
      <c r="K1566" t="n">
        <v>0</v>
      </c>
      <c r="L1566" t="n">
        <v>0</v>
      </c>
      <c r="M1566" t="n">
        <v>0</v>
      </c>
      <c r="N1566" t="n">
        <v>0</v>
      </c>
      <c r="O1566" t="n">
        <v>0</v>
      </c>
      <c r="P1566" t="n">
        <v>0</v>
      </c>
      <c r="Q1566" t="n">
        <v>0</v>
      </c>
      <c r="R1566" s="2" t="inlineStr"/>
    </row>
    <row r="1567" ht="15" customHeight="1">
      <c r="A1567" t="inlineStr">
        <is>
          <t>A 43574-2024</t>
        </is>
      </c>
      <c r="B1567" s="1" t="n">
        <v>45569</v>
      </c>
      <c r="C1567" s="1" t="n">
        <v>45728</v>
      </c>
      <c r="D1567" t="inlineStr">
        <is>
          <t>JÄMTLANDS LÄN</t>
        </is>
      </c>
      <c r="E1567" t="inlineStr">
        <is>
          <t>HÄRJEDALEN</t>
        </is>
      </c>
      <c r="F1567" t="inlineStr">
        <is>
          <t>Bergvik skog väst AB</t>
        </is>
      </c>
      <c r="G1567" t="n">
        <v>258.3</v>
      </c>
      <c r="H1567" t="n">
        <v>0</v>
      </c>
      <c r="I1567" t="n">
        <v>0</v>
      </c>
      <c r="J1567" t="n">
        <v>0</v>
      </c>
      <c r="K1567" t="n">
        <v>0</v>
      </c>
      <c r="L1567" t="n">
        <v>0</v>
      </c>
      <c r="M1567" t="n">
        <v>0</v>
      </c>
      <c r="N1567" t="n">
        <v>0</v>
      </c>
      <c r="O1567" t="n">
        <v>0</v>
      </c>
      <c r="P1567" t="n">
        <v>0</v>
      </c>
      <c r="Q1567" t="n">
        <v>0</v>
      </c>
      <c r="R1567" s="2" t="inlineStr"/>
    </row>
    <row r="1568" ht="15" customHeight="1">
      <c r="A1568" t="inlineStr">
        <is>
          <t>A 43586-2024</t>
        </is>
      </c>
      <c r="B1568" s="1" t="n">
        <v>45569</v>
      </c>
      <c r="C1568" s="1" t="n">
        <v>45728</v>
      </c>
      <c r="D1568" t="inlineStr">
        <is>
          <t>JÄMTLANDS LÄN</t>
        </is>
      </c>
      <c r="E1568" t="inlineStr">
        <is>
          <t>HÄRJEDALEN</t>
        </is>
      </c>
      <c r="F1568" t="inlineStr">
        <is>
          <t>Bergvik skog väst AB</t>
        </is>
      </c>
      <c r="G1568" t="n">
        <v>96.2</v>
      </c>
      <c r="H1568" t="n">
        <v>0</v>
      </c>
      <c r="I1568" t="n">
        <v>0</v>
      </c>
      <c r="J1568" t="n">
        <v>0</v>
      </c>
      <c r="K1568" t="n">
        <v>0</v>
      </c>
      <c r="L1568" t="n">
        <v>0</v>
      </c>
      <c r="M1568" t="n">
        <v>0</v>
      </c>
      <c r="N1568" t="n">
        <v>0</v>
      </c>
      <c r="O1568" t="n">
        <v>0</v>
      </c>
      <c r="P1568" t="n">
        <v>0</v>
      </c>
      <c r="Q1568" t="n">
        <v>0</v>
      </c>
      <c r="R1568" s="2" t="inlineStr"/>
    </row>
    <row r="1569" ht="15" customHeight="1">
      <c r="A1569" t="inlineStr">
        <is>
          <t>A 43760-2024</t>
        </is>
      </c>
      <c r="B1569" s="1" t="n">
        <v>45569</v>
      </c>
      <c r="C1569" s="1" t="n">
        <v>45728</v>
      </c>
      <c r="D1569" t="inlineStr">
        <is>
          <t>JÄMTLANDS LÄN</t>
        </is>
      </c>
      <c r="E1569" t="inlineStr">
        <is>
          <t>HÄRJEDALEN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43758-2024</t>
        </is>
      </c>
      <c r="B1570" s="1" t="n">
        <v>45569</v>
      </c>
      <c r="C1570" s="1" t="n">
        <v>45728</v>
      </c>
      <c r="D1570" t="inlineStr">
        <is>
          <t>JÄMTLANDS LÄN</t>
        </is>
      </c>
      <c r="E1570" t="inlineStr">
        <is>
          <t>HÄRJEDALEN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43591-2024</t>
        </is>
      </c>
      <c r="B1571" s="1" t="n">
        <v>45569</v>
      </c>
      <c r="C1571" s="1" t="n">
        <v>45728</v>
      </c>
      <c r="D1571" t="inlineStr">
        <is>
          <t>JÄMTLANDS LÄN</t>
        </is>
      </c>
      <c r="E1571" t="inlineStr">
        <is>
          <t>HÄRJEDALEN</t>
        </is>
      </c>
      <c r="F1571" t="inlineStr">
        <is>
          <t>Bergvik skog väst AB</t>
        </is>
      </c>
      <c r="G1571" t="n">
        <v>50.5</v>
      </c>
      <c r="H1571" t="n">
        <v>0</v>
      </c>
      <c r="I1571" t="n">
        <v>0</v>
      </c>
      <c r="J1571" t="n">
        <v>0</v>
      </c>
      <c r="K1571" t="n">
        <v>0</v>
      </c>
      <c r="L1571" t="n">
        <v>0</v>
      </c>
      <c r="M1571" t="n">
        <v>0</v>
      </c>
      <c r="N1571" t="n">
        <v>0</v>
      </c>
      <c r="O1571" t="n">
        <v>0</v>
      </c>
      <c r="P1571" t="n">
        <v>0</v>
      </c>
      <c r="Q1571" t="n">
        <v>0</v>
      </c>
      <c r="R1571" s="2" t="inlineStr"/>
    </row>
    <row r="1572" ht="15" customHeight="1">
      <c r="A1572" t="inlineStr">
        <is>
          <t>A 43607-2024</t>
        </is>
      </c>
      <c r="B1572" s="1" t="n">
        <v>45569</v>
      </c>
      <c r="C1572" s="1" t="n">
        <v>45728</v>
      </c>
      <c r="D1572" t="inlineStr">
        <is>
          <t>JÄMTLANDS LÄN</t>
        </is>
      </c>
      <c r="E1572" t="inlineStr">
        <is>
          <t>HÄRJEDALEN</t>
        </is>
      </c>
      <c r="F1572" t="inlineStr">
        <is>
          <t>Bergvik skog väst AB</t>
        </is>
      </c>
      <c r="G1572" t="n">
        <v>189.8</v>
      </c>
      <c r="H1572" t="n">
        <v>0</v>
      </c>
      <c r="I1572" t="n">
        <v>0</v>
      </c>
      <c r="J1572" t="n">
        <v>0</v>
      </c>
      <c r="K1572" t="n">
        <v>0</v>
      </c>
      <c r="L1572" t="n">
        <v>0</v>
      </c>
      <c r="M1572" t="n">
        <v>0</v>
      </c>
      <c r="N1572" t="n">
        <v>0</v>
      </c>
      <c r="O1572" t="n">
        <v>0</v>
      </c>
      <c r="P1572" t="n">
        <v>0</v>
      </c>
      <c r="Q1572" t="n">
        <v>0</v>
      </c>
      <c r="R1572" s="2" t="inlineStr"/>
    </row>
    <row r="1573" ht="15" customHeight="1">
      <c r="A1573" t="inlineStr">
        <is>
          <t>A 44056-2024</t>
        </is>
      </c>
      <c r="B1573" s="1" t="n">
        <v>45572</v>
      </c>
      <c r="C1573" s="1" t="n">
        <v>45728</v>
      </c>
      <c r="D1573" t="inlineStr">
        <is>
          <t>JÄMTLANDS LÄN</t>
        </is>
      </c>
      <c r="E1573" t="inlineStr">
        <is>
          <t>HÄRJEDALEN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44060-2024</t>
        </is>
      </c>
      <c r="B1574" s="1" t="n">
        <v>45572</v>
      </c>
      <c r="C1574" s="1" t="n">
        <v>45728</v>
      </c>
      <c r="D1574" t="inlineStr">
        <is>
          <t>JÄMTLANDS LÄN</t>
        </is>
      </c>
      <c r="E1574" t="inlineStr">
        <is>
          <t>HÄRJEDALEN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44222-2024</t>
        </is>
      </c>
      <c r="B1575" s="1" t="n">
        <v>45573</v>
      </c>
      <c r="C1575" s="1" t="n">
        <v>45728</v>
      </c>
      <c r="D1575" t="inlineStr">
        <is>
          <t>JÄMTLANDS LÄN</t>
        </is>
      </c>
      <c r="E1575" t="inlineStr">
        <is>
          <t>HÄRJEDALEN</t>
        </is>
      </c>
      <c r="G1575" t="n">
        <v>15.3</v>
      </c>
      <c r="H1575" t="n">
        <v>0</v>
      </c>
      <c r="I1575" t="n">
        <v>0</v>
      </c>
      <c r="J1575" t="n">
        <v>0</v>
      </c>
      <c r="K1575" t="n">
        <v>0</v>
      </c>
      <c r="L1575" t="n">
        <v>0</v>
      </c>
      <c r="M1575" t="n">
        <v>0</v>
      </c>
      <c r="N1575" t="n">
        <v>0</v>
      </c>
      <c r="O1575" t="n">
        <v>0</v>
      </c>
      <c r="P1575" t="n">
        <v>0</v>
      </c>
      <c r="Q1575" t="n">
        <v>0</v>
      </c>
      <c r="R1575" s="2" t="inlineStr"/>
    </row>
    <row r="1576" ht="15" customHeight="1">
      <c r="A1576" t="inlineStr">
        <is>
          <t>A 44332-2024</t>
        </is>
      </c>
      <c r="B1576" s="1" t="n">
        <v>45573</v>
      </c>
      <c r="C1576" s="1" t="n">
        <v>45728</v>
      </c>
      <c r="D1576" t="inlineStr">
        <is>
          <t>JÄMTLANDS LÄN</t>
        </is>
      </c>
      <c r="E1576" t="inlineStr">
        <is>
          <t>HÄRJEDALEN</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44583-2024</t>
        </is>
      </c>
      <c r="B1577" s="1" t="n">
        <v>45574</v>
      </c>
      <c r="C1577" s="1" t="n">
        <v>45728</v>
      </c>
      <c r="D1577" t="inlineStr">
        <is>
          <t>JÄMTLANDS LÄN</t>
        </is>
      </c>
      <c r="E1577" t="inlineStr">
        <is>
          <t>HÄRJEDALEN</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44705-2024</t>
        </is>
      </c>
      <c r="B1578" s="1" t="n">
        <v>45574</v>
      </c>
      <c r="C1578" s="1" t="n">
        <v>45728</v>
      </c>
      <c r="D1578" t="inlineStr">
        <is>
          <t>JÄMTLANDS LÄN</t>
        </is>
      </c>
      <c r="E1578" t="inlineStr">
        <is>
          <t>HÄRJEDALEN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44819-2024</t>
        </is>
      </c>
      <c r="B1579" s="1" t="n">
        <v>45574</v>
      </c>
      <c r="C1579" s="1" t="n">
        <v>45728</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44745-2024</t>
        </is>
      </c>
      <c r="B1580" s="1" t="n">
        <v>45574</v>
      </c>
      <c r="C1580" s="1" t="n">
        <v>45728</v>
      </c>
      <c r="D1580" t="inlineStr">
        <is>
          <t>JÄMTLANDS LÄN</t>
        </is>
      </c>
      <c r="E1580" t="inlineStr">
        <is>
          <t>HÄRJEDALEN</t>
        </is>
      </c>
      <c r="G1580" t="n">
        <v>12.2</v>
      </c>
      <c r="H1580" t="n">
        <v>0</v>
      </c>
      <c r="I1580" t="n">
        <v>0</v>
      </c>
      <c r="J1580" t="n">
        <v>0</v>
      </c>
      <c r="K1580" t="n">
        <v>0</v>
      </c>
      <c r="L1580" t="n">
        <v>0</v>
      </c>
      <c r="M1580" t="n">
        <v>0</v>
      </c>
      <c r="N1580" t="n">
        <v>0</v>
      </c>
      <c r="O1580" t="n">
        <v>0</v>
      </c>
      <c r="P1580" t="n">
        <v>0</v>
      </c>
      <c r="Q1580" t="n">
        <v>0</v>
      </c>
      <c r="R1580" s="2" t="inlineStr"/>
    </row>
    <row r="1581" ht="15" customHeight="1">
      <c r="A1581" t="inlineStr">
        <is>
          <t>A 44757-2024</t>
        </is>
      </c>
      <c r="B1581" s="1" t="n">
        <v>45574</v>
      </c>
      <c r="C1581" s="1" t="n">
        <v>45728</v>
      </c>
      <c r="D1581" t="inlineStr">
        <is>
          <t>JÄMTLANDS LÄN</t>
        </is>
      </c>
      <c r="E1581" t="inlineStr">
        <is>
          <t>HÄRJEDALEN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44641-2024</t>
        </is>
      </c>
      <c r="B1582" s="1" t="n">
        <v>45574</v>
      </c>
      <c r="C1582" s="1" t="n">
        <v>45728</v>
      </c>
      <c r="D1582" t="inlineStr">
        <is>
          <t>JÄMTLANDS LÄN</t>
        </is>
      </c>
      <c r="E1582" t="inlineStr">
        <is>
          <t>HÄRJEDALEN</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44967-2024</t>
        </is>
      </c>
      <c r="B1583" s="1" t="n">
        <v>45575</v>
      </c>
      <c r="C1583" s="1" t="n">
        <v>45728</v>
      </c>
      <c r="D1583" t="inlineStr">
        <is>
          <t>JÄMTLANDS LÄN</t>
        </is>
      </c>
      <c r="E1583" t="inlineStr">
        <is>
          <t>HÄRJEDALEN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44955-2024</t>
        </is>
      </c>
      <c r="B1584" s="1" t="n">
        <v>45575</v>
      </c>
      <c r="C1584" s="1" t="n">
        <v>45728</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45120-2024</t>
        </is>
      </c>
      <c r="B1585" s="1" t="n">
        <v>45575</v>
      </c>
      <c r="C1585" s="1" t="n">
        <v>45728</v>
      </c>
      <c r="D1585" t="inlineStr">
        <is>
          <t>JÄMTLANDS LÄN</t>
        </is>
      </c>
      <c r="E1585" t="inlineStr">
        <is>
          <t>HÄRJEDALEN</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45119-2024</t>
        </is>
      </c>
      <c r="B1586" s="1" t="n">
        <v>45575</v>
      </c>
      <c r="C1586" s="1" t="n">
        <v>45728</v>
      </c>
      <c r="D1586" t="inlineStr">
        <is>
          <t>JÄMTLANDS LÄN</t>
        </is>
      </c>
      <c r="E1586" t="inlineStr">
        <is>
          <t>HÄRJEDALEN</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45123-2024</t>
        </is>
      </c>
      <c r="B1587" s="1" t="n">
        <v>45575</v>
      </c>
      <c r="C1587" s="1" t="n">
        <v>45728</v>
      </c>
      <c r="D1587" t="inlineStr">
        <is>
          <t>JÄMTLANDS LÄN</t>
        </is>
      </c>
      <c r="E1587" t="inlineStr">
        <is>
          <t>HÄRJEDALEN</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44903-2024</t>
        </is>
      </c>
      <c r="B1588" s="1" t="n">
        <v>45575</v>
      </c>
      <c r="C1588" s="1" t="n">
        <v>45728</v>
      </c>
      <c r="D1588" t="inlineStr">
        <is>
          <t>JÄMTLANDS LÄN</t>
        </is>
      </c>
      <c r="E1588" t="inlineStr">
        <is>
          <t>HÄRJEDALEN</t>
        </is>
      </c>
      <c r="F1588" t="inlineStr">
        <is>
          <t>Sveaskog</t>
        </is>
      </c>
      <c r="G1588" t="n">
        <v>13.2</v>
      </c>
      <c r="H1588" t="n">
        <v>0</v>
      </c>
      <c r="I1588" t="n">
        <v>0</v>
      </c>
      <c r="J1588" t="n">
        <v>0</v>
      </c>
      <c r="K1588" t="n">
        <v>0</v>
      </c>
      <c r="L1588" t="n">
        <v>0</v>
      </c>
      <c r="M1588" t="n">
        <v>0</v>
      </c>
      <c r="N1588" t="n">
        <v>0</v>
      </c>
      <c r="O1588" t="n">
        <v>0</v>
      </c>
      <c r="P1588" t="n">
        <v>0</v>
      </c>
      <c r="Q1588" t="n">
        <v>0</v>
      </c>
      <c r="R1588" s="2" t="inlineStr"/>
    </row>
    <row r="1589" ht="15" customHeight="1">
      <c r="A1589" t="inlineStr">
        <is>
          <t>A 44964-2024</t>
        </is>
      </c>
      <c r="B1589" s="1" t="n">
        <v>45575</v>
      </c>
      <c r="C1589" s="1" t="n">
        <v>45728</v>
      </c>
      <c r="D1589" t="inlineStr">
        <is>
          <t>JÄMTLANDS LÄN</t>
        </is>
      </c>
      <c r="E1589" t="inlineStr">
        <is>
          <t>HÄRJEDALEN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45363-2024</t>
        </is>
      </c>
      <c r="B1590" s="1" t="n">
        <v>45576</v>
      </c>
      <c r="C1590" s="1" t="n">
        <v>45728</v>
      </c>
      <c r="D1590" t="inlineStr">
        <is>
          <t>JÄMTLANDS LÄN</t>
        </is>
      </c>
      <c r="E1590" t="inlineStr">
        <is>
          <t>HÄRJEDALEN</t>
        </is>
      </c>
      <c r="F1590" t="inlineStr">
        <is>
          <t>Sveaskog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45731-2024</t>
        </is>
      </c>
      <c r="B1591" s="1" t="n">
        <v>45579</v>
      </c>
      <c r="C1591" s="1" t="n">
        <v>45728</v>
      </c>
      <c r="D1591" t="inlineStr">
        <is>
          <t>JÄMTLANDS LÄN</t>
        </is>
      </c>
      <c r="E1591" t="inlineStr">
        <is>
          <t>HÄRJEDALEN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45705-2024</t>
        </is>
      </c>
      <c r="B1592" s="1" t="n">
        <v>45579</v>
      </c>
      <c r="C1592" s="1" t="n">
        <v>45728</v>
      </c>
      <c r="D1592" t="inlineStr">
        <is>
          <t>JÄMTLANDS LÄN</t>
        </is>
      </c>
      <c r="E1592" t="inlineStr">
        <is>
          <t>HÄRJEDALEN</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45570-2024</t>
        </is>
      </c>
      <c r="B1593" s="1" t="n">
        <v>45579</v>
      </c>
      <c r="C1593" s="1" t="n">
        <v>45728</v>
      </c>
      <c r="D1593" t="inlineStr">
        <is>
          <t>JÄMTLANDS LÄN</t>
        </is>
      </c>
      <c r="E1593" t="inlineStr">
        <is>
          <t>HÄRJEDALEN</t>
        </is>
      </c>
      <c r="F1593" t="inlineStr">
        <is>
          <t>Kommuner</t>
        </is>
      </c>
      <c r="G1593" t="n">
        <v>39.3</v>
      </c>
      <c r="H1593" t="n">
        <v>0</v>
      </c>
      <c r="I1593" t="n">
        <v>0</v>
      </c>
      <c r="J1593" t="n">
        <v>0</v>
      </c>
      <c r="K1593" t="n">
        <v>0</v>
      </c>
      <c r="L1593" t="n">
        <v>0</v>
      </c>
      <c r="M1593" t="n">
        <v>0</v>
      </c>
      <c r="N1593" t="n">
        <v>0</v>
      </c>
      <c r="O1593" t="n">
        <v>0</v>
      </c>
      <c r="P1593" t="n">
        <v>0</v>
      </c>
      <c r="Q1593" t="n">
        <v>0</v>
      </c>
      <c r="R1593" s="2" t="inlineStr"/>
    </row>
    <row r="1594" ht="15" customHeight="1">
      <c r="A1594" t="inlineStr">
        <is>
          <t>A 46058-2024</t>
        </is>
      </c>
      <c r="B1594" s="1" t="n">
        <v>45581</v>
      </c>
      <c r="C1594" s="1" t="n">
        <v>45728</v>
      </c>
      <c r="D1594" t="inlineStr">
        <is>
          <t>JÄMTLANDS LÄN</t>
        </is>
      </c>
      <c r="E1594" t="inlineStr">
        <is>
          <t>HÄRJEDALEN</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46245-2024</t>
        </is>
      </c>
      <c r="B1595" s="1" t="n">
        <v>45581</v>
      </c>
      <c r="C1595" s="1" t="n">
        <v>45728</v>
      </c>
      <c r="D1595" t="inlineStr">
        <is>
          <t>JÄMTLANDS LÄN</t>
        </is>
      </c>
      <c r="E1595" t="inlineStr">
        <is>
          <t>HÄRJEDALEN</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46447-2024</t>
        </is>
      </c>
      <c r="B1596" s="1" t="n">
        <v>45582</v>
      </c>
      <c r="C1596" s="1" t="n">
        <v>45728</v>
      </c>
      <c r="D1596" t="inlineStr">
        <is>
          <t>JÄMTLANDS LÄN</t>
        </is>
      </c>
      <c r="E1596" t="inlineStr">
        <is>
          <t>HÄRJEDALEN</t>
        </is>
      </c>
      <c r="F1596" t="inlineStr">
        <is>
          <t>Bergvik skog väst AB</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46499-2024</t>
        </is>
      </c>
      <c r="B1597" s="1" t="n">
        <v>45582</v>
      </c>
      <c r="C1597" s="1" t="n">
        <v>45728</v>
      </c>
      <c r="D1597" t="inlineStr">
        <is>
          <t>JÄMTLANDS LÄN</t>
        </is>
      </c>
      <c r="E1597" t="inlineStr">
        <is>
          <t>HÄRJEDALEN</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47353-2024</t>
        </is>
      </c>
      <c r="B1598" s="1" t="n">
        <v>45587</v>
      </c>
      <c r="C1598" s="1" t="n">
        <v>45728</v>
      </c>
      <c r="D1598" t="inlineStr">
        <is>
          <t>JÄMTLANDS LÄN</t>
        </is>
      </c>
      <c r="E1598" t="inlineStr">
        <is>
          <t>HÄRJEDALEN</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47368-2024</t>
        </is>
      </c>
      <c r="B1599" s="1" t="n">
        <v>45587</v>
      </c>
      <c r="C1599" s="1" t="n">
        <v>45728</v>
      </c>
      <c r="D1599" t="inlineStr">
        <is>
          <t>JÄMTLANDS LÄN</t>
        </is>
      </c>
      <c r="E1599" t="inlineStr">
        <is>
          <t>HÄRJEDALEN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47765-2024</t>
        </is>
      </c>
      <c r="B1600" s="1" t="n">
        <v>45588</v>
      </c>
      <c r="C1600" s="1" t="n">
        <v>45728</v>
      </c>
      <c r="D1600" t="inlineStr">
        <is>
          <t>JÄMTLANDS LÄN</t>
        </is>
      </c>
      <c r="E1600" t="inlineStr">
        <is>
          <t>HÄRJEDALEN</t>
        </is>
      </c>
      <c r="G1600" t="n">
        <v>57.2</v>
      </c>
      <c r="H1600" t="n">
        <v>0</v>
      </c>
      <c r="I1600" t="n">
        <v>0</v>
      </c>
      <c r="J1600" t="n">
        <v>0</v>
      </c>
      <c r="K1600" t="n">
        <v>0</v>
      </c>
      <c r="L1600" t="n">
        <v>0</v>
      </c>
      <c r="M1600" t="n">
        <v>0</v>
      </c>
      <c r="N1600" t="n">
        <v>0</v>
      </c>
      <c r="O1600" t="n">
        <v>0</v>
      </c>
      <c r="P1600" t="n">
        <v>0</v>
      </c>
      <c r="Q1600" t="n">
        <v>0</v>
      </c>
      <c r="R1600" s="2" t="inlineStr"/>
    </row>
    <row r="1601" ht="15" customHeight="1">
      <c r="A1601" t="inlineStr">
        <is>
          <t>A 48162-2024</t>
        </is>
      </c>
      <c r="B1601" s="1" t="n">
        <v>45589</v>
      </c>
      <c r="C1601" s="1" t="n">
        <v>45728</v>
      </c>
      <c r="D1601" t="inlineStr">
        <is>
          <t>JÄMTLANDS LÄN</t>
        </is>
      </c>
      <c r="E1601" t="inlineStr">
        <is>
          <t>HÄRJEDALEN</t>
        </is>
      </c>
      <c r="F1601" t="inlineStr">
        <is>
          <t>Kyrkan</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48092-2024</t>
        </is>
      </c>
      <c r="B1602" s="1" t="n">
        <v>45589</v>
      </c>
      <c r="C1602" s="1" t="n">
        <v>45728</v>
      </c>
      <c r="D1602" t="inlineStr">
        <is>
          <t>JÄMTLANDS LÄN</t>
        </is>
      </c>
      <c r="E1602" t="inlineStr">
        <is>
          <t>HÄRJEDALEN</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48108-2024</t>
        </is>
      </c>
      <c r="B1603" s="1" t="n">
        <v>45589</v>
      </c>
      <c r="C1603" s="1" t="n">
        <v>45728</v>
      </c>
      <c r="D1603" t="inlineStr">
        <is>
          <t>JÄMTLANDS LÄN</t>
        </is>
      </c>
      <c r="E1603" t="inlineStr">
        <is>
          <t>HÄRJEDALEN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48102-2024</t>
        </is>
      </c>
      <c r="B1604" s="1" t="n">
        <v>45589</v>
      </c>
      <c r="C1604" s="1" t="n">
        <v>45728</v>
      </c>
      <c r="D1604" t="inlineStr">
        <is>
          <t>JÄMTLANDS LÄN</t>
        </is>
      </c>
      <c r="E1604" t="inlineStr">
        <is>
          <t>HÄRJEDALEN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48284-2024</t>
        </is>
      </c>
      <c r="B1605" s="1" t="n">
        <v>45590</v>
      </c>
      <c r="C1605" s="1" t="n">
        <v>45728</v>
      </c>
      <c r="D1605" t="inlineStr">
        <is>
          <t>JÄMTLANDS LÄN</t>
        </is>
      </c>
      <c r="E1605" t="inlineStr">
        <is>
          <t>HÄRJEDALEN</t>
        </is>
      </c>
      <c r="G1605" t="n">
        <v>14.7</v>
      </c>
      <c r="H1605" t="n">
        <v>0</v>
      </c>
      <c r="I1605" t="n">
        <v>0</v>
      </c>
      <c r="J1605" t="n">
        <v>0</v>
      </c>
      <c r="K1605" t="n">
        <v>0</v>
      </c>
      <c r="L1605" t="n">
        <v>0</v>
      </c>
      <c r="M1605" t="n">
        <v>0</v>
      </c>
      <c r="N1605" t="n">
        <v>0</v>
      </c>
      <c r="O1605" t="n">
        <v>0</v>
      </c>
      <c r="P1605" t="n">
        <v>0</v>
      </c>
      <c r="Q1605" t="n">
        <v>0</v>
      </c>
      <c r="R1605" s="2" t="inlineStr"/>
    </row>
    <row r="1606" ht="15" customHeight="1">
      <c r="A1606" t="inlineStr">
        <is>
          <t>A 48285-2024</t>
        </is>
      </c>
      <c r="B1606" s="1" t="n">
        <v>45590</v>
      </c>
      <c r="C1606" s="1" t="n">
        <v>45728</v>
      </c>
      <c r="D1606" t="inlineStr">
        <is>
          <t>JÄMTLANDS LÄN</t>
        </is>
      </c>
      <c r="E1606" t="inlineStr">
        <is>
          <t>HÄRJEDALEN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48286-2024</t>
        </is>
      </c>
      <c r="B1607" s="1" t="n">
        <v>45590</v>
      </c>
      <c r="C1607" s="1" t="n">
        <v>45728</v>
      </c>
      <c r="D1607" t="inlineStr">
        <is>
          <t>JÄMTLANDS LÄN</t>
        </is>
      </c>
      <c r="E1607" t="inlineStr">
        <is>
          <t>HÄRJEDALEN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48287-2024</t>
        </is>
      </c>
      <c r="B1608" s="1" t="n">
        <v>45590</v>
      </c>
      <c r="C1608" s="1" t="n">
        <v>45728</v>
      </c>
      <c r="D1608" t="inlineStr">
        <is>
          <t>JÄMTLANDS LÄN</t>
        </is>
      </c>
      <c r="E1608" t="inlineStr">
        <is>
          <t>HÄRJEDALEN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48198-2024</t>
        </is>
      </c>
      <c r="B1609" s="1" t="n">
        <v>45590</v>
      </c>
      <c r="C1609" s="1" t="n">
        <v>45728</v>
      </c>
      <c r="D1609" t="inlineStr">
        <is>
          <t>JÄMTLANDS LÄN</t>
        </is>
      </c>
      <c r="E1609" t="inlineStr">
        <is>
          <t>HÄRJEDALEN</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48822-2024</t>
        </is>
      </c>
      <c r="B1610" s="1" t="n">
        <v>45593</v>
      </c>
      <c r="C1610" s="1" t="n">
        <v>45728</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48818-2024</t>
        </is>
      </c>
      <c r="B1611" s="1" t="n">
        <v>45593</v>
      </c>
      <c r="C1611" s="1" t="n">
        <v>45728</v>
      </c>
      <c r="D1611" t="inlineStr">
        <is>
          <t>JÄMTLANDS LÄN</t>
        </is>
      </c>
      <c r="E1611" t="inlineStr">
        <is>
          <t>HÄRJEDALEN</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48823-2024</t>
        </is>
      </c>
      <c r="B1612" s="1" t="n">
        <v>45593</v>
      </c>
      <c r="C1612" s="1" t="n">
        <v>45728</v>
      </c>
      <c r="D1612" t="inlineStr">
        <is>
          <t>JÄMTLANDS LÄN</t>
        </is>
      </c>
      <c r="E1612" t="inlineStr">
        <is>
          <t>HÄRJEDALEN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48935-2024</t>
        </is>
      </c>
      <c r="B1613" s="1" t="n">
        <v>45594</v>
      </c>
      <c r="C1613" s="1" t="n">
        <v>45728</v>
      </c>
      <c r="D1613" t="inlineStr">
        <is>
          <t>JÄMTLANDS LÄN</t>
        </is>
      </c>
      <c r="E1613" t="inlineStr">
        <is>
          <t>HÄRJEDALEN</t>
        </is>
      </c>
      <c r="G1613" t="n">
        <v>19.8</v>
      </c>
      <c r="H1613" t="n">
        <v>0</v>
      </c>
      <c r="I1613" t="n">
        <v>0</v>
      </c>
      <c r="J1613" t="n">
        <v>0</v>
      </c>
      <c r="K1613" t="n">
        <v>0</v>
      </c>
      <c r="L1613" t="n">
        <v>0</v>
      </c>
      <c r="M1613" t="n">
        <v>0</v>
      </c>
      <c r="N1613" t="n">
        <v>0</v>
      </c>
      <c r="O1613" t="n">
        <v>0</v>
      </c>
      <c r="P1613" t="n">
        <v>0</v>
      </c>
      <c r="Q1613" t="n">
        <v>0</v>
      </c>
      <c r="R1613" s="2" t="inlineStr"/>
    </row>
    <row r="1614" ht="15" customHeight="1">
      <c r="A1614" t="inlineStr">
        <is>
          <t>A 49119-2024</t>
        </is>
      </c>
      <c r="B1614" s="1" t="n">
        <v>45594</v>
      </c>
      <c r="C1614" s="1" t="n">
        <v>45728</v>
      </c>
      <c r="D1614" t="inlineStr">
        <is>
          <t>JÄMTLANDS LÄN</t>
        </is>
      </c>
      <c r="E1614" t="inlineStr">
        <is>
          <t>HÄRJEDALEN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49260-2024</t>
        </is>
      </c>
      <c r="B1615" s="1" t="n">
        <v>45595</v>
      </c>
      <c r="C1615" s="1" t="n">
        <v>45728</v>
      </c>
      <c r="D1615" t="inlineStr">
        <is>
          <t>JÄMTLANDS LÄN</t>
        </is>
      </c>
      <c r="E1615" t="inlineStr">
        <is>
          <t>HÄRJEDALEN</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49263-2024</t>
        </is>
      </c>
      <c r="B1616" s="1" t="n">
        <v>45595</v>
      </c>
      <c r="C1616" s="1" t="n">
        <v>45728</v>
      </c>
      <c r="D1616" t="inlineStr">
        <is>
          <t>JÄMTLANDS LÄN</t>
        </is>
      </c>
      <c r="E1616" t="inlineStr">
        <is>
          <t>HÄRJEDALEN</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49319-2024</t>
        </is>
      </c>
      <c r="B1617" s="1" t="n">
        <v>45595</v>
      </c>
      <c r="C1617" s="1" t="n">
        <v>45728</v>
      </c>
      <c r="D1617" t="inlineStr">
        <is>
          <t>JÄMTLANDS LÄN</t>
        </is>
      </c>
      <c r="E1617" t="inlineStr">
        <is>
          <t>HÄRJEDALEN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49490-2024</t>
        </is>
      </c>
      <c r="B1618" s="1" t="n">
        <v>45596</v>
      </c>
      <c r="C1618" s="1" t="n">
        <v>45728</v>
      </c>
      <c r="D1618" t="inlineStr">
        <is>
          <t>JÄMTLANDS LÄN</t>
        </is>
      </c>
      <c r="E1618" t="inlineStr">
        <is>
          <t>HÄRJEDALEN</t>
        </is>
      </c>
      <c r="F1618" t="inlineStr">
        <is>
          <t>Kommuner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50544-2024</t>
        </is>
      </c>
      <c r="B1619" s="1" t="n">
        <v>45601</v>
      </c>
      <c r="C1619" s="1" t="n">
        <v>45728</v>
      </c>
      <c r="D1619" t="inlineStr">
        <is>
          <t>JÄMTLANDS LÄN</t>
        </is>
      </c>
      <c r="E1619" t="inlineStr">
        <is>
          <t>HÄRJEDALEN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50437-2024</t>
        </is>
      </c>
      <c r="B1620" s="1" t="n">
        <v>45601</v>
      </c>
      <c r="C1620" s="1" t="n">
        <v>45728</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50537-2024</t>
        </is>
      </c>
      <c r="B1621" s="1" t="n">
        <v>45601</v>
      </c>
      <c r="C1621" s="1" t="n">
        <v>45728</v>
      </c>
      <c r="D1621" t="inlineStr">
        <is>
          <t>JÄMTLANDS LÄN</t>
        </is>
      </c>
      <c r="E1621" t="inlineStr">
        <is>
          <t>HÄRJEDALEN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50835-2024</t>
        </is>
      </c>
      <c r="B1622" s="1" t="n">
        <v>45602</v>
      </c>
      <c r="C1622" s="1" t="n">
        <v>45728</v>
      </c>
      <c r="D1622" t="inlineStr">
        <is>
          <t>JÄMTLANDS LÄN</t>
        </is>
      </c>
      <c r="E1622" t="inlineStr">
        <is>
          <t>HÄRJEDALEN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51198-2024</t>
        </is>
      </c>
      <c r="B1623" s="1" t="n">
        <v>45603</v>
      </c>
      <c r="C1623" s="1" t="n">
        <v>45728</v>
      </c>
      <c r="D1623" t="inlineStr">
        <is>
          <t>JÄMTLANDS LÄN</t>
        </is>
      </c>
      <c r="E1623" t="inlineStr">
        <is>
          <t>HÄRJEDALEN</t>
        </is>
      </c>
      <c r="F1623" t="inlineStr">
        <is>
          <t>Holmen skog AB</t>
        </is>
      </c>
      <c r="G1623" t="n">
        <v>14.6</v>
      </c>
      <c r="H1623" t="n">
        <v>0</v>
      </c>
      <c r="I1623" t="n">
        <v>0</v>
      </c>
      <c r="J1623" t="n">
        <v>0</v>
      </c>
      <c r="K1623" t="n">
        <v>0</v>
      </c>
      <c r="L1623" t="n">
        <v>0</v>
      </c>
      <c r="M1623" t="n">
        <v>0</v>
      </c>
      <c r="N1623" t="n">
        <v>0</v>
      </c>
      <c r="O1623" t="n">
        <v>0</v>
      </c>
      <c r="P1623" t="n">
        <v>0</v>
      </c>
      <c r="Q1623" t="n">
        <v>0</v>
      </c>
      <c r="R1623" s="2" t="inlineStr"/>
    </row>
    <row r="1624" ht="15" customHeight="1">
      <c r="A1624" t="inlineStr">
        <is>
          <t>A 51191-2024</t>
        </is>
      </c>
      <c r="B1624" s="1" t="n">
        <v>45603</v>
      </c>
      <c r="C1624" s="1" t="n">
        <v>45728</v>
      </c>
      <c r="D1624" t="inlineStr">
        <is>
          <t>JÄMTLANDS LÄN</t>
        </is>
      </c>
      <c r="E1624" t="inlineStr">
        <is>
          <t>HÄRJEDALEN</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51211-2024</t>
        </is>
      </c>
      <c r="B1625" s="1" t="n">
        <v>45603</v>
      </c>
      <c r="C1625" s="1" t="n">
        <v>45728</v>
      </c>
      <c r="D1625" t="inlineStr">
        <is>
          <t>JÄMTLANDS LÄN</t>
        </is>
      </c>
      <c r="E1625" t="inlineStr">
        <is>
          <t>HÄRJEDALEN</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51188-2024</t>
        </is>
      </c>
      <c r="B1626" s="1" t="n">
        <v>45603</v>
      </c>
      <c r="C1626" s="1" t="n">
        <v>45728</v>
      </c>
      <c r="D1626" t="inlineStr">
        <is>
          <t>JÄMTLANDS LÄN</t>
        </is>
      </c>
      <c r="E1626" t="inlineStr">
        <is>
          <t>HÄRJEDALEN</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51204-2024</t>
        </is>
      </c>
      <c r="B1627" s="1" t="n">
        <v>45603</v>
      </c>
      <c r="C1627" s="1" t="n">
        <v>45728</v>
      </c>
      <c r="D1627" t="inlineStr">
        <is>
          <t>JÄMTLANDS LÄN</t>
        </is>
      </c>
      <c r="E1627" t="inlineStr">
        <is>
          <t>HÄRJEDALEN</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51221-2024</t>
        </is>
      </c>
      <c r="B1628" s="1" t="n">
        <v>45603</v>
      </c>
      <c r="C1628" s="1" t="n">
        <v>45728</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51223-2024</t>
        </is>
      </c>
      <c r="B1629" s="1" t="n">
        <v>45603</v>
      </c>
      <c r="C1629" s="1" t="n">
        <v>45728</v>
      </c>
      <c r="D1629" t="inlineStr">
        <is>
          <t>JÄMTLANDS LÄN</t>
        </is>
      </c>
      <c r="E1629" t="inlineStr">
        <is>
          <t>HÄRJEDALEN</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51133-2024</t>
        </is>
      </c>
      <c r="B1630" s="1" t="n">
        <v>45603</v>
      </c>
      <c r="C1630" s="1" t="n">
        <v>45728</v>
      </c>
      <c r="D1630" t="inlineStr">
        <is>
          <t>JÄMTLANDS LÄN</t>
        </is>
      </c>
      <c r="E1630" t="inlineStr">
        <is>
          <t>HÄRJEDALEN</t>
        </is>
      </c>
      <c r="F1630" t="inlineStr">
        <is>
          <t>SCA</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51311-2024</t>
        </is>
      </c>
      <c r="B1631" s="1" t="n">
        <v>45604</v>
      </c>
      <c r="C1631" s="1" t="n">
        <v>45728</v>
      </c>
      <c r="D1631" t="inlineStr">
        <is>
          <t>JÄMTLANDS LÄN</t>
        </is>
      </c>
      <c r="E1631" t="inlineStr">
        <is>
          <t>HÄRJEDALEN</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51315-2024</t>
        </is>
      </c>
      <c r="B1632" s="1" t="n">
        <v>45604</v>
      </c>
      <c r="C1632" s="1" t="n">
        <v>45728</v>
      </c>
      <c r="D1632" t="inlineStr">
        <is>
          <t>JÄMTLANDS LÄN</t>
        </is>
      </c>
      <c r="E1632" t="inlineStr">
        <is>
          <t>HÄRJEDALEN</t>
        </is>
      </c>
      <c r="F1632" t="inlineStr">
        <is>
          <t>Holmen skog AB</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51322-2024</t>
        </is>
      </c>
      <c r="B1633" s="1" t="n">
        <v>45604</v>
      </c>
      <c r="C1633" s="1" t="n">
        <v>45728</v>
      </c>
      <c r="D1633" t="inlineStr">
        <is>
          <t>JÄMTLANDS LÄN</t>
        </is>
      </c>
      <c r="E1633" t="inlineStr">
        <is>
          <t>HÄRJEDALEN</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51601-2024</t>
        </is>
      </c>
      <c r="B1634" s="1" t="n">
        <v>45604</v>
      </c>
      <c r="C1634" s="1" t="n">
        <v>45728</v>
      </c>
      <c r="D1634" t="inlineStr">
        <is>
          <t>JÄMTLANDS LÄN</t>
        </is>
      </c>
      <c r="E1634" t="inlineStr">
        <is>
          <t>HÄRJEDALEN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51645-2024</t>
        </is>
      </c>
      <c r="B1635" s="1" t="n">
        <v>45605</v>
      </c>
      <c r="C1635" s="1" t="n">
        <v>45728</v>
      </c>
      <c r="D1635" t="inlineStr">
        <is>
          <t>JÄMTLANDS LÄN</t>
        </is>
      </c>
      <c r="E1635" t="inlineStr">
        <is>
          <t>HÄRJEDALEN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51964-2024</t>
        </is>
      </c>
      <c r="B1636" s="1" t="n">
        <v>45607</v>
      </c>
      <c r="C1636" s="1" t="n">
        <v>45728</v>
      </c>
      <c r="D1636" t="inlineStr">
        <is>
          <t>JÄMTLANDS LÄN</t>
        </is>
      </c>
      <c r="E1636" t="inlineStr">
        <is>
          <t>HÄRJEDALEN</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51957-2024</t>
        </is>
      </c>
      <c r="B1637" s="1" t="n">
        <v>45607</v>
      </c>
      <c r="C1637" s="1" t="n">
        <v>45728</v>
      </c>
      <c r="D1637" t="inlineStr">
        <is>
          <t>JÄMTLANDS LÄN</t>
        </is>
      </c>
      <c r="E1637" t="inlineStr">
        <is>
          <t>HÄRJEDALEN</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51994-2024</t>
        </is>
      </c>
      <c r="B1638" s="1" t="n">
        <v>45607</v>
      </c>
      <c r="C1638" s="1" t="n">
        <v>45728</v>
      </c>
      <c r="D1638" t="inlineStr">
        <is>
          <t>JÄMTLANDS LÄN</t>
        </is>
      </c>
      <c r="E1638" t="inlineStr">
        <is>
          <t>HÄRJEDALEN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51769-2024</t>
        </is>
      </c>
      <c r="B1639" s="1" t="n">
        <v>45607</v>
      </c>
      <c r="C1639" s="1" t="n">
        <v>45728</v>
      </c>
      <c r="D1639" t="inlineStr">
        <is>
          <t>JÄMTLANDS LÄN</t>
        </is>
      </c>
      <c r="E1639" t="inlineStr">
        <is>
          <t>HÄRJEDALEN</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51770-2024</t>
        </is>
      </c>
      <c r="B1640" s="1" t="n">
        <v>45607</v>
      </c>
      <c r="C1640" s="1" t="n">
        <v>45728</v>
      </c>
      <c r="D1640" t="inlineStr">
        <is>
          <t>JÄMTLANDS LÄN</t>
        </is>
      </c>
      <c r="E1640" t="inlineStr">
        <is>
          <t>HÄRJEDALEN</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52075-2024</t>
        </is>
      </c>
      <c r="B1641" s="1" t="n">
        <v>45608</v>
      </c>
      <c r="C1641" s="1" t="n">
        <v>45728</v>
      </c>
      <c r="D1641" t="inlineStr">
        <is>
          <t>JÄMTLANDS LÄN</t>
        </is>
      </c>
      <c r="E1641" t="inlineStr">
        <is>
          <t>HÄRJEDALEN</t>
        </is>
      </c>
      <c r="F1641" t="inlineStr">
        <is>
          <t>Bergvik skog väst AB</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52343-2024</t>
        </is>
      </c>
      <c r="B1642" s="1" t="n">
        <v>45609</v>
      </c>
      <c r="C1642" s="1" t="n">
        <v>45728</v>
      </c>
      <c r="D1642" t="inlineStr">
        <is>
          <t>JÄMTLANDS LÄN</t>
        </is>
      </c>
      <c r="E1642" t="inlineStr">
        <is>
          <t>HÄRJEDALEN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52565-2024</t>
        </is>
      </c>
      <c r="B1643" s="1" t="n">
        <v>45609</v>
      </c>
      <c r="C1643" s="1" t="n">
        <v>45728</v>
      </c>
      <c r="D1643" t="inlineStr">
        <is>
          <t>JÄMTLANDS LÄN</t>
        </is>
      </c>
      <c r="E1643" t="inlineStr">
        <is>
          <t>HÄRJEDALEN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52573-2024</t>
        </is>
      </c>
      <c r="B1644" s="1" t="n">
        <v>45609</v>
      </c>
      <c r="C1644" s="1" t="n">
        <v>45728</v>
      </c>
      <c r="D1644" t="inlineStr">
        <is>
          <t>JÄMTLANDS LÄN</t>
        </is>
      </c>
      <c r="E1644" t="inlineStr">
        <is>
          <t>HÄRJEDALEN</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52856-2024</t>
        </is>
      </c>
      <c r="B1645" s="1" t="n">
        <v>45610</v>
      </c>
      <c r="C1645" s="1" t="n">
        <v>45728</v>
      </c>
      <c r="D1645" t="inlineStr">
        <is>
          <t>JÄMTLANDS LÄN</t>
        </is>
      </c>
      <c r="E1645" t="inlineStr">
        <is>
          <t>HÄRJEDALEN</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52863-2024</t>
        </is>
      </c>
      <c r="B1646" s="1" t="n">
        <v>45610</v>
      </c>
      <c r="C1646" s="1" t="n">
        <v>45728</v>
      </c>
      <c r="D1646" t="inlineStr">
        <is>
          <t>JÄMTLANDS LÄN</t>
        </is>
      </c>
      <c r="E1646" t="inlineStr">
        <is>
          <t>HÄRJEDALEN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52875-2024</t>
        </is>
      </c>
      <c r="B1647" s="1" t="n">
        <v>45610</v>
      </c>
      <c r="C1647" s="1" t="n">
        <v>45728</v>
      </c>
      <c r="D1647" t="inlineStr">
        <is>
          <t>JÄMTLANDS LÄN</t>
        </is>
      </c>
      <c r="E1647" t="inlineStr">
        <is>
          <t>HÄRJEDALEN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52794-2024</t>
        </is>
      </c>
      <c r="B1648" s="1" t="n">
        <v>45610</v>
      </c>
      <c r="C1648" s="1" t="n">
        <v>45728</v>
      </c>
      <c r="D1648" t="inlineStr">
        <is>
          <t>JÄMTLANDS LÄN</t>
        </is>
      </c>
      <c r="E1648" t="inlineStr">
        <is>
          <t>HÄRJEDALEN</t>
        </is>
      </c>
      <c r="F1648" t="inlineStr">
        <is>
          <t>Holmen skog AB</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52798-2024</t>
        </is>
      </c>
      <c r="B1649" s="1" t="n">
        <v>45610</v>
      </c>
      <c r="C1649" s="1" t="n">
        <v>45728</v>
      </c>
      <c r="D1649" t="inlineStr">
        <is>
          <t>JÄMTLANDS LÄN</t>
        </is>
      </c>
      <c r="E1649" t="inlineStr">
        <is>
          <t>HÄRJEDALEN</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53010-2024</t>
        </is>
      </c>
      <c r="B1650" s="1" t="n">
        <v>45611</v>
      </c>
      <c r="C1650" s="1" t="n">
        <v>45728</v>
      </c>
      <c r="D1650" t="inlineStr">
        <is>
          <t>JÄMTLANDS LÄN</t>
        </is>
      </c>
      <c r="E1650" t="inlineStr">
        <is>
          <t>HÄRJEDALEN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53002-2024</t>
        </is>
      </c>
      <c r="B1651" s="1" t="n">
        <v>45611</v>
      </c>
      <c r="C1651" s="1" t="n">
        <v>45728</v>
      </c>
      <c r="D1651" t="inlineStr">
        <is>
          <t>JÄMTLANDS LÄN</t>
        </is>
      </c>
      <c r="E1651" t="inlineStr">
        <is>
          <t>HÄRJEDALEN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53231-2024</t>
        </is>
      </c>
      <c r="B1652" s="1" t="n">
        <v>45613</v>
      </c>
      <c r="C1652" s="1" t="n">
        <v>45728</v>
      </c>
      <c r="D1652" t="inlineStr">
        <is>
          <t>JÄMTLANDS LÄN</t>
        </is>
      </c>
      <c r="E1652" t="inlineStr">
        <is>
          <t>HÄRJEDALEN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53623-2024</t>
        </is>
      </c>
      <c r="B1653" s="1" t="n">
        <v>45614</v>
      </c>
      <c r="C1653" s="1" t="n">
        <v>45728</v>
      </c>
      <c r="D1653" t="inlineStr">
        <is>
          <t>JÄMTLANDS LÄN</t>
        </is>
      </c>
      <c r="E1653" t="inlineStr">
        <is>
          <t>HÄRJEDALEN</t>
        </is>
      </c>
      <c r="F1653" t="inlineStr">
        <is>
          <t>Kyrkan</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53249-2024</t>
        </is>
      </c>
      <c r="B1654" s="1" t="n">
        <v>45614</v>
      </c>
      <c r="C1654" s="1" t="n">
        <v>45728</v>
      </c>
      <c r="D1654" t="inlineStr">
        <is>
          <t>JÄMTLANDS LÄN</t>
        </is>
      </c>
      <c r="E1654" t="inlineStr">
        <is>
          <t>HÄRJEDALEN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53451-2024</t>
        </is>
      </c>
      <c r="B1655" s="1" t="n">
        <v>45614</v>
      </c>
      <c r="C1655" s="1" t="n">
        <v>45728</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53386-2024</t>
        </is>
      </c>
      <c r="B1656" s="1" t="n">
        <v>45614</v>
      </c>
      <c r="C1656" s="1" t="n">
        <v>45728</v>
      </c>
      <c r="D1656" t="inlineStr">
        <is>
          <t>JÄMTLANDS LÄN</t>
        </is>
      </c>
      <c r="E1656" t="inlineStr">
        <is>
          <t>HÄRJEDALEN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53354-2024</t>
        </is>
      </c>
      <c r="B1657" s="1" t="n">
        <v>45614</v>
      </c>
      <c r="C1657" s="1" t="n">
        <v>45728</v>
      </c>
      <c r="D1657" t="inlineStr">
        <is>
          <t>JÄMTLANDS LÄN</t>
        </is>
      </c>
      <c r="E1657" t="inlineStr">
        <is>
          <t>HÄRJEDALEN</t>
        </is>
      </c>
      <c r="F1657" t="inlineStr">
        <is>
          <t>Sveaskog</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53537-2024</t>
        </is>
      </c>
      <c r="B1658" s="1" t="n">
        <v>45614</v>
      </c>
      <c r="C1658" s="1" t="n">
        <v>45728</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54079-2024</t>
        </is>
      </c>
      <c r="B1659" s="1" t="n">
        <v>45616</v>
      </c>
      <c r="C1659" s="1" t="n">
        <v>45728</v>
      </c>
      <c r="D1659" t="inlineStr">
        <is>
          <t>JÄMTLANDS LÄN</t>
        </is>
      </c>
      <c r="E1659" t="inlineStr">
        <is>
          <t>HÄRJEDALEN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54294-2024</t>
        </is>
      </c>
      <c r="B1660" s="1" t="n">
        <v>45617</v>
      </c>
      <c r="C1660" s="1" t="n">
        <v>45728</v>
      </c>
      <c r="D1660" t="inlineStr">
        <is>
          <t>JÄMTLANDS LÄN</t>
        </is>
      </c>
      <c r="E1660" t="inlineStr">
        <is>
          <t>HÄRJEDALEN</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54502-2024</t>
        </is>
      </c>
      <c r="B1661" s="1" t="n">
        <v>45617</v>
      </c>
      <c r="C1661" s="1" t="n">
        <v>45728</v>
      </c>
      <c r="D1661" t="inlineStr">
        <is>
          <t>JÄMTLANDS LÄN</t>
        </is>
      </c>
      <c r="E1661" t="inlineStr">
        <is>
          <t>HÄRJEDALEN</t>
        </is>
      </c>
      <c r="F1661" t="inlineStr">
        <is>
          <t>Holmen skog AB</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54527-2024</t>
        </is>
      </c>
      <c r="B1662" s="1" t="n">
        <v>45617</v>
      </c>
      <c r="C1662" s="1" t="n">
        <v>45728</v>
      </c>
      <c r="D1662" t="inlineStr">
        <is>
          <t>JÄMTLANDS LÄN</t>
        </is>
      </c>
      <c r="E1662" t="inlineStr">
        <is>
          <t>HÄRJEDALEN</t>
        </is>
      </c>
      <c r="F1662" t="inlineStr">
        <is>
          <t>Holmen skog AB</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54364-2024</t>
        </is>
      </c>
      <c r="B1663" s="1" t="n">
        <v>45617</v>
      </c>
      <c r="C1663" s="1" t="n">
        <v>45728</v>
      </c>
      <c r="D1663" t="inlineStr">
        <is>
          <t>JÄMTLANDS LÄN</t>
        </is>
      </c>
      <c r="E1663" t="inlineStr">
        <is>
          <t>HÄRJEDALEN</t>
        </is>
      </c>
      <c r="F1663" t="inlineStr">
        <is>
          <t>Holmen skog AB</t>
        </is>
      </c>
      <c r="G1663" t="n">
        <v>41.1</v>
      </c>
      <c r="H1663" t="n">
        <v>0</v>
      </c>
      <c r="I1663" t="n">
        <v>0</v>
      </c>
      <c r="J1663" t="n">
        <v>0</v>
      </c>
      <c r="K1663" t="n">
        <v>0</v>
      </c>
      <c r="L1663" t="n">
        <v>0</v>
      </c>
      <c r="M1663" t="n">
        <v>0</v>
      </c>
      <c r="N1663" t="n">
        <v>0</v>
      </c>
      <c r="O1663" t="n">
        <v>0</v>
      </c>
      <c r="P1663" t="n">
        <v>0</v>
      </c>
      <c r="Q1663" t="n">
        <v>0</v>
      </c>
      <c r="R1663" s="2" t="inlineStr"/>
    </row>
    <row r="1664" ht="15" customHeight="1">
      <c r="A1664" t="inlineStr">
        <is>
          <t>A 54640-2024</t>
        </is>
      </c>
      <c r="B1664" s="1" t="n">
        <v>45617</v>
      </c>
      <c r="C1664" s="1" t="n">
        <v>45728</v>
      </c>
      <c r="D1664" t="inlineStr">
        <is>
          <t>JÄMTLANDS LÄN</t>
        </is>
      </c>
      <c r="E1664" t="inlineStr">
        <is>
          <t>HÄRJEDALEN</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54682-2024</t>
        </is>
      </c>
      <c r="B1665" s="1" t="n">
        <v>45618</v>
      </c>
      <c r="C1665" s="1" t="n">
        <v>45728</v>
      </c>
      <c r="D1665" t="inlineStr">
        <is>
          <t>JÄMTLANDS LÄN</t>
        </is>
      </c>
      <c r="E1665" t="inlineStr">
        <is>
          <t>HÄRJEDALEN</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54678-2024</t>
        </is>
      </c>
      <c r="B1666" s="1" t="n">
        <v>45618</v>
      </c>
      <c r="C1666" s="1" t="n">
        <v>45728</v>
      </c>
      <c r="D1666" t="inlineStr">
        <is>
          <t>JÄMTLANDS LÄN</t>
        </is>
      </c>
      <c r="E1666" t="inlineStr">
        <is>
          <t>HÄRJEDALEN</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54684-2024</t>
        </is>
      </c>
      <c r="B1667" s="1" t="n">
        <v>45618</v>
      </c>
      <c r="C1667" s="1" t="n">
        <v>45728</v>
      </c>
      <c r="D1667" t="inlineStr">
        <is>
          <t>JÄMTLANDS LÄN</t>
        </is>
      </c>
      <c r="E1667" t="inlineStr">
        <is>
          <t>HÄRJEDALEN</t>
        </is>
      </c>
      <c r="G1667" t="n">
        <v>18.1</v>
      </c>
      <c r="H1667" t="n">
        <v>0</v>
      </c>
      <c r="I1667" t="n">
        <v>0</v>
      </c>
      <c r="J1667" t="n">
        <v>0</v>
      </c>
      <c r="K1667" t="n">
        <v>0</v>
      </c>
      <c r="L1667" t="n">
        <v>0</v>
      </c>
      <c r="M1667" t="n">
        <v>0</v>
      </c>
      <c r="N1667" t="n">
        <v>0</v>
      </c>
      <c r="O1667" t="n">
        <v>0</v>
      </c>
      <c r="P1667" t="n">
        <v>0</v>
      </c>
      <c r="Q1667" t="n">
        <v>0</v>
      </c>
      <c r="R1667" s="2" t="inlineStr"/>
    </row>
    <row r="1668" ht="15" customHeight="1">
      <c r="A1668" t="inlineStr">
        <is>
          <t>A 55246-2024</t>
        </is>
      </c>
      <c r="B1668" s="1" t="n">
        <v>45621</v>
      </c>
      <c r="C1668" s="1" t="n">
        <v>45728</v>
      </c>
      <c r="D1668" t="inlineStr">
        <is>
          <t>JÄMTLANDS LÄN</t>
        </is>
      </c>
      <c r="E1668" t="inlineStr">
        <is>
          <t>HÄRJEDALEN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55228-2024</t>
        </is>
      </c>
      <c r="B1669" s="1" t="n">
        <v>45621</v>
      </c>
      <c r="C1669" s="1" t="n">
        <v>45728</v>
      </c>
      <c r="D1669" t="inlineStr">
        <is>
          <t>JÄMTLANDS LÄN</t>
        </is>
      </c>
      <c r="E1669" t="inlineStr">
        <is>
          <t>HÄRJEDALEN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55115-2024</t>
        </is>
      </c>
      <c r="B1670" s="1" t="n">
        <v>45621</v>
      </c>
      <c r="C1670" s="1" t="n">
        <v>45728</v>
      </c>
      <c r="D1670" t="inlineStr">
        <is>
          <t>JÄMTLANDS LÄN</t>
        </is>
      </c>
      <c r="E1670" t="inlineStr">
        <is>
          <t>HÄRJEDALEN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55318-2024</t>
        </is>
      </c>
      <c r="B1671" s="1" t="n">
        <v>45621</v>
      </c>
      <c r="C1671" s="1" t="n">
        <v>45728</v>
      </c>
      <c r="D1671" t="inlineStr">
        <is>
          <t>JÄMTLANDS LÄN</t>
        </is>
      </c>
      <c r="E1671" t="inlineStr">
        <is>
          <t>HÄRJEDALEN</t>
        </is>
      </c>
      <c r="F1671" t="inlineStr">
        <is>
          <t>Bergvik skog väst AB</t>
        </is>
      </c>
      <c r="G1671" t="n">
        <v>136.1</v>
      </c>
      <c r="H1671" t="n">
        <v>0</v>
      </c>
      <c r="I1671" t="n">
        <v>0</v>
      </c>
      <c r="J1671" t="n">
        <v>0</v>
      </c>
      <c r="K1671" t="n">
        <v>0</v>
      </c>
      <c r="L1671" t="n">
        <v>0</v>
      </c>
      <c r="M1671" t="n">
        <v>0</v>
      </c>
      <c r="N1671" t="n">
        <v>0</v>
      </c>
      <c r="O1671" t="n">
        <v>0</v>
      </c>
      <c r="P1671" t="n">
        <v>0</v>
      </c>
      <c r="Q1671" t="n">
        <v>0</v>
      </c>
      <c r="R1671" s="2" t="inlineStr"/>
    </row>
    <row r="1672" ht="15" customHeight="1">
      <c r="A1672" t="inlineStr">
        <is>
          <t>A 55209-2024</t>
        </is>
      </c>
      <c r="B1672" s="1" t="n">
        <v>45621</v>
      </c>
      <c r="C1672" s="1" t="n">
        <v>45728</v>
      </c>
      <c r="D1672" t="inlineStr">
        <is>
          <t>JÄMTLANDS LÄN</t>
        </is>
      </c>
      <c r="E1672" t="inlineStr">
        <is>
          <t>HÄRJEDALEN</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55582-2024</t>
        </is>
      </c>
      <c r="B1673" s="1" t="n">
        <v>45622</v>
      </c>
      <c r="C1673" s="1" t="n">
        <v>45728</v>
      </c>
      <c r="D1673" t="inlineStr">
        <is>
          <t>JÄMTLANDS LÄN</t>
        </is>
      </c>
      <c r="E1673" t="inlineStr">
        <is>
          <t>HÄRJEDALEN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55397-2024</t>
        </is>
      </c>
      <c r="B1674" s="1" t="n">
        <v>45622</v>
      </c>
      <c r="C1674" s="1" t="n">
        <v>45728</v>
      </c>
      <c r="D1674" t="inlineStr">
        <is>
          <t>JÄMTLANDS LÄN</t>
        </is>
      </c>
      <c r="E1674" t="inlineStr">
        <is>
          <t>HÄRJEDALEN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55496-2024</t>
        </is>
      </c>
      <c r="B1675" s="1" t="n">
        <v>45622</v>
      </c>
      <c r="C1675" s="1" t="n">
        <v>45728</v>
      </c>
      <c r="D1675" t="inlineStr">
        <is>
          <t>JÄMTLANDS LÄN</t>
        </is>
      </c>
      <c r="E1675" t="inlineStr">
        <is>
          <t>HÄRJEDALEN</t>
        </is>
      </c>
      <c r="F1675" t="inlineStr">
        <is>
          <t>Bergvik skog väst AB</t>
        </is>
      </c>
      <c r="G1675" t="n">
        <v>19.2</v>
      </c>
      <c r="H1675" t="n">
        <v>0</v>
      </c>
      <c r="I1675" t="n">
        <v>0</v>
      </c>
      <c r="J1675" t="n">
        <v>0</v>
      </c>
      <c r="K1675" t="n">
        <v>0</v>
      </c>
      <c r="L1675" t="n">
        <v>0</v>
      </c>
      <c r="M1675" t="n">
        <v>0</v>
      </c>
      <c r="N1675" t="n">
        <v>0</v>
      </c>
      <c r="O1675" t="n">
        <v>0</v>
      </c>
      <c r="P1675" t="n">
        <v>0</v>
      </c>
      <c r="Q1675" t="n">
        <v>0</v>
      </c>
      <c r="R1675" s="2" t="inlineStr"/>
    </row>
    <row r="1676" ht="15" customHeight="1">
      <c r="A1676" t="inlineStr">
        <is>
          <t>A 55661-2024</t>
        </is>
      </c>
      <c r="B1676" s="1" t="n">
        <v>45622</v>
      </c>
      <c r="C1676" s="1" t="n">
        <v>45728</v>
      </c>
      <c r="D1676" t="inlineStr">
        <is>
          <t>JÄMTLANDS LÄN</t>
        </is>
      </c>
      <c r="E1676" t="inlineStr">
        <is>
          <t>HÄRJEDALEN</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55669-2024</t>
        </is>
      </c>
      <c r="B1677" s="1" t="n">
        <v>45622</v>
      </c>
      <c r="C1677" s="1" t="n">
        <v>45728</v>
      </c>
      <c r="D1677" t="inlineStr">
        <is>
          <t>JÄMTLANDS LÄN</t>
        </is>
      </c>
      <c r="E1677" t="inlineStr">
        <is>
          <t>HÄRJEDALEN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55859-2024</t>
        </is>
      </c>
      <c r="B1678" s="1" t="n">
        <v>45622</v>
      </c>
      <c r="C1678" s="1" t="n">
        <v>45728</v>
      </c>
      <c r="D1678" t="inlineStr">
        <is>
          <t>JÄMTLANDS LÄN</t>
        </is>
      </c>
      <c r="E1678" t="inlineStr">
        <is>
          <t>HÄRJEDALEN</t>
        </is>
      </c>
      <c r="F1678" t="inlineStr">
        <is>
          <t>Bergvik skog väst AB</t>
        </is>
      </c>
      <c r="G1678" t="n">
        <v>28.1</v>
      </c>
      <c r="H1678" t="n">
        <v>0</v>
      </c>
      <c r="I1678" t="n">
        <v>0</v>
      </c>
      <c r="J1678" t="n">
        <v>0</v>
      </c>
      <c r="K1678" t="n">
        <v>0</v>
      </c>
      <c r="L1678" t="n">
        <v>0</v>
      </c>
      <c r="M1678" t="n">
        <v>0</v>
      </c>
      <c r="N1678" t="n">
        <v>0</v>
      </c>
      <c r="O1678" t="n">
        <v>0</v>
      </c>
      <c r="P1678" t="n">
        <v>0</v>
      </c>
      <c r="Q1678" t="n">
        <v>0</v>
      </c>
      <c r="R1678" s="2" t="inlineStr"/>
    </row>
    <row r="1679" ht="15" customHeight="1">
      <c r="A1679" t="inlineStr">
        <is>
          <t>A 55867-2024</t>
        </is>
      </c>
      <c r="B1679" s="1" t="n">
        <v>45622</v>
      </c>
      <c r="C1679" s="1" t="n">
        <v>45728</v>
      </c>
      <c r="D1679" t="inlineStr">
        <is>
          <t>JÄMTLANDS LÄN</t>
        </is>
      </c>
      <c r="E1679" t="inlineStr">
        <is>
          <t>HÄRJEDALEN</t>
        </is>
      </c>
      <c r="F1679" t="inlineStr">
        <is>
          <t>Bergvik skog väst AB</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55889-2024</t>
        </is>
      </c>
      <c r="B1680" s="1" t="n">
        <v>45623</v>
      </c>
      <c r="C1680" s="1" t="n">
        <v>45728</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55967-2024</t>
        </is>
      </c>
      <c r="B1681" s="1" t="n">
        <v>45623</v>
      </c>
      <c r="C1681" s="1" t="n">
        <v>45728</v>
      </c>
      <c r="D1681" t="inlineStr">
        <is>
          <t>JÄMTLANDS LÄN</t>
        </is>
      </c>
      <c r="E1681" t="inlineStr">
        <is>
          <t>HÄRJEDALEN</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55979-2024</t>
        </is>
      </c>
      <c r="B1682" s="1" t="n">
        <v>45623</v>
      </c>
      <c r="C1682" s="1" t="n">
        <v>45728</v>
      </c>
      <c r="D1682" t="inlineStr">
        <is>
          <t>JÄMTLANDS LÄN</t>
        </is>
      </c>
      <c r="E1682" t="inlineStr">
        <is>
          <t>HÄRJEDALEN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56054-2024</t>
        </is>
      </c>
      <c r="B1683" s="1" t="n">
        <v>45624</v>
      </c>
      <c r="C1683" s="1" t="n">
        <v>45728</v>
      </c>
      <c r="D1683" t="inlineStr">
        <is>
          <t>JÄMTLANDS LÄN</t>
        </is>
      </c>
      <c r="E1683" t="inlineStr">
        <is>
          <t>HÄRJEDALEN</t>
        </is>
      </c>
      <c r="G1683" t="n">
        <v>16.7</v>
      </c>
      <c r="H1683" t="n">
        <v>0</v>
      </c>
      <c r="I1683" t="n">
        <v>0</v>
      </c>
      <c r="J1683" t="n">
        <v>0</v>
      </c>
      <c r="K1683" t="n">
        <v>0</v>
      </c>
      <c r="L1683" t="n">
        <v>0</v>
      </c>
      <c r="M1683" t="n">
        <v>0</v>
      </c>
      <c r="N1683" t="n">
        <v>0</v>
      </c>
      <c r="O1683" t="n">
        <v>0</v>
      </c>
      <c r="P1683" t="n">
        <v>0</v>
      </c>
      <c r="Q1683" t="n">
        <v>0</v>
      </c>
      <c r="R1683" s="2" t="inlineStr"/>
    </row>
    <row r="1684" ht="15" customHeight="1">
      <c r="A1684" t="inlineStr">
        <is>
          <t>A 56181-2024</t>
        </is>
      </c>
      <c r="B1684" s="1" t="n">
        <v>45624</v>
      </c>
      <c r="C1684" s="1" t="n">
        <v>45728</v>
      </c>
      <c r="D1684" t="inlineStr">
        <is>
          <t>JÄMTLANDS LÄN</t>
        </is>
      </c>
      <c r="E1684" t="inlineStr">
        <is>
          <t>HÄRJEDALEN</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56182-2024</t>
        </is>
      </c>
      <c r="B1685" s="1" t="n">
        <v>45624</v>
      </c>
      <c r="C1685" s="1" t="n">
        <v>45728</v>
      </c>
      <c r="D1685" t="inlineStr">
        <is>
          <t>JÄMTLANDS LÄN</t>
        </is>
      </c>
      <c r="E1685" t="inlineStr">
        <is>
          <t>HÄRJEDALEN</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56251-2024</t>
        </is>
      </c>
      <c r="B1686" s="1" t="n">
        <v>45624</v>
      </c>
      <c r="C1686" s="1" t="n">
        <v>45728</v>
      </c>
      <c r="D1686" t="inlineStr">
        <is>
          <t>JÄMTLANDS LÄN</t>
        </is>
      </c>
      <c r="E1686" t="inlineStr">
        <is>
          <t>HÄRJEDALEN</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56061-2024</t>
        </is>
      </c>
      <c r="B1687" s="1" t="n">
        <v>45624</v>
      </c>
      <c r="C1687" s="1" t="n">
        <v>45728</v>
      </c>
      <c r="D1687" t="inlineStr">
        <is>
          <t>JÄMTLANDS LÄN</t>
        </is>
      </c>
      <c r="E1687" t="inlineStr">
        <is>
          <t>HÄRJEDALEN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56234-2024</t>
        </is>
      </c>
      <c r="B1688" s="1" t="n">
        <v>45624</v>
      </c>
      <c r="C1688" s="1" t="n">
        <v>45728</v>
      </c>
      <c r="D1688" t="inlineStr">
        <is>
          <t>JÄMTLANDS LÄN</t>
        </is>
      </c>
      <c r="E1688" t="inlineStr">
        <is>
          <t>HÄRJEDALEN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56086-2024</t>
        </is>
      </c>
      <c r="B1689" s="1" t="n">
        <v>45624</v>
      </c>
      <c r="C1689" s="1" t="n">
        <v>45728</v>
      </c>
      <c r="D1689" t="inlineStr">
        <is>
          <t>JÄMTLANDS LÄN</t>
        </is>
      </c>
      <c r="E1689" t="inlineStr">
        <is>
          <t>HÄRJEDALEN</t>
        </is>
      </c>
      <c r="F1689" t="inlineStr">
        <is>
          <t>Bergvik skog väst AB</t>
        </is>
      </c>
      <c r="G1689" t="n">
        <v>14.5</v>
      </c>
      <c r="H1689" t="n">
        <v>0</v>
      </c>
      <c r="I1689" t="n">
        <v>0</v>
      </c>
      <c r="J1689" t="n">
        <v>0</v>
      </c>
      <c r="K1689" t="n">
        <v>0</v>
      </c>
      <c r="L1689" t="n">
        <v>0</v>
      </c>
      <c r="M1689" t="n">
        <v>0</v>
      </c>
      <c r="N1689" t="n">
        <v>0</v>
      </c>
      <c r="O1689" t="n">
        <v>0</v>
      </c>
      <c r="P1689" t="n">
        <v>0</v>
      </c>
      <c r="Q1689" t="n">
        <v>0</v>
      </c>
      <c r="R1689" s="2" t="inlineStr"/>
    </row>
    <row r="1690" ht="15" customHeight="1">
      <c r="A1690" t="inlineStr">
        <is>
          <t>A 56106-2024</t>
        </is>
      </c>
      <c r="B1690" s="1" t="n">
        <v>45624</v>
      </c>
      <c r="C1690" s="1" t="n">
        <v>45728</v>
      </c>
      <c r="D1690" t="inlineStr">
        <is>
          <t>JÄMTLANDS LÄN</t>
        </is>
      </c>
      <c r="E1690" t="inlineStr">
        <is>
          <t>HÄRJEDALEN</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56178-2024</t>
        </is>
      </c>
      <c r="B1691" s="1" t="n">
        <v>45624</v>
      </c>
      <c r="C1691" s="1" t="n">
        <v>45728</v>
      </c>
      <c r="D1691" t="inlineStr">
        <is>
          <t>JÄMTLANDS LÄN</t>
        </is>
      </c>
      <c r="E1691" t="inlineStr">
        <is>
          <t>HÄRJEDALEN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56499-2024</t>
        </is>
      </c>
      <c r="B1692" s="1" t="n">
        <v>45625</v>
      </c>
      <c r="C1692" s="1" t="n">
        <v>45728</v>
      </c>
      <c r="D1692" t="inlineStr">
        <is>
          <t>JÄMTLANDS LÄN</t>
        </is>
      </c>
      <c r="E1692" t="inlineStr">
        <is>
          <t>HÄRJEDALEN</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56547-2024</t>
        </is>
      </c>
      <c r="B1693" s="1" t="n">
        <v>45625</v>
      </c>
      <c r="C1693" s="1" t="n">
        <v>45728</v>
      </c>
      <c r="D1693" t="inlineStr">
        <is>
          <t>JÄMTLANDS LÄN</t>
        </is>
      </c>
      <c r="E1693" t="inlineStr">
        <is>
          <t>HÄRJEDALEN</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57452-2024</t>
        </is>
      </c>
      <c r="B1694" s="1" t="n">
        <v>45630</v>
      </c>
      <c r="C1694" s="1" t="n">
        <v>45728</v>
      </c>
      <c r="D1694" t="inlineStr">
        <is>
          <t>JÄMTLANDS LÄN</t>
        </is>
      </c>
      <c r="E1694" t="inlineStr">
        <is>
          <t>HÄRJEDALEN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57637-2024</t>
        </is>
      </c>
      <c r="B1695" s="1" t="n">
        <v>45630</v>
      </c>
      <c r="C1695" s="1" t="n">
        <v>45728</v>
      </c>
      <c r="D1695" t="inlineStr">
        <is>
          <t>JÄMTLANDS LÄN</t>
        </is>
      </c>
      <c r="E1695" t="inlineStr">
        <is>
          <t>HÄRJEDALEN</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57668-2024</t>
        </is>
      </c>
      <c r="B1696" s="1" t="n">
        <v>45630</v>
      </c>
      <c r="C1696" s="1" t="n">
        <v>45728</v>
      </c>
      <c r="D1696" t="inlineStr">
        <is>
          <t>JÄMTLANDS LÄN</t>
        </is>
      </c>
      <c r="E1696" t="inlineStr">
        <is>
          <t>HÄRJEDALEN</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57840-2024</t>
        </is>
      </c>
      <c r="B1697" s="1" t="n">
        <v>45631</v>
      </c>
      <c r="C1697" s="1" t="n">
        <v>45728</v>
      </c>
      <c r="D1697" t="inlineStr">
        <is>
          <t>JÄMTLANDS LÄN</t>
        </is>
      </c>
      <c r="E1697" t="inlineStr">
        <is>
          <t>HÄRJEDALEN</t>
        </is>
      </c>
      <c r="F1697" t="inlineStr">
        <is>
          <t>Bergvik skog väst AB</t>
        </is>
      </c>
      <c r="G1697" t="n">
        <v>98.8</v>
      </c>
      <c r="H1697" t="n">
        <v>0</v>
      </c>
      <c r="I1697" t="n">
        <v>0</v>
      </c>
      <c r="J1697" t="n">
        <v>0</v>
      </c>
      <c r="K1697" t="n">
        <v>0</v>
      </c>
      <c r="L1697" t="n">
        <v>0</v>
      </c>
      <c r="M1697" t="n">
        <v>0</v>
      </c>
      <c r="N1697" t="n">
        <v>0</v>
      </c>
      <c r="O1697" t="n">
        <v>0</v>
      </c>
      <c r="P1697" t="n">
        <v>0</v>
      </c>
      <c r="Q1697" t="n">
        <v>0</v>
      </c>
      <c r="R1697" s="2" t="inlineStr"/>
    </row>
    <row r="1698" ht="15" customHeight="1">
      <c r="A1698" t="inlineStr">
        <is>
          <t>A 57995-2024</t>
        </is>
      </c>
      <c r="B1698" s="1" t="n">
        <v>45631</v>
      </c>
      <c r="C1698" s="1" t="n">
        <v>45728</v>
      </c>
      <c r="D1698" t="inlineStr">
        <is>
          <t>JÄMTLANDS LÄN</t>
        </is>
      </c>
      <c r="E1698" t="inlineStr">
        <is>
          <t>HÄRJEDALEN</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57836-2024</t>
        </is>
      </c>
      <c r="B1699" s="1" t="n">
        <v>45631</v>
      </c>
      <c r="C1699" s="1" t="n">
        <v>45728</v>
      </c>
      <c r="D1699" t="inlineStr">
        <is>
          <t>JÄMTLANDS LÄN</t>
        </is>
      </c>
      <c r="E1699" t="inlineStr">
        <is>
          <t>HÄRJEDALEN</t>
        </is>
      </c>
      <c r="F1699" t="inlineStr">
        <is>
          <t>Bergvik skog väst AB</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57849-2024</t>
        </is>
      </c>
      <c r="B1700" s="1" t="n">
        <v>45631</v>
      </c>
      <c r="C1700" s="1" t="n">
        <v>45728</v>
      </c>
      <c r="D1700" t="inlineStr">
        <is>
          <t>JÄMTLANDS LÄN</t>
        </is>
      </c>
      <c r="E1700" t="inlineStr">
        <is>
          <t>HÄRJEDALEN</t>
        </is>
      </c>
      <c r="F1700" t="inlineStr">
        <is>
          <t>Bergvik skog väst AB</t>
        </is>
      </c>
      <c r="G1700" t="n">
        <v>36.7</v>
      </c>
      <c r="H1700" t="n">
        <v>0</v>
      </c>
      <c r="I1700" t="n">
        <v>0</v>
      </c>
      <c r="J1700" t="n">
        <v>0</v>
      </c>
      <c r="K1700" t="n">
        <v>0</v>
      </c>
      <c r="L1700" t="n">
        <v>0</v>
      </c>
      <c r="M1700" t="n">
        <v>0</v>
      </c>
      <c r="N1700" t="n">
        <v>0</v>
      </c>
      <c r="O1700" t="n">
        <v>0</v>
      </c>
      <c r="P1700" t="n">
        <v>0</v>
      </c>
      <c r="Q1700" t="n">
        <v>0</v>
      </c>
      <c r="R1700" s="2" t="inlineStr"/>
    </row>
    <row r="1701" ht="15" customHeight="1">
      <c r="A1701" t="inlineStr">
        <is>
          <t>A 58105-2024</t>
        </is>
      </c>
      <c r="B1701" s="1" t="n">
        <v>45632</v>
      </c>
      <c r="C1701" s="1" t="n">
        <v>45728</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58117-2024</t>
        </is>
      </c>
      <c r="B1702" s="1" t="n">
        <v>45632</v>
      </c>
      <c r="C1702" s="1" t="n">
        <v>45728</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58106-2024</t>
        </is>
      </c>
      <c r="B1703" s="1" t="n">
        <v>45632</v>
      </c>
      <c r="C1703" s="1" t="n">
        <v>45728</v>
      </c>
      <c r="D1703" t="inlineStr">
        <is>
          <t>JÄMTLANDS LÄN</t>
        </is>
      </c>
      <c r="E1703" t="inlineStr">
        <is>
          <t>HÄRJEDALEN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58110-2024</t>
        </is>
      </c>
      <c r="B1704" s="1" t="n">
        <v>45632</v>
      </c>
      <c r="C1704" s="1" t="n">
        <v>45728</v>
      </c>
      <c r="D1704" t="inlineStr">
        <is>
          <t>JÄMTLANDS LÄN</t>
        </is>
      </c>
      <c r="E1704" t="inlineStr">
        <is>
          <t>HÄRJEDALEN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58118-2024</t>
        </is>
      </c>
      <c r="B1705" s="1" t="n">
        <v>45632</v>
      </c>
      <c r="C1705" s="1" t="n">
        <v>45728</v>
      </c>
      <c r="D1705" t="inlineStr">
        <is>
          <t>JÄMTLANDS LÄN</t>
        </is>
      </c>
      <c r="E1705" t="inlineStr">
        <is>
          <t>HÄRJEDALEN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58352-2024</t>
        </is>
      </c>
      <c r="B1706" s="1" t="n">
        <v>45632</v>
      </c>
      <c r="C1706" s="1" t="n">
        <v>45728</v>
      </c>
      <c r="D1706" t="inlineStr">
        <is>
          <t>JÄMTLANDS LÄN</t>
        </is>
      </c>
      <c r="E1706" t="inlineStr">
        <is>
          <t>HÄRJEDALEN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58347-2024</t>
        </is>
      </c>
      <c r="B1707" s="1" t="n">
        <v>45632</v>
      </c>
      <c r="C1707" s="1" t="n">
        <v>45728</v>
      </c>
      <c r="D1707" t="inlineStr">
        <is>
          <t>JÄMTLANDS LÄN</t>
        </is>
      </c>
      <c r="E1707" t="inlineStr">
        <is>
          <t>HÄRJEDALEN</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58111-2024</t>
        </is>
      </c>
      <c r="B1708" s="1" t="n">
        <v>45632</v>
      </c>
      <c r="C1708" s="1" t="n">
        <v>45728</v>
      </c>
      <c r="D1708" t="inlineStr">
        <is>
          <t>JÄMTLANDS LÄN</t>
        </is>
      </c>
      <c r="E1708" t="inlineStr">
        <is>
          <t>HÄRJEDALEN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58135-2024</t>
        </is>
      </c>
      <c r="B1709" s="1" t="n">
        <v>45632</v>
      </c>
      <c r="C1709" s="1" t="n">
        <v>45728</v>
      </c>
      <c r="D1709" t="inlineStr">
        <is>
          <t>JÄMTLANDS LÄN</t>
        </is>
      </c>
      <c r="E1709" t="inlineStr">
        <is>
          <t>HÄRJEDALEN</t>
        </is>
      </c>
      <c r="F1709" t="inlineStr">
        <is>
          <t>Holmen skog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58341-2024</t>
        </is>
      </c>
      <c r="B1710" s="1" t="n">
        <v>45632</v>
      </c>
      <c r="C1710" s="1" t="n">
        <v>45728</v>
      </c>
      <c r="D1710" t="inlineStr">
        <is>
          <t>JÄMTLANDS LÄN</t>
        </is>
      </c>
      <c r="E1710" t="inlineStr">
        <is>
          <t>HÄRJEDALEN</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58404-2024</t>
        </is>
      </c>
      <c r="B1711" s="1" t="n">
        <v>45634</v>
      </c>
      <c r="C1711" s="1" t="n">
        <v>45728</v>
      </c>
      <c r="D1711" t="inlineStr">
        <is>
          <t>JÄMTLANDS LÄN</t>
        </is>
      </c>
      <c r="E1711" t="inlineStr">
        <is>
          <t>HÄRJEDALEN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58452-2024</t>
        </is>
      </c>
      <c r="B1712" s="1" t="n">
        <v>45635</v>
      </c>
      <c r="C1712" s="1" t="n">
        <v>45728</v>
      </c>
      <c r="D1712" t="inlineStr">
        <is>
          <t>JÄMTLANDS LÄN</t>
        </is>
      </c>
      <c r="E1712" t="inlineStr">
        <is>
          <t>HÄRJEDALEN</t>
        </is>
      </c>
      <c r="F1712" t="inlineStr">
        <is>
          <t>Bergvik skog väst AB</t>
        </is>
      </c>
      <c r="G1712" t="n">
        <v>15.6</v>
      </c>
      <c r="H1712" t="n">
        <v>0</v>
      </c>
      <c r="I1712" t="n">
        <v>0</v>
      </c>
      <c r="J1712" t="n">
        <v>0</v>
      </c>
      <c r="K1712" t="n">
        <v>0</v>
      </c>
      <c r="L1712" t="n">
        <v>0</v>
      </c>
      <c r="M1712" t="n">
        <v>0</v>
      </c>
      <c r="N1712" t="n">
        <v>0</v>
      </c>
      <c r="O1712" t="n">
        <v>0</v>
      </c>
      <c r="P1712" t="n">
        <v>0</v>
      </c>
      <c r="Q1712" t="n">
        <v>0</v>
      </c>
      <c r="R1712" s="2" t="inlineStr"/>
    </row>
    <row r="1713" ht="15" customHeight="1">
      <c r="A1713" t="inlineStr">
        <is>
          <t>A 58459-2024</t>
        </is>
      </c>
      <c r="B1713" s="1" t="n">
        <v>45635</v>
      </c>
      <c r="C1713" s="1" t="n">
        <v>45728</v>
      </c>
      <c r="D1713" t="inlineStr">
        <is>
          <t>JÄMTLANDS LÄN</t>
        </is>
      </c>
      <c r="E1713" t="inlineStr">
        <is>
          <t>HÄRJEDALEN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58642-2024</t>
        </is>
      </c>
      <c r="B1714" s="1" t="n">
        <v>45635</v>
      </c>
      <c r="C1714" s="1" t="n">
        <v>45728</v>
      </c>
      <c r="D1714" t="inlineStr">
        <is>
          <t>JÄMTLANDS LÄN</t>
        </is>
      </c>
      <c r="E1714" t="inlineStr">
        <is>
          <t>HÄRJEDALEN</t>
        </is>
      </c>
      <c r="F1714" t="inlineStr">
        <is>
          <t>Kyrkan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58507-2024</t>
        </is>
      </c>
      <c r="B1715" s="1" t="n">
        <v>45635</v>
      </c>
      <c r="C1715" s="1" t="n">
        <v>45728</v>
      </c>
      <c r="D1715" t="inlineStr">
        <is>
          <t>JÄMTLANDS LÄN</t>
        </is>
      </c>
      <c r="E1715" t="inlineStr">
        <is>
          <t>HÄRJEDALEN</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58446-2024</t>
        </is>
      </c>
      <c r="B1716" s="1" t="n">
        <v>45635</v>
      </c>
      <c r="C1716" s="1" t="n">
        <v>45728</v>
      </c>
      <c r="D1716" t="inlineStr">
        <is>
          <t>JÄMTLANDS LÄN</t>
        </is>
      </c>
      <c r="E1716" t="inlineStr">
        <is>
          <t>HÄRJEDALEN</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58581-2024</t>
        </is>
      </c>
      <c r="B1717" s="1" t="n">
        <v>45635</v>
      </c>
      <c r="C1717" s="1" t="n">
        <v>45728</v>
      </c>
      <c r="D1717" t="inlineStr">
        <is>
          <t>JÄMTLANDS LÄN</t>
        </is>
      </c>
      <c r="E1717" t="inlineStr">
        <is>
          <t>HÄRJEDALEN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58715-2024</t>
        </is>
      </c>
      <c r="B1718" s="1" t="n">
        <v>45635</v>
      </c>
      <c r="C1718" s="1" t="n">
        <v>45728</v>
      </c>
      <c r="D1718" t="inlineStr">
        <is>
          <t>JÄMTLANDS LÄN</t>
        </is>
      </c>
      <c r="E1718" t="inlineStr">
        <is>
          <t>HÄRJEDALEN</t>
        </is>
      </c>
      <c r="F1718" t="inlineStr">
        <is>
          <t>Bergvik skog väst AB</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59050-2024</t>
        </is>
      </c>
      <c r="B1719" s="1" t="n">
        <v>45636</v>
      </c>
      <c r="C1719" s="1" t="n">
        <v>45728</v>
      </c>
      <c r="D1719" t="inlineStr">
        <is>
          <t>JÄMTLANDS LÄN</t>
        </is>
      </c>
      <c r="E1719" t="inlineStr">
        <is>
          <t>HÄRJEDALEN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58832-2024</t>
        </is>
      </c>
      <c r="B1720" s="1" t="n">
        <v>45636</v>
      </c>
      <c r="C1720" s="1" t="n">
        <v>45728</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58857-2024</t>
        </is>
      </c>
      <c r="B1721" s="1" t="n">
        <v>45636</v>
      </c>
      <c r="C1721" s="1" t="n">
        <v>45728</v>
      </c>
      <c r="D1721" t="inlineStr">
        <is>
          <t>JÄMTLANDS LÄN</t>
        </is>
      </c>
      <c r="E1721" t="inlineStr">
        <is>
          <t>HÄRJEDALEN</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59129-2024</t>
        </is>
      </c>
      <c r="B1722" s="1" t="n">
        <v>45637</v>
      </c>
      <c r="C1722" s="1" t="n">
        <v>45728</v>
      </c>
      <c r="D1722" t="inlineStr">
        <is>
          <t>JÄMTLANDS LÄN</t>
        </is>
      </c>
      <c r="E1722" t="inlineStr">
        <is>
          <t>HÄRJEDALEN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59286-2024</t>
        </is>
      </c>
      <c r="B1723" s="1" t="n">
        <v>45637</v>
      </c>
      <c r="C1723" s="1" t="n">
        <v>45728</v>
      </c>
      <c r="D1723" t="inlineStr">
        <is>
          <t>JÄMTLANDS LÄN</t>
        </is>
      </c>
      <c r="E1723" t="inlineStr">
        <is>
          <t>HÄRJEDALEN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59293-2024</t>
        </is>
      </c>
      <c r="B1724" s="1" t="n">
        <v>45637</v>
      </c>
      <c r="C1724" s="1" t="n">
        <v>45728</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59294-2024</t>
        </is>
      </c>
      <c r="B1725" s="1" t="n">
        <v>45637</v>
      </c>
      <c r="C1725" s="1" t="n">
        <v>45728</v>
      </c>
      <c r="D1725" t="inlineStr">
        <is>
          <t>JÄMTLANDS LÄN</t>
        </is>
      </c>
      <c r="E1725" t="inlineStr">
        <is>
          <t>HÄRJEDALEN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59125-2024</t>
        </is>
      </c>
      <c r="B1726" s="1" t="n">
        <v>45637</v>
      </c>
      <c r="C1726" s="1" t="n">
        <v>45728</v>
      </c>
      <c r="D1726" t="inlineStr">
        <is>
          <t>JÄMTLANDS LÄN</t>
        </is>
      </c>
      <c r="E1726" t="inlineStr">
        <is>
          <t>HÄRJEDALEN</t>
        </is>
      </c>
      <c r="F1726" t="inlineStr">
        <is>
          <t>Bergvik skog väst AB</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59555-2024</t>
        </is>
      </c>
      <c r="B1727" s="1" t="n">
        <v>45638</v>
      </c>
      <c r="C1727" s="1" t="n">
        <v>45728</v>
      </c>
      <c r="D1727" t="inlineStr">
        <is>
          <t>JÄMTLANDS LÄN</t>
        </is>
      </c>
      <c r="E1727" t="inlineStr">
        <is>
          <t>HÄRJEDALEN</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59427-2024</t>
        </is>
      </c>
      <c r="B1728" s="1" t="n">
        <v>45638</v>
      </c>
      <c r="C1728" s="1" t="n">
        <v>45728</v>
      </c>
      <c r="D1728" t="inlineStr">
        <is>
          <t>JÄMTLANDS LÄN</t>
        </is>
      </c>
      <c r="E1728" t="inlineStr">
        <is>
          <t>HÄRJEDALEN</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59403-2024</t>
        </is>
      </c>
      <c r="B1729" s="1" t="n">
        <v>45638</v>
      </c>
      <c r="C1729" s="1" t="n">
        <v>45728</v>
      </c>
      <c r="D1729" t="inlineStr">
        <is>
          <t>JÄMTLANDS LÄN</t>
        </is>
      </c>
      <c r="E1729" t="inlineStr">
        <is>
          <t>HÄRJEDALEN</t>
        </is>
      </c>
      <c r="F1729" t="inlineStr">
        <is>
          <t>Bergvik skog väst AB</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59571-2024</t>
        </is>
      </c>
      <c r="B1730" s="1" t="n">
        <v>45638</v>
      </c>
      <c r="C1730" s="1" t="n">
        <v>45728</v>
      </c>
      <c r="D1730" t="inlineStr">
        <is>
          <t>JÄMTLANDS LÄN</t>
        </is>
      </c>
      <c r="E1730" t="inlineStr">
        <is>
          <t>HÄRJEDALEN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59510-2024</t>
        </is>
      </c>
      <c r="B1731" s="1" t="n">
        <v>45638</v>
      </c>
      <c r="C1731" s="1" t="n">
        <v>45728</v>
      </c>
      <c r="D1731" t="inlineStr">
        <is>
          <t>JÄMTLANDS LÄN</t>
        </is>
      </c>
      <c r="E1731" t="inlineStr">
        <is>
          <t>HÄRJEDALEN</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59405-2024</t>
        </is>
      </c>
      <c r="B1732" s="1" t="n">
        <v>45638</v>
      </c>
      <c r="C1732" s="1" t="n">
        <v>45728</v>
      </c>
      <c r="D1732" t="inlineStr">
        <is>
          <t>JÄMTLANDS LÄN</t>
        </is>
      </c>
      <c r="E1732" t="inlineStr">
        <is>
          <t>HÄRJEDALEN</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59462-2024</t>
        </is>
      </c>
      <c r="B1733" s="1" t="n">
        <v>45638</v>
      </c>
      <c r="C1733" s="1" t="n">
        <v>45728</v>
      </c>
      <c r="D1733" t="inlineStr">
        <is>
          <t>JÄMTLANDS LÄN</t>
        </is>
      </c>
      <c r="E1733" t="inlineStr">
        <is>
          <t>HÄRJEDALEN</t>
        </is>
      </c>
      <c r="F1733" t="inlineStr">
        <is>
          <t>Holmen skog AB</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59681-2024</t>
        </is>
      </c>
      <c r="B1734" s="1" t="n">
        <v>45639</v>
      </c>
      <c r="C1734" s="1" t="n">
        <v>45728</v>
      </c>
      <c r="D1734" t="inlineStr">
        <is>
          <t>JÄMTLANDS LÄN</t>
        </is>
      </c>
      <c r="E1734" t="inlineStr">
        <is>
          <t>HÄRJEDALEN</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45728</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60012-2024</t>
        </is>
      </c>
      <c r="B1736" s="1" t="n">
        <v>45642</v>
      </c>
      <c r="C1736" s="1" t="n">
        <v>45728</v>
      </c>
      <c r="D1736" t="inlineStr">
        <is>
          <t>JÄMTLANDS LÄN</t>
        </is>
      </c>
      <c r="E1736" t="inlineStr">
        <is>
          <t>HÄRJEDALEN</t>
        </is>
      </c>
      <c r="F1736" t="inlineStr">
        <is>
          <t>Bergvik skog väst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60054-2024</t>
        </is>
      </c>
      <c r="B1737" s="1" t="n">
        <v>45642</v>
      </c>
      <c r="C1737" s="1" t="n">
        <v>45728</v>
      </c>
      <c r="D1737" t="inlineStr">
        <is>
          <t>JÄMTLANDS LÄN</t>
        </is>
      </c>
      <c r="E1737" t="inlineStr">
        <is>
          <t>HÄRJEDALEN</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60050-2024</t>
        </is>
      </c>
      <c r="B1738" s="1" t="n">
        <v>45642</v>
      </c>
      <c r="C1738" s="1" t="n">
        <v>45728</v>
      </c>
      <c r="D1738" t="inlineStr">
        <is>
          <t>JÄMTLANDS LÄN</t>
        </is>
      </c>
      <c r="E1738" t="inlineStr">
        <is>
          <t>HÄRJEDALEN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60006-2024</t>
        </is>
      </c>
      <c r="B1739" s="1" t="n">
        <v>45642</v>
      </c>
      <c r="C1739" s="1" t="n">
        <v>45728</v>
      </c>
      <c r="D1739" t="inlineStr">
        <is>
          <t>JÄMTLANDS LÄN</t>
        </is>
      </c>
      <c r="E1739" t="inlineStr">
        <is>
          <t>HÄRJEDALEN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59962-2024</t>
        </is>
      </c>
      <c r="B1740" s="1" t="n">
        <v>45642</v>
      </c>
      <c r="C1740" s="1" t="n">
        <v>45728</v>
      </c>
      <c r="D1740" t="inlineStr">
        <is>
          <t>JÄMTLANDS LÄN</t>
        </is>
      </c>
      <c r="E1740" t="inlineStr">
        <is>
          <t>HÄRJEDALEN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59946-2024</t>
        </is>
      </c>
      <c r="B1741" s="1" t="n">
        <v>45642</v>
      </c>
      <c r="C1741" s="1" t="n">
        <v>45728</v>
      </c>
      <c r="D1741" t="inlineStr">
        <is>
          <t>JÄMTLANDS LÄN</t>
        </is>
      </c>
      <c r="E1741" t="inlineStr">
        <is>
          <t>HÄRJEDALEN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60057-2024</t>
        </is>
      </c>
      <c r="B1742" s="1" t="n">
        <v>45642</v>
      </c>
      <c r="C1742" s="1" t="n">
        <v>45728</v>
      </c>
      <c r="D1742" t="inlineStr">
        <is>
          <t>JÄMTLANDS LÄN</t>
        </is>
      </c>
      <c r="E1742" t="inlineStr">
        <is>
          <t>HÄRJEDALEN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60013-2024</t>
        </is>
      </c>
      <c r="B1743" s="1" t="n">
        <v>45642</v>
      </c>
      <c r="C1743" s="1" t="n">
        <v>45728</v>
      </c>
      <c r="D1743" t="inlineStr">
        <is>
          <t>JÄMTLANDS LÄN</t>
        </is>
      </c>
      <c r="E1743" t="inlineStr">
        <is>
          <t>HÄRJEDALEN</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60497-2024</t>
        </is>
      </c>
      <c r="B1744" s="1" t="n">
        <v>45643</v>
      </c>
      <c r="C1744" s="1" t="n">
        <v>45728</v>
      </c>
      <c r="D1744" t="inlineStr">
        <is>
          <t>JÄMTLANDS LÄN</t>
        </is>
      </c>
      <c r="E1744" t="inlineStr">
        <is>
          <t>HÄRJEDALEN</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60432-2024</t>
        </is>
      </c>
      <c r="B1745" s="1" t="n">
        <v>45643</v>
      </c>
      <c r="C1745" s="1" t="n">
        <v>45728</v>
      </c>
      <c r="D1745" t="inlineStr">
        <is>
          <t>JÄMTLANDS LÄN</t>
        </is>
      </c>
      <c r="E1745" t="inlineStr">
        <is>
          <t>HÄRJEDALEN</t>
        </is>
      </c>
      <c r="F1745" t="inlineStr">
        <is>
          <t>Bergvik skog väst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60752-2024</t>
        </is>
      </c>
      <c r="B1746" s="1" t="n">
        <v>45644</v>
      </c>
      <c r="C1746" s="1" t="n">
        <v>45728</v>
      </c>
      <c r="D1746" t="inlineStr">
        <is>
          <t>JÄMTLANDS LÄN</t>
        </is>
      </c>
      <c r="E1746" t="inlineStr">
        <is>
          <t>HÄRJEDALEN</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60709-2024</t>
        </is>
      </c>
      <c r="B1747" s="1" t="n">
        <v>45644</v>
      </c>
      <c r="C1747" s="1" t="n">
        <v>45728</v>
      </c>
      <c r="D1747" t="inlineStr">
        <is>
          <t>JÄMTLANDS LÄN</t>
        </is>
      </c>
      <c r="E1747" t="inlineStr">
        <is>
          <t>HÄRJEDALEN</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61140-2024</t>
        </is>
      </c>
      <c r="B1748" s="1" t="n">
        <v>45644</v>
      </c>
      <c r="C1748" s="1" t="n">
        <v>45728</v>
      </c>
      <c r="D1748" t="inlineStr">
        <is>
          <t>JÄMTLANDS LÄN</t>
        </is>
      </c>
      <c r="E1748" t="inlineStr">
        <is>
          <t>HÄRJEDALEN</t>
        </is>
      </c>
      <c r="G1748" t="n">
        <v>29.7</v>
      </c>
      <c r="H1748" t="n">
        <v>0</v>
      </c>
      <c r="I1748" t="n">
        <v>0</v>
      </c>
      <c r="J1748" t="n">
        <v>0</v>
      </c>
      <c r="K1748" t="n">
        <v>0</v>
      </c>
      <c r="L1748" t="n">
        <v>0</v>
      </c>
      <c r="M1748" t="n">
        <v>0</v>
      </c>
      <c r="N1748" t="n">
        <v>0</v>
      </c>
      <c r="O1748" t="n">
        <v>0</v>
      </c>
      <c r="P1748" t="n">
        <v>0</v>
      </c>
      <c r="Q1748" t="n">
        <v>0</v>
      </c>
      <c r="R1748" s="2" t="inlineStr"/>
    </row>
    <row r="1749" ht="15" customHeight="1">
      <c r="A1749" t="inlineStr">
        <is>
          <t>A 60853-2024</t>
        </is>
      </c>
      <c r="B1749" s="1" t="n">
        <v>45644</v>
      </c>
      <c r="C1749" s="1" t="n">
        <v>45728</v>
      </c>
      <c r="D1749" t="inlineStr">
        <is>
          <t>JÄMTLANDS LÄN</t>
        </is>
      </c>
      <c r="E1749" t="inlineStr">
        <is>
          <t>HÄRJEDALEN</t>
        </is>
      </c>
      <c r="F1749" t="inlineStr">
        <is>
          <t>Kyrkan</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60704-2024</t>
        </is>
      </c>
      <c r="B1750" s="1" t="n">
        <v>45644</v>
      </c>
      <c r="C1750" s="1" t="n">
        <v>45728</v>
      </c>
      <c r="D1750" t="inlineStr">
        <is>
          <t>JÄMTLANDS LÄN</t>
        </is>
      </c>
      <c r="E1750" t="inlineStr">
        <is>
          <t>HÄRJEDALEN</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61042-2024</t>
        </is>
      </c>
      <c r="B1751" s="1" t="n">
        <v>45645</v>
      </c>
      <c r="C1751" s="1" t="n">
        <v>45728</v>
      </c>
      <c r="D1751" t="inlineStr">
        <is>
          <t>JÄMTLANDS LÄN</t>
        </is>
      </c>
      <c r="E1751" t="inlineStr">
        <is>
          <t>HÄRJEDALEN</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61048-2024</t>
        </is>
      </c>
      <c r="B1752" s="1" t="n">
        <v>45645</v>
      </c>
      <c r="C1752" s="1" t="n">
        <v>45728</v>
      </c>
      <c r="D1752" t="inlineStr">
        <is>
          <t>JÄMTLANDS LÄN</t>
        </is>
      </c>
      <c r="E1752" t="inlineStr">
        <is>
          <t>HÄRJEDALEN</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61185-2024</t>
        </is>
      </c>
      <c r="B1753" s="1" t="n">
        <v>45645</v>
      </c>
      <c r="C1753" s="1" t="n">
        <v>45728</v>
      </c>
      <c r="D1753" t="inlineStr">
        <is>
          <t>JÄMTLANDS LÄN</t>
        </is>
      </c>
      <c r="E1753" t="inlineStr">
        <is>
          <t>HÄRJEDALEN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61341-2024</t>
        </is>
      </c>
      <c r="B1754" s="1" t="n">
        <v>45646</v>
      </c>
      <c r="C1754" s="1" t="n">
        <v>45728</v>
      </c>
      <c r="D1754" t="inlineStr">
        <is>
          <t>JÄMTLANDS LÄN</t>
        </is>
      </c>
      <c r="E1754" t="inlineStr">
        <is>
          <t>HÄRJEDALEN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61560-2024</t>
        </is>
      </c>
      <c r="B1755" s="1" t="n">
        <v>45646</v>
      </c>
      <c r="C1755" s="1" t="n">
        <v>45728</v>
      </c>
      <c r="D1755" t="inlineStr">
        <is>
          <t>JÄMTLANDS LÄN</t>
        </is>
      </c>
      <c r="E1755" t="inlineStr">
        <is>
          <t>HÄRJEDALEN</t>
        </is>
      </c>
      <c r="G1755" t="n">
        <v>25.7</v>
      </c>
      <c r="H1755" t="n">
        <v>0</v>
      </c>
      <c r="I1755" t="n">
        <v>0</v>
      </c>
      <c r="J1755" t="n">
        <v>0</v>
      </c>
      <c r="K1755" t="n">
        <v>0</v>
      </c>
      <c r="L1755" t="n">
        <v>0</v>
      </c>
      <c r="M1755" t="n">
        <v>0</v>
      </c>
      <c r="N1755" t="n">
        <v>0</v>
      </c>
      <c r="O1755" t="n">
        <v>0</v>
      </c>
      <c r="P1755" t="n">
        <v>0</v>
      </c>
      <c r="Q1755" t="n">
        <v>0</v>
      </c>
      <c r="R1755" s="2" t="inlineStr"/>
    </row>
    <row r="1756" ht="15" customHeight="1">
      <c r="A1756" t="inlineStr">
        <is>
          <t>A 62134-2024</t>
        </is>
      </c>
      <c r="B1756" s="1" t="n">
        <v>45646</v>
      </c>
      <c r="C1756" s="1" t="n">
        <v>45728</v>
      </c>
      <c r="D1756" t="inlineStr">
        <is>
          <t>JÄMTLANDS LÄN</t>
        </is>
      </c>
      <c r="E1756" t="inlineStr">
        <is>
          <t>HÄRJEDALEN</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62104-2024</t>
        </is>
      </c>
      <c r="B1757" s="1" t="n">
        <v>45656</v>
      </c>
      <c r="C1757" s="1" t="n">
        <v>45728</v>
      </c>
      <c r="D1757" t="inlineStr">
        <is>
          <t>JÄMTLANDS LÄN</t>
        </is>
      </c>
      <c r="E1757" t="inlineStr">
        <is>
          <t>HÄRJEDALEN</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136-2025</t>
        </is>
      </c>
      <c r="B1758" s="1" t="n">
        <v>45659</v>
      </c>
      <c r="C1758" s="1" t="n">
        <v>45728</v>
      </c>
      <c r="D1758" t="inlineStr">
        <is>
          <t>JÄMTLANDS LÄN</t>
        </is>
      </c>
      <c r="E1758" t="inlineStr">
        <is>
          <t>HÄRJEDALEN</t>
        </is>
      </c>
      <c r="F1758" t="inlineStr">
        <is>
          <t>Holmen skog AB</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515-2025</t>
        </is>
      </c>
      <c r="B1759" s="1" t="n">
        <v>45664</v>
      </c>
      <c r="C1759" s="1" t="n">
        <v>45728</v>
      </c>
      <c r="D1759" t="inlineStr">
        <is>
          <t>JÄMTLANDS LÄN</t>
        </is>
      </c>
      <c r="E1759" t="inlineStr">
        <is>
          <t>HÄRJEDALEN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445-2025</t>
        </is>
      </c>
      <c r="B1760" s="1" t="n">
        <v>45664</v>
      </c>
      <c r="C1760" s="1" t="n">
        <v>45728</v>
      </c>
      <c r="D1760" t="inlineStr">
        <is>
          <t>JÄMTLANDS LÄN</t>
        </is>
      </c>
      <c r="E1760" t="inlineStr">
        <is>
          <t>HÄRJEDALEN</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576-2025</t>
        </is>
      </c>
      <c r="B1761" s="1" t="n">
        <v>45664</v>
      </c>
      <c r="C1761" s="1" t="n">
        <v>45728</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523-2025</t>
        </is>
      </c>
      <c r="B1762" s="1" t="n">
        <v>45664</v>
      </c>
      <c r="C1762" s="1" t="n">
        <v>45728</v>
      </c>
      <c r="D1762" t="inlineStr">
        <is>
          <t>JÄMTLANDS LÄN</t>
        </is>
      </c>
      <c r="E1762" t="inlineStr">
        <is>
          <t>HÄRJEDALEN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837-2025</t>
        </is>
      </c>
      <c r="B1763" s="1" t="n">
        <v>45665</v>
      </c>
      <c r="C1763" s="1" t="n">
        <v>45728</v>
      </c>
      <c r="D1763" t="inlineStr">
        <is>
          <t>JÄMTLANDS LÄN</t>
        </is>
      </c>
      <c r="E1763" t="inlineStr">
        <is>
          <t>HÄRJEDALEN</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846-2025</t>
        </is>
      </c>
      <c r="B1764" s="1" t="n">
        <v>45665</v>
      </c>
      <c r="C1764" s="1" t="n">
        <v>45728</v>
      </c>
      <c r="D1764" t="inlineStr">
        <is>
          <t>JÄMTLANDS LÄN</t>
        </is>
      </c>
      <c r="E1764" t="inlineStr">
        <is>
          <t>HÄRJEDALEN</t>
        </is>
      </c>
      <c r="F1764" t="inlineStr">
        <is>
          <t>Bergvik skog väst AB</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816-2025</t>
        </is>
      </c>
      <c r="B1765" s="1" t="n">
        <v>45665</v>
      </c>
      <c r="C1765" s="1" t="n">
        <v>45728</v>
      </c>
      <c r="D1765" t="inlineStr">
        <is>
          <t>JÄMTLANDS LÄN</t>
        </is>
      </c>
      <c r="E1765" t="inlineStr">
        <is>
          <t>HÄRJEDALEN</t>
        </is>
      </c>
      <c r="F1765" t="inlineStr">
        <is>
          <t>Bergvik skog väst AB</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848-2025</t>
        </is>
      </c>
      <c r="B1766" s="1" t="n">
        <v>45665</v>
      </c>
      <c r="C1766" s="1" t="n">
        <v>45728</v>
      </c>
      <c r="D1766" t="inlineStr">
        <is>
          <t>JÄMTLANDS LÄN</t>
        </is>
      </c>
      <c r="E1766" t="inlineStr">
        <is>
          <t>HÄRJEDALEN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999-2025</t>
        </is>
      </c>
      <c r="B1767" s="1" t="n">
        <v>45666</v>
      </c>
      <c r="C1767" s="1" t="n">
        <v>45728</v>
      </c>
      <c r="D1767" t="inlineStr">
        <is>
          <t>JÄMTLANDS LÄN</t>
        </is>
      </c>
      <c r="E1767" t="inlineStr">
        <is>
          <t>HÄRJEDALEN</t>
        </is>
      </c>
      <c r="F1767" t="inlineStr">
        <is>
          <t>Holmen skog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1172-2025</t>
        </is>
      </c>
      <c r="B1768" s="1" t="n">
        <v>45667</v>
      </c>
      <c r="C1768" s="1" t="n">
        <v>45728</v>
      </c>
      <c r="D1768" t="inlineStr">
        <is>
          <t>JÄMTLANDS LÄN</t>
        </is>
      </c>
      <c r="E1768" t="inlineStr">
        <is>
          <t>HÄRJEDALEN</t>
        </is>
      </c>
      <c r="F1768" t="inlineStr">
        <is>
          <t>Bergvik skog väst AB</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1394-2025</t>
        </is>
      </c>
      <c r="B1769" s="1" t="n">
        <v>45667</v>
      </c>
      <c r="C1769" s="1" t="n">
        <v>45728</v>
      </c>
      <c r="D1769" t="inlineStr">
        <is>
          <t>JÄMTLANDS LÄN</t>
        </is>
      </c>
      <c r="E1769" t="inlineStr">
        <is>
          <t>HÄRJEDALEN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1242-2025</t>
        </is>
      </c>
      <c r="B1770" s="1" t="n">
        <v>45667</v>
      </c>
      <c r="C1770" s="1" t="n">
        <v>45728</v>
      </c>
      <c r="D1770" t="inlineStr">
        <is>
          <t>JÄMTLANDS LÄN</t>
        </is>
      </c>
      <c r="E1770" t="inlineStr">
        <is>
          <t>HÄRJEDALEN</t>
        </is>
      </c>
      <c r="F1770" t="inlineStr">
        <is>
          <t>Bergvik skog väst AB</t>
        </is>
      </c>
      <c r="G1770" t="n">
        <v>80.5</v>
      </c>
      <c r="H1770" t="n">
        <v>0</v>
      </c>
      <c r="I1770" t="n">
        <v>0</v>
      </c>
      <c r="J1770" t="n">
        <v>0</v>
      </c>
      <c r="K1770" t="n">
        <v>0</v>
      </c>
      <c r="L1770" t="n">
        <v>0</v>
      </c>
      <c r="M1770" t="n">
        <v>0</v>
      </c>
      <c r="N1770" t="n">
        <v>0</v>
      </c>
      <c r="O1770" t="n">
        <v>0</v>
      </c>
      <c r="P1770" t="n">
        <v>0</v>
      </c>
      <c r="Q1770" t="n">
        <v>0</v>
      </c>
      <c r="R1770" s="2" t="inlineStr"/>
    </row>
    <row r="1771" ht="15" customHeight="1">
      <c r="A1771" t="inlineStr">
        <is>
          <t>A 1658-2025</t>
        </is>
      </c>
      <c r="B1771" s="1" t="n">
        <v>45670</v>
      </c>
      <c r="C1771" s="1" t="n">
        <v>45728</v>
      </c>
      <c r="D1771" t="inlineStr">
        <is>
          <t>JÄMTLANDS LÄN</t>
        </is>
      </c>
      <c r="E1771" t="inlineStr">
        <is>
          <t>HÄRJEDALEN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1665-2025</t>
        </is>
      </c>
      <c r="B1772" s="1" t="n">
        <v>45670</v>
      </c>
      <c r="C1772" s="1" t="n">
        <v>45728</v>
      </c>
      <c r="D1772" t="inlineStr">
        <is>
          <t>JÄMTLANDS LÄN</t>
        </is>
      </c>
      <c r="E1772" t="inlineStr">
        <is>
          <t>HÄRJEDALEN</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1515-2025</t>
        </is>
      </c>
      <c r="B1773" s="1" t="n">
        <v>45670</v>
      </c>
      <c r="C1773" s="1" t="n">
        <v>45728</v>
      </c>
      <c r="D1773" t="inlineStr">
        <is>
          <t>JÄMTLANDS LÄN</t>
        </is>
      </c>
      <c r="E1773" t="inlineStr">
        <is>
          <t>HÄRJEDALEN</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1459-2025</t>
        </is>
      </c>
      <c r="B1774" s="1" t="n">
        <v>45670</v>
      </c>
      <c r="C1774" s="1" t="n">
        <v>45728</v>
      </c>
      <c r="D1774" t="inlineStr">
        <is>
          <t>JÄMTLANDS LÄN</t>
        </is>
      </c>
      <c r="E1774" t="inlineStr">
        <is>
          <t>HÄRJEDALEN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1754-2025</t>
        </is>
      </c>
      <c r="B1775" s="1" t="n">
        <v>45671</v>
      </c>
      <c r="C1775" s="1" t="n">
        <v>45728</v>
      </c>
      <c r="D1775" t="inlineStr">
        <is>
          <t>JÄMTLANDS LÄN</t>
        </is>
      </c>
      <c r="E1775" t="inlineStr">
        <is>
          <t>HÄRJEDALEN</t>
        </is>
      </c>
      <c r="F1775" t="inlineStr">
        <is>
          <t>Bergvik skog väst AB</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1906-2025</t>
        </is>
      </c>
      <c r="B1776" s="1" t="n">
        <v>45671</v>
      </c>
      <c r="C1776" s="1" t="n">
        <v>45728</v>
      </c>
      <c r="D1776" t="inlineStr">
        <is>
          <t>JÄMTLANDS LÄN</t>
        </is>
      </c>
      <c r="E1776" t="inlineStr">
        <is>
          <t>HÄRJEDALEN</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45728</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2100-2025</t>
        </is>
      </c>
      <c r="B1778" s="1" t="n">
        <v>45672</v>
      </c>
      <c r="C1778" s="1" t="n">
        <v>45728</v>
      </c>
      <c r="D1778" t="inlineStr">
        <is>
          <t>JÄMTLANDS LÄN</t>
        </is>
      </c>
      <c r="E1778" t="inlineStr">
        <is>
          <t>HÄRJEDALEN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2105-2025</t>
        </is>
      </c>
      <c r="B1779" s="1" t="n">
        <v>45672</v>
      </c>
      <c r="C1779" s="1" t="n">
        <v>45728</v>
      </c>
      <c r="D1779" t="inlineStr">
        <is>
          <t>JÄMTLANDS LÄN</t>
        </is>
      </c>
      <c r="E1779" t="inlineStr">
        <is>
          <t>HÄRJEDALEN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2003-2025</t>
        </is>
      </c>
      <c r="B1780" s="1" t="n">
        <v>45672</v>
      </c>
      <c r="C1780" s="1" t="n">
        <v>45728</v>
      </c>
      <c r="D1780" t="inlineStr">
        <is>
          <t>JÄMTLANDS LÄN</t>
        </is>
      </c>
      <c r="E1780" t="inlineStr">
        <is>
          <t>HÄRJEDALEN</t>
        </is>
      </c>
      <c r="F1780" t="inlineStr">
        <is>
          <t>SCA</t>
        </is>
      </c>
      <c r="G1780" t="n">
        <v>75.3</v>
      </c>
      <c r="H1780" t="n">
        <v>0</v>
      </c>
      <c r="I1780" t="n">
        <v>0</v>
      </c>
      <c r="J1780" t="n">
        <v>0</v>
      </c>
      <c r="K1780" t="n">
        <v>0</v>
      </c>
      <c r="L1780" t="n">
        <v>0</v>
      </c>
      <c r="M1780" t="n">
        <v>0</v>
      </c>
      <c r="N1780" t="n">
        <v>0</v>
      </c>
      <c r="O1780" t="n">
        <v>0</v>
      </c>
      <c r="P1780" t="n">
        <v>0</v>
      </c>
      <c r="Q1780" t="n">
        <v>0</v>
      </c>
      <c r="R1780" s="2" t="inlineStr"/>
    </row>
    <row r="1781" ht="15" customHeight="1">
      <c r="A1781" t="inlineStr">
        <is>
          <t>A 1999-2025</t>
        </is>
      </c>
      <c r="B1781" s="1" t="n">
        <v>45672</v>
      </c>
      <c r="C1781" s="1" t="n">
        <v>45728</v>
      </c>
      <c r="D1781" t="inlineStr">
        <is>
          <t>JÄMTLANDS LÄN</t>
        </is>
      </c>
      <c r="E1781" t="inlineStr">
        <is>
          <t>HÄRJEDALEN</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1998-2025</t>
        </is>
      </c>
      <c r="B1782" s="1" t="n">
        <v>45672</v>
      </c>
      <c r="C1782" s="1" t="n">
        <v>45728</v>
      </c>
      <c r="D1782" t="inlineStr">
        <is>
          <t>JÄMTLANDS LÄN</t>
        </is>
      </c>
      <c r="E1782" t="inlineStr">
        <is>
          <t>HÄRJEDALEN</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2207-2025</t>
        </is>
      </c>
      <c r="B1783" s="1" t="n">
        <v>45673</v>
      </c>
      <c r="C1783" s="1" t="n">
        <v>45728</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2281-2025</t>
        </is>
      </c>
      <c r="B1784" s="1" t="n">
        <v>45673</v>
      </c>
      <c r="C1784" s="1" t="n">
        <v>45728</v>
      </c>
      <c r="D1784" t="inlineStr">
        <is>
          <t>JÄMTLANDS LÄN</t>
        </is>
      </c>
      <c r="E1784" t="inlineStr">
        <is>
          <t>HÄRJEDALEN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2336-2025</t>
        </is>
      </c>
      <c r="B1785" s="1" t="n">
        <v>45673</v>
      </c>
      <c r="C1785" s="1" t="n">
        <v>45728</v>
      </c>
      <c r="D1785" t="inlineStr">
        <is>
          <t>JÄMTLANDS LÄN</t>
        </is>
      </c>
      <c r="E1785" t="inlineStr">
        <is>
          <t>HÄRJEDALEN</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2312-2025</t>
        </is>
      </c>
      <c r="B1786" s="1" t="n">
        <v>45673</v>
      </c>
      <c r="C1786" s="1" t="n">
        <v>45728</v>
      </c>
      <c r="D1786" t="inlineStr">
        <is>
          <t>JÄMTLANDS LÄN</t>
        </is>
      </c>
      <c r="E1786" t="inlineStr">
        <is>
          <t>HÄRJEDALEN</t>
        </is>
      </c>
      <c r="F1786" t="inlineStr">
        <is>
          <t>Bergvik skog väst AB</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2510-2025</t>
        </is>
      </c>
      <c r="B1787" s="1" t="n">
        <v>45674</v>
      </c>
      <c r="C1787" s="1" t="n">
        <v>45728</v>
      </c>
      <c r="D1787" t="inlineStr">
        <is>
          <t>JÄMTLANDS LÄN</t>
        </is>
      </c>
      <c r="E1787" t="inlineStr">
        <is>
          <t>HÄRJEDALEN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2728-2025</t>
        </is>
      </c>
      <c r="B1788" s="1" t="n">
        <v>45677</v>
      </c>
      <c r="C1788" s="1" t="n">
        <v>45728</v>
      </c>
      <c r="D1788" t="inlineStr">
        <is>
          <t>JÄMTLANDS LÄN</t>
        </is>
      </c>
      <c r="E1788" t="inlineStr">
        <is>
          <t>HÄRJEDALEN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2718-2025</t>
        </is>
      </c>
      <c r="B1789" s="1" t="n">
        <v>45677</v>
      </c>
      <c r="C1789" s="1" t="n">
        <v>45728</v>
      </c>
      <c r="D1789" t="inlineStr">
        <is>
          <t>JÄMTLANDS LÄN</t>
        </is>
      </c>
      <c r="E1789" t="inlineStr">
        <is>
          <t>HÄRJEDALEN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2737-2025</t>
        </is>
      </c>
      <c r="B1790" s="1" t="n">
        <v>45677</v>
      </c>
      <c r="C1790" s="1" t="n">
        <v>45728</v>
      </c>
      <c r="D1790" t="inlineStr">
        <is>
          <t>JÄMTLANDS LÄN</t>
        </is>
      </c>
      <c r="E1790" t="inlineStr">
        <is>
          <t>HÄRJEDALEN</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2875-2025</t>
        </is>
      </c>
      <c r="B1791" s="1" t="n">
        <v>45677</v>
      </c>
      <c r="C1791" s="1" t="n">
        <v>45728</v>
      </c>
      <c r="D1791" t="inlineStr">
        <is>
          <t>JÄMTLANDS LÄN</t>
        </is>
      </c>
      <c r="E1791" t="inlineStr">
        <is>
          <t>HÄRJEDALEN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2935-2025</t>
        </is>
      </c>
      <c r="B1792" s="1" t="n">
        <v>45678</v>
      </c>
      <c r="C1792" s="1" t="n">
        <v>45728</v>
      </c>
      <c r="D1792" t="inlineStr">
        <is>
          <t>JÄMTLANDS LÄN</t>
        </is>
      </c>
      <c r="E1792" t="inlineStr">
        <is>
          <t>HÄRJEDALEN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3425-2025</t>
        </is>
      </c>
      <c r="B1793" s="1" t="n">
        <v>45680</v>
      </c>
      <c r="C1793" s="1" t="n">
        <v>45728</v>
      </c>
      <c r="D1793" t="inlineStr">
        <is>
          <t>JÄMTLANDS LÄN</t>
        </is>
      </c>
      <c r="E1793" t="inlineStr">
        <is>
          <t>HÄRJEDALEN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3965-2025</t>
        </is>
      </c>
      <c r="B1794" s="1" t="n">
        <v>45684</v>
      </c>
      <c r="C1794" s="1" t="n">
        <v>45728</v>
      </c>
      <c r="D1794" t="inlineStr">
        <is>
          <t>JÄMTLANDS LÄN</t>
        </is>
      </c>
      <c r="E1794" t="inlineStr">
        <is>
          <t>HÄRJEDALEN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45728</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4155-2025</t>
        </is>
      </c>
      <c r="B1796" s="1" t="n">
        <v>45685</v>
      </c>
      <c r="C1796" s="1" t="n">
        <v>45728</v>
      </c>
      <c r="D1796" t="inlineStr">
        <is>
          <t>JÄMTLANDS LÄN</t>
        </is>
      </c>
      <c r="E1796" t="inlineStr">
        <is>
          <t>HÄRJEDALEN</t>
        </is>
      </c>
      <c r="F1796" t="inlineStr">
        <is>
          <t>Bergvik skog väst AB</t>
        </is>
      </c>
      <c r="G1796" t="n">
        <v>22.2</v>
      </c>
      <c r="H1796" t="n">
        <v>0</v>
      </c>
      <c r="I1796" t="n">
        <v>0</v>
      </c>
      <c r="J1796" t="n">
        <v>0</v>
      </c>
      <c r="K1796" t="n">
        <v>0</v>
      </c>
      <c r="L1796" t="n">
        <v>0</v>
      </c>
      <c r="M1796" t="n">
        <v>0</v>
      </c>
      <c r="N1796" t="n">
        <v>0</v>
      </c>
      <c r="O1796" t="n">
        <v>0</v>
      </c>
      <c r="P1796" t="n">
        <v>0</v>
      </c>
      <c r="Q1796" t="n">
        <v>0</v>
      </c>
      <c r="R1796" s="2" t="inlineStr"/>
    </row>
    <row r="1797" ht="15" customHeight="1">
      <c r="A1797" t="inlineStr">
        <is>
          <t>A 4217-2025</t>
        </is>
      </c>
      <c r="B1797" s="1" t="n">
        <v>45685</v>
      </c>
      <c r="C1797" s="1" t="n">
        <v>45728</v>
      </c>
      <c r="D1797" t="inlineStr">
        <is>
          <t>JÄMTLANDS LÄN</t>
        </is>
      </c>
      <c r="E1797" t="inlineStr">
        <is>
          <t>HÄRJEDALEN</t>
        </is>
      </c>
      <c r="F1797" t="inlineStr">
        <is>
          <t>Bergvik skog väst AB</t>
        </is>
      </c>
      <c r="G1797" t="n">
        <v>24.6</v>
      </c>
      <c r="H1797" t="n">
        <v>0</v>
      </c>
      <c r="I1797" t="n">
        <v>0</v>
      </c>
      <c r="J1797" t="n">
        <v>0</v>
      </c>
      <c r="K1797" t="n">
        <v>0</v>
      </c>
      <c r="L1797" t="n">
        <v>0</v>
      </c>
      <c r="M1797" t="n">
        <v>0</v>
      </c>
      <c r="N1797" t="n">
        <v>0</v>
      </c>
      <c r="O1797" t="n">
        <v>0</v>
      </c>
      <c r="P1797" t="n">
        <v>0</v>
      </c>
      <c r="Q1797" t="n">
        <v>0</v>
      </c>
      <c r="R1797" s="2" t="inlineStr"/>
    </row>
    <row r="1798" ht="15" customHeight="1">
      <c r="A1798" t="inlineStr">
        <is>
          <t>A 4221-2025</t>
        </is>
      </c>
      <c r="B1798" s="1" t="n">
        <v>45685</v>
      </c>
      <c r="C1798" s="1" t="n">
        <v>45728</v>
      </c>
      <c r="D1798" t="inlineStr">
        <is>
          <t>JÄMTLANDS LÄN</t>
        </is>
      </c>
      <c r="E1798" t="inlineStr">
        <is>
          <t>HÄRJEDALEN</t>
        </is>
      </c>
      <c r="F1798" t="inlineStr">
        <is>
          <t>Bergvik skog väst AB</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4225-2025</t>
        </is>
      </c>
      <c r="B1799" s="1" t="n">
        <v>45685</v>
      </c>
      <c r="C1799" s="1" t="n">
        <v>45728</v>
      </c>
      <c r="D1799" t="inlineStr">
        <is>
          <t>JÄMTLANDS LÄN</t>
        </is>
      </c>
      <c r="E1799" t="inlineStr">
        <is>
          <t>HÄRJEDALEN</t>
        </is>
      </c>
      <c r="F1799" t="inlineStr">
        <is>
          <t>Bergvik skog väst AB</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4642-2025</t>
        </is>
      </c>
      <c r="B1800" s="1" t="n">
        <v>45687</v>
      </c>
      <c r="C1800" s="1" t="n">
        <v>45728</v>
      </c>
      <c r="D1800" t="inlineStr">
        <is>
          <t>JÄMTLANDS LÄN</t>
        </is>
      </c>
      <c r="E1800" t="inlineStr">
        <is>
          <t>HÄRJEDALEN</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4593-2025</t>
        </is>
      </c>
      <c r="B1801" s="1" t="n">
        <v>45687</v>
      </c>
      <c r="C1801" s="1" t="n">
        <v>45728</v>
      </c>
      <c r="D1801" t="inlineStr">
        <is>
          <t>JÄMTLANDS LÄN</t>
        </is>
      </c>
      <c r="E1801" t="inlineStr">
        <is>
          <t>HÄRJEDALEN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4590-2025</t>
        </is>
      </c>
      <c r="B1802" s="1" t="n">
        <v>45687</v>
      </c>
      <c r="C1802" s="1" t="n">
        <v>45728</v>
      </c>
      <c r="D1802" t="inlineStr">
        <is>
          <t>JÄMTLANDS LÄN</t>
        </is>
      </c>
      <c r="E1802" t="inlineStr">
        <is>
          <t>HÄRJEDALEN</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45728</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45728</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4837-2025</t>
        </is>
      </c>
      <c r="B1805" s="1" t="n">
        <v>45688</v>
      </c>
      <c r="C1805" s="1" t="n">
        <v>45728</v>
      </c>
      <c r="D1805" t="inlineStr">
        <is>
          <t>JÄMTLANDS LÄN</t>
        </is>
      </c>
      <c r="E1805" t="inlineStr">
        <is>
          <t>HÄRJEDALEN</t>
        </is>
      </c>
      <c r="F1805" t="inlineStr">
        <is>
          <t>SCA</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4749-2025</t>
        </is>
      </c>
      <c r="B1806" s="1" t="n">
        <v>45688</v>
      </c>
      <c r="C1806" s="1" t="n">
        <v>45728</v>
      </c>
      <c r="D1806" t="inlineStr">
        <is>
          <t>JÄMTLANDS LÄN</t>
        </is>
      </c>
      <c r="E1806" t="inlineStr">
        <is>
          <t>HÄRJEDALEN</t>
        </is>
      </c>
      <c r="F1806" t="inlineStr">
        <is>
          <t>Bergvik skog väst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4899-2025</t>
        </is>
      </c>
      <c r="B1807" s="1" t="n">
        <v>45688</v>
      </c>
      <c r="C1807" s="1" t="n">
        <v>45728</v>
      </c>
      <c r="D1807" t="inlineStr">
        <is>
          <t>JÄMTLANDS LÄN</t>
        </is>
      </c>
      <c r="E1807" t="inlineStr">
        <is>
          <t>HÄRJEDALEN</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4879-2025</t>
        </is>
      </c>
      <c r="B1808" s="1" t="n">
        <v>45688</v>
      </c>
      <c r="C1808" s="1" t="n">
        <v>45728</v>
      </c>
      <c r="D1808" t="inlineStr">
        <is>
          <t>JÄMTLANDS LÄN</t>
        </is>
      </c>
      <c r="E1808" t="inlineStr">
        <is>
          <t>HÄRJEDALEN</t>
        </is>
      </c>
      <c r="F1808" t="inlineStr">
        <is>
          <t>SCA</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4752-2025</t>
        </is>
      </c>
      <c r="B1809" s="1" t="n">
        <v>45688</v>
      </c>
      <c r="C1809" s="1" t="n">
        <v>45728</v>
      </c>
      <c r="D1809" t="inlineStr">
        <is>
          <t>JÄMTLANDS LÄN</t>
        </is>
      </c>
      <c r="E1809" t="inlineStr">
        <is>
          <t>HÄRJEDALEN</t>
        </is>
      </c>
      <c r="F1809" t="inlineStr">
        <is>
          <t>Bergvik skog väst AB</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5101-2025</t>
        </is>
      </c>
      <c r="B1810" s="1" t="n">
        <v>45691</v>
      </c>
      <c r="C1810" s="1" t="n">
        <v>45728</v>
      </c>
      <c r="D1810" t="inlineStr">
        <is>
          <t>JÄMTLANDS LÄN</t>
        </is>
      </c>
      <c r="E1810" t="inlineStr">
        <is>
          <t>HÄRJEDALEN</t>
        </is>
      </c>
      <c r="F1810" t="inlineStr">
        <is>
          <t>Holmen skog AB</t>
        </is>
      </c>
      <c r="G1810" t="n">
        <v>33.5</v>
      </c>
      <c r="H1810" t="n">
        <v>0</v>
      </c>
      <c r="I1810" t="n">
        <v>0</v>
      </c>
      <c r="J1810" t="n">
        <v>0</v>
      </c>
      <c r="K1810" t="n">
        <v>0</v>
      </c>
      <c r="L1810" t="n">
        <v>0</v>
      </c>
      <c r="M1810" t="n">
        <v>0</v>
      </c>
      <c r="N1810" t="n">
        <v>0</v>
      </c>
      <c r="O1810" t="n">
        <v>0</v>
      </c>
      <c r="P1810" t="n">
        <v>0</v>
      </c>
      <c r="Q1810" t="n">
        <v>0</v>
      </c>
      <c r="R1810" s="2" t="inlineStr"/>
    </row>
    <row r="1811" ht="15" customHeight="1">
      <c r="A1811" t="inlineStr">
        <is>
          <t>A 5113-2025</t>
        </is>
      </c>
      <c r="B1811" s="1" t="n">
        <v>45691</v>
      </c>
      <c r="C1811" s="1" t="n">
        <v>45728</v>
      </c>
      <c r="D1811" t="inlineStr">
        <is>
          <t>JÄMTLANDS LÄN</t>
        </is>
      </c>
      <c r="E1811" t="inlineStr">
        <is>
          <t>HÄRJEDALEN</t>
        </is>
      </c>
      <c r="F1811" t="inlineStr">
        <is>
          <t>Holmen skog AB</t>
        </is>
      </c>
      <c r="G1811" t="n">
        <v>25.9</v>
      </c>
      <c r="H1811" t="n">
        <v>0</v>
      </c>
      <c r="I1811" t="n">
        <v>0</v>
      </c>
      <c r="J1811" t="n">
        <v>0</v>
      </c>
      <c r="K1811" t="n">
        <v>0</v>
      </c>
      <c r="L1811" t="n">
        <v>0</v>
      </c>
      <c r="M1811" t="n">
        <v>0</v>
      </c>
      <c r="N1811" t="n">
        <v>0</v>
      </c>
      <c r="O1811" t="n">
        <v>0</v>
      </c>
      <c r="P1811" t="n">
        <v>0</v>
      </c>
      <c r="Q1811" t="n">
        <v>0</v>
      </c>
      <c r="R1811" s="2" t="inlineStr"/>
    </row>
    <row r="1812" ht="15" customHeight="1">
      <c r="A1812" t="inlineStr">
        <is>
          <t>A 5098-2025</t>
        </is>
      </c>
      <c r="B1812" s="1" t="n">
        <v>45691</v>
      </c>
      <c r="C1812" s="1" t="n">
        <v>45728</v>
      </c>
      <c r="D1812" t="inlineStr">
        <is>
          <t>JÄMTLANDS LÄN</t>
        </is>
      </c>
      <c r="E1812" t="inlineStr">
        <is>
          <t>HÄRJEDALEN</t>
        </is>
      </c>
      <c r="F1812" t="inlineStr">
        <is>
          <t>Holmen skog AB</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5102-2025</t>
        </is>
      </c>
      <c r="B1813" s="1" t="n">
        <v>45691</v>
      </c>
      <c r="C1813" s="1" t="n">
        <v>45728</v>
      </c>
      <c r="D1813" t="inlineStr">
        <is>
          <t>JÄMTLANDS LÄN</t>
        </is>
      </c>
      <c r="E1813" t="inlineStr">
        <is>
          <t>HÄRJEDALEN</t>
        </is>
      </c>
      <c r="F1813" t="inlineStr">
        <is>
          <t>Holmen skog AB</t>
        </is>
      </c>
      <c r="G1813" t="n">
        <v>19.3</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45728</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45728</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45728</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45728</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45728</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7384-2025</t>
        </is>
      </c>
      <c r="B1819" s="1" t="n">
        <v>45705</v>
      </c>
      <c r="C1819" s="1" t="n">
        <v>45728</v>
      </c>
      <c r="D1819" t="inlineStr">
        <is>
          <t>JÄMTLANDS LÄN</t>
        </is>
      </c>
      <c r="E1819" t="inlineStr">
        <is>
          <t>HÄRJEDALEN</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45728</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45728</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45728</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45728</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45728</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45728</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45728</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45728</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45728</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10010-2025</t>
        </is>
      </c>
      <c r="B1829" s="1" t="n">
        <v>45719</v>
      </c>
      <c r="C1829" s="1" t="n">
        <v>45728</v>
      </c>
      <c r="D1829" t="inlineStr">
        <is>
          <t>JÄMTLANDS LÄN</t>
        </is>
      </c>
      <c r="E1829" t="inlineStr">
        <is>
          <t>HÄRJEDALEN</t>
        </is>
      </c>
      <c r="G1829" t="n">
        <v>14.4</v>
      </c>
      <c r="H1829" t="n">
        <v>0</v>
      </c>
      <c r="I1829" t="n">
        <v>0</v>
      </c>
      <c r="J1829" t="n">
        <v>0</v>
      </c>
      <c r="K1829" t="n">
        <v>0</v>
      </c>
      <c r="L1829" t="n">
        <v>0</v>
      </c>
      <c r="M1829" t="n">
        <v>0</v>
      </c>
      <c r="N1829" t="n">
        <v>0</v>
      </c>
      <c r="O1829" t="n">
        <v>0</v>
      </c>
      <c r="P1829" t="n">
        <v>0</v>
      </c>
      <c r="Q1829" t="n">
        <v>0</v>
      </c>
      <c r="R1829" s="2" t="inlineStr"/>
    </row>
    <row r="1830" ht="15" customHeight="1">
      <c r="A1830" t="inlineStr">
        <is>
          <t>A 9980-2025</t>
        </is>
      </c>
      <c r="B1830" s="1" t="n">
        <v>45719</v>
      </c>
      <c r="C1830" s="1" t="n">
        <v>45728</v>
      </c>
      <c r="D1830" t="inlineStr">
        <is>
          <t>JÄMTLANDS LÄN</t>
        </is>
      </c>
      <c r="E1830" t="inlineStr">
        <is>
          <t>HÄRJEDALEN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45728</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10024-2025</t>
        </is>
      </c>
      <c r="B1832" s="1" t="n">
        <v>45719</v>
      </c>
      <c r="C1832" s="1" t="n">
        <v>45728</v>
      </c>
      <c r="D1832" t="inlineStr">
        <is>
          <t>JÄMTLANDS LÄN</t>
        </is>
      </c>
      <c r="E1832" t="inlineStr">
        <is>
          <t>HÄRJEDALEN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45728</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10591-2025</t>
        </is>
      </c>
      <c r="B1834" s="1" t="n">
        <v>45721</v>
      </c>
      <c r="C1834" s="1" t="n">
        <v>45728</v>
      </c>
      <c r="D1834" t="inlineStr">
        <is>
          <t>JÄMTLANDS LÄN</t>
        </is>
      </c>
      <c r="E1834" t="inlineStr">
        <is>
          <t>HÄRJEDALEN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45728</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10850-2025</t>
        </is>
      </c>
      <c r="B1836" s="1" t="n">
        <v>45722</v>
      </c>
      <c r="C1836" s="1" t="n">
        <v>45728</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row r="1837" ht="15" customHeight="1">
      <c r="A1837" t="inlineStr">
        <is>
          <t>A 11096-2025</t>
        </is>
      </c>
      <c r="B1837" s="1" t="n">
        <v>45723</v>
      </c>
      <c r="C1837" s="1" t="n">
        <v>45728</v>
      </c>
      <c r="D1837" t="inlineStr">
        <is>
          <t>JÄMTLANDS LÄN</t>
        </is>
      </c>
      <c r="E1837" t="inlineStr">
        <is>
          <t>HÄRJEDALEN</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11555-2025</t>
        </is>
      </c>
      <c r="B1838" s="1" t="n">
        <v>45727</v>
      </c>
      <c r="C1838" s="1" t="n">
        <v>45728</v>
      </c>
      <c r="D1838" t="inlineStr">
        <is>
          <t>JÄMTLANDS LÄN</t>
        </is>
      </c>
      <c r="E1838" t="inlineStr">
        <is>
          <t>HÄRJEDALEN</t>
        </is>
      </c>
      <c r="F1838" t="inlineStr">
        <is>
          <t>Bergvik skog väst AB</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11761-2025</t>
        </is>
      </c>
      <c r="B1839" s="1" t="n">
        <v>45727</v>
      </c>
      <c r="C1839" s="1" t="n">
        <v>45728</v>
      </c>
      <c r="D1839" t="inlineStr">
        <is>
          <t>JÄMTLANDS LÄN</t>
        </is>
      </c>
      <c r="E1839" t="inlineStr">
        <is>
          <t>HÄRJEDALEN</t>
        </is>
      </c>
      <c r="F1839" t="inlineStr">
        <is>
          <t>Kommuner</t>
        </is>
      </c>
      <c r="G1839" t="n">
        <v>0.5</v>
      </c>
      <c r="H1839" t="n">
        <v>0</v>
      </c>
      <c r="I1839" t="n">
        <v>0</v>
      </c>
      <c r="J1839" t="n">
        <v>0</v>
      </c>
      <c r="K1839" t="n">
        <v>0</v>
      </c>
      <c r="L1839" t="n">
        <v>0</v>
      </c>
      <c r="M1839" t="n">
        <v>0</v>
      </c>
      <c r="N1839" t="n">
        <v>0</v>
      </c>
      <c r="O1839" t="n">
        <v>0</v>
      </c>
      <c r="P1839" t="n">
        <v>0</v>
      </c>
      <c r="Q1839" t="n">
        <v>0</v>
      </c>
      <c r="R1839" s="2" t="inlineStr"/>
    </row>
    <row r="1840">
      <c r="A1840" t="inlineStr">
        <is>
          <t>A 11772-2025</t>
        </is>
      </c>
      <c r="B1840" s="1" t="n">
        <v>45727</v>
      </c>
      <c r="C1840" s="1" t="n">
        <v>45728</v>
      </c>
      <c r="D1840" t="inlineStr">
        <is>
          <t>JÄMTLANDS LÄN</t>
        </is>
      </c>
      <c r="E1840" t="inlineStr">
        <is>
          <t>HÄRJEDALEN</t>
        </is>
      </c>
      <c r="G1840" t="n">
        <v>1.3</v>
      </c>
      <c r="H1840" t="n">
        <v>0</v>
      </c>
      <c r="I1840" t="n">
        <v>0</v>
      </c>
      <c r="J1840" t="n">
        <v>0</v>
      </c>
      <c r="K1840" t="n">
        <v>0</v>
      </c>
      <c r="L1840" t="n">
        <v>0</v>
      </c>
      <c r="M1840" t="n">
        <v>0</v>
      </c>
      <c r="N1840" t="n">
        <v>0</v>
      </c>
      <c r="O1840" t="n">
        <v>0</v>
      </c>
      <c r="P1840" t="n">
        <v>0</v>
      </c>
      <c r="Q1840" t="n">
        <v>0</v>
      </c>
      <c r="R1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2025-03-12T16:40:53Z</dcterms:created>
  <dcterms:modified xmlns:dcterms="http://purl.org/dc/terms/" xmlns:xsi="http://www.w3.org/2001/XMLSchema-instance" xsi:type="dcterms:W3CDTF">2025-03-12T16:40:54Z</dcterms:modified>
</cp:coreProperties>
</file>