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45569</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45569</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45569</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45569</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45569</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45569</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45569</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45569</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45569</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45569</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45569</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45569</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45569</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45569</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45569</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45569</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45569</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45569</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45569</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45569</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45569</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45569</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45569</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45569</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45569</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45569</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45569</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45569</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45569</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45569</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45569</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45569</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45569</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45569</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45569</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45569</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45569</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45569</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45569</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45569</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45569</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45569</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45569</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45569</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45569</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45569</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45569</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45569</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45569</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45569</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45569</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45569</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45569</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45569</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45569</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45569</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43278-2024</t>
        </is>
      </c>
      <c r="B75" s="1" t="n">
        <v>45568</v>
      </c>
      <c r="C75" s="1" t="n">
        <v>45569</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25472-2019</t>
        </is>
      </c>
      <c r="B76" s="1" t="n">
        <v>43606</v>
      </c>
      <c r="C76" s="1" t="n">
        <v>45569</v>
      </c>
      <c r="D76" t="inlineStr">
        <is>
          <t>JÄMTLANDS LÄN</t>
        </is>
      </c>
      <c r="E76" t="inlineStr">
        <is>
          <t>HÄRJEDALEN</t>
        </is>
      </c>
      <c r="G76" t="n">
        <v>18.7</v>
      </c>
      <c r="H76" t="n">
        <v>0</v>
      </c>
      <c r="I76" t="n">
        <v>0</v>
      </c>
      <c r="J76" t="n">
        <v>4</v>
      </c>
      <c r="K76" t="n">
        <v>1</v>
      </c>
      <c r="L76" t="n">
        <v>0</v>
      </c>
      <c r="M76" t="n">
        <v>0</v>
      </c>
      <c r="N76" t="n">
        <v>0</v>
      </c>
      <c r="O76" t="n">
        <v>5</v>
      </c>
      <c r="P76" t="n">
        <v>1</v>
      </c>
      <c r="Q76" t="n">
        <v>5</v>
      </c>
      <c r="R76" s="2" t="inlineStr">
        <is>
          <t>Gräddporing
Dvärgbägarlav
Gammelgransskål
Garnlav
Skrovellav</t>
        </is>
      </c>
      <c r="S76">
        <f>HYPERLINK("https://klasma.github.io/Logging_2361/artfynd/A 25472-2019 artfynd.xlsx", "A 25472-2019")</f>
        <v/>
      </c>
      <c r="T76">
        <f>HYPERLINK("https://klasma.github.io/Logging_2361/kartor/A 25472-2019 karta.png", "A 25472-2019")</f>
        <v/>
      </c>
      <c r="V76">
        <f>HYPERLINK("https://klasma.github.io/Logging_2361/klagomål/A 25472-2019 FSC-klagomål.docx", "A 25472-2019")</f>
        <v/>
      </c>
      <c r="W76">
        <f>HYPERLINK("https://klasma.github.io/Logging_2361/klagomålsmail/A 25472-2019 FSC-klagomål mail.docx", "A 25472-2019")</f>
        <v/>
      </c>
      <c r="X76">
        <f>HYPERLINK("https://klasma.github.io/Logging_2361/tillsyn/A 25472-2019 tillsynsbegäran.docx", "A 25472-2019")</f>
        <v/>
      </c>
      <c r="Y76">
        <f>HYPERLINK("https://klasma.github.io/Logging_2361/tillsynsmail/A 25472-2019 tillsynsbegäran mail.docx", "A 25472-2019")</f>
        <v/>
      </c>
    </row>
    <row r="77" ht="15" customHeight="1">
      <c r="A77" t="inlineStr">
        <is>
          <t>A 14285-2021</t>
        </is>
      </c>
      <c r="B77" s="1" t="n">
        <v>44278</v>
      </c>
      <c r="C77" s="1" t="n">
        <v>45569</v>
      </c>
      <c r="D77" t="inlineStr">
        <is>
          <t>JÄMTLANDS LÄN</t>
        </is>
      </c>
      <c r="E77" t="inlineStr">
        <is>
          <t>HÄRJEDALEN</t>
        </is>
      </c>
      <c r="F77" t="inlineStr">
        <is>
          <t>Bergvik skog väst AB</t>
        </is>
      </c>
      <c r="G77" t="n">
        <v>31</v>
      </c>
      <c r="H77" t="n">
        <v>3</v>
      </c>
      <c r="I77" t="n">
        <v>0</v>
      </c>
      <c r="J77" t="n">
        <v>4</v>
      </c>
      <c r="K77" t="n">
        <v>0</v>
      </c>
      <c r="L77" t="n">
        <v>0</v>
      </c>
      <c r="M77" t="n">
        <v>0</v>
      </c>
      <c r="N77" t="n">
        <v>0</v>
      </c>
      <c r="O77" t="n">
        <v>4</v>
      </c>
      <c r="P77" t="n">
        <v>0</v>
      </c>
      <c r="Q77" t="n">
        <v>5</v>
      </c>
      <c r="R77" s="2" t="inlineStr">
        <is>
          <t>Garnlav
Granticka
Talltita
Tretåig hackspett
Lavskrika</t>
        </is>
      </c>
      <c r="S77">
        <f>HYPERLINK("https://klasma.github.io/Logging_2361/artfynd/A 14285-2021 artfynd.xlsx", "A 14285-2021")</f>
        <v/>
      </c>
      <c r="T77">
        <f>HYPERLINK("https://klasma.github.io/Logging_2361/kartor/A 14285-2021 karta.png", "A 14285-2021")</f>
        <v/>
      </c>
      <c r="V77">
        <f>HYPERLINK("https://klasma.github.io/Logging_2361/klagomål/A 14285-2021 FSC-klagomål.docx", "A 14285-2021")</f>
        <v/>
      </c>
      <c r="W77">
        <f>HYPERLINK("https://klasma.github.io/Logging_2361/klagomålsmail/A 14285-2021 FSC-klagomål mail.docx", "A 14285-2021")</f>
        <v/>
      </c>
      <c r="X77">
        <f>HYPERLINK("https://klasma.github.io/Logging_2361/tillsyn/A 14285-2021 tillsynsbegäran.docx", "A 14285-2021")</f>
        <v/>
      </c>
      <c r="Y77">
        <f>HYPERLINK("https://klasma.github.io/Logging_2361/tillsynsmail/A 14285-2021 tillsynsbegäran mail.docx", "A 14285-2021")</f>
        <v/>
      </c>
      <c r="Z77">
        <f>HYPERLINK("https://klasma.github.io/Logging_2361/fåglar/A 14285-2021 prioriterade fågelarter.docx", "A 14285-2021")</f>
        <v/>
      </c>
    </row>
    <row r="78" ht="15" customHeight="1">
      <c r="A78" t="inlineStr">
        <is>
          <t>A 65899-2021</t>
        </is>
      </c>
      <c r="B78" s="1" t="n">
        <v>44517</v>
      </c>
      <c r="C78" s="1" t="n">
        <v>45569</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62717-2022</t>
        </is>
      </c>
      <c r="B79" s="1" t="n">
        <v>44925</v>
      </c>
      <c r="C79" s="1" t="n">
        <v>45569</v>
      </c>
      <c r="D79" t="inlineStr">
        <is>
          <t>JÄMTLANDS LÄN</t>
        </is>
      </c>
      <c r="E79" t="inlineStr">
        <is>
          <t>HÄRJEDALEN</t>
        </is>
      </c>
      <c r="F79" t="inlineStr">
        <is>
          <t>Holmen skog AB</t>
        </is>
      </c>
      <c r="G79" t="n">
        <v>3.2</v>
      </c>
      <c r="H79" t="n">
        <v>1</v>
      </c>
      <c r="I79" t="n">
        <v>0</v>
      </c>
      <c r="J79" t="n">
        <v>4</v>
      </c>
      <c r="K79" t="n">
        <v>1</v>
      </c>
      <c r="L79" t="n">
        <v>0</v>
      </c>
      <c r="M79" t="n">
        <v>0</v>
      </c>
      <c r="N79" t="n">
        <v>0</v>
      </c>
      <c r="O79" t="n">
        <v>5</v>
      </c>
      <c r="P79" t="n">
        <v>1</v>
      </c>
      <c r="Q79" t="n">
        <v>5</v>
      </c>
      <c r="R79" s="2" t="inlineStr">
        <is>
          <t>Knärot
Garnlav
Kolflarnlav
Lunglav
Skrovellav</t>
        </is>
      </c>
      <c r="S79">
        <f>HYPERLINK("https://klasma.github.io/Logging_2361/artfynd/A 62717-2022 artfynd.xlsx", "A 62717-2022")</f>
        <v/>
      </c>
      <c r="T79">
        <f>HYPERLINK("https://klasma.github.io/Logging_2361/kartor/A 62717-2022 karta.png", "A 62717-2022")</f>
        <v/>
      </c>
      <c r="U79">
        <f>HYPERLINK("https://klasma.github.io/Logging_2361/knärot/A 62717-2022 karta knärot.png", "A 62717-2022")</f>
        <v/>
      </c>
      <c r="V79">
        <f>HYPERLINK("https://klasma.github.io/Logging_2361/klagomål/A 62717-2022 FSC-klagomål.docx", "A 62717-2022")</f>
        <v/>
      </c>
      <c r="W79">
        <f>HYPERLINK("https://klasma.github.io/Logging_2361/klagomålsmail/A 62717-2022 FSC-klagomål mail.docx", "A 62717-2022")</f>
        <v/>
      </c>
      <c r="X79">
        <f>HYPERLINK("https://klasma.github.io/Logging_2361/tillsyn/A 62717-2022 tillsynsbegäran.docx", "A 62717-2022")</f>
        <v/>
      </c>
      <c r="Y79">
        <f>HYPERLINK("https://klasma.github.io/Logging_2361/tillsynsmail/A 62717-2022 tillsynsbegäran mail.docx", "A 62717-2022")</f>
        <v/>
      </c>
    </row>
    <row r="80" ht="15" customHeight="1">
      <c r="A80" t="inlineStr">
        <is>
          <t>A 19623-2024</t>
        </is>
      </c>
      <c r="B80" s="1" t="n">
        <v>45432</v>
      </c>
      <c r="C80" s="1" t="n">
        <v>45569</v>
      </c>
      <c r="D80" t="inlineStr">
        <is>
          <t>JÄMTLANDS LÄN</t>
        </is>
      </c>
      <c r="E80" t="inlineStr">
        <is>
          <t>HÄRJEDALEN</t>
        </is>
      </c>
      <c r="G80" t="n">
        <v>11.7</v>
      </c>
      <c r="H80" t="n">
        <v>1</v>
      </c>
      <c r="I80" t="n">
        <v>1</v>
      </c>
      <c r="J80" t="n">
        <v>2</v>
      </c>
      <c r="K80" t="n">
        <v>2</v>
      </c>
      <c r="L80" t="n">
        <v>0</v>
      </c>
      <c r="M80" t="n">
        <v>0</v>
      </c>
      <c r="N80" t="n">
        <v>0</v>
      </c>
      <c r="O80" t="n">
        <v>4</v>
      </c>
      <c r="P80" t="n">
        <v>2</v>
      </c>
      <c r="Q80" t="n">
        <v>5</v>
      </c>
      <c r="R80" s="2" t="inlineStr">
        <is>
          <t>Gräddporing
Knärot
Blå taggsvamp
Slåtterfibbla
Mörk husmossa</t>
        </is>
      </c>
      <c r="S80">
        <f>HYPERLINK("https://klasma.github.io/Logging_2361/artfynd/A 19623-2024 artfynd.xlsx", "A 19623-2024")</f>
        <v/>
      </c>
      <c r="T80">
        <f>HYPERLINK("https://klasma.github.io/Logging_2361/kartor/A 19623-2024 karta.png", "A 19623-2024")</f>
        <v/>
      </c>
      <c r="U80">
        <f>HYPERLINK("https://klasma.github.io/Logging_2361/knärot/A 19623-2024 karta knärot.png", "A 19623-2024")</f>
        <v/>
      </c>
      <c r="V80">
        <f>HYPERLINK("https://klasma.github.io/Logging_2361/klagomål/A 19623-2024 FSC-klagomål.docx", "A 19623-2024")</f>
        <v/>
      </c>
      <c r="W80">
        <f>HYPERLINK("https://klasma.github.io/Logging_2361/klagomålsmail/A 19623-2024 FSC-klagomål mail.docx", "A 19623-2024")</f>
        <v/>
      </c>
      <c r="X80">
        <f>HYPERLINK("https://klasma.github.io/Logging_2361/tillsyn/A 19623-2024 tillsynsbegäran.docx", "A 19623-2024")</f>
        <v/>
      </c>
      <c r="Y80">
        <f>HYPERLINK("https://klasma.github.io/Logging_2361/tillsynsmail/A 19623-2024 tillsynsbegäran mail.docx", "A 19623-2024")</f>
        <v/>
      </c>
    </row>
    <row r="81" ht="15" customHeight="1">
      <c r="A81" t="inlineStr">
        <is>
          <t>A 19799-2024</t>
        </is>
      </c>
      <c r="B81" s="1" t="n">
        <v>45433</v>
      </c>
      <c r="C81" s="1" t="n">
        <v>45569</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36053-2024</t>
        </is>
      </c>
      <c r="B82" s="1" t="n">
        <v>45533</v>
      </c>
      <c r="C82" s="1" t="n">
        <v>45569</v>
      </c>
      <c r="D82" t="inlineStr">
        <is>
          <t>JÄMTLANDS LÄN</t>
        </is>
      </c>
      <c r="E82" t="inlineStr">
        <is>
          <t>HÄRJEDALEN</t>
        </is>
      </c>
      <c r="F82" t="inlineStr">
        <is>
          <t>Sveaskog</t>
        </is>
      </c>
      <c r="G82" t="n">
        <v>7.3</v>
      </c>
      <c r="H82" t="n">
        <v>0</v>
      </c>
      <c r="I82" t="n">
        <v>1</v>
      </c>
      <c r="J82" t="n">
        <v>4</v>
      </c>
      <c r="K82" t="n">
        <v>0</v>
      </c>
      <c r="L82" t="n">
        <v>0</v>
      </c>
      <c r="M82" t="n">
        <v>0</v>
      </c>
      <c r="N82" t="n">
        <v>0</v>
      </c>
      <c r="O82" t="n">
        <v>4</v>
      </c>
      <c r="P82" t="n">
        <v>0</v>
      </c>
      <c r="Q82" t="n">
        <v>5</v>
      </c>
      <c r="R82" s="2" t="inlineStr">
        <is>
          <t>Dvärgbägarlav
Kolflarnlav
Motaggsvamp
Mörk kolflarnlav
Dropptaggsvamp</t>
        </is>
      </c>
      <c r="S82">
        <f>HYPERLINK("https://klasma.github.io/Logging_2361/artfynd/A 36053-2024 artfynd.xlsx", "A 36053-2024")</f>
        <v/>
      </c>
      <c r="T82">
        <f>HYPERLINK("https://klasma.github.io/Logging_2361/kartor/A 36053-2024 karta.png", "A 36053-2024")</f>
        <v/>
      </c>
      <c r="V82">
        <f>HYPERLINK("https://klasma.github.io/Logging_2361/klagomål/A 36053-2024 FSC-klagomål.docx", "A 36053-2024")</f>
        <v/>
      </c>
      <c r="W82">
        <f>HYPERLINK("https://klasma.github.io/Logging_2361/klagomålsmail/A 36053-2024 FSC-klagomål mail.docx", "A 36053-2024")</f>
        <v/>
      </c>
      <c r="X82">
        <f>HYPERLINK("https://klasma.github.io/Logging_2361/tillsyn/A 36053-2024 tillsynsbegäran.docx", "A 36053-2024")</f>
        <v/>
      </c>
      <c r="Y82">
        <f>HYPERLINK("https://klasma.github.io/Logging_2361/tillsynsmail/A 36053-2024 tillsynsbegäran mail.docx", "A 36053-2024")</f>
        <v/>
      </c>
    </row>
    <row r="83" ht="15" customHeight="1">
      <c r="A83" t="inlineStr">
        <is>
          <t>A 63750-2019</t>
        </is>
      </c>
      <c r="B83" s="1" t="n">
        <v>43795</v>
      </c>
      <c r="C83" s="1" t="n">
        <v>45569</v>
      </c>
      <c r="D83" t="inlineStr">
        <is>
          <t>JÄMTLANDS LÄN</t>
        </is>
      </c>
      <c r="E83" t="inlineStr">
        <is>
          <t>HÄRJEDALEN</t>
        </is>
      </c>
      <c r="F83" t="inlineStr">
        <is>
          <t>Sveaskog</t>
        </is>
      </c>
      <c r="G83" t="n">
        <v>5.6</v>
      </c>
      <c r="H83" t="n">
        <v>1</v>
      </c>
      <c r="I83" t="n">
        <v>1</v>
      </c>
      <c r="J83" t="n">
        <v>2</v>
      </c>
      <c r="K83" t="n">
        <v>0</v>
      </c>
      <c r="L83" t="n">
        <v>0</v>
      </c>
      <c r="M83" t="n">
        <v>0</v>
      </c>
      <c r="N83" t="n">
        <v>0</v>
      </c>
      <c r="O83" t="n">
        <v>2</v>
      </c>
      <c r="P83" t="n">
        <v>0</v>
      </c>
      <c r="Q83" t="n">
        <v>4</v>
      </c>
      <c r="R83" s="2" t="inlineStr">
        <is>
          <t>Garnlav
Lunglav
Stuplav
Revlummer</t>
        </is>
      </c>
      <c r="S83">
        <f>HYPERLINK("https://klasma.github.io/Logging_2361/artfynd/A 63750-2019 artfynd.xlsx", "A 63750-2019")</f>
        <v/>
      </c>
      <c r="T83">
        <f>HYPERLINK("https://klasma.github.io/Logging_2361/kartor/A 63750-2019 karta.png", "A 63750-2019")</f>
        <v/>
      </c>
      <c r="V83">
        <f>HYPERLINK("https://klasma.github.io/Logging_2361/klagomål/A 63750-2019 FSC-klagomål.docx", "A 63750-2019")</f>
        <v/>
      </c>
      <c r="W83">
        <f>HYPERLINK("https://klasma.github.io/Logging_2361/klagomålsmail/A 63750-2019 FSC-klagomål mail.docx", "A 63750-2019")</f>
        <v/>
      </c>
      <c r="X83">
        <f>HYPERLINK("https://klasma.github.io/Logging_2361/tillsyn/A 63750-2019 tillsynsbegäran.docx", "A 63750-2019")</f>
        <v/>
      </c>
      <c r="Y83">
        <f>HYPERLINK("https://klasma.github.io/Logging_2361/tillsynsmail/A 63750-2019 tillsynsbegäran mail.docx", "A 63750-2019")</f>
        <v/>
      </c>
    </row>
    <row r="84" ht="15" customHeight="1">
      <c r="A84" t="inlineStr">
        <is>
          <t>A 16680-2021</t>
        </is>
      </c>
      <c r="B84" s="1" t="n">
        <v>44294</v>
      </c>
      <c r="C84" s="1" t="n">
        <v>45569</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16691-2021</t>
        </is>
      </c>
      <c r="B85" s="1" t="n">
        <v>44294</v>
      </c>
      <c r="C85" s="1" t="n">
        <v>45569</v>
      </c>
      <c r="D85" t="inlineStr">
        <is>
          <t>JÄMTLANDS LÄN</t>
        </is>
      </c>
      <c r="E85" t="inlineStr">
        <is>
          <t>HÄRJEDALEN</t>
        </is>
      </c>
      <c r="G85" t="n">
        <v>4.2</v>
      </c>
      <c r="H85" t="n">
        <v>0</v>
      </c>
      <c r="I85" t="n">
        <v>1</v>
      </c>
      <c r="J85" t="n">
        <v>3</v>
      </c>
      <c r="K85" t="n">
        <v>0</v>
      </c>
      <c r="L85" t="n">
        <v>0</v>
      </c>
      <c r="M85" t="n">
        <v>0</v>
      </c>
      <c r="N85" t="n">
        <v>0</v>
      </c>
      <c r="O85" t="n">
        <v>3</v>
      </c>
      <c r="P85" t="n">
        <v>0</v>
      </c>
      <c r="Q85" t="n">
        <v>4</v>
      </c>
      <c r="R85" s="2" t="inlineStr">
        <is>
          <t>Granticka
Knottrig blåslav
Vitgrynig nållav
Kornig nållav</t>
        </is>
      </c>
      <c r="S85">
        <f>HYPERLINK("https://klasma.github.io/Logging_2361/artfynd/A 16691-2021 artfynd.xlsx", "A 16691-2021")</f>
        <v/>
      </c>
      <c r="T85">
        <f>HYPERLINK("https://klasma.github.io/Logging_2361/kartor/A 16691-2021 karta.png", "A 16691-2021")</f>
        <v/>
      </c>
      <c r="V85">
        <f>HYPERLINK("https://klasma.github.io/Logging_2361/klagomål/A 16691-2021 FSC-klagomål.docx", "A 16691-2021")</f>
        <v/>
      </c>
      <c r="W85">
        <f>HYPERLINK("https://klasma.github.io/Logging_2361/klagomålsmail/A 16691-2021 FSC-klagomål mail.docx", "A 16691-2021")</f>
        <v/>
      </c>
      <c r="X85">
        <f>HYPERLINK("https://klasma.github.io/Logging_2361/tillsyn/A 16691-2021 tillsynsbegäran.docx", "A 16691-2021")</f>
        <v/>
      </c>
      <c r="Y85">
        <f>HYPERLINK("https://klasma.github.io/Logging_2361/tillsynsmail/A 16691-2021 tillsynsbegäran mail.docx", "A 16691-2021")</f>
        <v/>
      </c>
    </row>
    <row r="86" ht="15" customHeight="1">
      <c r="A86" t="inlineStr">
        <is>
          <t>A 54420-2021</t>
        </is>
      </c>
      <c r="B86" s="1" t="n">
        <v>44473</v>
      </c>
      <c r="C86" s="1" t="n">
        <v>45569</v>
      </c>
      <c r="D86" t="inlineStr">
        <is>
          <t>JÄMTLANDS LÄN</t>
        </is>
      </c>
      <c r="E86" t="inlineStr">
        <is>
          <t>HÄRJEDALEN</t>
        </is>
      </c>
      <c r="F86" t="inlineStr">
        <is>
          <t>Bergvik skog väst AB</t>
        </is>
      </c>
      <c r="G86" t="n">
        <v>18.5</v>
      </c>
      <c r="H86" t="n">
        <v>2</v>
      </c>
      <c r="I86" t="n">
        <v>0</v>
      </c>
      <c r="J86" t="n">
        <v>2</v>
      </c>
      <c r="K86" t="n">
        <v>1</v>
      </c>
      <c r="L86" t="n">
        <v>0</v>
      </c>
      <c r="M86" t="n">
        <v>0</v>
      </c>
      <c r="N86" t="n">
        <v>0</v>
      </c>
      <c r="O86" t="n">
        <v>3</v>
      </c>
      <c r="P86" t="n">
        <v>1</v>
      </c>
      <c r="Q86" t="n">
        <v>4</v>
      </c>
      <c r="R86" s="2" t="inlineStr">
        <is>
          <t>Knärot
Lunglav
Skrovellav
Fläcknycklar</t>
        </is>
      </c>
      <c r="S86">
        <f>HYPERLINK("https://klasma.github.io/Logging_2361/artfynd/A 54420-2021 artfynd.xlsx", "A 54420-2021")</f>
        <v/>
      </c>
      <c r="T86">
        <f>HYPERLINK("https://klasma.github.io/Logging_2361/kartor/A 54420-2021 karta.png", "A 54420-2021")</f>
        <v/>
      </c>
      <c r="U86">
        <f>HYPERLINK("https://klasma.github.io/Logging_2361/knärot/A 54420-2021 karta knärot.png", "A 54420-2021")</f>
        <v/>
      </c>
      <c r="V86">
        <f>HYPERLINK("https://klasma.github.io/Logging_2361/klagomål/A 54420-2021 FSC-klagomål.docx", "A 54420-2021")</f>
        <v/>
      </c>
      <c r="W86">
        <f>HYPERLINK("https://klasma.github.io/Logging_2361/klagomålsmail/A 54420-2021 FSC-klagomål mail.docx", "A 54420-2021")</f>
        <v/>
      </c>
      <c r="X86">
        <f>HYPERLINK("https://klasma.github.io/Logging_2361/tillsyn/A 54420-2021 tillsynsbegäran.docx", "A 54420-2021")</f>
        <v/>
      </c>
      <c r="Y86">
        <f>HYPERLINK("https://klasma.github.io/Logging_2361/tillsynsmail/A 54420-2021 tillsynsbegäran mail.docx", "A 54420-2021")</f>
        <v/>
      </c>
    </row>
    <row r="87" ht="15" customHeight="1">
      <c r="A87" t="inlineStr">
        <is>
          <t>A 55641-2021</t>
        </is>
      </c>
      <c r="B87" s="1" t="n">
        <v>44476</v>
      </c>
      <c r="C87" s="1" t="n">
        <v>45569</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42576-2022</t>
        </is>
      </c>
      <c r="B88" s="1" t="n">
        <v>44831</v>
      </c>
      <c r="C88" s="1" t="n">
        <v>45569</v>
      </c>
      <c r="D88" t="inlineStr">
        <is>
          <t>JÄMTLANDS LÄN</t>
        </is>
      </c>
      <c r="E88" t="inlineStr">
        <is>
          <t>HÄRJEDALEN</t>
        </is>
      </c>
      <c r="F88" t="inlineStr">
        <is>
          <t>Sveaskog</t>
        </is>
      </c>
      <c r="G88" t="n">
        <v>24.4</v>
      </c>
      <c r="H88" t="n">
        <v>3</v>
      </c>
      <c r="I88" t="n">
        <v>3</v>
      </c>
      <c r="J88" t="n">
        <v>0</v>
      </c>
      <c r="K88" t="n">
        <v>1</v>
      </c>
      <c r="L88" t="n">
        <v>0</v>
      </c>
      <c r="M88" t="n">
        <v>0</v>
      </c>
      <c r="N88" t="n">
        <v>0</v>
      </c>
      <c r="O88" t="n">
        <v>1</v>
      </c>
      <c r="P88" t="n">
        <v>1</v>
      </c>
      <c r="Q88" t="n">
        <v>4</v>
      </c>
      <c r="R88" s="2" t="inlineStr">
        <is>
          <t>Knärot
Skarp dropptaggsvamp
Spindelblomster
Tvåblad</t>
        </is>
      </c>
      <c r="S88">
        <f>HYPERLINK("https://klasma.github.io/Logging_2361/artfynd/A 42576-2022 artfynd.xlsx", "A 42576-2022")</f>
        <v/>
      </c>
      <c r="T88">
        <f>HYPERLINK("https://klasma.github.io/Logging_2361/kartor/A 42576-2022 karta.png", "A 42576-2022")</f>
        <v/>
      </c>
      <c r="U88">
        <f>HYPERLINK("https://klasma.github.io/Logging_2361/knärot/A 42576-2022 karta knärot.png", "A 42576-2022")</f>
        <v/>
      </c>
      <c r="V88">
        <f>HYPERLINK("https://klasma.github.io/Logging_2361/klagomål/A 42576-2022 FSC-klagomål.docx", "A 42576-2022")</f>
        <v/>
      </c>
      <c r="W88">
        <f>HYPERLINK("https://klasma.github.io/Logging_2361/klagomålsmail/A 42576-2022 FSC-klagomål mail.docx", "A 42576-2022")</f>
        <v/>
      </c>
      <c r="X88">
        <f>HYPERLINK("https://klasma.github.io/Logging_2361/tillsyn/A 42576-2022 tillsynsbegäran.docx", "A 42576-2022")</f>
        <v/>
      </c>
      <c r="Y88">
        <f>HYPERLINK("https://klasma.github.io/Logging_2361/tillsynsmail/A 42576-2022 tillsynsbegäran mail.docx", "A 42576-2022")</f>
        <v/>
      </c>
    </row>
    <row r="89" ht="15" customHeight="1">
      <c r="A89" t="inlineStr">
        <is>
          <t>A 4757-2023</t>
        </is>
      </c>
      <c r="B89" s="1" t="n">
        <v>44957</v>
      </c>
      <c r="C89" s="1" t="n">
        <v>45569</v>
      </c>
      <c r="D89" t="inlineStr">
        <is>
          <t>JÄMTLANDS LÄN</t>
        </is>
      </c>
      <c r="E89" t="inlineStr">
        <is>
          <t>HÄRJEDALEN</t>
        </is>
      </c>
      <c r="G89" t="n">
        <v>21.3</v>
      </c>
      <c r="H89" t="n">
        <v>1</v>
      </c>
      <c r="I89" t="n">
        <v>0</v>
      </c>
      <c r="J89" t="n">
        <v>3</v>
      </c>
      <c r="K89" t="n">
        <v>1</v>
      </c>
      <c r="L89" t="n">
        <v>0</v>
      </c>
      <c r="M89" t="n">
        <v>0</v>
      </c>
      <c r="N89" t="n">
        <v>0</v>
      </c>
      <c r="O89" t="n">
        <v>4</v>
      </c>
      <c r="P89" t="n">
        <v>1</v>
      </c>
      <c r="Q89" t="n">
        <v>4</v>
      </c>
      <c r="R89" s="2" t="inlineStr">
        <is>
          <t>Sprickporing
Garnlav
Granticka
Tretåig hackspett</t>
        </is>
      </c>
      <c r="S89">
        <f>HYPERLINK("https://klasma.github.io/Logging_2361/artfynd/A 4757-2023 artfynd.xlsx", "A 4757-2023")</f>
        <v/>
      </c>
      <c r="T89">
        <f>HYPERLINK("https://klasma.github.io/Logging_2361/kartor/A 4757-2023 karta.png", "A 4757-2023")</f>
        <v/>
      </c>
      <c r="V89">
        <f>HYPERLINK("https://klasma.github.io/Logging_2361/klagomål/A 4757-2023 FSC-klagomål.docx", "A 4757-2023")</f>
        <v/>
      </c>
      <c r="W89">
        <f>HYPERLINK("https://klasma.github.io/Logging_2361/klagomålsmail/A 4757-2023 FSC-klagomål mail.docx", "A 4757-2023")</f>
        <v/>
      </c>
      <c r="X89">
        <f>HYPERLINK("https://klasma.github.io/Logging_2361/tillsyn/A 4757-2023 tillsynsbegäran.docx", "A 4757-2023")</f>
        <v/>
      </c>
      <c r="Y89">
        <f>HYPERLINK("https://klasma.github.io/Logging_2361/tillsynsmail/A 4757-2023 tillsynsbegäran mail.docx", "A 4757-2023")</f>
        <v/>
      </c>
      <c r="Z89">
        <f>HYPERLINK("https://klasma.github.io/Logging_2361/fåglar/A 4757-2023 prioriterade fågelarter.docx", "A 4757-2023")</f>
        <v/>
      </c>
    </row>
    <row r="90" ht="15" customHeight="1">
      <c r="A90" t="inlineStr">
        <is>
          <t>A 8587-2023</t>
        </is>
      </c>
      <c r="B90" s="1" t="n">
        <v>44977</v>
      </c>
      <c r="C90" s="1" t="n">
        <v>45569</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14059-2023</t>
        </is>
      </c>
      <c r="B91" s="1" t="n">
        <v>45007</v>
      </c>
      <c r="C91" s="1" t="n">
        <v>45569</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24955-2023</t>
        </is>
      </c>
      <c r="B92" s="1" t="n">
        <v>45085</v>
      </c>
      <c r="C92" s="1" t="n">
        <v>45569</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29829-2023</t>
        </is>
      </c>
      <c r="B93" s="1" t="n">
        <v>45107</v>
      </c>
      <c r="C93" s="1" t="n">
        <v>45569</v>
      </c>
      <c r="D93" t="inlineStr">
        <is>
          <t>JÄMTLANDS LÄN</t>
        </is>
      </c>
      <c r="E93" t="inlineStr">
        <is>
          <t>HÄRJEDALEN</t>
        </is>
      </c>
      <c r="G93" t="n">
        <v>29.4</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HYPERLINK("https://klasma.github.io/Logging_2361/artfynd/A 29829-2023 artfynd.xlsx", "A 29829-2023")</f>
        <v/>
      </c>
      <c r="T93">
        <f>HYPERLINK("https://klasma.github.io/Logging_2361/kartor/A 29829-2023 karta.png", "A 29829-2023")</f>
        <v/>
      </c>
      <c r="V93">
        <f>HYPERLINK("https://klasma.github.io/Logging_2361/klagomål/A 29829-2023 FSC-klagomål.docx", "A 29829-2023")</f>
        <v/>
      </c>
      <c r="W93">
        <f>HYPERLINK("https://klasma.github.io/Logging_2361/klagomålsmail/A 29829-2023 FSC-klagomål mail.docx", "A 29829-2023")</f>
        <v/>
      </c>
      <c r="X93">
        <f>HYPERLINK("https://klasma.github.io/Logging_2361/tillsyn/A 29829-2023 tillsynsbegäran.docx", "A 29829-2023")</f>
        <v/>
      </c>
      <c r="Y93">
        <f>HYPERLINK("https://klasma.github.io/Logging_2361/tillsynsmail/A 29829-2023 tillsynsbegäran mail.docx", "A 29829-2023")</f>
        <v/>
      </c>
      <c r="Z93">
        <f>HYPERLINK("https://klasma.github.io/Logging_2361/fåglar/A 29829-2023 prioriterade fågelarter.docx", "A 29829-2023")</f>
        <v/>
      </c>
    </row>
    <row r="94" ht="15" customHeight="1">
      <c r="A94" t="inlineStr">
        <is>
          <t>A 39925-2023</t>
        </is>
      </c>
      <c r="B94" s="1" t="n">
        <v>45168</v>
      </c>
      <c r="C94" s="1" t="n">
        <v>45569</v>
      </c>
      <c r="D94" t="inlineStr">
        <is>
          <t>JÄMTLANDS LÄN</t>
        </is>
      </c>
      <c r="E94" t="inlineStr">
        <is>
          <t>HÄRJEDALEN</t>
        </is>
      </c>
      <c r="F94" t="inlineStr">
        <is>
          <t>Sveaskog</t>
        </is>
      </c>
      <c r="G94" t="n">
        <v>25.6</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39925-2023 artfynd.xlsx", "A 39925-2023")</f>
        <v/>
      </c>
      <c r="T94">
        <f>HYPERLINK("https://klasma.github.io/Logging_2361/kartor/A 39925-2023 karta.png", "A 39925-2023")</f>
        <v/>
      </c>
      <c r="V94">
        <f>HYPERLINK("https://klasma.github.io/Logging_2361/klagomål/A 39925-2023 FSC-klagomål.docx", "A 39925-2023")</f>
        <v/>
      </c>
      <c r="W94">
        <f>HYPERLINK("https://klasma.github.io/Logging_2361/klagomålsmail/A 39925-2023 FSC-klagomål mail.docx", "A 39925-2023")</f>
        <v/>
      </c>
      <c r="X94">
        <f>HYPERLINK("https://klasma.github.io/Logging_2361/tillsyn/A 39925-2023 tillsynsbegäran.docx", "A 39925-2023")</f>
        <v/>
      </c>
      <c r="Y94">
        <f>HYPERLINK("https://klasma.github.io/Logging_2361/tillsynsmail/A 39925-2023 tillsynsbegäran mail.docx", "A 39925-2023")</f>
        <v/>
      </c>
    </row>
    <row r="95" ht="15" customHeight="1">
      <c r="A95" t="inlineStr">
        <is>
          <t>A 46228-2023</t>
        </is>
      </c>
      <c r="B95" s="1" t="n">
        <v>45196</v>
      </c>
      <c r="C95" s="1" t="n">
        <v>45569</v>
      </c>
      <c r="D95" t="inlineStr">
        <is>
          <t>JÄMTLANDS LÄN</t>
        </is>
      </c>
      <c r="E95" t="inlineStr">
        <is>
          <t>HÄRJEDALEN</t>
        </is>
      </c>
      <c r="F95" t="inlineStr">
        <is>
          <t>Sveaskog</t>
        </is>
      </c>
      <c r="G95" t="n">
        <v>9.4</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HYPERLINK("https://klasma.github.io/Logging_2361/artfynd/A 46228-2023 artfynd.xlsx", "A 46228-2023")</f>
        <v/>
      </c>
      <c r="T95">
        <f>HYPERLINK("https://klasma.github.io/Logging_2361/kartor/A 46228-2023 karta.png", "A 46228-2023")</f>
        <v/>
      </c>
      <c r="V95">
        <f>HYPERLINK("https://klasma.github.io/Logging_2361/klagomål/A 46228-2023 FSC-klagomål.docx", "A 46228-2023")</f>
        <v/>
      </c>
      <c r="W95">
        <f>HYPERLINK("https://klasma.github.io/Logging_2361/klagomålsmail/A 46228-2023 FSC-klagomål mail.docx", "A 46228-2023")</f>
        <v/>
      </c>
      <c r="X95">
        <f>HYPERLINK("https://klasma.github.io/Logging_2361/tillsyn/A 46228-2023 tillsynsbegäran.docx", "A 46228-2023")</f>
        <v/>
      </c>
      <c r="Y95">
        <f>HYPERLINK("https://klasma.github.io/Logging_2361/tillsynsmail/A 46228-2023 tillsynsbegäran mail.docx", "A 46228-2023")</f>
        <v/>
      </c>
    </row>
    <row r="96" ht="15" customHeight="1">
      <c r="A96" t="inlineStr">
        <is>
          <t>A 46230-2023</t>
        </is>
      </c>
      <c r="B96" s="1" t="n">
        <v>45196</v>
      </c>
      <c r="C96" s="1" t="n">
        <v>45569</v>
      </c>
      <c r="D96" t="inlineStr">
        <is>
          <t>JÄMTLANDS LÄN</t>
        </is>
      </c>
      <c r="E96" t="inlineStr">
        <is>
          <t>HÄRJEDALEN</t>
        </is>
      </c>
      <c r="F96" t="inlineStr">
        <is>
          <t>Sveaskog</t>
        </is>
      </c>
      <c r="G96" t="n">
        <v>3.8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46230-2023 artfynd.xlsx", "A 46230-2023")</f>
        <v/>
      </c>
      <c r="T96">
        <f>HYPERLINK("https://klasma.github.io/Logging_2361/kartor/A 46230-2023 karta.png", "A 46230-2023")</f>
        <v/>
      </c>
      <c r="V96">
        <f>HYPERLINK("https://klasma.github.io/Logging_2361/klagomål/A 46230-2023 FSC-klagomål.docx", "A 46230-2023")</f>
        <v/>
      </c>
      <c r="W96">
        <f>HYPERLINK("https://klasma.github.io/Logging_2361/klagomålsmail/A 46230-2023 FSC-klagomål mail.docx", "A 46230-2023")</f>
        <v/>
      </c>
      <c r="X96">
        <f>HYPERLINK("https://klasma.github.io/Logging_2361/tillsyn/A 46230-2023 tillsynsbegäran.docx", "A 46230-2023")</f>
        <v/>
      </c>
      <c r="Y96">
        <f>HYPERLINK("https://klasma.github.io/Logging_2361/tillsynsmail/A 46230-2023 tillsynsbegäran mail.docx", "A 46230-2023")</f>
        <v/>
      </c>
    </row>
    <row r="97" ht="15" customHeight="1">
      <c r="A97" t="inlineStr">
        <is>
          <t>A 16549-2024</t>
        </is>
      </c>
      <c r="B97" s="1" t="n">
        <v>45408</v>
      </c>
      <c r="C97" s="1" t="n">
        <v>45569</v>
      </c>
      <c r="D97" t="inlineStr">
        <is>
          <t>JÄMTLANDS LÄN</t>
        </is>
      </c>
      <c r="E97" t="inlineStr">
        <is>
          <t>HÄRJEDALEN</t>
        </is>
      </c>
      <c r="G97" t="n">
        <v>3.5</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16549-2024 artfynd.xlsx", "A 16549-2024")</f>
        <v/>
      </c>
      <c r="T97">
        <f>HYPERLINK("https://klasma.github.io/Logging_2361/kartor/A 16549-2024 karta.png", "A 16549-2024")</f>
        <v/>
      </c>
      <c r="V97">
        <f>HYPERLINK("https://klasma.github.io/Logging_2361/klagomål/A 16549-2024 FSC-klagomål.docx", "A 16549-2024")</f>
        <v/>
      </c>
      <c r="W97">
        <f>HYPERLINK("https://klasma.github.io/Logging_2361/klagomålsmail/A 16549-2024 FSC-klagomål mail.docx", "A 16549-2024")</f>
        <v/>
      </c>
      <c r="X97">
        <f>HYPERLINK("https://klasma.github.io/Logging_2361/tillsyn/A 16549-2024 tillsynsbegäran.docx", "A 16549-2024")</f>
        <v/>
      </c>
      <c r="Y97">
        <f>HYPERLINK("https://klasma.github.io/Logging_2361/tillsynsmail/A 16549-2024 tillsynsbegäran mail.docx", "A 16549-2024")</f>
        <v/>
      </c>
    </row>
    <row r="98" ht="15" customHeight="1">
      <c r="A98" t="inlineStr">
        <is>
          <t>A 19965-2024</t>
        </is>
      </c>
      <c r="B98" s="1" t="n">
        <v>45433</v>
      </c>
      <c r="C98" s="1" t="n">
        <v>45569</v>
      </c>
      <c r="D98" t="inlineStr">
        <is>
          <t>JÄMTLANDS LÄN</t>
        </is>
      </c>
      <c r="E98" t="inlineStr">
        <is>
          <t>HÄRJEDALEN</t>
        </is>
      </c>
      <c r="F98" t="inlineStr">
        <is>
          <t>Sveaskog</t>
        </is>
      </c>
      <c r="G98" t="n">
        <v>15</v>
      </c>
      <c r="H98" t="n">
        <v>0</v>
      </c>
      <c r="I98" t="n">
        <v>1</v>
      </c>
      <c r="J98" t="n">
        <v>3</v>
      </c>
      <c r="K98" t="n">
        <v>0</v>
      </c>
      <c r="L98" t="n">
        <v>0</v>
      </c>
      <c r="M98" t="n">
        <v>0</v>
      </c>
      <c r="N98" t="n">
        <v>0</v>
      </c>
      <c r="O98" t="n">
        <v>3</v>
      </c>
      <c r="P98" t="n">
        <v>0</v>
      </c>
      <c r="Q98" t="n">
        <v>4</v>
      </c>
      <c r="R98" s="2" t="inlineStr">
        <is>
          <t>Kolflarnlav
Motaggsvamp
Vedflamlav
Dropptaggsvamp</t>
        </is>
      </c>
      <c r="S98">
        <f>HYPERLINK("https://klasma.github.io/Logging_2361/artfynd/A 19965-2024 artfynd.xlsx", "A 19965-2024")</f>
        <v/>
      </c>
      <c r="T98">
        <f>HYPERLINK("https://klasma.github.io/Logging_2361/kartor/A 19965-2024 karta.png", "A 19965-2024")</f>
        <v/>
      </c>
      <c r="V98">
        <f>HYPERLINK("https://klasma.github.io/Logging_2361/klagomål/A 19965-2024 FSC-klagomål.docx", "A 19965-2024")</f>
        <v/>
      </c>
      <c r="W98">
        <f>HYPERLINK("https://klasma.github.io/Logging_2361/klagomålsmail/A 19965-2024 FSC-klagomål mail.docx", "A 19965-2024")</f>
        <v/>
      </c>
      <c r="X98">
        <f>HYPERLINK("https://klasma.github.io/Logging_2361/tillsyn/A 19965-2024 tillsynsbegäran.docx", "A 19965-2024")</f>
        <v/>
      </c>
      <c r="Y98">
        <f>HYPERLINK("https://klasma.github.io/Logging_2361/tillsynsmail/A 19965-2024 tillsynsbegäran mail.docx", "A 19965-2024")</f>
        <v/>
      </c>
    </row>
    <row r="99" ht="15" customHeight="1">
      <c r="A99" t="inlineStr">
        <is>
          <t>A 25864-2024</t>
        </is>
      </c>
      <c r="B99" s="1" t="n">
        <v>45467</v>
      </c>
      <c r="C99" s="1" t="n">
        <v>45569</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31012-2024</t>
        </is>
      </c>
      <c r="B100" s="1" t="n">
        <v>45499</v>
      </c>
      <c r="C100" s="1" t="n">
        <v>45569</v>
      </c>
      <c r="D100" t="inlineStr">
        <is>
          <t>JÄMTLANDS LÄN</t>
        </is>
      </c>
      <c r="E100" t="inlineStr">
        <is>
          <t>HÄRJEDALEN</t>
        </is>
      </c>
      <c r="F100" t="inlineStr">
        <is>
          <t>Sveaskog</t>
        </is>
      </c>
      <c r="G100" t="n">
        <v>11.7</v>
      </c>
      <c r="H100" t="n">
        <v>1</v>
      </c>
      <c r="I100" t="n">
        <v>1</v>
      </c>
      <c r="J100" t="n">
        <v>3</v>
      </c>
      <c r="K100" t="n">
        <v>0</v>
      </c>
      <c r="L100" t="n">
        <v>0</v>
      </c>
      <c r="M100" t="n">
        <v>0</v>
      </c>
      <c r="N100" t="n">
        <v>0</v>
      </c>
      <c r="O100" t="n">
        <v>3</v>
      </c>
      <c r="P100" t="n">
        <v>0</v>
      </c>
      <c r="Q100" t="n">
        <v>4</v>
      </c>
      <c r="R100" s="2" t="inlineStr">
        <is>
          <t>Kolflarnlav
Mörk kolflarnlav
Tretåig hackspett
Dropptaggsvamp</t>
        </is>
      </c>
      <c r="S100">
        <f>HYPERLINK("https://klasma.github.io/Logging_2361/artfynd/A 31012-2024 artfynd.xlsx", "A 31012-2024")</f>
        <v/>
      </c>
      <c r="T100">
        <f>HYPERLINK("https://klasma.github.io/Logging_2361/kartor/A 31012-2024 karta.png", "A 31012-2024")</f>
        <v/>
      </c>
      <c r="V100">
        <f>HYPERLINK("https://klasma.github.io/Logging_2361/klagomål/A 31012-2024 FSC-klagomål.docx", "A 31012-2024")</f>
        <v/>
      </c>
      <c r="W100">
        <f>HYPERLINK("https://klasma.github.io/Logging_2361/klagomålsmail/A 31012-2024 FSC-klagomål mail.docx", "A 31012-2024")</f>
        <v/>
      </c>
      <c r="X100">
        <f>HYPERLINK("https://klasma.github.io/Logging_2361/tillsyn/A 31012-2024 tillsynsbegäran.docx", "A 31012-2024")</f>
        <v/>
      </c>
      <c r="Y100">
        <f>HYPERLINK("https://klasma.github.io/Logging_2361/tillsynsmail/A 31012-2024 tillsynsbegäran mail.docx", "A 31012-2024")</f>
        <v/>
      </c>
      <c r="Z100">
        <f>HYPERLINK("https://klasma.github.io/Logging_2361/fåglar/A 31012-2024 prioriterade fågelarter.docx", "A 31012-2024")</f>
        <v/>
      </c>
    </row>
    <row r="101" ht="15" customHeight="1">
      <c r="A101" t="inlineStr">
        <is>
          <t>A 31148-2024</t>
        </is>
      </c>
      <c r="B101" s="1" t="n">
        <v>45502</v>
      </c>
      <c r="C101" s="1" t="n">
        <v>45569</v>
      </c>
      <c r="D101" t="inlineStr">
        <is>
          <t>JÄMTLANDS LÄN</t>
        </is>
      </c>
      <c r="E101" t="inlineStr">
        <is>
          <t>HÄRJEDALEN</t>
        </is>
      </c>
      <c r="F101" t="inlineStr">
        <is>
          <t>Sveaskog</t>
        </is>
      </c>
      <c r="G101" t="n">
        <v>8.199999999999999</v>
      </c>
      <c r="H101" t="n">
        <v>0</v>
      </c>
      <c r="I101" t="n">
        <v>1</v>
      </c>
      <c r="J101" t="n">
        <v>3</v>
      </c>
      <c r="K101" t="n">
        <v>0</v>
      </c>
      <c r="L101" t="n">
        <v>0</v>
      </c>
      <c r="M101" t="n">
        <v>0</v>
      </c>
      <c r="N101" t="n">
        <v>0</v>
      </c>
      <c r="O101" t="n">
        <v>3</v>
      </c>
      <c r="P101" t="n">
        <v>0</v>
      </c>
      <c r="Q101" t="n">
        <v>4</v>
      </c>
      <c r="R101" s="2" t="inlineStr">
        <is>
          <t>Dvärgbägarlav
Kolflarnlav
Mörk kolflarnlav
Dropptaggsvamp</t>
        </is>
      </c>
      <c r="S101">
        <f>HYPERLINK("https://klasma.github.io/Logging_2361/artfynd/A 31148-2024 artfynd.xlsx", "A 31148-2024")</f>
        <v/>
      </c>
      <c r="T101">
        <f>HYPERLINK("https://klasma.github.io/Logging_2361/kartor/A 31148-2024 karta.png", "A 31148-2024")</f>
        <v/>
      </c>
      <c r="V101">
        <f>HYPERLINK("https://klasma.github.io/Logging_2361/klagomål/A 31148-2024 FSC-klagomål.docx", "A 31148-2024")</f>
        <v/>
      </c>
      <c r="W101">
        <f>HYPERLINK("https://klasma.github.io/Logging_2361/klagomålsmail/A 31148-2024 FSC-klagomål mail.docx", "A 31148-2024")</f>
        <v/>
      </c>
      <c r="X101">
        <f>HYPERLINK("https://klasma.github.io/Logging_2361/tillsyn/A 31148-2024 tillsynsbegäran.docx", "A 31148-2024")</f>
        <v/>
      </c>
      <c r="Y101">
        <f>HYPERLINK("https://klasma.github.io/Logging_2361/tillsynsmail/A 31148-2024 tillsynsbegäran mail.docx", "A 31148-2024")</f>
        <v/>
      </c>
    </row>
    <row r="102" ht="15" customHeight="1">
      <c r="A102" t="inlineStr">
        <is>
          <t>A 31288-2024</t>
        </is>
      </c>
      <c r="B102" s="1" t="n">
        <v>45504</v>
      </c>
      <c r="C102" s="1" t="n">
        <v>45569</v>
      </c>
      <c r="D102" t="inlineStr">
        <is>
          <t>JÄMTLANDS LÄN</t>
        </is>
      </c>
      <c r="E102" t="inlineStr">
        <is>
          <t>HÄRJEDALEN</t>
        </is>
      </c>
      <c r="F102" t="inlineStr">
        <is>
          <t>Sveaskog</t>
        </is>
      </c>
      <c r="G102" t="n">
        <v>10.4</v>
      </c>
      <c r="H102" t="n">
        <v>0</v>
      </c>
      <c r="I102" t="n">
        <v>0</v>
      </c>
      <c r="J102" t="n">
        <v>4</v>
      </c>
      <c r="K102" t="n">
        <v>0</v>
      </c>
      <c r="L102" t="n">
        <v>0</v>
      </c>
      <c r="M102" t="n">
        <v>0</v>
      </c>
      <c r="N102" t="n">
        <v>0</v>
      </c>
      <c r="O102" t="n">
        <v>4</v>
      </c>
      <c r="P102" t="n">
        <v>0</v>
      </c>
      <c r="Q102" t="n">
        <v>4</v>
      </c>
      <c r="R102" s="2" t="inlineStr">
        <is>
          <t>Blå taggsvamp
Kolflarnlav
Mörk kolflarnlav
Vedflamlav</t>
        </is>
      </c>
      <c r="S102">
        <f>HYPERLINK("https://klasma.github.io/Logging_2361/artfynd/A 31288-2024 artfynd.xlsx", "A 31288-2024")</f>
        <v/>
      </c>
      <c r="T102">
        <f>HYPERLINK("https://klasma.github.io/Logging_2361/kartor/A 31288-2024 karta.png", "A 31288-2024")</f>
        <v/>
      </c>
      <c r="V102">
        <f>HYPERLINK("https://klasma.github.io/Logging_2361/klagomål/A 31288-2024 FSC-klagomål.docx", "A 31288-2024")</f>
        <v/>
      </c>
      <c r="W102">
        <f>HYPERLINK("https://klasma.github.io/Logging_2361/klagomålsmail/A 31288-2024 FSC-klagomål mail.docx", "A 31288-2024")</f>
        <v/>
      </c>
      <c r="X102">
        <f>HYPERLINK("https://klasma.github.io/Logging_2361/tillsyn/A 31288-2024 tillsynsbegäran.docx", "A 31288-2024")</f>
        <v/>
      </c>
      <c r="Y102">
        <f>HYPERLINK("https://klasma.github.io/Logging_2361/tillsynsmail/A 31288-2024 tillsynsbegäran mail.docx", "A 31288-2024")</f>
        <v/>
      </c>
    </row>
    <row r="103" ht="15" customHeight="1">
      <c r="A103" t="inlineStr">
        <is>
          <t>A 36538-2024</t>
        </is>
      </c>
      <c r="B103" s="1" t="n">
        <v>45537</v>
      </c>
      <c r="C103" s="1" t="n">
        <v>45569</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39687-2024</t>
        </is>
      </c>
      <c r="B104" s="1" t="n">
        <v>45552</v>
      </c>
      <c r="C104" s="1" t="n">
        <v>45569</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18156-2019</t>
        </is>
      </c>
      <c r="B105" s="1" t="n">
        <v>43558</v>
      </c>
      <c r="C105" s="1" t="n">
        <v>45569</v>
      </c>
      <c r="D105" t="inlineStr">
        <is>
          <t>JÄMTLANDS LÄN</t>
        </is>
      </c>
      <c r="E105" t="inlineStr">
        <is>
          <t>HÄRJEDALEN</t>
        </is>
      </c>
      <c r="F105" t="inlineStr">
        <is>
          <t>Bergvik skog väst AB</t>
        </is>
      </c>
      <c r="G105" t="n">
        <v>102.9</v>
      </c>
      <c r="H105" t="n">
        <v>0</v>
      </c>
      <c r="I105" t="n">
        <v>0</v>
      </c>
      <c r="J105" t="n">
        <v>1</v>
      </c>
      <c r="K105" t="n">
        <v>2</v>
      </c>
      <c r="L105" t="n">
        <v>0</v>
      </c>
      <c r="M105" t="n">
        <v>0</v>
      </c>
      <c r="N105" t="n">
        <v>0</v>
      </c>
      <c r="O105" t="n">
        <v>3</v>
      </c>
      <c r="P105" t="n">
        <v>2</v>
      </c>
      <c r="Q105" t="n">
        <v>3</v>
      </c>
      <c r="R105" s="2" t="inlineStr">
        <is>
          <t>Fläckporing
Laxporing
Stiftgelélav</t>
        </is>
      </c>
      <c r="S105">
        <f>HYPERLINK("https://klasma.github.io/Logging_2361/artfynd/A 18156-2019 artfynd.xlsx", "A 18156-2019")</f>
        <v/>
      </c>
      <c r="T105">
        <f>HYPERLINK("https://klasma.github.io/Logging_2361/kartor/A 18156-2019 karta.png", "A 18156-2019")</f>
        <v/>
      </c>
      <c r="V105">
        <f>HYPERLINK("https://klasma.github.io/Logging_2361/klagomål/A 18156-2019 FSC-klagomål.docx", "A 18156-2019")</f>
        <v/>
      </c>
      <c r="W105">
        <f>HYPERLINK("https://klasma.github.io/Logging_2361/klagomålsmail/A 18156-2019 FSC-klagomål mail.docx", "A 18156-2019")</f>
        <v/>
      </c>
      <c r="X105">
        <f>HYPERLINK("https://klasma.github.io/Logging_2361/tillsyn/A 18156-2019 tillsynsbegäran.docx", "A 18156-2019")</f>
        <v/>
      </c>
      <c r="Y105">
        <f>HYPERLINK("https://klasma.github.io/Logging_2361/tillsynsmail/A 18156-2019 tillsynsbegäran mail.docx", "A 18156-2019")</f>
        <v/>
      </c>
    </row>
    <row r="106" ht="15" customHeight="1">
      <c r="A106" t="inlineStr">
        <is>
          <t>A 35719-2019</t>
        </is>
      </c>
      <c r="B106" s="1" t="n">
        <v>43664</v>
      </c>
      <c r="C106" s="1" t="n">
        <v>45569</v>
      </c>
      <c r="D106" t="inlineStr">
        <is>
          <t>JÄMTLANDS LÄN</t>
        </is>
      </c>
      <c r="E106" t="inlineStr">
        <is>
          <t>HÄRJEDALEN</t>
        </is>
      </c>
      <c r="F106" t="inlineStr">
        <is>
          <t>SCA</t>
        </is>
      </c>
      <c r="G106" t="n">
        <v>17.7</v>
      </c>
      <c r="H106" t="n">
        <v>0</v>
      </c>
      <c r="I106" t="n">
        <v>1</v>
      </c>
      <c r="J106" t="n">
        <v>2</v>
      </c>
      <c r="K106" t="n">
        <v>0</v>
      </c>
      <c r="L106" t="n">
        <v>0</v>
      </c>
      <c r="M106" t="n">
        <v>0</v>
      </c>
      <c r="N106" t="n">
        <v>0</v>
      </c>
      <c r="O106" t="n">
        <v>2</v>
      </c>
      <c r="P106" t="n">
        <v>0</v>
      </c>
      <c r="Q106" t="n">
        <v>3</v>
      </c>
      <c r="R106" s="2" t="inlineStr">
        <is>
          <t>Kolflarnlav
Tallticka
Dropptaggsvamp</t>
        </is>
      </c>
      <c r="S106">
        <f>HYPERLINK("https://klasma.github.io/Logging_2361/artfynd/A 35719-2019 artfynd.xlsx", "A 35719-2019")</f>
        <v/>
      </c>
      <c r="T106">
        <f>HYPERLINK("https://klasma.github.io/Logging_2361/kartor/A 35719-2019 karta.png", "A 35719-2019")</f>
        <v/>
      </c>
      <c r="V106">
        <f>HYPERLINK("https://klasma.github.io/Logging_2361/klagomål/A 35719-2019 FSC-klagomål.docx", "A 35719-2019")</f>
        <v/>
      </c>
      <c r="W106">
        <f>HYPERLINK("https://klasma.github.io/Logging_2361/klagomålsmail/A 35719-2019 FSC-klagomål mail.docx", "A 35719-2019")</f>
        <v/>
      </c>
      <c r="X106">
        <f>HYPERLINK("https://klasma.github.io/Logging_2361/tillsyn/A 35719-2019 tillsynsbegäran.docx", "A 35719-2019")</f>
        <v/>
      </c>
      <c r="Y106">
        <f>HYPERLINK("https://klasma.github.io/Logging_2361/tillsynsmail/A 35719-2019 tillsynsbegäran mail.docx", "A 35719-2019")</f>
        <v/>
      </c>
    </row>
    <row r="107" ht="15" customHeight="1">
      <c r="A107" t="inlineStr">
        <is>
          <t>A 41873-2020</t>
        </is>
      </c>
      <c r="B107" s="1" t="n">
        <v>44074</v>
      </c>
      <c r="C107" s="1" t="n">
        <v>45569</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49864-2020</t>
        </is>
      </c>
      <c r="B108" s="1" t="n">
        <v>44107</v>
      </c>
      <c r="C108" s="1" t="n">
        <v>45569</v>
      </c>
      <c r="D108" t="inlineStr">
        <is>
          <t>JÄMTLANDS LÄN</t>
        </is>
      </c>
      <c r="E108" t="inlineStr">
        <is>
          <t>HÄRJEDALEN</t>
        </is>
      </c>
      <c r="F108" t="inlineStr">
        <is>
          <t>Bergvik skog väst AB</t>
        </is>
      </c>
      <c r="G108" t="n">
        <v>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HYPERLINK("https://klasma.github.io/Logging_2361/artfynd/A 49864-2020 artfynd.xlsx", "A 49864-2020")</f>
        <v/>
      </c>
      <c r="T108">
        <f>HYPERLINK("https://klasma.github.io/Logging_2361/kartor/A 49864-2020 karta.png", "A 49864-2020")</f>
        <v/>
      </c>
      <c r="V108">
        <f>HYPERLINK("https://klasma.github.io/Logging_2361/klagomål/A 49864-2020 FSC-klagomål.docx", "A 49864-2020")</f>
        <v/>
      </c>
      <c r="W108">
        <f>HYPERLINK("https://klasma.github.io/Logging_2361/klagomålsmail/A 49864-2020 FSC-klagomål mail.docx", "A 49864-2020")</f>
        <v/>
      </c>
      <c r="X108">
        <f>HYPERLINK("https://klasma.github.io/Logging_2361/tillsyn/A 49864-2020 tillsynsbegäran.docx", "A 49864-2020")</f>
        <v/>
      </c>
      <c r="Y108">
        <f>HYPERLINK("https://klasma.github.io/Logging_2361/tillsynsmail/A 49864-2020 tillsynsbegäran mail.docx", "A 49864-2020")</f>
        <v/>
      </c>
      <c r="Z108">
        <f>HYPERLINK("https://klasma.github.io/Logging_2361/fåglar/A 49864-2020 prioriterade fågelarter.docx", "A 49864-2020")</f>
        <v/>
      </c>
    </row>
    <row r="109" ht="15" customHeight="1">
      <c r="A109" t="inlineStr">
        <is>
          <t>A 49863-2020</t>
        </is>
      </c>
      <c r="B109" s="1" t="n">
        <v>44107</v>
      </c>
      <c r="C109" s="1" t="n">
        <v>45569</v>
      </c>
      <c r="D109" t="inlineStr">
        <is>
          <t>JÄMTLANDS LÄN</t>
        </is>
      </c>
      <c r="E109" t="inlineStr">
        <is>
          <t>HÄRJEDALEN</t>
        </is>
      </c>
      <c r="F109" t="inlineStr">
        <is>
          <t>Bergvik skog väst AB</t>
        </is>
      </c>
      <c r="G109" t="n">
        <v>12.8</v>
      </c>
      <c r="H109" t="n">
        <v>1</v>
      </c>
      <c r="I109" t="n">
        <v>1</v>
      </c>
      <c r="J109" t="n">
        <v>2</v>
      </c>
      <c r="K109" t="n">
        <v>0</v>
      </c>
      <c r="L109" t="n">
        <v>0</v>
      </c>
      <c r="M109" t="n">
        <v>0</v>
      </c>
      <c r="N109" t="n">
        <v>0</v>
      </c>
      <c r="O109" t="n">
        <v>2</v>
      </c>
      <c r="P109" t="n">
        <v>0</v>
      </c>
      <c r="Q109" t="n">
        <v>3</v>
      </c>
      <c r="R109" s="2" t="inlineStr">
        <is>
          <t>Garnlav
Tretåig hackspett
Trådticka</t>
        </is>
      </c>
      <c r="S109">
        <f>HYPERLINK("https://klasma.github.io/Logging_2361/artfynd/A 49863-2020 artfynd.xlsx", "A 49863-2020")</f>
        <v/>
      </c>
      <c r="T109">
        <f>HYPERLINK("https://klasma.github.io/Logging_2361/kartor/A 49863-2020 karta.png", "A 49863-2020")</f>
        <v/>
      </c>
      <c r="V109">
        <f>HYPERLINK("https://klasma.github.io/Logging_2361/klagomål/A 49863-2020 FSC-klagomål.docx", "A 49863-2020")</f>
        <v/>
      </c>
      <c r="W109">
        <f>HYPERLINK("https://klasma.github.io/Logging_2361/klagomålsmail/A 49863-2020 FSC-klagomål mail.docx", "A 49863-2020")</f>
        <v/>
      </c>
      <c r="X109">
        <f>HYPERLINK("https://klasma.github.io/Logging_2361/tillsyn/A 49863-2020 tillsynsbegäran.docx", "A 49863-2020")</f>
        <v/>
      </c>
      <c r="Y109">
        <f>HYPERLINK("https://klasma.github.io/Logging_2361/tillsynsmail/A 49863-2020 tillsynsbegäran mail.docx", "A 49863-2020")</f>
        <v/>
      </c>
      <c r="Z109">
        <f>HYPERLINK("https://klasma.github.io/Logging_2361/fåglar/A 49863-2020 prioriterade fågelarter.docx", "A 49863-2020")</f>
        <v/>
      </c>
    </row>
    <row r="110" ht="15" customHeight="1">
      <c r="A110" t="inlineStr">
        <is>
          <t>A 65147-2020</t>
        </is>
      </c>
      <c r="B110" s="1" t="n">
        <v>44172</v>
      </c>
      <c r="C110" s="1" t="n">
        <v>45569</v>
      </c>
      <c r="D110" t="inlineStr">
        <is>
          <t>JÄMTLANDS LÄN</t>
        </is>
      </c>
      <c r="E110" t="inlineStr">
        <is>
          <t>HÄRJEDALEN</t>
        </is>
      </c>
      <c r="G110" t="n">
        <v>5.9</v>
      </c>
      <c r="H110" t="n">
        <v>1</v>
      </c>
      <c r="I110" t="n">
        <v>0</v>
      </c>
      <c r="J110" t="n">
        <v>3</v>
      </c>
      <c r="K110" t="n">
        <v>0</v>
      </c>
      <c r="L110" t="n">
        <v>0</v>
      </c>
      <c r="M110" t="n">
        <v>0</v>
      </c>
      <c r="N110" t="n">
        <v>0</v>
      </c>
      <c r="O110" t="n">
        <v>3</v>
      </c>
      <c r="P110" t="n">
        <v>0</v>
      </c>
      <c r="Q110" t="n">
        <v>3</v>
      </c>
      <c r="R110" s="2" t="inlineStr">
        <is>
          <t>Blanksvart spiklav
Garnlav
Varglav</t>
        </is>
      </c>
      <c r="S110">
        <f>HYPERLINK("https://klasma.github.io/Logging_2361/artfynd/A 65147-2020 artfynd.xlsx", "A 65147-2020")</f>
        <v/>
      </c>
      <c r="T110">
        <f>HYPERLINK("https://klasma.github.io/Logging_2361/kartor/A 65147-2020 karta.png", "A 65147-2020")</f>
        <v/>
      </c>
      <c r="V110">
        <f>HYPERLINK("https://klasma.github.io/Logging_2361/klagomål/A 65147-2020 FSC-klagomål.docx", "A 65147-2020")</f>
        <v/>
      </c>
      <c r="W110">
        <f>HYPERLINK("https://klasma.github.io/Logging_2361/klagomålsmail/A 65147-2020 FSC-klagomål mail.docx", "A 65147-2020")</f>
        <v/>
      </c>
      <c r="X110">
        <f>HYPERLINK("https://klasma.github.io/Logging_2361/tillsyn/A 65147-2020 tillsynsbegäran.docx", "A 65147-2020")</f>
        <v/>
      </c>
      <c r="Y110">
        <f>HYPERLINK("https://klasma.github.io/Logging_2361/tillsynsmail/A 65147-2020 tillsynsbegäran mail.docx", "A 65147-2020")</f>
        <v/>
      </c>
    </row>
    <row r="111" ht="15" customHeight="1">
      <c r="A111" t="inlineStr">
        <is>
          <t>A 67126-2020</t>
        </is>
      </c>
      <c r="B111" s="1" t="n">
        <v>44180</v>
      </c>
      <c r="C111" s="1" t="n">
        <v>45569</v>
      </c>
      <c r="D111" t="inlineStr">
        <is>
          <t>JÄMTLANDS LÄN</t>
        </is>
      </c>
      <c r="E111" t="inlineStr">
        <is>
          <t>HÄRJEDALEN</t>
        </is>
      </c>
      <c r="F111" t="inlineStr">
        <is>
          <t>Holmen skog AB</t>
        </is>
      </c>
      <c r="G111" t="n">
        <v>0.2</v>
      </c>
      <c r="H111" t="n">
        <v>0</v>
      </c>
      <c r="I111" t="n">
        <v>0</v>
      </c>
      <c r="J111" t="n">
        <v>3</v>
      </c>
      <c r="K111" t="n">
        <v>0</v>
      </c>
      <c r="L111" t="n">
        <v>0</v>
      </c>
      <c r="M111" t="n">
        <v>0</v>
      </c>
      <c r="N111" t="n">
        <v>0</v>
      </c>
      <c r="O111" t="n">
        <v>3</v>
      </c>
      <c r="P111" t="n">
        <v>0</v>
      </c>
      <c r="Q111" t="n">
        <v>3</v>
      </c>
      <c r="R111" s="2" t="inlineStr">
        <is>
          <t>Granticka
Mörk kolflarnlav
Ullticka</t>
        </is>
      </c>
      <c r="S111">
        <f>HYPERLINK("https://klasma.github.io/Logging_2361/artfynd/A 67126-2020 artfynd.xlsx", "A 67126-2020")</f>
        <v/>
      </c>
      <c r="T111">
        <f>HYPERLINK("https://klasma.github.io/Logging_2361/kartor/A 67126-2020 karta.png", "A 67126-2020")</f>
        <v/>
      </c>
      <c r="V111">
        <f>HYPERLINK("https://klasma.github.io/Logging_2361/klagomål/A 67126-2020 FSC-klagomål.docx", "A 67126-2020")</f>
        <v/>
      </c>
      <c r="W111">
        <f>HYPERLINK("https://klasma.github.io/Logging_2361/klagomålsmail/A 67126-2020 FSC-klagomål mail.docx", "A 67126-2020")</f>
        <v/>
      </c>
      <c r="X111">
        <f>HYPERLINK("https://klasma.github.io/Logging_2361/tillsyn/A 67126-2020 tillsynsbegäran.docx", "A 67126-2020")</f>
        <v/>
      </c>
      <c r="Y111">
        <f>HYPERLINK("https://klasma.github.io/Logging_2361/tillsynsmail/A 67126-2020 tillsynsbegäran mail.docx", "A 67126-2020")</f>
        <v/>
      </c>
    </row>
    <row r="112" ht="15" customHeight="1">
      <c r="A112" t="inlineStr">
        <is>
          <t>A 45717-2021</t>
        </is>
      </c>
      <c r="B112" s="1" t="n">
        <v>44441</v>
      </c>
      <c r="C112" s="1" t="n">
        <v>45569</v>
      </c>
      <c r="D112" t="inlineStr">
        <is>
          <t>JÄMTLANDS LÄN</t>
        </is>
      </c>
      <c r="E112" t="inlineStr">
        <is>
          <t>HÄRJEDALEN</t>
        </is>
      </c>
      <c r="G112" t="n">
        <v>1</v>
      </c>
      <c r="H112" t="n">
        <v>1</v>
      </c>
      <c r="I112" t="n">
        <v>2</v>
      </c>
      <c r="J112" t="n">
        <v>1</v>
      </c>
      <c r="K112" t="n">
        <v>0</v>
      </c>
      <c r="L112" t="n">
        <v>0</v>
      </c>
      <c r="M112" t="n">
        <v>0</v>
      </c>
      <c r="N112" t="n">
        <v>0</v>
      </c>
      <c r="O112" t="n">
        <v>1</v>
      </c>
      <c r="P112" t="n">
        <v>0</v>
      </c>
      <c r="Q112" t="n">
        <v>3</v>
      </c>
      <c r="R112" s="2" t="inlineStr">
        <is>
          <t>Granticka
Spindelblomster
Ögonpyrola</t>
        </is>
      </c>
      <c r="S112">
        <f>HYPERLINK("https://klasma.github.io/Logging_2361/artfynd/A 45717-2021 artfynd.xlsx", "A 45717-2021")</f>
        <v/>
      </c>
      <c r="T112">
        <f>HYPERLINK("https://klasma.github.io/Logging_2361/kartor/A 45717-2021 karta.png", "A 45717-2021")</f>
        <v/>
      </c>
      <c r="V112">
        <f>HYPERLINK("https://klasma.github.io/Logging_2361/klagomål/A 45717-2021 FSC-klagomål.docx", "A 45717-2021")</f>
        <v/>
      </c>
      <c r="W112">
        <f>HYPERLINK("https://klasma.github.io/Logging_2361/klagomålsmail/A 45717-2021 FSC-klagomål mail.docx", "A 45717-2021")</f>
        <v/>
      </c>
      <c r="X112">
        <f>HYPERLINK("https://klasma.github.io/Logging_2361/tillsyn/A 45717-2021 tillsynsbegäran.docx", "A 45717-2021")</f>
        <v/>
      </c>
      <c r="Y112">
        <f>HYPERLINK("https://klasma.github.io/Logging_2361/tillsynsmail/A 45717-2021 tillsynsbegäran mail.docx", "A 45717-2021")</f>
        <v/>
      </c>
    </row>
    <row r="113" ht="15" customHeight="1">
      <c r="A113" t="inlineStr">
        <is>
          <t>A 55244-2021</t>
        </is>
      </c>
      <c r="B113" s="1" t="n">
        <v>44475</v>
      </c>
      <c r="C113" s="1" t="n">
        <v>45569</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55233-2021</t>
        </is>
      </c>
      <c r="B114" s="1" t="n">
        <v>44475</v>
      </c>
      <c r="C114" s="1" t="n">
        <v>45569</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55394-2021</t>
        </is>
      </c>
      <c r="B115" s="1" t="n">
        <v>44475</v>
      </c>
      <c r="C115" s="1" t="n">
        <v>45569</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33914-2022</t>
        </is>
      </c>
      <c r="B116" s="1" t="n">
        <v>44790</v>
      </c>
      <c r="C116" s="1" t="n">
        <v>45569</v>
      </c>
      <c r="D116" t="inlineStr">
        <is>
          <t>JÄMTLANDS LÄN</t>
        </is>
      </c>
      <c r="E116" t="inlineStr">
        <is>
          <t>HÄRJEDALEN</t>
        </is>
      </c>
      <c r="F116" t="inlineStr">
        <is>
          <t>Bergvik skog väst AB</t>
        </is>
      </c>
      <c r="G116" t="n">
        <v>38.1</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HYPERLINK("https://klasma.github.io/Logging_2361/artfynd/A 33914-2022 artfynd.xlsx", "A 33914-2022")</f>
        <v/>
      </c>
      <c r="T116">
        <f>HYPERLINK("https://klasma.github.io/Logging_2361/kartor/A 33914-2022 karta.png", "A 33914-2022")</f>
        <v/>
      </c>
      <c r="V116">
        <f>HYPERLINK("https://klasma.github.io/Logging_2361/klagomål/A 33914-2022 FSC-klagomål.docx", "A 33914-2022")</f>
        <v/>
      </c>
      <c r="W116">
        <f>HYPERLINK("https://klasma.github.io/Logging_2361/klagomålsmail/A 33914-2022 FSC-klagomål mail.docx", "A 33914-2022")</f>
        <v/>
      </c>
      <c r="X116">
        <f>HYPERLINK("https://klasma.github.io/Logging_2361/tillsyn/A 33914-2022 tillsynsbegäran.docx", "A 33914-2022")</f>
        <v/>
      </c>
      <c r="Y116">
        <f>HYPERLINK("https://klasma.github.io/Logging_2361/tillsynsmail/A 33914-2022 tillsynsbegäran mail.docx", "A 33914-2022")</f>
        <v/>
      </c>
      <c r="Z116">
        <f>HYPERLINK("https://klasma.github.io/Logging_2361/fåglar/A 33914-2022 prioriterade fågelarter.docx", "A 33914-2022")</f>
        <v/>
      </c>
    </row>
    <row r="117" ht="15" customHeight="1">
      <c r="A117" t="inlineStr">
        <is>
          <t>A 34035-2022</t>
        </is>
      </c>
      <c r="B117" s="1" t="n">
        <v>44791</v>
      </c>
      <c r="C117" s="1" t="n">
        <v>45569</v>
      </c>
      <c r="D117" t="inlineStr">
        <is>
          <t>JÄMTLANDS LÄN</t>
        </is>
      </c>
      <c r="E117" t="inlineStr">
        <is>
          <t>HÄRJEDALEN</t>
        </is>
      </c>
      <c r="F117" t="inlineStr">
        <is>
          <t>Naturvårdsverket</t>
        </is>
      </c>
      <c r="G117" t="n">
        <v>27.4</v>
      </c>
      <c r="H117" t="n">
        <v>0</v>
      </c>
      <c r="I117" t="n">
        <v>0</v>
      </c>
      <c r="J117" t="n">
        <v>3</v>
      </c>
      <c r="K117" t="n">
        <v>0</v>
      </c>
      <c r="L117" t="n">
        <v>0</v>
      </c>
      <c r="M117" t="n">
        <v>0</v>
      </c>
      <c r="N117" t="n">
        <v>0</v>
      </c>
      <c r="O117" t="n">
        <v>3</v>
      </c>
      <c r="P117" t="n">
        <v>0</v>
      </c>
      <c r="Q117" t="n">
        <v>3</v>
      </c>
      <c r="R117" s="2" t="inlineStr">
        <is>
          <t>Gammelgransskål
Garnlav
Gränsticka</t>
        </is>
      </c>
      <c r="S117">
        <f>HYPERLINK("https://klasma.github.io/Logging_2361/artfynd/A 34035-2022 artfynd.xlsx", "A 34035-2022")</f>
        <v/>
      </c>
      <c r="T117">
        <f>HYPERLINK("https://klasma.github.io/Logging_2361/kartor/A 34035-2022 karta.png", "A 34035-2022")</f>
        <v/>
      </c>
      <c r="V117">
        <f>HYPERLINK("https://klasma.github.io/Logging_2361/klagomål/A 34035-2022 FSC-klagomål.docx", "A 34035-2022")</f>
        <v/>
      </c>
      <c r="W117">
        <f>HYPERLINK("https://klasma.github.io/Logging_2361/klagomålsmail/A 34035-2022 FSC-klagomål mail.docx", "A 34035-2022")</f>
        <v/>
      </c>
      <c r="X117">
        <f>HYPERLINK("https://klasma.github.io/Logging_2361/tillsyn/A 34035-2022 tillsynsbegäran.docx", "A 34035-2022")</f>
        <v/>
      </c>
      <c r="Y117">
        <f>HYPERLINK("https://klasma.github.io/Logging_2361/tillsynsmail/A 34035-2022 tillsynsbegäran mail.docx", "A 34035-2022")</f>
        <v/>
      </c>
    </row>
    <row r="118" ht="15" customHeight="1">
      <c r="A118" t="inlineStr">
        <is>
          <t>A 55383-2022</t>
        </is>
      </c>
      <c r="B118" s="1" t="n">
        <v>44882</v>
      </c>
      <c r="C118" s="1" t="n">
        <v>45569</v>
      </c>
      <c r="D118" t="inlineStr">
        <is>
          <t>JÄMTLANDS LÄN</t>
        </is>
      </c>
      <c r="E118" t="inlineStr">
        <is>
          <t>HÄRJEDALEN</t>
        </is>
      </c>
      <c r="G118" t="n">
        <v>11</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HYPERLINK("https://klasma.github.io/Logging_2361/artfynd/A 55383-2022 artfynd.xlsx", "A 55383-2022")</f>
        <v/>
      </c>
      <c r="T118">
        <f>HYPERLINK("https://klasma.github.io/Logging_2361/kartor/A 55383-2022 karta.png", "A 55383-2022")</f>
        <v/>
      </c>
      <c r="V118">
        <f>HYPERLINK("https://klasma.github.io/Logging_2361/klagomål/A 55383-2022 FSC-klagomål.docx", "A 55383-2022")</f>
        <v/>
      </c>
      <c r="W118">
        <f>HYPERLINK("https://klasma.github.io/Logging_2361/klagomålsmail/A 55383-2022 FSC-klagomål mail.docx", "A 55383-2022")</f>
        <v/>
      </c>
      <c r="X118">
        <f>HYPERLINK("https://klasma.github.io/Logging_2361/tillsyn/A 55383-2022 tillsynsbegäran.docx", "A 55383-2022")</f>
        <v/>
      </c>
      <c r="Y118">
        <f>HYPERLINK("https://klasma.github.io/Logging_2361/tillsynsmail/A 55383-2022 tillsynsbegäran mail.docx", "A 55383-2022")</f>
        <v/>
      </c>
      <c r="Z118">
        <f>HYPERLINK("https://klasma.github.io/Logging_2361/fåglar/A 55383-2022 prioriterade fågelarter.docx", "A 55383-2022")</f>
        <v/>
      </c>
    </row>
    <row r="119" ht="15" customHeight="1">
      <c r="A119" t="inlineStr">
        <is>
          <t>A 14060-2023</t>
        </is>
      </c>
      <c r="B119" s="1" t="n">
        <v>45007</v>
      </c>
      <c r="C119" s="1" t="n">
        <v>45569</v>
      </c>
      <c r="D119" t="inlineStr">
        <is>
          <t>JÄMTLANDS LÄN</t>
        </is>
      </c>
      <c r="E119" t="inlineStr">
        <is>
          <t>HÄRJEDALEN</t>
        </is>
      </c>
      <c r="F119" t="inlineStr">
        <is>
          <t>Bergvik skog väst AB</t>
        </is>
      </c>
      <c r="G119" t="n">
        <v>6.7</v>
      </c>
      <c r="H119" t="n">
        <v>0</v>
      </c>
      <c r="I119" t="n">
        <v>0</v>
      </c>
      <c r="J119" t="n">
        <v>0</v>
      </c>
      <c r="K119" t="n">
        <v>2</v>
      </c>
      <c r="L119" t="n">
        <v>1</v>
      </c>
      <c r="M119" t="n">
        <v>0</v>
      </c>
      <c r="N119" t="n">
        <v>0</v>
      </c>
      <c r="O119" t="n">
        <v>3</v>
      </c>
      <c r="P119" t="n">
        <v>3</v>
      </c>
      <c r="Q119" t="n">
        <v>3</v>
      </c>
      <c r="R119" s="2" t="inlineStr">
        <is>
          <t>Urskogsporing
Fläckporing
Gräddporing</t>
        </is>
      </c>
      <c r="S119">
        <f>HYPERLINK("https://klasma.github.io/Logging_2361/artfynd/A 14060-2023 artfynd.xlsx", "A 14060-2023")</f>
        <v/>
      </c>
      <c r="T119">
        <f>HYPERLINK("https://klasma.github.io/Logging_2361/kartor/A 14060-2023 karta.png", "A 14060-2023")</f>
        <v/>
      </c>
      <c r="V119">
        <f>HYPERLINK("https://klasma.github.io/Logging_2361/klagomål/A 14060-2023 FSC-klagomål.docx", "A 14060-2023")</f>
        <v/>
      </c>
      <c r="W119">
        <f>HYPERLINK("https://klasma.github.io/Logging_2361/klagomålsmail/A 14060-2023 FSC-klagomål mail.docx", "A 14060-2023")</f>
        <v/>
      </c>
      <c r="X119">
        <f>HYPERLINK("https://klasma.github.io/Logging_2361/tillsyn/A 14060-2023 tillsynsbegäran.docx", "A 14060-2023")</f>
        <v/>
      </c>
      <c r="Y119">
        <f>HYPERLINK("https://klasma.github.io/Logging_2361/tillsynsmail/A 14060-2023 tillsynsbegäran mail.docx", "A 14060-2023")</f>
        <v/>
      </c>
    </row>
    <row r="120" ht="15" customHeight="1">
      <c r="A120" t="inlineStr">
        <is>
          <t>A 19659-2023</t>
        </is>
      </c>
      <c r="B120" s="1" t="n">
        <v>45050</v>
      </c>
      <c r="C120" s="1" t="n">
        <v>45569</v>
      </c>
      <c r="D120" t="inlineStr">
        <is>
          <t>JÄMTLANDS LÄN</t>
        </is>
      </c>
      <c r="E120" t="inlineStr">
        <is>
          <t>HÄRJEDALEN</t>
        </is>
      </c>
      <c r="F120" t="inlineStr">
        <is>
          <t>Bergvik skog väst AB</t>
        </is>
      </c>
      <c r="G120" t="n">
        <v>2.8</v>
      </c>
      <c r="H120" t="n">
        <v>0</v>
      </c>
      <c r="I120" t="n">
        <v>0</v>
      </c>
      <c r="J120" t="n">
        <v>3</v>
      </c>
      <c r="K120" t="n">
        <v>0</v>
      </c>
      <c r="L120" t="n">
        <v>0</v>
      </c>
      <c r="M120" t="n">
        <v>0</v>
      </c>
      <c r="N120" t="n">
        <v>0</v>
      </c>
      <c r="O120" t="n">
        <v>3</v>
      </c>
      <c r="P120" t="n">
        <v>0</v>
      </c>
      <c r="Q120" t="n">
        <v>3</v>
      </c>
      <c r="R120" s="2" t="inlineStr">
        <is>
          <t>Gäckporing
Nordtagging
Vedskivlav</t>
        </is>
      </c>
      <c r="S120">
        <f>HYPERLINK("https://klasma.github.io/Logging_2361/artfynd/A 19659-2023 artfynd.xlsx", "A 19659-2023")</f>
        <v/>
      </c>
      <c r="T120">
        <f>HYPERLINK("https://klasma.github.io/Logging_2361/kartor/A 19659-2023 karta.png", "A 19659-2023")</f>
        <v/>
      </c>
      <c r="V120">
        <f>HYPERLINK("https://klasma.github.io/Logging_2361/klagomål/A 19659-2023 FSC-klagomål.docx", "A 19659-2023")</f>
        <v/>
      </c>
      <c r="W120">
        <f>HYPERLINK("https://klasma.github.io/Logging_2361/klagomålsmail/A 19659-2023 FSC-klagomål mail.docx", "A 19659-2023")</f>
        <v/>
      </c>
      <c r="X120">
        <f>HYPERLINK("https://klasma.github.io/Logging_2361/tillsyn/A 19659-2023 tillsynsbegäran.docx", "A 19659-2023")</f>
        <v/>
      </c>
      <c r="Y120">
        <f>HYPERLINK("https://klasma.github.io/Logging_2361/tillsynsmail/A 19659-2023 tillsynsbegäran mail.docx", "A 19659-2023")</f>
        <v/>
      </c>
    </row>
    <row r="121" ht="15" customHeight="1">
      <c r="A121" t="inlineStr">
        <is>
          <t>A 57572-2023</t>
        </is>
      </c>
      <c r="B121" s="1" t="n">
        <v>45246</v>
      </c>
      <c r="C121" s="1" t="n">
        <v>45569</v>
      </c>
      <c r="D121" t="inlineStr">
        <is>
          <t>JÄMTLANDS LÄN</t>
        </is>
      </c>
      <c r="E121" t="inlineStr">
        <is>
          <t>HÄRJEDALEN</t>
        </is>
      </c>
      <c r="G121" t="n">
        <v>40.5</v>
      </c>
      <c r="H121" t="n">
        <v>0</v>
      </c>
      <c r="I121" t="n">
        <v>0</v>
      </c>
      <c r="J121" t="n">
        <v>2</v>
      </c>
      <c r="K121" t="n">
        <v>1</v>
      </c>
      <c r="L121" t="n">
        <v>0</v>
      </c>
      <c r="M121" t="n">
        <v>0</v>
      </c>
      <c r="N121" t="n">
        <v>0</v>
      </c>
      <c r="O121" t="n">
        <v>3</v>
      </c>
      <c r="P121" t="n">
        <v>1</v>
      </c>
      <c r="Q121" t="n">
        <v>3</v>
      </c>
      <c r="R121" s="2" t="inlineStr">
        <is>
          <t>Gräddporing
Nordtagging
Skrovellav</t>
        </is>
      </c>
      <c r="S121">
        <f>HYPERLINK("https://klasma.github.io/Logging_2361/artfynd/A 57572-2023 artfynd.xlsx", "A 57572-2023")</f>
        <v/>
      </c>
      <c r="T121">
        <f>HYPERLINK("https://klasma.github.io/Logging_2361/kartor/A 57572-2023 karta.png", "A 57572-2023")</f>
        <v/>
      </c>
      <c r="V121">
        <f>HYPERLINK("https://klasma.github.io/Logging_2361/klagomål/A 57572-2023 FSC-klagomål.docx", "A 57572-2023")</f>
        <v/>
      </c>
      <c r="W121">
        <f>HYPERLINK("https://klasma.github.io/Logging_2361/klagomålsmail/A 57572-2023 FSC-klagomål mail.docx", "A 57572-2023")</f>
        <v/>
      </c>
      <c r="X121">
        <f>HYPERLINK("https://klasma.github.io/Logging_2361/tillsyn/A 57572-2023 tillsynsbegäran.docx", "A 57572-2023")</f>
        <v/>
      </c>
      <c r="Y121">
        <f>HYPERLINK("https://klasma.github.io/Logging_2361/tillsynsmail/A 57572-2023 tillsynsbegäran mail.docx", "A 57572-2023")</f>
        <v/>
      </c>
    </row>
    <row r="122" ht="15" customHeight="1">
      <c r="A122" t="inlineStr">
        <is>
          <t>A 22781-2024</t>
        </is>
      </c>
      <c r="B122" s="1" t="n">
        <v>45448</v>
      </c>
      <c r="C122" s="1" t="n">
        <v>45569</v>
      </c>
      <c r="D122" t="inlineStr">
        <is>
          <t>JÄMTLANDS LÄN</t>
        </is>
      </c>
      <c r="E122" t="inlineStr">
        <is>
          <t>HÄRJEDALEN</t>
        </is>
      </c>
      <c r="F122" t="inlineStr">
        <is>
          <t>Holmen skog AB</t>
        </is>
      </c>
      <c r="G122" t="n">
        <v>5.8</v>
      </c>
      <c r="H122" t="n">
        <v>2</v>
      </c>
      <c r="I122" t="n">
        <v>0</v>
      </c>
      <c r="J122" t="n">
        <v>1</v>
      </c>
      <c r="K122" t="n">
        <v>1</v>
      </c>
      <c r="L122" t="n">
        <v>0</v>
      </c>
      <c r="M122" t="n">
        <v>0</v>
      </c>
      <c r="N122" t="n">
        <v>0</v>
      </c>
      <c r="O122" t="n">
        <v>2</v>
      </c>
      <c r="P122" t="n">
        <v>1</v>
      </c>
      <c r="Q122" t="n">
        <v>3</v>
      </c>
      <c r="R122" s="2" t="inlineStr">
        <is>
          <t>Knärot
Knottrig blåslav
Huggorm</t>
        </is>
      </c>
      <c r="S122">
        <f>HYPERLINK("https://klasma.github.io/Logging_2361/artfynd/A 22781-2024 artfynd.xlsx", "A 22781-2024")</f>
        <v/>
      </c>
      <c r="T122">
        <f>HYPERLINK("https://klasma.github.io/Logging_2361/kartor/A 22781-2024 karta.png", "A 22781-2024")</f>
        <v/>
      </c>
      <c r="U122">
        <f>HYPERLINK("https://klasma.github.io/Logging_2361/knärot/A 22781-2024 karta knärot.png", "A 22781-2024")</f>
        <v/>
      </c>
      <c r="V122">
        <f>HYPERLINK("https://klasma.github.io/Logging_2361/klagomål/A 22781-2024 FSC-klagomål.docx", "A 22781-2024")</f>
        <v/>
      </c>
      <c r="W122">
        <f>HYPERLINK("https://klasma.github.io/Logging_2361/klagomålsmail/A 22781-2024 FSC-klagomål mail.docx", "A 22781-2024")</f>
        <v/>
      </c>
      <c r="X122">
        <f>HYPERLINK("https://klasma.github.io/Logging_2361/tillsyn/A 22781-2024 tillsynsbegäran.docx", "A 22781-2024")</f>
        <v/>
      </c>
      <c r="Y122">
        <f>HYPERLINK("https://klasma.github.io/Logging_2361/tillsynsmail/A 22781-2024 tillsynsbegäran mail.docx", "A 22781-2024")</f>
        <v/>
      </c>
    </row>
    <row r="123" ht="15" customHeight="1">
      <c r="A123" t="inlineStr">
        <is>
          <t>A 26225-2024</t>
        </is>
      </c>
      <c r="B123" s="1" t="n">
        <v>45468</v>
      </c>
      <c r="C123" s="1" t="n">
        <v>45569</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28321-2019</t>
        </is>
      </c>
      <c r="B124" s="1" t="n">
        <v>43623</v>
      </c>
      <c r="C124" s="1" t="n">
        <v>45569</v>
      </c>
      <c r="D124" t="inlineStr">
        <is>
          <t>JÄMTLANDS LÄN</t>
        </is>
      </c>
      <c r="E124" t="inlineStr">
        <is>
          <t>HÄRJEDALEN</t>
        </is>
      </c>
      <c r="F124" t="inlineStr">
        <is>
          <t>Sveaskog</t>
        </is>
      </c>
      <c r="G124" t="n">
        <v>3.3</v>
      </c>
      <c r="H124" t="n">
        <v>0</v>
      </c>
      <c r="I124" t="n">
        <v>0</v>
      </c>
      <c r="J124" t="n">
        <v>2</v>
      </c>
      <c r="K124" t="n">
        <v>0</v>
      </c>
      <c r="L124" t="n">
        <v>0</v>
      </c>
      <c r="M124" t="n">
        <v>0</v>
      </c>
      <c r="N124" t="n">
        <v>0</v>
      </c>
      <c r="O124" t="n">
        <v>2</v>
      </c>
      <c r="P124" t="n">
        <v>0</v>
      </c>
      <c r="Q124" t="n">
        <v>2</v>
      </c>
      <c r="R124" s="2" t="inlineStr">
        <is>
          <t>Garnlav
Kolflarnlav</t>
        </is>
      </c>
      <c r="S124">
        <f>HYPERLINK("https://klasma.github.io/Logging_2361/artfynd/A 28321-2019 artfynd.xlsx", "A 28321-2019")</f>
        <v/>
      </c>
      <c r="T124">
        <f>HYPERLINK("https://klasma.github.io/Logging_2361/kartor/A 28321-2019 karta.png", "A 28321-2019")</f>
        <v/>
      </c>
      <c r="V124">
        <f>HYPERLINK("https://klasma.github.io/Logging_2361/klagomål/A 28321-2019 FSC-klagomål.docx", "A 28321-2019")</f>
        <v/>
      </c>
      <c r="W124">
        <f>HYPERLINK("https://klasma.github.io/Logging_2361/klagomålsmail/A 28321-2019 FSC-klagomål mail.docx", "A 28321-2019")</f>
        <v/>
      </c>
      <c r="X124">
        <f>HYPERLINK("https://klasma.github.io/Logging_2361/tillsyn/A 28321-2019 tillsynsbegäran.docx", "A 28321-2019")</f>
        <v/>
      </c>
      <c r="Y124">
        <f>HYPERLINK("https://klasma.github.io/Logging_2361/tillsynsmail/A 28321-2019 tillsynsbegäran mail.docx", "A 28321-2019")</f>
        <v/>
      </c>
    </row>
    <row r="125" ht="15" customHeight="1">
      <c r="A125" t="inlineStr">
        <is>
          <t>A 29265-2019</t>
        </is>
      </c>
      <c r="B125" s="1" t="n">
        <v>43629</v>
      </c>
      <c r="C125" s="1" t="n">
        <v>45569</v>
      </c>
      <c r="D125" t="inlineStr">
        <is>
          <t>JÄMTLANDS LÄN</t>
        </is>
      </c>
      <c r="E125" t="inlineStr">
        <is>
          <t>HÄRJEDALEN</t>
        </is>
      </c>
      <c r="F125" t="inlineStr">
        <is>
          <t>Holmen skog AB</t>
        </is>
      </c>
      <c r="G125" t="n">
        <v>2.2</v>
      </c>
      <c r="H125" t="n">
        <v>0</v>
      </c>
      <c r="I125" t="n">
        <v>0</v>
      </c>
      <c r="J125" t="n">
        <v>1</v>
      </c>
      <c r="K125" t="n">
        <v>1</v>
      </c>
      <c r="L125" t="n">
        <v>0</v>
      </c>
      <c r="M125" t="n">
        <v>0</v>
      </c>
      <c r="N125" t="n">
        <v>0</v>
      </c>
      <c r="O125" t="n">
        <v>2</v>
      </c>
      <c r="P125" t="n">
        <v>1</v>
      </c>
      <c r="Q125" t="n">
        <v>2</v>
      </c>
      <c r="R125" s="2" t="inlineStr">
        <is>
          <t>Goliatmusseron
Blå taggsvamp</t>
        </is>
      </c>
      <c r="S125">
        <f>HYPERLINK("https://klasma.github.io/Logging_2361/artfynd/A 29265-2019 artfynd.xlsx", "A 29265-2019")</f>
        <v/>
      </c>
      <c r="T125">
        <f>HYPERLINK("https://klasma.github.io/Logging_2361/kartor/A 29265-2019 karta.png", "A 29265-2019")</f>
        <v/>
      </c>
      <c r="V125">
        <f>HYPERLINK("https://klasma.github.io/Logging_2361/klagomål/A 29265-2019 FSC-klagomål.docx", "A 29265-2019")</f>
        <v/>
      </c>
      <c r="W125">
        <f>HYPERLINK("https://klasma.github.io/Logging_2361/klagomålsmail/A 29265-2019 FSC-klagomål mail.docx", "A 29265-2019")</f>
        <v/>
      </c>
      <c r="X125">
        <f>HYPERLINK("https://klasma.github.io/Logging_2361/tillsyn/A 29265-2019 tillsynsbegäran.docx", "A 29265-2019")</f>
        <v/>
      </c>
      <c r="Y125">
        <f>HYPERLINK("https://klasma.github.io/Logging_2361/tillsynsmail/A 29265-2019 tillsynsbegäran mail.docx", "A 29265-2019")</f>
        <v/>
      </c>
    </row>
    <row r="126" ht="15" customHeight="1">
      <c r="A126" t="inlineStr">
        <is>
          <t>A 32481-2019</t>
        </is>
      </c>
      <c r="B126" s="1" t="n">
        <v>43644</v>
      </c>
      <c r="C126" s="1" t="n">
        <v>45569</v>
      </c>
      <c r="D126" t="inlineStr">
        <is>
          <t>JÄMTLANDS LÄN</t>
        </is>
      </c>
      <c r="E126" t="inlineStr">
        <is>
          <t>HÄRJEDALEN</t>
        </is>
      </c>
      <c r="F126" t="inlineStr">
        <is>
          <t>SCA</t>
        </is>
      </c>
      <c r="G126" t="n">
        <v>2.3</v>
      </c>
      <c r="H126" t="n">
        <v>0</v>
      </c>
      <c r="I126" t="n">
        <v>0</v>
      </c>
      <c r="J126" t="n">
        <v>2</v>
      </c>
      <c r="K126" t="n">
        <v>0</v>
      </c>
      <c r="L126" t="n">
        <v>0</v>
      </c>
      <c r="M126" t="n">
        <v>0</v>
      </c>
      <c r="N126" t="n">
        <v>0</v>
      </c>
      <c r="O126" t="n">
        <v>2</v>
      </c>
      <c r="P126" t="n">
        <v>0</v>
      </c>
      <c r="Q126" t="n">
        <v>2</v>
      </c>
      <c r="R126" s="2" t="inlineStr">
        <is>
          <t>Blågrå svartspik
Mörk kolflarnlav</t>
        </is>
      </c>
      <c r="S126">
        <f>HYPERLINK("https://klasma.github.io/Logging_2361/artfynd/A 32481-2019 artfynd.xlsx", "A 32481-2019")</f>
        <v/>
      </c>
      <c r="T126">
        <f>HYPERLINK("https://klasma.github.io/Logging_2361/kartor/A 32481-2019 karta.png", "A 32481-2019")</f>
        <v/>
      </c>
      <c r="V126">
        <f>HYPERLINK("https://klasma.github.io/Logging_2361/klagomål/A 32481-2019 FSC-klagomål.docx", "A 32481-2019")</f>
        <v/>
      </c>
      <c r="W126">
        <f>HYPERLINK("https://klasma.github.io/Logging_2361/klagomålsmail/A 32481-2019 FSC-klagomål mail.docx", "A 32481-2019")</f>
        <v/>
      </c>
      <c r="X126">
        <f>HYPERLINK("https://klasma.github.io/Logging_2361/tillsyn/A 32481-2019 tillsynsbegäran.docx", "A 32481-2019")</f>
        <v/>
      </c>
      <c r="Y126">
        <f>HYPERLINK("https://klasma.github.io/Logging_2361/tillsynsmail/A 32481-2019 tillsynsbegäran mail.docx", "A 32481-2019")</f>
        <v/>
      </c>
    </row>
    <row r="127" ht="15" customHeight="1">
      <c r="A127" t="inlineStr">
        <is>
          <t>A 34268-2019</t>
        </is>
      </c>
      <c r="B127" s="1" t="n">
        <v>43655</v>
      </c>
      <c r="C127" s="1" t="n">
        <v>45569</v>
      </c>
      <c r="D127" t="inlineStr">
        <is>
          <t>JÄMTLANDS LÄN</t>
        </is>
      </c>
      <c r="E127" t="inlineStr">
        <is>
          <t>HÄRJEDALEN</t>
        </is>
      </c>
      <c r="F127" t="inlineStr">
        <is>
          <t>Bergvik skog väst AB</t>
        </is>
      </c>
      <c r="G127" t="n">
        <v>43.7</v>
      </c>
      <c r="H127" t="n">
        <v>1</v>
      </c>
      <c r="I127" t="n">
        <v>0</v>
      </c>
      <c r="J127" t="n">
        <v>2</v>
      </c>
      <c r="K127" t="n">
        <v>0</v>
      </c>
      <c r="L127" t="n">
        <v>0</v>
      </c>
      <c r="M127" t="n">
        <v>0</v>
      </c>
      <c r="N127" t="n">
        <v>0</v>
      </c>
      <c r="O127" t="n">
        <v>2</v>
      </c>
      <c r="P127" t="n">
        <v>0</v>
      </c>
      <c r="Q127" t="n">
        <v>2</v>
      </c>
      <c r="R127" s="2" t="inlineStr">
        <is>
          <t>Lunglav
Varglav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4356-2020</t>
        </is>
      </c>
      <c r="B128" s="1" t="n">
        <v>43857</v>
      </c>
      <c r="C128" s="1" t="n">
        <v>45569</v>
      </c>
      <c r="D128" t="inlineStr">
        <is>
          <t>JÄMTLANDS LÄN</t>
        </is>
      </c>
      <c r="E128" t="inlineStr">
        <is>
          <t>HÄRJEDALEN</t>
        </is>
      </c>
      <c r="F128" t="inlineStr">
        <is>
          <t>Bergvik skog väst AB</t>
        </is>
      </c>
      <c r="G128" t="n">
        <v>51.2</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HYPERLINK("https://klasma.github.io/Logging_2361/artfynd/A 4356-2020 artfynd.xlsx", "A 4356-2020")</f>
        <v/>
      </c>
      <c r="T128">
        <f>HYPERLINK("https://klasma.github.io/Logging_2361/kartor/A 4356-2020 karta.png", "A 4356-2020")</f>
        <v/>
      </c>
      <c r="V128">
        <f>HYPERLINK("https://klasma.github.io/Logging_2361/klagomål/A 4356-2020 FSC-klagomål.docx", "A 4356-2020")</f>
        <v/>
      </c>
      <c r="W128">
        <f>HYPERLINK("https://klasma.github.io/Logging_2361/klagomålsmail/A 4356-2020 FSC-klagomål mail.docx", "A 4356-2020")</f>
        <v/>
      </c>
      <c r="X128">
        <f>HYPERLINK("https://klasma.github.io/Logging_2361/tillsyn/A 4356-2020 tillsynsbegäran.docx", "A 4356-2020")</f>
        <v/>
      </c>
      <c r="Y128">
        <f>HYPERLINK("https://klasma.github.io/Logging_2361/tillsynsmail/A 4356-2020 tillsynsbegäran mail.docx", "A 4356-2020")</f>
        <v/>
      </c>
      <c r="Z128">
        <f>HYPERLINK("https://klasma.github.io/Logging_2361/fåglar/A 4356-2020 prioriterade fågelarter.docx", "A 4356-2020")</f>
        <v/>
      </c>
    </row>
    <row r="129" ht="15" customHeight="1">
      <c r="A129" t="inlineStr">
        <is>
          <t>A 9510-2020</t>
        </is>
      </c>
      <c r="B129" s="1" t="n">
        <v>43880</v>
      </c>
      <c r="C129" s="1" t="n">
        <v>45569</v>
      </c>
      <c r="D129" t="inlineStr">
        <is>
          <t>JÄMTLANDS LÄN</t>
        </is>
      </c>
      <c r="E129" t="inlineStr">
        <is>
          <t>HÄRJEDALEN</t>
        </is>
      </c>
      <c r="F129" t="inlineStr">
        <is>
          <t>Bergvik skog väst AB</t>
        </is>
      </c>
      <c r="G129" t="n">
        <v>18.7</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HYPERLINK("https://klasma.github.io/Logging_2361/artfynd/A 9510-2020 artfynd.xlsx", "A 9510-2020")</f>
        <v/>
      </c>
      <c r="T129">
        <f>HYPERLINK("https://klasma.github.io/Logging_2361/kartor/A 9510-2020 karta.png", "A 9510-2020")</f>
        <v/>
      </c>
      <c r="V129">
        <f>HYPERLINK("https://klasma.github.io/Logging_2361/klagomål/A 9510-2020 FSC-klagomål.docx", "A 9510-2020")</f>
        <v/>
      </c>
      <c r="W129">
        <f>HYPERLINK("https://klasma.github.io/Logging_2361/klagomålsmail/A 9510-2020 FSC-klagomål mail.docx", "A 9510-2020")</f>
        <v/>
      </c>
      <c r="X129">
        <f>HYPERLINK("https://klasma.github.io/Logging_2361/tillsyn/A 9510-2020 tillsynsbegäran.docx", "A 9510-2020")</f>
        <v/>
      </c>
      <c r="Y129">
        <f>HYPERLINK("https://klasma.github.io/Logging_2361/tillsynsmail/A 9510-2020 tillsynsbegäran mail.docx", "A 9510-2020")</f>
        <v/>
      </c>
      <c r="Z129">
        <f>HYPERLINK("https://klasma.github.io/Logging_2361/fåglar/A 9510-2020 prioriterade fågelarter.docx", "A 9510-2020")</f>
        <v/>
      </c>
    </row>
    <row r="130" ht="15" customHeight="1">
      <c r="A130" t="inlineStr">
        <is>
          <t>A 12954-2020</t>
        </is>
      </c>
      <c r="B130" s="1" t="n">
        <v>43900</v>
      </c>
      <c r="C130" s="1" t="n">
        <v>45569</v>
      </c>
      <c r="D130" t="inlineStr">
        <is>
          <t>JÄMTLANDS LÄN</t>
        </is>
      </c>
      <c r="E130" t="inlineStr">
        <is>
          <t>HÄRJEDALEN</t>
        </is>
      </c>
      <c r="F130" t="inlineStr">
        <is>
          <t>Bergvik skog väst AB</t>
        </is>
      </c>
      <c r="G130" t="n">
        <v>12.1</v>
      </c>
      <c r="H130" t="n">
        <v>0</v>
      </c>
      <c r="I130" t="n">
        <v>2</v>
      </c>
      <c r="J130" t="n">
        <v>0</v>
      </c>
      <c r="K130" t="n">
        <v>0</v>
      </c>
      <c r="L130" t="n">
        <v>0</v>
      </c>
      <c r="M130" t="n">
        <v>0</v>
      </c>
      <c r="N130" t="n">
        <v>0</v>
      </c>
      <c r="O130" t="n">
        <v>0</v>
      </c>
      <c r="P130" t="n">
        <v>0</v>
      </c>
      <c r="Q130" t="n">
        <v>2</v>
      </c>
      <c r="R130" s="2" t="inlineStr">
        <is>
          <t>Blodticka
Vedticka</t>
        </is>
      </c>
      <c r="S130">
        <f>HYPERLINK("https://klasma.github.io/Logging_2361/artfynd/A 12954-2020 artfynd.xlsx", "A 12954-2020")</f>
        <v/>
      </c>
      <c r="T130">
        <f>HYPERLINK("https://klasma.github.io/Logging_2361/kartor/A 12954-2020 karta.png", "A 12954-2020")</f>
        <v/>
      </c>
      <c r="V130">
        <f>HYPERLINK("https://klasma.github.io/Logging_2361/klagomål/A 12954-2020 FSC-klagomål.docx", "A 12954-2020")</f>
        <v/>
      </c>
      <c r="W130">
        <f>HYPERLINK("https://klasma.github.io/Logging_2361/klagomålsmail/A 12954-2020 FSC-klagomål mail.docx", "A 12954-2020")</f>
        <v/>
      </c>
      <c r="X130">
        <f>HYPERLINK("https://klasma.github.io/Logging_2361/tillsyn/A 12954-2020 tillsynsbegäran.docx", "A 12954-2020")</f>
        <v/>
      </c>
      <c r="Y130">
        <f>HYPERLINK("https://klasma.github.io/Logging_2361/tillsynsmail/A 12954-2020 tillsynsbegäran mail.docx", "A 12954-2020")</f>
        <v/>
      </c>
    </row>
    <row r="131" ht="15" customHeight="1">
      <c r="A131" t="inlineStr">
        <is>
          <t>A 68856-2020</t>
        </is>
      </c>
      <c r="B131" s="1" t="n">
        <v>44186</v>
      </c>
      <c r="C131" s="1" t="n">
        <v>45569</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3699-2021</t>
        </is>
      </c>
      <c r="B132" s="1" t="n">
        <v>44221</v>
      </c>
      <c r="C132" s="1" t="n">
        <v>45569</v>
      </c>
      <c r="D132" t="inlineStr">
        <is>
          <t>JÄMTLANDS LÄN</t>
        </is>
      </c>
      <c r="E132" t="inlineStr">
        <is>
          <t>HÄRJEDALEN</t>
        </is>
      </c>
      <c r="G132" t="n">
        <v>10.1</v>
      </c>
      <c r="H132" t="n">
        <v>0</v>
      </c>
      <c r="I132" t="n">
        <v>0</v>
      </c>
      <c r="J132" t="n">
        <v>0</v>
      </c>
      <c r="K132" t="n">
        <v>2</v>
      </c>
      <c r="L132" t="n">
        <v>0</v>
      </c>
      <c r="M132" t="n">
        <v>0</v>
      </c>
      <c r="N132" t="n">
        <v>0</v>
      </c>
      <c r="O132" t="n">
        <v>2</v>
      </c>
      <c r="P132" t="n">
        <v>2</v>
      </c>
      <c r="Q132" t="n">
        <v>2</v>
      </c>
      <c r="R132" s="2" t="inlineStr">
        <is>
          <t>Fläckporing
Gräddporing</t>
        </is>
      </c>
      <c r="S132">
        <f>HYPERLINK("https://klasma.github.io/Logging_2361/artfynd/A 3699-2021 artfynd.xlsx", "A 3699-2021")</f>
        <v/>
      </c>
      <c r="T132">
        <f>HYPERLINK("https://klasma.github.io/Logging_2361/kartor/A 3699-2021 karta.png", "A 3699-2021")</f>
        <v/>
      </c>
      <c r="V132">
        <f>HYPERLINK("https://klasma.github.io/Logging_2361/klagomål/A 3699-2021 FSC-klagomål.docx", "A 3699-2021")</f>
        <v/>
      </c>
      <c r="W132">
        <f>HYPERLINK("https://klasma.github.io/Logging_2361/klagomålsmail/A 3699-2021 FSC-klagomål mail.docx", "A 3699-2021")</f>
        <v/>
      </c>
      <c r="X132">
        <f>HYPERLINK("https://klasma.github.io/Logging_2361/tillsyn/A 3699-2021 tillsynsbegäran.docx", "A 3699-2021")</f>
        <v/>
      </c>
      <c r="Y132">
        <f>HYPERLINK("https://klasma.github.io/Logging_2361/tillsynsmail/A 3699-2021 tillsynsbegäran mail.docx", "A 3699-2021")</f>
        <v/>
      </c>
    </row>
    <row r="133" ht="15" customHeight="1">
      <c r="A133" t="inlineStr">
        <is>
          <t>A 15679-2021</t>
        </is>
      </c>
      <c r="B133" s="1" t="n">
        <v>44286</v>
      </c>
      <c r="C133" s="1" t="n">
        <v>45569</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33421-2021</t>
        </is>
      </c>
      <c r="B134" s="1" t="n">
        <v>44377</v>
      </c>
      <c r="C134" s="1" t="n">
        <v>45569</v>
      </c>
      <c r="D134" t="inlineStr">
        <is>
          <t>JÄMTLANDS LÄN</t>
        </is>
      </c>
      <c r="E134" t="inlineStr">
        <is>
          <t>HÄRJEDALEN</t>
        </is>
      </c>
      <c r="G134" t="n">
        <v>47.1</v>
      </c>
      <c r="H134" t="n">
        <v>1</v>
      </c>
      <c r="I134" t="n">
        <v>0</v>
      </c>
      <c r="J134" t="n">
        <v>2</v>
      </c>
      <c r="K134" t="n">
        <v>0</v>
      </c>
      <c r="L134" t="n">
        <v>0</v>
      </c>
      <c r="M134" t="n">
        <v>0</v>
      </c>
      <c r="N134" t="n">
        <v>0</v>
      </c>
      <c r="O134" t="n">
        <v>2</v>
      </c>
      <c r="P134" t="n">
        <v>0</v>
      </c>
      <c r="Q134" t="n">
        <v>2</v>
      </c>
      <c r="R134" s="2" t="inlineStr">
        <is>
          <t>Gultoppig fingersvamp
Talltita</t>
        </is>
      </c>
      <c r="S134">
        <f>HYPERLINK("https://klasma.github.io/Logging_2361/artfynd/A 33421-2021 artfynd.xlsx", "A 33421-2021")</f>
        <v/>
      </c>
      <c r="T134">
        <f>HYPERLINK("https://klasma.github.io/Logging_2361/kartor/A 33421-2021 karta.png", "A 33421-2021")</f>
        <v/>
      </c>
      <c r="V134">
        <f>HYPERLINK("https://klasma.github.io/Logging_2361/klagomål/A 33421-2021 FSC-klagomål.docx", "A 33421-2021")</f>
        <v/>
      </c>
      <c r="W134">
        <f>HYPERLINK("https://klasma.github.io/Logging_2361/klagomålsmail/A 33421-2021 FSC-klagomål mail.docx", "A 33421-2021")</f>
        <v/>
      </c>
      <c r="X134">
        <f>HYPERLINK("https://klasma.github.io/Logging_2361/tillsyn/A 33421-2021 tillsynsbegäran.docx", "A 33421-2021")</f>
        <v/>
      </c>
      <c r="Y134">
        <f>HYPERLINK("https://klasma.github.io/Logging_2361/tillsynsmail/A 33421-2021 tillsynsbegäran mail.docx", "A 33421-2021")</f>
        <v/>
      </c>
      <c r="Z134">
        <f>HYPERLINK("https://klasma.github.io/Logging_2361/fåglar/A 33421-2021 prioriterade fågelarter.docx", "A 33421-2021")</f>
        <v/>
      </c>
    </row>
    <row r="135" ht="15" customHeight="1">
      <c r="A135" t="inlineStr">
        <is>
          <t>A 42826-2021</t>
        </is>
      </c>
      <c r="B135" s="1" t="n">
        <v>44430</v>
      </c>
      <c r="C135" s="1" t="n">
        <v>45569</v>
      </c>
      <c r="D135" t="inlineStr">
        <is>
          <t>JÄMTLANDS LÄN</t>
        </is>
      </c>
      <c r="E135" t="inlineStr">
        <is>
          <t>HÄRJEDALEN</t>
        </is>
      </c>
      <c r="F135" t="inlineStr">
        <is>
          <t>Sveaskog</t>
        </is>
      </c>
      <c r="G135" t="n">
        <v>8.1</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42826-2021 artfynd.xlsx", "A 42826-2021")</f>
        <v/>
      </c>
      <c r="T135">
        <f>HYPERLINK("https://klasma.github.io/Logging_2361/kartor/A 42826-2021 karta.png", "A 42826-2021")</f>
        <v/>
      </c>
      <c r="U135">
        <f>HYPERLINK("https://klasma.github.io/Logging_2361/knärot/A 42826-2021 karta knärot.png", "A 42826-2021")</f>
        <v/>
      </c>
      <c r="V135">
        <f>HYPERLINK("https://klasma.github.io/Logging_2361/klagomål/A 42826-2021 FSC-klagomål.docx", "A 42826-2021")</f>
        <v/>
      </c>
      <c r="W135">
        <f>HYPERLINK("https://klasma.github.io/Logging_2361/klagomålsmail/A 42826-2021 FSC-klagomål mail.docx", "A 42826-2021")</f>
        <v/>
      </c>
      <c r="X135">
        <f>HYPERLINK("https://klasma.github.io/Logging_2361/tillsyn/A 42826-2021 tillsynsbegäran.docx", "A 42826-2021")</f>
        <v/>
      </c>
      <c r="Y135">
        <f>HYPERLINK("https://klasma.github.io/Logging_2361/tillsynsmail/A 42826-2021 tillsynsbegäran mail.docx", "A 42826-2021")</f>
        <v/>
      </c>
    </row>
    <row r="136" ht="15" customHeight="1">
      <c r="A136" t="inlineStr">
        <is>
          <t>A 48065-2021</t>
        </is>
      </c>
      <c r="B136" s="1" t="n">
        <v>44449</v>
      </c>
      <c r="C136" s="1" t="n">
        <v>45569</v>
      </c>
      <c r="D136" t="inlineStr">
        <is>
          <t>JÄMTLANDS LÄN</t>
        </is>
      </c>
      <c r="E136" t="inlineStr">
        <is>
          <t>HÄRJEDALEN</t>
        </is>
      </c>
      <c r="G136" t="n">
        <v>24.8</v>
      </c>
      <c r="H136" t="n">
        <v>0</v>
      </c>
      <c r="I136" t="n">
        <v>0</v>
      </c>
      <c r="J136" t="n">
        <v>2</v>
      </c>
      <c r="K136" t="n">
        <v>0</v>
      </c>
      <c r="L136" t="n">
        <v>0</v>
      </c>
      <c r="M136" t="n">
        <v>0</v>
      </c>
      <c r="N136" t="n">
        <v>0</v>
      </c>
      <c r="O136" t="n">
        <v>2</v>
      </c>
      <c r="P136" t="n">
        <v>0</v>
      </c>
      <c r="Q136" t="n">
        <v>2</v>
      </c>
      <c r="R136" s="2" t="inlineStr">
        <is>
          <t>Garnlav
Vitplätt</t>
        </is>
      </c>
      <c r="S136">
        <f>HYPERLINK("https://klasma.github.io/Logging_2361/artfynd/A 48065-2021 artfynd.xlsx", "A 48065-2021")</f>
        <v/>
      </c>
      <c r="T136">
        <f>HYPERLINK("https://klasma.github.io/Logging_2361/kartor/A 48065-2021 karta.png", "A 48065-2021")</f>
        <v/>
      </c>
      <c r="V136">
        <f>HYPERLINK("https://klasma.github.io/Logging_2361/klagomål/A 48065-2021 FSC-klagomål.docx", "A 48065-2021")</f>
        <v/>
      </c>
      <c r="W136">
        <f>HYPERLINK("https://klasma.github.io/Logging_2361/klagomålsmail/A 48065-2021 FSC-klagomål mail.docx", "A 48065-2021")</f>
        <v/>
      </c>
      <c r="X136">
        <f>HYPERLINK("https://klasma.github.io/Logging_2361/tillsyn/A 48065-2021 tillsynsbegäran.docx", "A 48065-2021")</f>
        <v/>
      </c>
      <c r="Y136">
        <f>HYPERLINK("https://klasma.github.io/Logging_2361/tillsynsmail/A 48065-2021 tillsynsbegäran mail.docx", "A 48065-2021")</f>
        <v/>
      </c>
    </row>
    <row r="137" ht="15" customHeight="1">
      <c r="A137" t="inlineStr">
        <is>
          <t>A 55240-2021</t>
        </is>
      </c>
      <c r="B137" s="1" t="n">
        <v>44475</v>
      </c>
      <c r="C137" s="1" t="n">
        <v>45569</v>
      </c>
      <c r="D137" t="inlineStr">
        <is>
          <t>JÄMTLANDS LÄN</t>
        </is>
      </c>
      <c r="E137" t="inlineStr">
        <is>
          <t>HÄRJEDALEN</t>
        </is>
      </c>
      <c r="G137" t="n">
        <v>3.5</v>
      </c>
      <c r="H137" t="n">
        <v>1</v>
      </c>
      <c r="I137" t="n">
        <v>0</v>
      </c>
      <c r="J137" t="n">
        <v>1</v>
      </c>
      <c r="K137" t="n">
        <v>1</v>
      </c>
      <c r="L137" t="n">
        <v>0</v>
      </c>
      <c r="M137" t="n">
        <v>0</v>
      </c>
      <c r="N137" t="n">
        <v>0</v>
      </c>
      <c r="O137" t="n">
        <v>2</v>
      </c>
      <c r="P137" t="n">
        <v>1</v>
      </c>
      <c r="Q137" t="n">
        <v>2</v>
      </c>
      <c r="R137" s="2" t="inlineStr">
        <is>
          <t>Varglavsknöl
Varglav</t>
        </is>
      </c>
      <c r="S137">
        <f>HYPERLINK("https://klasma.github.io/Logging_2361/artfynd/A 55240-2021 artfynd.xlsx", "A 55240-2021")</f>
        <v/>
      </c>
      <c r="T137">
        <f>HYPERLINK("https://klasma.github.io/Logging_2361/kartor/A 55240-2021 karta.png", "A 55240-2021")</f>
        <v/>
      </c>
      <c r="V137">
        <f>HYPERLINK("https://klasma.github.io/Logging_2361/klagomål/A 55240-2021 FSC-klagomål.docx", "A 55240-2021")</f>
        <v/>
      </c>
      <c r="W137">
        <f>HYPERLINK("https://klasma.github.io/Logging_2361/klagomålsmail/A 55240-2021 FSC-klagomål mail.docx", "A 55240-2021")</f>
        <v/>
      </c>
      <c r="X137">
        <f>HYPERLINK("https://klasma.github.io/Logging_2361/tillsyn/A 55240-2021 tillsynsbegäran.docx", "A 55240-2021")</f>
        <v/>
      </c>
      <c r="Y137">
        <f>HYPERLINK("https://klasma.github.io/Logging_2361/tillsynsmail/A 55240-2021 tillsynsbegäran mail.docx", "A 55240-2021")</f>
        <v/>
      </c>
    </row>
    <row r="138" ht="15" customHeight="1">
      <c r="A138" t="inlineStr">
        <is>
          <t>A 55228-2021</t>
        </is>
      </c>
      <c r="B138" s="1" t="n">
        <v>44475</v>
      </c>
      <c r="C138" s="1" t="n">
        <v>45569</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55392-2021</t>
        </is>
      </c>
      <c r="B139" s="1" t="n">
        <v>44475</v>
      </c>
      <c r="C139" s="1" t="n">
        <v>45569</v>
      </c>
      <c r="D139" t="inlineStr">
        <is>
          <t>JÄMTLANDS LÄN</t>
        </is>
      </c>
      <c r="E139" t="inlineStr">
        <is>
          <t>HÄRJEDALEN</t>
        </is>
      </c>
      <c r="G139" t="n">
        <v>0.8</v>
      </c>
      <c r="H139" t="n">
        <v>0</v>
      </c>
      <c r="I139" t="n">
        <v>0</v>
      </c>
      <c r="J139" t="n">
        <v>2</v>
      </c>
      <c r="K139" t="n">
        <v>0</v>
      </c>
      <c r="L139" t="n">
        <v>0</v>
      </c>
      <c r="M139" t="n">
        <v>0</v>
      </c>
      <c r="N139" t="n">
        <v>0</v>
      </c>
      <c r="O139" t="n">
        <v>2</v>
      </c>
      <c r="P139" t="n">
        <v>0</v>
      </c>
      <c r="Q139" t="n">
        <v>2</v>
      </c>
      <c r="R139" s="2" t="inlineStr">
        <is>
          <t>Ladlav
Vedflamlav</t>
        </is>
      </c>
      <c r="S139">
        <f>HYPERLINK("https://klasma.github.io/Logging_2361/artfynd/A 55392-2021 artfynd.xlsx", "A 55392-2021")</f>
        <v/>
      </c>
      <c r="T139">
        <f>HYPERLINK("https://klasma.github.io/Logging_2361/kartor/A 55392-2021 karta.png", "A 55392-2021")</f>
        <v/>
      </c>
      <c r="V139">
        <f>HYPERLINK("https://klasma.github.io/Logging_2361/klagomål/A 55392-2021 FSC-klagomål.docx", "A 55392-2021")</f>
        <v/>
      </c>
      <c r="W139">
        <f>HYPERLINK("https://klasma.github.io/Logging_2361/klagomålsmail/A 55392-2021 FSC-klagomål mail.docx", "A 55392-2021")</f>
        <v/>
      </c>
      <c r="X139">
        <f>HYPERLINK("https://klasma.github.io/Logging_2361/tillsyn/A 55392-2021 tillsynsbegäran.docx", "A 55392-2021")</f>
        <v/>
      </c>
      <c r="Y139">
        <f>HYPERLINK("https://klasma.github.io/Logging_2361/tillsynsmail/A 55392-2021 tillsynsbegäran mail.docx", "A 55392-2021")</f>
        <v/>
      </c>
    </row>
    <row r="140" ht="15" customHeight="1">
      <c r="A140" t="inlineStr">
        <is>
          <t>A 17082-2022</t>
        </is>
      </c>
      <c r="B140" s="1" t="n">
        <v>44677</v>
      </c>
      <c r="C140" s="1" t="n">
        <v>45569</v>
      </c>
      <c r="D140" t="inlineStr">
        <is>
          <t>JÄMTLANDS LÄN</t>
        </is>
      </c>
      <c r="E140" t="inlineStr">
        <is>
          <t>HÄRJEDALEN</t>
        </is>
      </c>
      <c r="F140" t="inlineStr">
        <is>
          <t>Holmen skog AB</t>
        </is>
      </c>
      <c r="G140" t="n">
        <v>18.1</v>
      </c>
      <c r="H140" t="n">
        <v>0</v>
      </c>
      <c r="I140" t="n">
        <v>0</v>
      </c>
      <c r="J140" t="n">
        <v>2</v>
      </c>
      <c r="K140" t="n">
        <v>0</v>
      </c>
      <c r="L140" t="n">
        <v>0</v>
      </c>
      <c r="M140" t="n">
        <v>0</v>
      </c>
      <c r="N140" t="n">
        <v>0</v>
      </c>
      <c r="O140" t="n">
        <v>2</v>
      </c>
      <c r="P140" t="n">
        <v>0</v>
      </c>
      <c r="Q140" t="n">
        <v>2</v>
      </c>
      <c r="R140" s="2" t="inlineStr">
        <is>
          <t>Motaggsvamp
Orange taggsvamp</t>
        </is>
      </c>
      <c r="S140">
        <f>HYPERLINK("https://klasma.github.io/Logging_2361/artfynd/A 17082-2022 artfynd.xlsx", "A 17082-2022")</f>
        <v/>
      </c>
      <c r="T140">
        <f>HYPERLINK("https://klasma.github.io/Logging_2361/kartor/A 17082-2022 karta.png", "A 17082-2022")</f>
        <v/>
      </c>
      <c r="V140">
        <f>HYPERLINK("https://klasma.github.io/Logging_2361/klagomål/A 17082-2022 FSC-klagomål.docx", "A 17082-2022")</f>
        <v/>
      </c>
      <c r="W140">
        <f>HYPERLINK("https://klasma.github.io/Logging_2361/klagomålsmail/A 17082-2022 FSC-klagomål mail.docx", "A 17082-2022")</f>
        <v/>
      </c>
      <c r="X140">
        <f>HYPERLINK("https://klasma.github.io/Logging_2361/tillsyn/A 17082-2022 tillsynsbegäran.docx", "A 17082-2022")</f>
        <v/>
      </c>
      <c r="Y140">
        <f>HYPERLINK("https://klasma.github.io/Logging_2361/tillsynsmail/A 17082-2022 tillsynsbegäran mail.docx", "A 17082-2022")</f>
        <v/>
      </c>
    </row>
    <row r="141" ht="15" customHeight="1">
      <c r="A141" t="inlineStr">
        <is>
          <t>A 22464-2022</t>
        </is>
      </c>
      <c r="B141" s="1" t="n">
        <v>44713</v>
      </c>
      <c r="C141" s="1" t="n">
        <v>45569</v>
      </c>
      <c r="D141" t="inlineStr">
        <is>
          <t>JÄMTLANDS LÄN</t>
        </is>
      </c>
      <c r="E141" t="inlineStr">
        <is>
          <t>HÄRJEDALEN</t>
        </is>
      </c>
      <c r="F141" t="inlineStr">
        <is>
          <t>Sveaskog</t>
        </is>
      </c>
      <c r="G141" t="n">
        <v>4.3</v>
      </c>
      <c r="H141" t="n">
        <v>0</v>
      </c>
      <c r="I141" t="n">
        <v>1</v>
      </c>
      <c r="J141" t="n">
        <v>1</v>
      </c>
      <c r="K141" t="n">
        <v>0</v>
      </c>
      <c r="L141" t="n">
        <v>0</v>
      </c>
      <c r="M141" t="n">
        <v>0</v>
      </c>
      <c r="N141" t="n">
        <v>0</v>
      </c>
      <c r="O141" t="n">
        <v>1</v>
      </c>
      <c r="P141" t="n">
        <v>0</v>
      </c>
      <c r="Q141" t="n">
        <v>2</v>
      </c>
      <c r="R141" s="2" t="inlineStr">
        <is>
          <t>Lunglav
Dropptaggsvamp</t>
        </is>
      </c>
      <c r="S141">
        <f>HYPERLINK("https://klasma.github.io/Logging_2361/artfynd/A 22464-2022 artfynd.xlsx", "A 22464-2022")</f>
        <v/>
      </c>
      <c r="T141">
        <f>HYPERLINK("https://klasma.github.io/Logging_2361/kartor/A 22464-2022 karta.png", "A 22464-2022")</f>
        <v/>
      </c>
      <c r="U141">
        <f>HYPERLINK("https://klasma.github.io/Logging_2361/knärot/A 22464-2022 karta knärot.png", "A 22464-2022")</f>
        <v/>
      </c>
      <c r="V141">
        <f>HYPERLINK("https://klasma.github.io/Logging_2361/klagomål/A 22464-2022 FSC-klagomål.docx", "A 22464-2022")</f>
        <v/>
      </c>
      <c r="W141">
        <f>HYPERLINK("https://klasma.github.io/Logging_2361/klagomålsmail/A 22464-2022 FSC-klagomål mail.docx", "A 22464-2022")</f>
        <v/>
      </c>
      <c r="X141">
        <f>HYPERLINK("https://klasma.github.io/Logging_2361/tillsyn/A 22464-2022 tillsynsbegäran.docx", "A 22464-2022")</f>
        <v/>
      </c>
      <c r="Y141">
        <f>HYPERLINK("https://klasma.github.io/Logging_2361/tillsynsmail/A 22464-2022 tillsynsbegäran mail.docx", "A 22464-2022")</f>
        <v/>
      </c>
    </row>
    <row r="142" ht="15" customHeight="1">
      <c r="A142" t="inlineStr">
        <is>
          <t>A 47348-2022</t>
        </is>
      </c>
      <c r="B142" s="1" t="n">
        <v>44853</v>
      </c>
      <c r="C142" s="1" t="n">
        <v>45569</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v>
      </c>
      <c r="C143" s="1" t="n">
        <v>45569</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52453-2022</t>
        </is>
      </c>
      <c r="B144" s="1" t="n">
        <v>44874</v>
      </c>
      <c r="C144" s="1" t="n">
        <v>45569</v>
      </c>
      <c r="D144" t="inlineStr">
        <is>
          <t>JÄMTLANDS LÄN</t>
        </is>
      </c>
      <c r="E144" t="inlineStr">
        <is>
          <t>HÄRJEDALEN</t>
        </is>
      </c>
      <c r="F144" t="inlineStr">
        <is>
          <t>Bergvik skog väst AB</t>
        </is>
      </c>
      <c r="G144" t="n">
        <v>14.9</v>
      </c>
      <c r="H144" t="n">
        <v>0</v>
      </c>
      <c r="I144" t="n">
        <v>0</v>
      </c>
      <c r="J144" t="n">
        <v>2</v>
      </c>
      <c r="K144" t="n">
        <v>0</v>
      </c>
      <c r="L144" t="n">
        <v>0</v>
      </c>
      <c r="M144" t="n">
        <v>0</v>
      </c>
      <c r="N144" t="n">
        <v>0</v>
      </c>
      <c r="O144" t="n">
        <v>2</v>
      </c>
      <c r="P144" t="n">
        <v>0</v>
      </c>
      <c r="Q144" t="n">
        <v>2</v>
      </c>
      <c r="R144" s="2" t="inlineStr">
        <is>
          <t>Knottrig blåslav
Mörk kolflarnlav</t>
        </is>
      </c>
      <c r="S144">
        <f>HYPERLINK("https://klasma.github.io/Logging_2361/artfynd/A 52453-2022 artfynd.xlsx", "A 52453-2022")</f>
        <v/>
      </c>
      <c r="T144">
        <f>HYPERLINK("https://klasma.github.io/Logging_2361/kartor/A 52453-2022 karta.png", "A 52453-2022")</f>
        <v/>
      </c>
      <c r="V144">
        <f>HYPERLINK("https://klasma.github.io/Logging_2361/klagomål/A 52453-2022 FSC-klagomål.docx", "A 52453-2022")</f>
        <v/>
      </c>
      <c r="W144">
        <f>HYPERLINK("https://klasma.github.io/Logging_2361/klagomålsmail/A 52453-2022 FSC-klagomål mail.docx", "A 52453-2022")</f>
        <v/>
      </c>
      <c r="X144">
        <f>HYPERLINK("https://klasma.github.io/Logging_2361/tillsyn/A 52453-2022 tillsynsbegäran.docx", "A 52453-2022")</f>
        <v/>
      </c>
      <c r="Y144">
        <f>HYPERLINK("https://klasma.github.io/Logging_2361/tillsynsmail/A 52453-2022 tillsynsbegäran mail.docx", "A 52453-2022")</f>
        <v/>
      </c>
    </row>
    <row r="145" ht="15" customHeight="1">
      <c r="A145" t="inlineStr">
        <is>
          <t>A 4372-2023</t>
        </is>
      </c>
      <c r="B145" s="1" t="n">
        <v>44955</v>
      </c>
      <c r="C145" s="1" t="n">
        <v>45569</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10344-2023</t>
        </is>
      </c>
      <c r="B146" s="1" t="n">
        <v>44987</v>
      </c>
      <c r="C146" s="1" t="n">
        <v>45569</v>
      </c>
      <c r="D146" t="inlineStr">
        <is>
          <t>JÄMTLANDS LÄN</t>
        </is>
      </c>
      <c r="E146" t="inlineStr">
        <is>
          <t>HÄRJEDALEN</t>
        </is>
      </c>
      <c r="F146" t="inlineStr">
        <is>
          <t>Holmen skog AB</t>
        </is>
      </c>
      <c r="G146" t="n">
        <v>7.2</v>
      </c>
      <c r="H146" t="n">
        <v>0</v>
      </c>
      <c r="I146" t="n">
        <v>0</v>
      </c>
      <c r="J146" t="n">
        <v>2</v>
      </c>
      <c r="K146" t="n">
        <v>0</v>
      </c>
      <c r="L146" t="n">
        <v>0</v>
      </c>
      <c r="M146" t="n">
        <v>0</v>
      </c>
      <c r="N146" t="n">
        <v>0</v>
      </c>
      <c r="O146" t="n">
        <v>2</v>
      </c>
      <c r="P146" t="n">
        <v>0</v>
      </c>
      <c r="Q146" t="n">
        <v>2</v>
      </c>
      <c r="R146" s="2" t="inlineStr">
        <is>
          <t>Lunglav
Skrovellav</t>
        </is>
      </c>
      <c r="S146">
        <f>HYPERLINK("https://klasma.github.io/Logging_2361/artfynd/A 10344-2023 artfynd.xlsx", "A 10344-2023")</f>
        <v/>
      </c>
      <c r="T146">
        <f>HYPERLINK("https://klasma.github.io/Logging_2361/kartor/A 10344-2023 karta.png", "A 10344-2023")</f>
        <v/>
      </c>
      <c r="U146">
        <f>HYPERLINK("https://klasma.github.io/Logging_2361/knärot/A 10344-2023 karta knärot.png", "A 10344-2023")</f>
        <v/>
      </c>
      <c r="V146">
        <f>HYPERLINK("https://klasma.github.io/Logging_2361/klagomål/A 10344-2023 FSC-klagomål.docx", "A 10344-2023")</f>
        <v/>
      </c>
      <c r="W146">
        <f>HYPERLINK("https://klasma.github.io/Logging_2361/klagomålsmail/A 10344-2023 FSC-klagomål mail.docx", "A 10344-2023")</f>
        <v/>
      </c>
      <c r="X146">
        <f>HYPERLINK("https://klasma.github.io/Logging_2361/tillsyn/A 10344-2023 tillsynsbegäran.docx", "A 10344-2023")</f>
        <v/>
      </c>
      <c r="Y146">
        <f>HYPERLINK("https://klasma.github.io/Logging_2361/tillsynsmail/A 10344-2023 tillsynsbegäran mail.docx", "A 10344-2023")</f>
        <v/>
      </c>
    </row>
    <row r="147" ht="15" customHeight="1">
      <c r="A147" t="inlineStr">
        <is>
          <t>A 25742-2023</t>
        </is>
      </c>
      <c r="B147" s="1" t="n">
        <v>45090</v>
      </c>
      <c r="C147" s="1" t="n">
        <v>45569</v>
      </c>
      <c r="D147" t="inlineStr">
        <is>
          <t>JÄMTLANDS LÄN</t>
        </is>
      </c>
      <c r="E147" t="inlineStr">
        <is>
          <t>HÄRJEDALEN</t>
        </is>
      </c>
      <c r="F147" t="inlineStr">
        <is>
          <t>Bergvik skog väst AB</t>
        </is>
      </c>
      <c r="G147" t="n">
        <v>55</v>
      </c>
      <c r="H147" t="n">
        <v>0</v>
      </c>
      <c r="I147" t="n">
        <v>0</v>
      </c>
      <c r="J147" t="n">
        <v>2</v>
      </c>
      <c r="K147" t="n">
        <v>0</v>
      </c>
      <c r="L147" t="n">
        <v>0</v>
      </c>
      <c r="M147" t="n">
        <v>0</v>
      </c>
      <c r="N147" t="n">
        <v>0</v>
      </c>
      <c r="O147" t="n">
        <v>2</v>
      </c>
      <c r="P147" t="n">
        <v>0</v>
      </c>
      <c r="Q147" t="n">
        <v>2</v>
      </c>
      <c r="R147" s="2" t="inlineStr">
        <is>
          <t>Dvärgbägarlav
Mörk kolflarnlav</t>
        </is>
      </c>
      <c r="S147">
        <f>HYPERLINK("https://klasma.github.io/Logging_2361/artfynd/A 25742-2023 artfynd.xlsx", "A 25742-2023")</f>
        <v/>
      </c>
      <c r="T147">
        <f>HYPERLINK("https://klasma.github.io/Logging_2361/kartor/A 25742-2023 karta.png", "A 25742-2023")</f>
        <v/>
      </c>
      <c r="V147">
        <f>HYPERLINK("https://klasma.github.io/Logging_2361/klagomål/A 25742-2023 FSC-klagomål.docx", "A 25742-2023")</f>
        <v/>
      </c>
      <c r="W147">
        <f>HYPERLINK("https://klasma.github.io/Logging_2361/klagomålsmail/A 25742-2023 FSC-klagomål mail.docx", "A 25742-2023")</f>
        <v/>
      </c>
      <c r="X147">
        <f>HYPERLINK("https://klasma.github.io/Logging_2361/tillsyn/A 25742-2023 tillsynsbegäran.docx", "A 25742-2023")</f>
        <v/>
      </c>
      <c r="Y147">
        <f>HYPERLINK("https://klasma.github.io/Logging_2361/tillsynsmail/A 25742-2023 tillsynsbegäran mail.docx", "A 25742-2023")</f>
        <v/>
      </c>
    </row>
    <row r="148" ht="15" customHeight="1">
      <c r="A148" t="inlineStr">
        <is>
          <t>A 36750-2023</t>
        </is>
      </c>
      <c r="B148" s="1" t="n">
        <v>45153</v>
      </c>
      <c r="C148" s="1" t="n">
        <v>45569</v>
      </c>
      <c r="D148" t="inlineStr">
        <is>
          <t>JÄMTLANDS LÄN</t>
        </is>
      </c>
      <c r="E148" t="inlineStr">
        <is>
          <t>HÄRJEDALEN</t>
        </is>
      </c>
      <c r="G148" t="n">
        <v>8.199999999999999</v>
      </c>
      <c r="H148" t="n">
        <v>1</v>
      </c>
      <c r="I148" t="n">
        <v>0</v>
      </c>
      <c r="J148" t="n">
        <v>2</v>
      </c>
      <c r="K148" t="n">
        <v>0</v>
      </c>
      <c r="L148" t="n">
        <v>0</v>
      </c>
      <c r="M148" t="n">
        <v>0</v>
      </c>
      <c r="N148" t="n">
        <v>0</v>
      </c>
      <c r="O148" t="n">
        <v>2</v>
      </c>
      <c r="P148" t="n">
        <v>0</v>
      </c>
      <c r="Q148" t="n">
        <v>2</v>
      </c>
      <c r="R148" s="2" t="inlineStr">
        <is>
          <t>Järpe
Lunglav</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40015-2023</t>
        </is>
      </c>
      <c r="B149" s="1" t="n">
        <v>45168</v>
      </c>
      <c r="C149" s="1" t="n">
        <v>45569</v>
      </c>
      <c r="D149" t="inlineStr">
        <is>
          <t>JÄMTLANDS LÄN</t>
        </is>
      </c>
      <c r="E149" t="inlineStr">
        <is>
          <t>HÄRJEDALEN</t>
        </is>
      </c>
      <c r="G149" t="n">
        <v>21.9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HYPERLINK("https://klasma.github.io/Logging_2361/artfynd/A 40015-2023 artfynd.xlsx", "A 40015-2023")</f>
        <v/>
      </c>
      <c r="T149">
        <f>HYPERLINK("https://klasma.github.io/Logging_2361/kartor/A 40015-2023 karta.png", "A 40015-2023")</f>
        <v/>
      </c>
      <c r="V149">
        <f>HYPERLINK("https://klasma.github.io/Logging_2361/klagomål/A 40015-2023 FSC-klagomål.docx", "A 40015-2023")</f>
        <v/>
      </c>
      <c r="W149">
        <f>HYPERLINK("https://klasma.github.io/Logging_2361/klagomålsmail/A 40015-2023 FSC-klagomål mail.docx", "A 40015-2023")</f>
        <v/>
      </c>
      <c r="X149">
        <f>HYPERLINK("https://klasma.github.io/Logging_2361/tillsyn/A 40015-2023 tillsynsbegäran.docx", "A 40015-2023")</f>
        <v/>
      </c>
      <c r="Y149">
        <f>HYPERLINK("https://klasma.github.io/Logging_2361/tillsynsmail/A 40015-2023 tillsynsbegäran mail.docx", "A 40015-2023")</f>
        <v/>
      </c>
    </row>
    <row r="150" ht="15" customHeight="1">
      <c r="A150" t="inlineStr">
        <is>
          <t>A 45191-2023</t>
        </is>
      </c>
      <c r="B150" s="1" t="n">
        <v>45191</v>
      </c>
      <c r="C150" s="1" t="n">
        <v>45569</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22836-2024</t>
        </is>
      </c>
      <c r="B151" s="1" t="n">
        <v>45448</v>
      </c>
      <c r="C151" s="1" t="n">
        <v>45569</v>
      </c>
      <c r="D151" t="inlineStr">
        <is>
          <t>JÄMTLANDS LÄN</t>
        </is>
      </c>
      <c r="E151" t="inlineStr">
        <is>
          <t>HÄRJEDALEN</t>
        </is>
      </c>
      <c r="F151" t="inlineStr">
        <is>
          <t>Holmen skog AB</t>
        </is>
      </c>
      <c r="G151" t="n">
        <v>3.5</v>
      </c>
      <c r="H151" t="n">
        <v>0</v>
      </c>
      <c r="I151" t="n">
        <v>1</v>
      </c>
      <c r="J151" t="n">
        <v>1</v>
      </c>
      <c r="K151" t="n">
        <v>0</v>
      </c>
      <c r="L151" t="n">
        <v>0</v>
      </c>
      <c r="M151" t="n">
        <v>0</v>
      </c>
      <c r="N151" t="n">
        <v>0</v>
      </c>
      <c r="O151" t="n">
        <v>1</v>
      </c>
      <c r="P151" t="n">
        <v>0</v>
      </c>
      <c r="Q151" t="n">
        <v>2</v>
      </c>
      <c r="R151" s="2" t="inlineStr">
        <is>
          <t>Vedflamlav
Dropptaggsvamp</t>
        </is>
      </c>
      <c r="S151">
        <f>HYPERLINK("https://klasma.github.io/Logging_2361/artfynd/A 22836-2024 artfynd.xlsx", "A 22836-2024")</f>
        <v/>
      </c>
      <c r="T151">
        <f>HYPERLINK("https://klasma.github.io/Logging_2361/kartor/A 22836-2024 karta.png", "A 22836-2024")</f>
        <v/>
      </c>
      <c r="V151">
        <f>HYPERLINK("https://klasma.github.io/Logging_2361/klagomål/A 22836-2024 FSC-klagomål.docx", "A 22836-2024")</f>
        <v/>
      </c>
      <c r="W151">
        <f>HYPERLINK("https://klasma.github.io/Logging_2361/klagomålsmail/A 22836-2024 FSC-klagomål mail.docx", "A 22836-2024")</f>
        <v/>
      </c>
      <c r="X151">
        <f>HYPERLINK("https://klasma.github.io/Logging_2361/tillsyn/A 22836-2024 tillsynsbegäran.docx", "A 22836-2024")</f>
        <v/>
      </c>
      <c r="Y151">
        <f>HYPERLINK("https://klasma.github.io/Logging_2361/tillsynsmail/A 22836-2024 tillsynsbegäran mail.docx", "A 22836-2024")</f>
        <v/>
      </c>
    </row>
    <row r="152" ht="15" customHeight="1">
      <c r="A152" t="inlineStr">
        <is>
          <t>A 27179-2024</t>
        </is>
      </c>
      <c r="B152" s="1" t="n">
        <v>45471</v>
      </c>
      <c r="C152" s="1" t="n">
        <v>45569</v>
      </c>
      <c r="D152" t="inlineStr">
        <is>
          <t>JÄMTLANDS LÄN</t>
        </is>
      </c>
      <c r="E152" t="inlineStr">
        <is>
          <t>HÄRJEDALEN</t>
        </is>
      </c>
      <c r="G152" t="n">
        <v>3.1</v>
      </c>
      <c r="H152" t="n">
        <v>0</v>
      </c>
      <c r="I152" t="n">
        <v>1</v>
      </c>
      <c r="J152" t="n">
        <v>1</v>
      </c>
      <c r="K152" t="n">
        <v>0</v>
      </c>
      <c r="L152" t="n">
        <v>0</v>
      </c>
      <c r="M152" t="n">
        <v>0</v>
      </c>
      <c r="N152" t="n">
        <v>0</v>
      </c>
      <c r="O152" t="n">
        <v>1</v>
      </c>
      <c r="P152" t="n">
        <v>0</v>
      </c>
      <c r="Q152" t="n">
        <v>2</v>
      </c>
      <c r="R152" s="2" t="inlineStr">
        <is>
          <t>Garnlav
Korallblylav</t>
        </is>
      </c>
      <c r="S152">
        <f>HYPERLINK("https://klasma.github.io/Logging_2361/artfynd/A 27179-2024 artfynd.xlsx", "A 27179-2024")</f>
        <v/>
      </c>
      <c r="T152">
        <f>HYPERLINK("https://klasma.github.io/Logging_2361/kartor/A 27179-2024 karta.png", "A 27179-2024")</f>
        <v/>
      </c>
      <c r="V152">
        <f>HYPERLINK("https://klasma.github.io/Logging_2361/klagomål/A 27179-2024 FSC-klagomål.docx", "A 27179-2024")</f>
        <v/>
      </c>
      <c r="W152">
        <f>HYPERLINK("https://klasma.github.io/Logging_2361/klagomålsmail/A 27179-2024 FSC-klagomål mail.docx", "A 27179-2024")</f>
        <v/>
      </c>
      <c r="X152">
        <f>HYPERLINK("https://klasma.github.io/Logging_2361/tillsyn/A 27179-2024 tillsynsbegäran.docx", "A 27179-2024")</f>
        <v/>
      </c>
      <c r="Y152">
        <f>HYPERLINK("https://klasma.github.io/Logging_2361/tillsynsmail/A 27179-2024 tillsynsbegäran mail.docx", "A 27179-2024")</f>
        <v/>
      </c>
    </row>
    <row r="153" ht="15" customHeight="1">
      <c r="A153" t="inlineStr">
        <is>
          <t>A 31892-2024</t>
        </is>
      </c>
      <c r="B153" s="1" t="n">
        <v>45509</v>
      </c>
      <c r="C153" s="1" t="n">
        <v>45569</v>
      </c>
      <c r="D153" t="inlineStr">
        <is>
          <t>JÄMTLANDS LÄN</t>
        </is>
      </c>
      <c r="E153" t="inlineStr">
        <is>
          <t>HÄRJEDALEN</t>
        </is>
      </c>
      <c r="F153" t="inlineStr">
        <is>
          <t>SCA</t>
        </is>
      </c>
      <c r="G153" t="n">
        <v>5.2</v>
      </c>
      <c r="H153" t="n">
        <v>1</v>
      </c>
      <c r="I153" t="n">
        <v>1</v>
      </c>
      <c r="J153" t="n">
        <v>0</v>
      </c>
      <c r="K153" t="n">
        <v>0</v>
      </c>
      <c r="L153" t="n">
        <v>0</v>
      </c>
      <c r="M153" t="n">
        <v>0</v>
      </c>
      <c r="N153" t="n">
        <v>0</v>
      </c>
      <c r="O153" t="n">
        <v>0</v>
      </c>
      <c r="P153" t="n">
        <v>0</v>
      </c>
      <c r="Q153" t="n">
        <v>2</v>
      </c>
      <c r="R153" s="2" t="inlineStr">
        <is>
          <t>Bollvitmossa
Fläcknycklar</t>
        </is>
      </c>
      <c r="S153">
        <f>HYPERLINK("https://klasma.github.io/Logging_2361/artfynd/A 31892-2024 artfynd.xlsx", "A 31892-2024")</f>
        <v/>
      </c>
      <c r="T153">
        <f>HYPERLINK("https://klasma.github.io/Logging_2361/kartor/A 31892-2024 karta.png", "A 31892-2024")</f>
        <v/>
      </c>
      <c r="V153">
        <f>HYPERLINK("https://klasma.github.io/Logging_2361/klagomål/A 31892-2024 FSC-klagomål.docx", "A 31892-2024")</f>
        <v/>
      </c>
      <c r="W153">
        <f>HYPERLINK("https://klasma.github.io/Logging_2361/klagomålsmail/A 31892-2024 FSC-klagomål mail.docx", "A 31892-2024")</f>
        <v/>
      </c>
      <c r="X153">
        <f>HYPERLINK("https://klasma.github.io/Logging_2361/tillsyn/A 31892-2024 tillsynsbegäran.docx", "A 31892-2024")</f>
        <v/>
      </c>
      <c r="Y153">
        <f>HYPERLINK("https://klasma.github.io/Logging_2361/tillsynsmail/A 31892-2024 tillsynsbegäran mail.docx", "A 31892-2024")</f>
        <v/>
      </c>
    </row>
    <row r="154" ht="15" customHeight="1">
      <c r="A154" t="inlineStr">
        <is>
          <t>A 36051-2024</t>
        </is>
      </c>
      <c r="B154" s="1" t="n">
        <v>45533</v>
      </c>
      <c r="C154" s="1" t="n">
        <v>45569</v>
      </c>
      <c r="D154" t="inlineStr">
        <is>
          <t>JÄMTLANDS LÄN</t>
        </is>
      </c>
      <c r="E154" t="inlineStr">
        <is>
          <t>HÄRJEDALEN</t>
        </is>
      </c>
      <c r="F154" t="inlineStr">
        <is>
          <t>Sveaskog</t>
        </is>
      </c>
      <c r="G154" t="n">
        <v>2.3</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HYPERLINK("https://klasma.github.io/Logging_2361/artfynd/A 36051-2024 artfynd.xlsx", "A 36051-2024")</f>
        <v/>
      </c>
      <c r="T154">
        <f>HYPERLINK("https://klasma.github.io/Logging_2361/kartor/A 36051-2024 karta.png", "A 36051-2024")</f>
        <v/>
      </c>
      <c r="V154">
        <f>HYPERLINK("https://klasma.github.io/Logging_2361/klagomål/A 36051-2024 FSC-klagomål.docx", "A 36051-2024")</f>
        <v/>
      </c>
      <c r="W154">
        <f>HYPERLINK("https://klasma.github.io/Logging_2361/klagomålsmail/A 36051-2024 FSC-klagomål mail.docx", "A 36051-2024")</f>
        <v/>
      </c>
      <c r="X154">
        <f>HYPERLINK("https://klasma.github.io/Logging_2361/tillsyn/A 36051-2024 tillsynsbegäran.docx", "A 36051-2024")</f>
        <v/>
      </c>
      <c r="Y154">
        <f>HYPERLINK("https://klasma.github.io/Logging_2361/tillsynsmail/A 36051-2024 tillsynsbegäran mail.docx", "A 36051-2024")</f>
        <v/>
      </c>
    </row>
    <row r="155" ht="15" customHeight="1">
      <c r="A155" t="inlineStr">
        <is>
          <t>A 36924-2024</t>
        </is>
      </c>
      <c r="B155" s="1" t="n">
        <v>45538</v>
      </c>
      <c r="C155" s="1" t="n">
        <v>45569</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39718-2024</t>
        </is>
      </c>
      <c r="B156" s="1" t="n">
        <v>45552</v>
      </c>
      <c r="C156" s="1" t="n">
        <v>45569</v>
      </c>
      <c r="D156" t="inlineStr">
        <is>
          <t>JÄMTLANDS LÄN</t>
        </is>
      </c>
      <c r="E156" t="inlineStr">
        <is>
          <t>HÄRJEDALEN</t>
        </is>
      </c>
      <c r="G156" t="n">
        <v>9.4</v>
      </c>
      <c r="H156" t="n">
        <v>0</v>
      </c>
      <c r="I156" t="n">
        <v>0</v>
      </c>
      <c r="J156" t="n">
        <v>1</v>
      </c>
      <c r="K156" t="n">
        <v>1</v>
      </c>
      <c r="L156" t="n">
        <v>0</v>
      </c>
      <c r="M156" t="n">
        <v>0</v>
      </c>
      <c r="N156" t="n">
        <v>0</v>
      </c>
      <c r="O156" t="n">
        <v>2</v>
      </c>
      <c r="P156" t="n">
        <v>1</v>
      </c>
      <c r="Q156" t="n">
        <v>2</v>
      </c>
      <c r="R156" s="2" t="inlineStr">
        <is>
          <t>Gräddporing
Slåtterfibbla</t>
        </is>
      </c>
      <c r="S156">
        <f>HYPERLINK("https://klasma.github.io/Logging_2361/artfynd/A 39718-2024 artfynd.xlsx", "A 39718-2024")</f>
        <v/>
      </c>
      <c r="T156">
        <f>HYPERLINK("https://klasma.github.io/Logging_2361/kartor/A 39718-2024 karta.png", "A 39718-2024")</f>
        <v/>
      </c>
      <c r="U156">
        <f>HYPERLINK("https://klasma.github.io/Logging_2361/knärot/A 39718-2024 karta knärot.png", "A 39718-2024")</f>
        <v/>
      </c>
      <c r="V156">
        <f>HYPERLINK("https://klasma.github.io/Logging_2361/klagomål/A 39718-2024 FSC-klagomål.docx", "A 39718-2024")</f>
        <v/>
      </c>
      <c r="W156">
        <f>HYPERLINK("https://klasma.github.io/Logging_2361/klagomålsmail/A 39718-2024 FSC-klagomål mail.docx", "A 39718-2024")</f>
        <v/>
      </c>
      <c r="X156">
        <f>HYPERLINK("https://klasma.github.io/Logging_2361/tillsyn/A 39718-2024 tillsynsbegäran.docx", "A 39718-2024")</f>
        <v/>
      </c>
      <c r="Y156">
        <f>HYPERLINK("https://klasma.github.io/Logging_2361/tillsynsmail/A 39718-2024 tillsynsbegäran mail.docx", "A 39718-2024")</f>
        <v/>
      </c>
    </row>
    <row r="157" ht="15" customHeight="1">
      <c r="A157" t="inlineStr">
        <is>
          <t>A 24898-2020</t>
        </is>
      </c>
      <c r="B157" s="1" t="n">
        <v>43979</v>
      </c>
      <c r="C157" s="1" t="n">
        <v>45569</v>
      </c>
      <c r="D157" t="inlineStr">
        <is>
          <t>JÄMTLANDS LÄN</t>
        </is>
      </c>
      <c r="E157" t="inlineStr">
        <is>
          <t>HÄRJEDALEN</t>
        </is>
      </c>
      <c r="F157" t="inlineStr">
        <is>
          <t>Sveaskog</t>
        </is>
      </c>
      <c r="G157" t="n">
        <v>2.9</v>
      </c>
      <c r="H157" t="n">
        <v>0</v>
      </c>
      <c r="I157" t="n">
        <v>0</v>
      </c>
      <c r="J157" t="n">
        <v>1</v>
      </c>
      <c r="K157" t="n">
        <v>0</v>
      </c>
      <c r="L157" t="n">
        <v>0</v>
      </c>
      <c r="M157" t="n">
        <v>0</v>
      </c>
      <c r="N157" t="n">
        <v>0</v>
      </c>
      <c r="O157" t="n">
        <v>1</v>
      </c>
      <c r="P157" t="n">
        <v>0</v>
      </c>
      <c r="Q157" t="n">
        <v>1</v>
      </c>
      <c r="R157" s="2" t="inlineStr">
        <is>
          <t>Brunklöver</t>
        </is>
      </c>
      <c r="S157">
        <f>HYPERLINK("https://klasma.github.io/Logging_2361/artfynd/A 24898-2020 artfynd.xlsx", "A 24898-2020")</f>
        <v/>
      </c>
      <c r="T157">
        <f>HYPERLINK("https://klasma.github.io/Logging_2361/kartor/A 24898-2020 karta.png", "A 24898-2020")</f>
        <v/>
      </c>
      <c r="V157">
        <f>HYPERLINK("https://klasma.github.io/Logging_2361/klagomål/A 24898-2020 FSC-klagomål.docx", "A 24898-2020")</f>
        <v/>
      </c>
      <c r="W157">
        <f>HYPERLINK("https://klasma.github.io/Logging_2361/klagomålsmail/A 24898-2020 FSC-klagomål mail.docx", "A 24898-2020")</f>
        <v/>
      </c>
      <c r="X157">
        <f>HYPERLINK("https://klasma.github.io/Logging_2361/tillsyn/A 24898-2020 tillsynsbegäran.docx", "A 24898-2020")</f>
        <v/>
      </c>
      <c r="Y157">
        <f>HYPERLINK("https://klasma.github.io/Logging_2361/tillsynsmail/A 24898-2020 tillsynsbegäran mail.docx", "A 24898-2020")</f>
        <v/>
      </c>
    </row>
    <row r="158" ht="15" customHeight="1">
      <c r="A158" t="inlineStr">
        <is>
          <t>A 36954-2020</t>
        </is>
      </c>
      <c r="B158" s="1" t="n">
        <v>44053</v>
      </c>
      <c r="C158" s="1" t="n">
        <v>45569</v>
      </c>
      <c r="D158" t="inlineStr">
        <is>
          <t>JÄMTLANDS LÄN</t>
        </is>
      </c>
      <c r="E158" t="inlineStr">
        <is>
          <t>HÄRJEDALEN</t>
        </is>
      </c>
      <c r="F158" t="inlineStr">
        <is>
          <t>SCA</t>
        </is>
      </c>
      <c r="G158" t="n">
        <v>38.7</v>
      </c>
      <c r="H158" t="n">
        <v>0</v>
      </c>
      <c r="I158" t="n">
        <v>0</v>
      </c>
      <c r="J158" t="n">
        <v>1</v>
      </c>
      <c r="K158" t="n">
        <v>0</v>
      </c>
      <c r="L158" t="n">
        <v>0</v>
      </c>
      <c r="M158" t="n">
        <v>0</v>
      </c>
      <c r="N158" t="n">
        <v>0</v>
      </c>
      <c r="O158" t="n">
        <v>1</v>
      </c>
      <c r="P158" t="n">
        <v>0</v>
      </c>
      <c r="Q158" t="n">
        <v>1</v>
      </c>
      <c r="R158" s="2" t="inlineStr">
        <is>
          <t>Reliktbock</t>
        </is>
      </c>
      <c r="S158">
        <f>HYPERLINK("https://klasma.github.io/Logging_2361/artfynd/A 36954-2020 artfynd.xlsx", "A 36954-2020")</f>
        <v/>
      </c>
      <c r="T158">
        <f>HYPERLINK("https://klasma.github.io/Logging_2361/kartor/A 36954-2020 karta.png", "A 36954-2020")</f>
        <v/>
      </c>
      <c r="V158">
        <f>HYPERLINK("https://klasma.github.io/Logging_2361/klagomål/A 36954-2020 FSC-klagomål.docx", "A 36954-2020")</f>
        <v/>
      </c>
      <c r="W158">
        <f>HYPERLINK("https://klasma.github.io/Logging_2361/klagomålsmail/A 36954-2020 FSC-klagomål mail.docx", "A 36954-2020")</f>
        <v/>
      </c>
      <c r="X158">
        <f>HYPERLINK("https://klasma.github.io/Logging_2361/tillsyn/A 36954-2020 tillsynsbegäran.docx", "A 36954-2020")</f>
        <v/>
      </c>
      <c r="Y158">
        <f>HYPERLINK("https://klasma.github.io/Logging_2361/tillsynsmail/A 36954-2020 tillsynsbegäran mail.docx", "A 36954-2020")</f>
        <v/>
      </c>
    </row>
    <row r="159" ht="15" customHeight="1">
      <c r="A159" t="inlineStr">
        <is>
          <t>A 47685-2020</t>
        </is>
      </c>
      <c r="B159" s="1" t="n">
        <v>44096</v>
      </c>
      <c r="C159" s="1" t="n">
        <v>45569</v>
      </c>
      <c r="D159" t="inlineStr">
        <is>
          <t>JÄMTLANDS LÄN</t>
        </is>
      </c>
      <c r="E159" t="inlineStr">
        <is>
          <t>HÄRJEDALEN</t>
        </is>
      </c>
      <c r="F159" t="inlineStr">
        <is>
          <t>Sveaskog</t>
        </is>
      </c>
      <c r="G159" t="n">
        <v>2.3</v>
      </c>
      <c r="H159" t="n">
        <v>0</v>
      </c>
      <c r="I159" t="n">
        <v>0</v>
      </c>
      <c r="J159" t="n">
        <v>1</v>
      </c>
      <c r="K159" t="n">
        <v>0</v>
      </c>
      <c r="L159" t="n">
        <v>0</v>
      </c>
      <c r="M159" t="n">
        <v>0</v>
      </c>
      <c r="N159" t="n">
        <v>0</v>
      </c>
      <c r="O159" t="n">
        <v>1</v>
      </c>
      <c r="P159" t="n">
        <v>0</v>
      </c>
      <c r="Q159" t="n">
        <v>1</v>
      </c>
      <c r="R159" s="2" t="inlineStr">
        <is>
          <t>Lunglav</t>
        </is>
      </c>
      <c r="S159">
        <f>HYPERLINK("https://klasma.github.io/Logging_2361/artfynd/A 47685-2020 artfynd.xlsx", "A 47685-2020")</f>
        <v/>
      </c>
      <c r="T159">
        <f>HYPERLINK("https://klasma.github.io/Logging_2361/kartor/A 47685-2020 karta.png", "A 47685-2020")</f>
        <v/>
      </c>
      <c r="V159">
        <f>HYPERLINK("https://klasma.github.io/Logging_2361/klagomål/A 47685-2020 FSC-klagomål.docx", "A 47685-2020")</f>
        <v/>
      </c>
      <c r="W159">
        <f>HYPERLINK("https://klasma.github.io/Logging_2361/klagomålsmail/A 47685-2020 FSC-klagomål mail.docx", "A 47685-2020")</f>
        <v/>
      </c>
      <c r="X159">
        <f>HYPERLINK("https://klasma.github.io/Logging_2361/tillsyn/A 47685-2020 tillsynsbegäran.docx", "A 47685-2020")</f>
        <v/>
      </c>
      <c r="Y159">
        <f>HYPERLINK("https://klasma.github.io/Logging_2361/tillsynsmail/A 47685-2020 tillsynsbegäran mail.docx", "A 47685-2020")</f>
        <v/>
      </c>
    </row>
    <row r="160" ht="15" customHeight="1">
      <c r="A160" t="inlineStr">
        <is>
          <t>A 51387-2020</t>
        </is>
      </c>
      <c r="B160" s="1" t="n">
        <v>44113</v>
      </c>
      <c r="C160" s="1" t="n">
        <v>45569</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21572-2021</t>
        </is>
      </c>
      <c r="B161" s="1" t="n">
        <v>44321</v>
      </c>
      <c r="C161" s="1" t="n">
        <v>45569</v>
      </c>
      <c r="D161" t="inlineStr">
        <is>
          <t>JÄMTLANDS LÄN</t>
        </is>
      </c>
      <c r="E161" t="inlineStr">
        <is>
          <t>HÄRJEDALEN</t>
        </is>
      </c>
      <c r="F161" t="inlineStr">
        <is>
          <t>Holmen skog AB</t>
        </is>
      </c>
      <c r="G161" t="n">
        <v>29</v>
      </c>
      <c r="H161" t="n">
        <v>0</v>
      </c>
      <c r="I161" t="n">
        <v>0</v>
      </c>
      <c r="J161" t="n">
        <v>1</v>
      </c>
      <c r="K161" t="n">
        <v>0</v>
      </c>
      <c r="L161" t="n">
        <v>0</v>
      </c>
      <c r="M161" t="n">
        <v>0</v>
      </c>
      <c r="N161" t="n">
        <v>0</v>
      </c>
      <c r="O161" t="n">
        <v>1</v>
      </c>
      <c r="P161" t="n">
        <v>0</v>
      </c>
      <c r="Q161" t="n">
        <v>1</v>
      </c>
      <c r="R161" s="2" t="inlineStr">
        <is>
          <t>Skrovlig taggsvamp</t>
        </is>
      </c>
      <c r="S161">
        <f>HYPERLINK("https://klasma.github.io/Logging_2361/artfynd/A 21572-2021 artfynd.xlsx", "A 21572-2021")</f>
        <v/>
      </c>
      <c r="T161">
        <f>HYPERLINK("https://klasma.github.io/Logging_2361/kartor/A 21572-2021 karta.png", "A 21572-2021")</f>
        <v/>
      </c>
      <c r="V161">
        <f>HYPERLINK("https://klasma.github.io/Logging_2361/klagomål/A 21572-2021 FSC-klagomål.docx", "A 21572-2021")</f>
        <v/>
      </c>
      <c r="W161">
        <f>HYPERLINK("https://klasma.github.io/Logging_2361/klagomålsmail/A 21572-2021 FSC-klagomål mail.docx", "A 21572-2021")</f>
        <v/>
      </c>
      <c r="X161">
        <f>HYPERLINK("https://klasma.github.io/Logging_2361/tillsyn/A 21572-2021 tillsynsbegäran.docx", "A 21572-2021")</f>
        <v/>
      </c>
      <c r="Y161">
        <f>HYPERLINK("https://klasma.github.io/Logging_2361/tillsynsmail/A 21572-2021 tillsynsbegäran mail.docx", "A 21572-2021")</f>
        <v/>
      </c>
    </row>
    <row r="162" ht="15" customHeight="1">
      <c r="A162" t="inlineStr">
        <is>
          <t>A 38359-2021</t>
        </is>
      </c>
      <c r="B162" s="1" t="n">
        <v>44406</v>
      </c>
      <c r="C162" s="1" t="n">
        <v>45569</v>
      </c>
      <c r="D162" t="inlineStr">
        <is>
          <t>JÄMTLANDS LÄN</t>
        </is>
      </c>
      <c r="E162" t="inlineStr">
        <is>
          <t>HÄRJEDALEN</t>
        </is>
      </c>
      <c r="G162" t="n">
        <v>17.3</v>
      </c>
      <c r="H162" t="n">
        <v>1</v>
      </c>
      <c r="I162" t="n">
        <v>0</v>
      </c>
      <c r="J162" t="n">
        <v>0</v>
      </c>
      <c r="K162" t="n">
        <v>1</v>
      </c>
      <c r="L162" t="n">
        <v>0</v>
      </c>
      <c r="M162" t="n">
        <v>0</v>
      </c>
      <c r="N162" t="n">
        <v>0</v>
      </c>
      <c r="O162" t="n">
        <v>1</v>
      </c>
      <c r="P162" t="n">
        <v>1</v>
      </c>
      <c r="Q162" t="n">
        <v>1</v>
      </c>
      <c r="R162" s="2" t="inlineStr">
        <is>
          <t>Knärot</t>
        </is>
      </c>
      <c r="S162">
        <f>HYPERLINK("https://klasma.github.io/Logging_2361/artfynd/A 38359-2021 artfynd.xlsx", "A 38359-2021")</f>
        <v/>
      </c>
      <c r="T162">
        <f>HYPERLINK("https://klasma.github.io/Logging_2361/kartor/A 38359-2021 karta.png", "A 38359-2021")</f>
        <v/>
      </c>
      <c r="U162">
        <f>HYPERLINK("https://klasma.github.io/Logging_2361/knärot/A 38359-2021 karta knärot.png", "A 38359-2021")</f>
        <v/>
      </c>
      <c r="V162">
        <f>HYPERLINK("https://klasma.github.io/Logging_2361/klagomål/A 38359-2021 FSC-klagomål.docx", "A 38359-2021")</f>
        <v/>
      </c>
      <c r="W162">
        <f>HYPERLINK("https://klasma.github.io/Logging_2361/klagomålsmail/A 38359-2021 FSC-klagomål mail.docx", "A 38359-2021")</f>
        <v/>
      </c>
      <c r="X162">
        <f>HYPERLINK("https://klasma.github.io/Logging_2361/tillsyn/A 38359-2021 tillsynsbegäran.docx", "A 38359-2021")</f>
        <v/>
      </c>
      <c r="Y162">
        <f>HYPERLINK("https://klasma.github.io/Logging_2361/tillsynsmail/A 38359-2021 tillsynsbegäran mail.docx", "A 38359-2021")</f>
        <v/>
      </c>
    </row>
    <row r="163" ht="15" customHeight="1">
      <c r="A163" t="inlineStr">
        <is>
          <t>A 55223-2021</t>
        </is>
      </c>
      <c r="B163" s="1" t="n">
        <v>44475</v>
      </c>
      <c r="C163" s="1" t="n">
        <v>45569</v>
      </c>
      <c r="D163" t="inlineStr">
        <is>
          <t>JÄMTLANDS LÄN</t>
        </is>
      </c>
      <c r="E163" t="inlineStr">
        <is>
          <t>HÄRJEDALEN</t>
        </is>
      </c>
      <c r="G163" t="n">
        <v>18.2</v>
      </c>
      <c r="H163" t="n">
        <v>1</v>
      </c>
      <c r="I163" t="n">
        <v>0</v>
      </c>
      <c r="J163" t="n">
        <v>1</v>
      </c>
      <c r="K163" t="n">
        <v>0</v>
      </c>
      <c r="L163" t="n">
        <v>0</v>
      </c>
      <c r="M163" t="n">
        <v>0</v>
      </c>
      <c r="N163" t="n">
        <v>0</v>
      </c>
      <c r="O163" t="n">
        <v>1</v>
      </c>
      <c r="P163" t="n">
        <v>0</v>
      </c>
      <c r="Q163" t="n">
        <v>1</v>
      </c>
      <c r="R163" s="2" t="inlineStr">
        <is>
          <t>Varglav</t>
        </is>
      </c>
      <c r="S163">
        <f>HYPERLINK("https://klasma.github.io/Logging_2361/artfynd/A 55223-2021 artfynd.xlsx", "A 55223-2021")</f>
        <v/>
      </c>
      <c r="T163">
        <f>HYPERLINK("https://klasma.github.io/Logging_2361/kartor/A 55223-2021 karta.png", "A 55223-2021")</f>
        <v/>
      </c>
      <c r="V163">
        <f>HYPERLINK("https://klasma.github.io/Logging_2361/klagomål/A 55223-2021 FSC-klagomål.docx", "A 55223-2021")</f>
        <v/>
      </c>
      <c r="W163">
        <f>HYPERLINK("https://klasma.github.io/Logging_2361/klagomålsmail/A 55223-2021 FSC-klagomål mail.docx", "A 55223-2021")</f>
        <v/>
      </c>
      <c r="X163">
        <f>HYPERLINK("https://klasma.github.io/Logging_2361/tillsyn/A 55223-2021 tillsynsbegäran.docx", "A 55223-2021")</f>
        <v/>
      </c>
      <c r="Y163">
        <f>HYPERLINK("https://klasma.github.io/Logging_2361/tillsynsmail/A 55223-2021 tillsynsbegäran mail.docx", "A 55223-2021")</f>
        <v/>
      </c>
    </row>
    <row r="164" ht="15" customHeight="1">
      <c r="A164" t="inlineStr">
        <is>
          <t>A 55222-2021</t>
        </is>
      </c>
      <c r="B164" s="1" t="n">
        <v>44475</v>
      </c>
      <c r="C164" s="1" t="n">
        <v>45569</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55221-2021</t>
        </is>
      </c>
      <c r="B165" s="1" t="n">
        <v>44475</v>
      </c>
      <c r="C165" s="1" t="n">
        <v>45569</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55245-2021</t>
        </is>
      </c>
      <c r="B166" s="1" t="n">
        <v>44475</v>
      </c>
      <c r="C166" s="1" t="n">
        <v>45569</v>
      </c>
      <c r="D166" t="inlineStr">
        <is>
          <t>JÄMTLANDS LÄN</t>
        </is>
      </c>
      <c r="E166" t="inlineStr">
        <is>
          <t>HÄRJEDALEN</t>
        </is>
      </c>
      <c r="G166" t="n">
        <v>5.1</v>
      </c>
      <c r="H166" t="n">
        <v>0</v>
      </c>
      <c r="I166" t="n">
        <v>0</v>
      </c>
      <c r="J166" t="n">
        <v>1</v>
      </c>
      <c r="K166" t="n">
        <v>0</v>
      </c>
      <c r="L166" t="n">
        <v>0</v>
      </c>
      <c r="M166" t="n">
        <v>0</v>
      </c>
      <c r="N166" t="n">
        <v>0</v>
      </c>
      <c r="O166" t="n">
        <v>1</v>
      </c>
      <c r="P166" t="n">
        <v>0</v>
      </c>
      <c r="Q166" t="n">
        <v>1</v>
      </c>
      <c r="R166" s="2" t="inlineStr">
        <is>
          <t>Blanksvart spiklav</t>
        </is>
      </c>
      <c r="S166">
        <f>HYPERLINK("https://klasma.github.io/Logging_2361/artfynd/A 55245-2021 artfynd.xlsx", "A 55245-2021")</f>
        <v/>
      </c>
      <c r="T166">
        <f>HYPERLINK("https://klasma.github.io/Logging_2361/kartor/A 55245-2021 karta.png", "A 55245-2021")</f>
        <v/>
      </c>
      <c r="V166">
        <f>HYPERLINK("https://klasma.github.io/Logging_2361/klagomål/A 55245-2021 FSC-klagomål.docx", "A 55245-2021")</f>
        <v/>
      </c>
      <c r="W166">
        <f>HYPERLINK("https://klasma.github.io/Logging_2361/klagomålsmail/A 55245-2021 FSC-klagomål mail.docx", "A 55245-2021")</f>
        <v/>
      </c>
      <c r="X166">
        <f>HYPERLINK("https://klasma.github.io/Logging_2361/tillsyn/A 55245-2021 tillsynsbegäran.docx", "A 55245-2021")</f>
        <v/>
      </c>
      <c r="Y166">
        <f>HYPERLINK("https://klasma.github.io/Logging_2361/tillsynsmail/A 55245-2021 tillsynsbegäran mail.docx", "A 55245-2021")</f>
        <v/>
      </c>
    </row>
    <row r="167" ht="15" customHeight="1">
      <c r="A167" t="inlineStr">
        <is>
          <t>A 13982-2022</t>
        </is>
      </c>
      <c r="B167" s="1" t="n">
        <v>44650</v>
      </c>
      <c r="C167" s="1" t="n">
        <v>45569</v>
      </c>
      <c r="D167" t="inlineStr">
        <is>
          <t>JÄMTLANDS LÄN</t>
        </is>
      </c>
      <c r="E167" t="inlineStr">
        <is>
          <t>HÄRJEDALEN</t>
        </is>
      </c>
      <c r="F167" t="inlineStr">
        <is>
          <t>Holmen skog AB</t>
        </is>
      </c>
      <c r="G167" t="n">
        <v>4.4</v>
      </c>
      <c r="H167" t="n">
        <v>0</v>
      </c>
      <c r="I167" t="n">
        <v>0</v>
      </c>
      <c r="J167" t="n">
        <v>1</v>
      </c>
      <c r="K167" t="n">
        <v>0</v>
      </c>
      <c r="L167" t="n">
        <v>0</v>
      </c>
      <c r="M167" t="n">
        <v>0</v>
      </c>
      <c r="N167" t="n">
        <v>0</v>
      </c>
      <c r="O167" t="n">
        <v>1</v>
      </c>
      <c r="P167" t="n">
        <v>0</v>
      </c>
      <c r="Q167" t="n">
        <v>1</v>
      </c>
      <c r="R167" s="2" t="inlineStr">
        <is>
          <t>Garnlav</t>
        </is>
      </c>
      <c r="S167">
        <f>HYPERLINK("https://klasma.github.io/Logging_2361/artfynd/A 13982-2022 artfynd.xlsx", "A 13982-2022")</f>
        <v/>
      </c>
      <c r="T167">
        <f>HYPERLINK("https://klasma.github.io/Logging_2361/kartor/A 13982-2022 karta.png", "A 13982-2022")</f>
        <v/>
      </c>
      <c r="V167">
        <f>HYPERLINK("https://klasma.github.io/Logging_2361/klagomål/A 13982-2022 FSC-klagomål.docx", "A 13982-2022")</f>
        <v/>
      </c>
      <c r="W167">
        <f>HYPERLINK("https://klasma.github.io/Logging_2361/klagomålsmail/A 13982-2022 FSC-klagomål mail.docx", "A 13982-2022")</f>
        <v/>
      </c>
      <c r="X167">
        <f>HYPERLINK("https://klasma.github.io/Logging_2361/tillsyn/A 13982-2022 tillsynsbegäran.docx", "A 13982-2022")</f>
        <v/>
      </c>
      <c r="Y167">
        <f>HYPERLINK("https://klasma.github.io/Logging_2361/tillsynsmail/A 13982-2022 tillsynsbegäran mail.docx", "A 13982-2022")</f>
        <v/>
      </c>
    </row>
    <row r="168" ht="15" customHeight="1">
      <c r="A168" t="inlineStr">
        <is>
          <t>A 15360-2022</t>
        </is>
      </c>
      <c r="B168" s="1" t="n">
        <v>44659</v>
      </c>
      <c r="C168" s="1" t="n">
        <v>45569</v>
      </c>
      <c r="D168" t="inlineStr">
        <is>
          <t>JÄMTLANDS LÄN</t>
        </is>
      </c>
      <c r="E168" t="inlineStr">
        <is>
          <t>HÄRJEDALEN</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15360-2022 artfynd.xlsx", "A 15360-2022")</f>
        <v/>
      </c>
      <c r="T168">
        <f>HYPERLINK("https://klasma.github.io/Logging_2361/kartor/A 15360-2022 karta.png", "A 15360-2022")</f>
        <v/>
      </c>
      <c r="V168">
        <f>HYPERLINK("https://klasma.github.io/Logging_2361/klagomål/A 15360-2022 FSC-klagomål.docx", "A 15360-2022")</f>
        <v/>
      </c>
      <c r="W168">
        <f>HYPERLINK("https://klasma.github.io/Logging_2361/klagomålsmail/A 15360-2022 FSC-klagomål mail.docx", "A 15360-2022")</f>
        <v/>
      </c>
      <c r="X168">
        <f>HYPERLINK("https://klasma.github.io/Logging_2361/tillsyn/A 15360-2022 tillsynsbegäran.docx", "A 15360-2022")</f>
        <v/>
      </c>
      <c r="Y168">
        <f>HYPERLINK("https://klasma.github.io/Logging_2361/tillsynsmail/A 15360-2022 tillsynsbegäran mail.docx", "A 15360-2022")</f>
        <v/>
      </c>
    </row>
    <row r="169" ht="15" customHeight="1">
      <c r="A169" t="inlineStr">
        <is>
          <t>A 31061-2022</t>
        </is>
      </c>
      <c r="B169" s="1" t="n">
        <v>44769</v>
      </c>
      <c r="C169" s="1" t="n">
        <v>45569</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42214-2022</t>
        </is>
      </c>
      <c r="B170" s="1" t="n">
        <v>44830</v>
      </c>
      <c r="C170" s="1" t="n">
        <v>45569</v>
      </c>
      <c r="D170" t="inlineStr">
        <is>
          <t>JÄMTLANDS LÄN</t>
        </is>
      </c>
      <c r="E170" t="inlineStr">
        <is>
          <t>HÄRJEDALEN</t>
        </is>
      </c>
      <c r="F170" t="inlineStr">
        <is>
          <t>Sveaskog</t>
        </is>
      </c>
      <c r="G170" t="n">
        <v>8.800000000000001</v>
      </c>
      <c r="H170" t="n">
        <v>0</v>
      </c>
      <c r="I170" t="n">
        <v>0</v>
      </c>
      <c r="J170" t="n">
        <v>0</v>
      </c>
      <c r="K170" t="n">
        <v>1</v>
      </c>
      <c r="L170" t="n">
        <v>0</v>
      </c>
      <c r="M170" t="n">
        <v>0</v>
      </c>
      <c r="N170" t="n">
        <v>0</v>
      </c>
      <c r="O170" t="n">
        <v>1</v>
      </c>
      <c r="P170" t="n">
        <v>1</v>
      </c>
      <c r="Q170" t="n">
        <v>1</v>
      </c>
      <c r="R170" s="2" t="inlineStr">
        <is>
          <t>Rynkskinn</t>
        </is>
      </c>
      <c r="S170">
        <f>HYPERLINK("https://klasma.github.io/Logging_2361/artfynd/A 42214-2022 artfynd.xlsx", "A 42214-2022")</f>
        <v/>
      </c>
      <c r="T170">
        <f>HYPERLINK("https://klasma.github.io/Logging_2361/kartor/A 42214-2022 karta.png", "A 42214-2022")</f>
        <v/>
      </c>
      <c r="V170">
        <f>HYPERLINK("https://klasma.github.io/Logging_2361/klagomål/A 42214-2022 FSC-klagomål.docx", "A 42214-2022")</f>
        <v/>
      </c>
      <c r="W170">
        <f>HYPERLINK("https://klasma.github.io/Logging_2361/klagomålsmail/A 42214-2022 FSC-klagomål mail.docx", "A 42214-2022")</f>
        <v/>
      </c>
      <c r="X170">
        <f>HYPERLINK("https://klasma.github.io/Logging_2361/tillsyn/A 42214-2022 tillsynsbegäran.docx", "A 42214-2022")</f>
        <v/>
      </c>
      <c r="Y170">
        <f>HYPERLINK("https://klasma.github.io/Logging_2361/tillsynsmail/A 42214-2022 tillsynsbegäran mail.docx", "A 42214-2022")</f>
        <v/>
      </c>
    </row>
    <row r="171" ht="15" customHeight="1">
      <c r="A171" t="inlineStr">
        <is>
          <t>A 52328-2022</t>
        </is>
      </c>
      <c r="B171" s="1" t="n">
        <v>44873</v>
      </c>
      <c r="C171" s="1" t="n">
        <v>45569</v>
      </c>
      <c r="D171" t="inlineStr">
        <is>
          <t>JÄMTLANDS LÄN</t>
        </is>
      </c>
      <c r="E171" t="inlineStr">
        <is>
          <t>HÄRJEDALEN</t>
        </is>
      </c>
      <c r="G171" t="n">
        <v>30.5</v>
      </c>
      <c r="H171" t="n">
        <v>0</v>
      </c>
      <c r="I171" t="n">
        <v>0</v>
      </c>
      <c r="J171" t="n">
        <v>1</v>
      </c>
      <c r="K171" t="n">
        <v>0</v>
      </c>
      <c r="L171" t="n">
        <v>0</v>
      </c>
      <c r="M171" t="n">
        <v>0</v>
      </c>
      <c r="N171" t="n">
        <v>0</v>
      </c>
      <c r="O171" t="n">
        <v>1</v>
      </c>
      <c r="P171" t="n">
        <v>0</v>
      </c>
      <c r="Q171" t="n">
        <v>1</v>
      </c>
      <c r="R171" s="2" t="inlineStr">
        <is>
          <t>Stjärntagging</t>
        </is>
      </c>
      <c r="S171">
        <f>HYPERLINK("https://klasma.github.io/Logging_2361/artfynd/A 52328-2022 artfynd.xlsx", "A 52328-2022")</f>
        <v/>
      </c>
      <c r="T171">
        <f>HYPERLINK("https://klasma.github.io/Logging_2361/kartor/A 52328-2022 karta.png", "A 52328-2022")</f>
        <v/>
      </c>
      <c r="V171">
        <f>HYPERLINK("https://klasma.github.io/Logging_2361/klagomål/A 52328-2022 FSC-klagomål.docx", "A 52328-2022")</f>
        <v/>
      </c>
      <c r="W171">
        <f>HYPERLINK("https://klasma.github.io/Logging_2361/klagomålsmail/A 52328-2022 FSC-klagomål mail.docx", "A 52328-2022")</f>
        <v/>
      </c>
      <c r="X171">
        <f>HYPERLINK("https://klasma.github.io/Logging_2361/tillsyn/A 52328-2022 tillsynsbegäran.docx", "A 52328-2022")</f>
        <v/>
      </c>
      <c r="Y171">
        <f>HYPERLINK("https://klasma.github.io/Logging_2361/tillsynsmail/A 52328-2022 tillsynsbegäran mail.docx", "A 52328-2022")</f>
        <v/>
      </c>
    </row>
    <row r="172" ht="15" customHeight="1">
      <c r="A172" t="inlineStr">
        <is>
          <t>A 56084-2022</t>
        </is>
      </c>
      <c r="B172" s="1" t="n">
        <v>44886</v>
      </c>
      <c r="C172" s="1" t="n">
        <v>45569</v>
      </c>
      <c r="D172" t="inlineStr">
        <is>
          <t>JÄMTLANDS LÄN</t>
        </is>
      </c>
      <c r="E172" t="inlineStr">
        <is>
          <t>HÄRJEDALEN</t>
        </is>
      </c>
      <c r="F172" t="inlineStr">
        <is>
          <t>Övriga statliga verk och myndigheter</t>
        </is>
      </c>
      <c r="G172" t="n">
        <v>18.6</v>
      </c>
      <c r="H172" t="n">
        <v>0</v>
      </c>
      <c r="I172" t="n">
        <v>0</v>
      </c>
      <c r="J172" t="n">
        <v>1</v>
      </c>
      <c r="K172" t="n">
        <v>0</v>
      </c>
      <c r="L172" t="n">
        <v>0</v>
      </c>
      <c r="M172" t="n">
        <v>0</v>
      </c>
      <c r="N172" t="n">
        <v>0</v>
      </c>
      <c r="O172" t="n">
        <v>1</v>
      </c>
      <c r="P172" t="n">
        <v>0</v>
      </c>
      <c r="Q172" t="n">
        <v>1</v>
      </c>
      <c r="R172" s="2" t="inlineStr">
        <is>
          <t>Dvärgbägarlav</t>
        </is>
      </c>
      <c r="S172">
        <f>HYPERLINK("https://klasma.github.io/Logging_2361/artfynd/A 56084-2022 artfynd.xlsx", "A 56084-2022")</f>
        <v/>
      </c>
      <c r="T172">
        <f>HYPERLINK("https://klasma.github.io/Logging_2361/kartor/A 56084-2022 karta.png", "A 56084-2022")</f>
        <v/>
      </c>
      <c r="V172">
        <f>HYPERLINK("https://klasma.github.io/Logging_2361/klagomål/A 56084-2022 FSC-klagomål.docx", "A 56084-2022")</f>
        <v/>
      </c>
      <c r="W172">
        <f>HYPERLINK("https://klasma.github.io/Logging_2361/klagomålsmail/A 56084-2022 FSC-klagomål mail.docx", "A 56084-2022")</f>
        <v/>
      </c>
      <c r="X172">
        <f>HYPERLINK("https://klasma.github.io/Logging_2361/tillsyn/A 56084-2022 tillsynsbegäran.docx", "A 56084-2022")</f>
        <v/>
      </c>
      <c r="Y172">
        <f>HYPERLINK("https://klasma.github.io/Logging_2361/tillsynsmail/A 56084-2022 tillsynsbegäran mail.docx", "A 56084-2022")</f>
        <v/>
      </c>
    </row>
    <row r="173" ht="15" customHeight="1">
      <c r="A173" t="inlineStr">
        <is>
          <t>A 184-2023</t>
        </is>
      </c>
      <c r="B173" s="1" t="n">
        <v>44928</v>
      </c>
      <c r="C173" s="1" t="n">
        <v>45569</v>
      </c>
      <c r="D173" t="inlineStr">
        <is>
          <t>JÄMTLANDS LÄN</t>
        </is>
      </c>
      <c r="E173" t="inlineStr">
        <is>
          <t>HÄRJEDALEN</t>
        </is>
      </c>
      <c r="F173" t="inlineStr">
        <is>
          <t>Holmen skog AB</t>
        </is>
      </c>
      <c r="G173" t="n">
        <v>7.8</v>
      </c>
      <c r="H173" t="n">
        <v>1</v>
      </c>
      <c r="I173" t="n">
        <v>1</v>
      </c>
      <c r="J173" t="n">
        <v>0</v>
      </c>
      <c r="K173" t="n">
        <v>0</v>
      </c>
      <c r="L173" t="n">
        <v>0</v>
      </c>
      <c r="M173" t="n">
        <v>0</v>
      </c>
      <c r="N173" t="n">
        <v>0</v>
      </c>
      <c r="O173" t="n">
        <v>0</v>
      </c>
      <c r="P173" t="n">
        <v>0</v>
      </c>
      <c r="Q173" t="n">
        <v>1</v>
      </c>
      <c r="R173" s="2" t="inlineStr">
        <is>
          <t>Spindelblomster</t>
        </is>
      </c>
      <c r="S173">
        <f>HYPERLINK("https://klasma.github.io/Logging_2361/artfynd/A 184-2023 artfynd.xlsx", "A 184-2023")</f>
        <v/>
      </c>
      <c r="T173">
        <f>HYPERLINK("https://klasma.github.io/Logging_2361/kartor/A 184-2023 karta.png", "A 184-2023")</f>
        <v/>
      </c>
      <c r="U173">
        <f>HYPERLINK("https://klasma.github.io/Logging_2361/knärot/A 184-2023 karta knärot.png", "A 184-2023")</f>
        <v/>
      </c>
      <c r="V173">
        <f>HYPERLINK("https://klasma.github.io/Logging_2361/klagomål/A 184-2023 FSC-klagomål.docx", "A 184-2023")</f>
        <v/>
      </c>
      <c r="W173">
        <f>HYPERLINK("https://klasma.github.io/Logging_2361/klagomålsmail/A 184-2023 FSC-klagomål mail.docx", "A 184-2023")</f>
        <v/>
      </c>
      <c r="X173">
        <f>HYPERLINK("https://klasma.github.io/Logging_2361/tillsyn/A 184-2023 tillsynsbegäran.docx", "A 184-2023")</f>
        <v/>
      </c>
      <c r="Y173">
        <f>HYPERLINK("https://klasma.github.io/Logging_2361/tillsynsmail/A 184-2023 tillsynsbegäran mail.docx", "A 184-2023")</f>
        <v/>
      </c>
    </row>
    <row r="174" ht="15" customHeight="1">
      <c r="A174" t="inlineStr">
        <is>
          <t>A 30330-2023</t>
        </is>
      </c>
      <c r="B174" s="1" t="n">
        <v>45111</v>
      </c>
      <c r="C174" s="1" t="n">
        <v>45569</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39524-2023</t>
        </is>
      </c>
      <c r="B175" s="1" t="n">
        <v>45167</v>
      </c>
      <c r="C175" s="1" t="n">
        <v>45569</v>
      </c>
      <c r="D175" t="inlineStr">
        <is>
          <t>JÄMTLANDS LÄN</t>
        </is>
      </c>
      <c r="E175" t="inlineStr">
        <is>
          <t>HÄRJEDALEN</t>
        </is>
      </c>
      <c r="F175" t="inlineStr">
        <is>
          <t>Bergvik skog väst AB</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HYPERLINK("https://klasma.github.io/Logging_2361/artfynd/A 39524-2023 artfynd.xlsx", "A 39524-2023")</f>
        <v/>
      </c>
      <c r="T175">
        <f>HYPERLINK("https://klasma.github.io/Logging_2361/kartor/A 39524-2023 karta.png", "A 39524-2023")</f>
        <v/>
      </c>
      <c r="V175">
        <f>HYPERLINK("https://klasma.github.io/Logging_2361/klagomål/A 39524-2023 FSC-klagomål.docx", "A 39524-2023")</f>
        <v/>
      </c>
      <c r="W175">
        <f>HYPERLINK("https://klasma.github.io/Logging_2361/klagomålsmail/A 39524-2023 FSC-klagomål mail.docx", "A 39524-2023")</f>
        <v/>
      </c>
      <c r="X175">
        <f>HYPERLINK("https://klasma.github.io/Logging_2361/tillsyn/A 39524-2023 tillsynsbegäran.docx", "A 39524-2023")</f>
        <v/>
      </c>
      <c r="Y175">
        <f>HYPERLINK("https://klasma.github.io/Logging_2361/tillsynsmail/A 39524-2023 tillsynsbegäran mail.docx", "A 39524-2023")</f>
        <v/>
      </c>
      <c r="Z175">
        <f>HYPERLINK("https://klasma.github.io/Logging_2361/fåglar/A 39524-2023 prioriterade fågelarter.docx", "A 39524-2023")</f>
        <v/>
      </c>
    </row>
    <row r="176" ht="15" customHeight="1">
      <c r="A176" t="inlineStr">
        <is>
          <t>A 50470-2023</t>
        </is>
      </c>
      <c r="B176" s="1" t="n">
        <v>45216</v>
      </c>
      <c r="C176" s="1" t="n">
        <v>45569</v>
      </c>
      <c r="D176" t="inlineStr">
        <is>
          <t>JÄMTLANDS LÄN</t>
        </is>
      </c>
      <c r="E176" t="inlineStr">
        <is>
          <t>HÄRJEDALEN</t>
        </is>
      </c>
      <c r="F176" t="inlineStr">
        <is>
          <t>Sveaskog</t>
        </is>
      </c>
      <c r="G176" t="n">
        <v>3.5</v>
      </c>
      <c r="H176" t="n">
        <v>0</v>
      </c>
      <c r="I176" t="n">
        <v>0</v>
      </c>
      <c r="J176" t="n">
        <v>0</v>
      </c>
      <c r="K176" t="n">
        <v>1</v>
      </c>
      <c r="L176" t="n">
        <v>0</v>
      </c>
      <c r="M176" t="n">
        <v>0</v>
      </c>
      <c r="N176" t="n">
        <v>0</v>
      </c>
      <c r="O176" t="n">
        <v>1</v>
      </c>
      <c r="P176" t="n">
        <v>1</v>
      </c>
      <c r="Q176" t="n">
        <v>1</v>
      </c>
      <c r="R176" s="2" t="inlineStr">
        <is>
          <t>Gräddporing</t>
        </is>
      </c>
      <c r="S176">
        <f>HYPERLINK("https://klasma.github.io/Logging_2361/artfynd/A 50470-2023 artfynd.xlsx", "A 50470-2023")</f>
        <v/>
      </c>
      <c r="T176">
        <f>HYPERLINK("https://klasma.github.io/Logging_2361/kartor/A 50470-2023 karta.png", "A 50470-2023")</f>
        <v/>
      </c>
      <c r="V176">
        <f>HYPERLINK("https://klasma.github.io/Logging_2361/klagomål/A 50470-2023 FSC-klagomål.docx", "A 50470-2023")</f>
        <v/>
      </c>
      <c r="W176">
        <f>HYPERLINK("https://klasma.github.io/Logging_2361/klagomålsmail/A 50470-2023 FSC-klagomål mail.docx", "A 50470-2023")</f>
        <v/>
      </c>
      <c r="X176">
        <f>HYPERLINK("https://klasma.github.io/Logging_2361/tillsyn/A 50470-2023 tillsynsbegäran.docx", "A 50470-2023")</f>
        <v/>
      </c>
      <c r="Y176">
        <f>HYPERLINK("https://klasma.github.io/Logging_2361/tillsynsmail/A 50470-2023 tillsynsbegäran mail.docx", "A 50470-2023")</f>
        <v/>
      </c>
    </row>
    <row r="177" ht="15" customHeight="1">
      <c r="A177" t="inlineStr">
        <is>
          <t>A 51414-2023</t>
        </is>
      </c>
      <c r="B177" s="1" t="n">
        <v>45219</v>
      </c>
      <c r="C177" s="1" t="n">
        <v>45569</v>
      </c>
      <c r="D177" t="inlineStr">
        <is>
          <t>JÄMTLANDS LÄN</t>
        </is>
      </c>
      <c r="E177" t="inlineStr">
        <is>
          <t>HÄRJEDALEN</t>
        </is>
      </c>
      <c r="F177" t="inlineStr">
        <is>
          <t>Sveaskog</t>
        </is>
      </c>
      <c r="G177" t="n">
        <v>3.9</v>
      </c>
      <c r="H177" t="n">
        <v>0</v>
      </c>
      <c r="I177" t="n">
        <v>0</v>
      </c>
      <c r="J177" t="n">
        <v>1</v>
      </c>
      <c r="K177" t="n">
        <v>0</v>
      </c>
      <c r="L177" t="n">
        <v>0</v>
      </c>
      <c r="M177" t="n">
        <v>0</v>
      </c>
      <c r="N177" t="n">
        <v>0</v>
      </c>
      <c r="O177" t="n">
        <v>1</v>
      </c>
      <c r="P177" t="n">
        <v>0</v>
      </c>
      <c r="Q177" t="n">
        <v>1</v>
      </c>
      <c r="R177" s="2" t="inlineStr">
        <is>
          <t>Lunglav</t>
        </is>
      </c>
      <c r="S177">
        <f>HYPERLINK("https://klasma.github.io/Logging_2361/artfynd/A 51414-2023 artfynd.xlsx", "A 51414-2023")</f>
        <v/>
      </c>
      <c r="T177">
        <f>HYPERLINK("https://klasma.github.io/Logging_2361/kartor/A 51414-2023 karta.png", "A 51414-2023")</f>
        <v/>
      </c>
      <c r="V177">
        <f>HYPERLINK("https://klasma.github.io/Logging_2361/klagomål/A 51414-2023 FSC-klagomål.docx", "A 51414-2023")</f>
        <v/>
      </c>
      <c r="W177">
        <f>HYPERLINK("https://klasma.github.io/Logging_2361/klagomålsmail/A 51414-2023 FSC-klagomål mail.docx", "A 51414-2023")</f>
        <v/>
      </c>
      <c r="X177">
        <f>HYPERLINK("https://klasma.github.io/Logging_2361/tillsyn/A 51414-2023 tillsynsbegäran.docx", "A 51414-2023")</f>
        <v/>
      </c>
      <c r="Y177">
        <f>HYPERLINK("https://klasma.github.io/Logging_2361/tillsynsmail/A 51414-2023 tillsynsbegäran mail.docx", "A 51414-2023")</f>
        <v/>
      </c>
    </row>
    <row r="178" ht="15" customHeight="1">
      <c r="A178" t="inlineStr">
        <is>
          <t>A 62539-2023</t>
        </is>
      </c>
      <c r="B178" s="1" t="n">
        <v>45268</v>
      </c>
      <c r="C178" s="1" t="n">
        <v>45569</v>
      </c>
      <c r="D178" t="inlineStr">
        <is>
          <t>JÄMTLANDS LÄN</t>
        </is>
      </c>
      <c r="E178" t="inlineStr">
        <is>
          <t>HÄRJEDALEN</t>
        </is>
      </c>
      <c r="G178" t="n">
        <v>7.6</v>
      </c>
      <c r="H178" t="n">
        <v>1</v>
      </c>
      <c r="I178" t="n">
        <v>0</v>
      </c>
      <c r="J178" t="n">
        <v>1</v>
      </c>
      <c r="K178" t="n">
        <v>0</v>
      </c>
      <c r="L178" t="n">
        <v>0</v>
      </c>
      <c r="M178" t="n">
        <v>0</v>
      </c>
      <c r="N178" t="n">
        <v>0</v>
      </c>
      <c r="O178" t="n">
        <v>1</v>
      </c>
      <c r="P178" t="n">
        <v>0</v>
      </c>
      <c r="Q178" t="n">
        <v>1</v>
      </c>
      <c r="R178" s="2" t="inlineStr">
        <is>
          <t>Talltita</t>
        </is>
      </c>
      <c r="S178">
        <f>HYPERLINK("https://klasma.github.io/Logging_2361/artfynd/A 62539-2023 artfynd.xlsx", "A 62539-2023")</f>
        <v/>
      </c>
      <c r="T178">
        <f>HYPERLINK("https://klasma.github.io/Logging_2361/kartor/A 62539-2023 karta.png", "A 62539-2023")</f>
        <v/>
      </c>
      <c r="V178">
        <f>HYPERLINK("https://klasma.github.io/Logging_2361/klagomål/A 62539-2023 FSC-klagomål.docx", "A 62539-2023")</f>
        <v/>
      </c>
      <c r="W178">
        <f>HYPERLINK("https://klasma.github.io/Logging_2361/klagomålsmail/A 62539-2023 FSC-klagomål mail.docx", "A 62539-2023")</f>
        <v/>
      </c>
      <c r="X178">
        <f>HYPERLINK("https://klasma.github.io/Logging_2361/tillsyn/A 62539-2023 tillsynsbegäran.docx", "A 62539-2023")</f>
        <v/>
      </c>
      <c r="Y178">
        <f>HYPERLINK("https://klasma.github.io/Logging_2361/tillsynsmail/A 62539-2023 tillsynsbegäran mail.docx", "A 62539-2023")</f>
        <v/>
      </c>
      <c r="Z178">
        <f>HYPERLINK("https://klasma.github.io/Logging_2361/fåglar/A 62539-2023 prioriterade fågelarter.docx", "A 62539-2023")</f>
        <v/>
      </c>
    </row>
    <row r="179" ht="15" customHeight="1">
      <c r="A179" t="inlineStr">
        <is>
          <t>A 63659-2023</t>
        </is>
      </c>
      <c r="B179" s="1" t="n">
        <v>45275</v>
      </c>
      <c r="C179" s="1" t="n">
        <v>45569</v>
      </c>
      <c r="D179" t="inlineStr">
        <is>
          <t>JÄMTLANDS LÄN</t>
        </is>
      </c>
      <c r="E179" t="inlineStr">
        <is>
          <t>HÄRJEDALEN</t>
        </is>
      </c>
      <c r="G179" t="n">
        <v>11.7</v>
      </c>
      <c r="H179" t="n">
        <v>0</v>
      </c>
      <c r="I179" t="n">
        <v>0</v>
      </c>
      <c r="J179" t="n">
        <v>1</v>
      </c>
      <c r="K179" t="n">
        <v>0</v>
      </c>
      <c r="L179" t="n">
        <v>0</v>
      </c>
      <c r="M179" t="n">
        <v>0</v>
      </c>
      <c r="N179" t="n">
        <v>0</v>
      </c>
      <c r="O179" t="n">
        <v>1</v>
      </c>
      <c r="P179" t="n">
        <v>0</v>
      </c>
      <c r="Q179" t="n">
        <v>1</v>
      </c>
      <c r="R179" s="2" t="inlineStr">
        <is>
          <t>Lunglav</t>
        </is>
      </c>
      <c r="S179">
        <f>HYPERLINK("https://klasma.github.io/Logging_2361/artfynd/A 63659-2023 artfynd.xlsx", "A 63659-2023")</f>
        <v/>
      </c>
      <c r="T179">
        <f>HYPERLINK("https://klasma.github.io/Logging_2361/kartor/A 63659-2023 karta.png", "A 63659-2023")</f>
        <v/>
      </c>
      <c r="V179">
        <f>HYPERLINK("https://klasma.github.io/Logging_2361/klagomål/A 63659-2023 FSC-klagomål.docx", "A 63659-2023")</f>
        <v/>
      </c>
      <c r="W179">
        <f>HYPERLINK("https://klasma.github.io/Logging_2361/klagomålsmail/A 63659-2023 FSC-klagomål mail.docx", "A 63659-2023")</f>
        <v/>
      </c>
      <c r="X179">
        <f>HYPERLINK("https://klasma.github.io/Logging_2361/tillsyn/A 63659-2023 tillsynsbegäran.docx", "A 63659-2023")</f>
        <v/>
      </c>
      <c r="Y179">
        <f>HYPERLINK("https://klasma.github.io/Logging_2361/tillsynsmail/A 63659-2023 tillsynsbegäran mail.docx", "A 63659-2023")</f>
        <v/>
      </c>
    </row>
    <row r="180" ht="15" customHeight="1">
      <c r="A180" t="inlineStr">
        <is>
          <t>A 3593-2024</t>
        </is>
      </c>
      <c r="B180" s="1" t="n">
        <v>45320</v>
      </c>
      <c r="C180" s="1" t="n">
        <v>45569</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7327-2024</t>
        </is>
      </c>
      <c r="B181" s="1" t="n">
        <v>45345</v>
      </c>
      <c r="C181" s="1" t="n">
        <v>45569</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16471-2024</t>
        </is>
      </c>
      <c r="B182" s="1" t="n">
        <v>45408</v>
      </c>
      <c r="C182" s="1" t="n">
        <v>45569</v>
      </c>
      <c r="D182" t="inlineStr">
        <is>
          <t>JÄMTLANDS LÄN</t>
        </is>
      </c>
      <c r="E182" t="inlineStr">
        <is>
          <t>HÄRJEDALEN</t>
        </is>
      </c>
      <c r="G182" t="n">
        <v>31.7</v>
      </c>
      <c r="H182" t="n">
        <v>0</v>
      </c>
      <c r="I182" t="n">
        <v>0</v>
      </c>
      <c r="J182" t="n">
        <v>0</v>
      </c>
      <c r="K182" t="n">
        <v>0</v>
      </c>
      <c r="L182" t="n">
        <v>0</v>
      </c>
      <c r="M182" t="n">
        <v>1</v>
      </c>
      <c r="N182" t="n">
        <v>0</v>
      </c>
      <c r="O182" t="n">
        <v>1</v>
      </c>
      <c r="P182" t="n">
        <v>1</v>
      </c>
      <c r="Q182" t="n">
        <v>1</v>
      </c>
      <c r="R182" s="2" t="inlineStr">
        <is>
          <t>Limbergsfibbla</t>
        </is>
      </c>
      <c r="S182">
        <f>HYPERLINK("https://klasma.github.io/Logging_2361/artfynd/A 16471-2024 artfynd.xlsx", "A 16471-2024")</f>
        <v/>
      </c>
      <c r="T182">
        <f>HYPERLINK("https://klasma.github.io/Logging_2361/kartor/A 16471-2024 karta.png", "A 16471-2024")</f>
        <v/>
      </c>
      <c r="V182">
        <f>HYPERLINK("https://klasma.github.io/Logging_2361/klagomål/A 16471-2024 FSC-klagomål.docx", "A 16471-2024")</f>
        <v/>
      </c>
      <c r="W182">
        <f>HYPERLINK("https://klasma.github.io/Logging_2361/klagomålsmail/A 16471-2024 FSC-klagomål mail.docx", "A 16471-2024")</f>
        <v/>
      </c>
      <c r="X182">
        <f>HYPERLINK("https://klasma.github.io/Logging_2361/tillsyn/A 16471-2024 tillsynsbegäran.docx", "A 16471-2024")</f>
        <v/>
      </c>
      <c r="Y182">
        <f>HYPERLINK("https://klasma.github.io/Logging_2361/tillsynsmail/A 16471-2024 tillsynsbegäran mail.docx", "A 16471-2024")</f>
        <v/>
      </c>
    </row>
    <row r="183" ht="15" customHeight="1">
      <c r="A183" t="inlineStr">
        <is>
          <t>A 23680-2024</t>
        </is>
      </c>
      <c r="B183" s="1" t="n">
        <v>45454</v>
      </c>
      <c r="C183" s="1" t="n">
        <v>45569</v>
      </c>
      <c r="D183" t="inlineStr">
        <is>
          <t>JÄMTLANDS LÄN</t>
        </is>
      </c>
      <c r="E183" t="inlineStr">
        <is>
          <t>HÄRJEDALEN</t>
        </is>
      </c>
      <c r="G183" t="n">
        <v>3.9</v>
      </c>
      <c r="H183" t="n">
        <v>0</v>
      </c>
      <c r="I183" t="n">
        <v>1</v>
      </c>
      <c r="J183" t="n">
        <v>0</v>
      </c>
      <c r="K183" t="n">
        <v>0</v>
      </c>
      <c r="L183" t="n">
        <v>0</v>
      </c>
      <c r="M183" t="n">
        <v>0</v>
      </c>
      <c r="N183" t="n">
        <v>0</v>
      </c>
      <c r="O183" t="n">
        <v>0</v>
      </c>
      <c r="P183" t="n">
        <v>0</v>
      </c>
      <c r="Q183" t="n">
        <v>1</v>
      </c>
      <c r="R183" s="2" t="inlineStr">
        <is>
          <t>Ögonpyrola</t>
        </is>
      </c>
      <c r="S183">
        <f>HYPERLINK("https://klasma.github.io/Logging_2361/artfynd/A 23680-2024 artfynd.xlsx", "A 23680-2024")</f>
        <v/>
      </c>
      <c r="T183">
        <f>HYPERLINK("https://klasma.github.io/Logging_2361/kartor/A 23680-2024 karta.png", "A 23680-2024")</f>
        <v/>
      </c>
      <c r="V183">
        <f>HYPERLINK("https://klasma.github.io/Logging_2361/klagomål/A 23680-2024 FSC-klagomål.docx", "A 23680-2024")</f>
        <v/>
      </c>
      <c r="W183">
        <f>HYPERLINK("https://klasma.github.io/Logging_2361/klagomålsmail/A 23680-2024 FSC-klagomål mail.docx", "A 23680-2024")</f>
        <v/>
      </c>
      <c r="X183">
        <f>HYPERLINK("https://klasma.github.io/Logging_2361/tillsyn/A 23680-2024 tillsynsbegäran.docx", "A 23680-2024")</f>
        <v/>
      </c>
      <c r="Y183">
        <f>HYPERLINK("https://klasma.github.io/Logging_2361/tillsynsmail/A 23680-2024 tillsynsbegäran mail.docx", "A 23680-2024")</f>
        <v/>
      </c>
    </row>
    <row r="184" ht="15" customHeight="1">
      <c r="A184" t="inlineStr">
        <is>
          <t>A 24254-2024</t>
        </is>
      </c>
      <c r="B184" s="1" t="n">
        <v>45457</v>
      </c>
      <c r="C184" s="1" t="n">
        <v>45569</v>
      </c>
      <c r="D184" t="inlineStr">
        <is>
          <t>JÄMTLANDS LÄN</t>
        </is>
      </c>
      <c r="E184" t="inlineStr">
        <is>
          <t>HÄRJEDALEN</t>
        </is>
      </c>
      <c r="F184" t="inlineStr">
        <is>
          <t>Sveaskog</t>
        </is>
      </c>
      <c r="G184" t="n">
        <v>6</v>
      </c>
      <c r="H184" t="n">
        <v>0</v>
      </c>
      <c r="I184" t="n">
        <v>0</v>
      </c>
      <c r="J184" t="n">
        <v>1</v>
      </c>
      <c r="K184" t="n">
        <v>0</v>
      </c>
      <c r="L184" t="n">
        <v>0</v>
      </c>
      <c r="M184" t="n">
        <v>0</v>
      </c>
      <c r="N184" t="n">
        <v>0</v>
      </c>
      <c r="O184" t="n">
        <v>1</v>
      </c>
      <c r="P184" t="n">
        <v>0</v>
      </c>
      <c r="Q184" t="n">
        <v>1</v>
      </c>
      <c r="R184" s="2" t="inlineStr">
        <is>
          <t>Kolflarnlav</t>
        </is>
      </c>
      <c r="S184">
        <f>HYPERLINK("https://klasma.github.io/Logging_2361/artfynd/A 24254-2024 artfynd.xlsx", "A 24254-2024")</f>
        <v/>
      </c>
      <c r="T184">
        <f>HYPERLINK("https://klasma.github.io/Logging_2361/kartor/A 24254-2024 karta.png", "A 24254-2024")</f>
        <v/>
      </c>
      <c r="V184">
        <f>HYPERLINK("https://klasma.github.io/Logging_2361/klagomål/A 24254-2024 FSC-klagomål.docx", "A 24254-2024")</f>
        <v/>
      </c>
      <c r="W184">
        <f>HYPERLINK("https://klasma.github.io/Logging_2361/klagomålsmail/A 24254-2024 FSC-klagomål mail.docx", "A 24254-2024")</f>
        <v/>
      </c>
      <c r="X184">
        <f>HYPERLINK("https://klasma.github.io/Logging_2361/tillsyn/A 24254-2024 tillsynsbegäran.docx", "A 24254-2024")</f>
        <v/>
      </c>
      <c r="Y184">
        <f>HYPERLINK("https://klasma.github.io/Logging_2361/tillsynsmail/A 24254-2024 tillsynsbegäran mail.docx", "A 24254-2024")</f>
        <v/>
      </c>
    </row>
    <row r="185" ht="15" customHeight="1">
      <c r="A185" t="inlineStr">
        <is>
          <t>A 24249-2024</t>
        </is>
      </c>
      <c r="B185" s="1" t="n">
        <v>45457</v>
      </c>
      <c r="C185" s="1" t="n">
        <v>45569</v>
      </c>
      <c r="D185" t="inlineStr">
        <is>
          <t>JÄMTLANDS LÄN</t>
        </is>
      </c>
      <c r="E185" t="inlineStr">
        <is>
          <t>HÄRJEDALEN</t>
        </is>
      </c>
      <c r="F185" t="inlineStr">
        <is>
          <t>Sveaskog</t>
        </is>
      </c>
      <c r="G185" t="n">
        <v>15.1</v>
      </c>
      <c r="H185" t="n">
        <v>0</v>
      </c>
      <c r="I185" t="n">
        <v>0</v>
      </c>
      <c r="J185" t="n">
        <v>1</v>
      </c>
      <c r="K185" t="n">
        <v>0</v>
      </c>
      <c r="L185" t="n">
        <v>0</v>
      </c>
      <c r="M185" t="n">
        <v>0</v>
      </c>
      <c r="N185" t="n">
        <v>0</v>
      </c>
      <c r="O185" t="n">
        <v>1</v>
      </c>
      <c r="P185" t="n">
        <v>0</v>
      </c>
      <c r="Q185" t="n">
        <v>1</v>
      </c>
      <c r="R185" s="2" t="inlineStr">
        <is>
          <t>Garnlav</t>
        </is>
      </c>
      <c r="S185">
        <f>HYPERLINK("https://klasma.github.io/Logging_2361/artfynd/A 24249-2024 artfynd.xlsx", "A 24249-2024")</f>
        <v/>
      </c>
      <c r="T185">
        <f>HYPERLINK("https://klasma.github.io/Logging_2361/kartor/A 24249-2024 karta.png", "A 24249-2024")</f>
        <v/>
      </c>
      <c r="V185">
        <f>HYPERLINK("https://klasma.github.io/Logging_2361/klagomål/A 24249-2024 FSC-klagomål.docx", "A 24249-2024")</f>
        <v/>
      </c>
      <c r="W185">
        <f>HYPERLINK("https://klasma.github.io/Logging_2361/klagomålsmail/A 24249-2024 FSC-klagomål mail.docx", "A 24249-2024")</f>
        <v/>
      </c>
      <c r="X185">
        <f>HYPERLINK("https://klasma.github.io/Logging_2361/tillsyn/A 24249-2024 tillsynsbegäran.docx", "A 24249-2024")</f>
        <v/>
      </c>
      <c r="Y185">
        <f>HYPERLINK("https://klasma.github.io/Logging_2361/tillsynsmail/A 24249-2024 tillsynsbegäran mail.docx", "A 24249-2024")</f>
        <v/>
      </c>
    </row>
    <row r="186" ht="15" customHeight="1">
      <c r="A186" t="inlineStr">
        <is>
          <t>A 24251-2024</t>
        </is>
      </c>
      <c r="B186" s="1" t="n">
        <v>45457</v>
      </c>
      <c r="C186" s="1" t="n">
        <v>45569</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25942-2024</t>
        </is>
      </c>
      <c r="B187" s="1" t="n">
        <v>45467</v>
      </c>
      <c r="C187" s="1" t="n">
        <v>45569</v>
      </c>
      <c r="D187" t="inlineStr">
        <is>
          <t>JÄMTLANDS LÄN</t>
        </is>
      </c>
      <c r="E187" t="inlineStr">
        <is>
          <t>HÄRJEDALEN</t>
        </is>
      </c>
      <c r="F187" t="inlineStr">
        <is>
          <t>Sveaskog</t>
        </is>
      </c>
      <c r="G187" t="n">
        <v>6.4</v>
      </c>
      <c r="H187" t="n">
        <v>0</v>
      </c>
      <c r="I187" t="n">
        <v>0</v>
      </c>
      <c r="J187" t="n">
        <v>1</v>
      </c>
      <c r="K187" t="n">
        <v>0</v>
      </c>
      <c r="L187" t="n">
        <v>0</v>
      </c>
      <c r="M187" t="n">
        <v>0</v>
      </c>
      <c r="N187" t="n">
        <v>0</v>
      </c>
      <c r="O187" t="n">
        <v>1</v>
      </c>
      <c r="P187" t="n">
        <v>0</v>
      </c>
      <c r="Q187" t="n">
        <v>1</v>
      </c>
      <c r="R187" s="2" t="inlineStr">
        <is>
          <t>Lunglav</t>
        </is>
      </c>
      <c r="S187">
        <f>HYPERLINK("https://klasma.github.io/Logging_2361/artfynd/A 25942-2024 artfynd.xlsx", "A 25942-2024")</f>
        <v/>
      </c>
      <c r="T187">
        <f>HYPERLINK("https://klasma.github.io/Logging_2361/kartor/A 25942-2024 karta.png", "A 25942-2024")</f>
        <v/>
      </c>
      <c r="V187">
        <f>HYPERLINK("https://klasma.github.io/Logging_2361/klagomål/A 25942-2024 FSC-klagomål.docx", "A 25942-2024")</f>
        <v/>
      </c>
      <c r="W187">
        <f>HYPERLINK("https://klasma.github.io/Logging_2361/klagomålsmail/A 25942-2024 FSC-klagomål mail.docx", "A 25942-2024")</f>
        <v/>
      </c>
      <c r="X187">
        <f>HYPERLINK("https://klasma.github.io/Logging_2361/tillsyn/A 25942-2024 tillsynsbegäran.docx", "A 25942-2024")</f>
        <v/>
      </c>
      <c r="Y187">
        <f>HYPERLINK("https://klasma.github.io/Logging_2361/tillsynsmail/A 25942-2024 tillsynsbegäran mail.docx", "A 25942-2024")</f>
        <v/>
      </c>
    </row>
    <row r="188" ht="15" customHeight="1">
      <c r="A188" t="inlineStr">
        <is>
          <t>A 28629-2024</t>
        </is>
      </c>
      <c r="B188" s="1" t="n">
        <v>45478</v>
      </c>
      <c r="C188" s="1" t="n">
        <v>45569</v>
      </c>
      <c r="D188" t="inlineStr">
        <is>
          <t>JÄMTLANDS LÄN</t>
        </is>
      </c>
      <c r="E188" t="inlineStr">
        <is>
          <t>HÄRJEDALEN</t>
        </is>
      </c>
      <c r="G188" t="n">
        <v>8.699999999999999</v>
      </c>
      <c r="H188" t="n">
        <v>1</v>
      </c>
      <c r="I188" t="n">
        <v>0</v>
      </c>
      <c r="J188" t="n">
        <v>0</v>
      </c>
      <c r="K188" t="n">
        <v>0</v>
      </c>
      <c r="L188" t="n">
        <v>1</v>
      </c>
      <c r="M188" t="n">
        <v>0</v>
      </c>
      <c r="N188" t="n">
        <v>0</v>
      </c>
      <c r="O188" t="n">
        <v>1</v>
      </c>
      <c r="P188" t="n">
        <v>1</v>
      </c>
      <c r="Q188" t="n">
        <v>1</v>
      </c>
      <c r="R188" s="2" t="inlineStr">
        <is>
          <t>Mosippa</t>
        </is>
      </c>
      <c r="S188">
        <f>HYPERLINK("https://klasma.github.io/Logging_2361/artfynd/A 28629-2024 artfynd.xlsx", "A 28629-2024")</f>
        <v/>
      </c>
      <c r="T188">
        <f>HYPERLINK("https://klasma.github.io/Logging_2361/kartor/A 28629-2024 karta.png", "A 28629-2024")</f>
        <v/>
      </c>
      <c r="V188">
        <f>HYPERLINK("https://klasma.github.io/Logging_2361/klagomål/A 28629-2024 FSC-klagomål.docx", "A 28629-2024")</f>
        <v/>
      </c>
      <c r="W188">
        <f>HYPERLINK("https://klasma.github.io/Logging_2361/klagomålsmail/A 28629-2024 FSC-klagomål mail.docx", "A 28629-2024")</f>
        <v/>
      </c>
      <c r="X188">
        <f>HYPERLINK("https://klasma.github.io/Logging_2361/tillsyn/A 28629-2024 tillsynsbegäran.docx", "A 28629-2024")</f>
        <v/>
      </c>
      <c r="Y188">
        <f>HYPERLINK("https://klasma.github.io/Logging_2361/tillsynsmail/A 28629-2024 tillsynsbegäran mail.docx", "A 28629-2024")</f>
        <v/>
      </c>
    </row>
    <row r="189" ht="15" customHeight="1">
      <c r="A189" t="inlineStr">
        <is>
          <t>A 31607-2024</t>
        </is>
      </c>
      <c r="B189" s="1" t="n">
        <v>45506</v>
      </c>
      <c r="C189" s="1" t="n">
        <v>45569</v>
      </c>
      <c r="D189" t="inlineStr">
        <is>
          <t>JÄMTLANDS LÄN</t>
        </is>
      </c>
      <c r="E189" t="inlineStr">
        <is>
          <t>HÄRJEDALEN</t>
        </is>
      </c>
      <c r="F189" t="inlineStr">
        <is>
          <t>Sveaskog</t>
        </is>
      </c>
      <c r="G189" t="n">
        <v>9.1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31607-2024 artfynd.xlsx", "A 31607-2024")</f>
        <v/>
      </c>
      <c r="T189">
        <f>HYPERLINK("https://klasma.github.io/Logging_2361/kartor/A 31607-2024 karta.png", "A 31607-2024")</f>
        <v/>
      </c>
      <c r="V189">
        <f>HYPERLINK("https://klasma.github.io/Logging_2361/klagomål/A 31607-2024 FSC-klagomål.docx", "A 31607-2024")</f>
        <v/>
      </c>
      <c r="W189">
        <f>HYPERLINK("https://klasma.github.io/Logging_2361/klagomålsmail/A 31607-2024 FSC-klagomål mail.docx", "A 31607-2024")</f>
        <v/>
      </c>
      <c r="X189">
        <f>HYPERLINK("https://klasma.github.io/Logging_2361/tillsyn/A 31607-2024 tillsynsbegäran.docx", "A 31607-2024")</f>
        <v/>
      </c>
      <c r="Y189">
        <f>HYPERLINK("https://klasma.github.io/Logging_2361/tillsynsmail/A 31607-2024 tillsynsbegäran mail.docx", "A 31607-2024")</f>
        <v/>
      </c>
    </row>
    <row r="190" ht="15" customHeight="1">
      <c r="A190" t="inlineStr">
        <is>
          <t>A 31583-2024</t>
        </is>
      </c>
      <c r="B190" s="1" t="n">
        <v>45506</v>
      </c>
      <c r="C190" s="1" t="n">
        <v>45569</v>
      </c>
      <c r="D190" t="inlineStr">
        <is>
          <t>JÄMTLANDS LÄN</t>
        </is>
      </c>
      <c r="E190" t="inlineStr">
        <is>
          <t>HÄRJEDALEN</t>
        </is>
      </c>
      <c r="G190" t="n">
        <v>9.199999999999999</v>
      </c>
      <c r="H190" t="n">
        <v>0</v>
      </c>
      <c r="I190" t="n">
        <v>0</v>
      </c>
      <c r="J190" t="n">
        <v>1</v>
      </c>
      <c r="K190" t="n">
        <v>0</v>
      </c>
      <c r="L190" t="n">
        <v>0</v>
      </c>
      <c r="M190" t="n">
        <v>0</v>
      </c>
      <c r="N190" t="n">
        <v>0</v>
      </c>
      <c r="O190" t="n">
        <v>1</v>
      </c>
      <c r="P190" t="n">
        <v>0</v>
      </c>
      <c r="Q190" t="n">
        <v>1</v>
      </c>
      <c r="R190" s="2" t="inlineStr">
        <is>
          <t>Igelkott</t>
        </is>
      </c>
      <c r="S190">
        <f>HYPERLINK("https://klasma.github.io/Logging_2361/artfynd/A 31583-2024 artfynd.xlsx", "A 31583-2024")</f>
        <v/>
      </c>
      <c r="T190">
        <f>HYPERLINK("https://klasma.github.io/Logging_2361/kartor/A 31583-2024 karta.png", "A 31583-2024")</f>
        <v/>
      </c>
      <c r="V190">
        <f>HYPERLINK("https://klasma.github.io/Logging_2361/klagomål/A 31583-2024 FSC-klagomål.docx", "A 31583-2024")</f>
        <v/>
      </c>
      <c r="W190">
        <f>HYPERLINK("https://klasma.github.io/Logging_2361/klagomålsmail/A 31583-2024 FSC-klagomål mail.docx", "A 31583-2024")</f>
        <v/>
      </c>
      <c r="X190">
        <f>HYPERLINK("https://klasma.github.io/Logging_2361/tillsyn/A 31583-2024 tillsynsbegäran.docx", "A 31583-2024")</f>
        <v/>
      </c>
      <c r="Y190">
        <f>HYPERLINK("https://klasma.github.io/Logging_2361/tillsynsmail/A 31583-2024 tillsynsbegäran mail.docx", "A 31583-2024")</f>
        <v/>
      </c>
    </row>
    <row r="191" ht="15" customHeight="1">
      <c r="A191" t="inlineStr">
        <is>
          <t>A 37451-2024</t>
        </is>
      </c>
      <c r="B191" s="1" t="n">
        <v>45540</v>
      </c>
      <c r="C191" s="1" t="n">
        <v>45569</v>
      </c>
      <c r="D191" t="inlineStr">
        <is>
          <t>JÄMTLANDS LÄN</t>
        </is>
      </c>
      <c r="E191" t="inlineStr">
        <is>
          <t>HÄRJEDALEN</t>
        </is>
      </c>
      <c r="F191" t="inlineStr">
        <is>
          <t>Sveaskog</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HYPERLINK("https://klasma.github.io/Logging_2361/artfynd/A 37451-2024 artfynd.xlsx", "A 37451-2024")</f>
        <v/>
      </c>
      <c r="T191">
        <f>HYPERLINK("https://klasma.github.io/Logging_2361/kartor/A 37451-2024 karta.png", "A 37451-2024")</f>
        <v/>
      </c>
      <c r="V191">
        <f>HYPERLINK("https://klasma.github.io/Logging_2361/klagomål/A 37451-2024 FSC-klagomål.docx", "A 37451-2024")</f>
        <v/>
      </c>
      <c r="W191">
        <f>HYPERLINK("https://klasma.github.io/Logging_2361/klagomålsmail/A 37451-2024 FSC-klagomål mail.docx", "A 37451-2024")</f>
        <v/>
      </c>
      <c r="X191">
        <f>HYPERLINK("https://klasma.github.io/Logging_2361/tillsyn/A 37451-2024 tillsynsbegäran.docx", "A 37451-2024")</f>
        <v/>
      </c>
      <c r="Y191">
        <f>HYPERLINK("https://klasma.github.io/Logging_2361/tillsynsmail/A 37451-2024 tillsynsbegäran mail.docx", "A 37451-2024")</f>
        <v/>
      </c>
    </row>
    <row r="192" ht="15" customHeight="1">
      <c r="A192" t="inlineStr">
        <is>
          <t>A 38285-2024</t>
        </is>
      </c>
      <c r="B192" s="1" t="n">
        <v>45545</v>
      </c>
      <c r="C192" s="1" t="n">
        <v>45569</v>
      </c>
      <c r="D192" t="inlineStr">
        <is>
          <t>JÄMTLANDS LÄN</t>
        </is>
      </c>
      <c r="E192" t="inlineStr">
        <is>
          <t>HÄRJEDALEN</t>
        </is>
      </c>
      <c r="F192" t="inlineStr">
        <is>
          <t>Sveaskog</t>
        </is>
      </c>
      <c r="G192" t="n">
        <v>4.9</v>
      </c>
      <c r="H192" t="n">
        <v>0</v>
      </c>
      <c r="I192" t="n">
        <v>0</v>
      </c>
      <c r="J192" t="n">
        <v>1</v>
      </c>
      <c r="K192" t="n">
        <v>0</v>
      </c>
      <c r="L192" t="n">
        <v>0</v>
      </c>
      <c r="M192" t="n">
        <v>0</v>
      </c>
      <c r="N192" t="n">
        <v>0</v>
      </c>
      <c r="O192" t="n">
        <v>1</v>
      </c>
      <c r="P192" t="n">
        <v>0</v>
      </c>
      <c r="Q192" t="n">
        <v>1</v>
      </c>
      <c r="R192" s="2" t="inlineStr">
        <is>
          <t>Lunglav</t>
        </is>
      </c>
      <c r="S192">
        <f>HYPERLINK("https://klasma.github.io/Logging_2361/artfynd/A 38285-2024 artfynd.xlsx", "A 38285-2024")</f>
        <v/>
      </c>
      <c r="T192">
        <f>HYPERLINK("https://klasma.github.io/Logging_2361/kartor/A 38285-2024 karta.png", "A 38285-2024")</f>
        <v/>
      </c>
      <c r="V192">
        <f>HYPERLINK("https://klasma.github.io/Logging_2361/klagomål/A 38285-2024 FSC-klagomål.docx", "A 38285-2024")</f>
        <v/>
      </c>
      <c r="W192">
        <f>HYPERLINK("https://klasma.github.io/Logging_2361/klagomålsmail/A 38285-2024 FSC-klagomål mail.docx", "A 38285-2024")</f>
        <v/>
      </c>
      <c r="X192">
        <f>HYPERLINK("https://klasma.github.io/Logging_2361/tillsyn/A 38285-2024 tillsynsbegäran.docx", "A 38285-2024")</f>
        <v/>
      </c>
      <c r="Y192">
        <f>HYPERLINK("https://klasma.github.io/Logging_2361/tillsynsmail/A 38285-2024 tillsynsbegäran mail.docx", "A 38285-2024")</f>
        <v/>
      </c>
    </row>
    <row r="193" ht="15" customHeight="1">
      <c r="A193" t="inlineStr">
        <is>
          <t>A 17811-2019</t>
        </is>
      </c>
      <c r="B193" s="1" t="n">
        <v>43556</v>
      </c>
      <c r="C193" s="1" t="n">
        <v>45569</v>
      </c>
      <c r="D193" t="inlineStr">
        <is>
          <t>JÄMTLANDS LÄN</t>
        </is>
      </c>
      <c r="E193" t="inlineStr">
        <is>
          <t>HÄRJEDALEN</t>
        </is>
      </c>
      <c r="G193" t="n">
        <v>10.3</v>
      </c>
      <c r="H193" t="n">
        <v>0</v>
      </c>
      <c r="I193" t="n">
        <v>0</v>
      </c>
      <c r="J193" t="n">
        <v>0</v>
      </c>
      <c r="K193" t="n">
        <v>0</v>
      </c>
      <c r="L193" t="n">
        <v>0</v>
      </c>
      <c r="M193" t="n">
        <v>0</v>
      </c>
      <c r="N193" t="n">
        <v>0</v>
      </c>
      <c r="O193" t="n">
        <v>0</v>
      </c>
      <c r="P193" t="n">
        <v>0</v>
      </c>
      <c r="Q193" t="n">
        <v>0</v>
      </c>
      <c r="R193" s="2" t="inlineStr"/>
    </row>
    <row r="194" ht="15" customHeight="1">
      <c r="A194" t="inlineStr">
        <is>
          <t>A 17986-2019</t>
        </is>
      </c>
      <c r="B194" s="1" t="n">
        <v>43557</v>
      </c>
      <c r="C194" s="1" t="n">
        <v>45569</v>
      </c>
      <c r="D194" t="inlineStr">
        <is>
          <t>JÄMTLANDS LÄN</t>
        </is>
      </c>
      <c r="E194" t="inlineStr">
        <is>
          <t>HÄRJEDALEN</t>
        </is>
      </c>
      <c r="F194" t="inlineStr">
        <is>
          <t>Kyrkan</t>
        </is>
      </c>
      <c r="G194" t="n">
        <v>17.5</v>
      </c>
      <c r="H194" t="n">
        <v>0</v>
      </c>
      <c r="I194" t="n">
        <v>0</v>
      </c>
      <c r="J194" t="n">
        <v>0</v>
      </c>
      <c r="K194" t="n">
        <v>0</v>
      </c>
      <c r="L194" t="n">
        <v>0</v>
      </c>
      <c r="M194" t="n">
        <v>0</v>
      </c>
      <c r="N194" t="n">
        <v>0</v>
      </c>
      <c r="O194" t="n">
        <v>0</v>
      </c>
      <c r="P194" t="n">
        <v>0</v>
      </c>
      <c r="Q194" t="n">
        <v>0</v>
      </c>
      <c r="R194" s="2" t="inlineStr"/>
    </row>
    <row r="195" ht="15" customHeight="1">
      <c r="A195" t="inlineStr">
        <is>
          <t>A 17917-2019</t>
        </is>
      </c>
      <c r="B195" s="1" t="n">
        <v>43557</v>
      </c>
      <c r="C195" s="1" t="n">
        <v>45569</v>
      </c>
      <c r="D195" t="inlineStr">
        <is>
          <t>JÄMTLANDS LÄN</t>
        </is>
      </c>
      <c r="E195" t="inlineStr">
        <is>
          <t>HÄRJEDALEN</t>
        </is>
      </c>
      <c r="F195" t="inlineStr">
        <is>
          <t>Bergvik skog väst AB</t>
        </is>
      </c>
      <c r="G195" t="n">
        <v>166.3</v>
      </c>
      <c r="H195" t="n">
        <v>0</v>
      </c>
      <c r="I195" t="n">
        <v>0</v>
      </c>
      <c r="J195" t="n">
        <v>0</v>
      </c>
      <c r="K195" t="n">
        <v>0</v>
      </c>
      <c r="L195" t="n">
        <v>0</v>
      </c>
      <c r="M195" t="n">
        <v>0</v>
      </c>
      <c r="N195" t="n">
        <v>0</v>
      </c>
      <c r="O195" t="n">
        <v>0</v>
      </c>
      <c r="P195" t="n">
        <v>0</v>
      </c>
      <c r="Q195" t="n">
        <v>0</v>
      </c>
      <c r="R195" s="2" t="inlineStr"/>
    </row>
    <row r="196" ht="15" customHeight="1">
      <c r="A196" t="inlineStr">
        <is>
          <t>A 18539-2019</t>
        </is>
      </c>
      <c r="B196" s="1" t="n">
        <v>43559</v>
      </c>
      <c r="C196" s="1" t="n">
        <v>45569</v>
      </c>
      <c r="D196" t="inlineStr">
        <is>
          <t>JÄMTLANDS LÄN</t>
        </is>
      </c>
      <c r="E196" t="inlineStr">
        <is>
          <t>HÄRJEDALEN</t>
        </is>
      </c>
      <c r="G196" t="n">
        <v>1.7</v>
      </c>
      <c r="H196" t="n">
        <v>0</v>
      </c>
      <c r="I196" t="n">
        <v>0</v>
      </c>
      <c r="J196" t="n">
        <v>0</v>
      </c>
      <c r="K196" t="n">
        <v>0</v>
      </c>
      <c r="L196" t="n">
        <v>0</v>
      </c>
      <c r="M196" t="n">
        <v>0</v>
      </c>
      <c r="N196" t="n">
        <v>0</v>
      </c>
      <c r="O196" t="n">
        <v>0</v>
      </c>
      <c r="P196" t="n">
        <v>0</v>
      </c>
      <c r="Q196" t="n">
        <v>0</v>
      </c>
      <c r="R196" s="2" t="inlineStr"/>
    </row>
    <row r="197" ht="15" customHeight="1">
      <c r="A197" t="inlineStr">
        <is>
          <t>A 18648-2019</t>
        </is>
      </c>
      <c r="B197" s="1" t="n">
        <v>43560</v>
      </c>
      <c r="C197" s="1" t="n">
        <v>45569</v>
      </c>
      <c r="D197" t="inlineStr">
        <is>
          <t>JÄMTLANDS LÄN</t>
        </is>
      </c>
      <c r="E197" t="inlineStr">
        <is>
          <t>HÄRJEDALEN</t>
        </is>
      </c>
      <c r="G197" t="n">
        <v>5.5</v>
      </c>
      <c r="H197" t="n">
        <v>0</v>
      </c>
      <c r="I197" t="n">
        <v>0</v>
      </c>
      <c r="J197" t="n">
        <v>0</v>
      </c>
      <c r="K197" t="n">
        <v>0</v>
      </c>
      <c r="L197" t="n">
        <v>0</v>
      </c>
      <c r="M197" t="n">
        <v>0</v>
      </c>
      <c r="N197" t="n">
        <v>0</v>
      </c>
      <c r="O197" t="n">
        <v>0</v>
      </c>
      <c r="P197" t="n">
        <v>0</v>
      </c>
      <c r="Q197" t="n">
        <v>0</v>
      </c>
      <c r="R197" s="2" t="inlineStr"/>
    </row>
    <row r="198" ht="15" customHeight="1">
      <c r="A198" t="inlineStr">
        <is>
          <t>A 19114-2019</t>
        </is>
      </c>
      <c r="B198" s="1" t="n">
        <v>43563</v>
      </c>
      <c r="C198" s="1" t="n">
        <v>45569</v>
      </c>
      <c r="D198" t="inlineStr">
        <is>
          <t>JÄMTLANDS LÄN</t>
        </is>
      </c>
      <c r="E198" t="inlineStr">
        <is>
          <t>HÄRJEDALEN</t>
        </is>
      </c>
      <c r="G198" t="n">
        <v>0.6</v>
      </c>
      <c r="H198" t="n">
        <v>0</v>
      </c>
      <c r="I198" t="n">
        <v>0</v>
      </c>
      <c r="J198" t="n">
        <v>0</v>
      </c>
      <c r="K198" t="n">
        <v>0</v>
      </c>
      <c r="L198" t="n">
        <v>0</v>
      </c>
      <c r="M198" t="n">
        <v>0</v>
      </c>
      <c r="N198" t="n">
        <v>0</v>
      </c>
      <c r="O198" t="n">
        <v>0</v>
      </c>
      <c r="P198" t="n">
        <v>0</v>
      </c>
      <c r="Q198" t="n">
        <v>0</v>
      </c>
      <c r="R198" s="2" t="inlineStr"/>
    </row>
    <row r="199" ht="15" customHeight="1">
      <c r="A199" t="inlineStr">
        <is>
          <t>A 20063-2019</t>
        </is>
      </c>
      <c r="B199" s="1" t="n">
        <v>43567</v>
      </c>
      <c r="C199" s="1" t="n">
        <v>45569</v>
      </c>
      <c r="D199" t="inlineStr">
        <is>
          <t>JÄMTLANDS LÄN</t>
        </is>
      </c>
      <c r="E199" t="inlineStr">
        <is>
          <t>HÄRJEDALEN</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19864-2019</t>
        </is>
      </c>
      <c r="B200" s="1" t="n">
        <v>43567</v>
      </c>
      <c r="C200" s="1" t="n">
        <v>45569</v>
      </c>
      <c r="D200" t="inlineStr">
        <is>
          <t>JÄMTLANDS LÄN</t>
        </is>
      </c>
      <c r="E200" t="inlineStr">
        <is>
          <t>HÄRJEDALEN</t>
        </is>
      </c>
      <c r="G200" t="n">
        <v>2.6</v>
      </c>
      <c r="H200" t="n">
        <v>0</v>
      </c>
      <c r="I200" t="n">
        <v>0</v>
      </c>
      <c r="J200" t="n">
        <v>0</v>
      </c>
      <c r="K200" t="n">
        <v>0</v>
      </c>
      <c r="L200" t="n">
        <v>0</v>
      </c>
      <c r="M200" t="n">
        <v>0</v>
      </c>
      <c r="N200" t="n">
        <v>0</v>
      </c>
      <c r="O200" t="n">
        <v>0</v>
      </c>
      <c r="P200" t="n">
        <v>0</v>
      </c>
      <c r="Q200" t="n">
        <v>0</v>
      </c>
      <c r="R200" s="2" t="inlineStr"/>
    </row>
    <row r="201" ht="15" customHeight="1">
      <c r="A201" t="inlineStr">
        <is>
          <t>A 20403-2019</t>
        </is>
      </c>
      <c r="B201" s="1" t="n">
        <v>43571</v>
      </c>
      <c r="C201" s="1" t="n">
        <v>45569</v>
      </c>
      <c r="D201" t="inlineStr">
        <is>
          <t>JÄMTLANDS LÄN</t>
        </is>
      </c>
      <c r="E201" t="inlineStr">
        <is>
          <t>HÄRJEDALEN</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20373-2019</t>
        </is>
      </c>
      <c r="B202" s="1" t="n">
        <v>43571</v>
      </c>
      <c r="C202" s="1" t="n">
        <v>45569</v>
      </c>
      <c r="D202" t="inlineStr">
        <is>
          <t>JÄMTLANDS LÄN</t>
        </is>
      </c>
      <c r="E202" t="inlineStr">
        <is>
          <t>HÄRJEDALEN</t>
        </is>
      </c>
      <c r="G202" t="n">
        <v>0.8</v>
      </c>
      <c r="H202" t="n">
        <v>0</v>
      </c>
      <c r="I202" t="n">
        <v>0</v>
      </c>
      <c r="J202" t="n">
        <v>0</v>
      </c>
      <c r="K202" t="n">
        <v>0</v>
      </c>
      <c r="L202" t="n">
        <v>0</v>
      </c>
      <c r="M202" t="n">
        <v>0</v>
      </c>
      <c r="N202" t="n">
        <v>0</v>
      </c>
      <c r="O202" t="n">
        <v>0</v>
      </c>
      <c r="P202" t="n">
        <v>0</v>
      </c>
      <c r="Q202" t="n">
        <v>0</v>
      </c>
      <c r="R202" s="2" t="inlineStr"/>
    </row>
    <row r="203" ht="15" customHeight="1">
      <c r="A203" t="inlineStr">
        <is>
          <t>A 20851-2019</t>
        </is>
      </c>
      <c r="B203" s="1" t="n">
        <v>43577</v>
      </c>
      <c r="C203" s="1" t="n">
        <v>45569</v>
      </c>
      <c r="D203" t="inlineStr">
        <is>
          <t>JÄMTLANDS LÄN</t>
        </is>
      </c>
      <c r="E203" t="inlineStr">
        <is>
          <t>HÄRJEDALEN</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21040-2019</t>
        </is>
      </c>
      <c r="B204" s="1" t="n">
        <v>43578</v>
      </c>
      <c r="C204" s="1" t="n">
        <v>45569</v>
      </c>
      <c r="D204" t="inlineStr">
        <is>
          <t>JÄMTLANDS LÄN</t>
        </is>
      </c>
      <c r="E204" t="inlineStr">
        <is>
          <t>HÄRJEDALEN</t>
        </is>
      </c>
      <c r="G204" t="n">
        <v>0.8</v>
      </c>
      <c r="H204" t="n">
        <v>0</v>
      </c>
      <c r="I204" t="n">
        <v>0</v>
      </c>
      <c r="J204" t="n">
        <v>0</v>
      </c>
      <c r="K204" t="n">
        <v>0</v>
      </c>
      <c r="L204" t="n">
        <v>0</v>
      </c>
      <c r="M204" t="n">
        <v>0</v>
      </c>
      <c r="N204" t="n">
        <v>0</v>
      </c>
      <c r="O204" t="n">
        <v>0</v>
      </c>
      <c r="P204" t="n">
        <v>0</v>
      </c>
      <c r="Q204" t="n">
        <v>0</v>
      </c>
      <c r="R204" s="2" t="inlineStr"/>
    </row>
    <row r="205" ht="15" customHeight="1">
      <c r="A205" t="inlineStr">
        <is>
          <t>A 21189-2019</t>
        </is>
      </c>
      <c r="B205" s="1" t="n">
        <v>43579</v>
      </c>
      <c r="C205" s="1" t="n">
        <v>45569</v>
      </c>
      <c r="D205" t="inlineStr">
        <is>
          <t>JÄMTLANDS LÄN</t>
        </is>
      </c>
      <c r="E205" t="inlineStr">
        <is>
          <t>HÄRJEDALEN</t>
        </is>
      </c>
      <c r="G205" t="n">
        <v>2.3</v>
      </c>
      <c r="H205" t="n">
        <v>0</v>
      </c>
      <c r="I205" t="n">
        <v>0</v>
      </c>
      <c r="J205" t="n">
        <v>0</v>
      </c>
      <c r="K205" t="n">
        <v>0</v>
      </c>
      <c r="L205" t="n">
        <v>0</v>
      </c>
      <c r="M205" t="n">
        <v>0</v>
      </c>
      <c r="N205" t="n">
        <v>0</v>
      </c>
      <c r="O205" t="n">
        <v>0</v>
      </c>
      <c r="P205" t="n">
        <v>0</v>
      </c>
      <c r="Q205" t="n">
        <v>0</v>
      </c>
      <c r="R205" s="2" t="inlineStr"/>
    </row>
    <row r="206" ht="15" customHeight="1">
      <c r="A206" t="inlineStr">
        <is>
          <t>A 22622-2019</t>
        </is>
      </c>
      <c r="B206" s="1" t="n">
        <v>43588</v>
      </c>
      <c r="C206" s="1" t="n">
        <v>45569</v>
      </c>
      <c r="D206" t="inlineStr">
        <is>
          <t>JÄMTLANDS LÄN</t>
        </is>
      </c>
      <c r="E206" t="inlineStr">
        <is>
          <t>HÄRJEDALEN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24030-2019</t>
        </is>
      </c>
      <c r="B207" s="1" t="n">
        <v>43598</v>
      </c>
      <c r="C207" s="1" t="n">
        <v>45569</v>
      </c>
      <c r="D207" t="inlineStr">
        <is>
          <t>JÄMTLANDS LÄN</t>
        </is>
      </c>
      <c r="E207" t="inlineStr">
        <is>
          <t>HÄRJEDALEN</t>
        </is>
      </c>
      <c r="F207" t="inlineStr">
        <is>
          <t>Sveaskog</t>
        </is>
      </c>
      <c r="G207" t="n">
        <v>39.9</v>
      </c>
      <c r="H207" t="n">
        <v>0</v>
      </c>
      <c r="I207" t="n">
        <v>0</v>
      </c>
      <c r="J207" t="n">
        <v>0</v>
      </c>
      <c r="K207" t="n">
        <v>0</v>
      </c>
      <c r="L207" t="n">
        <v>0</v>
      </c>
      <c r="M207" t="n">
        <v>0</v>
      </c>
      <c r="N207" t="n">
        <v>0</v>
      </c>
      <c r="O207" t="n">
        <v>0</v>
      </c>
      <c r="P207" t="n">
        <v>0</v>
      </c>
      <c r="Q207" t="n">
        <v>0</v>
      </c>
      <c r="R207" s="2" t="inlineStr"/>
    </row>
    <row r="208" ht="15" customHeight="1">
      <c r="A208" t="inlineStr">
        <is>
          <t>A 24760-2019</t>
        </is>
      </c>
      <c r="B208" s="1" t="n">
        <v>43601</v>
      </c>
      <c r="C208" s="1" t="n">
        <v>45569</v>
      </c>
      <c r="D208" t="inlineStr">
        <is>
          <t>JÄMTLANDS LÄN</t>
        </is>
      </c>
      <c r="E208" t="inlineStr">
        <is>
          <t>HÄRJEDALEN</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25309-2019</t>
        </is>
      </c>
      <c r="B209" s="1" t="n">
        <v>43605</v>
      </c>
      <c r="C209" s="1" t="n">
        <v>45569</v>
      </c>
      <c r="D209" t="inlineStr">
        <is>
          <t>JÄMTLANDS LÄN</t>
        </is>
      </c>
      <c r="E209" t="inlineStr">
        <is>
          <t>HÄRJEDALEN</t>
        </is>
      </c>
      <c r="G209" t="n">
        <v>0.1</v>
      </c>
      <c r="H209" t="n">
        <v>0</v>
      </c>
      <c r="I209" t="n">
        <v>0</v>
      </c>
      <c r="J209" t="n">
        <v>0</v>
      </c>
      <c r="K209" t="n">
        <v>0</v>
      </c>
      <c r="L209" t="n">
        <v>0</v>
      </c>
      <c r="M209" t="n">
        <v>0</v>
      </c>
      <c r="N209" t="n">
        <v>0</v>
      </c>
      <c r="O209" t="n">
        <v>0</v>
      </c>
      <c r="P209" t="n">
        <v>0</v>
      </c>
      <c r="Q209" t="n">
        <v>0</v>
      </c>
      <c r="R209" s="2" t="inlineStr"/>
    </row>
    <row r="210" ht="15" customHeight="1">
      <c r="A210" t="inlineStr">
        <is>
          <t>A 25470-2019</t>
        </is>
      </c>
      <c r="B210" s="1" t="n">
        <v>43606</v>
      </c>
      <c r="C210" s="1" t="n">
        <v>45569</v>
      </c>
      <c r="D210" t="inlineStr">
        <is>
          <t>JÄMTLANDS LÄN</t>
        </is>
      </c>
      <c r="E210" t="inlineStr">
        <is>
          <t>HÄRJEDALEN</t>
        </is>
      </c>
      <c r="G210" t="n">
        <v>36.8</v>
      </c>
      <c r="H210" t="n">
        <v>0</v>
      </c>
      <c r="I210" t="n">
        <v>0</v>
      </c>
      <c r="J210" t="n">
        <v>0</v>
      </c>
      <c r="K210" t="n">
        <v>0</v>
      </c>
      <c r="L210" t="n">
        <v>0</v>
      </c>
      <c r="M210" t="n">
        <v>0</v>
      </c>
      <c r="N210" t="n">
        <v>0</v>
      </c>
      <c r="O210" t="n">
        <v>0</v>
      </c>
      <c r="P210" t="n">
        <v>0</v>
      </c>
      <c r="Q210" t="n">
        <v>0</v>
      </c>
      <c r="R210" s="2" t="inlineStr"/>
    </row>
    <row r="211" ht="15" customHeight="1">
      <c r="A211" t="inlineStr">
        <is>
          <t>A 26166-2019</t>
        </is>
      </c>
      <c r="B211" s="1" t="n">
        <v>43609</v>
      </c>
      <c r="C211" s="1" t="n">
        <v>45569</v>
      </c>
      <c r="D211" t="inlineStr">
        <is>
          <t>JÄMTLANDS LÄN</t>
        </is>
      </c>
      <c r="E211" t="inlineStr">
        <is>
          <t>HÄRJEDALEN</t>
        </is>
      </c>
      <c r="G211" t="n">
        <v>85.2</v>
      </c>
      <c r="H211" t="n">
        <v>0</v>
      </c>
      <c r="I211" t="n">
        <v>0</v>
      </c>
      <c r="J211" t="n">
        <v>0</v>
      </c>
      <c r="K211" t="n">
        <v>0</v>
      </c>
      <c r="L211" t="n">
        <v>0</v>
      </c>
      <c r="M211" t="n">
        <v>0</v>
      </c>
      <c r="N211" t="n">
        <v>0</v>
      </c>
      <c r="O211" t="n">
        <v>0</v>
      </c>
      <c r="P211" t="n">
        <v>0</v>
      </c>
      <c r="Q211" t="n">
        <v>0</v>
      </c>
      <c r="R211" s="2" t="inlineStr"/>
    </row>
    <row r="212" ht="15" customHeight="1">
      <c r="A212" t="inlineStr">
        <is>
          <t>A 26310-2019</t>
        </is>
      </c>
      <c r="B212" s="1" t="n">
        <v>43612</v>
      </c>
      <c r="C212" s="1" t="n">
        <v>45569</v>
      </c>
      <c r="D212" t="inlineStr">
        <is>
          <t>JÄMTLANDS LÄN</t>
        </is>
      </c>
      <c r="E212" t="inlineStr">
        <is>
          <t>HÄRJEDALEN</t>
        </is>
      </c>
      <c r="F212" t="inlineStr">
        <is>
          <t>Holmen skog AB</t>
        </is>
      </c>
      <c r="G212" t="n">
        <v>15</v>
      </c>
      <c r="H212" t="n">
        <v>0</v>
      </c>
      <c r="I212" t="n">
        <v>0</v>
      </c>
      <c r="J212" t="n">
        <v>0</v>
      </c>
      <c r="K212" t="n">
        <v>0</v>
      </c>
      <c r="L212" t="n">
        <v>0</v>
      </c>
      <c r="M212" t="n">
        <v>0</v>
      </c>
      <c r="N212" t="n">
        <v>0</v>
      </c>
      <c r="O212" t="n">
        <v>0</v>
      </c>
      <c r="P212" t="n">
        <v>0</v>
      </c>
      <c r="Q212" t="n">
        <v>0</v>
      </c>
      <c r="R212" s="2" t="inlineStr"/>
    </row>
    <row r="213" ht="15" customHeight="1">
      <c r="A213" t="inlineStr">
        <is>
          <t>A 26423-2019</t>
        </is>
      </c>
      <c r="B213" s="1" t="n">
        <v>43612</v>
      </c>
      <c r="C213" s="1" t="n">
        <v>45569</v>
      </c>
      <c r="D213" t="inlineStr">
        <is>
          <t>JÄMTLANDS LÄN</t>
        </is>
      </c>
      <c r="E213" t="inlineStr">
        <is>
          <t>HÄRJEDALEN</t>
        </is>
      </c>
      <c r="G213" t="n">
        <v>2.3</v>
      </c>
      <c r="H213" t="n">
        <v>0</v>
      </c>
      <c r="I213" t="n">
        <v>0</v>
      </c>
      <c r="J213" t="n">
        <v>0</v>
      </c>
      <c r="K213" t="n">
        <v>0</v>
      </c>
      <c r="L213" t="n">
        <v>0</v>
      </c>
      <c r="M213" t="n">
        <v>0</v>
      </c>
      <c r="N213" t="n">
        <v>0</v>
      </c>
      <c r="O213" t="n">
        <v>0</v>
      </c>
      <c r="P213" t="n">
        <v>0</v>
      </c>
      <c r="Q213" t="n">
        <v>0</v>
      </c>
      <c r="R213" s="2" t="inlineStr"/>
    </row>
    <row r="214" ht="15" customHeight="1">
      <c r="A214" t="inlineStr">
        <is>
          <t>A 27683-2019</t>
        </is>
      </c>
      <c r="B214" s="1" t="n">
        <v>43619</v>
      </c>
      <c r="C214" s="1" t="n">
        <v>45569</v>
      </c>
      <c r="D214" t="inlineStr">
        <is>
          <t>JÄMTLANDS LÄN</t>
        </is>
      </c>
      <c r="E214" t="inlineStr">
        <is>
          <t>HÄRJEDALEN</t>
        </is>
      </c>
      <c r="G214" t="n">
        <v>5.4</v>
      </c>
      <c r="H214" t="n">
        <v>0</v>
      </c>
      <c r="I214" t="n">
        <v>0</v>
      </c>
      <c r="J214" t="n">
        <v>0</v>
      </c>
      <c r="K214" t="n">
        <v>0</v>
      </c>
      <c r="L214" t="n">
        <v>0</v>
      </c>
      <c r="M214" t="n">
        <v>0</v>
      </c>
      <c r="N214" t="n">
        <v>0</v>
      </c>
      <c r="O214" t="n">
        <v>0</v>
      </c>
      <c r="P214" t="n">
        <v>0</v>
      </c>
      <c r="Q214" t="n">
        <v>0</v>
      </c>
      <c r="R214" s="2" t="inlineStr"/>
    </row>
    <row r="215" ht="15" customHeight="1">
      <c r="A215" t="inlineStr">
        <is>
          <t>A 27903-2019</t>
        </is>
      </c>
      <c r="B215" s="1" t="n">
        <v>43620</v>
      </c>
      <c r="C215" s="1" t="n">
        <v>45569</v>
      </c>
      <c r="D215" t="inlineStr">
        <is>
          <t>JÄMTLANDS LÄN</t>
        </is>
      </c>
      <c r="E215" t="inlineStr">
        <is>
          <t>HÄRJEDALEN</t>
        </is>
      </c>
      <c r="G215" t="n">
        <v>22</v>
      </c>
      <c r="H215" t="n">
        <v>0</v>
      </c>
      <c r="I215" t="n">
        <v>0</v>
      </c>
      <c r="J215" t="n">
        <v>0</v>
      </c>
      <c r="K215" t="n">
        <v>0</v>
      </c>
      <c r="L215" t="n">
        <v>0</v>
      </c>
      <c r="M215" t="n">
        <v>0</v>
      </c>
      <c r="N215" t="n">
        <v>0</v>
      </c>
      <c r="O215" t="n">
        <v>0</v>
      </c>
      <c r="P215" t="n">
        <v>0</v>
      </c>
      <c r="Q215" t="n">
        <v>0</v>
      </c>
      <c r="R215" s="2" t="inlineStr"/>
    </row>
    <row r="216" ht="15" customHeight="1">
      <c r="A216" t="inlineStr">
        <is>
          <t>A 28312-2019</t>
        </is>
      </c>
      <c r="B216" s="1" t="n">
        <v>43623</v>
      </c>
      <c r="C216" s="1" t="n">
        <v>45569</v>
      </c>
      <c r="D216" t="inlineStr">
        <is>
          <t>JÄMTLANDS LÄN</t>
        </is>
      </c>
      <c r="E216" t="inlineStr">
        <is>
          <t>HÄRJEDALEN</t>
        </is>
      </c>
      <c r="G216" t="n">
        <v>6.5</v>
      </c>
      <c r="H216" t="n">
        <v>0</v>
      </c>
      <c r="I216" t="n">
        <v>0</v>
      </c>
      <c r="J216" t="n">
        <v>0</v>
      </c>
      <c r="K216" t="n">
        <v>0</v>
      </c>
      <c r="L216" t="n">
        <v>0</v>
      </c>
      <c r="M216" t="n">
        <v>0</v>
      </c>
      <c r="N216" t="n">
        <v>0</v>
      </c>
      <c r="O216" t="n">
        <v>0</v>
      </c>
      <c r="P216" t="n">
        <v>0</v>
      </c>
      <c r="Q216" t="n">
        <v>0</v>
      </c>
      <c r="R216" s="2" t="inlineStr"/>
    </row>
    <row r="217" ht="15" customHeight="1">
      <c r="A217" t="inlineStr">
        <is>
          <t>A 28326-2019</t>
        </is>
      </c>
      <c r="B217" s="1" t="n">
        <v>43623</v>
      </c>
      <c r="C217" s="1" t="n">
        <v>45569</v>
      </c>
      <c r="D217" t="inlineStr">
        <is>
          <t>JÄMTLANDS LÄN</t>
        </is>
      </c>
      <c r="E217" t="inlineStr">
        <is>
          <t>HÄRJEDALEN</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28513-2019</t>
        </is>
      </c>
      <c r="B218" s="1" t="n">
        <v>43626</v>
      </c>
      <c r="C218" s="1" t="n">
        <v>45569</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29263-2019</t>
        </is>
      </c>
      <c r="B219" s="1" t="n">
        <v>43629</v>
      </c>
      <c r="C219" s="1" t="n">
        <v>45569</v>
      </c>
      <c r="D219" t="inlineStr">
        <is>
          <t>JÄMTLANDS LÄN</t>
        </is>
      </c>
      <c r="E219" t="inlineStr">
        <is>
          <t>HÄRJEDALEN</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29822-2019</t>
        </is>
      </c>
      <c r="B220" s="1" t="n">
        <v>43633</v>
      </c>
      <c r="C220" s="1" t="n">
        <v>45569</v>
      </c>
      <c r="D220" t="inlineStr">
        <is>
          <t>JÄMTLANDS LÄN</t>
        </is>
      </c>
      <c r="E220" t="inlineStr">
        <is>
          <t>HÄRJEDALEN</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34618-2019</t>
        </is>
      </c>
      <c r="B221" s="1" t="n">
        <v>43647</v>
      </c>
      <c r="C221" s="1" t="n">
        <v>45569</v>
      </c>
      <c r="D221" t="inlineStr">
        <is>
          <t>JÄMTLANDS LÄN</t>
        </is>
      </c>
      <c r="E221" t="inlineStr">
        <is>
          <t>HÄRJEDALEN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32878-2019</t>
        </is>
      </c>
      <c r="B222" s="1" t="n">
        <v>43648</v>
      </c>
      <c r="C222" s="1" t="n">
        <v>45569</v>
      </c>
      <c r="D222" t="inlineStr">
        <is>
          <t>JÄMTLANDS LÄN</t>
        </is>
      </c>
      <c r="E222" t="inlineStr">
        <is>
          <t>HÄRJEDALEN</t>
        </is>
      </c>
      <c r="F222" t="inlineStr">
        <is>
          <t>Övriga Aktiebolag</t>
        </is>
      </c>
      <c r="G222" t="n">
        <v>91.8</v>
      </c>
      <c r="H222" t="n">
        <v>0</v>
      </c>
      <c r="I222" t="n">
        <v>0</v>
      </c>
      <c r="J222" t="n">
        <v>0</v>
      </c>
      <c r="K222" t="n">
        <v>0</v>
      </c>
      <c r="L222" t="n">
        <v>0</v>
      </c>
      <c r="M222" t="n">
        <v>0</v>
      </c>
      <c r="N222" t="n">
        <v>0</v>
      </c>
      <c r="O222" t="n">
        <v>0</v>
      </c>
      <c r="P222" t="n">
        <v>0</v>
      </c>
      <c r="Q222" t="n">
        <v>0</v>
      </c>
      <c r="R222" s="2" t="inlineStr"/>
    </row>
    <row r="223" ht="15" customHeight="1">
      <c r="A223" t="inlineStr">
        <is>
          <t>A 33496-2019</t>
        </is>
      </c>
      <c r="B223" s="1" t="n">
        <v>43651</v>
      </c>
      <c r="C223" s="1" t="n">
        <v>45569</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33497-2019</t>
        </is>
      </c>
      <c r="B224" s="1" t="n">
        <v>43651</v>
      </c>
      <c r="C224" s="1" t="n">
        <v>45569</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34688-2019</t>
        </is>
      </c>
      <c r="B225" s="1" t="n">
        <v>43657</v>
      </c>
      <c r="C225" s="1" t="n">
        <v>45569</v>
      </c>
      <c r="D225" t="inlineStr">
        <is>
          <t>JÄMTLANDS LÄN</t>
        </is>
      </c>
      <c r="E225" t="inlineStr">
        <is>
          <t>HÄRJEDALEN</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34805-2019</t>
        </is>
      </c>
      <c r="B226" s="1" t="n">
        <v>43658</v>
      </c>
      <c r="C226" s="1" t="n">
        <v>45569</v>
      </c>
      <c r="D226" t="inlineStr">
        <is>
          <t>JÄMTLANDS LÄN</t>
        </is>
      </c>
      <c r="E226" t="inlineStr">
        <is>
          <t>HÄRJEDALEN</t>
        </is>
      </c>
      <c r="F226" t="inlineStr">
        <is>
          <t>Sveaskog</t>
        </is>
      </c>
      <c r="G226" t="n">
        <v>0.2</v>
      </c>
      <c r="H226" t="n">
        <v>0</v>
      </c>
      <c r="I226" t="n">
        <v>0</v>
      </c>
      <c r="J226" t="n">
        <v>0</v>
      </c>
      <c r="K226" t="n">
        <v>0</v>
      </c>
      <c r="L226" t="n">
        <v>0</v>
      </c>
      <c r="M226" t="n">
        <v>0</v>
      </c>
      <c r="N226" t="n">
        <v>0</v>
      </c>
      <c r="O226" t="n">
        <v>0</v>
      </c>
      <c r="P226" t="n">
        <v>0</v>
      </c>
      <c r="Q226" t="n">
        <v>0</v>
      </c>
      <c r="R226" s="2" t="inlineStr"/>
    </row>
    <row r="227" ht="15" customHeight="1">
      <c r="A227" t="inlineStr">
        <is>
          <t>A 35160-2019</t>
        </is>
      </c>
      <c r="B227" s="1" t="n">
        <v>43661</v>
      </c>
      <c r="C227" s="1" t="n">
        <v>45569</v>
      </c>
      <c r="D227" t="inlineStr">
        <is>
          <t>JÄMTLANDS LÄN</t>
        </is>
      </c>
      <c r="E227" t="inlineStr">
        <is>
          <t>HÄRJEDALEN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36343-2019</t>
        </is>
      </c>
      <c r="B228" s="1" t="n">
        <v>43662</v>
      </c>
      <c r="C228" s="1" t="n">
        <v>45569</v>
      </c>
      <c r="D228" t="inlineStr">
        <is>
          <t>JÄMTLANDS LÄN</t>
        </is>
      </c>
      <c r="E228" t="inlineStr">
        <is>
          <t>HÄRJEDALEN</t>
        </is>
      </c>
      <c r="G228" t="n">
        <v>8</v>
      </c>
      <c r="H228" t="n">
        <v>0</v>
      </c>
      <c r="I228" t="n">
        <v>0</v>
      </c>
      <c r="J228" t="n">
        <v>0</v>
      </c>
      <c r="K228" t="n">
        <v>0</v>
      </c>
      <c r="L228" t="n">
        <v>0</v>
      </c>
      <c r="M228" t="n">
        <v>0</v>
      </c>
      <c r="N228" t="n">
        <v>0</v>
      </c>
      <c r="O228" t="n">
        <v>0</v>
      </c>
      <c r="P228" t="n">
        <v>0</v>
      </c>
      <c r="Q228" t="n">
        <v>0</v>
      </c>
      <c r="R228" s="2" t="inlineStr"/>
    </row>
    <row r="229" ht="15" customHeight="1">
      <c r="A229" t="inlineStr">
        <is>
          <t>A 38283-2019</t>
        </is>
      </c>
      <c r="B229" s="1" t="n">
        <v>43684</v>
      </c>
      <c r="C229" s="1" t="n">
        <v>45569</v>
      </c>
      <c r="D229" t="inlineStr">
        <is>
          <t>JÄMTLANDS LÄN</t>
        </is>
      </c>
      <c r="E229" t="inlineStr">
        <is>
          <t>HÄRJEDALEN</t>
        </is>
      </c>
      <c r="F229" t="inlineStr">
        <is>
          <t>Bergvik skog väst AB</t>
        </is>
      </c>
      <c r="G229" t="n">
        <v>29.5</v>
      </c>
      <c r="H229" t="n">
        <v>0</v>
      </c>
      <c r="I229" t="n">
        <v>0</v>
      </c>
      <c r="J229" t="n">
        <v>0</v>
      </c>
      <c r="K229" t="n">
        <v>0</v>
      </c>
      <c r="L229" t="n">
        <v>0</v>
      </c>
      <c r="M229" t="n">
        <v>0</v>
      </c>
      <c r="N229" t="n">
        <v>0</v>
      </c>
      <c r="O229" t="n">
        <v>0</v>
      </c>
      <c r="P229" t="n">
        <v>0</v>
      </c>
      <c r="Q229" t="n">
        <v>0</v>
      </c>
      <c r="R229" s="2" t="inlineStr"/>
    </row>
    <row r="230" ht="15" customHeight="1">
      <c r="A230" t="inlineStr">
        <is>
          <t>A 38859-2019</t>
        </is>
      </c>
      <c r="B230" s="1" t="n">
        <v>43689</v>
      </c>
      <c r="C230" s="1" t="n">
        <v>45569</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38884-2019</t>
        </is>
      </c>
      <c r="B231" s="1" t="n">
        <v>43689</v>
      </c>
      <c r="C231" s="1" t="n">
        <v>45569</v>
      </c>
      <c r="D231" t="inlineStr">
        <is>
          <t>JÄMTLANDS LÄN</t>
        </is>
      </c>
      <c r="E231" t="inlineStr">
        <is>
          <t>HÄRJEDALEN</t>
        </is>
      </c>
      <c r="G231" t="n">
        <v>2.5</v>
      </c>
      <c r="H231" t="n">
        <v>0</v>
      </c>
      <c r="I231" t="n">
        <v>0</v>
      </c>
      <c r="J231" t="n">
        <v>0</v>
      </c>
      <c r="K231" t="n">
        <v>0</v>
      </c>
      <c r="L231" t="n">
        <v>0</v>
      </c>
      <c r="M231" t="n">
        <v>0</v>
      </c>
      <c r="N231" t="n">
        <v>0</v>
      </c>
      <c r="O231" t="n">
        <v>0</v>
      </c>
      <c r="P231" t="n">
        <v>0</v>
      </c>
      <c r="Q231" t="n">
        <v>0</v>
      </c>
      <c r="R231" s="2" t="inlineStr"/>
    </row>
    <row r="232" ht="15" customHeight="1">
      <c r="A232" t="inlineStr">
        <is>
          <t>A 40244-2019</t>
        </is>
      </c>
      <c r="B232" s="1" t="n">
        <v>43694</v>
      </c>
      <c r="C232" s="1" t="n">
        <v>45569</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42123-2019</t>
        </is>
      </c>
      <c r="B233" s="1" t="n">
        <v>43703</v>
      </c>
      <c r="C233" s="1" t="n">
        <v>45569</v>
      </c>
      <c r="D233" t="inlineStr">
        <is>
          <t>JÄMTLANDS LÄN</t>
        </is>
      </c>
      <c r="E233" t="inlineStr">
        <is>
          <t>HÄRJEDALEN</t>
        </is>
      </c>
      <c r="G233" t="n">
        <v>1.8</v>
      </c>
      <c r="H233" t="n">
        <v>0</v>
      </c>
      <c r="I233" t="n">
        <v>0</v>
      </c>
      <c r="J233" t="n">
        <v>0</v>
      </c>
      <c r="K233" t="n">
        <v>0</v>
      </c>
      <c r="L233" t="n">
        <v>0</v>
      </c>
      <c r="M233" t="n">
        <v>0</v>
      </c>
      <c r="N233" t="n">
        <v>0</v>
      </c>
      <c r="O233" t="n">
        <v>0</v>
      </c>
      <c r="P233" t="n">
        <v>0</v>
      </c>
      <c r="Q233" t="n">
        <v>0</v>
      </c>
      <c r="R233" s="2" t="inlineStr"/>
    </row>
    <row r="234" ht="15" customHeight="1">
      <c r="A234" t="inlineStr">
        <is>
          <t>A 43103-2019</t>
        </is>
      </c>
      <c r="B234" s="1" t="n">
        <v>43705</v>
      </c>
      <c r="C234" s="1" t="n">
        <v>45569</v>
      </c>
      <c r="D234" t="inlineStr">
        <is>
          <t>JÄMTLANDS LÄN</t>
        </is>
      </c>
      <c r="E234" t="inlineStr">
        <is>
          <t>HÄRJEDALEN</t>
        </is>
      </c>
      <c r="G234" t="n">
        <v>38.6</v>
      </c>
      <c r="H234" t="n">
        <v>0</v>
      </c>
      <c r="I234" t="n">
        <v>0</v>
      </c>
      <c r="J234" t="n">
        <v>0</v>
      </c>
      <c r="K234" t="n">
        <v>0</v>
      </c>
      <c r="L234" t="n">
        <v>0</v>
      </c>
      <c r="M234" t="n">
        <v>0</v>
      </c>
      <c r="N234" t="n">
        <v>0</v>
      </c>
      <c r="O234" t="n">
        <v>0</v>
      </c>
      <c r="P234" t="n">
        <v>0</v>
      </c>
      <c r="Q234" t="n">
        <v>0</v>
      </c>
      <c r="R234" s="2" t="inlineStr"/>
    </row>
    <row r="235" ht="15" customHeight="1">
      <c r="A235" t="inlineStr">
        <is>
          <t>A 43142-2019</t>
        </is>
      </c>
      <c r="B235" s="1" t="n">
        <v>43705</v>
      </c>
      <c r="C235" s="1" t="n">
        <v>45569</v>
      </c>
      <c r="D235" t="inlineStr">
        <is>
          <t>JÄMTLANDS LÄN</t>
        </is>
      </c>
      <c r="E235" t="inlineStr">
        <is>
          <t>HÄRJEDALEN</t>
        </is>
      </c>
      <c r="G235" t="n">
        <v>3.2</v>
      </c>
      <c r="H235" t="n">
        <v>0</v>
      </c>
      <c r="I235" t="n">
        <v>0</v>
      </c>
      <c r="J235" t="n">
        <v>0</v>
      </c>
      <c r="K235" t="n">
        <v>0</v>
      </c>
      <c r="L235" t="n">
        <v>0</v>
      </c>
      <c r="M235" t="n">
        <v>0</v>
      </c>
      <c r="N235" t="n">
        <v>0</v>
      </c>
      <c r="O235" t="n">
        <v>0</v>
      </c>
      <c r="P235" t="n">
        <v>0</v>
      </c>
      <c r="Q235" t="n">
        <v>0</v>
      </c>
      <c r="R235" s="2" t="inlineStr"/>
    </row>
    <row r="236" ht="15" customHeight="1">
      <c r="A236" t="inlineStr">
        <is>
          <t>A 43649-2019</t>
        </is>
      </c>
      <c r="B236" s="1" t="n">
        <v>43707</v>
      </c>
      <c r="C236" s="1" t="n">
        <v>45569</v>
      </c>
      <c r="D236" t="inlineStr">
        <is>
          <t>JÄMTLANDS LÄN</t>
        </is>
      </c>
      <c r="E236" t="inlineStr">
        <is>
          <t>HÄRJEDALEN</t>
        </is>
      </c>
      <c r="F236" t="inlineStr">
        <is>
          <t>Sveaskog</t>
        </is>
      </c>
      <c r="G236" t="n">
        <v>6.7</v>
      </c>
      <c r="H236" t="n">
        <v>0</v>
      </c>
      <c r="I236" t="n">
        <v>0</v>
      </c>
      <c r="J236" t="n">
        <v>0</v>
      </c>
      <c r="K236" t="n">
        <v>0</v>
      </c>
      <c r="L236" t="n">
        <v>0</v>
      </c>
      <c r="M236" t="n">
        <v>0</v>
      </c>
      <c r="N236" t="n">
        <v>0</v>
      </c>
      <c r="O236" t="n">
        <v>0</v>
      </c>
      <c r="P236" t="n">
        <v>0</v>
      </c>
      <c r="Q236" t="n">
        <v>0</v>
      </c>
      <c r="R236" s="2" t="inlineStr"/>
    </row>
    <row r="237" ht="15" customHeight="1">
      <c r="A237" t="inlineStr">
        <is>
          <t>A 43896-2019</t>
        </is>
      </c>
      <c r="B237" s="1" t="n">
        <v>43707</v>
      </c>
      <c r="C237" s="1" t="n">
        <v>45569</v>
      </c>
      <c r="D237" t="inlineStr">
        <is>
          <t>JÄMTLANDS LÄN</t>
        </is>
      </c>
      <c r="E237" t="inlineStr">
        <is>
          <t>HÄRJEDALEN</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45167-2019</t>
        </is>
      </c>
      <c r="B238" s="1" t="n">
        <v>43713</v>
      </c>
      <c r="C238" s="1" t="n">
        <v>45569</v>
      </c>
      <c r="D238" t="inlineStr">
        <is>
          <t>JÄMTLANDS LÄN</t>
        </is>
      </c>
      <c r="E238" t="inlineStr">
        <is>
          <t>HÄRJEDALEN</t>
        </is>
      </c>
      <c r="F238" t="inlineStr">
        <is>
          <t>Holmen skog AB</t>
        </is>
      </c>
      <c r="G238" t="n">
        <v>15.9</v>
      </c>
      <c r="H238" t="n">
        <v>0</v>
      </c>
      <c r="I238" t="n">
        <v>0</v>
      </c>
      <c r="J238" t="n">
        <v>0</v>
      </c>
      <c r="K238" t="n">
        <v>0</v>
      </c>
      <c r="L238" t="n">
        <v>0</v>
      </c>
      <c r="M238" t="n">
        <v>0</v>
      </c>
      <c r="N238" t="n">
        <v>0</v>
      </c>
      <c r="O238" t="n">
        <v>0</v>
      </c>
      <c r="P238" t="n">
        <v>0</v>
      </c>
      <c r="Q238" t="n">
        <v>0</v>
      </c>
      <c r="R238" s="2" t="inlineStr"/>
    </row>
    <row r="239" ht="15" customHeight="1">
      <c r="A239" t="inlineStr">
        <is>
          <t>A 44939-2019</t>
        </is>
      </c>
      <c r="B239" s="1" t="n">
        <v>43713</v>
      </c>
      <c r="C239" s="1" t="n">
        <v>45569</v>
      </c>
      <c r="D239" t="inlineStr">
        <is>
          <t>JÄMTLANDS LÄN</t>
        </is>
      </c>
      <c r="E239" t="inlineStr">
        <is>
          <t>HÄRJEDALEN</t>
        </is>
      </c>
      <c r="G239" t="n">
        <v>1.2</v>
      </c>
      <c r="H239" t="n">
        <v>0</v>
      </c>
      <c r="I239" t="n">
        <v>0</v>
      </c>
      <c r="J239" t="n">
        <v>0</v>
      </c>
      <c r="K239" t="n">
        <v>0</v>
      </c>
      <c r="L239" t="n">
        <v>0</v>
      </c>
      <c r="M239" t="n">
        <v>0</v>
      </c>
      <c r="N239" t="n">
        <v>0</v>
      </c>
      <c r="O239" t="n">
        <v>0</v>
      </c>
      <c r="P239" t="n">
        <v>0</v>
      </c>
      <c r="Q239" t="n">
        <v>0</v>
      </c>
      <c r="R239" s="2" t="inlineStr"/>
    </row>
    <row r="240" ht="15" customHeight="1">
      <c r="A240" t="inlineStr">
        <is>
          <t>A 45858-2019</t>
        </is>
      </c>
      <c r="B240" s="1" t="n">
        <v>43717</v>
      </c>
      <c r="C240" s="1" t="n">
        <v>45569</v>
      </c>
      <c r="D240" t="inlineStr">
        <is>
          <t>JÄMTLANDS LÄN</t>
        </is>
      </c>
      <c r="E240" t="inlineStr">
        <is>
          <t>HÄRJEDALEN</t>
        </is>
      </c>
      <c r="F240" t="inlineStr">
        <is>
          <t>Holmen skog AB</t>
        </is>
      </c>
      <c r="G240" t="n">
        <v>3.9</v>
      </c>
      <c r="H240" t="n">
        <v>0</v>
      </c>
      <c r="I240" t="n">
        <v>0</v>
      </c>
      <c r="J240" t="n">
        <v>0</v>
      </c>
      <c r="K240" t="n">
        <v>0</v>
      </c>
      <c r="L240" t="n">
        <v>0</v>
      </c>
      <c r="M240" t="n">
        <v>0</v>
      </c>
      <c r="N240" t="n">
        <v>0</v>
      </c>
      <c r="O240" t="n">
        <v>0</v>
      </c>
      <c r="P240" t="n">
        <v>0</v>
      </c>
      <c r="Q240" t="n">
        <v>0</v>
      </c>
      <c r="R240" s="2" t="inlineStr"/>
    </row>
    <row r="241" ht="15" customHeight="1">
      <c r="A241" t="inlineStr">
        <is>
          <t>A 45781-2019</t>
        </is>
      </c>
      <c r="B241" s="1" t="n">
        <v>43717</v>
      </c>
      <c r="C241" s="1" t="n">
        <v>45569</v>
      </c>
      <c r="D241" t="inlineStr">
        <is>
          <t>JÄMTLANDS LÄN</t>
        </is>
      </c>
      <c r="E241" t="inlineStr">
        <is>
          <t>HÄRJEDALEN</t>
        </is>
      </c>
      <c r="F241" t="inlineStr">
        <is>
          <t>Holmen skog AB</t>
        </is>
      </c>
      <c r="G241" t="n">
        <v>13.8</v>
      </c>
      <c r="H241" t="n">
        <v>0</v>
      </c>
      <c r="I241" t="n">
        <v>0</v>
      </c>
      <c r="J241" t="n">
        <v>0</v>
      </c>
      <c r="K241" t="n">
        <v>0</v>
      </c>
      <c r="L241" t="n">
        <v>0</v>
      </c>
      <c r="M241" t="n">
        <v>0</v>
      </c>
      <c r="N241" t="n">
        <v>0</v>
      </c>
      <c r="O241" t="n">
        <v>0</v>
      </c>
      <c r="P241" t="n">
        <v>0</v>
      </c>
      <c r="Q241" t="n">
        <v>0</v>
      </c>
      <c r="R241" s="2" t="inlineStr"/>
    </row>
    <row r="242" ht="15" customHeight="1">
      <c r="A242" t="inlineStr">
        <is>
          <t>A 46156-2019</t>
        </is>
      </c>
      <c r="B242" s="1" t="n">
        <v>43718</v>
      </c>
      <c r="C242" s="1" t="n">
        <v>45569</v>
      </c>
      <c r="D242" t="inlineStr">
        <is>
          <t>JÄMTLANDS LÄN</t>
        </is>
      </c>
      <c r="E242" t="inlineStr">
        <is>
          <t>HÄRJEDALEN</t>
        </is>
      </c>
      <c r="G242" t="n">
        <v>3.9</v>
      </c>
      <c r="H242" t="n">
        <v>0</v>
      </c>
      <c r="I242" t="n">
        <v>0</v>
      </c>
      <c r="J242" t="n">
        <v>0</v>
      </c>
      <c r="K242" t="n">
        <v>0</v>
      </c>
      <c r="L242" t="n">
        <v>0</v>
      </c>
      <c r="M242" t="n">
        <v>0</v>
      </c>
      <c r="N242" t="n">
        <v>0</v>
      </c>
      <c r="O242" t="n">
        <v>0</v>
      </c>
      <c r="P242" t="n">
        <v>0</v>
      </c>
      <c r="Q242" t="n">
        <v>0</v>
      </c>
      <c r="R242" s="2" t="inlineStr"/>
    </row>
    <row r="243" ht="15" customHeight="1">
      <c r="A243" t="inlineStr">
        <is>
          <t>A 46133-2019</t>
        </is>
      </c>
      <c r="B243" s="1" t="n">
        <v>43718</v>
      </c>
      <c r="C243" s="1" t="n">
        <v>45569</v>
      </c>
      <c r="D243" t="inlineStr">
        <is>
          <t>JÄMTLANDS LÄN</t>
        </is>
      </c>
      <c r="E243" t="inlineStr">
        <is>
          <t>HÄRJEDALEN</t>
        </is>
      </c>
      <c r="G243" t="n">
        <v>17.6</v>
      </c>
      <c r="H243" t="n">
        <v>0</v>
      </c>
      <c r="I243" t="n">
        <v>0</v>
      </c>
      <c r="J243" t="n">
        <v>0</v>
      </c>
      <c r="K243" t="n">
        <v>0</v>
      </c>
      <c r="L243" t="n">
        <v>0</v>
      </c>
      <c r="M243" t="n">
        <v>0</v>
      </c>
      <c r="N243" t="n">
        <v>0</v>
      </c>
      <c r="O243" t="n">
        <v>0</v>
      </c>
      <c r="P243" t="n">
        <v>0</v>
      </c>
      <c r="Q243" t="n">
        <v>0</v>
      </c>
      <c r="R243" s="2" t="inlineStr"/>
    </row>
    <row r="244" ht="15" customHeight="1">
      <c r="A244" t="inlineStr">
        <is>
          <t>A 46163-2019</t>
        </is>
      </c>
      <c r="B244" s="1" t="n">
        <v>43718</v>
      </c>
      <c r="C244" s="1" t="n">
        <v>45569</v>
      </c>
      <c r="D244" t="inlineStr">
        <is>
          <t>JÄMTLANDS LÄN</t>
        </is>
      </c>
      <c r="E244" t="inlineStr">
        <is>
          <t>HÄRJEDALEN</t>
        </is>
      </c>
      <c r="G244" t="n">
        <v>28.9</v>
      </c>
      <c r="H244" t="n">
        <v>0</v>
      </c>
      <c r="I244" t="n">
        <v>0</v>
      </c>
      <c r="J244" t="n">
        <v>0</v>
      </c>
      <c r="K244" t="n">
        <v>0</v>
      </c>
      <c r="L244" t="n">
        <v>0</v>
      </c>
      <c r="M244" t="n">
        <v>0</v>
      </c>
      <c r="N244" t="n">
        <v>0</v>
      </c>
      <c r="O244" t="n">
        <v>0</v>
      </c>
      <c r="P244" t="n">
        <v>0</v>
      </c>
      <c r="Q244" t="n">
        <v>0</v>
      </c>
      <c r="R244" s="2" t="inlineStr"/>
    </row>
    <row r="245" ht="15" customHeight="1">
      <c r="A245" t="inlineStr">
        <is>
          <t>A 47004-2019</t>
        </is>
      </c>
      <c r="B245" s="1" t="n">
        <v>43720</v>
      </c>
      <c r="C245" s="1" t="n">
        <v>45569</v>
      </c>
      <c r="D245" t="inlineStr">
        <is>
          <t>JÄMTLANDS LÄN</t>
        </is>
      </c>
      <c r="E245" t="inlineStr">
        <is>
          <t>HÄRJEDALEN</t>
        </is>
      </c>
      <c r="F245" t="inlineStr">
        <is>
          <t>Bergvik skog väst AB</t>
        </is>
      </c>
      <c r="G245" t="n">
        <v>13.7</v>
      </c>
      <c r="H245" t="n">
        <v>0</v>
      </c>
      <c r="I245" t="n">
        <v>0</v>
      </c>
      <c r="J245" t="n">
        <v>0</v>
      </c>
      <c r="K245" t="n">
        <v>0</v>
      </c>
      <c r="L245" t="n">
        <v>0</v>
      </c>
      <c r="M245" t="n">
        <v>0</v>
      </c>
      <c r="N245" t="n">
        <v>0</v>
      </c>
      <c r="O245" t="n">
        <v>0</v>
      </c>
      <c r="P245" t="n">
        <v>0</v>
      </c>
      <c r="Q245" t="n">
        <v>0</v>
      </c>
      <c r="R245" s="2" t="inlineStr"/>
    </row>
    <row r="246" ht="15" customHeight="1">
      <c r="A246" t="inlineStr">
        <is>
          <t>A 49328-2019</t>
        </is>
      </c>
      <c r="B246" s="1" t="n">
        <v>43731</v>
      </c>
      <c r="C246" s="1" t="n">
        <v>45569</v>
      </c>
      <c r="D246" t="inlineStr">
        <is>
          <t>JÄMTLANDS LÄN</t>
        </is>
      </c>
      <c r="E246" t="inlineStr">
        <is>
          <t>HÄRJEDALEN</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49336-2019</t>
        </is>
      </c>
      <c r="B247" s="1" t="n">
        <v>43731</v>
      </c>
      <c r="C247" s="1" t="n">
        <v>45569</v>
      </c>
      <c r="D247" t="inlineStr">
        <is>
          <t>JÄMTLANDS LÄN</t>
        </is>
      </c>
      <c r="E247" t="inlineStr">
        <is>
          <t>HÄRJEDALEN</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50310-2019</t>
        </is>
      </c>
      <c r="B248" s="1" t="n">
        <v>43735</v>
      </c>
      <c r="C248" s="1" t="n">
        <v>45569</v>
      </c>
      <c r="D248" t="inlineStr">
        <is>
          <t>JÄMTLANDS LÄN</t>
        </is>
      </c>
      <c r="E248" t="inlineStr">
        <is>
          <t>HÄRJEDALEN</t>
        </is>
      </c>
      <c r="G248" t="n">
        <v>9.1</v>
      </c>
      <c r="H248" t="n">
        <v>0</v>
      </c>
      <c r="I248" t="n">
        <v>0</v>
      </c>
      <c r="J248" t="n">
        <v>0</v>
      </c>
      <c r="K248" t="n">
        <v>0</v>
      </c>
      <c r="L248" t="n">
        <v>0</v>
      </c>
      <c r="M248" t="n">
        <v>0</v>
      </c>
      <c r="N248" t="n">
        <v>0</v>
      </c>
      <c r="O248" t="n">
        <v>0</v>
      </c>
      <c r="P248" t="n">
        <v>0</v>
      </c>
      <c r="Q248" t="n">
        <v>0</v>
      </c>
      <c r="R248" s="2" t="inlineStr"/>
    </row>
    <row r="249" ht="15" customHeight="1">
      <c r="A249" t="inlineStr">
        <is>
          <t>A 50411-2019</t>
        </is>
      </c>
      <c r="B249" s="1" t="n">
        <v>43735</v>
      </c>
      <c r="C249" s="1" t="n">
        <v>45569</v>
      </c>
      <c r="D249" t="inlineStr">
        <is>
          <t>JÄMTLANDS LÄN</t>
        </is>
      </c>
      <c r="E249" t="inlineStr">
        <is>
          <t>HÄRJEDALEN</t>
        </is>
      </c>
      <c r="F249" t="inlineStr">
        <is>
          <t>Sveaskog</t>
        </is>
      </c>
      <c r="G249" t="n">
        <v>7</v>
      </c>
      <c r="H249" t="n">
        <v>0</v>
      </c>
      <c r="I249" t="n">
        <v>0</v>
      </c>
      <c r="J249" t="n">
        <v>0</v>
      </c>
      <c r="K249" t="n">
        <v>0</v>
      </c>
      <c r="L249" t="n">
        <v>0</v>
      </c>
      <c r="M249" t="n">
        <v>0</v>
      </c>
      <c r="N249" t="n">
        <v>0</v>
      </c>
      <c r="O249" t="n">
        <v>0</v>
      </c>
      <c r="P249" t="n">
        <v>0</v>
      </c>
      <c r="Q249" t="n">
        <v>0</v>
      </c>
      <c r="R249" s="2" t="inlineStr"/>
    </row>
    <row r="250" ht="15" customHeight="1">
      <c r="A250" t="inlineStr">
        <is>
          <t>A 50519-2019</t>
        </is>
      </c>
      <c r="B250" s="1" t="n">
        <v>43735</v>
      </c>
      <c r="C250" s="1" t="n">
        <v>45569</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50624-2019</t>
        </is>
      </c>
      <c r="B251" s="1" t="n">
        <v>43736</v>
      </c>
      <c r="C251" s="1" t="n">
        <v>45569</v>
      </c>
      <c r="D251" t="inlineStr">
        <is>
          <t>JÄMTLANDS LÄN</t>
        </is>
      </c>
      <c r="E251" t="inlineStr">
        <is>
          <t>HÄRJEDALEN</t>
        </is>
      </c>
      <c r="G251" t="n">
        <v>2.4</v>
      </c>
      <c r="H251" t="n">
        <v>0</v>
      </c>
      <c r="I251" t="n">
        <v>0</v>
      </c>
      <c r="J251" t="n">
        <v>0</v>
      </c>
      <c r="K251" t="n">
        <v>0</v>
      </c>
      <c r="L251" t="n">
        <v>0</v>
      </c>
      <c r="M251" t="n">
        <v>0</v>
      </c>
      <c r="N251" t="n">
        <v>0</v>
      </c>
      <c r="O251" t="n">
        <v>0</v>
      </c>
      <c r="P251" t="n">
        <v>0</v>
      </c>
      <c r="Q251" t="n">
        <v>0</v>
      </c>
      <c r="R251" s="2" t="inlineStr"/>
    </row>
    <row r="252" ht="15" customHeight="1">
      <c r="A252" t="inlineStr">
        <is>
          <t>A 51108-2019</t>
        </is>
      </c>
      <c r="B252" s="1" t="n">
        <v>43739</v>
      </c>
      <c r="C252" s="1" t="n">
        <v>45569</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51118-2019</t>
        </is>
      </c>
      <c r="B253" s="1" t="n">
        <v>43739</v>
      </c>
      <c r="C253" s="1" t="n">
        <v>45569</v>
      </c>
      <c r="D253" t="inlineStr">
        <is>
          <t>JÄMTLANDS LÄN</t>
        </is>
      </c>
      <c r="E253" t="inlineStr">
        <is>
          <t>HÄRJEDALEN</t>
        </is>
      </c>
      <c r="G253" t="n">
        <v>12.5</v>
      </c>
      <c r="H253" t="n">
        <v>0</v>
      </c>
      <c r="I253" t="n">
        <v>0</v>
      </c>
      <c r="J253" t="n">
        <v>0</v>
      </c>
      <c r="K253" t="n">
        <v>0</v>
      </c>
      <c r="L253" t="n">
        <v>0</v>
      </c>
      <c r="M253" t="n">
        <v>0</v>
      </c>
      <c r="N253" t="n">
        <v>0</v>
      </c>
      <c r="O253" t="n">
        <v>0</v>
      </c>
      <c r="P253" t="n">
        <v>0</v>
      </c>
      <c r="Q253" t="n">
        <v>0</v>
      </c>
      <c r="R253" s="2" t="inlineStr"/>
    </row>
    <row r="254" ht="15" customHeight="1">
      <c r="A254" t="inlineStr">
        <is>
          <t>A 51123-2019</t>
        </is>
      </c>
      <c r="B254" s="1" t="n">
        <v>43739</v>
      </c>
      <c r="C254" s="1" t="n">
        <v>45569</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51105-2019</t>
        </is>
      </c>
      <c r="B255" s="1" t="n">
        <v>43739</v>
      </c>
      <c r="C255" s="1" t="n">
        <v>45569</v>
      </c>
      <c r="D255" t="inlineStr">
        <is>
          <t>JÄMTLANDS LÄN</t>
        </is>
      </c>
      <c r="E255" t="inlineStr">
        <is>
          <t>HÄRJEDALEN</t>
        </is>
      </c>
      <c r="G255" t="n">
        <v>2</v>
      </c>
      <c r="H255" t="n">
        <v>0</v>
      </c>
      <c r="I255" t="n">
        <v>0</v>
      </c>
      <c r="J255" t="n">
        <v>0</v>
      </c>
      <c r="K255" t="n">
        <v>0</v>
      </c>
      <c r="L255" t="n">
        <v>0</v>
      </c>
      <c r="M255" t="n">
        <v>0</v>
      </c>
      <c r="N255" t="n">
        <v>0</v>
      </c>
      <c r="O255" t="n">
        <v>0</v>
      </c>
      <c r="P255" t="n">
        <v>0</v>
      </c>
      <c r="Q255" t="n">
        <v>0</v>
      </c>
      <c r="R255" s="2" t="inlineStr"/>
    </row>
    <row r="256" ht="15" customHeight="1">
      <c r="A256" t="inlineStr">
        <is>
          <t>A 51111-2019</t>
        </is>
      </c>
      <c r="B256" s="1" t="n">
        <v>43739</v>
      </c>
      <c r="C256" s="1" t="n">
        <v>45569</v>
      </c>
      <c r="D256" t="inlineStr">
        <is>
          <t>JÄMTLANDS LÄN</t>
        </is>
      </c>
      <c r="E256" t="inlineStr">
        <is>
          <t>HÄRJEDALEN</t>
        </is>
      </c>
      <c r="G256" t="n">
        <v>3.7</v>
      </c>
      <c r="H256" t="n">
        <v>0</v>
      </c>
      <c r="I256" t="n">
        <v>0</v>
      </c>
      <c r="J256" t="n">
        <v>0</v>
      </c>
      <c r="K256" t="n">
        <v>0</v>
      </c>
      <c r="L256" t="n">
        <v>0</v>
      </c>
      <c r="M256" t="n">
        <v>0</v>
      </c>
      <c r="N256" t="n">
        <v>0</v>
      </c>
      <c r="O256" t="n">
        <v>0</v>
      </c>
      <c r="P256" t="n">
        <v>0</v>
      </c>
      <c r="Q256" t="n">
        <v>0</v>
      </c>
      <c r="R256" s="2" t="inlineStr"/>
    </row>
    <row r="257" ht="15" customHeight="1">
      <c r="A257" t="inlineStr">
        <is>
          <t>A 52304-2019</t>
        </is>
      </c>
      <c r="B257" s="1" t="n">
        <v>43745</v>
      </c>
      <c r="C257" s="1" t="n">
        <v>45569</v>
      </c>
      <c r="D257" t="inlineStr">
        <is>
          <t>JÄMTLANDS LÄN</t>
        </is>
      </c>
      <c r="E257" t="inlineStr">
        <is>
          <t>HÄRJEDALEN</t>
        </is>
      </c>
      <c r="G257" t="n">
        <v>4.8</v>
      </c>
      <c r="H257" t="n">
        <v>0</v>
      </c>
      <c r="I257" t="n">
        <v>0</v>
      </c>
      <c r="J257" t="n">
        <v>0</v>
      </c>
      <c r="K257" t="n">
        <v>0</v>
      </c>
      <c r="L257" t="n">
        <v>0</v>
      </c>
      <c r="M257" t="n">
        <v>0</v>
      </c>
      <c r="N257" t="n">
        <v>0</v>
      </c>
      <c r="O257" t="n">
        <v>0</v>
      </c>
      <c r="P257" t="n">
        <v>0</v>
      </c>
      <c r="Q257" t="n">
        <v>0</v>
      </c>
      <c r="R257" s="2" t="inlineStr"/>
    </row>
    <row r="258" ht="15" customHeight="1">
      <c r="A258" t="inlineStr">
        <is>
          <t>A 52709-2019</t>
        </is>
      </c>
      <c r="B258" s="1" t="n">
        <v>43746</v>
      </c>
      <c r="C258" s="1" t="n">
        <v>45569</v>
      </c>
      <c r="D258" t="inlineStr">
        <is>
          <t>JÄMTLANDS LÄN</t>
        </is>
      </c>
      <c r="E258" t="inlineStr">
        <is>
          <t>HÄRJEDALEN</t>
        </is>
      </c>
      <c r="G258" t="n">
        <v>10.6</v>
      </c>
      <c r="H258" t="n">
        <v>0</v>
      </c>
      <c r="I258" t="n">
        <v>0</v>
      </c>
      <c r="J258" t="n">
        <v>0</v>
      </c>
      <c r="K258" t="n">
        <v>0</v>
      </c>
      <c r="L258" t="n">
        <v>0</v>
      </c>
      <c r="M258" t="n">
        <v>0</v>
      </c>
      <c r="N258" t="n">
        <v>0</v>
      </c>
      <c r="O258" t="n">
        <v>0</v>
      </c>
      <c r="P258" t="n">
        <v>0</v>
      </c>
      <c r="Q258" t="n">
        <v>0</v>
      </c>
      <c r="R258" s="2" t="inlineStr"/>
    </row>
    <row r="259" ht="15" customHeight="1">
      <c r="A259" t="inlineStr">
        <is>
          <t>A 52992-2019</t>
        </is>
      </c>
      <c r="B259" s="1" t="n">
        <v>43747</v>
      </c>
      <c r="C259" s="1" t="n">
        <v>45569</v>
      </c>
      <c r="D259" t="inlineStr">
        <is>
          <t>JÄMTLANDS LÄN</t>
        </is>
      </c>
      <c r="E259" t="inlineStr">
        <is>
          <t>HÄRJEDALEN</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52991-2019</t>
        </is>
      </c>
      <c r="B260" s="1" t="n">
        <v>43747</v>
      </c>
      <c r="C260" s="1" t="n">
        <v>45569</v>
      </c>
      <c r="D260" t="inlineStr">
        <is>
          <t>JÄMTLANDS LÄN</t>
        </is>
      </c>
      <c r="E260" t="inlineStr">
        <is>
          <t>HÄRJEDALEN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53418-2019</t>
        </is>
      </c>
      <c r="B261" s="1" t="n">
        <v>43748</v>
      </c>
      <c r="C261" s="1" t="n">
        <v>45569</v>
      </c>
      <c r="D261" t="inlineStr">
        <is>
          <t>JÄMTLANDS LÄN</t>
        </is>
      </c>
      <c r="E261" t="inlineStr">
        <is>
          <t>HÄRJEDALEN</t>
        </is>
      </c>
      <c r="G261" t="n">
        <v>0.4</v>
      </c>
      <c r="H261" t="n">
        <v>0</v>
      </c>
      <c r="I261" t="n">
        <v>0</v>
      </c>
      <c r="J261" t="n">
        <v>0</v>
      </c>
      <c r="K261" t="n">
        <v>0</v>
      </c>
      <c r="L261" t="n">
        <v>0</v>
      </c>
      <c r="M261" t="n">
        <v>0</v>
      </c>
      <c r="N261" t="n">
        <v>0</v>
      </c>
      <c r="O261" t="n">
        <v>0</v>
      </c>
      <c r="P261" t="n">
        <v>0</v>
      </c>
      <c r="Q261" t="n">
        <v>0</v>
      </c>
      <c r="R261" s="2" t="inlineStr"/>
    </row>
    <row r="262" ht="15" customHeight="1">
      <c r="A262" t="inlineStr">
        <is>
          <t>A 53952-2019</t>
        </is>
      </c>
      <c r="B262" s="1" t="n">
        <v>43752</v>
      </c>
      <c r="C262" s="1" t="n">
        <v>45569</v>
      </c>
      <c r="D262" t="inlineStr">
        <is>
          <t>JÄMTLANDS LÄN</t>
        </is>
      </c>
      <c r="E262" t="inlineStr">
        <is>
          <t>HÄRJEDALEN</t>
        </is>
      </c>
      <c r="G262" t="n">
        <v>8.6</v>
      </c>
      <c r="H262" t="n">
        <v>0</v>
      </c>
      <c r="I262" t="n">
        <v>0</v>
      </c>
      <c r="J262" t="n">
        <v>0</v>
      </c>
      <c r="K262" t="n">
        <v>0</v>
      </c>
      <c r="L262" t="n">
        <v>0</v>
      </c>
      <c r="M262" t="n">
        <v>0</v>
      </c>
      <c r="N262" t="n">
        <v>0</v>
      </c>
      <c r="O262" t="n">
        <v>0</v>
      </c>
      <c r="P262" t="n">
        <v>0</v>
      </c>
      <c r="Q262" t="n">
        <v>0</v>
      </c>
      <c r="R262" s="2" t="inlineStr"/>
    </row>
    <row r="263" ht="15" customHeight="1">
      <c r="A263" t="inlineStr">
        <is>
          <t>A 53962-2019</t>
        </is>
      </c>
      <c r="B263" s="1" t="n">
        <v>43752</v>
      </c>
      <c r="C263" s="1" t="n">
        <v>45569</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54905-2019</t>
        </is>
      </c>
      <c r="B264" s="1" t="n">
        <v>43755</v>
      </c>
      <c r="C264" s="1" t="n">
        <v>45569</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55197-2019</t>
        </is>
      </c>
      <c r="B265" s="1" t="n">
        <v>43756</v>
      </c>
      <c r="C265" s="1" t="n">
        <v>45569</v>
      </c>
      <c r="D265" t="inlineStr">
        <is>
          <t>JÄMTLANDS LÄN</t>
        </is>
      </c>
      <c r="E265" t="inlineStr">
        <is>
          <t>HÄRJEDALEN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55241-2019</t>
        </is>
      </c>
      <c r="B266" s="1" t="n">
        <v>43756</v>
      </c>
      <c r="C266" s="1" t="n">
        <v>45569</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55193-2019</t>
        </is>
      </c>
      <c r="B267" s="1" t="n">
        <v>43756</v>
      </c>
      <c r="C267" s="1" t="n">
        <v>45569</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55238-2019</t>
        </is>
      </c>
      <c r="B268" s="1" t="n">
        <v>43756</v>
      </c>
      <c r="C268" s="1" t="n">
        <v>45569</v>
      </c>
      <c r="D268" t="inlineStr">
        <is>
          <t>JÄMTLANDS LÄN</t>
        </is>
      </c>
      <c r="E268" t="inlineStr">
        <is>
          <t>HÄRJEDALEN</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55801-2019</t>
        </is>
      </c>
      <c r="B269" s="1" t="n">
        <v>43759</v>
      </c>
      <c r="C269" s="1" t="n">
        <v>45569</v>
      </c>
      <c r="D269" t="inlineStr">
        <is>
          <t>JÄMTLANDS LÄN</t>
        </is>
      </c>
      <c r="E269" t="inlineStr">
        <is>
          <t>HÄRJEDALEN</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55554-2019</t>
        </is>
      </c>
      <c r="B270" s="1" t="n">
        <v>43759</v>
      </c>
      <c r="C270" s="1" t="n">
        <v>45569</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57281-2019</t>
        </is>
      </c>
      <c r="B271" s="1" t="n">
        <v>43759</v>
      </c>
      <c r="C271" s="1" t="n">
        <v>45569</v>
      </c>
      <c r="D271" t="inlineStr">
        <is>
          <t>JÄMTLANDS LÄN</t>
        </is>
      </c>
      <c r="E271" t="inlineStr">
        <is>
          <t>HÄRJEDALEN</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55578-2019</t>
        </is>
      </c>
      <c r="B272" s="1" t="n">
        <v>43760</v>
      </c>
      <c r="C272" s="1" t="n">
        <v>45569</v>
      </c>
      <c r="D272" t="inlineStr">
        <is>
          <t>JÄMTLANDS LÄN</t>
        </is>
      </c>
      <c r="E272" t="inlineStr">
        <is>
          <t>HÄRJEDALEN</t>
        </is>
      </c>
      <c r="G272" t="n">
        <v>3.6</v>
      </c>
      <c r="H272" t="n">
        <v>0</v>
      </c>
      <c r="I272" t="n">
        <v>0</v>
      </c>
      <c r="J272" t="n">
        <v>0</v>
      </c>
      <c r="K272" t="n">
        <v>0</v>
      </c>
      <c r="L272" t="n">
        <v>0</v>
      </c>
      <c r="M272" t="n">
        <v>0</v>
      </c>
      <c r="N272" t="n">
        <v>0</v>
      </c>
      <c r="O272" t="n">
        <v>0</v>
      </c>
      <c r="P272" t="n">
        <v>0</v>
      </c>
      <c r="Q272" t="n">
        <v>0</v>
      </c>
      <c r="R272" s="2" t="inlineStr"/>
    </row>
    <row r="273" ht="15" customHeight="1">
      <c r="A273" t="inlineStr">
        <is>
          <t>A 55607-2019</t>
        </is>
      </c>
      <c r="B273" s="1" t="n">
        <v>43760</v>
      </c>
      <c r="C273" s="1" t="n">
        <v>45569</v>
      </c>
      <c r="D273" t="inlineStr">
        <is>
          <t>JÄMTLANDS LÄN</t>
        </is>
      </c>
      <c r="E273" t="inlineStr">
        <is>
          <t>HÄRJEDALEN</t>
        </is>
      </c>
      <c r="G273" t="n">
        <v>3.7</v>
      </c>
      <c r="H273" t="n">
        <v>0</v>
      </c>
      <c r="I273" t="n">
        <v>0</v>
      </c>
      <c r="J273" t="n">
        <v>0</v>
      </c>
      <c r="K273" t="n">
        <v>0</v>
      </c>
      <c r="L273" t="n">
        <v>0</v>
      </c>
      <c r="M273" t="n">
        <v>0</v>
      </c>
      <c r="N273" t="n">
        <v>0</v>
      </c>
      <c r="O273" t="n">
        <v>0</v>
      </c>
      <c r="P273" t="n">
        <v>0</v>
      </c>
      <c r="Q273" t="n">
        <v>0</v>
      </c>
      <c r="R273" s="2" t="inlineStr"/>
    </row>
    <row r="274" ht="15" customHeight="1">
      <c r="A274" t="inlineStr">
        <is>
          <t>A 56217-2019</t>
        </is>
      </c>
      <c r="B274" s="1" t="n">
        <v>43762</v>
      </c>
      <c r="C274" s="1" t="n">
        <v>45569</v>
      </c>
      <c r="D274" t="inlineStr">
        <is>
          <t>JÄMTLANDS LÄN</t>
        </is>
      </c>
      <c r="E274" t="inlineStr">
        <is>
          <t>HÄRJEDALEN</t>
        </is>
      </c>
      <c r="G274" t="n">
        <v>43.2</v>
      </c>
      <c r="H274" t="n">
        <v>0</v>
      </c>
      <c r="I274" t="n">
        <v>0</v>
      </c>
      <c r="J274" t="n">
        <v>0</v>
      </c>
      <c r="K274" t="n">
        <v>0</v>
      </c>
      <c r="L274" t="n">
        <v>0</v>
      </c>
      <c r="M274" t="n">
        <v>0</v>
      </c>
      <c r="N274" t="n">
        <v>0</v>
      </c>
      <c r="O274" t="n">
        <v>0</v>
      </c>
      <c r="P274" t="n">
        <v>0</v>
      </c>
      <c r="Q274" t="n">
        <v>0</v>
      </c>
      <c r="R274" s="2" t="inlineStr"/>
    </row>
    <row r="275" ht="15" customHeight="1">
      <c r="A275" t="inlineStr">
        <is>
          <t>A 58175-2019</t>
        </is>
      </c>
      <c r="B275" s="1" t="n">
        <v>43769</v>
      </c>
      <c r="C275" s="1" t="n">
        <v>45569</v>
      </c>
      <c r="D275" t="inlineStr">
        <is>
          <t>JÄMTLANDS LÄN</t>
        </is>
      </c>
      <c r="E275" t="inlineStr">
        <is>
          <t>HÄRJEDALEN</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59347-2019</t>
        </is>
      </c>
      <c r="B276" s="1" t="n">
        <v>43770</v>
      </c>
      <c r="C276" s="1" t="n">
        <v>45569</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58742-2019</t>
        </is>
      </c>
      <c r="B277" s="1" t="n">
        <v>43773</v>
      </c>
      <c r="C277" s="1" t="n">
        <v>45569</v>
      </c>
      <c r="D277" t="inlineStr">
        <is>
          <t>JÄMTLANDS LÄN</t>
        </is>
      </c>
      <c r="E277" t="inlineStr">
        <is>
          <t>HÄRJEDALEN</t>
        </is>
      </c>
      <c r="G277" t="n">
        <v>4</v>
      </c>
      <c r="H277" t="n">
        <v>0</v>
      </c>
      <c r="I277" t="n">
        <v>0</v>
      </c>
      <c r="J277" t="n">
        <v>0</v>
      </c>
      <c r="K277" t="n">
        <v>0</v>
      </c>
      <c r="L277" t="n">
        <v>0</v>
      </c>
      <c r="M277" t="n">
        <v>0</v>
      </c>
      <c r="N277" t="n">
        <v>0</v>
      </c>
      <c r="O277" t="n">
        <v>0</v>
      </c>
      <c r="P277" t="n">
        <v>0</v>
      </c>
      <c r="Q277" t="n">
        <v>0</v>
      </c>
      <c r="R277" s="2" t="inlineStr"/>
    </row>
    <row r="278" ht="15" customHeight="1">
      <c r="A278" t="inlineStr">
        <is>
          <t>A 59984-2019</t>
        </is>
      </c>
      <c r="B278" s="1" t="n">
        <v>43775</v>
      </c>
      <c r="C278" s="1" t="n">
        <v>45569</v>
      </c>
      <c r="D278" t="inlineStr">
        <is>
          <t>JÄMTLANDS LÄN</t>
        </is>
      </c>
      <c r="E278" t="inlineStr">
        <is>
          <t>HÄRJEDALEN</t>
        </is>
      </c>
      <c r="G278" t="n">
        <v>20.4</v>
      </c>
      <c r="H278" t="n">
        <v>0</v>
      </c>
      <c r="I278" t="n">
        <v>0</v>
      </c>
      <c r="J278" t="n">
        <v>0</v>
      </c>
      <c r="K278" t="n">
        <v>0</v>
      </c>
      <c r="L278" t="n">
        <v>0</v>
      </c>
      <c r="M278" t="n">
        <v>0</v>
      </c>
      <c r="N278" t="n">
        <v>0</v>
      </c>
      <c r="O278" t="n">
        <v>0</v>
      </c>
      <c r="P278" t="n">
        <v>0</v>
      </c>
      <c r="Q278" t="n">
        <v>0</v>
      </c>
      <c r="R278" s="2" t="inlineStr"/>
    </row>
    <row r="279" ht="15" customHeight="1">
      <c r="A279" t="inlineStr">
        <is>
          <t>A 59733-2019</t>
        </is>
      </c>
      <c r="B279" s="1" t="n">
        <v>43776</v>
      </c>
      <c r="C279" s="1" t="n">
        <v>45569</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60213-2019</t>
        </is>
      </c>
      <c r="B280" s="1" t="n">
        <v>43780</v>
      </c>
      <c r="C280" s="1" t="n">
        <v>45569</v>
      </c>
      <c r="D280" t="inlineStr">
        <is>
          <t>JÄMTLANDS LÄN</t>
        </is>
      </c>
      <c r="E280" t="inlineStr">
        <is>
          <t>HÄRJEDALEN</t>
        </is>
      </c>
      <c r="F280" t="inlineStr">
        <is>
          <t>Holmen skog AB</t>
        </is>
      </c>
      <c r="G280" t="n">
        <v>4.7</v>
      </c>
      <c r="H280" t="n">
        <v>0</v>
      </c>
      <c r="I280" t="n">
        <v>0</v>
      </c>
      <c r="J280" t="n">
        <v>0</v>
      </c>
      <c r="K280" t="n">
        <v>0</v>
      </c>
      <c r="L280" t="n">
        <v>0</v>
      </c>
      <c r="M280" t="n">
        <v>0</v>
      </c>
      <c r="N280" t="n">
        <v>0</v>
      </c>
      <c r="O280" t="n">
        <v>0</v>
      </c>
      <c r="P280" t="n">
        <v>0</v>
      </c>
      <c r="Q280" t="n">
        <v>0</v>
      </c>
      <c r="R280" s="2" t="inlineStr"/>
    </row>
    <row r="281" ht="15" customHeight="1">
      <c r="A281" t="inlineStr">
        <is>
          <t>A 62342-2019</t>
        </is>
      </c>
      <c r="B281" s="1" t="n">
        <v>43782</v>
      </c>
      <c r="C281" s="1" t="n">
        <v>45569</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60919-2019</t>
        </is>
      </c>
      <c r="B282" s="1" t="n">
        <v>43782</v>
      </c>
      <c r="C282" s="1" t="n">
        <v>45569</v>
      </c>
      <c r="D282" t="inlineStr">
        <is>
          <t>JÄMTLANDS LÄN</t>
        </is>
      </c>
      <c r="E282" t="inlineStr">
        <is>
          <t>HÄRJEDALEN</t>
        </is>
      </c>
      <c r="G282" t="n">
        <v>6.4</v>
      </c>
      <c r="H282" t="n">
        <v>0</v>
      </c>
      <c r="I282" t="n">
        <v>0</v>
      </c>
      <c r="J282" t="n">
        <v>0</v>
      </c>
      <c r="K282" t="n">
        <v>0</v>
      </c>
      <c r="L282" t="n">
        <v>0</v>
      </c>
      <c r="M282" t="n">
        <v>0</v>
      </c>
      <c r="N282" t="n">
        <v>0</v>
      </c>
      <c r="O282" t="n">
        <v>0</v>
      </c>
      <c r="P282" t="n">
        <v>0</v>
      </c>
      <c r="Q282" t="n">
        <v>0</v>
      </c>
      <c r="R282" s="2" t="inlineStr"/>
    </row>
    <row r="283" ht="15" customHeight="1">
      <c r="A283" t="inlineStr">
        <is>
          <t>A 62115-2019</t>
        </is>
      </c>
      <c r="B283" s="1" t="n">
        <v>43787</v>
      </c>
      <c r="C283" s="1" t="n">
        <v>45569</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62451-2019</t>
        </is>
      </c>
      <c r="B284" s="1" t="n">
        <v>43788</v>
      </c>
      <c r="C284" s="1" t="n">
        <v>45569</v>
      </c>
      <c r="D284" t="inlineStr">
        <is>
          <t>JÄMTLANDS LÄN</t>
        </is>
      </c>
      <c r="E284" t="inlineStr">
        <is>
          <t>HÄRJEDALEN</t>
        </is>
      </c>
      <c r="F284" t="inlineStr">
        <is>
          <t>Bergvik skog väst AB</t>
        </is>
      </c>
      <c r="G284" t="n">
        <v>22.2</v>
      </c>
      <c r="H284" t="n">
        <v>0</v>
      </c>
      <c r="I284" t="n">
        <v>0</v>
      </c>
      <c r="J284" t="n">
        <v>0</v>
      </c>
      <c r="K284" t="n">
        <v>0</v>
      </c>
      <c r="L284" t="n">
        <v>0</v>
      </c>
      <c r="M284" t="n">
        <v>0</v>
      </c>
      <c r="N284" t="n">
        <v>0</v>
      </c>
      <c r="O284" t="n">
        <v>0</v>
      </c>
      <c r="P284" t="n">
        <v>0</v>
      </c>
      <c r="Q284" t="n">
        <v>0</v>
      </c>
      <c r="R284" s="2" t="inlineStr"/>
    </row>
    <row r="285" ht="15" customHeight="1">
      <c r="A285" t="inlineStr">
        <is>
          <t>A 62971-2019</t>
        </is>
      </c>
      <c r="B285" s="1" t="n">
        <v>43790</v>
      </c>
      <c r="C285" s="1" t="n">
        <v>45569</v>
      </c>
      <c r="D285" t="inlineStr">
        <is>
          <t>JÄMTLANDS LÄN</t>
        </is>
      </c>
      <c r="E285" t="inlineStr">
        <is>
          <t>HÄRJEDALEN</t>
        </is>
      </c>
      <c r="F285" t="inlineStr">
        <is>
          <t>Bergvik skog väst AB</t>
        </is>
      </c>
      <c r="G285" t="n">
        <v>18.2</v>
      </c>
      <c r="H285" t="n">
        <v>0</v>
      </c>
      <c r="I285" t="n">
        <v>0</v>
      </c>
      <c r="J285" t="n">
        <v>0</v>
      </c>
      <c r="K285" t="n">
        <v>0</v>
      </c>
      <c r="L285" t="n">
        <v>0</v>
      </c>
      <c r="M285" t="n">
        <v>0</v>
      </c>
      <c r="N285" t="n">
        <v>0</v>
      </c>
      <c r="O285" t="n">
        <v>0</v>
      </c>
      <c r="P285" t="n">
        <v>0</v>
      </c>
      <c r="Q285" t="n">
        <v>0</v>
      </c>
      <c r="R285" s="2" t="inlineStr"/>
    </row>
    <row r="286" ht="15" customHeight="1">
      <c r="A286" t="inlineStr">
        <is>
          <t>A 64417-2019</t>
        </is>
      </c>
      <c r="B286" s="1" t="n">
        <v>43794</v>
      </c>
      <c r="C286" s="1" t="n">
        <v>45569</v>
      </c>
      <c r="D286" t="inlineStr">
        <is>
          <t>JÄMTLANDS LÄN</t>
        </is>
      </c>
      <c r="E286" t="inlineStr">
        <is>
          <t>HÄRJEDALEN</t>
        </is>
      </c>
      <c r="G286" t="n">
        <v>6.9</v>
      </c>
      <c r="H286" t="n">
        <v>0</v>
      </c>
      <c r="I286" t="n">
        <v>0</v>
      </c>
      <c r="J286" t="n">
        <v>0</v>
      </c>
      <c r="K286" t="n">
        <v>0</v>
      </c>
      <c r="L286" t="n">
        <v>0</v>
      </c>
      <c r="M286" t="n">
        <v>0</v>
      </c>
      <c r="N286" t="n">
        <v>0</v>
      </c>
      <c r="O286" t="n">
        <v>0</v>
      </c>
      <c r="P286" t="n">
        <v>0</v>
      </c>
      <c r="Q286" t="n">
        <v>0</v>
      </c>
      <c r="R286" s="2" t="inlineStr"/>
    </row>
    <row r="287" ht="15" customHeight="1">
      <c r="A287" t="inlineStr">
        <is>
          <t>A 64229-2019</t>
        </is>
      </c>
      <c r="B287" s="1" t="n">
        <v>43797</v>
      </c>
      <c r="C287" s="1" t="n">
        <v>45569</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64689-2019</t>
        </is>
      </c>
      <c r="B288" s="1" t="n">
        <v>43798</v>
      </c>
      <c r="C288" s="1" t="n">
        <v>45569</v>
      </c>
      <c r="D288" t="inlineStr">
        <is>
          <t>JÄMTLANDS LÄN</t>
        </is>
      </c>
      <c r="E288" t="inlineStr">
        <is>
          <t>HÄRJEDALEN</t>
        </is>
      </c>
      <c r="F288" t="inlineStr">
        <is>
          <t>Holmen skog AB</t>
        </is>
      </c>
      <c r="G288" t="n">
        <v>2.6</v>
      </c>
      <c r="H288" t="n">
        <v>0</v>
      </c>
      <c r="I288" t="n">
        <v>0</v>
      </c>
      <c r="J288" t="n">
        <v>0</v>
      </c>
      <c r="K288" t="n">
        <v>0</v>
      </c>
      <c r="L288" t="n">
        <v>0</v>
      </c>
      <c r="M288" t="n">
        <v>0</v>
      </c>
      <c r="N288" t="n">
        <v>0</v>
      </c>
      <c r="O288" t="n">
        <v>0</v>
      </c>
      <c r="P288" t="n">
        <v>0</v>
      </c>
      <c r="Q288" t="n">
        <v>0</v>
      </c>
      <c r="R288" s="2" t="inlineStr"/>
    </row>
    <row r="289" ht="15" customHeight="1">
      <c r="A289" t="inlineStr">
        <is>
          <t>A 65759-2019</t>
        </is>
      </c>
      <c r="B289" s="1" t="n">
        <v>43804</v>
      </c>
      <c r="C289" s="1" t="n">
        <v>45569</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66255-2019</t>
        </is>
      </c>
      <c r="B290" s="1" t="n">
        <v>43808</v>
      </c>
      <c r="C290" s="1" t="n">
        <v>45569</v>
      </c>
      <c r="D290" t="inlineStr">
        <is>
          <t>JÄMTLANDS LÄN</t>
        </is>
      </c>
      <c r="E290" t="inlineStr">
        <is>
          <t>HÄRJEDALEN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66735-2019</t>
        </is>
      </c>
      <c r="B291" s="1" t="n">
        <v>43810</v>
      </c>
      <c r="C291" s="1" t="n">
        <v>45569</v>
      </c>
      <c r="D291" t="inlineStr">
        <is>
          <t>JÄMTLANDS LÄN</t>
        </is>
      </c>
      <c r="E291" t="inlineStr">
        <is>
          <t>HÄRJEDALEN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67619-2019</t>
        </is>
      </c>
      <c r="B292" s="1" t="n">
        <v>43815</v>
      </c>
      <c r="C292" s="1" t="n">
        <v>45569</v>
      </c>
      <c r="D292" t="inlineStr">
        <is>
          <t>JÄMTLANDS LÄN</t>
        </is>
      </c>
      <c r="E292" t="inlineStr">
        <is>
          <t>HÄRJEDALEN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67693-2019</t>
        </is>
      </c>
      <c r="B293" s="1" t="n">
        <v>43815</v>
      </c>
      <c r="C293" s="1" t="n">
        <v>45569</v>
      </c>
      <c r="D293" t="inlineStr">
        <is>
          <t>JÄMTLANDS LÄN</t>
        </is>
      </c>
      <c r="E293" t="inlineStr">
        <is>
          <t>HÄRJEDALEN</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67500-2019</t>
        </is>
      </c>
      <c r="B294" s="1" t="n">
        <v>43815</v>
      </c>
      <c r="C294" s="1" t="n">
        <v>45569</v>
      </c>
      <c r="D294" t="inlineStr">
        <is>
          <t>JÄMTLANDS LÄN</t>
        </is>
      </c>
      <c r="E294" t="inlineStr">
        <is>
          <t>HÄRJEDALEN</t>
        </is>
      </c>
      <c r="F294" t="inlineStr">
        <is>
          <t>Holmen skog AB</t>
        </is>
      </c>
      <c r="G294" t="n">
        <v>1.3</v>
      </c>
      <c r="H294" t="n">
        <v>0</v>
      </c>
      <c r="I294" t="n">
        <v>0</v>
      </c>
      <c r="J294" t="n">
        <v>0</v>
      </c>
      <c r="K294" t="n">
        <v>0</v>
      </c>
      <c r="L294" t="n">
        <v>0</v>
      </c>
      <c r="M294" t="n">
        <v>0</v>
      </c>
      <c r="N294" t="n">
        <v>0</v>
      </c>
      <c r="O294" t="n">
        <v>0</v>
      </c>
      <c r="P294" t="n">
        <v>0</v>
      </c>
      <c r="Q294" t="n">
        <v>0</v>
      </c>
      <c r="R294" s="2" t="inlineStr"/>
    </row>
    <row r="295" ht="15" customHeight="1">
      <c r="A295" t="inlineStr">
        <is>
          <t>A 67695-2019</t>
        </is>
      </c>
      <c r="B295" s="1" t="n">
        <v>43815</v>
      </c>
      <c r="C295" s="1" t="n">
        <v>45569</v>
      </c>
      <c r="D295" t="inlineStr">
        <is>
          <t>JÄMTLANDS LÄN</t>
        </is>
      </c>
      <c r="E295" t="inlineStr">
        <is>
          <t>HÄRJEDALEN</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67757-2019</t>
        </is>
      </c>
      <c r="B296" s="1" t="n">
        <v>43815</v>
      </c>
      <c r="C296" s="1" t="n">
        <v>45569</v>
      </c>
      <c r="D296" t="inlineStr">
        <is>
          <t>JÄMTLANDS LÄN</t>
        </is>
      </c>
      <c r="E296" t="inlineStr">
        <is>
          <t>HÄRJEDALEN</t>
        </is>
      </c>
      <c r="F296" t="inlineStr">
        <is>
          <t>Holmen skog AB</t>
        </is>
      </c>
      <c r="G296" t="n">
        <v>4</v>
      </c>
      <c r="H296" t="n">
        <v>0</v>
      </c>
      <c r="I296" t="n">
        <v>0</v>
      </c>
      <c r="J296" t="n">
        <v>0</v>
      </c>
      <c r="K296" t="n">
        <v>0</v>
      </c>
      <c r="L296" t="n">
        <v>0</v>
      </c>
      <c r="M296" t="n">
        <v>0</v>
      </c>
      <c r="N296" t="n">
        <v>0</v>
      </c>
      <c r="O296" t="n">
        <v>0</v>
      </c>
      <c r="P296" t="n">
        <v>0</v>
      </c>
      <c r="Q296" t="n">
        <v>0</v>
      </c>
      <c r="R296" s="2" t="inlineStr"/>
    </row>
    <row r="297" ht="15" customHeight="1">
      <c r="A297" t="inlineStr">
        <is>
          <t>A 67688-2019</t>
        </is>
      </c>
      <c r="B297" s="1" t="n">
        <v>43815</v>
      </c>
      <c r="C297" s="1" t="n">
        <v>45569</v>
      </c>
      <c r="D297" t="inlineStr">
        <is>
          <t>JÄMTLANDS LÄN</t>
        </is>
      </c>
      <c r="E297" t="inlineStr">
        <is>
          <t>HÄRJEDALEN</t>
        </is>
      </c>
      <c r="F297" t="inlineStr">
        <is>
          <t>Holmen skog AB</t>
        </is>
      </c>
      <c r="G297" t="n">
        <v>4.2</v>
      </c>
      <c r="H297" t="n">
        <v>0</v>
      </c>
      <c r="I297" t="n">
        <v>0</v>
      </c>
      <c r="J297" t="n">
        <v>0</v>
      </c>
      <c r="K297" t="n">
        <v>0</v>
      </c>
      <c r="L297" t="n">
        <v>0</v>
      </c>
      <c r="M297" t="n">
        <v>0</v>
      </c>
      <c r="N297" t="n">
        <v>0</v>
      </c>
      <c r="O297" t="n">
        <v>0</v>
      </c>
      <c r="P297" t="n">
        <v>0</v>
      </c>
      <c r="Q297" t="n">
        <v>0</v>
      </c>
      <c r="R297" s="2" t="inlineStr"/>
    </row>
    <row r="298" ht="15" customHeight="1">
      <c r="A298" t="inlineStr">
        <is>
          <t>A 67738-2019</t>
        </is>
      </c>
      <c r="B298" s="1" t="n">
        <v>43815</v>
      </c>
      <c r="C298" s="1" t="n">
        <v>45569</v>
      </c>
      <c r="D298" t="inlineStr">
        <is>
          <t>JÄMTLANDS LÄN</t>
        </is>
      </c>
      <c r="E298" t="inlineStr">
        <is>
          <t>HÄRJEDALEN</t>
        </is>
      </c>
      <c r="F298" t="inlineStr">
        <is>
          <t>Holmen skog AB</t>
        </is>
      </c>
      <c r="G298" t="n">
        <v>15.9</v>
      </c>
      <c r="H298" t="n">
        <v>0</v>
      </c>
      <c r="I298" t="n">
        <v>0</v>
      </c>
      <c r="J298" t="n">
        <v>0</v>
      </c>
      <c r="K298" t="n">
        <v>0</v>
      </c>
      <c r="L298" t="n">
        <v>0</v>
      </c>
      <c r="M298" t="n">
        <v>0</v>
      </c>
      <c r="N298" t="n">
        <v>0</v>
      </c>
      <c r="O298" t="n">
        <v>0</v>
      </c>
      <c r="P298" t="n">
        <v>0</v>
      </c>
      <c r="Q298" t="n">
        <v>0</v>
      </c>
      <c r="R298" s="2" t="inlineStr"/>
    </row>
    <row r="299" ht="15" customHeight="1">
      <c r="A299" t="inlineStr">
        <is>
          <t>A 67506-2019</t>
        </is>
      </c>
      <c r="B299" s="1" t="n">
        <v>43815</v>
      </c>
      <c r="C299" s="1" t="n">
        <v>45569</v>
      </c>
      <c r="D299" t="inlineStr">
        <is>
          <t>JÄMTLANDS LÄN</t>
        </is>
      </c>
      <c r="E299" t="inlineStr">
        <is>
          <t>HÄRJEDALEN</t>
        </is>
      </c>
      <c r="F299" t="inlineStr">
        <is>
          <t>Holmen skog AB</t>
        </is>
      </c>
      <c r="G299" t="n">
        <v>27</v>
      </c>
      <c r="H299" t="n">
        <v>0</v>
      </c>
      <c r="I299" t="n">
        <v>0</v>
      </c>
      <c r="J299" t="n">
        <v>0</v>
      </c>
      <c r="K299" t="n">
        <v>0</v>
      </c>
      <c r="L299" t="n">
        <v>0</v>
      </c>
      <c r="M299" t="n">
        <v>0</v>
      </c>
      <c r="N299" t="n">
        <v>0</v>
      </c>
      <c r="O299" t="n">
        <v>0</v>
      </c>
      <c r="P299" t="n">
        <v>0</v>
      </c>
      <c r="Q299" t="n">
        <v>0</v>
      </c>
      <c r="R299" s="2" t="inlineStr"/>
    </row>
    <row r="300" ht="15" customHeight="1">
      <c r="A300" t="inlineStr">
        <is>
          <t>A 67692-2019</t>
        </is>
      </c>
      <c r="B300" s="1" t="n">
        <v>43815</v>
      </c>
      <c r="C300" s="1" t="n">
        <v>45569</v>
      </c>
      <c r="D300" t="inlineStr">
        <is>
          <t>JÄMTLANDS LÄN</t>
        </is>
      </c>
      <c r="E300" t="inlineStr">
        <is>
          <t>HÄRJEDALEN</t>
        </is>
      </c>
      <c r="F300" t="inlineStr">
        <is>
          <t>Holmen skog AB</t>
        </is>
      </c>
      <c r="G300" t="n">
        <v>12.9</v>
      </c>
      <c r="H300" t="n">
        <v>0</v>
      </c>
      <c r="I300" t="n">
        <v>0</v>
      </c>
      <c r="J300" t="n">
        <v>0</v>
      </c>
      <c r="K300" t="n">
        <v>0</v>
      </c>
      <c r="L300" t="n">
        <v>0</v>
      </c>
      <c r="M300" t="n">
        <v>0</v>
      </c>
      <c r="N300" t="n">
        <v>0</v>
      </c>
      <c r="O300" t="n">
        <v>0</v>
      </c>
      <c r="P300" t="n">
        <v>0</v>
      </c>
      <c r="Q300" t="n">
        <v>0</v>
      </c>
      <c r="R300" s="2" t="inlineStr"/>
    </row>
    <row r="301" ht="15" customHeight="1">
      <c r="A301" t="inlineStr">
        <is>
          <t>A 67733-2019</t>
        </is>
      </c>
      <c r="B301" s="1" t="n">
        <v>43815</v>
      </c>
      <c r="C301" s="1" t="n">
        <v>45569</v>
      </c>
      <c r="D301" t="inlineStr">
        <is>
          <t>JÄMTLANDS LÄN</t>
        </is>
      </c>
      <c r="E301" t="inlineStr">
        <is>
          <t>HÄRJEDALEN</t>
        </is>
      </c>
      <c r="F301" t="inlineStr">
        <is>
          <t>Holmen skog AB</t>
        </is>
      </c>
      <c r="G301" t="n">
        <v>15.5</v>
      </c>
      <c r="H301" t="n">
        <v>0</v>
      </c>
      <c r="I301" t="n">
        <v>0</v>
      </c>
      <c r="J301" t="n">
        <v>0</v>
      </c>
      <c r="K301" t="n">
        <v>0</v>
      </c>
      <c r="L301" t="n">
        <v>0</v>
      </c>
      <c r="M301" t="n">
        <v>0</v>
      </c>
      <c r="N301" t="n">
        <v>0</v>
      </c>
      <c r="O301" t="n">
        <v>0</v>
      </c>
      <c r="P301" t="n">
        <v>0</v>
      </c>
      <c r="Q301" t="n">
        <v>0</v>
      </c>
      <c r="R301" s="2" t="inlineStr"/>
    </row>
    <row r="302" ht="15" customHeight="1">
      <c r="A302" t="inlineStr">
        <is>
          <t>A 67593-2019</t>
        </is>
      </c>
      <c r="B302" s="1" t="n">
        <v>43815</v>
      </c>
      <c r="C302" s="1" t="n">
        <v>45569</v>
      </c>
      <c r="D302" t="inlineStr">
        <is>
          <t>JÄMTLANDS LÄN</t>
        </is>
      </c>
      <c r="E302" t="inlineStr">
        <is>
          <t>HÄRJEDALEN</t>
        </is>
      </c>
      <c r="F302" t="inlineStr">
        <is>
          <t>Holmen skog AB</t>
        </is>
      </c>
      <c r="G302" t="n">
        <v>7.9</v>
      </c>
      <c r="H302" t="n">
        <v>0</v>
      </c>
      <c r="I302" t="n">
        <v>0</v>
      </c>
      <c r="J302" t="n">
        <v>0</v>
      </c>
      <c r="K302" t="n">
        <v>0</v>
      </c>
      <c r="L302" t="n">
        <v>0</v>
      </c>
      <c r="M302" t="n">
        <v>0</v>
      </c>
      <c r="N302" t="n">
        <v>0</v>
      </c>
      <c r="O302" t="n">
        <v>0</v>
      </c>
      <c r="P302" t="n">
        <v>0</v>
      </c>
      <c r="Q302" t="n">
        <v>0</v>
      </c>
      <c r="R302" s="2" t="inlineStr"/>
    </row>
    <row r="303" ht="15" customHeight="1">
      <c r="A303" t="inlineStr">
        <is>
          <t>A 67535-2019</t>
        </is>
      </c>
      <c r="B303" s="1" t="n">
        <v>43815</v>
      </c>
      <c r="C303" s="1" t="n">
        <v>45569</v>
      </c>
      <c r="D303" t="inlineStr">
        <is>
          <t>JÄMTLANDS LÄN</t>
        </is>
      </c>
      <c r="E303" t="inlineStr">
        <is>
          <t>HÄRJEDALEN</t>
        </is>
      </c>
      <c r="F303" t="inlineStr">
        <is>
          <t>Holmen skog AB</t>
        </is>
      </c>
      <c r="G303" t="n">
        <v>34.3</v>
      </c>
      <c r="H303" t="n">
        <v>0</v>
      </c>
      <c r="I303" t="n">
        <v>0</v>
      </c>
      <c r="J303" t="n">
        <v>0</v>
      </c>
      <c r="K303" t="n">
        <v>0</v>
      </c>
      <c r="L303" t="n">
        <v>0</v>
      </c>
      <c r="M303" t="n">
        <v>0</v>
      </c>
      <c r="N303" t="n">
        <v>0</v>
      </c>
      <c r="O303" t="n">
        <v>0</v>
      </c>
      <c r="P303" t="n">
        <v>0</v>
      </c>
      <c r="Q303" t="n">
        <v>0</v>
      </c>
      <c r="R303" s="2" t="inlineStr"/>
    </row>
    <row r="304" ht="15" customHeight="1">
      <c r="A304" t="inlineStr">
        <is>
          <t>A 67972-2019</t>
        </is>
      </c>
      <c r="B304" s="1" t="n">
        <v>43816</v>
      </c>
      <c r="C304" s="1" t="n">
        <v>45569</v>
      </c>
      <c r="D304" t="inlineStr">
        <is>
          <t>JÄMTLANDS LÄN</t>
        </is>
      </c>
      <c r="E304" t="inlineStr">
        <is>
          <t>HÄRJEDALEN</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642-2020</t>
        </is>
      </c>
      <c r="B305" s="1" t="n">
        <v>43817</v>
      </c>
      <c r="C305" s="1" t="n">
        <v>45569</v>
      </c>
      <c r="D305" t="inlineStr">
        <is>
          <t>JÄMTLANDS LÄN</t>
        </is>
      </c>
      <c r="E305" t="inlineStr">
        <is>
          <t>HÄRJEDALEN</t>
        </is>
      </c>
      <c r="G305" t="n">
        <v>15.5</v>
      </c>
      <c r="H305" t="n">
        <v>0</v>
      </c>
      <c r="I305" t="n">
        <v>0</v>
      </c>
      <c r="J305" t="n">
        <v>0</v>
      </c>
      <c r="K305" t="n">
        <v>0</v>
      </c>
      <c r="L305" t="n">
        <v>0</v>
      </c>
      <c r="M305" t="n">
        <v>0</v>
      </c>
      <c r="N305" t="n">
        <v>0</v>
      </c>
      <c r="O305" t="n">
        <v>0</v>
      </c>
      <c r="P305" t="n">
        <v>0</v>
      </c>
      <c r="Q305" t="n">
        <v>0</v>
      </c>
      <c r="R305" s="2" t="inlineStr"/>
    </row>
    <row r="306" ht="15" customHeight="1">
      <c r="A306" t="inlineStr">
        <is>
          <t>A 159-2020</t>
        </is>
      </c>
      <c r="B306" s="1" t="n">
        <v>43833</v>
      </c>
      <c r="C306" s="1" t="n">
        <v>45569</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2320-2020</t>
        </is>
      </c>
      <c r="B307" s="1" t="n">
        <v>43846</v>
      </c>
      <c r="C307" s="1" t="n">
        <v>45569</v>
      </c>
      <c r="D307" t="inlineStr">
        <is>
          <t>JÄMTLANDS LÄN</t>
        </is>
      </c>
      <c r="E307" t="inlineStr">
        <is>
          <t>HÄRJEDALEN</t>
        </is>
      </c>
      <c r="F307" t="inlineStr">
        <is>
          <t>Bergvik skog väst AB</t>
        </is>
      </c>
      <c r="G307" t="n">
        <v>3.3</v>
      </c>
      <c r="H307" t="n">
        <v>0</v>
      </c>
      <c r="I307" t="n">
        <v>0</v>
      </c>
      <c r="J307" t="n">
        <v>0</v>
      </c>
      <c r="K307" t="n">
        <v>0</v>
      </c>
      <c r="L307" t="n">
        <v>0</v>
      </c>
      <c r="M307" t="n">
        <v>0</v>
      </c>
      <c r="N307" t="n">
        <v>0</v>
      </c>
      <c r="O307" t="n">
        <v>0</v>
      </c>
      <c r="P307" t="n">
        <v>0</v>
      </c>
      <c r="Q307" t="n">
        <v>0</v>
      </c>
      <c r="R307" s="2" t="inlineStr"/>
    </row>
    <row r="308" ht="15" customHeight="1">
      <c r="A308" t="inlineStr">
        <is>
          <t>A 4663-2020</t>
        </is>
      </c>
      <c r="B308" s="1" t="n">
        <v>43858</v>
      </c>
      <c r="C308" s="1" t="n">
        <v>45569</v>
      </c>
      <c r="D308" t="inlineStr">
        <is>
          <t>JÄMTLANDS LÄN</t>
        </is>
      </c>
      <c r="E308" t="inlineStr">
        <is>
          <t>HÄRJEDALEN</t>
        </is>
      </c>
      <c r="G308" t="n">
        <v>10.2</v>
      </c>
      <c r="H308" t="n">
        <v>0</v>
      </c>
      <c r="I308" t="n">
        <v>0</v>
      </c>
      <c r="J308" t="n">
        <v>0</v>
      </c>
      <c r="K308" t="n">
        <v>0</v>
      </c>
      <c r="L308" t="n">
        <v>0</v>
      </c>
      <c r="M308" t="n">
        <v>0</v>
      </c>
      <c r="N308" t="n">
        <v>0</v>
      </c>
      <c r="O308" t="n">
        <v>0</v>
      </c>
      <c r="P308" t="n">
        <v>0</v>
      </c>
      <c r="Q308" t="n">
        <v>0</v>
      </c>
      <c r="R308" s="2" t="inlineStr"/>
    </row>
    <row r="309" ht="15" customHeight="1">
      <c r="A309" t="inlineStr">
        <is>
          <t>A 6719-2020</t>
        </is>
      </c>
      <c r="B309" s="1" t="n">
        <v>43866</v>
      </c>
      <c r="C309" s="1" t="n">
        <v>45569</v>
      </c>
      <c r="D309" t="inlineStr">
        <is>
          <t>JÄMTLANDS LÄN</t>
        </is>
      </c>
      <c r="E309" t="inlineStr">
        <is>
          <t>HÄRJEDALEN</t>
        </is>
      </c>
      <c r="G309" t="n">
        <v>1.2</v>
      </c>
      <c r="H309" t="n">
        <v>0</v>
      </c>
      <c r="I309" t="n">
        <v>0</v>
      </c>
      <c r="J309" t="n">
        <v>0</v>
      </c>
      <c r="K309" t="n">
        <v>0</v>
      </c>
      <c r="L309" t="n">
        <v>0</v>
      </c>
      <c r="M309" t="n">
        <v>0</v>
      </c>
      <c r="N309" t="n">
        <v>0</v>
      </c>
      <c r="O309" t="n">
        <v>0</v>
      </c>
      <c r="P309" t="n">
        <v>0</v>
      </c>
      <c r="Q309" t="n">
        <v>0</v>
      </c>
      <c r="R309" s="2" t="inlineStr"/>
    </row>
    <row r="310" ht="15" customHeight="1">
      <c r="A310" t="inlineStr">
        <is>
          <t>A 6715-2020</t>
        </is>
      </c>
      <c r="B310" s="1" t="n">
        <v>43866</v>
      </c>
      <c r="C310" s="1" t="n">
        <v>45569</v>
      </c>
      <c r="D310" t="inlineStr">
        <is>
          <t>JÄMTLANDS LÄN</t>
        </is>
      </c>
      <c r="E310" t="inlineStr">
        <is>
          <t>HÄRJEDALEN</t>
        </is>
      </c>
      <c r="G310" t="n">
        <v>7.5</v>
      </c>
      <c r="H310" t="n">
        <v>0</v>
      </c>
      <c r="I310" t="n">
        <v>0</v>
      </c>
      <c r="J310" t="n">
        <v>0</v>
      </c>
      <c r="K310" t="n">
        <v>0</v>
      </c>
      <c r="L310" t="n">
        <v>0</v>
      </c>
      <c r="M310" t="n">
        <v>0</v>
      </c>
      <c r="N310" t="n">
        <v>0</v>
      </c>
      <c r="O310" t="n">
        <v>0</v>
      </c>
      <c r="P310" t="n">
        <v>0</v>
      </c>
      <c r="Q310" t="n">
        <v>0</v>
      </c>
      <c r="R310" s="2" t="inlineStr"/>
    </row>
    <row r="311" ht="15" customHeight="1">
      <c r="A311" t="inlineStr">
        <is>
          <t>A 6675-2020</t>
        </is>
      </c>
      <c r="B311" s="1" t="n">
        <v>43866</v>
      </c>
      <c r="C311" s="1" t="n">
        <v>45569</v>
      </c>
      <c r="D311" t="inlineStr">
        <is>
          <t>JÄMTLANDS LÄN</t>
        </is>
      </c>
      <c r="E311" t="inlineStr">
        <is>
          <t>HÄRJEDALEN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6584-2020</t>
        </is>
      </c>
      <c r="B312" s="1" t="n">
        <v>43867</v>
      </c>
      <c r="C312" s="1" t="n">
        <v>45569</v>
      </c>
      <c r="D312" t="inlineStr">
        <is>
          <t>JÄMTLANDS LÄN</t>
        </is>
      </c>
      <c r="E312" t="inlineStr">
        <is>
          <t>HÄRJEDALEN</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6903-2020</t>
        </is>
      </c>
      <c r="B313" s="1" t="n">
        <v>43867</v>
      </c>
      <c r="C313" s="1" t="n">
        <v>45569</v>
      </c>
      <c r="D313" t="inlineStr">
        <is>
          <t>JÄMTLANDS LÄN</t>
        </is>
      </c>
      <c r="E313" t="inlineStr">
        <is>
          <t>HÄRJEDALEN</t>
        </is>
      </c>
      <c r="G313" t="n">
        <v>10.5</v>
      </c>
      <c r="H313" t="n">
        <v>0</v>
      </c>
      <c r="I313" t="n">
        <v>0</v>
      </c>
      <c r="J313" t="n">
        <v>0</v>
      </c>
      <c r="K313" t="n">
        <v>0</v>
      </c>
      <c r="L313" t="n">
        <v>0</v>
      </c>
      <c r="M313" t="n">
        <v>0</v>
      </c>
      <c r="N313" t="n">
        <v>0</v>
      </c>
      <c r="O313" t="n">
        <v>0</v>
      </c>
      <c r="P313" t="n">
        <v>0</v>
      </c>
      <c r="Q313" t="n">
        <v>0</v>
      </c>
      <c r="R313" s="2" t="inlineStr"/>
    </row>
    <row r="314" ht="15" customHeight="1">
      <c r="A314" t="inlineStr">
        <is>
          <t>A 7184-2020</t>
        </is>
      </c>
      <c r="B314" s="1" t="n">
        <v>43871</v>
      </c>
      <c r="C314" s="1" t="n">
        <v>45569</v>
      </c>
      <c r="D314" t="inlineStr">
        <is>
          <t>JÄMTLANDS LÄN</t>
        </is>
      </c>
      <c r="E314" t="inlineStr">
        <is>
          <t>HÄRJEDALEN</t>
        </is>
      </c>
      <c r="G314" t="n">
        <v>41.4</v>
      </c>
      <c r="H314" t="n">
        <v>0</v>
      </c>
      <c r="I314" t="n">
        <v>0</v>
      </c>
      <c r="J314" t="n">
        <v>0</v>
      </c>
      <c r="K314" t="n">
        <v>0</v>
      </c>
      <c r="L314" t="n">
        <v>0</v>
      </c>
      <c r="M314" t="n">
        <v>0</v>
      </c>
      <c r="N314" t="n">
        <v>0</v>
      </c>
      <c r="O314" t="n">
        <v>0</v>
      </c>
      <c r="P314" t="n">
        <v>0</v>
      </c>
      <c r="Q314" t="n">
        <v>0</v>
      </c>
      <c r="R314" s="2" t="inlineStr"/>
    </row>
    <row r="315" ht="15" customHeight="1">
      <c r="A315" t="inlineStr">
        <is>
          <t>A 8111-2020</t>
        </is>
      </c>
      <c r="B315" s="1" t="n">
        <v>43874</v>
      </c>
      <c r="C315" s="1" t="n">
        <v>45569</v>
      </c>
      <c r="D315" t="inlineStr">
        <is>
          <t>JÄMTLANDS LÄN</t>
        </is>
      </c>
      <c r="E315" t="inlineStr">
        <is>
          <t>HÄRJEDALEN</t>
        </is>
      </c>
      <c r="G315" t="n">
        <v>15.4</v>
      </c>
      <c r="H315" t="n">
        <v>0</v>
      </c>
      <c r="I315" t="n">
        <v>0</v>
      </c>
      <c r="J315" t="n">
        <v>0</v>
      </c>
      <c r="K315" t="n">
        <v>0</v>
      </c>
      <c r="L315" t="n">
        <v>0</v>
      </c>
      <c r="M315" t="n">
        <v>0</v>
      </c>
      <c r="N315" t="n">
        <v>0</v>
      </c>
      <c r="O315" t="n">
        <v>0</v>
      </c>
      <c r="P315" t="n">
        <v>0</v>
      </c>
      <c r="Q315" t="n">
        <v>0</v>
      </c>
      <c r="R315" s="2" t="inlineStr"/>
    </row>
    <row r="316" ht="15" customHeight="1">
      <c r="A316" t="inlineStr">
        <is>
          <t>A 8762-2020</t>
        </is>
      </c>
      <c r="B316" s="1" t="n">
        <v>43875</v>
      </c>
      <c r="C316" s="1" t="n">
        <v>45569</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8908-2020</t>
        </is>
      </c>
      <c r="B317" s="1" t="n">
        <v>43878</v>
      </c>
      <c r="C317" s="1" t="n">
        <v>45569</v>
      </c>
      <c r="D317" t="inlineStr">
        <is>
          <t>JÄMTLANDS LÄN</t>
        </is>
      </c>
      <c r="E317" t="inlineStr">
        <is>
          <t>HÄRJEDALEN</t>
        </is>
      </c>
      <c r="G317" t="n">
        <v>18.1</v>
      </c>
      <c r="H317" t="n">
        <v>0</v>
      </c>
      <c r="I317" t="n">
        <v>0</v>
      </c>
      <c r="J317" t="n">
        <v>0</v>
      </c>
      <c r="K317" t="n">
        <v>0</v>
      </c>
      <c r="L317" t="n">
        <v>0</v>
      </c>
      <c r="M317" t="n">
        <v>0</v>
      </c>
      <c r="N317" t="n">
        <v>0</v>
      </c>
      <c r="O317" t="n">
        <v>0</v>
      </c>
      <c r="P317" t="n">
        <v>0</v>
      </c>
      <c r="Q317" t="n">
        <v>0</v>
      </c>
      <c r="R317" s="2" t="inlineStr"/>
    </row>
    <row r="318" ht="15" customHeight="1">
      <c r="A318" t="inlineStr">
        <is>
          <t>A 9034-2020</t>
        </is>
      </c>
      <c r="B318" s="1" t="n">
        <v>43879</v>
      </c>
      <c r="C318" s="1" t="n">
        <v>45569</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9591-2020</t>
        </is>
      </c>
      <c r="B319" s="1" t="n">
        <v>43881</v>
      </c>
      <c r="C319" s="1" t="n">
        <v>45569</v>
      </c>
      <c r="D319" t="inlineStr">
        <is>
          <t>JÄMTLANDS LÄN</t>
        </is>
      </c>
      <c r="E319" t="inlineStr">
        <is>
          <t>HÄRJEDALEN</t>
        </is>
      </c>
      <c r="G319" t="n">
        <v>6.4</v>
      </c>
      <c r="H319" t="n">
        <v>0</v>
      </c>
      <c r="I319" t="n">
        <v>0</v>
      </c>
      <c r="J319" t="n">
        <v>0</v>
      </c>
      <c r="K319" t="n">
        <v>0</v>
      </c>
      <c r="L319" t="n">
        <v>0</v>
      </c>
      <c r="M319" t="n">
        <v>0</v>
      </c>
      <c r="N319" t="n">
        <v>0</v>
      </c>
      <c r="O319" t="n">
        <v>0</v>
      </c>
      <c r="P319" t="n">
        <v>0</v>
      </c>
      <c r="Q319" t="n">
        <v>0</v>
      </c>
      <c r="R319" s="2" t="inlineStr"/>
    </row>
    <row r="320" ht="15" customHeight="1">
      <c r="A320" t="inlineStr">
        <is>
          <t>A 11731-2020</t>
        </is>
      </c>
      <c r="B320" s="1" t="n">
        <v>43894</v>
      </c>
      <c r="C320" s="1" t="n">
        <v>45569</v>
      </c>
      <c r="D320" t="inlineStr">
        <is>
          <t>JÄMTLANDS LÄN</t>
        </is>
      </c>
      <c r="E320" t="inlineStr">
        <is>
          <t>HÄRJEDALEN</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11816-2020</t>
        </is>
      </c>
      <c r="B321" s="1" t="n">
        <v>43894</v>
      </c>
      <c r="C321" s="1" t="n">
        <v>45569</v>
      </c>
      <c r="D321" t="inlineStr">
        <is>
          <t>JÄMTLANDS LÄN</t>
        </is>
      </c>
      <c r="E321" t="inlineStr">
        <is>
          <t>HÄRJEDALEN</t>
        </is>
      </c>
      <c r="F321" t="inlineStr">
        <is>
          <t>Holmen skog AB</t>
        </is>
      </c>
      <c r="G321" t="n">
        <v>20.4</v>
      </c>
      <c r="H321" t="n">
        <v>0</v>
      </c>
      <c r="I321" t="n">
        <v>0</v>
      </c>
      <c r="J321" t="n">
        <v>0</v>
      </c>
      <c r="K321" t="n">
        <v>0</v>
      </c>
      <c r="L321" t="n">
        <v>0</v>
      </c>
      <c r="M321" t="n">
        <v>0</v>
      </c>
      <c r="N321" t="n">
        <v>0</v>
      </c>
      <c r="O321" t="n">
        <v>0</v>
      </c>
      <c r="P321" t="n">
        <v>0</v>
      </c>
      <c r="Q321" t="n">
        <v>0</v>
      </c>
      <c r="R321" s="2" t="inlineStr"/>
    </row>
    <row r="322" ht="15" customHeight="1">
      <c r="A322" t="inlineStr">
        <is>
          <t>A 11818-2020</t>
        </is>
      </c>
      <c r="B322" s="1" t="n">
        <v>43894</v>
      </c>
      <c r="C322" s="1" t="n">
        <v>45569</v>
      </c>
      <c r="D322" t="inlineStr">
        <is>
          <t>JÄMTLANDS LÄN</t>
        </is>
      </c>
      <c r="E322" t="inlineStr">
        <is>
          <t>HÄRJEDALEN</t>
        </is>
      </c>
      <c r="F322" t="inlineStr">
        <is>
          <t>Holmen skog AB</t>
        </is>
      </c>
      <c r="G322" t="n">
        <v>6</v>
      </c>
      <c r="H322" t="n">
        <v>0</v>
      </c>
      <c r="I322" t="n">
        <v>0</v>
      </c>
      <c r="J322" t="n">
        <v>0</v>
      </c>
      <c r="K322" t="n">
        <v>0</v>
      </c>
      <c r="L322" t="n">
        <v>0</v>
      </c>
      <c r="M322" t="n">
        <v>0</v>
      </c>
      <c r="N322" t="n">
        <v>0</v>
      </c>
      <c r="O322" t="n">
        <v>0</v>
      </c>
      <c r="P322" t="n">
        <v>0</v>
      </c>
      <c r="Q322" t="n">
        <v>0</v>
      </c>
      <c r="R322" s="2" t="inlineStr"/>
    </row>
    <row r="323" ht="15" customHeight="1">
      <c r="A323" t="inlineStr">
        <is>
          <t>A 11885-2020</t>
        </is>
      </c>
      <c r="B323" s="1" t="n">
        <v>43894</v>
      </c>
      <c r="C323" s="1" t="n">
        <v>45569</v>
      </c>
      <c r="D323" t="inlineStr">
        <is>
          <t>JÄMTLANDS LÄN</t>
        </is>
      </c>
      <c r="E323" t="inlineStr">
        <is>
          <t>HÄRJEDALEN</t>
        </is>
      </c>
      <c r="F323" t="inlineStr">
        <is>
          <t>Holmen skog AB</t>
        </is>
      </c>
      <c r="G323" t="n">
        <v>3.5</v>
      </c>
      <c r="H323" t="n">
        <v>0</v>
      </c>
      <c r="I323" t="n">
        <v>0</v>
      </c>
      <c r="J323" t="n">
        <v>0</v>
      </c>
      <c r="K323" t="n">
        <v>0</v>
      </c>
      <c r="L323" t="n">
        <v>0</v>
      </c>
      <c r="M323" t="n">
        <v>0</v>
      </c>
      <c r="N323" t="n">
        <v>0</v>
      </c>
      <c r="O323" t="n">
        <v>0</v>
      </c>
      <c r="P323" t="n">
        <v>0</v>
      </c>
      <c r="Q323" t="n">
        <v>0</v>
      </c>
      <c r="R323" s="2" t="inlineStr"/>
    </row>
    <row r="324" ht="15" customHeight="1">
      <c r="A324" t="inlineStr">
        <is>
          <t>A 11828-2020</t>
        </is>
      </c>
      <c r="B324" s="1" t="n">
        <v>43894</v>
      </c>
      <c r="C324" s="1" t="n">
        <v>45569</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11905-2020</t>
        </is>
      </c>
      <c r="B325" s="1" t="n">
        <v>43894</v>
      </c>
      <c r="C325" s="1" t="n">
        <v>45569</v>
      </c>
      <c r="D325" t="inlineStr">
        <is>
          <t>JÄMTLANDS LÄN</t>
        </is>
      </c>
      <c r="E325" t="inlineStr">
        <is>
          <t>HÄRJEDALEN</t>
        </is>
      </c>
      <c r="F325" t="inlineStr">
        <is>
          <t>Holmen skog AB</t>
        </is>
      </c>
      <c r="G325" t="n">
        <v>10.3</v>
      </c>
      <c r="H325" t="n">
        <v>0</v>
      </c>
      <c r="I325" t="n">
        <v>0</v>
      </c>
      <c r="J325" t="n">
        <v>0</v>
      </c>
      <c r="K325" t="n">
        <v>0</v>
      </c>
      <c r="L325" t="n">
        <v>0</v>
      </c>
      <c r="M325" t="n">
        <v>0</v>
      </c>
      <c r="N325" t="n">
        <v>0</v>
      </c>
      <c r="O325" t="n">
        <v>0</v>
      </c>
      <c r="P325" t="n">
        <v>0</v>
      </c>
      <c r="Q325" t="n">
        <v>0</v>
      </c>
      <c r="R325" s="2" t="inlineStr"/>
    </row>
    <row r="326" ht="15" customHeight="1">
      <c r="A326" t="inlineStr">
        <is>
          <t>A 13604-2020</t>
        </is>
      </c>
      <c r="B326" s="1" t="n">
        <v>43895</v>
      </c>
      <c r="C326" s="1" t="n">
        <v>45569</v>
      </c>
      <c r="D326" t="inlineStr">
        <is>
          <t>JÄMTLANDS LÄN</t>
        </is>
      </c>
      <c r="E326" t="inlineStr">
        <is>
          <t>HÄRJEDALEN</t>
        </is>
      </c>
      <c r="G326" t="n">
        <v>0.6</v>
      </c>
      <c r="H326" t="n">
        <v>0</v>
      </c>
      <c r="I326" t="n">
        <v>0</v>
      </c>
      <c r="J326" t="n">
        <v>0</v>
      </c>
      <c r="K326" t="n">
        <v>0</v>
      </c>
      <c r="L326" t="n">
        <v>0</v>
      </c>
      <c r="M326" t="n">
        <v>0</v>
      </c>
      <c r="N326" t="n">
        <v>0</v>
      </c>
      <c r="O326" t="n">
        <v>0</v>
      </c>
      <c r="P326" t="n">
        <v>0</v>
      </c>
      <c r="Q326" t="n">
        <v>0</v>
      </c>
      <c r="R326" s="2" t="inlineStr"/>
    </row>
    <row r="327" ht="15" customHeight="1">
      <c r="A327" t="inlineStr">
        <is>
          <t>A 12398-2020</t>
        </is>
      </c>
      <c r="B327" s="1" t="n">
        <v>43896</v>
      </c>
      <c r="C327" s="1" t="n">
        <v>45569</v>
      </c>
      <c r="D327" t="inlineStr">
        <is>
          <t>JÄMTLANDS LÄN</t>
        </is>
      </c>
      <c r="E327" t="inlineStr">
        <is>
          <t>HÄRJEDALEN</t>
        </is>
      </c>
      <c r="G327" t="n">
        <v>12.3</v>
      </c>
      <c r="H327" t="n">
        <v>0</v>
      </c>
      <c r="I327" t="n">
        <v>0</v>
      </c>
      <c r="J327" t="n">
        <v>0</v>
      </c>
      <c r="K327" t="n">
        <v>0</v>
      </c>
      <c r="L327" t="n">
        <v>0</v>
      </c>
      <c r="M327" t="n">
        <v>0</v>
      </c>
      <c r="N327" t="n">
        <v>0</v>
      </c>
      <c r="O327" t="n">
        <v>0</v>
      </c>
      <c r="P327" t="n">
        <v>0</v>
      </c>
      <c r="Q327" t="n">
        <v>0</v>
      </c>
      <c r="R327" s="2" t="inlineStr"/>
    </row>
    <row r="328" ht="15" customHeight="1">
      <c r="A328" t="inlineStr">
        <is>
          <t>A 12410-2020</t>
        </is>
      </c>
      <c r="B328" s="1" t="n">
        <v>43896</v>
      </c>
      <c r="C328" s="1" t="n">
        <v>45569</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13588-2020</t>
        </is>
      </c>
      <c r="B329" s="1" t="n">
        <v>43896</v>
      </c>
      <c r="C329" s="1" t="n">
        <v>45569</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12898-2020</t>
        </is>
      </c>
      <c r="B330" s="1" t="n">
        <v>43900</v>
      </c>
      <c r="C330" s="1" t="n">
        <v>45569</v>
      </c>
      <c r="D330" t="inlineStr">
        <is>
          <t>JÄMTLANDS LÄN</t>
        </is>
      </c>
      <c r="E330" t="inlineStr">
        <is>
          <t>HÄRJEDALEN</t>
        </is>
      </c>
      <c r="G330" t="n">
        <v>2.6</v>
      </c>
      <c r="H330" t="n">
        <v>0</v>
      </c>
      <c r="I330" t="n">
        <v>0</v>
      </c>
      <c r="J330" t="n">
        <v>0</v>
      </c>
      <c r="K330" t="n">
        <v>0</v>
      </c>
      <c r="L330" t="n">
        <v>0</v>
      </c>
      <c r="M330" t="n">
        <v>0</v>
      </c>
      <c r="N330" t="n">
        <v>0</v>
      </c>
      <c r="O330" t="n">
        <v>0</v>
      </c>
      <c r="P330" t="n">
        <v>0</v>
      </c>
      <c r="Q330" t="n">
        <v>0</v>
      </c>
      <c r="R330" s="2" t="inlineStr"/>
    </row>
    <row r="331" ht="15" customHeight="1">
      <c r="A331" t="inlineStr">
        <is>
          <t>A 15020-2020</t>
        </is>
      </c>
      <c r="B331" s="1" t="n">
        <v>43907</v>
      </c>
      <c r="C331" s="1" t="n">
        <v>45569</v>
      </c>
      <c r="D331" t="inlineStr">
        <is>
          <t>JÄMTLANDS LÄN</t>
        </is>
      </c>
      <c r="E331" t="inlineStr">
        <is>
          <t>HÄRJEDALEN</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15576-2020</t>
        </is>
      </c>
      <c r="B332" s="1" t="n">
        <v>43914</v>
      </c>
      <c r="C332" s="1" t="n">
        <v>45569</v>
      </c>
      <c r="D332" t="inlineStr">
        <is>
          <t>JÄMTLANDS LÄN</t>
        </is>
      </c>
      <c r="E332" t="inlineStr">
        <is>
          <t>HÄRJEDALEN</t>
        </is>
      </c>
      <c r="F332" t="inlineStr">
        <is>
          <t>Kyrkan</t>
        </is>
      </c>
      <c r="G332" t="n">
        <v>8.1</v>
      </c>
      <c r="H332" t="n">
        <v>0</v>
      </c>
      <c r="I332" t="n">
        <v>0</v>
      </c>
      <c r="J332" t="n">
        <v>0</v>
      </c>
      <c r="K332" t="n">
        <v>0</v>
      </c>
      <c r="L332" t="n">
        <v>0</v>
      </c>
      <c r="M332" t="n">
        <v>0</v>
      </c>
      <c r="N332" t="n">
        <v>0</v>
      </c>
      <c r="O332" t="n">
        <v>0</v>
      </c>
      <c r="P332" t="n">
        <v>0</v>
      </c>
      <c r="Q332" t="n">
        <v>0</v>
      </c>
      <c r="R332" s="2" t="inlineStr"/>
    </row>
    <row r="333" ht="15" customHeight="1">
      <c r="A333" t="inlineStr">
        <is>
          <t>A 17515-2020</t>
        </is>
      </c>
      <c r="B333" s="1" t="n">
        <v>43920</v>
      </c>
      <c r="C333" s="1" t="n">
        <v>45569</v>
      </c>
      <c r="D333" t="inlineStr">
        <is>
          <t>JÄMTLANDS LÄN</t>
        </is>
      </c>
      <c r="E333" t="inlineStr">
        <is>
          <t>HÄRJEDALEN</t>
        </is>
      </c>
      <c r="G333" t="n">
        <v>1.1</v>
      </c>
      <c r="H333" t="n">
        <v>0</v>
      </c>
      <c r="I333" t="n">
        <v>0</v>
      </c>
      <c r="J333" t="n">
        <v>0</v>
      </c>
      <c r="K333" t="n">
        <v>0</v>
      </c>
      <c r="L333" t="n">
        <v>0</v>
      </c>
      <c r="M333" t="n">
        <v>0</v>
      </c>
      <c r="N333" t="n">
        <v>0</v>
      </c>
      <c r="O333" t="n">
        <v>0</v>
      </c>
      <c r="P333" t="n">
        <v>0</v>
      </c>
      <c r="Q333" t="n">
        <v>0</v>
      </c>
      <c r="R333" s="2" t="inlineStr"/>
    </row>
    <row r="334" ht="15" customHeight="1">
      <c r="A334" t="inlineStr">
        <is>
          <t>A 17024-2020</t>
        </is>
      </c>
      <c r="B334" s="1" t="n">
        <v>43921</v>
      </c>
      <c r="C334" s="1" t="n">
        <v>45569</v>
      </c>
      <c r="D334" t="inlineStr">
        <is>
          <t>JÄMTLANDS LÄN</t>
        </is>
      </c>
      <c r="E334" t="inlineStr">
        <is>
          <t>HÄRJEDALEN</t>
        </is>
      </c>
      <c r="G334" t="n">
        <v>0.8</v>
      </c>
      <c r="H334" t="n">
        <v>0</v>
      </c>
      <c r="I334" t="n">
        <v>0</v>
      </c>
      <c r="J334" t="n">
        <v>0</v>
      </c>
      <c r="K334" t="n">
        <v>0</v>
      </c>
      <c r="L334" t="n">
        <v>0</v>
      </c>
      <c r="M334" t="n">
        <v>0</v>
      </c>
      <c r="N334" t="n">
        <v>0</v>
      </c>
      <c r="O334" t="n">
        <v>0</v>
      </c>
      <c r="P334" t="n">
        <v>0</v>
      </c>
      <c r="Q334" t="n">
        <v>0</v>
      </c>
      <c r="R334" s="2" t="inlineStr"/>
    </row>
    <row r="335" ht="15" customHeight="1">
      <c r="A335" t="inlineStr">
        <is>
          <t>A 17676-2020</t>
        </is>
      </c>
      <c r="B335" s="1" t="n">
        <v>43924</v>
      </c>
      <c r="C335" s="1" t="n">
        <v>45569</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18038-2020</t>
        </is>
      </c>
      <c r="B336" s="1" t="n">
        <v>43927</v>
      </c>
      <c r="C336" s="1" t="n">
        <v>45569</v>
      </c>
      <c r="D336" t="inlineStr">
        <is>
          <t>JÄMTLANDS LÄN</t>
        </is>
      </c>
      <c r="E336" t="inlineStr">
        <is>
          <t>HÄRJEDALEN</t>
        </is>
      </c>
      <c r="G336" t="n">
        <v>13.5</v>
      </c>
      <c r="H336" t="n">
        <v>0</v>
      </c>
      <c r="I336" t="n">
        <v>0</v>
      </c>
      <c r="J336" t="n">
        <v>0</v>
      </c>
      <c r="K336" t="n">
        <v>0</v>
      </c>
      <c r="L336" t="n">
        <v>0</v>
      </c>
      <c r="M336" t="n">
        <v>0</v>
      </c>
      <c r="N336" t="n">
        <v>0</v>
      </c>
      <c r="O336" t="n">
        <v>0</v>
      </c>
      <c r="P336" t="n">
        <v>0</v>
      </c>
      <c r="Q336" t="n">
        <v>0</v>
      </c>
      <c r="R336" s="2" t="inlineStr"/>
    </row>
    <row r="337" ht="15" customHeight="1">
      <c r="A337" t="inlineStr">
        <is>
          <t>A 18761-2020</t>
        </is>
      </c>
      <c r="B337" s="1" t="n">
        <v>43930</v>
      </c>
      <c r="C337" s="1" t="n">
        <v>45569</v>
      </c>
      <c r="D337" t="inlineStr">
        <is>
          <t>JÄMTLANDS LÄN</t>
        </is>
      </c>
      <c r="E337" t="inlineStr">
        <is>
          <t>HÄRJEDALEN</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18760-2020</t>
        </is>
      </c>
      <c r="B338" s="1" t="n">
        <v>43930</v>
      </c>
      <c r="C338" s="1" t="n">
        <v>45569</v>
      </c>
      <c r="D338" t="inlineStr">
        <is>
          <t>JÄMTLANDS LÄN</t>
        </is>
      </c>
      <c r="E338" t="inlineStr">
        <is>
          <t>HÄRJEDALEN</t>
        </is>
      </c>
      <c r="F338" t="inlineStr">
        <is>
          <t>Sveaskog</t>
        </is>
      </c>
      <c r="G338" t="n">
        <v>16.1</v>
      </c>
      <c r="H338" t="n">
        <v>0</v>
      </c>
      <c r="I338" t="n">
        <v>0</v>
      </c>
      <c r="J338" t="n">
        <v>0</v>
      </c>
      <c r="K338" t="n">
        <v>0</v>
      </c>
      <c r="L338" t="n">
        <v>0</v>
      </c>
      <c r="M338" t="n">
        <v>0</v>
      </c>
      <c r="N338" t="n">
        <v>0</v>
      </c>
      <c r="O338" t="n">
        <v>0</v>
      </c>
      <c r="P338" t="n">
        <v>0</v>
      </c>
      <c r="Q338" t="n">
        <v>0</v>
      </c>
      <c r="R338" s="2" t="inlineStr"/>
    </row>
    <row r="339" ht="15" customHeight="1">
      <c r="A339" t="inlineStr">
        <is>
          <t>A 18759-2020</t>
        </is>
      </c>
      <c r="B339" s="1" t="n">
        <v>43930</v>
      </c>
      <c r="C339" s="1" t="n">
        <v>45569</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18877-2020</t>
        </is>
      </c>
      <c r="B340" s="1" t="n">
        <v>43935</v>
      </c>
      <c r="C340" s="1" t="n">
        <v>45569</v>
      </c>
      <c r="D340" t="inlineStr">
        <is>
          <t>JÄMTLANDS LÄN</t>
        </is>
      </c>
      <c r="E340" t="inlineStr">
        <is>
          <t>HÄRJEDALEN</t>
        </is>
      </c>
      <c r="G340" t="n">
        <v>7</v>
      </c>
      <c r="H340" t="n">
        <v>0</v>
      </c>
      <c r="I340" t="n">
        <v>0</v>
      </c>
      <c r="J340" t="n">
        <v>0</v>
      </c>
      <c r="K340" t="n">
        <v>0</v>
      </c>
      <c r="L340" t="n">
        <v>0</v>
      </c>
      <c r="M340" t="n">
        <v>0</v>
      </c>
      <c r="N340" t="n">
        <v>0</v>
      </c>
      <c r="O340" t="n">
        <v>0</v>
      </c>
      <c r="P340" t="n">
        <v>0</v>
      </c>
      <c r="Q340" t="n">
        <v>0</v>
      </c>
      <c r="R340" s="2" t="inlineStr"/>
    </row>
    <row r="341" ht="15" customHeight="1">
      <c r="A341" t="inlineStr">
        <is>
          <t>A 18879-2020</t>
        </is>
      </c>
      <c r="B341" s="1" t="n">
        <v>43935</v>
      </c>
      <c r="C341" s="1" t="n">
        <v>45569</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19304-2020</t>
        </is>
      </c>
      <c r="B342" s="1" t="n">
        <v>43937</v>
      </c>
      <c r="C342" s="1" t="n">
        <v>45569</v>
      </c>
      <c r="D342" t="inlineStr">
        <is>
          <t>JÄMTLANDS LÄN</t>
        </is>
      </c>
      <c r="E342" t="inlineStr">
        <is>
          <t>HÄRJEDALEN</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19506-2020</t>
        </is>
      </c>
      <c r="B343" s="1" t="n">
        <v>43938</v>
      </c>
      <c r="C343" s="1" t="n">
        <v>45569</v>
      </c>
      <c r="D343" t="inlineStr">
        <is>
          <t>JÄMTLANDS LÄN</t>
        </is>
      </c>
      <c r="E343" t="inlineStr">
        <is>
          <t>HÄRJEDALEN</t>
        </is>
      </c>
      <c r="F343" t="inlineStr">
        <is>
          <t>Sveaskog</t>
        </is>
      </c>
      <c r="G343" t="n">
        <v>6.8</v>
      </c>
      <c r="H343" t="n">
        <v>0</v>
      </c>
      <c r="I343" t="n">
        <v>0</v>
      </c>
      <c r="J343" t="n">
        <v>0</v>
      </c>
      <c r="K343" t="n">
        <v>0</v>
      </c>
      <c r="L343" t="n">
        <v>0</v>
      </c>
      <c r="M343" t="n">
        <v>0</v>
      </c>
      <c r="N343" t="n">
        <v>0</v>
      </c>
      <c r="O343" t="n">
        <v>0</v>
      </c>
      <c r="P343" t="n">
        <v>0</v>
      </c>
      <c r="Q343" t="n">
        <v>0</v>
      </c>
      <c r="R343" s="2" t="inlineStr"/>
    </row>
    <row r="344" ht="15" customHeight="1">
      <c r="A344" t="inlineStr">
        <is>
          <t>A 20781-2020</t>
        </is>
      </c>
      <c r="B344" s="1" t="n">
        <v>43949</v>
      </c>
      <c r="C344" s="1" t="n">
        <v>45569</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21537-2020</t>
        </is>
      </c>
      <c r="B345" s="1" t="n">
        <v>43956</v>
      </c>
      <c r="C345" s="1" t="n">
        <v>45569</v>
      </c>
      <c r="D345" t="inlineStr">
        <is>
          <t>JÄMTLANDS LÄN</t>
        </is>
      </c>
      <c r="E345" t="inlineStr">
        <is>
          <t>HÄRJEDALEN</t>
        </is>
      </c>
      <c r="G345" t="n">
        <v>4.3</v>
      </c>
      <c r="H345" t="n">
        <v>0</v>
      </c>
      <c r="I345" t="n">
        <v>0</v>
      </c>
      <c r="J345" t="n">
        <v>0</v>
      </c>
      <c r="K345" t="n">
        <v>0</v>
      </c>
      <c r="L345" t="n">
        <v>0</v>
      </c>
      <c r="M345" t="n">
        <v>0</v>
      </c>
      <c r="N345" t="n">
        <v>0</v>
      </c>
      <c r="O345" t="n">
        <v>0</v>
      </c>
      <c r="P345" t="n">
        <v>0</v>
      </c>
      <c r="Q345" t="n">
        <v>0</v>
      </c>
      <c r="R345" s="2" t="inlineStr"/>
    </row>
    <row r="346" ht="15" customHeight="1">
      <c r="A346" t="inlineStr">
        <is>
          <t>A 23082-2020</t>
        </is>
      </c>
      <c r="B346" s="1" t="n">
        <v>43964</v>
      </c>
      <c r="C346" s="1" t="n">
        <v>45569</v>
      </c>
      <c r="D346" t="inlineStr">
        <is>
          <t>JÄMTLANDS LÄN</t>
        </is>
      </c>
      <c r="E346" t="inlineStr">
        <is>
          <t>HÄRJEDALEN</t>
        </is>
      </c>
      <c r="G346" t="n">
        <v>2.1</v>
      </c>
      <c r="H346" t="n">
        <v>0</v>
      </c>
      <c r="I346" t="n">
        <v>0</v>
      </c>
      <c r="J346" t="n">
        <v>0</v>
      </c>
      <c r="K346" t="n">
        <v>0</v>
      </c>
      <c r="L346" t="n">
        <v>0</v>
      </c>
      <c r="M346" t="n">
        <v>0</v>
      </c>
      <c r="N346" t="n">
        <v>0</v>
      </c>
      <c r="O346" t="n">
        <v>0</v>
      </c>
      <c r="P346" t="n">
        <v>0</v>
      </c>
      <c r="Q346" t="n">
        <v>0</v>
      </c>
      <c r="R346" s="2" t="inlineStr"/>
    </row>
    <row r="347" ht="15" customHeight="1">
      <c r="A347" t="inlineStr">
        <is>
          <t>A 23310-2020</t>
        </is>
      </c>
      <c r="B347" s="1" t="n">
        <v>43966</v>
      </c>
      <c r="C347" s="1" t="n">
        <v>45569</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23174-2020</t>
        </is>
      </c>
      <c r="B348" s="1" t="n">
        <v>43966</v>
      </c>
      <c r="C348" s="1" t="n">
        <v>45569</v>
      </c>
      <c r="D348" t="inlineStr">
        <is>
          <t>JÄMTLANDS LÄN</t>
        </is>
      </c>
      <c r="E348" t="inlineStr">
        <is>
          <t>HÄRJEDALEN</t>
        </is>
      </c>
      <c r="G348" t="n">
        <v>2.9</v>
      </c>
      <c r="H348" t="n">
        <v>0</v>
      </c>
      <c r="I348" t="n">
        <v>0</v>
      </c>
      <c r="J348" t="n">
        <v>0</v>
      </c>
      <c r="K348" t="n">
        <v>0</v>
      </c>
      <c r="L348" t="n">
        <v>0</v>
      </c>
      <c r="M348" t="n">
        <v>0</v>
      </c>
      <c r="N348" t="n">
        <v>0</v>
      </c>
      <c r="O348" t="n">
        <v>0</v>
      </c>
      <c r="P348" t="n">
        <v>0</v>
      </c>
      <c r="Q348" t="n">
        <v>0</v>
      </c>
      <c r="R348" s="2" t="inlineStr"/>
    </row>
    <row r="349" ht="15" customHeight="1">
      <c r="A349" t="inlineStr">
        <is>
          <t>A 23560-2020</t>
        </is>
      </c>
      <c r="B349" s="1" t="n">
        <v>43969</v>
      </c>
      <c r="C349" s="1" t="n">
        <v>45569</v>
      </c>
      <c r="D349" t="inlineStr">
        <is>
          <t>JÄMTLANDS LÄN</t>
        </is>
      </c>
      <c r="E349" t="inlineStr">
        <is>
          <t>HÄRJEDALEN</t>
        </is>
      </c>
      <c r="G349" t="n">
        <v>1.7</v>
      </c>
      <c r="H349" t="n">
        <v>0</v>
      </c>
      <c r="I349" t="n">
        <v>0</v>
      </c>
      <c r="J349" t="n">
        <v>0</v>
      </c>
      <c r="K349" t="n">
        <v>0</v>
      </c>
      <c r="L349" t="n">
        <v>0</v>
      </c>
      <c r="M349" t="n">
        <v>0</v>
      </c>
      <c r="N349" t="n">
        <v>0</v>
      </c>
      <c r="O349" t="n">
        <v>0</v>
      </c>
      <c r="P349" t="n">
        <v>0</v>
      </c>
      <c r="Q349" t="n">
        <v>0</v>
      </c>
      <c r="R349" s="2" t="inlineStr"/>
    </row>
    <row r="350" ht="15" customHeight="1">
      <c r="A350" t="inlineStr">
        <is>
          <t>A 24077-2020</t>
        </is>
      </c>
      <c r="B350" s="1" t="n">
        <v>43972</v>
      </c>
      <c r="C350" s="1" t="n">
        <v>45569</v>
      </c>
      <c r="D350" t="inlineStr">
        <is>
          <t>JÄMTLANDS LÄN</t>
        </is>
      </c>
      <c r="E350" t="inlineStr">
        <is>
          <t>HÄRJEDALEN</t>
        </is>
      </c>
      <c r="F350" t="inlineStr">
        <is>
          <t>Sveaskog</t>
        </is>
      </c>
      <c r="G350" t="n">
        <v>9.6</v>
      </c>
      <c r="H350" t="n">
        <v>0</v>
      </c>
      <c r="I350" t="n">
        <v>0</v>
      </c>
      <c r="J350" t="n">
        <v>0</v>
      </c>
      <c r="K350" t="n">
        <v>0</v>
      </c>
      <c r="L350" t="n">
        <v>0</v>
      </c>
      <c r="M350" t="n">
        <v>0</v>
      </c>
      <c r="N350" t="n">
        <v>0</v>
      </c>
      <c r="O350" t="n">
        <v>0</v>
      </c>
      <c r="P350" t="n">
        <v>0</v>
      </c>
      <c r="Q350" t="n">
        <v>0</v>
      </c>
      <c r="R350" s="2" t="inlineStr"/>
    </row>
    <row r="351" ht="15" customHeight="1">
      <c r="A351" t="inlineStr">
        <is>
          <t>A 24127-2020</t>
        </is>
      </c>
      <c r="B351" s="1" t="n">
        <v>43973</v>
      </c>
      <c r="C351" s="1" t="n">
        <v>45569</v>
      </c>
      <c r="D351" t="inlineStr">
        <is>
          <t>JÄMTLANDS LÄN</t>
        </is>
      </c>
      <c r="E351" t="inlineStr">
        <is>
          <t>HÄRJEDALEN</t>
        </is>
      </c>
      <c r="G351" t="n">
        <v>4.6</v>
      </c>
      <c r="H351" t="n">
        <v>0</v>
      </c>
      <c r="I351" t="n">
        <v>0</v>
      </c>
      <c r="J351" t="n">
        <v>0</v>
      </c>
      <c r="K351" t="n">
        <v>0</v>
      </c>
      <c r="L351" t="n">
        <v>0</v>
      </c>
      <c r="M351" t="n">
        <v>0</v>
      </c>
      <c r="N351" t="n">
        <v>0</v>
      </c>
      <c r="O351" t="n">
        <v>0</v>
      </c>
      <c r="P351" t="n">
        <v>0</v>
      </c>
      <c r="Q351" t="n">
        <v>0</v>
      </c>
      <c r="R351" s="2" t="inlineStr"/>
    </row>
    <row r="352" ht="15" customHeight="1">
      <c r="A352" t="inlineStr">
        <is>
          <t>A 25240-2020</t>
        </is>
      </c>
      <c r="B352" s="1" t="n">
        <v>43980</v>
      </c>
      <c r="C352" s="1" t="n">
        <v>45569</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25341-2020</t>
        </is>
      </c>
      <c r="B353" s="1" t="n">
        <v>43980</v>
      </c>
      <c r="C353" s="1" t="n">
        <v>45569</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25232-2020</t>
        </is>
      </c>
      <c r="B354" s="1" t="n">
        <v>43980</v>
      </c>
      <c r="C354" s="1" t="n">
        <v>45569</v>
      </c>
      <c r="D354" t="inlineStr">
        <is>
          <t>JÄMTLANDS LÄN</t>
        </is>
      </c>
      <c r="E354" t="inlineStr">
        <is>
          <t>HÄRJEDALEN</t>
        </is>
      </c>
      <c r="G354" t="n">
        <v>14.9</v>
      </c>
      <c r="H354" t="n">
        <v>0</v>
      </c>
      <c r="I354" t="n">
        <v>0</v>
      </c>
      <c r="J354" t="n">
        <v>0</v>
      </c>
      <c r="K354" t="n">
        <v>0</v>
      </c>
      <c r="L354" t="n">
        <v>0</v>
      </c>
      <c r="M354" t="n">
        <v>0</v>
      </c>
      <c r="N354" t="n">
        <v>0</v>
      </c>
      <c r="O354" t="n">
        <v>0</v>
      </c>
      <c r="P354" t="n">
        <v>0</v>
      </c>
      <c r="Q354" t="n">
        <v>0</v>
      </c>
      <c r="R354" s="2" t="inlineStr"/>
    </row>
    <row r="355" ht="15" customHeight="1">
      <c r="A355" t="inlineStr">
        <is>
          <t>A 25238-2020</t>
        </is>
      </c>
      <c r="B355" s="1" t="n">
        <v>43980</v>
      </c>
      <c r="C355" s="1" t="n">
        <v>45569</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25236-2020</t>
        </is>
      </c>
      <c r="B356" s="1" t="n">
        <v>43980</v>
      </c>
      <c r="C356" s="1" t="n">
        <v>45569</v>
      </c>
      <c r="D356" t="inlineStr">
        <is>
          <t>JÄMTLANDS LÄN</t>
        </is>
      </c>
      <c r="E356" t="inlineStr">
        <is>
          <t>HÄRJEDALEN</t>
        </is>
      </c>
      <c r="G356" t="n">
        <v>2.2</v>
      </c>
      <c r="H356" t="n">
        <v>0</v>
      </c>
      <c r="I356" t="n">
        <v>0</v>
      </c>
      <c r="J356" t="n">
        <v>0</v>
      </c>
      <c r="K356" t="n">
        <v>0</v>
      </c>
      <c r="L356" t="n">
        <v>0</v>
      </c>
      <c r="M356" t="n">
        <v>0</v>
      </c>
      <c r="N356" t="n">
        <v>0</v>
      </c>
      <c r="O356" t="n">
        <v>0</v>
      </c>
      <c r="P356" t="n">
        <v>0</v>
      </c>
      <c r="Q356" t="n">
        <v>0</v>
      </c>
      <c r="R356" s="2" t="inlineStr"/>
    </row>
    <row r="357" ht="15" customHeight="1">
      <c r="A357" t="inlineStr">
        <is>
          <t>A 25779-2020</t>
        </is>
      </c>
      <c r="B357" s="1" t="n">
        <v>43984</v>
      </c>
      <c r="C357" s="1" t="n">
        <v>45569</v>
      </c>
      <c r="D357" t="inlineStr">
        <is>
          <t>JÄMTLANDS LÄN</t>
        </is>
      </c>
      <c r="E357" t="inlineStr">
        <is>
          <t>HÄRJEDALEN</t>
        </is>
      </c>
      <c r="G357" t="n">
        <v>22.2</v>
      </c>
      <c r="H357" t="n">
        <v>0</v>
      </c>
      <c r="I357" t="n">
        <v>0</v>
      </c>
      <c r="J357" t="n">
        <v>0</v>
      </c>
      <c r="K357" t="n">
        <v>0</v>
      </c>
      <c r="L357" t="n">
        <v>0</v>
      </c>
      <c r="M357" t="n">
        <v>0</v>
      </c>
      <c r="N357" t="n">
        <v>0</v>
      </c>
      <c r="O357" t="n">
        <v>0</v>
      </c>
      <c r="P357" t="n">
        <v>0</v>
      </c>
      <c r="Q357" t="n">
        <v>0</v>
      </c>
      <c r="R357" s="2" t="inlineStr"/>
    </row>
    <row r="358" ht="15" customHeight="1">
      <c r="A358" t="inlineStr">
        <is>
          <t>A 26056-2020</t>
        </is>
      </c>
      <c r="B358" s="1" t="n">
        <v>43984</v>
      </c>
      <c r="C358" s="1" t="n">
        <v>45569</v>
      </c>
      <c r="D358" t="inlineStr">
        <is>
          <t>JÄMTLANDS LÄN</t>
        </is>
      </c>
      <c r="E358" t="inlineStr">
        <is>
          <t>HÄRJEDALEN</t>
        </is>
      </c>
      <c r="G358" t="n">
        <v>53.1</v>
      </c>
      <c r="H358" t="n">
        <v>0</v>
      </c>
      <c r="I358" t="n">
        <v>0</v>
      </c>
      <c r="J358" t="n">
        <v>0</v>
      </c>
      <c r="K358" t="n">
        <v>0</v>
      </c>
      <c r="L358" t="n">
        <v>0</v>
      </c>
      <c r="M358" t="n">
        <v>0</v>
      </c>
      <c r="N358" t="n">
        <v>0</v>
      </c>
      <c r="O358" t="n">
        <v>0</v>
      </c>
      <c r="P358" t="n">
        <v>0</v>
      </c>
      <c r="Q358" t="n">
        <v>0</v>
      </c>
      <c r="R358" s="2" t="inlineStr"/>
    </row>
    <row r="359" ht="15" customHeight="1">
      <c r="A359" t="inlineStr">
        <is>
          <t>A 27854-2020</t>
        </is>
      </c>
      <c r="B359" s="1" t="n">
        <v>43994</v>
      </c>
      <c r="C359" s="1" t="n">
        <v>45569</v>
      </c>
      <c r="D359" t="inlineStr">
        <is>
          <t>JÄMTLANDS LÄN</t>
        </is>
      </c>
      <c r="E359" t="inlineStr">
        <is>
          <t>HÄRJEDALEN</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28543-2020</t>
        </is>
      </c>
      <c r="B360" s="1" t="n">
        <v>43999</v>
      </c>
      <c r="C360" s="1" t="n">
        <v>45569</v>
      </c>
      <c r="D360" t="inlineStr">
        <is>
          <t>JÄMTLANDS LÄN</t>
        </is>
      </c>
      <c r="E360" t="inlineStr">
        <is>
          <t>HÄRJEDALEN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29158-2020</t>
        </is>
      </c>
      <c r="B361" s="1" t="n">
        <v>44004</v>
      </c>
      <c r="C361" s="1" t="n">
        <v>45569</v>
      </c>
      <c r="D361" t="inlineStr">
        <is>
          <t>JÄMTLANDS LÄN</t>
        </is>
      </c>
      <c r="E361" t="inlineStr">
        <is>
          <t>HÄRJEDALEN</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29154-2020</t>
        </is>
      </c>
      <c r="B362" s="1" t="n">
        <v>44004</v>
      </c>
      <c r="C362" s="1" t="n">
        <v>45569</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30963-2020</t>
        </is>
      </c>
      <c r="B363" s="1" t="n">
        <v>44011</v>
      </c>
      <c r="C363" s="1" t="n">
        <v>45569</v>
      </c>
      <c r="D363" t="inlineStr">
        <is>
          <t>JÄMTLANDS LÄN</t>
        </is>
      </c>
      <c r="E363" t="inlineStr">
        <is>
          <t>HÄRJEDALEN</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30936-2020</t>
        </is>
      </c>
      <c r="B364" s="1" t="n">
        <v>44011</v>
      </c>
      <c r="C364" s="1" t="n">
        <v>45569</v>
      </c>
      <c r="D364" t="inlineStr">
        <is>
          <t>JÄMTLANDS LÄN</t>
        </is>
      </c>
      <c r="E364" t="inlineStr">
        <is>
          <t>HÄRJEDALEN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30940-2020</t>
        </is>
      </c>
      <c r="B365" s="1" t="n">
        <v>44011</v>
      </c>
      <c r="C365" s="1" t="n">
        <v>45569</v>
      </c>
      <c r="D365" t="inlineStr">
        <is>
          <t>JÄMTLANDS LÄN</t>
        </is>
      </c>
      <c r="E365" t="inlineStr">
        <is>
          <t>HÄRJEDALEN</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31264-2020</t>
        </is>
      </c>
      <c r="B366" s="1" t="n">
        <v>44012</v>
      </c>
      <c r="C366" s="1" t="n">
        <v>45569</v>
      </c>
      <c r="D366" t="inlineStr">
        <is>
          <t>JÄMTLANDS LÄN</t>
        </is>
      </c>
      <c r="E366" t="inlineStr">
        <is>
          <t>HÄRJEDALEN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31872-2020</t>
        </is>
      </c>
      <c r="B367" s="1" t="n">
        <v>44014</v>
      </c>
      <c r="C367" s="1" t="n">
        <v>45569</v>
      </c>
      <c r="D367" t="inlineStr">
        <is>
          <t>JÄMTLANDS LÄN</t>
        </is>
      </c>
      <c r="E367" t="inlineStr">
        <is>
          <t>HÄRJEDALEN</t>
        </is>
      </c>
      <c r="G367" t="n">
        <v>21.4</v>
      </c>
      <c r="H367" t="n">
        <v>0</v>
      </c>
      <c r="I367" t="n">
        <v>0</v>
      </c>
      <c r="J367" t="n">
        <v>0</v>
      </c>
      <c r="K367" t="n">
        <v>0</v>
      </c>
      <c r="L367" t="n">
        <v>0</v>
      </c>
      <c r="M367" t="n">
        <v>0</v>
      </c>
      <c r="N367" t="n">
        <v>0</v>
      </c>
      <c r="O367" t="n">
        <v>0</v>
      </c>
      <c r="P367" t="n">
        <v>0</v>
      </c>
      <c r="Q367" t="n">
        <v>0</v>
      </c>
      <c r="R367" s="2" t="inlineStr"/>
    </row>
    <row r="368" ht="15" customHeight="1">
      <c r="A368" t="inlineStr">
        <is>
          <t>A 31920-2020</t>
        </is>
      </c>
      <c r="B368" s="1" t="n">
        <v>44014</v>
      </c>
      <c r="C368" s="1" t="n">
        <v>45569</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33020-2020</t>
        </is>
      </c>
      <c r="B369" s="1" t="n">
        <v>44021</v>
      </c>
      <c r="C369" s="1" t="n">
        <v>45569</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33812-2020</t>
        </is>
      </c>
      <c r="B370" s="1" t="n">
        <v>44025</v>
      </c>
      <c r="C370" s="1" t="n">
        <v>45569</v>
      </c>
      <c r="D370" t="inlineStr">
        <is>
          <t>JÄMTLANDS LÄN</t>
        </is>
      </c>
      <c r="E370" t="inlineStr">
        <is>
          <t>HÄRJEDALEN</t>
        </is>
      </c>
      <c r="G370" t="n">
        <v>3.2</v>
      </c>
      <c r="H370" t="n">
        <v>0</v>
      </c>
      <c r="I370" t="n">
        <v>0</v>
      </c>
      <c r="J370" t="n">
        <v>0</v>
      </c>
      <c r="K370" t="n">
        <v>0</v>
      </c>
      <c r="L370" t="n">
        <v>0</v>
      </c>
      <c r="M370" t="n">
        <v>0</v>
      </c>
      <c r="N370" t="n">
        <v>0</v>
      </c>
      <c r="O370" t="n">
        <v>0</v>
      </c>
      <c r="P370" t="n">
        <v>0</v>
      </c>
      <c r="Q370" t="n">
        <v>0</v>
      </c>
      <c r="R370" s="2" t="inlineStr"/>
    </row>
    <row r="371" ht="15" customHeight="1">
      <c r="A371" t="inlineStr">
        <is>
          <t>A 33513-2020</t>
        </is>
      </c>
      <c r="B371" s="1" t="n">
        <v>44025</v>
      </c>
      <c r="C371" s="1" t="n">
        <v>45569</v>
      </c>
      <c r="D371" t="inlineStr">
        <is>
          <t>JÄMTLANDS LÄN</t>
        </is>
      </c>
      <c r="E371" t="inlineStr">
        <is>
          <t>HÄRJEDALEN</t>
        </is>
      </c>
      <c r="G371" t="n">
        <v>3.5</v>
      </c>
      <c r="H371" t="n">
        <v>0</v>
      </c>
      <c r="I371" t="n">
        <v>0</v>
      </c>
      <c r="J371" t="n">
        <v>0</v>
      </c>
      <c r="K371" t="n">
        <v>0</v>
      </c>
      <c r="L371" t="n">
        <v>0</v>
      </c>
      <c r="M371" t="n">
        <v>0</v>
      </c>
      <c r="N371" t="n">
        <v>0</v>
      </c>
      <c r="O371" t="n">
        <v>0</v>
      </c>
      <c r="P371" t="n">
        <v>0</v>
      </c>
      <c r="Q371" t="n">
        <v>0</v>
      </c>
      <c r="R371" s="2" t="inlineStr"/>
    </row>
    <row r="372" ht="15" customHeight="1">
      <c r="A372" t="inlineStr">
        <is>
          <t>A 33701-2020</t>
        </is>
      </c>
      <c r="B372" s="1" t="n">
        <v>44026</v>
      </c>
      <c r="C372" s="1" t="n">
        <v>45569</v>
      </c>
      <c r="D372" t="inlineStr">
        <is>
          <t>JÄMTLANDS LÄN</t>
        </is>
      </c>
      <c r="E372" t="inlineStr">
        <is>
          <t>HÄRJEDALEN</t>
        </is>
      </c>
      <c r="F372" t="inlineStr">
        <is>
          <t>Bergvik skog väst AB</t>
        </is>
      </c>
      <c r="G372" t="n">
        <v>7.2</v>
      </c>
      <c r="H372" t="n">
        <v>0</v>
      </c>
      <c r="I372" t="n">
        <v>0</v>
      </c>
      <c r="J372" t="n">
        <v>0</v>
      </c>
      <c r="K372" t="n">
        <v>0</v>
      </c>
      <c r="L372" t="n">
        <v>0</v>
      </c>
      <c r="M372" t="n">
        <v>0</v>
      </c>
      <c r="N372" t="n">
        <v>0</v>
      </c>
      <c r="O372" t="n">
        <v>0</v>
      </c>
      <c r="P372" t="n">
        <v>0</v>
      </c>
      <c r="Q372" t="n">
        <v>0</v>
      </c>
      <c r="R372" s="2" t="inlineStr"/>
    </row>
    <row r="373" ht="15" customHeight="1">
      <c r="A373" t="inlineStr">
        <is>
          <t>A 33942-2020</t>
        </is>
      </c>
      <c r="B373" s="1" t="n">
        <v>44028</v>
      </c>
      <c r="C373" s="1" t="n">
        <v>45569</v>
      </c>
      <c r="D373" t="inlineStr">
        <is>
          <t>JÄMTLANDS LÄN</t>
        </is>
      </c>
      <c r="E373" t="inlineStr">
        <is>
          <t>HÄRJEDALEN</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34191-2020</t>
        </is>
      </c>
      <c r="B374" s="1" t="n">
        <v>44029</v>
      </c>
      <c r="C374" s="1" t="n">
        <v>45569</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34894-2020</t>
        </is>
      </c>
      <c r="B375" s="1" t="n">
        <v>44036</v>
      </c>
      <c r="C375" s="1" t="n">
        <v>45569</v>
      </c>
      <c r="D375" t="inlineStr">
        <is>
          <t>JÄMTLANDS LÄN</t>
        </is>
      </c>
      <c r="E375" t="inlineStr">
        <is>
          <t>HÄRJEDALEN</t>
        </is>
      </c>
      <c r="G375" t="n">
        <v>4</v>
      </c>
      <c r="H375" t="n">
        <v>0</v>
      </c>
      <c r="I375" t="n">
        <v>0</v>
      </c>
      <c r="J375" t="n">
        <v>0</v>
      </c>
      <c r="K375" t="n">
        <v>0</v>
      </c>
      <c r="L375" t="n">
        <v>0</v>
      </c>
      <c r="M375" t="n">
        <v>0</v>
      </c>
      <c r="N375" t="n">
        <v>0</v>
      </c>
      <c r="O375" t="n">
        <v>0</v>
      </c>
      <c r="P375" t="n">
        <v>0</v>
      </c>
      <c r="Q375" t="n">
        <v>0</v>
      </c>
      <c r="R375" s="2" t="inlineStr"/>
    </row>
    <row r="376" ht="15" customHeight="1">
      <c r="A376" t="inlineStr">
        <is>
          <t>A 34900-2020</t>
        </is>
      </c>
      <c r="B376" s="1" t="n">
        <v>44036</v>
      </c>
      <c r="C376" s="1" t="n">
        <v>45569</v>
      </c>
      <c r="D376" t="inlineStr">
        <is>
          <t>JÄMTLANDS LÄN</t>
        </is>
      </c>
      <c r="E376" t="inlineStr">
        <is>
          <t>HÄRJEDALEN</t>
        </is>
      </c>
      <c r="G376" t="n">
        <v>13.1</v>
      </c>
      <c r="H376" t="n">
        <v>0</v>
      </c>
      <c r="I376" t="n">
        <v>0</v>
      </c>
      <c r="J376" t="n">
        <v>0</v>
      </c>
      <c r="K376" t="n">
        <v>0</v>
      </c>
      <c r="L376" t="n">
        <v>0</v>
      </c>
      <c r="M376" t="n">
        <v>0</v>
      </c>
      <c r="N376" t="n">
        <v>0</v>
      </c>
      <c r="O376" t="n">
        <v>0</v>
      </c>
      <c r="P376" t="n">
        <v>0</v>
      </c>
      <c r="Q376" t="n">
        <v>0</v>
      </c>
      <c r="R376" s="2" t="inlineStr"/>
    </row>
    <row r="377" ht="15" customHeight="1">
      <c r="A377" t="inlineStr">
        <is>
          <t>A 34975-2020</t>
        </is>
      </c>
      <c r="B377" s="1" t="n">
        <v>44039</v>
      </c>
      <c r="C377" s="1" t="n">
        <v>45569</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34963-2020</t>
        </is>
      </c>
      <c r="B378" s="1" t="n">
        <v>44039</v>
      </c>
      <c r="C378" s="1" t="n">
        <v>45569</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35160-2020</t>
        </is>
      </c>
      <c r="B379" s="1" t="n">
        <v>44040</v>
      </c>
      <c r="C379" s="1" t="n">
        <v>45569</v>
      </c>
      <c r="D379" t="inlineStr">
        <is>
          <t>JÄMTLANDS LÄN</t>
        </is>
      </c>
      <c r="E379" t="inlineStr">
        <is>
          <t>HÄRJEDALEN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35436-2020</t>
        </is>
      </c>
      <c r="B380" s="1" t="n">
        <v>44042</v>
      </c>
      <c r="C380" s="1" t="n">
        <v>45569</v>
      </c>
      <c r="D380" t="inlineStr">
        <is>
          <t>JÄMTLANDS LÄN</t>
        </is>
      </c>
      <c r="E380" t="inlineStr">
        <is>
          <t>HÄRJEDALEN</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35548-2020</t>
        </is>
      </c>
      <c r="B381" s="1" t="n">
        <v>44043</v>
      </c>
      <c r="C381" s="1" t="n">
        <v>45569</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36471-2020</t>
        </is>
      </c>
      <c r="B382" s="1" t="n">
        <v>44050</v>
      </c>
      <c r="C382" s="1" t="n">
        <v>45569</v>
      </c>
      <c r="D382" t="inlineStr">
        <is>
          <t>JÄMTLANDS LÄN</t>
        </is>
      </c>
      <c r="E382" t="inlineStr">
        <is>
          <t>HÄRJEDALEN</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36790-2020</t>
        </is>
      </c>
      <c r="B383" s="1" t="n">
        <v>44053</v>
      </c>
      <c r="C383" s="1" t="n">
        <v>45569</v>
      </c>
      <c r="D383" t="inlineStr">
        <is>
          <t>JÄMTLANDS LÄN</t>
        </is>
      </c>
      <c r="E383" t="inlineStr">
        <is>
          <t>HÄRJEDALEN</t>
        </is>
      </c>
      <c r="G383" t="n">
        <v>3.8</v>
      </c>
      <c r="H383" t="n">
        <v>0</v>
      </c>
      <c r="I383" t="n">
        <v>0</v>
      </c>
      <c r="J383" t="n">
        <v>0</v>
      </c>
      <c r="K383" t="n">
        <v>0</v>
      </c>
      <c r="L383" t="n">
        <v>0</v>
      </c>
      <c r="M383" t="n">
        <v>0</v>
      </c>
      <c r="N383" t="n">
        <v>0</v>
      </c>
      <c r="O383" t="n">
        <v>0</v>
      </c>
      <c r="P383" t="n">
        <v>0</v>
      </c>
      <c r="Q383" t="n">
        <v>0</v>
      </c>
      <c r="R383" s="2" t="inlineStr"/>
    </row>
    <row r="384" ht="15" customHeight="1">
      <c r="A384" t="inlineStr">
        <is>
          <t>A 37780-2020</t>
        </is>
      </c>
      <c r="B384" s="1" t="n">
        <v>44056</v>
      </c>
      <c r="C384" s="1" t="n">
        <v>45569</v>
      </c>
      <c r="D384" t="inlineStr">
        <is>
          <t>JÄMTLANDS LÄN</t>
        </is>
      </c>
      <c r="E384" t="inlineStr">
        <is>
          <t>HÄRJEDALEN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38044-2020</t>
        </is>
      </c>
      <c r="B385" s="1" t="n">
        <v>44057</v>
      </c>
      <c r="C385" s="1" t="n">
        <v>45569</v>
      </c>
      <c r="D385" t="inlineStr">
        <is>
          <t>JÄMTLANDS LÄN</t>
        </is>
      </c>
      <c r="E385" t="inlineStr">
        <is>
          <t>HÄRJEDALEN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38107-2020</t>
        </is>
      </c>
      <c r="B386" s="1" t="n">
        <v>44057</v>
      </c>
      <c r="C386" s="1" t="n">
        <v>45569</v>
      </c>
      <c r="D386" t="inlineStr">
        <is>
          <t>JÄMTLANDS LÄN</t>
        </is>
      </c>
      <c r="E386" t="inlineStr">
        <is>
          <t>HÄRJEDALEN</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38403-2020</t>
        </is>
      </c>
      <c r="B387" s="1" t="n">
        <v>44060</v>
      </c>
      <c r="C387" s="1" t="n">
        <v>45569</v>
      </c>
      <c r="D387" t="inlineStr">
        <is>
          <t>JÄMTLANDS LÄN</t>
        </is>
      </c>
      <c r="E387" t="inlineStr">
        <is>
          <t>HÄRJEDALEN</t>
        </is>
      </c>
      <c r="G387" t="n">
        <v>4.7</v>
      </c>
      <c r="H387" t="n">
        <v>0</v>
      </c>
      <c r="I387" t="n">
        <v>0</v>
      </c>
      <c r="J387" t="n">
        <v>0</v>
      </c>
      <c r="K387" t="n">
        <v>0</v>
      </c>
      <c r="L387" t="n">
        <v>0</v>
      </c>
      <c r="M387" t="n">
        <v>0</v>
      </c>
      <c r="N387" t="n">
        <v>0</v>
      </c>
      <c r="O387" t="n">
        <v>0</v>
      </c>
      <c r="P387" t="n">
        <v>0</v>
      </c>
      <c r="Q387" t="n">
        <v>0</v>
      </c>
      <c r="R387" s="2" t="inlineStr"/>
      <c r="U387">
        <f>HYPERLINK("https://klasma.github.io/Logging_2361/knärot/A 38403-2020 karta knärot.png", "A 38403-2020")</f>
        <v/>
      </c>
      <c r="V387">
        <f>HYPERLINK("https://klasma.github.io/Logging_2361/klagomål/A 38403-2020 FSC-klagomål.docx", "A 38403-2020")</f>
        <v/>
      </c>
      <c r="W387">
        <f>HYPERLINK("https://klasma.github.io/Logging_2361/klagomålsmail/A 38403-2020 FSC-klagomål mail.docx", "A 38403-2020")</f>
        <v/>
      </c>
      <c r="X387">
        <f>HYPERLINK("https://klasma.github.io/Logging_2361/tillsyn/A 38403-2020 tillsynsbegäran.docx", "A 38403-2020")</f>
        <v/>
      </c>
      <c r="Y387">
        <f>HYPERLINK("https://klasma.github.io/Logging_2361/tillsynsmail/A 38403-2020 tillsynsbegäran mail.docx", "A 38403-2020")</f>
        <v/>
      </c>
    </row>
    <row r="388" ht="15" customHeight="1">
      <c r="A388" t="inlineStr">
        <is>
          <t>A 42078-2020</t>
        </is>
      </c>
      <c r="B388" s="1" t="n">
        <v>44075</v>
      </c>
      <c r="C388" s="1" t="n">
        <v>45569</v>
      </c>
      <c r="D388" t="inlineStr">
        <is>
          <t>JÄMTLANDS LÄN</t>
        </is>
      </c>
      <c r="E388" t="inlineStr">
        <is>
          <t>HÄRJEDALEN</t>
        </is>
      </c>
      <c r="G388" t="n">
        <v>3.9</v>
      </c>
      <c r="H388" t="n">
        <v>0</v>
      </c>
      <c r="I388" t="n">
        <v>0</v>
      </c>
      <c r="J388" t="n">
        <v>0</v>
      </c>
      <c r="K388" t="n">
        <v>0</v>
      </c>
      <c r="L388" t="n">
        <v>0</v>
      </c>
      <c r="M388" t="n">
        <v>0</v>
      </c>
      <c r="N388" t="n">
        <v>0</v>
      </c>
      <c r="O388" t="n">
        <v>0</v>
      </c>
      <c r="P388" t="n">
        <v>0</v>
      </c>
      <c r="Q388" t="n">
        <v>0</v>
      </c>
      <c r="R388" s="2" t="inlineStr"/>
    </row>
    <row r="389" ht="15" customHeight="1">
      <c r="A389" t="inlineStr">
        <is>
          <t>A 43417-2020</t>
        </is>
      </c>
      <c r="B389" s="1" t="n">
        <v>44078</v>
      </c>
      <c r="C389" s="1" t="n">
        <v>45569</v>
      </c>
      <c r="D389" t="inlineStr">
        <is>
          <t>JÄMTLANDS LÄN</t>
        </is>
      </c>
      <c r="E389" t="inlineStr">
        <is>
          <t>HÄRJEDALEN</t>
        </is>
      </c>
      <c r="G389" t="n">
        <v>8</v>
      </c>
      <c r="H389" t="n">
        <v>0</v>
      </c>
      <c r="I389" t="n">
        <v>0</v>
      </c>
      <c r="J389" t="n">
        <v>0</v>
      </c>
      <c r="K389" t="n">
        <v>0</v>
      </c>
      <c r="L389" t="n">
        <v>0</v>
      </c>
      <c r="M389" t="n">
        <v>0</v>
      </c>
      <c r="N389" t="n">
        <v>0</v>
      </c>
      <c r="O389" t="n">
        <v>0</v>
      </c>
      <c r="P389" t="n">
        <v>0</v>
      </c>
      <c r="Q389" t="n">
        <v>0</v>
      </c>
      <c r="R389" s="2" t="inlineStr"/>
    </row>
    <row r="390" ht="15" customHeight="1">
      <c r="A390" t="inlineStr">
        <is>
          <t>A 43748-2020</t>
        </is>
      </c>
      <c r="B390" s="1" t="n">
        <v>44082</v>
      </c>
      <c r="C390" s="1" t="n">
        <v>45569</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43750-2020</t>
        </is>
      </c>
      <c r="B391" s="1" t="n">
        <v>44082</v>
      </c>
      <c r="C391" s="1" t="n">
        <v>45569</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44381-2020</t>
        </is>
      </c>
      <c r="B392" s="1" t="n">
        <v>44084</v>
      </c>
      <c r="C392" s="1" t="n">
        <v>45569</v>
      </c>
      <c r="D392" t="inlineStr">
        <is>
          <t>JÄMTLANDS LÄN</t>
        </is>
      </c>
      <c r="E392" t="inlineStr">
        <is>
          <t>HÄRJEDALEN</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45426-2020</t>
        </is>
      </c>
      <c r="B393" s="1" t="n">
        <v>44088</v>
      </c>
      <c r="C393" s="1" t="n">
        <v>45569</v>
      </c>
      <c r="D393" t="inlineStr">
        <is>
          <t>JÄMTLANDS LÄN</t>
        </is>
      </c>
      <c r="E393" t="inlineStr">
        <is>
          <t>HÄRJEDALEN</t>
        </is>
      </c>
      <c r="G393" t="n">
        <v>6.1</v>
      </c>
      <c r="H393" t="n">
        <v>0</v>
      </c>
      <c r="I393" t="n">
        <v>0</v>
      </c>
      <c r="J393" t="n">
        <v>0</v>
      </c>
      <c r="K393" t="n">
        <v>0</v>
      </c>
      <c r="L393" t="n">
        <v>0</v>
      </c>
      <c r="M393" t="n">
        <v>0</v>
      </c>
      <c r="N393" t="n">
        <v>0</v>
      </c>
      <c r="O393" t="n">
        <v>0</v>
      </c>
      <c r="P393" t="n">
        <v>0</v>
      </c>
      <c r="Q393" t="n">
        <v>0</v>
      </c>
      <c r="R393" s="2" t="inlineStr"/>
    </row>
    <row r="394" ht="15" customHeight="1">
      <c r="A394" t="inlineStr">
        <is>
          <t>A 45866-2020</t>
        </is>
      </c>
      <c r="B394" s="1" t="n">
        <v>44091</v>
      </c>
      <c r="C394" s="1" t="n">
        <v>45569</v>
      </c>
      <c r="D394" t="inlineStr">
        <is>
          <t>JÄMTLANDS LÄN</t>
        </is>
      </c>
      <c r="E394" t="inlineStr">
        <is>
          <t>HÄRJEDALEN</t>
        </is>
      </c>
      <c r="G394" t="n">
        <v>0.2</v>
      </c>
      <c r="H394" t="n">
        <v>0</v>
      </c>
      <c r="I394" t="n">
        <v>0</v>
      </c>
      <c r="J394" t="n">
        <v>0</v>
      </c>
      <c r="K394" t="n">
        <v>0</v>
      </c>
      <c r="L394" t="n">
        <v>0</v>
      </c>
      <c r="M394" t="n">
        <v>0</v>
      </c>
      <c r="N394" t="n">
        <v>0</v>
      </c>
      <c r="O394" t="n">
        <v>0</v>
      </c>
      <c r="P394" t="n">
        <v>0</v>
      </c>
      <c r="Q394" t="n">
        <v>0</v>
      </c>
      <c r="R394" s="2" t="inlineStr"/>
    </row>
    <row r="395" ht="15" customHeight="1">
      <c r="A395" t="inlineStr">
        <is>
          <t>A 46103-2020</t>
        </is>
      </c>
      <c r="B395" s="1" t="n">
        <v>44091</v>
      </c>
      <c r="C395" s="1" t="n">
        <v>45569</v>
      </c>
      <c r="D395" t="inlineStr">
        <is>
          <t>JÄMTLANDS LÄN</t>
        </is>
      </c>
      <c r="E395" t="inlineStr">
        <is>
          <t>HÄRJEDALEN</t>
        </is>
      </c>
      <c r="G395" t="n">
        <v>2.8</v>
      </c>
      <c r="H395" t="n">
        <v>0</v>
      </c>
      <c r="I395" t="n">
        <v>0</v>
      </c>
      <c r="J395" t="n">
        <v>0</v>
      </c>
      <c r="K395" t="n">
        <v>0</v>
      </c>
      <c r="L395" t="n">
        <v>0</v>
      </c>
      <c r="M395" t="n">
        <v>0</v>
      </c>
      <c r="N395" t="n">
        <v>0</v>
      </c>
      <c r="O395" t="n">
        <v>0</v>
      </c>
      <c r="P395" t="n">
        <v>0</v>
      </c>
      <c r="Q395" t="n">
        <v>0</v>
      </c>
      <c r="R395" s="2" t="inlineStr"/>
    </row>
    <row r="396" ht="15" customHeight="1">
      <c r="A396" t="inlineStr">
        <is>
          <t>A 46310-2020</t>
        </is>
      </c>
      <c r="B396" s="1" t="n">
        <v>44092</v>
      </c>
      <c r="C396" s="1" t="n">
        <v>45569</v>
      </c>
      <c r="D396" t="inlineStr">
        <is>
          <t>JÄMTLANDS LÄN</t>
        </is>
      </c>
      <c r="E396" t="inlineStr">
        <is>
          <t>HÄRJEDALEN</t>
        </is>
      </c>
      <c r="F396" t="inlineStr">
        <is>
          <t>Bergvik skog väst AB</t>
        </is>
      </c>
      <c r="G396" t="n">
        <v>26.6</v>
      </c>
      <c r="H396" t="n">
        <v>0</v>
      </c>
      <c r="I396" t="n">
        <v>0</v>
      </c>
      <c r="J396" t="n">
        <v>0</v>
      </c>
      <c r="K396" t="n">
        <v>0</v>
      </c>
      <c r="L396" t="n">
        <v>0</v>
      </c>
      <c r="M396" t="n">
        <v>0</v>
      </c>
      <c r="N396" t="n">
        <v>0</v>
      </c>
      <c r="O396" t="n">
        <v>0</v>
      </c>
      <c r="P396" t="n">
        <v>0</v>
      </c>
      <c r="Q396" t="n">
        <v>0</v>
      </c>
      <c r="R396" s="2" t="inlineStr"/>
    </row>
    <row r="397" ht="15" customHeight="1">
      <c r="A397" t="inlineStr">
        <is>
          <t>A 49430-2020</t>
        </is>
      </c>
      <c r="B397" s="1" t="n">
        <v>44102</v>
      </c>
      <c r="C397" s="1" t="n">
        <v>45569</v>
      </c>
      <c r="D397" t="inlineStr">
        <is>
          <t>JÄMTLANDS LÄN</t>
        </is>
      </c>
      <c r="E397" t="inlineStr">
        <is>
          <t>HÄRJEDALEN</t>
        </is>
      </c>
      <c r="G397" t="n">
        <v>8</v>
      </c>
      <c r="H397" t="n">
        <v>0</v>
      </c>
      <c r="I397" t="n">
        <v>0</v>
      </c>
      <c r="J397" t="n">
        <v>0</v>
      </c>
      <c r="K397" t="n">
        <v>0</v>
      </c>
      <c r="L397" t="n">
        <v>0</v>
      </c>
      <c r="M397" t="n">
        <v>0</v>
      </c>
      <c r="N397" t="n">
        <v>0</v>
      </c>
      <c r="O397" t="n">
        <v>0</v>
      </c>
      <c r="P397" t="n">
        <v>0</v>
      </c>
      <c r="Q397" t="n">
        <v>0</v>
      </c>
      <c r="R397" s="2" t="inlineStr"/>
    </row>
    <row r="398" ht="15" customHeight="1">
      <c r="A398" t="inlineStr">
        <is>
          <t>A 49447-2020</t>
        </is>
      </c>
      <c r="B398" s="1" t="n">
        <v>44102</v>
      </c>
      <c r="C398" s="1" t="n">
        <v>45569</v>
      </c>
      <c r="D398" t="inlineStr">
        <is>
          <t>JÄMTLANDS LÄN</t>
        </is>
      </c>
      <c r="E398" t="inlineStr">
        <is>
          <t>HÄRJEDALEN</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49248-2020</t>
        </is>
      </c>
      <c r="B399" s="1" t="n">
        <v>44105</v>
      </c>
      <c r="C399" s="1" t="n">
        <v>45569</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49246-2020</t>
        </is>
      </c>
      <c r="B400" s="1" t="n">
        <v>44105</v>
      </c>
      <c r="C400" s="1" t="n">
        <v>45569</v>
      </c>
      <c r="D400" t="inlineStr">
        <is>
          <t>JÄMTLANDS LÄN</t>
        </is>
      </c>
      <c r="E400" t="inlineStr">
        <is>
          <t>HÄRJEDALEN</t>
        </is>
      </c>
      <c r="G400" t="n">
        <v>3.7</v>
      </c>
      <c r="H400" t="n">
        <v>0</v>
      </c>
      <c r="I400" t="n">
        <v>0</v>
      </c>
      <c r="J400" t="n">
        <v>0</v>
      </c>
      <c r="K400" t="n">
        <v>0</v>
      </c>
      <c r="L400" t="n">
        <v>0</v>
      </c>
      <c r="M400" t="n">
        <v>0</v>
      </c>
      <c r="N400" t="n">
        <v>0</v>
      </c>
      <c r="O400" t="n">
        <v>0</v>
      </c>
      <c r="P400" t="n">
        <v>0</v>
      </c>
      <c r="Q400" t="n">
        <v>0</v>
      </c>
      <c r="R400" s="2" t="inlineStr"/>
    </row>
    <row r="401" ht="15" customHeight="1">
      <c r="A401" t="inlineStr">
        <is>
          <t>A 49903-2020</t>
        </is>
      </c>
      <c r="B401" s="1" t="n">
        <v>44108</v>
      </c>
      <c r="C401" s="1" t="n">
        <v>45569</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50018-2020</t>
        </is>
      </c>
      <c r="B402" s="1" t="n">
        <v>44109</v>
      </c>
      <c r="C402" s="1" t="n">
        <v>45569</v>
      </c>
      <c r="D402" t="inlineStr">
        <is>
          <t>JÄMTLANDS LÄN</t>
        </is>
      </c>
      <c r="E402" t="inlineStr">
        <is>
          <t>HÄRJEDALEN</t>
        </is>
      </c>
      <c r="F402" t="inlineStr">
        <is>
          <t>Bergvik skog väst AB</t>
        </is>
      </c>
      <c r="G402" t="n">
        <v>7.1</v>
      </c>
      <c r="H402" t="n">
        <v>0</v>
      </c>
      <c r="I402" t="n">
        <v>0</v>
      </c>
      <c r="J402" t="n">
        <v>0</v>
      </c>
      <c r="K402" t="n">
        <v>0</v>
      </c>
      <c r="L402" t="n">
        <v>0</v>
      </c>
      <c r="M402" t="n">
        <v>0</v>
      </c>
      <c r="N402" t="n">
        <v>0</v>
      </c>
      <c r="O402" t="n">
        <v>0</v>
      </c>
      <c r="P402" t="n">
        <v>0</v>
      </c>
      <c r="Q402" t="n">
        <v>0</v>
      </c>
      <c r="R402" s="2" t="inlineStr"/>
    </row>
    <row r="403" ht="15" customHeight="1">
      <c r="A403" t="inlineStr">
        <is>
          <t>A 54481-2020</t>
        </is>
      </c>
      <c r="B403" s="1" t="n">
        <v>44126</v>
      </c>
      <c r="C403" s="1" t="n">
        <v>45569</v>
      </c>
      <c r="D403" t="inlineStr">
        <is>
          <t>JÄMTLANDS LÄN</t>
        </is>
      </c>
      <c r="E403" t="inlineStr">
        <is>
          <t>HÄRJEDALEN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54537-2020</t>
        </is>
      </c>
      <c r="B404" s="1" t="n">
        <v>44126</v>
      </c>
      <c r="C404" s="1" t="n">
        <v>45569</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54593-2020</t>
        </is>
      </c>
      <c r="B405" s="1" t="n">
        <v>44126</v>
      </c>
      <c r="C405" s="1" t="n">
        <v>45569</v>
      </c>
      <c r="D405" t="inlineStr">
        <is>
          <t>JÄMTLANDS LÄN</t>
        </is>
      </c>
      <c r="E405" t="inlineStr">
        <is>
          <t>HÄRJEDALEN</t>
        </is>
      </c>
      <c r="G405" t="n">
        <v>6.5</v>
      </c>
      <c r="H405" t="n">
        <v>0</v>
      </c>
      <c r="I405" t="n">
        <v>0</v>
      </c>
      <c r="J405" t="n">
        <v>0</v>
      </c>
      <c r="K405" t="n">
        <v>0</v>
      </c>
      <c r="L405" t="n">
        <v>0</v>
      </c>
      <c r="M405" t="n">
        <v>0</v>
      </c>
      <c r="N405" t="n">
        <v>0</v>
      </c>
      <c r="O405" t="n">
        <v>0</v>
      </c>
      <c r="P405" t="n">
        <v>0</v>
      </c>
      <c r="Q405" t="n">
        <v>0</v>
      </c>
      <c r="R405" s="2" t="inlineStr"/>
    </row>
    <row r="406" ht="15" customHeight="1">
      <c r="A406" t="inlineStr">
        <is>
          <t>A 54716-2020</t>
        </is>
      </c>
      <c r="B406" s="1" t="n">
        <v>44127</v>
      </c>
      <c r="C406" s="1" t="n">
        <v>45569</v>
      </c>
      <c r="D406" t="inlineStr">
        <is>
          <t>JÄMTLANDS LÄN</t>
        </is>
      </c>
      <c r="E406" t="inlineStr">
        <is>
          <t>HÄRJEDALEN</t>
        </is>
      </c>
      <c r="F406" t="inlineStr">
        <is>
          <t>Kyrkan</t>
        </is>
      </c>
      <c r="G406" t="n">
        <v>21.3</v>
      </c>
      <c r="H406" t="n">
        <v>0</v>
      </c>
      <c r="I406" t="n">
        <v>0</v>
      </c>
      <c r="J406" t="n">
        <v>0</v>
      </c>
      <c r="K406" t="n">
        <v>0</v>
      </c>
      <c r="L406" t="n">
        <v>0</v>
      </c>
      <c r="M406" t="n">
        <v>0</v>
      </c>
      <c r="N406" t="n">
        <v>0</v>
      </c>
      <c r="O406" t="n">
        <v>0</v>
      </c>
      <c r="P406" t="n">
        <v>0</v>
      </c>
      <c r="Q406" t="n">
        <v>0</v>
      </c>
      <c r="R406" s="2" t="inlineStr"/>
    </row>
    <row r="407" ht="15" customHeight="1">
      <c r="A407" t="inlineStr">
        <is>
          <t>A 55834-2020</t>
        </is>
      </c>
      <c r="B407" s="1" t="n">
        <v>44132</v>
      </c>
      <c r="C407" s="1" t="n">
        <v>45569</v>
      </c>
      <c r="D407" t="inlineStr">
        <is>
          <t>JÄMTLANDS LÄN</t>
        </is>
      </c>
      <c r="E407" t="inlineStr">
        <is>
          <t>HÄRJEDALEN</t>
        </is>
      </c>
      <c r="G407" t="n">
        <v>2.8</v>
      </c>
      <c r="H407" t="n">
        <v>0</v>
      </c>
      <c r="I407" t="n">
        <v>0</v>
      </c>
      <c r="J407" t="n">
        <v>0</v>
      </c>
      <c r="K407" t="n">
        <v>0</v>
      </c>
      <c r="L407" t="n">
        <v>0</v>
      </c>
      <c r="M407" t="n">
        <v>0</v>
      </c>
      <c r="N407" t="n">
        <v>0</v>
      </c>
      <c r="O407" t="n">
        <v>0</v>
      </c>
      <c r="P407" t="n">
        <v>0</v>
      </c>
      <c r="Q407" t="n">
        <v>0</v>
      </c>
      <c r="R407" s="2" t="inlineStr"/>
    </row>
    <row r="408" ht="15" customHeight="1">
      <c r="A408" t="inlineStr">
        <is>
          <t>A 56001-2020</t>
        </is>
      </c>
      <c r="B408" s="1" t="n">
        <v>44133</v>
      </c>
      <c r="C408" s="1" t="n">
        <v>45569</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57196-2020</t>
        </is>
      </c>
      <c r="B409" s="1" t="n">
        <v>44139</v>
      </c>
      <c r="C409" s="1" t="n">
        <v>45569</v>
      </c>
      <c r="D409" t="inlineStr">
        <is>
          <t>JÄMTLANDS LÄN</t>
        </is>
      </c>
      <c r="E409" t="inlineStr">
        <is>
          <t>HÄRJEDALEN</t>
        </is>
      </c>
      <c r="G409" t="n">
        <v>15.1</v>
      </c>
      <c r="H409" t="n">
        <v>0</v>
      </c>
      <c r="I409" t="n">
        <v>0</v>
      </c>
      <c r="J409" t="n">
        <v>0</v>
      </c>
      <c r="K409" t="n">
        <v>0</v>
      </c>
      <c r="L409" t="n">
        <v>0</v>
      </c>
      <c r="M409" t="n">
        <v>0</v>
      </c>
      <c r="N409" t="n">
        <v>0</v>
      </c>
      <c r="O409" t="n">
        <v>0</v>
      </c>
      <c r="P409" t="n">
        <v>0</v>
      </c>
      <c r="Q409" t="n">
        <v>0</v>
      </c>
      <c r="R409" s="2" t="inlineStr"/>
    </row>
    <row r="410" ht="15" customHeight="1">
      <c r="A410" t="inlineStr">
        <is>
          <t>A 59533-2020</t>
        </is>
      </c>
      <c r="B410" s="1" t="n">
        <v>44148</v>
      </c>
      <c r="C410" s="1" t="n">
        <v>45569</v>
      </c>
      <c r="D410" t="inlineStr">
        <is>
          <t>JÄMTLANDS LÄN</t>
        </is>
      </c>
      <c r="E410" t="inlineStr">
        <is>
          <t>HÄRJEDALEN</t>
        </is>
      </c>
      <c r="F410" t="inlineStr">
        <is>
          <t>Holmen skog AB</t>
        </is>
      </c>
      <c r="G410" t="n">
        <v>38.3</v>
      </c>
      <c r="H410" t="n">
        <v>0</v>
      </c>
      <c r="I410" t="n">
        <v>0</v>
      </c>
      <c r="J410" t="n">
        <v>0</v>
      </c>
      <c r="K410" t="n">
        <v>0</v>
      </c>
      <c r="L410" t="n">
        <v>0</v>
      </c>
      <c r="M410" t="n">
        <v>0</v>
      </c>
      <c r="N410" t="n">
        <v>0</v>
      </c>
      <c r="O410" t="n">
        <v>0</v>
      </c>
      <c r="P410" t="n">
        <v>0</v>
      </c>
      <c r="Q410" t="n">
        <v>0</v>
      </c>
      <c r="R410" s="2" t="inlineStr"/>
    </row>
    <row r="411" ht="15" customHeight="1">
      <c r="A411" t="inlineStr">
        <is>
          <t>A 60087-2020</t>
        </is>
      </c>
      <c r="B411" s="1" t="n">
        <v>44151</v>
      </c>
      <c r="C411" s="1" t="n">
        <v>45569</v>
      </c>
      <c r="D411" t="inlineStr">
        <is>
          <t>JÄMTLANDS LÄN</t>
        </is>
      </c>
      <c r="E411" t="inlineStr">
        <is>
          <t>HÄRJEDALEN</t>
        </is>
      </c>
      <c r="G411" t="n">
        <v>9.4</v>
      </c>
      <c r="H411" t="n">
        <v>0</v>
      </c>
      <c r="I411" t="n">
        <v>0</v>
      </c>
      <c r="J411" t="n">
        <v>0</v>
      </c>
      <c r="K411" t="n">
        <v>0</v>
      </c>
      <c r="L411" t="n">
        <v>0</v>
      </c>
      <c r="M411" t="n">
        <v>0</v>
      </c>
      <c r="N411" t="n">
        <v>0</v>
      </c>
      <c r="O411" t="n">
        <v>0</v>
      </c>
      <c r="P411" t="n">
        <v>0</v>
      </c>
      <c r="Q411" t="n">
        <v>0</v>
      </c>
      <c r="R411" s="2" t="inlineStr"/>
    </row>
    <row r="412" ht="15" customHeight="1">
      <c r="A412" t="inlineStr">
        <is>
          <t>A 60424-2020</t>
        </is>
      </c>
      <c r="B412" s="1" t="n">
        <v>44153</v>
      </c>
      <c r="C412" s="1" t="n">
        <v>45569</v>
      </c>
      <c r="D412" t="inlineStr">
        <is>
          <t>JÄMTLANDS LÄN</t>
        </is>
      </c>
      <c r="E412" t="inlineStr">
        <is>
          <t>HÄRJEDALEN</t>
        </is>
      </c>
      <c r="F412" t="inlineStr">
        <is>
          <t>Holmen skog AB</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60429-2020</t>
        </is>
      </c>
      <c r="B413" s="1" t="n">
        <v>44153</v>
      </c>
      <c r="C413" s="1" t="n">
        <v>45569</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60606-2020</t>
        </is>
      </c>
      <c r="B414" s="1" t="n">
        <v>44153</v>
      </c>
      <c r="C414" s="1" t="n">
        <v>45569</v>
      </c>
      <c r="D414" t="inlineStr">
        <is>
          <t>JÄMTLANDS LÄN</t>
        </is>
      </c>
      <c r="E414" t="inlineStr">
        <is>
          <t>HÄRJEDALEN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60422-2020</t>
        </is>
      </c>
      <c r="B415" s="1" t="n">
        <v>44153</v>
      </c>
      <c r="C415" s="1" t="n">
        <v>45569</v>
      </c>
      <c r="D415" t="inlineStr">
        <is>
          <t>JÄMTLANDS LÄN</t>
        </is>
      </c>
      <c r="E415" t="inlineStr">
        <is>
          <t>HÄRJEDALEN</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60836-2020</t>
        </is>
      </c>
      <c r="B416" s="1" t="n">
        <v>44154</v>
      </c>
      <c r="C416" s="1" t="n">
        <v>45569</v>
      </c>
      <c r="D416" t="inlineStr">
        <is>
          <t>JÄMTLANDS LÄN</t>
        </is>
      </c>
      <c r="E416" t="inlineStr">
        <is>
          <t>HÄRJEDALEN</t>
        </is>
      </c>
      <c r="G416" t="n">
        <v>2.5</v>
      </c>
      <c r="H416" t="n">
        <v>0</v>
      </c>
      <c r="I416" t="n">
        <v>0</v>
      </c>
      <c r="J416" t="n">
        <v>0</v>
      </c>
      <c r="K416" t="n">
        <v>0</v>
      </c>
      <c r="L416" t="n">
        <v>0</v>
      </c>
      <c r="M416" t="n">
        <v>0</v>
      </c>
      <c r="N416" t="n">
        <v>0</v>
      </c>
      <c r="O416" t="n">
        <v>0</v>
      </c>
      <c r="P416" t="n">
        <v>0</v>
      </c>
      <c r="Q416" t="n">
        <v>0</v>
      </c>
      <c r="R416" s="2" t="inlineStr"/>
    </row>
    <row r="417" ht="15" customHeight="1">
      <c r="A417" t="inlineStr">
        <is>
          <t>A 60794-2020</t>
        </is>
      </c>
      <c r="B417" s="1" t="n">
        <v>44154</v>
      </c>
      <c r="C417" s="1" t="n">
        <v>45569</v>
      </c>
      <c r="D417" t="inlineStr">
        <is>
          <t>JÄMTLANDS LÄN</t>
        </is>
      </c>
      <c r="E417" t="inlineStr">
        <is>
          <t>HÄRJEDALEN</t>
        </is>
      </c>
      <c r="F417" t="inlineStr">
        <is>
          <t>Holmen skog AB</t>
        </is>
      </c>
      <c r="G417" t="n">
        <v>5.5</v>
      </c>
      <c r="H417" t="n">
        <v>0</v>
      </c>
      <c r="I417" t="n">
        <v>0</v>
      </c>
      <c r="J417" t="n">
        <v>0</v>
      </c>
      <c r="K417" t="n">
        <v>0</v>
      </c>
      <c r="L417" t="n">
        <v>0</v>
      </c>
      <c r="M417" t="n">
        <v>0</v>
      </c>
      <c r="N417" t="n">
        <v>0</v>
      </c>
      <c r="O417" t="n">
        <v>0</v>
      </c>
      <c r="P417" t="n">
        <v>0</v>
      </c>
      <c r="Q417" t="n">
        <v>0</v>
      </c>
      <c r="R417" s="2" t="inlineStr"/>
    </row>
    <row r="418" ht="15" customHeight="1">
      <c r="A418" t="inlineStr">
        <is>
          <t>A 61232-2020</t>
        </is>
      </c>
      <c r="B418" s="1" t="n">
        <v>44155</v>
      </c>
      <c r="C418" s="1" t="n">
        <v>45569</v>
      </c>
      <c r="D418" t="inlineStr">
        <is>
          <t>JÄMTLANDS LÄN</t>
        </is>
      </c>
      <c r="E418" t="inlineStr">
        <is>
          <t>HÄRJEDALEN</t>
        </is>
      </c>
      <c r="G418" t="n">
        <v>8.5</v>
      </c>
      <c r="H418" t="n">
        <v>0</v>
      </c>
      <c r="I418" t="n">
        <v>0</v>
      </c>
      <c r="J418" t="n">
        <v>0</v>
      </c>
      <c r="K418" t="n">
        <v>0</v>
      </c>
      <c r="L418" t="n">
        <v>0</v>
      </c>
      <c r="M418" t="n">
        <v>0</v>
      </c>
      <c r="N418" t="n">
        <v>0</v>
      </c>
      <c r="O418" t="n">
        <v>0</v>
      </c>
      <c r="P418" t="n">
        <v>0</v>
      </c>
      <c r="Q418" t="n">
        <v>0</v>
      </c>
      <c r="R418" s="2" t="inlineStr"/>
    </row>
    <row r="419" ht="15" customHeight="1">
      <c r="A419" t="inlineStr">
        <is>
          <t>A 63133-2020</t>
        </is>
      </c>
      <c r="B419" s="1" t="n">
        <v>44162</v>
      </c>
      <c r="C419" s="1" t="n">
        <v>45569</v>
      </c>
      <c r="D419" t="inlineStr">
        <is>
          <t>JÄMTLANDS LÄN</t>
        </is>
      </c>
      <c r="E419" t="inlineStr">
        <is>
          <t>HÄRJEDALEN</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64281-2020</t>
        </is>
      </c>
      <c r="B420" s="1" t="n">
        <v>44166</v>
      </c>
      <c r="C420" s="1" t="n">
        <v>45569</v>
      </c>
      <c r="D420" t="inlineStr">
        <is>
          <t>JÄMTLANDS LÄN</t>
        </is>
      </c>
      <c r="E420" t="inlineStr">
        <is>
          <t>HÄRJEDALEN</t>
        </is>
      </c>
      <c r="F420" t="inlineStr">
        <is>
          <t>Övriga statliga verk och myndigheter</t>
        </is>
      </c>
      <c r="G420" t="n">
        <v>4.1</v>
      </c>
      <c r="H420" t="n">
        <v>0</v>
      </c>
      <c r="I420" t="n">
        <v>0</v>
      </c>
      <c r="J420" t="n">
        <v>0</v>
      </c>
      <c r="K420" t="n">
        <v>0</v>
      </c>
      <c r="L420" t="n">
        <v>0</v>
      </c>
      <c r="M420" t="n">
        <v>0</v>
      </c>
      <c r="N420" t="n">
        <v>0</v>
      </c>
      <c r="O420" t="n">
        <v>0</v>
      </c>
      <c r="P420" t="n">
        <v>0</v>
      </c>
      <c r="Q420" t="n">
        <v>0</v>
      </c>
      <c r="R420" s="2" t="inlineStr"/>
    </row>
    <row r="421" ht="15" customHeight="1">
      <c r="A421" t="inlineStr">
        <is>
          <t>A 64300-2020</t>
        </is>
      </c>
      <c r="B421" s="1" t="n">
        <v>44166</v>
      </c>
      <c r="C421" s="1" t="n">
        <v>45569</v>
      </c>
      <c r="D421" t="inlineStr">
        <is>
          <t>JÄMTLANDS LÄN</t>
        </is>
      </c>
      <c r="E421" t="inlineStr">
        <is>
          <t>HÄRJEDALEN</t>
        </is>
      </c>
      <c r="F421" t="inlineStr">
        <is>
          <t>Övriga statliga verk och myndigheter</t>
        </is>
      </c>
      <c r="G421" t="n">
        <v>58</v>
      </c>
      <c r="H421" t="n">
        <v>0</v>
      </c>
      <c r="I421" t="n">
        <v>0</v>
      </c>
      <c r="J421" t="n">
        <v>0</v>
      </c>
      <c r="K421" t="n">
        <v>0</v>
      </c>
      <c r="L421" t="n">
        <v>0</v>
      </c>
      <c r="M421" t="n">
        <v>0</v>
      </c>
      <c r="N421" t="n">
        <v>0</v>
      </c>
      <c r="O421" t="n">
        <v>0</v>
      </c>
      <c r="P421" t="n">
        <v>0</v>
      </c>
      <c r="Q421" t="n">
        <v>0</v>
      </c>
      <c r="R421" s="2" t="inlineStr"/>
    </row>
    <row r="422" ht="15" customHeight="1">
      <c r="A422" t="inlineStr">
        <is>
          <t>A 63949-2020</t>
        </is>
      </c>
      <c r="B422" s="1" t="n">
        <v>44167</v>
      </c>
      <c r="C422" s="1" t="n">
        <v>45569</v>
      </c>
      <c r="D422" t="inlineStr">
        <is>
          <t>JÄMTLANDS LÄN</t>
        </is>
      </c>
      <c r="E422" t="inlineStr">
        <is>
          <t>HÄRJEDALEN</t>
        </is>
      </c>
      <c r="F422" t="inlineStr">
        <is>
          <t>Bergvik skog väst AB</t>
        </is>
      </c>
      <c r="G422" t="n">
        <v>10.8</v>
      </c>
      <c r="H422" t="n">
        <v>0</v>
      </c>
      <c r="I422" t="n">
        <v>0</v>
      </c>
      <c r="J422" t="n">
        <v>0</v>
      </c>
      <c r="K422" t="n">
        <v>0</v>
      </c>
      <c r="L422" t="n">
        <v>0</v>
      </c>
      <c r="M422" t="n">
        <v>0</v>
      </c>
      <c r="N422" t="n">
        <v>0</v>
      </c>
      <c r="O422" t="n">
        <v>0</v>
      </c>
      <c r="P422" t="n">
        <v>0</v>
      </c>
      <c r="Q422" t="n">
        <v>0</v>
      </c>
      <c r="R422" s="2" t="inlineStr"/>
    </row>
    <row r="423" ht="15" customHeight="1">
      <c r="A423" t="inlineStr">
        <is>
          <t>A 63979-2020</t>
        </is>
      </c>
      <c r="B423" s="1" t="n">
        <v>44167</v>
      </c>
      <c r="C423" s="1" t="n">
        <v>45569</v>
      </c>
      <c r="D423" t="inlineStr">
        <is>
          <t>JÄMTLANDS LÄN</t>
        </is>
      </c>
      <c r="E423" t="inlineStr">
        <is>
          <t>HÄRJEDALEN</t>
        </is>
      </c>
      <c r="G423" t="n">
        <v>10</v>
      </c>
      <c r="H423" t="n">
        <v>0</v>
      </c>
      <c r="I423" t="n">
        <v>0</v>
      </c>
      <c r="J423" t="n">
        <v>0</v>
      </c>
      <c r="K423" t="n">
        <v>0</v>
      </c>
      <c r="L423" t="n">
        <v>0</v>
      </c>
      <c r="M423" t="n">
        <v>0</v>
      </c>
      <c r="N423" t="n">
        <v>0</v>
      </c>
      <c r="O423" t="n">
        <v>0</v>
      </c>
      <c r="P423" t="n">
        <v>0</v>
      </c>
      <c r="Q423" t="n">
        <v>0</v>
      </c>
      <c r="R423" s="2" t="inlineStr"/>
    </row>
    <row r="424" ht="15" customHeight="1">
      <c r="A424" t="inlineStr">
        <is>
          <t>A 64539-2020</t>
        </is>
      </c>
      <c r="B424" s="1" t="n">
        <v>44169</v>
      </c>
      <c r="C424" s="1" t="n">
        <v>45569</v>
      </c>
      <c r="D424" t="inlineStr">
        <is>
          <t>JÄMTLANDS LÄN</t>
        </is>
      </c>
      <c r="E424" t="inlineStr">
        <is>
          <t>HÄRJEDALEN</t>
        </is>
      </c>
      <c r="G424" t="n">
        <v>5.6</v>
      </c>
      <c r="H424" t="n">
        <v>0</v>
      </c>
      <c r="I424" t="n">
        <v>0</v>
      </c>
      <c r="J424" t="n">
        <v>0</v>
      </c>
      <c r="K424" t="n">
        <v>0</v>
      </c>
      <c r="L424" t="n">
        <v>0</v>
      </c>
      <c r="M424" t="n">
        <v>0</v>
      </c>
      <c r="N424" t="n">
        <v>0</v>
      </c>
      <c r="O424" t="n">
        <v>0</v>
      </c>
      <c r="P424" t="n">
        <v>0</v>
      </c>
      <c r="Q424" t="n">
        <v>0</v>
      </c>
      <c r="R424" s="2" t="inlineStr"/>
    </row>
    <row r="425" ht="15" customHeight="1">
      <c r="A425" t="inlineStr">
        <is>
          <t>A 64579-2020</t>
        </is>
      </c>
      <c r="B425" s="1" t="n">
        <v>44169</v>
      </c>
      <c r="C425" s="1" t="n">
        <v>45569</v>
      </c>
      <c r="D425" t="inlineStr">
        <is>
          <t>JÄMTLANDS LÄN</t>
        </is>
      </c>
      <c r="E425" t="inlineStr">
        <is>
          <t>HÄRJEDALEN</t>
        </is>
      </c>
      <c r="G425" t="n">
        <v>12.4</v>
      </c>
      <c r="H425" t="n">
        <v>0</v>
      </c>
      <c r="I425" t="n">
        <v>0</v>
      </c>
      <c r="J425" t="n">
        <v>0</v>
      </c>
      <c r="K425" t="n">
        <v>0</v>
      </c>
      <c r="L425" t="n">
        <v>0</v>
      </c>
      <c r="M425" t="n">
        <v>0</v>
      </c>
      <c r="N425" t="n">
        <v>0</v>
      </c>
      <c r="O425" t="n">
        <v>0</v>
      </c>
      <c r="P425" t="n">
        <v>0</v>
      </c>
      <c r="Q425" t="n">
        <v>0</v>
      </c>
      <c r="R425" s="2" t="inlineStr"/>
    </row>
    <row r="426" ht="15" customHeight="1">
      <c r="A426" t="inlineStr">
        <is>
          <t>A 65817-2020</t>
        </is>
      </c>
      <c r="B426" s="1" t="n">
        <v>44174</v>
      </c>
      <c r="C426" s="1" t="n">
        <v>45569</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66276-2020</t>
        </is>
      </c>
      <c r="B427" s="1" t="n">
        <v>44174</v>
      </c>
      <c r="C427" s="1" t="n">
        <v>45569</v>
      </c>
      <c r="D427" t="inlineStr">
        <is>
          <t>JÄMTLANDS LÄN</t>
        </is>
      </c>
      <c r="E427" t="inlineStr">
        <is>
          <t>HÄRJEDALEN</t>
        </is>
      </c>
      <c r="G427" t="n">
        <v>4</v>
      </c>
      <c r="H427" t="n">
        <v>0</v>
      </c>
      <c r="I427" t="n">
        <v>0</v>
      </c>
      <c r="J427" t="n">
        <v>0</v>
      </c>
      <c r="K427" t="n">
        <v>0</v>
      </c>
      <c r="L427" t="n">
        <v>0</v>
      </c>
      <c r="M427" t="n">
        <v>0</v>
      </c>
      <c r="N427" t="n">
        <v>0</v>
      </c>
      <c r="O427" t="n">
        <v>0</v>
      </c>
      <c r="P427" t="n">
        <v>0</v>
      </c>
      <c r="Q427" t="n">
        <v>0</v>
      </c>
      <c r="R427" s="2" t="inlineStr"/>
    </row>
    <row r="428" ht="15" customHeight="1">
      <c r="A428" t="inlineStr">
        <is>
          <t>A 66720-2020</t>
        </is>
      </c>
      <c r="B428" s="1" t="n">
        <v>44179</v>
      </c>
      <c r="C428" s="1" t="n">
        <v>45569</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67099-2020</t>
        </is>
      </c>
      <c r="B429" s="1" t="n">
        <v>44180</v>
      </c>
      <c r="C429" s="1" t="n">
        <v>45569</v>
      </c>
      <c r="D429" t="inlineStr">
        <is>
          <t>JÄMTLANDS LÄN</t>
        </is>
      </c>
      <c r="E429" t="inlineStr">
        <is>
          <t>HÄRJEDALEN</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67156-2020</t>
        </is>
      </c>
      <c r="B430" s="1" t="n">
        <v>44180</v>
      </c>
      <c r="C430" s="1" t="n">
        <v>45569</v>
      </c>
      <c r="D430" t="inlineStr">
        <is>
          <t>JÄMTLANDS LÄN</t>
        </is>
      </c>
      <c r="E430" t="inlineStr">
        <is>
          <t>HÄRJEDALEN</t>
        </is>
      </c>
      <c r="F430" t="inlineStr">
        <is>
          <t>Holmen skog AB</t>
        </is>
      </c>
      <c r="G430" t="n">
        <v>7.3</v>
      </c>
      <c r="H430" t="n">
        <v>0</v>
      </c>
      <c r="I430" t="n">
        <v>0</v>
      </c>
      <c r="J430" t="n">
        <v>0</v>
      </c>
      <c r="K430" t="n">
        <v>0</v>
      </c>
      <c r="L430" t="n">
        <v>0</v>
      </c>
      <c r="M430" t="n">
        <v>0</v>
      </c>
      <c r="N430" t="n">
        <v>0</v>
      </c>
      <c r="O430" t="n">
        <v>0</v>
      </c>
      <c r="P430" t="n">
        <v>0</v>
      </c>
      <c r="Q430" t="n">
        <v>0</v>
      </c>
      <c r="R430" s="2" t="inlineStr"/>
    </row>
    <row r="431" ht="15" customHeight="1">
      <c r="A431" t="inlineStr">
        <is>
          <t>A 67110-2020</t>
        </is>
      </c>
      <c r="B431" s="1" t="n">
        <v>44180</v>
      </c>
      <c r="C431" s="1" t="n">
        <v>45569</v>
      </c>
      <c r="D431" t="inlineStr">
        <is>
          <t>JÄMTLANDS LÄN</t>
        </is>
      </c>
      <c r="E431" t="inlineStr">
        <is>
          <t>HÄRJEDALEN</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67182-2020</t>
        </is>
      </c>
      <c r="B432" s="1" t="n">
        <v>44180</v>
      </c>
      <c r="C432" s="1" t="n">
        <v>45569</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67194-2020</t>
        </is>
      </c>
      <c r="B433" s="1" t="n">
        <v>44180</v>
      </c>
      <c r="C433" s="1" t="n">
        <v>45569</v>
      </c>
      <c r="D433" t="inlineStr">
        <is>
          <t>JÄMTLANDS LÄN</t>
        </is>
      </c>
      <c r="E433" t="inlineStr">
        <is>
          <t>HÄRJEDALEN</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67180-2020</t>
        </is>
      </c>
      <c r="B434" s="1" t="n">
        <v>44180</v>
      </c>
      <c r="C434" s="1" t="n">
        <v>45569</v>
      </c>
      <c r="D434" t="inlineStr">
        <is>
          <t>JÄMTLANDS LÄN</t>
        </is>
      </c>
      <c r="E434" t="inlineStr">
        <is>
          <t>HÄRJEDALEN</t>
        </is>
      </c>
      <c r="G434" t="n">
        <v>0</v>
      </c>
      <c r="H434" t="n">
        <v>0</v>
      </c>
      <c r="I434" t="n">
        <v>0</v>
      </c>
      <c r="J434" t="n">
        <v>0</v>
      </c>
      <c r="K434" t="n">
        <v>0</v>
      </c>
      <c r="L434" t="n">
        <v>0</v>
      </c>
      <c r="M434" t="n">
        <v>0</v>
      </c>
      <c r="N434" t="n">
        <v>0</v>
      </c>
      <c r="O434" t="n">
        <v>0</v>
      </c>
      <c r="P434" t="n">
        <v>0</v>
      </c>
      <c r="Q434" t="n">
        <v>0</v>
      </c>
      <c r="R434" s="2" t="inlineStr"/>
    </row>
    <row r="435" ht="15" customHeight="1">
      <c r="A435" t="inlineStr">
        <is>
          <t>A 67106-2020</t>
        </is>
      </c>
      <c r="B435" s="1" t="n">
        <v>44180</v>
      </c>
      <c r="C435" s="1" t="n">
        <v>45569</v>
      </c>
      <c r="D435" t="inlineStr">
        <is>
          <t>JÄMTLANDS LÄN</t>
        </is>
      </c>
      <c r="E435" t="inlineStr">
        <is>
          <t>HÄRJEDALEN</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67457-2020</t>
        </is>
      </c>
      <c r="B436" s="1" t="n">
        <v>44181</v>
      </c>
      <c r="C436" s="1" t="n">
        <v>45569</v>
      </c>
      <c r="D436" t="inlineStr">
        <is>
          <t>JÄMTLANDS LÄN</t>
        </is>
      </c>
      <c r="E436" t="inlineStr">
        <is>
          <t>HÄRJEDALEN</t>
        </is>
      </c>
      <c r="F436" t="inlineStr">
        <is>
          <t>Holmen skog AB</t>
        </is>
      </c>
      <c r="G436" t="n">
        <v>30</v>
      </c>
      <c r="H436" t="n">
        <v>0</v>
      </c>
      <c r="I436" t="n">
        <v>0</v>
      </c>
      <c r="J436" t="n">
        <v>0</v>
      </c>
      <c r="K436" t="n">
        <v>0</v>
      </c>
      <c r="L436" t="n">
        <v>0</v>
      </c>
      <c r="M436" t="n">
        <v>0</v>
      </c>
      <c r="N436" t="n">
        <v>0</v>
      </c>
      <c r="O436" t="n">
        <v>0</v>
      </c>
      <c r="P436" t="n">
        <v>0</v>
      </c>
      <c r="Q436" t="n">
        <v>0</v>
      </c>
      <c r="R436" s="2" t="inlineStr"/>
    </row>
    <row r="437" ht="15" customHeight="1">
      <c r="A437" t="inlineStr">
        <is>
          <t>A 67522-2020</t>
        </is>
      </c>
      <c r="B437" s="1" t="n">
        <v>44181</v>
      </c>
      <c r="C437" s="1" t="n">
        <v>45569</v>
      </c>
      <c r="D437" t="inlineStr">
        <is>
          <t>JÄMTLANDS LÄN</t>
        </is>
      </c>
      <c r="E437" t="inlineStr">
        <is>
          <t>HÄRJEDALEN</t>
        </is>
      </c>
      <c r="F437" t="inlineStr">
        <is>
          <t>Holmen skog AB</t>
        </is>
      </c>
      <c r="G437" t="n">
        <v>7.7</v>
      </c>
      <c r="H437" t="n">
        <v>0</v>
      </c>
      <c r="I437" t="n">
        <v>0</v>
      </c>
      <c r="J437" t="n">
        <v>0</v>
      </c>
      <c r="K437" t="n">
        <v>0</v>
      </c>
      <c r="L437" t="n">
        <v>0</v>
      </c>
      <c r="M437" t="n">
        <v>0</v>
      </c>
      <c r="N437" t="n">
        <v>0</v>
      </c>
      <c r="O437" t="n">
        <v>0</v>
      </c>
      <c r="P437" t="n">
        <v>0</v>
      </c>
      <c r="Q437" t="n">
        <v>0</v>
      </c>
      <c r="R437" s="2" t="inlineStr"/>
    </row>
    <row r="438" ht="15" customHeight="1">
      <c r="A438" t="inlineStr">
        <is>
          <t>A 67416-2020</t>
        </is>
      </c>
      <c r="B438" s="1" t="n">
        <v>44181</v>
      </c>
      <c r="C438" s="1" t="n">
        <v>45569</v>
      </c>
      <c r="D438" t="inlineStr">
        <is>
          <t>JÄMTLANDS LÄN</t>
        </is>
      </c>
      <c r="E438" t="inlineStr">
        <is>
          <t>HÄRJEDALEN</t>
        </is>
      </c>
      <c r="F438" t="inlineStr">
        <is>
          <t>Holmen skog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67445-2020</t>
        </is>
      </c>
      <c r="B439" s="1" t="n">
        <v>44181</v>
      </c>
      <c r="C439" s="1" t="n">
        <v>45569</v>
      </c>
      <c r="D439" t="inlineStr">
        <is>
          <t>JÄMTLANDS LÄN</t>
        </is>
      </c>
      <c r="E439" t="inlineStr">
        <is>
          <t>HÄRJEDALEN</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67459-2020</t>
        </is>
      </c>
      <c r="B440" s="1" t="n">
        <v>44181</v>
      </c>
      <c r="C440" s="1" t="n">
        <v>45569</v>
      </c>
      <c r="D440" t="inlineStr">
        <is>
          <t>JÄMTLANDS LÄN</t>
        </is>
      </c>
      <c r="E440" t="inlineStr">
        <is>
          <t>HÄRJEDALEN</t>
        </is>
      </c>
      <c r="F440" t="inlineStr">
        <is>
          <t>Holmen skog AB</t>
        </is>
      </c>
      <c r="G440" t="n">
        <v>17.7</v>
      </c>
      <c r="H440" t="n">
        <v>0</v>
      </c>
      <c r="I440" t="n">
        <v>0</v>
      </c>
      <c r="J440" t="n">
        <v>0</v>
      </c>
      <c r="K440" t="n">
        <v>0</v>
      </c>
      <c r="L440" t="n">
        <v>0</v>
      </c>
      <c r="M440" t="n">
        <v>0</v>
      </c>
      <c r="N440" t="n">
        <v>0</v>
      </c>
      <c r="O440" t="n">
        <v>0</v>
      </c>
      <c r="P440" t="n">
        <v>0</v>
      </c>
      <c r="Q440" t="n">
        <v>0</v>
      </c>
      <c r="R440" s="2" t="inlineStr"/>
    </row>
    <row r="441" ht="15" customHeight="1">
      <c r="A441" t="inlineStr">
        <is>
          <t>A 67529-2020</t>
        </is>
      </c>
      <c r="B441" s="1" t="n">
        <v>44181</v>
      </c>
      <c r="C441" s="1" t="n">
        <v>45569</v>
      </c>
      <c r="D441" t="inlineStr">
        <is>
          <t>JÄMTLANDS LÄN</t>
        </is>
      </c>
      <c r="E441" t="inlineStr">
        <is>
          <t>HÄRJEDALEN</t>
        </is>
      </c>
      <c r="F441" t="inlineStr">
        <is>
          <t>Holmen skog AB</t>
        </is>
      </c>
      <c r="G441" t="n">
        <v>5.4</v>
      </c>
      <c r="H441" t="n">
        <v>0</v>
      </c>
      <c r="I441" t="n">
        <v>0</v>
      </c>
      <c r="J441" t="n">
        <v>0</v>
      </c>
      <c r="K441" t="n">
        <v>0</v>
      </c>
      <c r="L441" t="n">
        <v>0</v>
      </c>
      <c r="M441" t="n">
        <v>0</v>
      </c>
      <c r="N441" t="n">
        <v>0</v>
      </c>
      <c r="O441" t="n">
        <v>0</v>
      </c>
      <c r="P441" t="n">
        <v>0</v>
      </c>
      <c r="Q441" t="n">
        <v>0</v>
      </c>
      <c r="R441" s="2" t="inlineStr"/>
    </row>
    <row r="442" ht="15" customHeight="1">
      <c r="A442" t="inlineStr">
        <is>
          <t>A 67411-2020</t>
        </is>
      </c>
      <c r="B442" s="1" t="n">
        <v>44181</v>
      </c>
      <c r="C442" s="1" t="n">
        <v>45569</v>
      </c>
      <c r="D442" t="inlineStr">
        <is>
          <t>JÄMTLANDS LÄN</t>
        </is>
      </c>
      <c r="E442" t="inlineStr">
        <is>
          <t>HÄRJEDALEN</t>
        </is>
      </c>
      <c r="F442" t="inlineStr">
        <is>
          <t>Holmen skog AB</t>
        </is>
      </c>
      <c r="G442" t="n">
        <v>5.9</v>
      </c>
      <c r="H442" t="n">
        <v>0</v>
      </c>
      <c r="I442" t="n">
        <v>0</v>
      </c>
      <c r="J442" t="n">
        <v>0</v>
      </c>
      <c r="K442" t="n">
        <v>0</v>
      </c>
      <c r="L442" t="n">
        <v>0</v>
      </c>
      <c r="M442" t="n">
        <v>0</v>
      </c>
      <c r="N442" t="n">
        <v>0</v>
      </c>
      <c r="O442" t="n">
        <v>0</v>
      </c>
      <c r="P442" t="n">
        <v>0</v>
      </c>
      <c r="Q442" t="n">
        <v>0</v>
      </c>
      <c r="R442" s="2" t="inlineStr"/>
    </row>
    <row r="443" ht="15" customHeight="1">
      <c r="A443" t="inlineStr">
        <is>
          <t>A 67438-2020</t>
        </is>
      </c>
      <c r="B443" s="1" t="n">
        <v>44181</v>
      </c>
      <c r="C443" s="1" t="n">
        <v>45569</v>
      </c>
      <c r="D443" t="inlineStr">
        <is>
          <t>JÄMTLANDS LÄN</t>
        </is>
      </c>
      <c r="E443" t="inlineStr">
        <is>
          <t>HÄRJEDALEN</t>
        </is>
      </c>
      <c r="F443" t="inlineStr">
        <is>
          <t>Holmen skog AB</t>
        </is>
      </c>
      <c r="G443" t="n">
        <v>5.6</v>
      </c>
      <c r="H443" t="n">
        <v>0</v>
      </c>
      <c r="I443" t="n">
        <v>0</v>
      </c>
      <c r="J443" t="n">
        <v>0</v>
      </c>
      <c r="K443" t="n">
        <v>0</v>
      </c>
      <c r="L443" t="n">
        <v>0</v>
      </c>
      <c r="M443" t="n">
        <v>0</v>
      </c>
      <c r="N443" t="n">
        <v>0</v>
      </c>
      <c r="O443" t="n">
        <v>0</v>
      </c>
      <c r="P443" t="n">
        <v>0</v>
      </c>
      <c r="Q443" t="n">
        <v>0</v>
      </c>
      <c r="R443" s="2" t="inlineStr"/>
    </row>
    <row r="444" ht="15" customHeight="1">
      <c r="A444" t="inlineStr">
        <is>
          <t>A 67447-2020</t>
        </is>
      </c>
      <c r="B444" s="1" t="n">
        <v>44181</v>
      </c>
      <c r="C444" s="1" t="n">
        <v>45569</v>
      </c>
      <c r="D444" t="inlineStr">
        <is>
          <t>JÄMTLANDS LÄN</t>
        </is>
      </c>
      <c r="E444" t="inlineStr">
        <is>
          <t>HÄRJEDALEN</t>
        </is>
      </c>
      <c r="F444" t="inlineStr">
        <is>
          <t>Holmen skog AB</t>
        </is>
      </c>
      <c r="G444" t="n">
        <v>8.6</v>
      </c>
      <c r="H444" t="n">
        <v>0</v>
      </c>
      <c r="I444" t="n">
        <v>0</v>
      </c>
      <c r="J444" t="n">
        <v>0</v>
      </c>
      <c r="K444" t="n">
        <v>0</v>
      </c>
      <c r="L444" t="n">
        <v>0</v>
      </c>
      <c r="M444" t="n">
        <v>0</v>
      </c>
      <c r="N444" t="n">
        <v>0</v>
      </c>
      <c r="O444" t="n">
        <v>0</v>
      </c>
      <c r="P444" t="n">
        <v>0</v>
      </c>
      <c r="Q444" t="n">
        <v>0</v>
      </c>
      <c r="R444" s="2" t="inlineStr"/>
    </row>
    <row r="445" ht="15" customHeight="1">
      <c r="A445" t="inlineStr">
        <is>
          <t>A 67454-2020</t>
        </is>
      </c>
      <c r="B445" s="1" t="n">
        <v>44181</v>
      </c>
      <c r="C445" s="1" t="n">
        <v>45569</v>
      </c>
      <c r="D445" t="inlineStr">
        <is>
          <t>JÄMTLANDS LÄN</t>
        </is>
      </c>
      <c r="E445" t="inlineStr">
        <is>
          <t>HÄRJEDALEN</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67498-2020</t>
        </is>
      </c>
      <c r="B446" s="1" t="n">
        <v>44181</v>
      </c>
      <c r="C446" s="1" t="n">
        <v>45569</v>
      </c>
      <c r="D446" t="inlineStr">
        <is>
          <t>JÄMTLANDS LÄN</t>
        </is>
      </c>
      <c r="E446" t="inlineStr">
        <is>
          <t>HÄRJEDALEN</t>
        </is>
      </c>
      <c r="F446" t="inlineStr">
        <is>
          <t>Holmen skog AB</t>
        </is>
      </c>
      <c r="G446" t="n">
        <v>15.9</v>
      </c>
      <c r="H446" t="n">
        <v>0</v>
      </c>
      <c r="I446" t="n">
        <v>0</v>
      </c>
      <c r="J446" t="n">
        <v>0</v>
      </c>
      <c r="K446" t="n">
        <v>0</v>
      </c>
      <c r="L446" t="n">
        <v>0</v>
      </c>
      <c r="M446" t="n">
        <v>0</v>
      </c>
      <c r="N446" t="n">
        <v>0</v>
      </c>
      <c r="O446" t="n">
        <v>0</v>
      </c>
      <c r="P446" t="n">
        <v>0</v>
      </c>
      <c r="Q446" t="n">
        <v>0</v>
      </c>
      <c r="R446" s="2" t="inlineStr"/>
    </row>
    <row r="447" ht="15" customHeight="1">
      <c r="A447" t="inlineStr">
        <is>
          <t>A 67507-2020</t>
        </is>
      </c>
      <c r="B447" s="1" t="n">
        <v>44181</v>
      </c>
      <c r="C447" s="1" t="n">
        <v>45569</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67526-2020</t>
        </is>
      </c>
      <c r="B448" s="1" t="n">
        <v>44181</v>
      </c>
      <c r="C448" s="1" t="n">
        <v>45569</v>
      </c>
      <c r="D448" t="inlineStr">
        <is>
          <t>JÄMTLANDS LÄN</t>
        </is>
      </c>
      <c r="E448" t="inlineStr">
        <is>
          <t>HÄRJEDALEN</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67409-2020</t>
        </is>
      </c>
      <c r="B449" s="1" t="n">
        <v>44181</v>
      </c>
      <c r="C449" s="1" t="n">
        <v>45569</v>
      </c>
      <c r="D449" t="inlineStr">
        <is>
          <t>JÄMTLANDS LÄN</t>
        </is>
      </c>
      <c r="E449" t="inlineStr">
        <is>
          <t>HÄRJEDALEN</t>
        </is>
      </c>
      <c r="F449" t="inlineStr">
        <is>
          <t>Holmen skog AB</t>
        </is>
      </c>
      <c r="G449" t="n">
        <v>3.1</v>
      </c>
      <c r="H449" t="n">
        <v>0</v>
      </c>
      <c r="I449" t="n">
        <v>0</v>
      </c>
      <c r="J449" t="n">
        <v>0</v>
      </c>
      <c r="K449" t="n">
        <v>0</v>
      </c>
      <c r="L449" t="n">
        <v>0</v>
      </c>
      <c r="M449" t="n">
        <v>0</v>
      </c>
      <c r="N449" t="n">
        <v>0</v>
      </c>
      <c r="O449" t="n">
        <v>0</v>
      </c>
      <c r="P449" t="n">
        <v>0</v>
      </c>
      <c r="Q449" t="n">
        <v>0</v>
      </c>
      <c r="R449" s="2" t="inlineStr"/>
    </row>
    <row r="450" ht="15" customHeight="1">
      <c r="A450" t="inlineStr">
        <is>
          <t>A 67720-2020</t>
        </is>
      </c>
      <c r="B450" s="1" t="n">
        <v>44182</v>
      </c>
      <c r="C450" s="1" t="n">
        <v>45569</v>
      </c>
      <c r="D450" t="inlineStr">
        <is>
          <t>JÄMTLANDS LÄN</t>
        </is>
      </c>
      <c r="E450" t="inlineStr">
        <is>
          <t>HÄRJEDALEN</t>
        </is>
      </c>
      <c r="F450" t="inlineStr">
        <is>
          <t>Holmen skog AB</t>
        </is>
      </c>
      <c r="G450" t="n">
        <v>6</v>
      </c>
      <c r="H450" t="n">
        <v>0</v>
      </c>
      <c r="I450" t="n">
        <v>0</v>
      </c>
      <c r="J450" t="n">
        <v>0</v>
      </c>
      <c r="K450" t="n">
        <v>0</v>
      </c>
      <c r="L450" t="n">
        <v>0</v>
      </c>
      <c r="M450" t="n">
        <v>0</v>
      </c>
      <c r="N450" t="n">
        <v>0</v>
      </c>
      <c r="O450" t="n">
        <v>0</v>
      </c>
      <c r="P450" t="n">
        <v>0</v>
      </c>
      <c r="Q450" t="n">
        <v>0</v>
      </c>
      <c r="R450" s="2" t="inlineStr"/>
    </row>
    <row r="451" ht="15" customHeight="1">
      <c r="A451" t="inlineStr">
        <is>
          <t>A 67697-2020</t>
        </is>
      </c>
      <c r="B451" s="1" t="n">
        <v>44182</v>
      </c>
      <c r="C451" s="1" t="n">
        <v>45569</v>
      </c>
      <c r="D451" t="inlineStr">
        <is>
          <t>JÄMTLANDS LÄN</t>
        </is>
      </c>
      <c r="E451" t="inlineStr">
        <is>
          <t>HÄRJEDALEN</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67714-2020</t>
        </is>
      </c>
      <c r="B452" s="1" t="n">
        <v>44182</v>
      </c>
      <c r="C452" s="1" t="n">
        <v>45569</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67821-2020</t>
        </is>
      </c>
      <c r="B453" s="1" t="n">
        <v>44182</v>
      </c>
      <c r="C453" s="1" t="n">
        <v>45569</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68141-2020</t>
        </is>
      </c>
      <c r="B454" s="1" t="n">
        <v>44183</v>
      </c>
      <c r="C454" s="1" t="n">
        <v>45569</v>
      </c>
      <c r="D454" t="inlineStr">
        <is>
          <t>JÄMTLANDS LÄN</t>
        </is>
      </c>
      <c r="E454" t="inlineStr">
        <is>
          <t>HÄRJEDALEN</t>
        </is>
      </c>
      <c r="G454" t="n">
        <v>3.1</v>
      </c>
      <c r="H454" t="n">
        <v>0</v>
      </c>
      <c r="I454" t="n">
        <v>0</v>
      </c>
      <c r="J454" t="n">
        <v>0</v>
      </c>
      <c r="K454" t="n">
        <v>0</v>
      </c>
      <c r="L454" t="n">
        <v>0</v>
      </c>
      <c r="M454" t="n">
        <v>0</v>
      </c>
      <c r="N454" t="n">
        <v>0</v>
      </c>
      <c r="O454" t="n">
        <v>0</v>
      </c>
      <c r="P454" t="n">
        <v>0</v>
      </c>
      <c r="Q454" t="n">
        <v>0</v>
      </c>
      <c r="R454" s="2" t="inlineStr"/>
    </row>
    <row r="455" ht="15" customHeight="1">
      <c r="A455" t="inlineStr">
        <is>
          <t>A 69108-2020</t>
        </is>
      </c>
      <c r="B455" s="1" t="n">
        <v>44188</v>
      </c>
      <c r="C455" s="1" t="n">
        <v>45569</v>
      </c>
      <c r="D455" t="inlineStr">
        <is>
          <t>JÄMTLANDS LÄN</t>
        </is>
      </c>
      <c r="E455" t="inlineStr">
        <is>
          <t>HÄRJEDALEN</t>
        </is>
      </c>
      <c r="G455" t="n">
        <v>0.9</v>
      </c>
      <c r="H455" t="n">
        <v>0</v>
      </c>
      <c r="I455" t="n">
        <v>0</v>
      </c>
      <c r="J455" t="n">
        <v>0</v>
      </c>
      <c r="K455" t="n">
        <v>0</v>
      </c>
      <c r="L455" t="n">
        <v>0</v>
      </c>
      <c r="M455" t="n">
        <v>0</v>
      </c>
      <c r="N455" t="n">
        <v>0</v>
      </c>
      <c r="O455" t="n">
        <v>0</v>
      </c>
      <c r="P455" t="n">
        <v>0</v>
      </c>
      <c r="Q455" t="n">
        <v>0</v>
      </c>
      <c r="R455" s="2" t="inlineStr"/>
    </row>
    <row r="456" ht="15" customHeight="1">
      <c r="A456" t="inlineStr">
        <is>
          <t>A 69168-2020</t>
        </is>
      </c>
      <c r="B456" s="1" t="n">
        <v>44188</v>
      </c>
      <c r="C456" s="1" t="n">
        <v>45569</v>
      </c>
      <c r="D456" t="inlineStr">
        <is>
          <t>JÄMTLANDS LÄN</t>
        </is>
      </c>
      <c r="E456" t="inlineStr">
        <is>
          <t>HÄRJEDALEN</t>
        </is>
      </c>
      <c r="F456" t="inlineStr">
        <is>
          <t>Sveaskog</t>
        </is>
      </c>
      <c r="G456" t="n">
        <v>20</v>
      </c>
      <c r="H456" t="n">
        <v>0</v>
      </c>
      <c r="I456" t="n">
        <v>0</v>
      </c>
      <c r="J456" t="n">
        <v>0</v>
      </c>
      <c r="K456" t="n">
        <v>0</v>
      </c>
      <c r="L456" t="n">
        <v>0</v>
      </c>
      <c r="M456" t="n">
        <v>0</v>
      </c>
      <c r="N456" t="n">
        <v>0</v>
      </c>
      <c r="O456" t="n">
        <v>0</v>
      </c>
      <c r="P456" t="n">
        <v>0</v>
      </c>
      <c r="Q456" t="n">
        <v>0</v>
      </c>
      <c r="R456" s="2" t="inlineStr"/>
    </row>
    <row r="457" ht="15" customHeight="1">
      <c r="A457" t="inlineStr">
        <is>
          <t>A 69101-2020</t>
        </is>
      </c>
      <c r="B457" s="1" t="n">
        <v>44188</v>
      </c>
      <c r="C457" s="1" t="n">
        <v>45569</v>
      </c>
      <c r="D457" t="inlineStr">
        <is>
          <t>JÄMTLANDS LÄN</t>
        </is>
      </c>
      <c r="E457" t="inlineStr">
        <is>
          <t>HÄRJEDALEN</t>
        </is>
      </c>
      <c r="G457" t="n">
        <v>3.1</v>
      </c>
      <c r="H457" t="n">
        <v>0</v>
      </c>
      <c r="I457" t="n">
        <v>0</v>
      </c>
      <c r="J457" t="n">
        <v>0</v>
      </c>
      <c r="K457" t="n">
        <v>0</v>
      </c>
      <c r="L457" t="n">
        <v>0</v>
      </c>
      <c r="M457" t="n">
        <v>0</v>
      </c>
      <c r="N457" t="n">
        <v>0</v>
      </c>
      <c r="O457" t="n">
        <v>0</v>
      </c>
      <c r="P457" t="n">
        <v>0</v>
      </c>
      <c r="Q457" t="n">
        <v>0</v>
      </c>
      <c r="R457" s="2" t="inlineStr"/>
    </row>
    <row r="458" ht="15" customHeight="1">
      <c r="A458" t="inlineStr">
        <is>
          <t>A 1088-2021</t>
        </is>
      </c>
      <c r="B458" s="1" t="n">
        <v>44207</v>
      </c>
      <c r="C458" s="1" t="n">
        <v>45569</v>
      </c>
      <c r="D458" t="inlineStr">
        <is>
          <t>JÄMTLANDS LÄN</t>
        </is>
      </c>
      <c r="E458" t="inlineStr">
        <is>
          <t>HÄRJEDALEN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1478-2021</t>
        </is>
      </c>
      <c r="B459" s="1" t="n">
        <v>44208</v>
      </c>
      <c r="C459" s="1" t="n">
        <v>45569</v>
      </c>
      <c r="D459" t="inlineStr">
        <is>
          <t>JÄMTLANDS LÄN</t>
        </is>
      </c>
      <c r="E459" t="inlineStr">
        <is>
          <t>HÄRJEDALEN</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1545-2021</t>
        </is>
      </c>
      <c r="B460" s="1" t="n">
        <v>44209</v>
      </c>
      <c r="C460" s="1" t="n">
        <v>45569</v>
      </c>
      <c r="D460" t="inlineStr">
        <is>
          <t>JÄMTLANDS LÄN</t>
        </is>
      </c>
      <c r="E460" t="inlineStr">
        <is>
          <t>HÄRJEDALEN</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1558-2021</t>
        </is>
      </c>
      <c r="B461" s="1" t="n">
        <v>44209</v>
      </c>
      <c r="C461" s="1" t="n">
        <v>45569</v>
      </c>
      <c r="D461" t="inlineStr">
        <is>
          <t>JÄMTLANDS LÄN</t>
        </is>
      </c>
      <c r="E461" t="inlineStr">
        <is>
          <t>HÄRJEDALEN</t>
        </is>
      </c>
      <c r="F461" t="inlineStr">
        <is>
          <t>Bergvik skog väst AB</t>
        </is>
      </c>
      <c r="G461" t="n">
        <v>7.2</v>
      </c>
      <c r="H461" t="n">
        <v>0</v>
      </c>
      <c r="I461" t="n">
        <v>0</v>
      </c>
      <c r="J461" t="n">
        <v>0</v>
      </c>
      <c r="K461" t="n">
        <v>0</v>
      </c>
      <c r="L461" t="n">
        <v>0</v>
      </c>
      <c r="M461" t="n">
        <v>0</v>
      </c>
      <c r="N461" t="n">
        <v>0</v>
      </c>
      <c r="O461" t="n">
        <v>0</v>
      </c>
      <c r="P461" t="n">
        <v>0</v>
      </c>
      <c r="Q461" t="n">
        <v>0</v>
      </c>
      <c r="R461" s="2" t="inlineStr"/>
    </row>
    <row r="462" ht="15" customHeight="1">
      <c r="A462" t="inlineStr">
        <is>
          <t>A 1602-2021</t>
        </is>
      </c>
      <c r="B462" s="1" t="n">
        <v>44209</v>
      </c>
      <c r="C462" s="1" t="n">
        <v>45569</v>
      </c>
      <c r="D462" t="inlineStr">
        <is>
          <t>JÄMTLANDS LÄN</t>
        </is>
      </c>
      <c r="E462" t="inlineStr">
        <is>
          <t>HÄRJEDALEN</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2531-2021</t>
        </is>
      </c>
      <c r="B463" s="1" t="n">
        <v>44214</v>
      </c>
      <c r="C463" s="1" t="n">
        <v>45569</v>
      </c>
      <c r="D463" t="inlineStr">
        <is>
          <t>JÄMTLANDS LÄN</t>
        </is>
      </c>
      <c r="E463" t="inlineStr">
        <is>
          <t>HÄRJEDALEN</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2855-2021</t>
        </is>
      </c>
      <c r="B464" s="1" t="n">
        <v>44216</v>
      </c>
      <c r="C464" s="1" t="n">
        <v>45569</v>
      </c>
      <c r="D464" t="inlineStr">
        <is>
          <t>JÄMTLANDS LÄN</t>
        </is>
      </c>
      <c r="E464" t="inlineStr">
        <is>
          <t>HÄRJEDALEN</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2862-2021</t>
        </is>
      </c>
      <c r="B465" s="1" t="n">
        <v>44216</v>
      </c>
      <c r="C465" s="1" t="n">
        <v>45569</v>
      </c>
      <c r="D465" t="inlineStr">
        <is>
          <t>JÄMTLANDS LÄN</t>
        </is>
      </c>
      <c r="E465" t="inlineStr">
        <is>
          <t>HÄRJEDALEN</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3536-2021</t>
        </is>
      </c>
      <c r="B466" s="1" t="n">
        <v>44218</v>
      </c>
      <c r="C466" s="1" t="n">
        <v>45569</v>
      </c>
      <c r="D466" t="inlineStr">
        <is>
          <t>JÄMTLANDS LÄN</t>
        </is>
      </c>
      <c r="E466" t="inlineStr">
        <is>
          <t>HÄRJEDALEN</t>
        </is>
      </c>
      <c r="G466" t="n">
        <v>14</v>
      </c>
      <c r="H466" t="n">
        <v>0</v>
      </c>
      <c r="I466" t="n">
        <v>0</v>
      </c>
      <c r="J466" t="n">
        <v>0</v>
      </c>
      <c r="K466" t="n">
        <v>0</v>
      </c>
      <c r="L466" t="n">
        <v>0</v>
      </c>
      <c r="M466" t="n">
        <v>0</v>
      </c>
      <c r="N466" t="n">
        <v>0</v>
      </c>
      <c r="O466" t="n">
        <v>0</v>
      </c>
      <c r="P466" t="n">
        <v>0</v>
      </c>
      <c r="Q466" t="n">
        <v>0</v>
      </c>
      <c r="R466" s="2" t="inlineStr"/>
    </row>
    <row r="467" ht="15" customHeight="1">
      <c r="A467" t="inlineStr">
        <is>
          <t>A 5277-2021</t>
        </is>
      </c>
      <c r="B467" s="1" t="n">
        <v>44225</v>
      </c>
      <c r="C467" s="1" t="n">
        <v>45569</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5283-2021</t>
        </is>
      </c>
      <c r="B468" s="1" t="n">
        <v>44225</v>
      </c>
      <c r="C468" s="1" t="n">
        <v>45569</v>
      </c>
      <c r="D468" t="inlineStr">
        <is>
          <t>JÄMTLANDS LÄN</t>
        </is>
      </c>
      <c r="E468" t="inlineStr">
        <is>
          <t>HÄRJEDALEN</t>
        </is>
      </c>
      <c r="G468" t="n">
        <v>20</v>
      </c>
      <c r="H468" t="n">
        <v>0</v>
      </c>
      <c r="I468" t="n">
        <v>0</v>
      </c>
      <c r="J468" t="n">
        <v>0</v>
      </c>
      <c r="K468" t="n">
        <v>0</v>
      </c>
      <c r="L468" t="n">
        <v>0</v>
      </c>
      <c r="M468" t="n">
        <v>0</v>
      </c>
      <c r="N468" t="n">
        <v>0</v>
      </c>
      <c r="O468" t="n">
        <v>0</v>
      </c>
      <c r="P468" t="n">
        <v>0</v>
      </c>
      <c r="Q468" t="n">
        <v>0</v>
      </c>
      <c r="R468" s="2" t="inlineStr"/>
    </row>
    <row r="469" ht="15" customHeight="1">
      <c r="A469" t="inlineStr">
        <is>
          <t>A 5343-2021</t>
        </is>
      </c>
      <c r="B469" s="1" t="n">
        <v>44228</v>
      </c>
      <c r="C469" s="1" t="n">
        <v>45569</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5353-2021</t>
        </is>
      </c>
      <c r="B470" s="1" t="n">
        <v>44228</v>
      </c>
      <c r="C470" s="1" t="n">
        <v>45569</v>
      </c>
      <c r="D470" t="inlineStr">
        <is>
          <t>JÄMTLANDS LÄN</t>
        </is>
      </c>
      <c r="E470" t="inlineStr">
        <is>
          <t>HÄRJEDALEN</t>
        </is>
      </c>
      <c r="G470" t="n">
        <v>0.5</v>
      </c>
      <c r="H470" t="n">
        <v>0</v>
      </c>
      <c r="I470" t="n">
        <v>0</v>
      </c>
      <c r="J470" t="n">
        <v>0</v>
      </c>
      <c r="K470" t="n">
        <v>0</v>
      </c>
      <c r="L470" t="n">
        <v>0</v>
      </c>
      <c r="M470" t="n">
        <v>0</v>
      </c>
      <c r="N470" t="n">
        <v>0</v>
      </c>
      <c r="O470" t="n">
        <v>0</v>
      </c>
      <c r="P470" t="n">
        <v>0</v>
      </c>
      <c r="Q470" t="n">
        <v>0</v>
      </c>
      <c r="R470" s="2" t="inlineStr"/>
    </row>
    <row r="471" ht="15" customHeight="1">
      <c r="A471" t="inlineStr">
        <is>
          <t>A 5273-2021</t>
        </is>
      </c>
      <c r="B471" s="1" t="n">
        <v>44229</v>
      </c>
      <c r="C471" s="1" t="n">
        <v>45569</v>
      </c>
      <c r="D471" t="inlineStr">
        <is>
          <t>JÄMTLANDS LÄN</t>
        </is>
      </c>
      <c r="E471" t="inlineStr">
        <is>
          <t>HÄRJEDALEN</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5237-2021</t>
        </is>
      </c>
      <c r="B472" s="1" t="n">
        <v>44229</v>
      </c>
      <c r="C472" s="1" t="n">
        <v>45569</v>
      </c>
      <c r="D472" t="inlineStr">
        <is>
          <t>JÄMTLANDS LÄN</t>
        </is>
      </c>
      <c r="E472" t="inlineStr">
        <is>
          <t>HÄRJEDALEN</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5519-2021</t>
        </is>
      </c>
      <c r="B473" s="1" t="n">
        <v>44230</v>
      </c>
      <c r="C473" s="1" t="n">
        <v>45569</v>
      </c>
      <c r="D473" t="inlineStr">
        <is>
          <t>JÄMTLANDS LÄN</t>
        </is>
      </c>
      <c r="E473" t="inlineStr">
        <is>
          <t>HÄRJEDALEN</t>
        </is>
      </c>
      <c r="G473" t="n">
        <v>10.8</v>
      </c>
      <c r="H473" t="n">
        <v>0</v>
      </c>
      <c r="I473" t="n">
        <v>0</v>
      </c>
      <c r="J473" t="n">
        <v>0</v>
      </c>
      <c r="K473" t="n">
        <v>0</v>
      </c>
      <c r="L473" t="n">
        <v>0</v>
      </c>
      <c r="M473" t="n">
        <v>0</v>
      </c>
      <c r="N473" t="n">
        <v>0</v>
      </c>
      <c r="O473" t="n">
        <v>0</v>
      </c>
      <c r="P473" t="n">
        <v>0</v>
      </c>
      <c r="Q473" t="n">
        <v>0</v>
      </c>
      <c r="R473" s="2" t="inlineStr"/>
    </row>
    <row r="474" ht="15" customHeight="1">
      <c r="A474" t="inlineStr">
        <is>
          <t>A 5993-2021</t>
        </is>
      </c>
      <c r="B474" s="1" t="n">
        <v>44231</v>
      </c>
      <c r="C474" s="1" t="n">
        <v>45569</v>
      </c>
      <c r="D474" t="inlineStr">
        <is>
          <t>JÄMTLANDS LÄN</t>
        </is>
      </c>
      <c r="E474" t="inlineStr">
        <is>
          <t>HÄRJEDALEN</t>
        </is>
      </c>
      <c r="F474" t="inlineStr">
        <is>
          <t>Kyrkan</t>
        </is>
      </c>
      <c r="G474" t="n">
        <v>2.6</v>
      </c>
      <c r="H474" t="n">
        <v>0</v>
      </c>
      <c r="I474" t="n">
        <v>0</v>
      </c>
      <c r="J474" t="n">
        <v>0</v>
      </c>
      <c r="K474" t="n">
        <v>0</v>
      </c>
      <c r="L474" t="n">
        <v>0</v>
      </c>
      <c r="M474" t="n">
        <v>0</v>
      </c>
      <c r="N474" t="n">
        <v>0</v>
      </c>
      <c r="O474" t="n">
        <v>0</v>
      </c>
      <c r="P474" t="n">
        <v>0</v>
      </c>
      <c r="Q474" t="n">
        <v>0</v>
      </c>
      <c r="R474" s="2" t="inlineStr"/>
    </row>
    <row r="475" ht="15" customHeight="1">
      <c r="A475" t="inlineStr">
        <is>
          <t>A 7087-2021</t>
        </is>
      </c>
      <c r="B475" s="1" t="n">
        <v>44238</v>
      </c>
      <c r="C475" s="1" t="n">
        <v>45569</v>
      </c>
      <c r="D475" t="inlineStr">
        <is>
          <t>JÄMTLANDS LÄN</t>
        </is>
      </c>
      <c r="E475" t="inlineStr">
        <is>
          <t>HÄRJEDALEN</t>
        </is>
      </c>
      <c r="F475" t="inlineStr">
        <is>
          <t>Holmen skog AB</t>
        </is>
      </c>
      <c r="G475" t="n">
        <v>14.9</v>
      </c>
      <c r="H475" t="n">
        <v>0</v>
      </c>
      <c r="I475" t="n">
        <v>0</v>
      </c>
      <c r="J475" t="n">
        <v>0</v>
      </c>
      <c r="K475" t="n">
        <v>0</v>
      </c>
      <c r="L475" t="n">
        <v>0</v>
      </c>
      <c r="M475" t="n">
        <v>0</v>
      </c>
      <c r="N475" t="n">
        <v>0</v>
      </c>
      <c r="O475" t="n">
        <v>0</v>
      </c>
      <c r="P475" t="n">
        <v>0</v>
      </c>
      <c r="Q475" t="n">
        <v>0</v>
      </c>
      <c r="R475" s="2" t="inlineStr"/>
    </row>
    <row r="476" ht="15" customHeight="1">
      <c r="A476" t="inlineStr">
        <is>
          <t>A 7112-2021</t>
        </is>
      </c>
      <c r="B476" s="1" t="n">
        <v>44238</v>
      </c>
      <c r="C476" s="1" t="n">
        <v>45569</v>
      </c>
      <c r="D476" t="inlineStr">
        <is>
          <t>JÄMTLANDS LÄN</t>
        </is>
      </c>
      <c r="E476" t="inlineStr">
        <is>
          <t>HÄRJEDALEN</t>
        </is>
      </c>
      <c r="F476" t="inlineStr">
        <is>
          <t>Holmen skog AB</t>
        </is>
      </c>
      <c r="G476" t="n">
        <v>4.7</v>
      </c>
      <c r="H476" t="n">
        <v>0</v>
      </c>
      <c r="I476" t="n">
        <v>0</v>
      </c>
      <c r="J476" t="n">
        <v>0</v>
      </c>
      <c r="K476" t="n">
        <v>0</v>
      </c>
      <c r="L476" t="n">
        <v>0</v>
      </c>
      <c r="M476" t="n">
        <v>0</v>
      </c>
      <c r="N476" t="n">
        <v>0</v>
      </c>
      <c r="O476" t="n">
        <v>0</v>
      </c>
      <c r="P476" t="n">
        <v>0</v>
      </c>
      <c r="Q476" t="n">
        <v>0</v>
      </c>
      <c r="R476" s="2" t="inlineStr"/>
    </row>
    <row r="477" ht="15" customHeight="1">
      <c r="A477" t="inlineStr">
        <is>
          <t>A 7097-2021</t>
        </is>
      </c>
      <c r="B477" s="1" t="n">
        <v>44238</v>
      </c>
      <c r="C477" s="1" t="n">
        <v>45569</v>
      </c>
      <c r="D477" t="inlineStr">
        <is>
          <t>JÄMTLANDS LÄN</t>
        </is>
      </c>
      <c r="E477" t="inlineStr">
        <is>
          <t>HÄRJEDALEN</t>
        </is>
      </c>
      <c r="F477" t="inlineStr">
        <is>
          <t>Holmen skog AB</t>
        </is>
      </c>
      <c r="G477" t="n">
        <v>3.9</v>
      </c>
      <c r="H477" t="n">
        <v>0</v>
      </c>
      <c r="I477" t="n">
        <v>0</v>
      </c>
      <c r="J477" t="n">
        <v>0</v>
      </c>
      <c r="K477" t="n">
        <v>0</v>
      </c>
      <c r="L477" t="n">
        <v>0</v>
      </c>
      <c r="M477" t="n">
        <v>0</v>
      </c>
      <c r="N477" t="n">
        <v>0</v>
      </c>
      <c r="O477" t="n">
        <v>0</v>
      </c>
      <c r="P477" t="n">
        <v>0</v>
      </c>
      <c r="Q477" t="n">
        <v>0</v>
      </c>
      <c r="R477" s="2" t="inlineStr"/>
    </row>
    <row r="478" ht="15" customHeight="1">
      <c r="A478" t="inlineStr">
        <is>
          <t>A 7086-2021</t>
        </is>
      </c>
      <c r="B478" s="1" t="n">
        <v>44238</v>
      </c>
      <c r="C478" s="1" t="n">
        <v>45569</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7110-2021</t>
        </is>
      </c>
      <c r="B479" s="1" t="n">
        <v>44238</v>
      </c>
      <c r="C479" s="1" t="n">
        <v>45569</v>
      </c>
      <c r="D479" t="inlineStr">
        <is>
          <t>JÄMTLANDS LÄN</t>
        </is>
      </c>
      <c r="E479" t="inlineStr">
        <is>
          <t>HÄRJEDALEN</t>
        </is>
      </c>
      <c r="F479" t="inlineStr">
        <is>
          <t>Holmen skog AB</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7427-2021</t>
        </is>
      </c>
      <c r="B480" s="1" t="n">
        <v>44239</v>
      </c>
      <c r="C480" s="1" t="n">
        <v>45569</v>
      </c>
      <c r="D480" t="inlineStr">
        <is>
          <t>JÄMTLANDS LÄN</t>
        </is>
      </c>
      <c r="E480" t="inlineStr">
        <is>
          <t>HÄRJEDALEN</t>
        </is>
      </c>
      <c r="F480" t="inlineStr">
        <is>
          <t>Holmen skog AB</t>
        </is>
      </c>
      <c r="G480" t="n">
        <v>6.1</v>
      </c>
      <c r="H480" t="n">
        <v>0</v>
      </c>
      <c r="I480" t="n">
        <v>0</v>
      </c>
      <c r="J480" t="n">
        <v>0</v>
      </c>
      <c r="K480" t="n">
        <v>0</v>
      </c>
      <c r="L480" t="n">
        <v>0</v>
      </c>
      <c r="M480" t="n">
        <v>0</v>
      </c>
      <c r="N480" t="n">
        <v>0</v>
      </c>
      <c r="O480" t="n">
        <v>0</v>
      </c>
      <c r="P480" t="n">
        <v>0</v>
      </c>
      <c r="Q480" t="n">
        <v>0</v>
      </c>
      <c r="R480" s="2" t="inlineStr"/>
    </row>
    <row r="481" ht="15" customHeight="1">
      <c r="A481" t="inlineStr">
        <is>
          <t>A 7570-2021</t>
        </is>
      </c>
      <c r="B481" s="1" t="n">
        <v>44239</v>
      </c>
      <c r="C481" s="1" t="n">
        <v>45569</v>
      </c>
      <c r="D481" t="inlineStr">
        <is>
          <t>JÄMTLANDS LÄN</t>
        </is>
      </c>
      <c r="E481" t="inlineStr">
        <is>
          <t>HÄRJEDALEN</t>
        </is>
      </c>
      <c r="G481" t="n">
        <v>6.2</v>
      </c>
      <c r="H481" t="n">
        <v>0</v>
      </c>
      <c r="I481" t="n">
        <v>0</v>
      </c>
      <c r="J481" t="n">
        <v>0</v>
      </c>
      <c r="K481" t="n">
        <v>0</v>
      </c>
      <c r="L481" t="n">
        <v>0</v>
      </c>
      <c r="M481" t="n">
        <v>0</v>
      </c>
      <c r="N481" t="n">
        <v>0</v>
      </c>
      <c r="O481" t="n">
        <v>0</v>
      </c>
      <c r="P481" t="n">
        <v>0</v>
      </c>
      <c r="Q481" t="n">
        <v>0</v>
      </c>
      <c r="R481" s="2" t="inlineStr"/>
    </row>
    <row r="482" ht="15" customHeight="1">
      <c r="A482" t="inlineStr">
        <is>
          <t>A 7731-2021</t>
        </is>
      </c>
      <c r="B482" s="1" t="n">
        <v>44242</v>
      </c>
      <c r="C482" s="1" t="n">
        <v>45569</v>
      </c>
      <c r="D482" t="inlineStr">
        <is>
          <t>JÄMTLANDS LÄN</t>
        </is>
      </c>
      <c r="E482" t="inlineStr">
        <is>
          <t>HÄRJEDALEN</t>
        </is>
      </c>
      <c r="G482" t="n">
        <v>13.6</v>
      </c>
      <c r="H482" t="n">
        <v>0</v>
      </c>
      <c r="I482" t="n">
        <v>0</v>
      </c>
      <c r="J482" t="n">
        <v>0</v>
      </c>
      <c r="K482" t="n">
        <v>0</v>
      </c>
      <c r="L482" t="n">
        <v>0</v>
      </c>
      <c r="M482" t="n">
        <v>0</v>
      </c>
      <c r="N482" t="n">
        <v>0</v>
      </c>
      <c r="O482" t="n">
        <v>0</v>
      </c>
      <c r="P482" t="n">
        <v>0</v>
      </c>
      <c r="Q482" t="n">
        <v>0</v>
      </c>
      <c r="R482" s="2" t="inlineStr"/>
    </row>
    <row r="483" ht="15" customHeight="1">
      <c r="A483" t="inlineStr">
        <is>
          <t>A 8055-2021</t>
        </is>
      </c>
      <c r="B483" s="1" t="n">
        <v>44243</v>
      </c>
      <c r="C483" s="1" t="n">
        <v>45569</v>
      </c>
      <c r="D483" t="inlineStr">
        <is>
          <t>JÄMTLANDS LÄN</t>
        </is>
      </c>
      <c r="E483" t="inlineStr">
        <is>
          <t>HÄRJEDALEN</t>
        </is>
      </c>
      <c r="G483" t="n">
        <v>1.6</v>
      </c>
      <c r="H483" t="n">
        <v>0</v>
      </c>
      <c r="I483" t="n">
        <v>0</v>
      </c>
      <c r="J483" t="n">
        <v>0</v>
      </c>
      <c r="K483" t="n">
        <v>0</v>
      </c>
      <c r="L483" t="n">
        <v>0</v>
      </c>
      <c r="M483" t="n">
        <v>0</v>
      </c>
      <c r="N483" t="n">
        <v>0</v>
      </c>
      <c r="O483" t="n">
        <v>0</v>
      </c>
      <c r="P483" t="n">
        <v>0</v>
      </c>
      <c r="Q483" t="n">
        <v>0</v>
      </c>
      <c r="R483" s="2" t="inlineStr"/>
    </row>
    <row r="484" ht="15" customHeight="1">
      <c r="A484" t="inlineStr">
        <is>
          <t>A 9470-2021</t>
        </is>
      </c>
      <c r="B484" s="1" t="n">
        <v>44251</v>
      </c>
      <c r="C484" s="1" t="n">
        <v>45569</v>
      </c>
      <c r="D484" t="inlineStr">
        <is>
          <t>JÄMTLANDS LÄN</t>
        </is>
      </c>
      <c r="E484" t="inlineStr">
        <is>
          <t>HÄRJEDALEN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10530-2021</t>
        </is>
      </c>
      <c r="B485" s="1" t="n">
        <v>44258</v>
      </c>
      <c r="C485" s="1" t="n">
        <v>45569</v>
      </c>
      <c r="D485" t="inlineStr">
        <is>
          <t>JÄMTLANDS LÄN</t>
        </is>
      </c>
      <c r="E485" t="inlineStr">
        <is>
          <t>HÄRJEDALEN</t>
        </is>
      </c>
      <c r="G485" t="n">
        <v>19.5</v>
      </c>
      <c r="H485" t="n">
        <v>0</v>
      </c>
      <c r="I485" t="n">
        <v>0</v>
      </c>
      <c r="J485" t="n">
        <v>0</v>
      </c>
      <c r="K485" t="n">
        <v>0</v>
      </c>
      <c r="L485" t="n">
        <v>0</v>
      </c>
      <c r="M485" t="n">
        <v>0</v>
      </c>
      <c r="N485" t="n">
        <v>0</v>
      </c>
      <c r="O485" t="n">
        <v>0</v>
      </c>
      <c r="P485" t="n">
        <v>0</v>
      </c>
      <c r="Q485" t="n">
        <v>0</v>
      </c>
      <c r="R485" s="2" t="inlineStr"/>
    </row>
    <row r="486" ht="15" customHeight="1">
      <c r="A486" t="inlineStr">
        <is>
          <t>A 10536-2021</t>
        </is>
      </c>
      <c r="B486" s="1" t="n">
        <v>44258</v>
      </c>
      <c r="C486" s="1" t="n">
        <v>45569</v>
      </c>
      <c r="D486" t="inlineStr">
        <is>
          <t>JÄMTLANDS LÄN</t>
        </is>
      </c>
      <c r="E486" t="inlineStr">
        <is>
          <t>HÄRJEDALEN</t>
        </is>
      </c>
      <c r="G486" t="n">
        <v>18.7</v>
      </c>
      <c r="H486" t="n">
        <v>0</v>
      </c>
      <c r="I486" t="n">
        <v>0</v>
      </c>
      <c r="J486" t="n">
        <v>0</v>
      </c>
      <c r="K486" t="n">
        <v>0</v>
      </c>
      <c r="L486" t="n">
        <v>0</v>
      </c>
      <c r="M486" t="n">
        <v>0</v>
      </c>
      <c r="N486" t="n">
        <v>0</v>
      </c>
      <c r="O486" t="n">
        <v>0</v>
      </c>
      <c r="P486" t="n">
        <v>0</v>
      </c>
      <c r="Q486" t="n">
        <v>0</v>
      </c>
      <c r="R486" s="2" t="inlineStr"/>
    </row>
    <row r="487" ht="15" customHeight="1">
      <c r="A487" t="inlineStr">
        <is>
          <t>A 12629-2021</t>
        </is>
      </c>
      <c r="B487" s="1" t="n">
        <v>44270</v>
      </c>
      <c r="C487" s="1" t="n">
        <v>45569</v>
      </c>
      <c r="D487" t="inlineStr">
        <is>
          <t>JÄMTLANDS LÄN</t>
        </is>
      </c>
      <c r="E487" t="inlineStr">
        <is>
          <t>HÄRJEDALEN</t>
        </is>
      </c>
      <c r="G487" t="n">
        <v>20.7</v>
      </c>
      <c r="H487" t="n">
        <v>0</v>
      </c>
      <c r="I487" t="n">
        <v>0</v>
      </c>
      <c r="J487" t="n">
        <v>0</v>
      </c>
      <c r="K487" t="n">
        <v>0</v>
      </c>
      <c r="L487" t="n">
        <v>0</v>
      </c>
      <c r="M487" t="n">
        <v>0</v>
      </c>
      <c r="N487" t="n">
        <v>0</v>
      </c>
      <c r="O487" t="n">
        <v>0</v>
      </c>
      <c r="P487" t="n">
        <v>0</v>
      </c>
      <c r="Q487" t="n">
        <v>0</v>
      </c>
      <c r="R487" s="2" t="inlineStr"/>
    </row>
    <row r="488" ht="15" customHeight="1">
      <c r="A488" t="inlineStr">
        <is>
          <t>A 14798-2021</t>
        </is>
      </c>
      <c r="B488" s="1" t="n">
        <v>44280</v>
      </c>
      <c r="C488" s="1" t="n">
        <v>45569</v>
      </c>
      <c r="D488" t="inlineStr">
        <is>
          <t>JÄMTLANDS LÄN</t>
        </is>
      </c>
      <c r="E488" t="inlineStr">
        <is>
          <t>HÄRJEDALEN</t>
        </is>
      </c>
      <c r="G488" t="n">
        <v>2.6</v>
      </c>
      <c r="H488" t="n">
        <v>0</v>
      </c>
      <c r="I488" t="n">
        <v>0</v>
      </c>
      <c r="J488" t="n">
        <v>0</v>
      </c>
      <c r="K488" t="n">
        <v>0</v>
      </c>
      <c r="L488" t="n">
        <v>0</v>
      </c>
      <c r="M488" t="n">
        <v>0</v>
      </c>
      <c r="N488" t="n">
        <v>0</v>
      </c>
      <c r="O488" t="n">
        <v>0</v>
      </c>
      <c r="P488" t="n">
        <v>0</v>
      </c>
      <c r="Q488" t="n">
        <v>0</v>
      </c>
      <c r="R488" s="2" t="inlineStr"/>
    </row>
    <row r="489" ht="15" customHeight="1">
      <c r="A489" t="inlineStr">
        <is>
          <t>A 15580-2021</t>
        </is>
      </c>
      <c r="B489" s="1" t="n">
        <v>44285</v>
      </c>
      <c r="C489" s="1" t="n">
        <v>45569</v>
      </c>
      <c r="D489" t="inlineStr">
        <is>
          <t>JÄMTLANDS LÄN</t>
        </is>
      </c>
      <c r="E489" t="inlineStr">
        <is>
          <t>HÄRJEDALEN</t>
        </is>
      </c>
      <c r="G489" t="n">
        <v>22.1</v>
      </c>
      <c r="H489" t="n">
        <v>0</v>
      </c>
      <c r="I489" t="n">
        <v>0</v>
      </c>
      <c r="J489" t="n">
        <v>0</v>
      </c>
      <c r="K489" t="n">
        <v>0</v>
      </c>
      <c r="L489" t="n">
        <v>0</v>
      </c>
      <c r="M489" t="n">
        <v>0</v>
      </c>
      <c r="N489" t="n">
        <v>0</v>
      </c>
      <c r="O489" t="n">
        <v>0</v>
      </c>
      <c r="P489" t="n">
        <v>0</v>
      </c>
      <c r="Q489" t="n">
        <v>0</v>
      </c>
      <c r="R489" s="2" t="inlineStr"/>
    </row>
    <row r="490" ht="15" customHeight="1">
      <c r="A490" t="inlineStr">
        <is>
          <t>A 15585-2021</t>
        </is>
      </c>
      <c r="B490" s="1" t="n">
        <v>44285</v>
      </c>
      <c r="C490" s="1" t="n">
        <v>45569</v>
      </c>
      <c r="D490" t="inlineStr">
        <is>
          <t>JÄMTLANDS LÄN</t>
        </is>
      </c>
      <c r="E490" t="inlineStr">
        <is>
          <t>HÄRJEDALEN</t>
        </is>
      </c>
      <c r="G490" t="n">
        <v>21.2</v>
      </c>
      <c r="H490" t="n">
        <v>0</v>
      </c>
      <c r="I490" t="n">
        <v>0</v>
      </c>
      <c r="J490" t="n">
        <v>0</v>
      </c>
      <c r="K490" t="n">
        <v>0</v>
      </c>
      <c r="L490" t="n">
        <v>0</v>
      </c>
      <c r="M490" t="n">
        <v>0</v>
      </c>
      <c r="N490" t="n">
        <v>0</v>
      </c>
      <c r="O490" t="n">
        <v>0</v>
      </c>
      <c r="P490" t="n">
        <v>0</v>
      </c>
      <c r="Q490" t="n">
        <v>0</v>
      </c>
      <c r="R490" s="2" t="inlineStr"/>
    </row>
    <row r="491" ht="15" customHeight="1">
      <c r="A491" t="inlineStr">
        <is>
          <t>A 15594-2021</t>
        </is>
      </c>
      <c r="B491" s="1" t="n">
        <v>44285</v>
      </c>
      <c r="C491" s="1" t="n">
        <v>45569</v>
      </c>
      <c r="D491" t="inlineStr">
        <is>
          <t>JÄMTLANDS LÄN</t>
        </is>
      </c>
      <c r="E491" t="inlineStr">
        <is>
          <t>HÄRJEDALEN</t>
        </is>
      </c>
      <c r="G491" t="n">
        <v>28.5</v>
      </c>
      <c r="H491" t="n">
        <v>0</v>
      </c>
      <c r="I491" t="n">
        <v>0</v>
      </c>
      <c r="J491" t="n">
        <v>0</v>
      </c>
      <c r="K491" t="n">
        <v>0</v>
      </c>
      <c r="L491" t="n">
        <v>0</v>
      </c>
      <c r="M491" t="n">
        <v>0</v>
      </c>
      <c r="N491" t="n">
        <v>0</v>
      </c>
      <c r="O491" t="n">
        <v>0</v>
      </c>
      <c r="P491" t="n">
        <v>0</v>
      </c>
      <c r="Q491" t="n">
        <v>0</v>
      </c>
      <c r="R491" s="2" t="inlineStr"/>
    </row>
    <row r="492" ht="15" customHeight="1">
      <c r="A492" t="inlineStr">
        <is>
          <t>A 15681-2021</t>
        </is>
      </c>
      <c r="B492" s="1" t="n">
        <v>44286</v>
      </c>
      <c r="C492" s="1" t="n">
        <v>45569</v>
      </c>
      <c r="D492" t="inlineStr">
        <is>
          <t>JÄMTLANDS LÄN</t>
        </is>
      </c>
      <c r="E492" t="inlineStr">
        <is>
          <t>HÄRJEDALEN</t>
        </is>
      </c>
      <c r="G492" t="n">
        <v>9.6</v>
      </c>
      <c r="H492" t="n">
        <v>0</v>
      </c>
      <c r="I492" t="n">
        <v>0</v>
      </c>
      <c r="J492" t="n">
        <v>0</v>
      </c>
      <c r="K492" t="n">
        <v>0</v>
      </c>
      <c r="L492" t="n">
        <v>0</v>
      </c>
      <c r="M492" t="n">
        <v>0</v>
      </c>
      <c r="N492" t="n">
        <v>0</v>
      </c>
      <c r="O492" t="n">
        <v>0</v>
      </c>
      <c r="P492" t="n">
        <v>0</v>
      </c>
      <c r="Q492" t="n">
        <v>0</v>
      </c>
      <c r="R492" s="2" t="inlineStr"/>
    </row>
    <row r="493" ht="15" customHeight="1">
      <c r="A493" t="inlineStr">
        <is>
          <t>A 15685-2021</t>
        </is>
      </c>
      <c r="B493" s="1" t="n">
        <v>44286</v>
      </c>
      <c r="C493" s="1" t="n">
        <v>45569</v>
      </c>
      <c r="D493" t="inlineStr">
        <is>
          <t>JÄMTLANDS LÄN</t>
        </is>
      </c>
      <c r="E493" t="inlineStr">
        <is>
          <t>HÄRJEDALEN</t>
        </is>
      </c>
      <c r="G493" t="n">
        <v>3.6</v>
      </c>
      <c r="H493" t="n">
        <v>0</v>
      </c>
      <c r="I493" t="n">
        <v>0</v>
      </c>
      <c r="J493" t="n">
        <v>0</v>
      </c>
      <c r="K493" t="n">
        <v>0</v>
      </c>
      <c r="L493" t="n">
        <v>0</v>
      </c>
      <c r="M493" t="n">
        <v>0</v>
      </c>
      <c r="N493" t="n">
        <v>0</v>
      </c>
      <c r="O493" t="n">
        <v>0</v>
      </c>
      <c r="P493" t="n">
        <v>0</v>
      </c>
      <c r="Q493" t="n">
        <v>0</v>
      </c>
      <c r="R493" s="2" t="inlineStr"/>
    </row>
    <row r="494" ht="15" customHeight="1">
      <c r="A494" t="inlineStr">
        <is>
          <t>A 17187-2021</t>
        </is>
      </c>
      <c r="B494" s="1" t="n">
        <v>44298</v>
      </c>
      <c r="C494" s="1" t="n">
        <v>45569</v>
      </c>
      <c r="D494" t="inlineStr">
        <is>
          <t>JÄMTLANDS LÄN</t>
        </is>
      </c>
      <c r="E494" t="inlineStr">
        <is>
          <t>HÄRJEDALEN</t>
        </is>
      </c>
      <c r="G494" t="n">
        <v>20.1</v>
      </c>
      <c r="H494" t="n">
        <v>0</v>
      </c>
      <c r="I494" t="n">
        <v>0</v>
      </c>
      <c r="J494" t="n">
        <v>0</v>
      </c>
      <c r="K494" t="n">
        <v>0</v>
      </c>
      <c r="L494" t="n">
        <v>0</v>
      </c>
      <c r="M494" t="n">
        <v>0</v>
      </c>
      <c r="N494" t="n">
        <v>0</v>
      </c>
      <c r="O494" t="n">
        <v>0</v>
      </c>
      <c r="P494" t="n">
        <v>0</v>
      </c>
      <c r="Q494" t="n">
        <v>0</v>
      </c>
      <c r="R494" s="2" t="inlineStr"/>
    </row>
    <row r="495" ht="15" customHeight="1">
      <c r="A495" t="inlineStr">
        <is>
          <t>A 17705-2021</t>
        </is>
      </c>
      <c r="B495" s="1" t="n">
        <v>44300</v>
      </c>
      <c r="C495" s="1" t="n">
        <v>45569</v>
      </c>
      <c r="D495" t="inlineStr">
        <is>
          <t>JÄMTLANDS LÄN</t>
        </is>
      </c>
      <c r="E495" t="inlineStr">
        <is>
          <t>HÄRJEDALEN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18389-2021</t>
        </is>
      </c>
      <c r="B496" s="1" t="n">
        <v>44305</v>
      </c>
      <c r="C496" s="1" t="n">
        <v>45569</v>
      </c>
      <c r="D496" t="inlineStr">
        <is>
          <t>JÄMTLANDS LÄN</t>
        </is>
      </c>
      <c r="E496" t="inlineStr">
        <is>
          <t>HÄRJEDALEN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19958-2021</t>
        </is>
      </c>
      <c r="B497" s="1" t="n">
        <v>44312</v>
      </c>
      <c r="C497" s="1" t="n">
        <v>45569</v>
      </c>
      <c r="D497" t="inlineStr">
        <is>
          <t>JÄMTLANDS LÄN</t>
        </is>
      </c>
      <c r="E497" t="inlineStr">
        <is>
          <t>HÄRJEDALEN</t>
        </is>
      </c>
      <c r="G497" t="n">
        <v>10.7</v>
      </c>
      <c r="H497" t="n">
        <v>0</v>
      </c>
      <c r="I497" t="n">
        <v>0</v>
      </c>
      <c r="J497" t="n">
        <v>0</v>
      </c>
      <c r="K497" t="n">
        <v>0</v>
      </c>
      <c r="L497" t="n">
        <v>0</v>
      </c>
      <c r="M497" t="n">
        <v>0</v>
      </c>
      <c r="N497" t="n">
        <v>0</v>
      </c>
      <c r="O497" t="n">
        <v>0</v>
      </c>
      <c r="P497" t="n">
        <v>0</v>
      </c>
      <c r="Q497" t="n">
        <v>0</v>
      </c>
      <c r="R497" s="2" t="inlineStr"/>
    </row>
    <row r="498" ht="15" customHeight="1">
      <c r="A498" t="inlineStr">
        <is>
          <t>A 19955-2021</t>
        </is>
      </c>
      <c r="B498" s="1" t="n">
        <v>44312</v>
      </c>
      <c r="C498" s="1" t="n">
        <v>45569</v>
      </c>
      <c r="D498" t="inlineStr">
        <is>
          <t>JÄMTLANDS LÄN</t>
        </is>
      </c>
      <c r="E498" t="inlineStr">
        <is>
          <t>HÄRJEDALEN</t>
        </is>
      </c>
      <c r="G498" t="n">
        <v>4.6</v>
      </c>
      <c r="H498" t="n">
        <v>0</v>
      </c>
      <c r="I498" t="n">
        <v>0</v>
      </c>
      <c r="J498" t="n">
        <v>0</v>
      </c>
      <c r="K498" t="n">
        <v>0</v>
      </c>
      <c r="L498" t="n">
        <v>0</v>
      </c>
      <c r="M498" t="n">
        <v>0</v>
      </c>
      <c r="N498" t="n">
        <v>0</v>
      </c>
      <c r="O498" t="n">
        <v>0</v>
      </c>
      <c r="P498" t="n">
        <v>0</v>
      </c>
      <c r="Q498" t="n">
        <v>0</v>
      </c>
      <c r="R498" s="2" t="inlineStr"/>
    </row>
    <row r="499" ht="15" customHeight="1">
      <c r="A499" t="inlineStr">
        <is>
          <t>A 19962-2021</t>
        </is>
      </c>
      <c r="B499" s="1" t="n">
        <v>44312</v>
      </c>
      <c r="C499" s="1" t="n">
        <v>45569</v>
      </c>
      <c r="D499" t="inlineStr">
        <is>
          <t>JÄMTLANDS LÄN</t>
        </is>
      </c>
      <c r="E499" t="inlineStr">
        <is>
          <t>HÄRJEDALEN</t>
        </is>
      </c>
      <c r="G499" t="n">
        <v>3.7</v>
      </c>
      <c r="H499" t="n">
        <v>0</v>
      </c>
      <c r="I499" t="n">
        <v>0</v>
      </c>
      <c r="J499" t="n">
        <v>0</v>
      </c>
      <c r="K499" t="n">
        <v>0</v>
      </c>
      <c r="L499" t="n">
        <v>0</v>
      </c>
      <c r="M499" t="n">
        <v>0</v>
      </c>
      <c r="N499" t="n">
        <v>0</v>
      </c>
      <c r="O499" t="n">
        <v>0</v>
      </c>
      <c r="P499" t="n">
        <v>0</v>
      </c>
      <c r="Q499" t="n">
        <v>0</v>
      </c>
      <c r="R499" s="2" t="inlineStr"/>
    </row>
    <row r="500" ht="15" customHeight="1">
      <c r="A500" t="inlineStr">
        <is>
          <t>A 21593-2021</t>
        </is>
      </c>
      <c r="B500" s="1" t="n">
        <v>44314</v>
      </c>
      <c r="C500" s="1" t="n">
        <v>45569</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21596-2021</t>
        </is>
      </c>
      <c r="B501" s="1" t="n">
        <v>44314</v>
      </c>
      <c r="C501" s="1" t="n">
        <v>45569</v>
      </c>
      <c r="D501" t="inlineStr">
        <is>
          <t>JÄMTLANDS LÄN</t>
        </is>
      </c>
      <c r="E501" t="inlineStr">
        <is>
          <t>HÄRJEDALEN</t>
        </is>
      </c>
      <c r="G501" t="n">
        <v>18.2</v>
      </c>
      <c r="H501" t="n">
        <v>0</v>
      </c>
      <c r="I501" t="n">
        <v>0</v>
      </c>
      <c r="J501" t="n">
        <v>0</v>
      </c>
      <c r="K501" t="n">
        <v>0</v>
      </c>
      <c r="L501" t="n">
        <v>0</v>
      </c>
      <c r="M501" t="n">
        <v>0</v>
      </c>
      <c r="N501" t="n">
        <v>0</v>
      </c>
      <c r="O501" t="n">
        <v>0</v>
      </c>
      <c r="P501" t="n">
        <v>0</v>
      </c>
      <c r="Q501" t="n">
        <v>0</v>
      </c>
      <c r="R501" s="2" t="inlineStr"/>
    </row>
    <row r="502" ht="15" customHeight="1">
      <c r="A502" t="inlineStr">
        <is>
          <t>A 21837-2021</t>
        </is>
      </c>
      <c r="B502" s="1" t="n">
        <v>44316</v>
      </c>
      <c r="C502" s="1" t="n">
        <v>45569</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21702-2021</t>
        </is>
      </c>
      <c r="B503" s="1" t="n">
        <v>44316</v>
      </c>
      <c r="C503" s="1" t="n">
        <v>45569</v>
      </c>
      <c r="D503" t="inlineStr">
        <is>
          <t>JÄMTLANDS LÄN</t>
        </is>
      </c>
      <c r="E503" t="inlineStr">
        <is>
          <t>HÄRJEDALEN</t>
        </is>
      </c>
      <c r="G503" t="n">
        <v>2.9</v>
      </c>
      <c r="H503" t="n">
        <v>0</v>
      </c>
      <c r="I503" t="n">
        <v>0</v>
      </c>
      <c r="J503" t="n">
        <v>0</v>
      </c>
      <c r="K503" t="n">
        <v>0</v>
      </c>
      <c r="L503" t="n">
        <v>0</v>
      </c>
      <c r="M503" t="n">
        <v>0</v>
      </c>
      <c r="N503" t="n">
        <v>0</v>
      </c>
      <c r="O503" t="n">
        <v>0</v>
      </c>
      <c r="P503" t="n">
        <v>0</v>
      </c>
      <c r="Q503" t="n">
        <v>0</v>
      </c>
      <c r="R503" s="2" t="inlineStr"/>
    </row>
    <row r="504" ht="15" customHeight="1">
      <c r="A504" t="inlineStr">
        <is>
          <t>A 21833-2021</t>
        </is>
      </c>
      <c r="B504" s="1" t="n">
        <v>44316</v>
      </c>
      <c r="C504" s="1" t="n">
        <v>45569</v>
      </c>
      <c r="D504" t="inlineStr">
        <is>
          <t>JÄMTLANDS LÄN</t>
        </is>
      </c>
      <c r="E504" t="inlineStr">
        <is>
          <t>HÄRJEDALEN</t>
        </is>
      </c>
      <c r="G504" t="n">
        <v>20.2</v>
      </c>
      <c r="H504" t="n">
        <v>0</v>
      </c>
      <c r="I504" t="n">
        <v>0</v>
      </c>
      <c r="J504" t="n">
        <v>0</v>
      </c>
      <c r="K504" t="n">
        <v>0</v>
      </c>
      <c r="L504" t="n">
        <v>0</v>
      </c>
      <c r="M504" t="n">
        <v>0</v>
      </c>
      <c r="N504" t="n">
        <v>0</v>
      </c>
      <c r="O504" t="n">
        <v>0</v>
      </c>
      <c r="P504" t="n">
        <v>0</v>
      </c>
      <c r="Q504" t="n">
        <v>0</v>
      </c>
      <c r="R504" s="2" t="inlineStr"/>
    </row>
    <row r="505" ht="15" customHeight="1">
      <c r="A505" t="inlineStr">
        <is>
          <t>A 21854-2021</t>
        </is>
      </c>
      <c r="B505" s="1" t="n">
        <v>44316</v>
      </c>
      <c r="C505" s="1" t="n">
        <v>45569</v>
      </c>
      <c r="D505" t="inlineStr">
        <is>
          <t>JÄMTLANDS LÄN</t>
        </is>
      </c>
      <c r="E505" t="inlineStr">
        <is>
          <t>HÄRJEDALEN</t>
        </is>
      </c>
      <c r="G505" t="n">
        <v>10.7</v>
      </c>
      <c r="H505" t="n">
        <v>0</v>
      </c>
      <c r="I505" t="n">
        <v>0</v>
      </c>
      <c r="J505" t="n">
        <v>0</v>
      </c>
      <c r="K505" t="n">
        <v>0</v>
      </c>
      <c r="L505" t="n">
        <v>0</v>
      </c>
      <c r="M505" t="n">
        <v>0</v>
      </c>
      <c r="N505" t="n">
        <v>0</v>
      </c>
      <c r="O505" t="n">
        <v>0</v>
      </c>
      <c r="P505" t="n">
        <v>0</v>
      </c>
      <c r="Q505" t="n">
        <v>0</v>
      </c>
      <c r="R505" s="2" t="inlineStr"/>
    </row>
    <row r="506" ht="15" customHeight="1">
      <c r="A506" t="inlineStr">
        <is>
          <t>A 21848-2021</t>
        </is>
      </c>
      <c r="B506" s="1" t="n">
        <v>44316</v>
      </c>
      <c r="C506" s="1" t="n">
        <v>45569</v>
      </c>
      <c r="D506" t="inlineStr">
        <is>
          <t>JÄMTLANDS LÄN</t>
        </is>
      </c>
      <c r="E506" t="inlineStr">
        <is>
          <t>HÄRJEDALEN</t>
        </is>
      </c>
      <c r="G506" t="n">
        <v>19.4</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45569</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21703-2021</t>
        </is>
      </c>
      <c r="B508" s="1" t="n">
        <v>44316</v>
      </c>
      <c r="C508" s="1" t="n">
        <v>45569</v>
      </c>
      <c r="D508" t="inlineStr">
        <is>
          <t>JÄMTLANDS LÄN</t>
        </is>
      </c>
      <c r="E508" t="inlineStr">
        <is>
          <t>HÄRJEDALEN</t>
        </is>
      </c>
      <c r="G508" t="n">
        <v>11.9</v>
      </c>
      <c r="H508" t="n">
        <v>0</v>
      </c>
      <c r="I508" t="n">
        <v>0</v>
      </c>
      <c r="J508" t="n">
        <v>0</v>
      </c>
      <c r="K508" t="n">
        <v>0</v>
      </c>
      <c r="L508" t="n">
        <v>0</v>
      </c>
      <c r="M508" t="n">
        <v>0</v>
      </c>
      <c r="N508" t="n">
        <v>0</v>
      </c>
      <c r="O508" t="n">
        <v>0</v>
      </c>
      <c r="P508" t="n">
        <v>0</v>
      </c>
      <c r="Q508" t="n">
        <v>0</v>
      </c>
      <c r="R508" s="2" t="inlineStr"/>
    </row>
    <row r="509" ht="15" customHeight="1">
      <c r="A509" t="inlineStr">
        <is>
          <t>A 21843-2021</t>
        </is>
      </c>
      <c r="B509" s="1" t="n">
        <v>44316</v>
      </c>
      <c r="C509" s="1" t="n">
        <v>45569</v>
      </c>
      <c r="D509" t="inlineStr">
        <is>
          <t>JÄMTLANDS LÄN</t>
        </is>
      </c>
      <c r="E509" t="inlineStr">
        <is>
          <t>HÄRJEDALEN</t>
        </is>
      </c>
      <c r="G509" t="n">
        <v>15.1</v>
      </c>
      <c r="H509" t="n">
        <v>0</v>
      </c>
      <c r="I509" t="n">
        <v>0</v>
      </c>
      <c r="J509" t="n">
        <v>0</v>
      </c>
      <c r="K509" t="n">
        <v>0</v>
      </c>
      <c r="L509" t="n">
        <v>0</v>
      </c>
      <c r="M509" t="n">
        <v>0</v>
      </c>
      <c r="N509" t="n">
        <v>0</v>
      </c>
      <c r="O509" t="n">
        <v>0</v>
      </c>
      <c r="P509" t="n">
        <v>0</v>
      </c>
      <c r="Q509" t="n">
        <v>0</v>
      </c>
      <c r="R509" s="2" t="inlineStr"/>
    </row>
    <row r="510" ht="15" customHeight="1">
      <c r="A510" t="inlineStr">
        <is>
          <t>A 21705-2021</t>
        </is>
      </c>
      <c r="B510" s="1" t="n">
        <v>44316</v>
      </c>
      <c r="C510" s="1" t="n">
        <v>45569</v>
      </c>
      <c r="D510" t="inlineStr">
        <is>
          <t>JÄMTLANDS LÄN</t>
        </is>
      </c>
      <c r="E510" t="inlineStr">
        <is>
          <t>HÄRJEDALEN</t>
        </is>
      </c>
      <c r="G510" t="n">
        <v>6.1</v>
      </c>
      <c r="H510" t="n">
        <v>0</v>
      </c>
      <c r="I510" t="n">
        <v>0</v>
      </c>
      <c r="J510" t="n">
        <v>0</v>
      </c>
      <c r="K510" t="n">
        <v>0</v>
      </c>
      <c r="L510" t="n">
        <v>0</v>
      </c>
      <c r="M510" t="n">
        <v>0</v>
      </c>
      <c r="N510" t="n">
        <v>0</v>
      </c>
      <c r="O510" t="n">
        <v>0</v>
      </c>
      <c r="P510" t="n">
        <v>0</v>
      </c>
      <c r="Q510" t="n">
        <v>0</v>
      </c>
      <c r="R510" s="2" t="inlineStr"/>
    </row>
    <row r="511" ht="15" customHeight="1">
      <c r="A511" t="inlineStr">
        <is>
          <t>A 20804-2021</t>
        </is>
      </c>
      <c r="B511" s="1" t="n">
        <v>44316</v>
      </c>
      <c r="C511" s="1" t="n">
        <v>45569</v>
      </c>
      <c r="D511" t="inlineStr">
        <is>
          <t>JÄMTLANDS LÄN</t>
        </is>
      </c>
      <c r="E511" t="inlineStr">
        <is>
          <t>HÄRJEDALEN</t>
        </is>
      </c>
      <c r="F511" t="inlineStr">
        <is>
          <t>SCA</t>
        </is>
      </c>
      <c r="G511" t="n">
        <v>11.2</v>
      </c>
      <c r="H511" t="n">
        <v>0</v>
      </c>
      <c r="I511" t="n">
        <v>0</v>
      </c>
      <c r="J511" t="n">
        <v>0</v>
      </c>
      <c r="K511" t="n">
        <v>0</v>
      </c>
      <c r="L511" t="n">
        <v>0</v>
      </c>
      <c r="M511" t="n">
        <v>0</v>
      </c>
      <c r="N511" t="n">
        <v>0</v>
      </c>
      <c r="O511" t="n">
        <v>0</v>
      </c>
      <c r="P511" t="n">
        <v>0</v>
      </c>
      <c r="Q511" t="n">
        <v>0</v>
      </c>
      <c r="R511" s="2" t="inlineStr"/>
    </row>
    <row r="512" ht="15" customHeight="1">
      <c r="A512" t="inlineStr">
        <is>
          <t>A 21753-2021</t>
        </is>
      </c>
      <c r="B512" s="1" t="n">
        <v>44319</v>
      </c>
      <c r="C512" s="1" t="n">
        <v>45569</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21298-2021</t>
        </is>
      </c>
      <c r="B513" s="1" t="n">
        <v>44320</v>
      </c>
      <c r="C513" s="1" t="n">
        <v>45569</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21334-2021</t>
        </is>
      </c>
      <c r="B514" s="1" t="n">
        <v>44320</v>
      </c>
      <c r="C514" s="1" t="n">
        <v>45569</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21346-2021</t>
        </is>
      </c>
      <c r="B515" s="1" t="n">
        <v>44321</v>
      </c>
      <c r="C515" s="1" t="n">
        <v>45569</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21661-2021</t>
        </is>
      </c>
      <c r="B516" s="1" t="n">
        <v>44322</v>
      </c>
      <c r="C516" s="1" t="n">
        <v>45569</v>
      </c>
      <c r="D516" t="inlineStr">
        <is>
          <t>JÄMTLANDS LÄN</t>
        </is>
      </c>
      <c r="E516" t="inlineStr">
        <is>
          <t>HÄRJEDALEN</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22160-2021</t>
        </is>
      </c>
      <c r="B517" s="1" t="n">
        <v>44325</v>
      </c>
      <c r="C517" s="1" t="n">
        <v>45569</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23869-2021</t>
        </is>
      </c>
      <c r="B518" s="1" t="n">
        <v>44335</v>
      </c>
      <c r="C518" s="1" t="n">
        <v>45569</v>
      </c>
      <c r="D518" t="inlineStr">
        <is>
          <t>JÄMTLANDS LÄN</t>
        </is>
      </c>
      <c r="E518" t="inlineStr">
        <is>
          <t>HÄRJEDALEN</t>
        </is>
      </c>
      <c r="G518" t="n">
        <v>15.3</v>
      </c>
      <c r="H518" t="n">
        <v>0</v>
      </c>
      <c r="I518" t="n">
        <v>0</v>
      </c>
      <c r="J518" t="n">
        <v>0</v>
      </c>
      <c r="K518" t="n">
        <v>0</v>
      </c>
      <c r="L518" t="n">
        <v>0</v>
      </c>
      <c r="M518" t="n">
        <v>0</v>
      </c>
      <c r="N518" t="n">
        <v>0</v>
      </c>
      <c r="O518" t="n">
        <v>0</v>
      </c>
      <c r="P518" t="n">
        <v>0</v>
      </c>
      <c r="Q518" t="n">
        <v>0</v>
      </c>
      <c r="R518" s="2" t="inlineStr"/>
    </row>
    <row r="519" ht="15" customHeight="1">
      <c r="A519" t="inlineStr">
        <is>
          <t>A 25444-2021</t>
        </is>
      </c>
      <c r="B519" s="1" t="n">
        <v>44342</v>
      </c>
      <c r="C519" s="1" t="n">
        <v>45569</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26167-2021</t>
        </is>
      </c>
      <c r="B520" s="1" t="n">
        <v>44344</v>
      </c>
      <c r="C520" s="1" t="n">
        <v>45569</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26656-2021</t>
        </is>
      </c>
      <c r="B521" s="1" t="n">
        <v>44348</v>
      </c>
      <c r="C521" s="1" t="n">
        <v>45569</v>
      </c>
      <c r="D521" t="inlineStr">
        <is>
          <t>JÄMTLANDS LÄN</t>
        </is>
      </c>
      <c r="E521" t="inlineStr">
        <is>
          <t>HÄRJEDALEN</t>
        </is>
      </c>
      <c r="G521" t="n">
        <v>1.6</v>
      </c>
      <c r="H521" t="n">
        <v>0</v>
      </c>
      <c r="I521" t="n">
        <v>0</v>
      </c>
      <c r="J521" t="n">
        <v>0</v>
      </c>
      <c r="K521" t="n">
        <v>0</v>
      </c>
      <c r="L521" t="n">
        <v>0</v>
      </c>
      <c r="M521" t="n">
        <v>0</v>
      </c>
      <c r="N521" t="n">
        <v>0</v>
      </c>
      <c r="O521" t="n">
        <v>0</v>
      </c>
      <c r="P521" t="n">
        <v>0</v>
      </c>
      <c r="Q521" t="n">
        <v>0</v>
      </c>
      <c r="R521" s="2" t="inlineStr"/>
    </row>
    <row r="522" ht="15" customHeight="1">
      <c r="A522" t="inlineStr">
        <is>
          <t>A 28446-2021</t>
        </is>
      </c>
      <c r="B522" s="1" t="n">
        <v>44356</v>
      </c>
      <c r="C522" s="1" t="n">
        <v>45569</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28693-2021</t>
        </is>
      </c>
      <c r="B523" s="1" t="n">
        <v>44357</v>
      </c>
      <c r="C523" s="1" t="n">
        <v>45569</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29284-2021</t>
        </is>
      </c>
      <c r="B524" s="1" t="n">
        <v>44361</v>
      </c>
      <c r="C524" s="1" t="n">
        <v>45569</v>
      </c>
      <c r="D524" t="inlineStr">
        <is>
          <t>JÄMTLANDS LÄN</t>
        </is>
      </c>
      <c r="E524" t="inlineStr">
        <is>
          <t>HÄRJEDALEN</t>
        </is>
      </c>
      <c r="F524" t="inlineStr">
        <is>
          <t>Holmen skog AB</t>
        </is>
      </c>
      <c r="G524" t="n">
        <v>10.5</v>
      </c>
      <c r="H524" t="n">
        <v>0</v>
      </c>
      <c r="I524" t="n">
        <v>0</v>
      </c>
      <c r="J524" t="n">
        <v>0</v>
      </c>
      <c r="K524" t="n">
        <v>0</v>
      </c>
      <c r="L524" t="n">
        <v>0</v>
      </c>
      <c r="M524" t="n">
        <v>0</v>
      </c>
      <c r="N524" t="n">
        <v>0</v>
      </c>
      <c r="O524" t="n">
        <v>0</v>
      </c>
      <c r="P524" t="n">
        <v>0</v>
      </c>
      <c r="Q524" t="n">
        <v>0</v>
      </c>
      <c r="R524" s="2" t="inlineStr"/>
    </row>
    <row r="525" ht="15" customHeight="1">
      <c r="A525" t="inlineStr">
        <is>
          <t>A 29372-2021</t>
        </is>
      </c>
      <c r="B525" s="1" t="n">
        <v>44361</v>
      </c>
      <c r="C525" s="1" t="n">
        <v>45569</v>
      </c>
      <c r="D525" t="inlineStr">
        <is>
          <t>JÄMTLANDS LÄN</t>
        </is>
      </c>
      <c r="E525" t="inlineStr">
        <is>
          <t>HÄRJEDALEN</t>
        </is>
      </c>
      <c r="F525" t="inlineStr">
        <is>
          <t>Holmen skog AB</t>
        </is>
      </c>
      <c r="G525" t="n">
        <v>5.9</v>
      </c>
      <c r="H525" t="n">
        <v>0</v>
      </c>
      <c r="I525" t="n">
        <v>0</v>
      </c>
      <c r="J525" t="n">
        <v>0</v>
      </c>
      <c r="K525" t="n">
        <v>0</v>
      </c>
      <c r="L525" t="n">
        <v>0</v>
      </c>
      <c r="M525" t="n">
        <v>0</v>
      </c>
      <c r="N525" t="n">
        <v>0</v>
      </c>
      <c r="O525" t="n">
        <v>0</v>
      </c>
      <c r="P525" t="n">
        <v>0</v>
      </c>
      <c r="Q525" t="n">
        <v>0</v>
      </c>
      <c r="R525" s="2" t="inlineStr"/>
    </row>
    <row r="526" ht="15" customHeight="1">
      <c r="A526" t="inlineStr">
        <is>
          <t>A 29452-2021</t>
        </is>
      </c>
      <c r="B526" s="1" t="n">
        <v>44361</v>
      </c>
      <c r="C526" s="1" t="n">
        <v>45569</v>
      </c>
      <c r="D526" t="inlineStr">
        <is>
          <t>JÄMTLANDS LÄN</t>
        </is>
      </c>
      <c r="E526" t="inlineStr">
        <is>
          <t>HÄRJEDALEN</t>
        </is>
      </c>
      <c r="F526" t="inlineStr">
        <is>
          <t>Holmen skog AB</t>
        </is>
      </c>
      <c r="G526" t="n">
        <v>6.9</v>
      </c>
      <c r="H526" t="n">
        <v>0</v>
      </c>
      <c r="I526" t="n">
        <v>0</v>
      </c>
      <c r="J526" t="n">
        <v>0</v>
      </c>
      <c r="K526" t="n">
        <v>0</v>
      </c>
      <c r="L526" t="n">
        <v>0</v>
      </c>
      <c r="M526" t="n">
        <v>0</v>
      </c>
      <c r="N526" t="n">
        <v>0</v>
      </c>
      <c r="O526" t="n">
        <v>0</v>
      </c>
      <c r="P526" t="n">
        <v>0</v>
      </c>
      <c r="Q526" t="n">
        <v>0</v>
      </c>
      <c r="R526" s="2" t="inlineStr"/>
    </row>
    <row r="527" ht="15" customHeight="1">
      <c r="A527" t="inlineStr">
        <is>
          <t>A 29581-2021</t>
        </is>
      </c>
      <c r="B527" s="1" t="n">
        <v>44361</v>
      </c>
      <c r="C527" s="1" t="n">
        <v>45569</v>
      </c>
      <c r="D527" t="inlineStr">
        <is>
          <t>JÄMTLANDS LÄN</t>
        </is>
      </c>
      <c r="E527" t="inlineStr">
        <is>
          <t>HÄRJEDALEN</t>
        </is>
      </c>
      <c r="G527" t="n">
        <v>50.9</v>
      </c>
      <c r="H527" t="n">
        <v>0</v>
      </c>
      <c r="I527" t="n">
        <v>0</v>
      </c>
      <c r="J527" t="n">
        <v>0</v>
      </c>
      <c r="K527" t="n">
        <v>0</v>
      </c>
      <c r="L527" t="n">
        <v>0</v>
      </c>
      <c r="M527" t="n">
        <v>0</v>
      </c>
      <c r="N527" t="n">
        <v>0</v>
      </c>
      <c r="O527" t="n">
        <v>0</v>
      </c>
      <c r="P527" t="n">
        <v>0</v>
      </c>
      <c r="Q527" t="n">
        <v>0</v>
      </c>
      <c r="R527" s="2" t="inlineStr"/>
    </row>
    <row r="528" ht="15" customHeight="1">
      <c r="A528" t="inlineStr">
        <is>
          <t>A 29585-2021</t>
        </is>
      </c>
      <c r="B528" s="1" t="n">
        <v>44361</v>
      </c>
      <c r="C528" s="1" t="n">
        <v>45569</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30302-2021</t>
        </is>
      </c>
      <c r="B529" s="1" t="n">
        <v>44364</v>
      </c>
      <c r="C529" s="1" t="n">
        <v>45569</v>
      </c>
      <c r="D529" t="inlineStr">
        <is>
          <t>JÄMTLANDS LÄN</t>
        </is>
      </c>
      <c r="E529" t="inlineStr">
        <is>
          <t>HÄRJEDALEN</t>
        </is>
      </c>
      <c r="F529" t="inlineStr">
        <is>
          <t>Holmen skog AB</t>
        </is>
      </c>
      <c r="G529" t="n">
        <v>6</v>
      </c>
      <c r="H529" t="n">
        <v>0</v>
      </c>
      <c r="I529" t="n">
        <v>0</v>
      </c>
      <c r="J529" t="n">
        <v>0</v>
      </c>
      <c r="K529" t="n">
        <v>0</v>
      </c>
      <c r="L529" t="n">
        <v>0</v>
      </c>
      <c r="M529" t="n">
        <v>0</v>
      </c>
      <c r="N529" t="n">
        <v>0</v>
      </c>
      <c r="O529" t="n">
        <v>0</v>
      </c>
      <c r="P529" t="n">
        <v>0</v>
      </c>
      <c r="Q529" t="n">
        <v>0</v>
      </c>
      <c r="R529" s="2" t="inlineStr"/>
    </row>
    <row r="530" ht="15" customHeight="1">
      <c r="A530" t="inlineStr">
        <is>
          <t>A 30323-2021</t>
        </is>
      </c>
      <c r="B530" s="1" t="n">
        <v>44364</v>
      </c>
      <c r="C530" s="1" t="n">
        <v>45569</v>
      </c>
      <c r="D530" t="inlineStr">
        <is>
          <t>JÄMTLANDS LÄN</t>
        </is>
      </c>
      <c r="E530" t="inlineStr">
        <is>
          <t>HÄRJEDALEN</t>
        </is>
      </c>
      <c r="F530" t="inlineStr">
        <is>
          <t>Holmen skog AB</t>
        </is>
      </c>
      <c r="G530" t="n">
        <v>11.2</v>
      </c>
      <c r="H530" t="n">
        <v>0</v>
      </c>
      <c r="I530" t="n">
        <v>0</v>
      </c>
      <c r="J530" t="n">
        <v>0</v>
      </c>
      <c r="K530" t="n">
        <v>0</v>
      </c>
      <c r="L530" t="n">
        <v>0</v>
      </c>
      <c r="M530" t="n">
        <v>0</v>
      </c>
      <c r="N530" t="n">
        <v>0</v>
      </c>
      <c r="O530" t="n">
        <v>0</v>
      </c>
      <c r="P530" t="n">
        <v>0</v>
      </c>
      <c r="Q530" t="n">
        <v>0</v>
      </c>
      <c r="R530" s="2" t="inlineStr"/>
    </row>
    <row r="531" ht="15" customHeight="1">
      <c r="A531" t="inlineStr">
        <is>
          <t>A 30315-2021</t>
        </is>
      </c>
      <c r="B531" s="1" t="n">
        <v>44364</v>
      </c>
      <c r="C531" s="1" t="n">
        <v>45569</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30311-2021</t>
        </is>
      </c>
      <c r="B532" s="1" t="n">
        <v>44364</v>
      </c>
      <c r="C532" s="1" t="n">
        <v>45569</v>
      </c>
      <c r="D532" t="inlineStr">
        <is>
          <t>JÄMTLANDS LÄN</t>
        </is>
      </c>
      <c r="E532" t="inlineStr">
        <is>
          <t>HÄRJEDALEN</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30321-2021</t>
        </is>
      </c>
      <c r="B533" s="1" t="n">
        <v>44364</v>
      </c>
      <c r="C533" s="1" t="n">
        <v>45569</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30317-2021</t>
        </is>
      </c>
      <c r="B534" s="1" t="n">
        <v>44364</v>
      </c>
      <c r="C534" s="1" t="n">
        <v>45569</v>
      </c>
      <c r="D534" t="inlineStr">
        <is>
          <t>JÄMTLANDS LÄN</t>
        </is>
      </c>
      <c r="E534" t="inlineStr">
        <is>
          <t>HÄRJEDALEN</t>
        </is>
      </c>
      <c r="F534" t="inlineStr">
        <is>
          <t>Holmen skog AB</t>
        </is>
      </c>
      <c r="G534" t="n">
        <v>8.4</v>
      </c>
      <c r="H534" t="n">
        <v>0</v>
      </c>
      <c r="I534" t="n">
        <v>0</v>
      </c>
      <c r="J534" t="n">
        <v>0</v>
      </c>
      <c r="K534" t="n">
        <v>0</v>
      </c>
      <c r="L534" t="n">
        <v>0</v>
      </c>
      <c r="M534" t="n">
        <v>0</v>
      </c>
      <c r="N534" t="n">
        <v>0</v>
      </c>
      <c r="O534" t="n">
        <v>0</v>
      </c>
      <c r="P534" t="n">
        <v>0</v>
      </c>
      <c r="Q534" t="n">
        <v>0</v>
      </c>
      <c r="R534" s="2" t="inlineStr"/>
    </row>
    <row r="535" ht="15" customHeight="1">
      <c r="A535" t="inlineStr">
        <is>
          <t>A 30684-2021</t>
        </is>
      </c>
      <c r="B535" s="1" t="n">
        <v>44365</v>
      </c>
      <c r="C535" s="1" t="n">
        <v>45569</v>
      </c>
      <c r="D535" t="inlineStr">
        <is>
          <t>JÄMTLANDS LÄN</t>
        </is>
      </c>
      <c r="E535" t="inlineStr">
        <is>
          <t>HÄRJEDALEN</t>
        </is>
      </c>
      <c r="G535" t="n">
        <v>4</v>
      </c>
      <c r="H535" t="n">
        <v>0</v>
      </c>
      <c r="I535" t="n">
        <v>0</v>
      </c>
      <c r="J535" t="n">
        <v>0</v>
      </c>
      <c r="K535" t="n">
        <v>0</v>
      </c>
      <c r="L535" t="n">
        <v>0</v>
      </c>
      <c r="M535" t="n">
        <v>0</v>
      </c>
      <c r="N535" t="n">
        <v>0</v>
      </c>
      <c r="O535" t="n">
        <v>0</v>
      </c>
      <c r="P535" t="n">
        <v>0</v>
      </c>
      <c r="Q535" t="n">
        <v>0</v>
      </c>
      <c r="R535" s="2" t="inlineStr"/>
    </row>
    <row r="536" ht="15" customHeight="1">
      <c r="A536" t="inlineStr">
        <is>
          <t>A 31212-2021</t>
        </is>
      </c>
      <c r="B536" s="1" t="n">
        <v>44368</v>
      </c>
      <c r="C536" s="1" t="n">
        <v>45569</v>
      </c>
      <c r="D536" t="inlineStr">
        <is>
          <t>JÄMTLANDS LÄN</t>
        </is>
      </c>
      <c r="E536" t="inlineStr">
        <is>
          <t>HÄRJEDALEN</t>
        </is>
      </c>
      <c r="G536" t="n">
        <v>5.5</v>
      </c>
      <c r="H536" t="n">
        <v>0</v>
      </c>
      <c r="I536" t="n">
        <v>0</v>
      </c>
      <c r="J536" t="n">
        <v>0</v>
      </c>
      <c r="K536" t="n">
        <v>0</v>
      </c>
      <c r="L536" t="n">
        <v>0</v>
      </c>
      <c r="M536" t="n">
        <v>0</v>
      </c>
      <c r="N536" t="n">
        <v>0</v>
      </c>
      <c r="O536" t="n">
        <v>0</v>
      </c>
      <c r="P536" t="n">
        <v>0</v>
      </c>
      <c r="Q536" t="n">
        <v>0</v>
      </c>
      <c r="R536" s="2" t="inlineStr"/>
    </row>
    <row r="537" ht="15" customHeight="1">
      <c r="A537" t="inlineStr">
        <is>
          <t>A 33424-2021</t>
        </is>
      </c>
      <c r="B537" s="1" t="n">
        <v>44377</v>
      </c>
      <c r="C537" s="1" t="n">
        <v>45569</v>
      </c>
      <c r="D537" t="inlineStr">
        <is>
          <t>JÄMTLANDS LÄN</t>
        </is>
      </c>
      <c r="E537" t="inlineStr">
        <is>
          <t>HÄRJEDALEN</t>
        </is>
      </c>
      <c r="G537" t="n">
        <v>2.5</v>
      </c>
      <c r="H537" t="n">
        <v>0</v>
      </c>
      <c r="I537" t="n">
        <v>0</v>
      </c>
      <c r="J537" t="n">
        <v>0</v>
      </c>
      <c r="K537" t="n">
        <v>0</v>
      </c>
      <c r="L537" t="n">
        <v>0</v>
      </c>
      <c r="M537" t="n">
        <v>0</v>
      </c>
      <c r="N537" t="n">
        <v>0</v>
      </c>
      <c r="O537" t="n">
        <v>0</v>
      </c>
      <c r="P537" t="n">
        <v>0</v>
      </c>
      <c r="Q537" t="n">
        <v>0</v>
      </c>
      <c r="R537" s="2" t="inlineStr"/>
    </row>
    <row r="538" ht="15" customHeight="1">
      <c r="A538" t="inlineStr">
        <is>
          <t>A 34453-2021</t>
        </is>
      </c>
      <c r="B538" s="1" t="n">
        <v>44381</v>
      </c>
      <c r="C538" s="1" t="n">
        <v>45569</v>
      </c>
      <c r="D538" t="inlineStr">
        <is>
          <t>JÄMTLANDS LÄN</t>
        </is>
      </c>
      <c r="E538" t="inlineStr">
        <is>
          <t>HÄRJEDALEN</t>
        </is>
      </c>
      <c r="G538" t="n">
        <v>12.7</v>
      </c>
      <c r="H538" t="n">
        <v>0</v>
      </c>
      <c r="I538" t="n">
        <v>0</v>
      </c>
      <c r="J538" t="n">
        <v>0</v>
      </c>
      <c r="K538" t="n">
        <v>0</v>
      </c>
      <c r="L538" t="n">
        <v>0</v>
      </c>
      <c r="M538" t="n">
        <v>0</v>
      </c>
      <c r="N538" t="n">
        <v>0</v>
      </c>
      <c r="O538" t="n">
        <v>0</v>
      </c>
      <c r="P538" t="n">
        <v>0</v>
      </c>
      <c r="Q538" t="n">
        <v>0</v>
      </c>
      <c r="R538" s="2" t="inlineStr"/>
    </row>
    <row r="539" ht="15" customHeight="1">
      <c r="A539" t="inlineStr">
        <is>
          <t>A 35194-2021</t>
        </is>
      </c>
      <c r="B539" s="1" t="n">
        <v>44384</v>
      </c>
      <c r="C539" s="1" t="n">
        <v>45569</v>
      </c>
      <c r="D539" t="inlineStr">
        <is>
          <t>JÄMTLANDS LÄN</t>
        </is>
      </c>
      <c r="E539" t="inlineStr">
        <is>
          <t>HÄRJEDALEN</t>
        </is>
      </c>
      <c r="G539" t="n">
        <v>46.4</v>
      </c>
      <c r="H539" t="n">
        <v>0</v>
      </c>
      <c r="I539" t="n">
        <v>0</v>
      </c>
      <c r="J539" t="n">
        <v>0</v>
      </c>
      <c r="K539" t="n">
        <v>0</v>
      </c>
      <c r="L539" t="n">
        <v>0</v>
      </c>
      <c r="M539" t="n">
        <v>0</v>
      </c>
      <c r="N539" t="n">
        <v>0</v>
      </c>
      <c r="O539" t="n">
        <v>0</v>
      </c>
      <c r="P539" t="n">
        <v>0</v>
      </c>
      <c r="Q539" t="n">
        <v>0</v>
      </c>
      <c r="R539" s="2" t="inlineStr"/>
    </row>
    <row r="540" ht="15" customHeight="1">
      <c r="A540" t="inlineStr">
        <is>
          <t>A 35532-2021</t>
        </is>
      </c>
      <c r="B540" s="1" t="n">
        <v>44385</v>
      </c>
      <c r="C540" s="1" t="n">
        <v>45569</v>
      </c>
      <c r="D540" t="inlineStr">
        <is>
          <t>JÄMTLANDS LÄN</t>
        </is>
      </c>
      <c r="E540" t="inlineStr">
        <is>
          <t>HÄRJEDALEN</t>
        </is>
      </c>
      <c r="G540" t="n">
        <v>4.3</v>
      </c>
      <c r="H540" t="n">
        <v>0</v>
      </c>
      <c r="I540" t="n">
        <v>0</v>
      </c>
      <c r="J540" t="n">
        <v>0</v>
      </c>
      <c r="K540" t="n">
        <v>0</v>
      </c>
      <c r="L540" t="n">
        <v>0</v>
      </c>
      <c r="M540" t="n">
        <v>0</v>
      </c>
      <c r="N540" t="n">
        <v>0</v>
      </c>
      <c r="O540" t="n">
        <v>0</v>
      </c>
      <c r="P540" t="n">
        <v>0</v>
      </c>
      <c r="Q540" t="n">
        <v>0</v>
      </c>
      <c r="R540" s="2" t="inlineStr"/>
    </row>
    <row r="541" ht="15" customHeight="1">
      <c r="A541" t="inlineStr">
        <is>
          <t>A 35572-2021</t>
        </is>
      </c>
      <c r="B541" s="1" t="n">
        <v>44386</v>
      </c>
      <c r="C541" s="1" t="n">
        <v>45569</v>
      </c>
      <c r="D541" t="inlineStr">
        <is>
          <t>JÄMTLANDS LÄN</t>
        </is>
      </c>
      <c r="E541" t="inlineStr">
        <is>
          <t>HÄRJEDALEN</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35573-2021</t>
        </is>
      </c>
      <c r="B542" s="1" t="n">
        <v>44386</v>
      </c>
      <c r="C542" s="1" t="n">
        <v>45569</v>
      </c>
      <c r="D542" t="inlineStr">
        <is>
          <t>JÄMTLANDS LÄN</t>
        </is>
      </c>
      <c r="E542" t="inlineStr">
        <is>
          <t>HÄRJEDALEN</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36235-2021</t>
        </is>
      </c>
      <c r="B543" s="1" t="n">
        <v>44389</v>
      </c>
      <c r="C543" s="1" t="n">
        <v>45569</v>
      </c>
      <c r="D543" t="inlineStr">
        <is>
          <t>JÄMTLANDS LÄN</t>
        </is>
      </c>
      <c r="E543" t="inlineStr">
        <is>
          <t>HÄRJEDALEN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37155-2021</t>
        </is>
      </c>
      <c r="B544" s="1" t="n">
        <v>44396</v>
      </c>
      <c r="C544" s="1" t="n">
        <v>45569</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37832-2021</t>
        </is>
      </c>
      <c r="B545" s="1" t="n">
        <v>44403</v>
      </c>
      <c r="C545" s="1" t="n">
        <v>45569</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37825-2021</t>
        </is>
      </c>
      <c r="B546" s="1" t="n">
        <v>44403</v>
      </c>
      <c r="C546" s="1" t="n">
        <v>45569</v>
      </c>
      <c r="D546" t="inlineStr">
        <is>
          <t>JÄMTLANDS LÄN</t>
        </is>
      </c>
      <c r="E546" t="inlineStr">
        <is>
          <t>HÄRJEDALEN</t>
        </is>
      </c>
      <c r="G546" t="n">
        <v>0.1</v>
      </c>
      <c r="H546" t="n">
        <v>0</v>
      </c>
      <c r="I546" t="n">
        <v>0</v>
      </c>
      <c r="J546" t="n">
        <v>0</v>
      </c>
      <c r="K546" t="n">
        <v>0</v>
      </c>
      <c r="L546" t="n">
        <v>0</v>
      </c>
      <c r="M546" t="n">
        <v>0</v>
      </c>
      <c r="N546" t="n">
        <v>0</v>
      </c>
      <c r="O546" t="n">
        <v>0</v>
      </c>
      <c r="P546" t="n">
        <v>0</v>
      </c>
      <c r="Q546" t="n">
        <v>0</v>
      </c>
      <c r="R546" s="2" t="inlineStr"/>
    </row>
    <row r="547" ht="15" customHeight="1">
      <c r="A547" t="inlineStr">
        <is>
          <t>A 38001-2021</t>
        </is>
      </c>
      <c r="B547" s="1" t="n">
        <v>44404</v>
      </c>
      <c r="C547" s="1" t="n">
        <v>45569</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38215-2021</t>
        </is>
      </c>
      <c r="B548" s="1" t="n">
        <v>44405</v>
      </c>
      <c r="C548" s="1" t="n">
        <v>45569</v>
      </c>
      <c r="D548" t="inlineStr">
        <is>
          <t>JÄMTLANDS LÄN</t>
        </is>
      </c>
      <c r="E548" t="inlineStr">
        <is>
          <t>HÄRJEDALEN</t>
        </is>
      </c>
      <c r="F548" t="inlineStr">
        <is>
          <t>Övriga Aktiebolag</t>
        </is>
      </c>
      <c r="G548" t="n">
        <v>6.4</v>
      </c>
      <c r="H548" t="n">
        <v>0</v>
      </c>
      <c r="I548" t="n">
        <v>0</v>
      </c>
      <c r="J548" t="n">
        <v>0</v>
      </c>
      <c r="K548" t="n">
        <v>0</v>
      </c>
      <c r="L548" t="n">
        <v>0</v>
      </c>
      <c r="M548" t="n">
        <v>0</v>
      </c>
      <c r="N548" t="n">
        <v>0</v>
      </c>
      <c r="O548" t="n">
        <v>0</v>
      </c>
      <c r="P548" t="n">
        <v>0</v>
      </c>
      <c r="Q548" t="n">
        <v>0</v>
      </c>
      <c r="R548" s="2" t="inlineStr"/>
    </row>
    <row r="549" ht="15" customHeight="1">
      <c r="A549" t="inlineStr">
        <is>
          <t>A 38356-2021</t>
        </is>
      </c>
      <c r="B549" s="1" t="n">
        <v>44406</v>
      </c>
      <c r="C549" s="1" t="n">
        <v>45569</v>
      </c>
      <c r="D549" t="inlineStr">
        <is>
          <t>JÄMTLANDS LÄN</t>
        </is>
      </c>
      <c r="E549" t="inlineStr">
        <is>
          <t>HÄRJEDALEN</t>
        </is>
      </c>
      <c r="G549" t="n">
        <v>5.4</v>
      </c>
      <c r="H549" t="n">
        <v>0</v>
      </c>
      <c r="I549" t="n">
        <v>0</v>
      </c>
      <c r="J549" t="n">
        <v>0</v>
      </c>
      <c r="K549" t="n">
        <v>0</v>
      </c>
      <c r="L549" t="n">
        <v>0</v>
      </c>
      <c r="M549" t="n">
        <v>0</v>
      </c>
      <c r="N549" t="n">
        <v>0</v>
      </c>
      <c r="O549" t="n">
        <v>0</v>
      </c>
      <c r="P549" t="n">
        <v>0</v>
      </c>
      <c r="Q549" t="n">
        <v>0</v>
      </c>
      <c r="R549" s="2" t="inlineStr"/>
    </row>
    <row r="550" ht="15" customHeight="1">
      <c r="A550" t="inlineStr">
        <is>
          <t>A 38794-2021</t>
        </is>
      </c>
      <c r="B550" s="1" t="n">
        <v>44410</v>
      </c>
      <c r="C550" s="1" t="n">
        <v>45569</v>
      </c>
      <c r="D550" t="inlineStr">
        <is>
          <t>JÄMTLANDS LÄN</t>
        </is>
      </c>
      <c r="E550" t="inlineStr">
        <is>
          <t>HÄRJEDALEN</t>
        </is>
      </c>
      <c r="G550" t="n">
        <v>4.2</v>
      </c>
      <c r="H550" t="n">
        <v>0</v>
      </c>
      <c r="I550" t="n">
        <v>0</v>
      </c>
      <c r="J550" t="n">
        <v>0</v>
      </c>
      <c r="K550" t="n">
        <v>0</v>
      </c>
      <c r="L550" t="n">
        <v>0</v>
      </c>
      <c r="M550" t="n">
        <v>0</v>
      </c>
      <c r="N550" t="n">
        <v>0</v>
      </c>
      <c r="O550" t="n">
        <v>0</v>
      </c>
      <c r="P550" t="n">
        <v>0</v>
      </c>
      <c r="Q550" t="n">
        <v>0</v>
      </c>
      <c r="R550" s="2" t="inlineStr"/>
    </row>
    <row r="551" ht="15" customHeight="1">
      <c r="A551" t="inlineStr">
        <is>
          <t>A 39321-2021</t>
        </is>
      </c>
      <c r="B551" s="1" t="n">
        <v>44413</v>
      </c>
      <c r="C551" s="1" t="n">
        <v>45569</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39493-2021</t>
        </is>
      </c>
      <c r="B552" s="1" t="n">
        <v>44414</v>
      </c>
      <c r="C552" s="1" t="n">
        <v>45569</v>
      </c>
      <c r="D552" t="inlineStr">
        <is>
          <t>JÄMTLANDS LÄN</t>
        </is>
      </c>
      <c r="E552" t="inlineStr">
        <is>
          <t>HÄRJEDALEN</t>
        </is>
      </c>
      <c r="G552" t="n">
        <v>13.5</v>
      </c>
      <c r="H552" t="n">
        <v>0</v>
      </c>
      <c r="I552" t="n">
        <v>0</v>
      </c>
      <c r="J552" t="n">
        <v>0</v>
      </c>
      <c r="K552" t="n">
        <v>0</v>
      </c>
      <c r="L552" t="n">
        <v>0</v>
      </c>
      <c r="M552" t="n">
        <v>0</v>
      </c>
      <c r="N552" t="n">
        <v>0</v>
      </c>
      <c r="O552" t="n">
        <v>0</v>
      </c>
      <c r="P552" t="n">
        <v>0</v>
      </c>
      <c r="Q552" t="n">
        <v>0</v>
      </c>
      <c r="R552" s="2" t="inlineStr"/>
    </row>
    <row r="553" ht="15" customHeight="1">
      <c r="A553" t="inlineStr">
        <is>
          <t>A 39492-2021</t>
        </is>
      </c>
      <c r="B553" s="1" t="n">
        <v>44414</v>
      </c>
      <c r="C553" s="1" t="n">
        <v>45569</v>
      </c>
      <c r="D553" t="inlineStr">
        <is>
          <t>JÄMTLANDS LÄN</t>
        </is>
      </c>
      <c r="E553" t="inlineStr">
        <is>
          <t>HÄRJEDALEN</t>
        </is>
      </c>
      <c r="G553" t="n">
        <v>28.3</v>
      </c>
      <c r="H553" t="n">
        <v>0</v>
      </c>
      <c r="I553" t="n">
        <v>0</v>
      </c>
      <c r="J553" t="n">
        <v>0</v>
      </c>
      <c r="K553" t="n">
        <v>0</v>
      </c>
      <c r="L553" t="n">
        <v>0</v>
      </c>
      <c r="M553" t="n">
        <v>0</v>
      </c>
      <c r="N553" t="n">
        <v>0</v>
      </c>
      <c r="O553" t="n">
        <v>0</v>
      </c>
      <c r="P553" t="n">
        <v>0</v>
      </c>
      <c r="Q553" t="n">
        <v>0</v>
      </c>
      <c r="R553" s="2" t="inlineStr"/>
    </row>
    <row r="554" ht="15" customHeight="1">
      <c r="A554" t="inlineStr">
        <is>
          <t>A 39610-2021</t>
        </is>
      </c>
      <c r="B554" s="1" t="n">
        <v>44417</v>
      </c>
      <c r="C554" s="1" t="n">
        <v>45569</v>
      </c>
      <c r="D554" t="inlineStr">
        <is>
          <t>JÄMTLANDS LÄN</t>
        </is>
      </c>
      <c r="E554" t="inlineStr">
        <is>
          <t>HÄRJEDALEN</t>
        </is>
      </c>
      <c r="G554" t="n">
        <v>5.1</v>
      </c>
      <c r="H554" t="n">
        <v>0</v>
      </c>
      <c r="I554" t="n">
        <v>0</v>
      </c>
      <c r="J554" t="n">
        <v>0</v>
      </c>
      <c r="K554" t="n">
        <v>0</v>
      </c>
      <c r="L554" t="n">
        <v>0</v>
      </c>
      <c r="M554" t="n">
        <v>0</v>
      </c>
      <c r="N554" t="n">
        <v>0</v>
      </c>
      <c r="O554" t="n">
        <v>0</v>
      </c>
      <c r="P554" t="n">
        <v>0</v>
      </c>
      <c r="Q554" t="n">
        <v>0</v>
      </c>
      <c r="R554" s="2" t="inlineStr"/>
    </row>
    <row r="555" ht="15" customHeight="1">
      <c r="A555" t="inlineStr">
        <is>
          <t>A 39616-2021</t>
        </is>
      </c>
      <c r="B555" s="1" t="n">
        <v>44417</v>
      </c>
      <c r="C555" s="1" t="n">
        <v>45569</v>
      </c>
      <c r="D555" t="inlineStr">
        <is>
          <t>JÄMTLANDS LÄN</t>
        </is>
      </c>
      <c r="E555" t="inlineStr">
        <is>
          <t>HÄRJEDALEN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39611-2021</t>
        </is>
      </c>
      <c r="B556" s="1" t="n">
        <v>44417</v>
      </c>
      <c r="C556" s="1" t="n">
        <v>45569</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39631-2021</t>
        </is>
      </c>
      <c r="B557" s="1" t="n">
        <v>44417</v>
      </c>
      <c r="C557" s="1" t="n">
        <v>45569</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39618-2021</t>
        </is>
      </c>
      <c r="B558" s="1" t="n">
        <v>44417</v>
      </c>
      <c r="C558" s="1" t="n">
        <v>45569</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39979-2021</t>
        </is>
      </c>
      <c r="B559" s="1" t="n">
        <v>44418</v>
      </c>
      <c r="C559" s="1" t="n">
        <v>45569</v>
      </c>
      <c r="D559" t="inlineStr">
        <is>
          <t>JÄMTLANDS LÄN</t>
        </is>
      </c>
      <c r="E559" t="inlineStr">
        <is>
          <t>HÄRJEDALEN</t>
        </is>
      </c>
      <c r="G559" t="n">
        <v>9</v>
      </c>
      <c r="H559" t="n">
        <v>0</v>
      </c>
      <c r="I559" t="n">
        <v>0</v>
      </c>
      <c r="J559" t="n">
        <v>0</v>
      </c>
      <c r="K559" t="n">
        <v>0</v>
      </c>
      <c r="L559" t="n">
        <v>0</v>
      </c>
      <c r="M559" t="n">
        <v>0</v>
      </c>
      <c r="N559" t="n">
        <v>0</v>
      </c>
      <c r="O559" t="n">
        <v>0</v>
      </c>
      <c r="P559" t="n">
        <v>0</v>
      </c>
      <c r="Q559" t="n">
        <v>0</v>
      </c>
      <c r="R559" s="2" t="inlineStr"/>
    </row>
    <row r="560" ht="15" customHeight="1">
      <c r="A560" t="inlineStr">
        <is>
          <t>A 39951-2021</t>
        </is>
      </c>
      <c r="B560" s="1" t="n">
        <v>44418</v>
      </c>
      <c r="C560" s="1" t="n">
        <v>45569</v>
      </c>
      <c r="D560" t="inlineStr">
        <is>
          <t>JÄMTLANDS LÄN</t>
        </is>
      </c>
      <c r="E560" t="inlineStr">
        <is>
          <t>HÄRJEDALEN</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39950-2021</t>
        </is>
      </c>
      <c r="B561" s="1" t="n">
        <v>44418</v>
      </c>
      <c r="C561" s="1" t="n">
        <v>45569</v>
      </c>
      <c r="D561" t="inlineStr">
        <is>
          <t>JÄMTLANDS LÄN</t>
        </is>
      </c>
      <c r="E561" t="inlineStr">
        <is>
          <t>HÄRJEDALEN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40412-2021</t>
        </is>
      </c>
      <c r="B562" s="1" t="n">
        <v>44419</v>
      </c>
      <c r="C562" s="1" t="n">
        <v>45569</v>
      </c>
      <c r="D562" t="inlineStr">
        <is>
          <t>JÄMTLANDS LÄN</t>
        </is>
      </c>
      <c r="E562" t="inlineStr">
        <is>
          <t>HÄRJEDALEN</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40497-2021</t>
        </is>
      </c>
      <c r="B563" s="1" t="n">
        <v>44420</v>
      </c>
      <c r="C563" s="1" t="n">
        <v>45569</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40808-2021</t>
        </is>
      </c>
      <c r="B564" s="1" t="n">
        <v>44421</v>
      </c>
      <c r="C564" s="1" t="n">
        <v>45569</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41149-2021</t>
        </is>
      </c>
      <c r="B565" s="1" t="n">
        <v>44423</v>
      </c>
      <c r="C565" s="1" t="n">
        <v>45569</v>
      </c>
      <c r="D565" t="inlineStr">
        <is>
          <t>JÄMTLANDS LÄN</t>
        </is>
      </c>
      <c r="E565" t="inlineStr">
        <is>
          <t>HÄRJEDALEN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41147-2021</t>
        </is>
      </c>
      <c r="B566" s="1" t="n">
        <v>44423</v>
      </c>
      <c r="C566" s="1" t="n">
        <v>45569</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41146-2021</t>
        </is>
      </c>
      <c r="B567" s="1" t="n">
        <v>44423</v>
      </c>
      <c r="C567" s="1" t="n">
        <v>45569</v>
      </c>
      <c r="D567" t="inlineStr">
        <is>
          <t>JÄMTLANDS LÄN</t>
        </is>
      </c>
      <c r="E567" t="inlineStr">
        <is>
          <t>HÄRJEDALEN</t>
        </is>
      </c>
      <c r="G567" t="n">
        <v>14.9</v>
      </c>
      <c r="H567" t="n">
        <v>0</v>
      </c>
      <c r="I567" t="n">
        <v>0</v>
      </c>
      <c r="J567" t="n">
        <v>0</v>
      </c>
      <c r="K567" t="n">
        <v>0</v>
      </c>
      <c r="L567" t="n">
        <v>0</v>
      </c>
      <c r="M567" t="n">
        <v>0</v>
      </c>
      <c r="N567" t="n">
        <v>0</v>
      </c>
      <c r="O567" t="n">
        <v>0</v>
      </c>
      <c r="P567" t="n">
        <v>0</v>
      </c>
      <c r="Q567" t="n">
        <v>0</v>
      </c>
      <c r="R567" s="2" t="inlineStr"/>
    </row>
    <row r="568" ht="15" customHeight="1">
      <c r="A568" t="inlineStr">
        <is>
          <t>A 41387-2021</t>
        </is>
      </c>
      <c r="B568" s="1" t="n">
        <v>44424</v>
      </c>
      <c r="C568" s="1" t="n">
        <v>45569</v>
      </c>
      <c r="D568" t="inlineStr">
        <is>
          <t>JÄMTLANDS LÄN</t>
        </is>
      </c>
      <c r="E568" t="inlineStr">
        <is>
          <t>HÄRJEDALEN</t>
        </is>
      </c>
      <c r="G568" t="n">
        <v>9.5</v>
      </c>
      <c r="H568" t="n">
        <v>0</v>
      </c>
      <c r="I568" t="n">
        <v>0</v>
      </c>
      <c r="J568" t="n">
        <v>0</v>
      </c>
      <c r="K568" t="n">
        <v>0</v>
      </c>
      <c r="L568" t="n">
        <v>0</v>
      </c>
      <c r="M568" t="n">
        <v>0</v>
      </c>
      <c r="N568" t="n">
        <v>0</v>
      </c>
      <c r="O568" t="n">
        <v>0</v>
      </c>
      <c r="P568" t="n">
        <v>0</v>
      </c>
      <c r="Q568" t="n">
        <v>0</v>
      </c>
      <c r="R568" s="2" t="inlineStr"/>
    </row>
    <row r="569" ht="15" customHeight="1">
      <c r="A569" t="inlineStr">
        <is>
          <t>A 41395-2021</t>
        </is>
      </c>
      <c r="B569" s="1" t="n">
        <v>44424</v>
      </c>
      <c r="C569" s="1" t="n">
        <v>45569</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41400-2021</t>
        </is>
      </c>
      <c r="B570" s="1" t="n">
        <v>44424</v>
      </c>
      <c r="C570" s="1" t="n">
        <v>45569</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41391-2021</t>
        </is>
      </c>
      <c r="B571" s="1" t="n">
        <v>44424</v>
      </c>
      <c r="C571" s="1" t="n">
        <v>45569</v>
      </c>
      <c r="D571" t="inlineStr">
        <is>
          <t>JÄMTLANDS LÄN</t>
        </is>
      </c>
      <c r="E571" t="inlineStr">
        <is>
          <t>HÄRJEDALEN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41978-2021</t>
        </is>
      </c>
      <c r="B572" s="1" t="n">
        <v>44426</v>
      </c>
      <c r="C572" s="1" t="n">
        <v>45569</v>
      </c>
      <c r="D572" t="inlineStr">
        <is>
          <t>JÄMTLANDS LÄN</t>
        </is>
      </c>
      <c r="E572" t="inlineStr">
        <is>
          <t>HÄRJEDALEN</t>
        </is>
      </c>
      <c r="G572" t="n">
        <v>2</v>
      </c>
      <c r="H572" t="n">
        <v>0</v>
      </c>
      <c r="I572" t="n">
        <v>0</v>
      </c>
      <c r="J572" t="n">
        <v>0</v>
      </c>
      <c r="K572" t="n">
        <v>0</v>
      </c>
      <c r="L572" t="n">
        <v>0</v>
      </c>
      <c r="M572" t="n">
        <v>0</v>
      </c>
      <c r="N572" t="n">
        <v>0</v>
      </c>
      <c r="O572" t="n">
        <v>0</v>
      </c>
      <c r="P572" t="n">
        <v>0</v>
      </c>
      <c r="Q572" t="n">
        <v>0</v>
      </c>
      <c r="R572" s="2" t="inlineStr"/>
    </row>
    <row r="573" ht="15" customHeight="1">
      <c r="A573" t="inlineStr">
        <is>
          <t>A 42827-2021</t>
        </is>
      </c>
      <c r="B573" s="1" t="n">
        <v>44430</v>
      </c>
      <c r="C573" s="1" t="n">
        <v>45569</v>
      </c>
      <c r="D573" t="inlineStr">
        <is>
          <t>JÄMTLANDS LÄN</t>
        </is>
      </c>
      <c r="E573" t="inlineStr">
        <is>
          <t>HÄRJEDALEN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44519-2021</t>
        </is>
      </c>
      <c r="B574" s="1" t="n">
        <v>44435</v>
      </c>
      <c r="C574" s="1" t="n">
        <v>45569</v>
      </c>
      <c r="D574" t="inlineStr">
        <is>
          <t>JÄMTLANDS LÄN</t>
        </is>
      </c>
      <c r="E574" t="inlineStr">
        <is>
          <t>HÄRJEDALEN</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45409-2021</t>
        </is>
      </c>
      <c r="B575" s="1" t="n">
        <v>44440</v>
      </c>
      <c r="C575" s="1" t="n">
        <v>45569</v>
      </c>
      <c r="D575" t="inlineStr">
        <is>
          <t>JÄMTLANDS LÄN</t>
        </is>
      </c>
      <c r="E575" t="inlineStr">
        <is>
          <t>HÄRJEDALEN</t>
        </is>
      </c>
      <c r="G575" t="n">
        <v>18.9</v>
      </c>
      <c r="H575" t="n">
        <v>0</v>
      </c>
      <c r="I575" t="n">
        <v>0</v>
      </c>
      <c r="J575" t="n">
        <v>0</v>
      </c>
      <c r="K575" t="n">
        <v>0</v>
      </c>
      <c r="L575" t="n">
        <v>0</v>
      </c>
      <c r="M575" t="n">
        <v>0</v>
      </c>
      <c r="N575" t="n">
        <v>0</v>
      </c>
      <c r="O575" t="n">
        <v>0</v>
      </c>
      <c r="P575" t="n">
        <v>0</v>
      </c>
      <c r="Q575" t="n">
        <v>0</v>
      </c>
      <c r="R575" s="2" t="inlineStr"/>
    </row>
    <row r="576" ht="15" customHeight="1">
      <c r="A576" t="inlineStr">
        <is>
          <t>A 45363-2021</t>
        </is>
      </c>
      <c r="B576" s="1" t="n">
        <v>44440</v>
      </c>
      <c r="C576" s="1" t="n">
        <v>45569</v>
      </c>
      <c r="D576" t="inlineStr">
        <is>
          <t>JÄMTLANDS LÄN</t>
        </is>
      </c>
      <c r="E576" t="inlineStr">
        <is>
          <t>HÄRJEDALEN</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45365-2021</t>
        </is>
      </c>
      <c r="B577" s="1" t="n">
        <v>44440</v>
      </c>
      <c r="C577" s="1" t="n">
        <v>45569</v>
      </c>
      <c r="D577" t="inlineStr">
        <is>
          <t>JÄMTLANDS LÄN</t>
        </is>
      </c>
      <c r="E577" t="inlineStr">
        <is>
          <t>HÄRJEDALEN</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45744-2021</t>
        </is>
      </c>
      <c r="B578" s="1" t="n">
        <v>44441</v>
      </c>
      <c r="C578" s="1" t="n">
        <v>45569</v>
      </c>
      <c r="D578" t="inlineStr">
        <is>
          <t>JÄMTLANDS LÄN</t>
        </is>
      </c>
      <c r="E578" t="inlineStr">
        <is>
          <t>HÄRJEDALEN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46352-2021</t>
        </is>
      </c>
      <c r="B579" s="1" t="n">
        <v>44442</v>
      </c>
      <c r="C579" s="1" t="n">
        <v>45569</v>
      </c>
      <c r="D579" t="inlineStr">
        <is>
          <t>JÄMTLANDS LÄN</t>
        </is>
      </c>
      <c r="E579" t="inlineStr">
        <is>
          <t>HÄRJEDALEN</t>
        </is>
      </c>
      <c r="G579" t="n">
        <v>4.4</v>
      </c>
      <c r="H579" t="n">
        <v>0</v>
      </c>
      <c r="I579" t="n">
        <v>0</v>
      </c>
      <c r="J579" t="n">
        <v>0</v>
      </c>
      <c r="K579" t="n">
        <v>0</v>
      </c>
      <c r="L579" t="n">
        <v>0</v>
      </c>
      <c r="M579" t="n">
        <v>0</v>
      </c>
      <c r="N579" t="n">
        <v>0</v>
      </c>
      <c r="O579" t="n">
        <v>0</v>
      </c>
      <c r="P579" t="n">
        <v>0</v>
      </c>
      <c r="Q579" t="n">
        <v>0</v>
      </c>
      <c r="R579" s="2" t="inlineStr"/>
    </row>
    <row r="580" ht="15" customHeight="1">
      <c r="A580" t="inlineStr">
        <is>
          <t>A 47289-2021</t>
        </is>
      </c>
      <c r="B580" s="1" t="n">
        <v>44447</v>
      </c>
      <c r="C580" s="1" t="n">
        <v>45569</v>
      </c>
      <c r="D580" t="inlineStr">
        <is>
          <t>JÄMTLANDS LÄN</t>
        </is>
      </c>
      <c r="E580" t="inlineStr">
        <is>
          <t>HÄRJEDALEN</t>
        </is>
      </c>
      <c r="F580" t="inlineStr">
        <is>
          <t>Holmen skog AB</t>
        </is>
      </c>
      <c r="G580" t="n">
        <v>31.7</v>
      </c>
      <c r="H580" t="n">
        <v>0</v>
      </c>
      <c r="I580" t="n">
        <v>0</v>
      </c>
      <c r="J580" t="n">
        <v>0</v>
      </c>
      <c r="K580" t="n">
        <v>0</v>
      </c>
      <c r="L580" t="n">
        <v>0</v>
      </c>
      <c r="M580" t="n">
        <v>0</v>
      </c>
      <c r="N580" t="n">
        <v>0</v>
      </c>
      <c r="O580" t="n">
        <v>0</v>
      </c>
      <c r="P580" t="n">
        <v>0</v>
      </c>
      <c r="Q580" t="n">
        <v>0</v>
      </c>
      <c r="R580" s="2" t="inlineStr"/>
    </row>
    <row r="581" ht="15" customHeight="1">
      <c r="A581" t="inlineStr">
        <is>
          <t>A 48079-2021</t>
        </is>
      </c>
      <c r="B581" s="1" t="n">
        <v>44449</v>
      </c>
      <c r="C581" s="1" t="n">
        <v>45569</v>
      </c>
      <c r="D581" t="inlineStr">
        <is>
          <t>JÄMTLANDS LÄN</t>
        </is>
      </c>
      <c r="E581" t="inlineStr">
        <is>
          <t>HÄRJEDALEN</t>
        </is>
      </c>
      <c r="G581" t="n">
        <v>12.5</v>
      </c>
      <c r="H581" t="n">
        <v>0</v>
      </c>
      <c r="I581" t="n">
        <v>0</v>
      </c>
      <c r="J581" t="n">
        <v>0</v>
      </c>
      <c r="K581" t="n">
        <v>0</v>
      </c>
      <c r="L581" t="n">
        <v>0</v>
      </c>
      <c r="M581" t="n">
        <v>0</v>
      </c>
      <c r="N581" t="n">
        <v>0</v>
      </c>
      <c r="O581" t="n">
        <v>0</v>
      </c>
      <c r="P581" t="n">
        <v>0</v>
      </c>
      <c r="Q581" t="n">
        <v>0</v>
      </c>
      <c r="R581" s="2" t="inlineStr"/>
    </row>
    <row r="582" ht="15" customHeight="1">
      <c r="A582" t="inlineStr">
        <is>
          <t>A 48132-2021</t>
        </is>
      </c>
      <c r="B582" s="1" t="n">
        <v>44449</v>
      </c>
      <c r="C582" s="1" t="n">
        <v>45569</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48142-2021</t>
        </is>
      </c>
      <c r="B583" s="1" t="n">
        <v>44449</v>
      </c>
      <c r="C583" s="1" t="n">
        <v>45569</v>
      </c>
      <c r="D583" t="inlineStr">
        <is>
          <t>JÄMTLANDS LÄN</t>
        </is>
      </c>
      <c r="E583" t="inlineStr">
        <is>
          <t>HÄRJEDALEN</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48444-2021</t>
        </is>
      </c>
      <c r="B584" s="1" t="n">
        <v>44452</v>
      </c>
      <c r="C584" s="1" t="n">
        <v>45569</v>
      </c>
      <c r="D584" t="inlineStr">
        <is>
          <t>JÄMTLANDS LÄN</t>
        </is>
      </c>
      <c r="E584" t="inlineStr">
        <is>
          <t>HÄRJEDALEN</t>
        </is>
      </c>
      <c r="F584" t="inlineStr">
        <is>
          <t>Holmen skog AB</t>
        </is>
      </c>
      <c r="G584" t="n">
        <v>7.4</v>
      </c>
      <c r="H584" t="n">
        <v>0</v>
      </c>
      <c r="I584" t="n">
        <v>0</v>
      </c>
      <c r="J584" t="n">
        <v>0</v>
      </c>
      <c r="K584" t="n">
        <v>0</v>
      </c>
      <c r="L584" t="n">
        <v>0</v>
      </c>
      <c r="M584" t="n">
        <v>0</v>
      </c>
      <c r="N584" t="n">
        <v>0</v>
      </c>
      <c r="O584" t="n">
        <v>0</v>
      </c>
      <c r="P584" t="n">
        <v>0</v>
      </c>
      <c r="Q584" t="n">
        <v>0</v>
      </c>
      <c r="R584" s="2" t="inlineStr"/>
    </row>
    <row r="585" ht="15" customHeight="1">
      <c r="A585" t="inlineStr">
        <is>
          <t>A 48586-2021</t>
        </is>
      </c>
      <c r="B585" s="1" t="n">
        <v>44452</v>
      </c>
      <c r="C585" s="1" t="n">
        <v>45569</v>
      </c>
      <c r="D585" t="inlineStr">
        <is>
          <t>JÄMTLANDS LÄN</t>
        </is>
      </c>
      <c r="E585" t="inlineStr">
        <is>
          <t>HÄRJEDALEN</t>
        </is>
      </c>
      <c r="F585" t="inlineStr">
        <is>
          <t>Holmen skog AB</t>
        </is>
      </c>
      <c r="G585" t="n">
        <v>5.2</v>
      </c>
      <c r="H585" t="n">
        <v>0</v>
      </c>
      <c r="I585" t="n">
        <v>0</v>
      </c>
      <c r="J585" t="n">
        <v>0</v>
      </c>
      <c r="K585" t="n">
        <v>0</v>
      </c>
      <c r="L585" t="n">
        <v>0</v>
      </c>
      <c r="M585" t="n">
        <v>0</v>
      </c>
      <c r="N585" t="n">
        <v>0</v>
      </c>
      <c r="O585" t="n">
        <v>0</v>
      </c>
      <c r="P585" t="n">
        <v>0</v>
      </c>
      <c r="Q585" t="n">
        <v>0</v>
      </c>
      <c r="R585" s="2" t="inlineStr"/>
    </row>
    <row r="586" ht="15" customHeight="1">
      <c r="A586" t="inlineStr">
        <is>
          <t>A 48769-2021</t>
        </is>
      </c>
      <c r="B586" s="1" t="n">
        <v>44452</v>
      </c>
      <c r="C586" s="1" t="n">
        <v>45569</v>
      </c>
      <c r="D586" t="inlineStr">
        <is>
          <t>JÄMTLANDS LÄN</t>
        </is>
      </c>
      <c r="E586" t="inlineStr">
        <is>
          <t>HÄRJEDALEN</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48681-2021</t>
        </is>
      </c>
      <c r="B587" s="1" t="n">
        <v>44452</v>
      </c>
      <c r="C587" s="1" t="n">
        <v>45569</v>
      </c>
      <c r="D587" t="inlineStr">
        <is>
          <t>JÄMTLANDS LÄN</t>
        </is>
      </c>
      <c r="E587" t="inlineStr">
        <is>
          <t>HÄRJEDALEN</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50775-2021</t>
        </is>
      </c>
      <c r="B588" s="1" t="n">
        <v>44460</v>
      </c>
      <c r="C588" s="1" t="n">
        <v>45569</v>
      </c>
      <c r="D588" t="inlineStr">
        <is>
          <t>JÄMTLANDS LÄN</t>
        </is>
      </c>
      <c r="E588" t="inlineStr">
        <is>
          <t>HÄRJEDALEN</t>
        </is>
      </c>
      <c r="F588" t="inlineStr">
        <is>
          <t>Bergvik skog väst AB</t>
        </is>
      </c>
      <c r="G588" t="n">
        <v>4.9</v>
      </c>
      <c r="H588" t="n">
        <v>0</v>
      </c>
      <c r="I588" t="n">
        <v>0</v>
      </c>
      <c r="J588" t="n">
        <v>0</v>
      </c>
      <c r="K588" t="n">
        <v>0</v>
      </c>
      <c r="L588" t="n">
        <v>0</v>
      </c>
      <c r="M588" t="n">
        <v>0</v>
      </c>
      <c r="N588" t="n">
        <v>0</v>
      </c>
      <c r="O588" t="n">
        <v>0</v>
      </c>
      <c r="P588" t="n">
        <v>0</v>
      </c>
      <c r="Q588" t="n">
        <v>0</v>
      </c>
      <c r="R588" s="2" t="inlineStr"/>
    </row>
    <row r="589" ht="15" customHeight="1">
      <c r="A589" t="inlineStr">
        <is>
          <t>A 52685-2021</t>
        </is>
      </c>
      <c r="B589" s="1" t="n">
        <v>44466</v>
      </c>
      <c r="C589" s="1" t="n">
        <v>45569</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54103-2021</t>
        </is>
      </c>
      <c r="B590" s="1" t="n">
        <v>44470</v>
      </c>
      <c r="C590" s="1" t="n">
        <v>45569</v>
      </c>
      <c r="D590" t="inlineStr">
        <is>
          <t>JÄMTLANDS LÄN</t>
        </is>
      </c>
      <c r="E590" t="inlineStr">
        <is>
          <t>HÄRJEDALEN</t>
        </is>
      </c>
      <c r="F590" t="inlineStr">
        <is>
          <t>Holmen skog AB</t>
        </is>
      </c>
      <c r="G590" t="n">
        <v>11.9</v>
      </c>
      <c r="H590" t="n">
        <v>0</v>
      </c>
      <c r="I590" t="n">
        <v>0</v>
      </c>
      <c r="J590" t="n">
        <v>0</v>
      </c>
      <c r="K590" t="n">
        <v>0</v>
      </c>
      <c r="L590" t="n">
        <v>0</v>
      </c>
      <c r="M590" t="n">
        <v>0</v>
      </c>
      <c r="N590" t="n">
        <v>0</v>
      </c>
      <c r="O590" t="n">
        <v>0</v>
      </c>
      <c r="P590" t="n">
        <v>0</v>
      </c>
      <c r="Q590" t="n">
        <v>0</v>
      </c>
      <c r="R590" s="2" t="inlineStr"/>
    </row>
    <row r="591" ht="15" customHeight="1">
      <c r="A591" t="inlineStr">
        <is>
          <t>A 54218-2021</t>
        </is>
      </c>
      <c r="B591" s="1" t="n">
        <v>44470</v>
      </c>
      <c r="C591" s="1" t="n">
        <v>45569</v>
      </c>
      <c r="D591" t="inlineStr">
        <is>
          <t>JÄMTLANDS LÄN</t>
        </is>
      </c>
      <c r="E591" t="inlineStr">
        <is>
          <t>HÄRJEDALEN</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54331-2021</t>
        </is>
      </c>
      <c r="B592" s="1" t="n">
        <v>44472</v>
      </c>
      <c r="C592" s="1" t="n">
        <v>45569</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54842-2021</t>
        </is>
      </c>
      <c r="B593" s="1" t="n">
        <v>44473</v>
      </c>
      <c r="C593" s="1" t="n">
        <v>45569</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55029-2021</t>
        </is>
      </c>
      <c r="B594" s="1" t="n">
        <v>44474</v>
      </c>
      <c r="C594" s="1" t="n">
        <v>45569</v>
      </c>
      <c r="D594" t="inlineStr">
        <is>
          <t>JÄMTLANDS LÄN</t>
        </is>
      </c>
      <c r="E594" t="inlineStr">
        <is>
          <t>HÄRJEDALEN</t>
        </is>
      </c>
      <c r="G594" t="n">
        <v>6.2</v>
      </c>
      <c r="H594" t="n">
        <v>0</v>
      </c>
      <c r="I594" t="n">
        <v>0</v>
      </c>
      <c r="J594" t="n">
        <v>0</v>
      </c>
      <c r="K594" t="n">
        <v>0</v>
      </c>
      <c r="L594" t="n">
        <v>0</v>
      </c>
      <c r="M594" t="n">
        <v>0</v>
      </c>
      <c r="N594" t="n">
        <v>0</v>
      </c>
      <c r="O594" t="n">
        <v>0</v>
      </c>
      <c r="P594" t="n">
        <v>0</v>
      </c>
      <c r="Q594" t="n">
        <v>0</v>
      </c>
      <c r="R594" s="2" t="inlineStr"/>
    </row>
    <row r="595" ht="15" customHeight="1">
      <c r="A595" t="inlineStr">
        <is>
          <t>A 55219-2021</t>
        </is>
      </c>
      <c r="B595" s="1" t="n">
        <v>44475</v>
      </c>
      <c r="C595" s="1" t="n">
        <v>45569</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55226-2021</t>
        </is>
      </c>
      <c r="B596" s="1" t="n">
        <v>44475</v>
      </c>
      <c r="C596" s="1" t="n">
        <v>45569</v>
      </c>
      <c r="D596" t="inlineStr">
        <is>
          <t>JÄMTLANDS LÄN</t>
        </is>
      </c>
      <c r="E596" t="inlineStr">
        <is>
          <t>HÄRJEDALEN</t>
        </is>
      </c>
      <c r="G596" t="n">
        <v>0.2</v>
      </c>
      <c r="H596" t="n">
        <v>0</v>
      </c>
      <c r="I596" t="n">
        <v>0</v>
      </c>
      <c r="J596" t="n">
        <v>0</v>
      </c>
      <c r="K596" t="n">
        <v>0</v>
      </c>
      <c r="L596" t="n">
        <v>0</v>
      </c>
      <c r="M596" t="n">
        <v>0</v>
      </c>
      <c r="N596" t="n">
        <v>0</v>
      </c>
      <c r="O596" t="n">
        <v>0</v>
      </c>
      <c r="P596" t="n">
        <v>0</v>
      </c>
      <c r="Q596" t="n">
        <v>0</v>
      </c>
      <c r="R596" s="2" t="inlineStr"/>
    </row>
    <row r="597" ht="15" customHeight="1">
      <c r="A597" t="inlineStr">
        <is>
          <t>A 55232-2021</t>
        </is>
      </c>
      <c r="B597" s="1" t="n">
        <v>44475</v>
      </c>
      <c r="C597" s="1" t="n">
        <v>45569</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55250-2021</t>
        </is>
      </c>
      <c r="B598" s="1" t="n">
        <v>44475</v>
      </c>
      <c r="C598" s="1" t="n">
        <v>45569</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55231-2021</t>
        </is>
      </c>
      <c r="B599" s="1" t="n">
        <v>44475</v>
      </c>
      <c r="C599" s="1" t="n">
        <v>45569</v>
      </c>
      <c r="D599" t="inlineStr">
        <is>
          <t>JÄMTLANDS LÄN</t>
        </is>
      </c>
      <c r="E599" t="inlineStr">
        <is>
          <t>HÄRJEDALEN</t>
        </is>
      </c>
      <c r="G599" t="n">
        <v>0.9</v>
      </c>
      <c r="H599" t="n">
        <v>0</v>
      </c>
      <c r="I599" t="n">
        <v>0</v>
      </c>
      <c r="J599" t="n">
        <v>0</v>
      </c>
      <c r="K599" t="n">
        <v>0</v>
      </c>
      <c r="L599" t="n">
        <v>0</v>
      </c>
      <c r="M599" t="n">
        <v>0</v>
      </c>
      <c r="N599" t="n">
        <v>0</v>
      </c>
      <c r="O599" t="n">
        <v>0</v>
      </c>
      <c r="P599" t="n">
        <v>0</v>
      </c>
      <c r="Q599" t="n">
        <v>0</v>
      </c>
      <c r="R599" s="2" t="inlineStr"/>
    </row>
    <row r="600" ht="15" customHeight="1">
      <c r="A600" t="inlineStr">
        <is>
          <t>A 55238-2021</t>
        </is>
      </c>
      <c r="B600" s="1" t="n">
        <v>44475</v>
      </c>
      <c r="C600" s="1" t="n">
        <v>45569</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55242-2021</t>
        </is>
      </c>
      <c r="B601" s="1" t="n">
        <v>44475</v>
      </c>
      <c r="C601" s="1" t="n">
        <v>45569</v>
      </c>
      <c r="D601" t="inlineStr">
        <is>
          <t>JÄMTLANDS LÄN</t>
        </is>
      </c>
      <c r="E601" t="inlineStr">
        <is>
          <t>HÄRJEDALEN</t>
        </is>
      </c>
      <c r="G601" t="n">
        <v>26</v>
      </c>
      <c r="H601" t="n">
        <v>0</v>
      </c>
      <c r="I601" t="n">
        <v>0</v>
      </c>
      <c r="J601" t="n">
        <v>0</v>
      </c>
      <c r="K601" t="n">
        <v>0</v>
      </c>
      <c r="L601" t="n">
        <v>0</v>
      </c>
      <c r="M601" t="n">
        <v>0</v>
      </c>
      <c r="N601" t="n">
        <v>0</v>
      </c>
      <c r="O601" t="n">
        <v>0</v>
      </c>
      <c r="P601" t="n">
        <v>0</v>
      </c>
      <c r="Q601" t="n">
        <v>0</v>
      </c>
      <c r="R601" s="2" t="inlineStr"/>
    </row>
    <row r="602" ht="15" customHeight="1">
      <c r="A602" t="inlineStr">
        <is>
          <t>A 55252-2021</t>
        </is>
      </c>
      <c r="B602" s="1" t="n">
        <v>44475</v>
      </c>
      <c r="C602" s="1" t="n">
        <v>45569</v>
      </c>
      <c r="D602" t="inlineStr">
        <is>
          <t>JÄMTLANDS LÄN</t>
        </is>
      </c>
      <c r="E602" t="inlineStr">
        <is>
          <t>HÄRJEDALEN</t>
        </is>
      </c>
      <c r="G602" t="n">
        <v>0.2</v>
      </c>
      <c r="H602" t="n">
        <v>0</v>
      </c>
      <c r="I602" t="n">
        <v>0</v>
      </c>
      <c r="J602" t="n">
        <v>0</v>
      </c>
      <c r="K602" t="n">
        <v>0</v>
      </c>
      <c r="L602" t="n">
        <v>0</v>
      </c>
      <c r="M602" t="n">
        <v>0</v>
      </c>
      <c r="N602" t="n">
        <v>0</v>
      </c>
      <c r="O602" t="n">
        <v>0</v>
      </c>
      <c r="P602" t="n">
        <v>0</v>
      </c>
      <c r="Q602" t="n">
        <v>0</v>
      </c>
      <c r="R602" s="2" t="inlineStr"/>
    </row>
    <row r="603" ht="15" customHeight="1">
      <c r="A603" t="inlineStr">
        <is>
          <t>A 55257-2021</t>
        </is>
      </c>
      <c r="B603" s="1" t="n">
        <v>44475</v>
      </c>
      <c r="C603" s="1" t="n">
        <v>45569</v>
      </c>
      <c r="D603" t="inlineStr">
        <is>
          <t>JÄMTLANDS LÄN</t>
        </is>
      </c>
      <c r="E603" t="inlineStr">
        <is>
          <t>HÄRJEDALEN</t>
        </is>
      </c>
      <c r="G603" t="n">
        <v>0</v>
      </c>
      <c r="H603" t="n">
        <v>0</v>
      </c>
      <c r="I603" t="n">
        <v>0</v>
      </c>
      <c r="J603" t="n">
        <v>0</v>
      </c>
      <c r="K603" t="n">
        <v>0</v>
      </c>
      <c r="L603" t="n">
        <v>0</v>
      </c>
      <c r="M603" t="n">
        <v>0</v>
      </c>
      <c r="N603" t="n">
        <v>0</v>
      </c>
      <c r="O603" t="n">
        <v>0</v>
      </c>
      <c r="P603" t="n">
        <v>0</v>
      </c>
      <c r="Q603" t="n">
        <v>0</v>
      </c>
      <c r="R603" s="2" t="inlineStr"/>
    </row>
    <row r="604" ht="15" customHeight="1">
      <c r="A604" t="inlineStr">
        <is>
          <t>A 55255-2021</t>
        </is>
      </c>
      <c r="B604" s="1" t="n">
        <v>44475</v>
      </c>
      <c r="C604" s="1" t="n">
        <v>45569</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55246-2021</t>
        </is>
      </c>
      <c r="B605" s="1" t="n">
        <v>44475</v>
      </c>
      <c r="C605" s="1" t="n">
        <v>45569</v>
      </c>
      <c r="D605" t="inlineStr">
        <is>
          <t>JÄMTLANDS LÄN</t>
        </is>
      </c>
      <c r="E605" t="inlineStr">
        <is>
          <t>HÄRJEDALEN</t>
        </is>
      </c>
      <c r="G605" t="n">
        <v>3.8</v>
      </c>
      <c r="H605" t="n">
        <v>0</v>
      </c>
      <c r="I605" t="n">
        <v>0</v>
      </c>
      <c r="J605" t="n">
        <v>0</v>
      </c>
      <c r="K605" t="n">
        <v>0</v>
      </c>
      <c r="L605" t="n">
        <v>0</v>
      </c>
      <c r="M605" t="n">
        <v>0</v>
      </c>
      <c r="N605" t="n">
        <v>0</v>
      </c>
      <c r="O605" t="n">
        <v>0</v>
      </c>
      <c r="P605" t="n">
        <v>0</v>
      </c>
      <c r="Q605" t="n">
        <v>0</v>
      </c>
      <c r="R605" s="2" t="inlineStr"/>
    </row>
    <row r="606" ht="15" customHeight="1">
      <c r="A606" t="inlineStr">
        <is>
          <t>A 55384-2021</t>
        </is>
      </c>
      <c r="B606" s="1" t="n">
        <v>44475</v>
      </c>
      <c r="C606" s="1" t="n">
        <v>45569</v>
      </c>
      <c r="D606" t="inlineStr">
        <is>
          <t>JÄMTLANDS LÄN</t>
        </is>
      </c>
      <c r="E606" t="inlineStr">
        <is>
          <t>HÄRJEDALEN</t>
        </is>
      </c>
      <c r="G606" t="n">
        <v>0.3</v>
      </c>
      <c r="H606" t="n">
        <v>0</v>
      </c>
      <c r="I606" t="n">
        <v>0</v>
      </c>
      <c r="J606" t="n">
        <v>0</v>
      </c>
      <c r="K606" t="n">
        <v>0</v>
      </c>
      <c r="L606" t="n">
        <v>0</v>
      </c>
      <c r="M606" t="n">
        <v>0</v>
      </c>
      <c r="N606" t="n">
        <v>0</v>
      </c>
      <c r="O606" t="n">
        <v>0</v>
      </c>
      <c r="P606" t="n">
        <v>0</v>
      </c>
      <c r="Q606" t="n">
        <v>0</v>
      </c>
      <c r="R606" s="2" t="inlineStr"/>
    </row>
    <row r="607" ht="15" customHeight="1">
      <c r="A607" t="inlineStr">
        <is>
          <t>A 55379-2021</t>
        </is>
      </c>
      <c r="B607" s="1" t="n">
        <v>44475</v>
      </c>
      <c r="C607" s="1" t="n">
        <v>45569</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45569</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55396-2021</t>
        </is>
      </c>
      <c r="B609" s="1" t="n">
        <v>44475</v>
      </c>
      <c r="C609" s="1" t="n">
        <v>45569</v>
      </c>
      <c r="D609" t="inlineStr">
        <is>
          <t>JÄMTLANDS LÄN</t>
        </is>
      </c>
      <c r="E609" t="inlineStr">
        <is>
          <t>HÄRJEDALEN</t>
        </is>
      </c>
      <c r="G609" t="n">
        <v>0.5</v>
      </c>
      <c r="H609" t="n">
        <v>0</v>
      </c>
      <c r="I609" t="n">
        <v>0</v>
      </c>
      <c r="J609" t="n">
        <v>0</v>
      </c>
      <c r="K609" t="n">
        <v>0</v>
      </c>
      <c r="L609" t="n">
        <v>0</v>
      </c>
      <c r="M609" t="n">
        <v>0</v>
      </c>
      <c r="N609" t="n">
        <v>0</v>
      </c>
      <c r="O609" t="n">
        <v>0</v>
      </c>
      <c r="P609" t="n">
        <v>0</v>
      </c>
      <c r="Q609" t="n">
        <v>0</v>
      </c>
      <c r="R609" s="2" t="inlineStr"/>
    </row>
    <row r="610" ht="15" customHeight="1">
      <c r="A610" t="inlineStr">
        <is>
          <t>A 55385-2021</t>
        </is>
      </c>
      <c r="B610" s="1" t="n">
        <v>44475</v>
      </c>
      <c r="C610" s="1" t="n">
        <v>45569</v>
      </c>
      <c r="D610" t="inlineStr">
        <is>
          <t>JÄMTLANDS LÄN</t>
        </is>
      </c>
      <c r="E610" t="inlineStr">
        <is>
          <t>HÄRJEDALEN</t>
        </is>
      </c>
      <c r="G610" t="n">
        <v>1</v>
      </c>
      <c r="H610" t="n">
        <v>0</v>
      </c>
      <c r="I610" t="n">
        <v>0</v>
      </c>
      <c r="J610" t="n">
        <v>0</v>
      </c>
      <c r="K610" t="n">
        <v>0</v>
      </c>
      <c r="L610" t="n">
        <v>0</v>
      </c>
      <c r="M610" t="n">
        <v>0</v>
      </c>
      <c r="N610" t="n">
        <v>0</v>
      </c>
      <c r="O610" t="n">
        <v>0</v>
      </c>
      <c r="P610" t="n">
        <v>0</v>
      </c>
      <c r="Q610" t="n">
        <v>0</v>
      </c>
      <c r="R610" s="2" t="inlineStr"/>
    </row>
    <row r="611" ht="15" customHeight="1">
      <c r="A611" t="inlineStr">
        <is>
          <t>A 55381-2021</t>
        </is>
      </c>
      <c r="B611" s="1" t="n">
        <v>44475</v>
      </c>
      <c r="C611" s="1" t="n">
        <v>45569</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55399-2021</t>
        </is>
      </c>
      <c r="B612" s="1" t="n">
        <v>44475</v>
      </c>
      <c r="C612" s="1" t="n">
        <v>45569</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55517-2021</t>
        </is>
      </c>
      <c r="B613" s="1" t="n">
        <v>44475</v>
      </c>
      <c r="C613" s="1" t="n">
        <v>45569</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55542-2021</t>
        </is>
      </c>
      <c r="B614" s="1" t="n">
        <v>44475</v>
      </c>
      <c r="C614" s="1" t="n">
        <v>45569</v>
      </c>
      <c r="D614" t="inlineStr">
        <is>
          <t>JÄMTLANDS LÄN</t>
        </is>
      </c>
      <c r="E614" t="inlineStr">
        <is>
          <t>HÄRJEDALEN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55393-2021</t>
        </is>
      </c>
      <c r="B615" s="1" t="n">
        <v>44475</v>
      </c>
      <c r="C615" s="1" t="n">
        <v>45569</v>
      </c>
      <c r="D615" t="inlineStr">
        <is>
          <t>JÄMTLANDS LÄN</t>
        </is>
      </c>
      <c r="E615" t="inlineStr">
        <is>
          <t>HÄRJEDALEN</t>
        </is>
      </c>
      <c r="G615" t="n">
        <v>3</v>
      </c>
      <c r="H615" t="n">
        <v>0</v>
      </c>
      <c r="I615" t="n">
        <v>0</v>
      </c>
      <c r="J615" t="n">
        <v>0</v>
      </c>
      <c r="K615" t="n">
        <v>0</v>
      </c>
      <c r="L615" t="n">
        <v>0</v>
      </c>
      <c r="M615" t="n">
        <v>0</v>
      </c>
      <c r="N615" t="n">
        <v>0</v>
      </c>
      <c r="O615" t="n">
        <v>0</v>
      </c>
      <c r="P615" t="n">
        <v>0</v>
      </c>
      <c r="Q615" t="n">
        <v>0</v>
      </c>
      <c r="R615" s="2" t="inlineStr"/>
    </row>
    <row r="616" ht="15" customHeight="1">
      <c r="A616" t="inlineStr">
        <is>
          <t>A 55215-2021</t>
        </is>
      </c>
      <c r="B616" s="1" t="n">
        <v>44475</v>
      </c>
      <c r="C616" s="1" t="n">
        <v>45569</v>
      </c>
      <c r="D616" t="inlineStr">
        <is>
          <t>JÄMTLANDS LÄN</t>
        </is>
      </c>
      <c r="E616" t="inlineStr">
        <is>
          <t>HÄRJEDALEN</t>
        </is>
      </c>
      <c r="G616" t="n">
        <v>3.9</v>
      </c>
      <c r="H616" t="n">
        <v>0</v>
      </c>
      <c r="I616" t="n">
        <v>0</v>
      </c>
      <c r="J616" t="n">
        <v>0</v>
      </c>
      <c r="K616" t="n">
        <v>0</v>
      </c>
      <c r="L616" t="n">
        <v>0</v>
      </c>
      <c r="M616" t="n">
        <v>0</v>
      </c>
      <c r="N616" t="n">
        <v>0</v>
      </c>
      <c r="O616" t="n">
        <v>0</v>
      </c>
      <c r="P616" t="n">
        <v>0</v>
      </c>
      <c r="Q616" t="n">
        <v>0</v>
      </c>
      <c r="R616" s="2" t="inlineStr"/>
    </row>
    <row r="617" ht="15" customHeight="1">
      <c r="A617" t="inlineStr">
        <is>
          <t>A 56852-2021</t>
        </is>
      </c>
      <c r="B617" s="1" t="n">
        <v>44481</v>
      </c>
      <c r="C617" s="1" t="n">
        <v>45569</v>
      </c>
      <c r="D617" t="inlineStr">
        <is>
          <t>JÄMTLANDS LÄN</t>
        </is>
      </c>
      <c r="E617" t="inlineStr">
        <is>
          <t>HÄRJEDALEN</t>
        </is>
      </c>
      <c r="G617" t="n">
        <v>2.8</v>
      </c>
      <c r="H617" t="n">
        <v>0</v>
      </c>
      <c r="I617" t="n">
        <v>0</v>
      </c>
      <c r="J617" t="n">
        <v>0</v>
      </c>
      <c r="K617" t="n">
        <v>0</v>
      </c>
      <c r="L617" t="n">
        <v>0</v>
      </c>
      <c r="M617" t="n">
        <v>0</v>
      </c>
      <c r="N617" t="n">
        <v>0</v>
      </c>
      <c r="O617" t="n">
        <v>0</v>
      </c>
      <c r="P617" t="n">
        <v>0</v>
      </c>
      <c r="Q617" t="n">
        <v>0</v>
      </c>
      <c r="R617" s="2" t="inlineStr"/>
    </row>
    <row r="618" ht="15" customHeight="1">
      <c r="A618" t="inlineStr">
        <is>
          <t>A 57381-2021</t>
        </is>
      </c>
      <c r="B618" s="1" t="n">
        <v>44483</v>
      </c>
      <c r="C618" s="1" t="n">
        <v>45569</v>
      </c>
      <c r="D618" t="inlineStr">
        <is>
          <t>JÄMTLANDS LÄN</t>
        </is>
      </c>
      <c r="E618" t="inlineStr">
        <is>
          <t>HÄRJEDALEN</t>
        </is>
      </c>
      <c r="G618" t="n">
        <v>17.9</v>
      </c>
      <c r="H618" t="n">
        <v>0</v>
      </c>
      <c r="I618" t="n">
        <v>0</v>
      </c>
      <c r="J618" t="n">
        <v>0</v>
      </c>
      <c r="K618" t="n">
        <v>0</v>
      </c>
      <c r="L618" t="n">
        <v>0</v>
      </c>
      <c r="M618" t="n">
        <v>0</v>
      </c>
      <c r="N618" t="n">
        <v>0</v>
      </c>
      <c r="O618" t="n">
        <v>0</v>
      </c>
      <c r="P618" t="n">
        <v>0</v>
      </c>
      <c r="Q618" t="n">
        <v>0</v>
      </c>
      <c r="R618" s="2" t="inlineStr"/>
    </row>
    <row r="619" ht="15" customHeight="1">
      <c r="A619" t="inlineStr">
        <is>
          <t>A 57256-2021</t>
        </is>
      </c>
      <c r="B619" s="1" t="n">
        <v>44483</v>
      </c>
      <c r="C619" s="1" t="n">
        <v>45569</v>
      </c>
      <c r="D619" t="inlineStr">
        <is>
          <t>JÄMTLANDS LÄN</t>
        </is>
      </c>
      <c r="E619" t="inlineStr">
        <is>
          <t>HÄRJEDALEN</t>
        </is>
      </c>
      <c r="G619" t="n">
        <v>4.5</v>
      </c>
      <c r="H619" t="n">
        <v>0</v>
      </c>
      <c r="I619" t="n">
        <v>0</v>
      </c>
      <c r="J619" t="n">
        <v>0</v>
      </c>
      <c r="K619" t="n">
        <v>0</v>
      </c>
      <c r="L619" t="n">
        <v>0</v>
      </c>
      <c r="M619" t="n">
        <v>0</v>
      </c>
      <c r="N619" t="n">
        <v>0</v>
      </c>
      <c r="O619" t="n">
        <v>0</v>
      </c>
      <c r="P619" t="n">
        <v>0</v>
      </c>
      <c r="Q619" t="n">
        <v>0</v>
      </c>
      <c r="R619" s="2" t="inlineStr"/>
    </row>
    <row r="620" ht="15" customHeight="1">
      <c r="A620" t="inlineStr">
        <is>
          <t>A 57373-2021</t>
        </is>
      </c>
      <c r="B620" s="1" t="n">
        <v>44483</v>
      </c>
      <c r="C620" s="1" t="n">
        <v>45569</v>
      </c>
      <c r="D620" t="inlineStr">
        <is>
          <t>JÄMTLANDS LÄN</t>
        </is>
      </c>
      <c r="E620" t="inlineStr">
        <is>
          <t>HÄRJEDALEN</t>
        </is>
      </c>
      <c r="G620" t="n">
        <v>10.8</v>
      </c>
      <c r="H620" t="n">
        <v>0</v>
      </c>
      <c r="I620" t="n">
        <v>0</v>
      </c>
      <c r="J620" t="n">
        <v>0</v>
      </c>
      <c r="K620" t="n">
        <v>0</v>
      </c>
      <c r="L620" t="n">
        <v>0</v>
      </c>
      <c r="M620" t="n">
        <v>0</v>
      </c>
      <c r="N620" t="n">
        <v>0</v>
      </c>
      <c r="O620" t="n">
        <v>0</v>
      </c>
      <c r="P620" t="n">
        <v>0</v>
      </c>
      <c r="Q620" t="n">
        <v>0</v>
      </c>
      <c r="R620" s="2" t="inlineStr"/>
    </row>
    <row r="621" ht="15" customHeight="1">
      <c r="A621" t="inlineStr">
        <is>
          <t>A 57755-2021</t>
        </is>
      </c>
      <c r="B621" s="1" t="n">
        <v>44484</v>
      </c>
      <c r="C621" s="1" t="n">
        <v>45569</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57782-2021</t>
        </is>
      </c>
      <c r="B622" s="1" t="n">
        <v>44484</v>
      </c>
      <c r="C622" s="1" t="n">
        <v>45569</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58451-2021</t>
        </is>
      </c>
      <c r="B623" s="1" t="n">
        <v>44488</v>
      </c>
      <c r="C623" s="1" t="n">
        <v>45569</v>
      </c>
      <c r="D623" t="inlineStr">
        <is>
          <t>JÄMTLANDS LÄN</t>
        </is>
      </c>
      <c r="E623" t="inlineStr">
        <is>
          <t>HÄRJEDALEN</t>
        </is>
      </c>
      <c r="F623" t="inlineStr">
        <is>
          <t>Naturvårdsverket</t>
        </is>
      </c>
      <c r="G623" t="n">
        <v>12</v>
      </c>
      <c r="H623" t="n">
        <v>0</v>
      </c>
      <c r="I623" t="n">
        <v>0</v>
      </c>
      <c r="J623" t="n">
        <v>0</v>
      </c>
      <c r="K623" t="n">
        <v>0</v>
      </c>
      <c r="L623" t="n">
        <v>0</v>
      </c>
      <c r="M623" t="n">
        <v>0</v>
      </c>
      <c r="N623" t="n">
        <v>0</v>
      </c>
      <c r="O623" t="n">
        <v>0</v>
      </c>
      <c r="P623" t="n">
        <v>0</v>
      </c>
      <c r="Q623" t="n">
        <v>0</v>
      </c>
      <c r="R623" s="2" t="inlineStr"/>
    </row>
    <row r="624" ht="15" customHeight="1">
      <c r="A624" t="inlineStr">
        <is>
          <t>A 59928-2021</t>
        </is>
      </c>
      <c r="B624" s="1" t="n">
        <v>44494</v>
      </c>
      <c r="C624" s="1" t="n">
        <v>45569</v>
      </c>
      <c r="D624" t="inlineStr">
        <is>
          <t>JÄMTLANDS LÄN</t>
        </is>
      </c>
      <c r="E624" t="inlineStr">
        <is>
          <t>HÄRJEDALEN</t>
        </is>
      </c>
      <c r="G624" t="n">
        <v>28.6</v>
      </c>
      <c r="H624" t="n">
        <v>0</v>
      </c>
      <c r="I624" t="n">
        <v>0</v>
      </c>
      <c r="J624" t="n">
        <v>0</v>
      </c>
      <c r="K624" t="n">
        <v>0</v>
      </c>
      <c r="L624" t="n">
        <v>0</v>
      </c>
      <c r="M624" t="n">
        <v>0</v>
      </c>
      <c r="N624" t="n">
        <v>0</v>
      </c>
      <c r="O624" t="n">
        <v>0</v>
      </c>
      <c r="P624" t="n">
        <v>0</v>
      </c>
      <c r="Q624" t="n">
        <v>0</v>
      </c>
      <c r="R624" s="2" t="inlineStr"/>
    </row>
    <row r="625" ht="15" customHeight="1">
      <c r="A625" t="inlineStr">
        <is>
          <t>A 60841-2021</t>
        </is>
      </c>
      <c r="B625" s="1" t="n">
        <v>44497</v>
      </c>
      <c r="C625" s="1" t="n">
        <v>45569</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61547-2021</t>
        </is>
      </c>
      <c r="B626" s="1" t="n">
        <v>44501</v>
      </c>
      <c r="C626" s="1" t="n">
        <v>45569</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63774-2021</t>
        </is>
      </c>
      <c r="B627" s="1" t="n">
        <v>44508</v>
      </c>
      <c r="C627" s="1" t="n">
        <v>45569</v>
      </c>
      <c r="D627" t="inlineStr">
        <is>
          <t>JÄMTLANDS LÄN</t>
        </is>
      </c>
      <c r="E627" t="inlineStr">
        <is>
          <t>HÄRJEDALEN</t>
        </is>
      </c>
      <c r="F627" t="inlineStr">
        <is>
          <t>Holmen skog AB</t>
        </is>
      </c>
      <c r="G627" t="n">
        <v>14.8</v>
      </c>
      <c r="H627" t="n">
        <v>0</v>
      </c>
      <c r="I627" t="n">
        <v>0</v>
      </c>
      <c r="J627" t="n">
        <v>0</v>
      </c>
      <c r="K627" t="n">
        <v>0</v>
      </c>
      <c r="L627" t="n">
        <v>0</v>
      </c>
      <c r="M627" t="n">
        <v>0</v>
      </c>
      <c r="N627" t="n">
        <v>0</v>
      </c>
      <c r="O627" t="n">
        <v>0</v>
      </c>
      <c r="P627" t="n">
        <v>0</v>
      </c>
      <c r="Q627" t="n">
        <v>0</v>
      </c>
      <c r="R627" s="2" t="inlineStr"/>
    </row>
    <row r="628" ht="15" customHeight="1">
      <c r="A628" t="inlineStr">
        <is>
          <t>A 64937-2021</t>
        </is>
      </c>
      <c r="B628" s="1" t="n">
        <v>44512</v>
      </c>
      <c r="C628" s="1" t="n">
        <v>45569</v>
      </c>
      <c r="D628" t="inlineStr">
        <is>
          <t>JÄMTLANDS LÄN</t>
        </is>
      </c>
      <c r="E628" t="inlineStr">
        <is>
          <t>HÄRJEDALEN</t>
        </is>
      </c>
      <c r="G628" t="n">
        <v>7</v>
      </c>
      <c r="H628" t="n">
        <v>0</v>
      </c>
      <c r="I628" t="n">
        <v>0</v>
      </c>
      <c r="J628" t="n">
        <v>0</v>
      </c>
      <c r="K628" t="n">
        <v>0</v>
      </c>
      <c r="L628" t="n">
        <v>0</v>
      </c>
      <c r="M628" t="n">
        <v>0</v>
      </c>
      <c r="N628" t="n">
        <v>0</v>
      </c>
      <c r="O628" t="n">
        <v>0</v>
      </c>
      <c r="P628" t="n">
        <v>0</v>
      </c>
      <c r="Q628" t="n">
        <v>0</v>
      </c>
      <c r="R628" s="2" t="inlineStr"/>
    </row>
    <row r="629" ht="15" customHeight="1">
      <c r="A629" t="inlineStr">
        <is>
          <t>A 65125-2021</t>
        </is>
      </c>
      <c r="B629" s="1" t="n">
        <v>44515</v>
      </c>
      <c r="C629" s="1" t="n">
        <v>45569</v>
      </c>
      <c r="D629" t="inlineStr">
        <is>
          <t>JÄMTLANDS LÄN</t>
        </is>
      </c>
      <c r="E629" t="inlineStr">
        <is>
          <t>HÄRJEDALEN</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65549-2021</t>
        </is>
      </c>
      <c r="B630" s="1" t="n">
        <v>44516</v>
      </c>
      <c r="C630" s="1" t="n">
        <v>45569</v>
      </c>
      <c r="D630" t="inlineStr">
        <is>
          <t>JÄMTLANDS LÄN</t>
        </is>
      </c>
      <c r="E630" t="inlineStr">
        <is>
          <t>HÄRJEDALEN</t>
        </is>
      </c>
      <c r="F630" t="inlineStr">
        <is>
          <t>Bergvik skog väst AB</t>
        </is>
      </c>
      <c r="G630" t="n">
        <v>7</v>
      </c>
      <c r="H630" t="n">
        <v>0</v>
      </c>
      <c r="I630" t="n">
        <v>0</v>
      </c>
      <c r="J630" t="n">
        <v>0</v>
      </c>
      <c r="K630" t="n">
        <v>0</v>
      </c>
      <c r="L630" t="n">
        <v>0</v>
      </c>
      <c r="M630" t="n">
        <v>0</v>
      </c>
      <c r="N630" t="n">
        <v>0</v>
      </c>
      <c r="O630" t="n">
        <v>0</v>
      </c>
      <c r="P630" t="n">
        <v>0</v>
      </c>
      <c r="Q630" t="n">
        <v>0</v>
      </c>
      <c r="R630" s="2" t="inlineStr"/>
    </row>
    <row r="631" ht="15" customHeight="1">
      <c r="A631" t="inlineStr">
        <is>
          <t>A 68858-2021</t>
        </is>
      </c>
      <c r="B631" s="1" t="n">
        <v>44530</v>
      </c>
      <c r="C631" s="1" t="n">
        <v>45569</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69271-2021</t>
        </is>
      </c>
      <c r="B632" s="1" t="n">
        <v>44531</v>
      </c>
      <c r="C632" s="1" t="n">
        <v>45569</v>
      </c>
      <c r="D632" t="inlineStr">
        <is>
          <t>JÄMTLANDS LÄN</t>
        </is>
      </c>
      <c r="E632" t="inlineStr">
        <is>
          <t>HÄRJEDALEN</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69501-2021</t>
        </is>
      </c>
      <c r="B633" s="1" t="n">
        <v>44531</v>
      </c>
      <c r="C633" s="1" t="n">
        <v>45569</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69490-2021</t>
        </is>
      </c>
      <c r="B634" s="1" t="n">
        <v>44531</v>
      </c>
      <c r="C634" s="1" t="n">
        <v>45569</v>
      </c>
      <c r="D634" t="inlineStr">
        <is>
          <t>JÄMTLANDS LÄN</t>
        </is>
      </c>
      <c r="E634" t="inlineStr">
        <is>
          <t>HÄRJEDALEN</t>
        </is>
      </c>
      <c r="G634" t="n">
        <v>1.9</v>
      </c>
      <c r="H634" t="n">
        <v>0</v>
      </c>
      <c r="I634" t="n">
        <v>0</v>
      </c>
      <c r="J634" t="n">
        <v>0</v>
      </c>
      <c r="K634" t="n">
        <v>0</v>
      </c>
      <c r="L634" t="n">
        <v>0</v>
      </c>
      <c r="M634" t="n">
        <v>0</v>
      </c>
      <c r="N634" t="n">
        <v>0</v>
      </c>
      <c r="O634" t="n">
        <v>0</v>
      </c>
      <c r="P634" t="n">
        <v>0</v>
      </c>
      <c r="Q634" t="n">
        <v>0</v>
      </c>
      <c r="R634" s="2" t="inlineStr"/>
    </row>
    <row r="635" ht="15" customHeight="1">
      <c r="A635" t="inlineStr">
        <is>
          <t>A 69504-2021</t>
        </is>
      </c>
      <c r="B635" s="1" t="n">
        <v>44531</v>
      </c>
      <c r="C635" s="1" t="n">
        <v>45569</v>
      </c>
      <c r="D635" t="inlineStr">
        <is>
          <t>JÄMTLANDS LÄN</t>
        </is>
      </c>
      <c r="E635" t="inlineStr">
        <is>
          <t>HÄRJEDALEN</t>
        </is>
      </c>
      <c r="G635" t="n">
        <v>11.5</v>
      </c>
      <c r="H635" t="n">
        <v>0</v>
      </c>
      <c r="I635" t="n">
        <v>0</v>
      </c>
      <c r="J635" t="n">
        <v>0</v>
      </c>
      <c r="K635" t="n">
        <v>0</v>
      </c>
      <c r="L635" t="n">
        <v>0</v>
      </c>
      <c r="M635" t="n">
        <v>0</v>
      </c>
      <c r="N635" t="n">
        <v>0</v>
      </c>
      <c r="O635" t="n">
        <v>0</v>
      </c>
      <c r="P635" t="n">
        <v>0</v>
      </c>
      <c r="Q635" t="n">
        <v>0</v>
      </c>
      <c r="R635" s="2" t="inlineStr"/>
    </row>
    <row r="636" ht="15" customHeight="1">
      <c r="A636" t="inlineStr">
        <is>
          <t>A 69499-2021</t>
        </is>
      </c>
      <c r="B636" s="1" t="n">
        <v>44531</v>
      </c>
      <c r="C636" s="1" t="n">
        <v>45569</v>
      </c>
      <c r="D636" t="inlineStr">
        <is>
          <t>JÄMTLANDS LÄN</t>
        </is>
      </c>
      <c r="E636" t="inlineStr">
        <is>
          <t>HÄRJEDALEN</t>
        </is>
      </c>
      <c r="G636" t="n">
        <v>7.5</v>
      </c>
      <c r="H636" t="n">
        <v>0</v>
      </c>
      <c r="I636" t="n">
        <v>0</v>
      </c>
      <c r="J636" t="n">
        <v>0</v>
      </c>
      <c r="K636" t="n">
        <v>0</v>
      </c>
      <c r="L636" t="n">
        <v>0</v>
      </c>
      <c r="M636" t="n">
        <v>0</v>
      </c>
      <c r="N636" t="n">
        <v>0</v>
      </c>
      <c r="O636" t="n">
        <v>0</v>
      </c>
      <c r="P636" t="n">
        <v>0</v>
      </c>
      <c r="Q636" t="n">
        <v>0</v>
      </c>
      <c r="R636" s="2" t="inlineStr"/>
    </row>
    <row r="637" ht="15" customHeight="1">
      <c r="A637" t="inlineStr">
        <is>
          <t>A 71649-2021</t>
        </is>
      </c>
      <c r="B637" s="1" t="n">
        <v>44538</v>
      </c>
      <c r="C637" s="1" t="n">
        <v>45569</v>
      </c>
      <c r="D637" t="inlineStr">
        <is>
          <t>JÄMTLANDS LÄN</t>
        </is>
      </c>
      <c r="E637" t="inlineStr">
        <is>
          <t>HÄRJEDALEN</t>
        </is>
      </c>
      <c r="F637" t="inlineStr">
        <is>
          <t>Övriga statliga verk och myndigheter</t>
        </is>
      </c>
      <c r="G637" t="n">
        <v>3.7</v>
      </c>
      <c r="H637" t="n">
        <v>0</v>
      </c>
      <c r="I637" t="n">
        <v>0</v>
      </c>
      <c r="J637" t="n">
        <v>0</v>
      </c>
      <c r="K637" t="n">
        <v>0</v>
      </c>
      <c r="L637" t="n">
        <v>0</v>
      </c>
      <c r="M637" t="n">
        <v>0</v>
      </c>
      <c r="N637" t="n">
        <v>0</v>
      </c>
      <c r="O637" t="n">
        <v>0</v>
      </c>
      <c r="P637" t="n">
        <v>0</v>
      </c>
      <c r="Q637" t="n">
        <v>0</v>
      </c>
      <c r="R637" s="2" t="inlineStr"/>
    </row>
    <row r="638" ht="15" customHeight="1">
      <c r="A638" t="inlineStr">
        <is>
          <t>A 71668-2021</t>
        </is>
      </c>
      <c r="B638" s="1" t="n">
        <v>44538</v>
      </c>
      <c r="C638" s="1" t="n">
        <v>45569</v>
      </c>
      <c r="D638" t="inlineStr">
        <is>
          <t>JÄMTLANDS LÄN</t>
        </is>
      </c>
      <c r="E638" t="inlineStr">
        <is>
          <t>HÄRJEDALEN</t>
        </is>
      </c>
      <c r="F638" t="inlineStr">
        <is>
          <t>Övriga statliga verk och myndigheter</t>
        </is>
      </c>
      <c r="G638" t="n">
        <v>3.1</v>
      </c>
      <c r="H638" t="n">
        <v>0</v>
      </c>
      <c r="I638" t="n">
        <v>0</v>
      </c>
      <c r="J638" t="n">
        <v>0</v>
      </c>
      <c r="K638" t="n">
        <v>0</v>
      </c>
      <c r="L638" t="n">
        <v>0</v>
      </c>
      <c r="M638" t="n">
        <v>0</v>
      </c>
      <c r="N638" t="n">
        <v>0</v>
      </c>
      <c r="O638" t="n">
        <v>0</v>
      </c>
      <c r="P638" t="n">
        <v>0</v>
      </c>
      <c r="Q638" t="n">
        <v>0</v>
      </c>
      <c r="R638" s="2" t="inlineStr"/>
    </row>
    <row r="639" ht="15" customHeight="1">
      <c r="A639" t="inlineStr">
        <is>
          <t>A 71638-2021</t>
        </is>
      </c>
      <c r="B639" s="1" t="n">
        <v>44538</v>
      </c>
      <c r="C639" s="1" t="n">
        <v>45569</v>
      </c>
      <c r="D639" t="inlineStr">
        <is>
          <t>JÄMTLANDS LÄN</t>
        </is>
      </c>
      <c r="E639" t="inlineStr">
        <is>
          <t>HÄRJEDALEN</t>
        </is>
      </c>
      <c r="F639" t="inlineStr">
        <is>
          <t>Övriga statliga verk och myndigheter</t>
        </is>
      </c>
      <c r="G639" t="n">
        <v>1.2</v>
      </c>
      <c r="H639" t="n">
        <v>0</v>
      </c>
      <c r="I639" t="n">
        <v>0</v>
      </c>
      <c r="J639" t="n">
        <v>0</v>
      </c>
      <c r="K639" t="n">
        <v>0</v>
      </c>
      <c r="L639" t="n">
        <v>0</v>
      </c>
      <c r="M639" t="n">
        <v>0</v>
      </c>
      <c r="N639" t="n">
        <v>0</v>
      </c>
      <c r="O639" t="n">
        <v>0</v>
      </c>
      <c r="P639" t="n">
        <v>0</v>
      </c>
      <c r="Q639" t="n">
        <v>0</v>
      </c>
      <c r="R639" s="2" t="inlineStr"/>
    </row>
    <row r="640" ht="15" customHeight="1">
      <c r="A640" t="inlineStr">
        <is>
          <t>A 71493-2021</t>
        </is>
      </c>
      <c r="B640" s="1" t="n">
        <v>44540</v>
      </c>
      <c r="C640" s="1" t="n">
        <v>45569</v>
      </c>
      <c r="D640" t="inlineStr">
        <is>
          <t>JÄMTLANDS LÄN</t>
        </is>
      </c>
      <c r="E640" t="inlineStr">
        <is>
          <t>HÄRJEDALEN</t>
        </is>
      </c>
      <c r="G640" t="n">
        <v>0.4</v>
      </c>
      <c r="H640" t="n">
        <v>0</v>
      </c>
      <c r="I640" t="n">
        <v>0</v>
      </c>
      <c r="J640" t="n">
        <v>0</v>
      </c>
      <c r="K640" t="n">
        <v>0</v>
      </c>
      <c r="L640" t="n">
        <v>0</v>
      </c>
      <c r="M640" t="n">
        <v>0</v>
      </c>
      <c r="N640" t="n">
        <v>0</v>
      </c>
      <c r="O640" t="n">
        <v>0</v>
      </c>
      <c r="P640" t="n">
        <v>0</v>
      </c>
      <c r="Q640" t="n">
        <v>0</v>
      </c>
      <c r="R640" s="2" t="inlineStr"/>
    </row>
    <row r="641" ht="15" customHeight="1">
      <c r="A641" t="inlineStr">
        <is>
          <t>A 71467-2021</t>
        </is>
      </c>
      <c r="B641" s="1" t="n">
        <v>44540</v>
      </c>
      <c r="C641" s="1" t="n">
        <v>45569</v>
      </c>
      <c r="D641" t="inlineStr">
        <is>
          <t>JÄMTLANDS LÄN</t>
        </is>
      </c>
      <c r="E641" t="inlineStr">
        <is>
          <t>HÄRJEDALEN</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71501-2021</t>
        </is>
      </c>
      <c r="B642" s="1" t="n">
        <v>44540</v>
      </c>
      <c r="C642" s="1" t="n">
        <v>45569</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71864-2021</t>
        </is>
      </c>
      <c r="B643" s="1" t="n">
        <v>44543</v>
      </c>
      <c r="C643" s="1" t="n">
        <v>45569</v>
      </c>
      <c r="D643" t="inlineStr">
        <is>
          <t>JÄMTLANDS LÄN</t>
        </is>
      </c>
      <c r="E643" t="inlineStr">
        <is>
          <t>HÄRJEDALEN</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71756-2021</t>
        </is>
      </c>
      <c r="B644" s="1" t="n">
        <v>44543</v>
      </c>
      <c r="C644" s="1" t="n">
        <v>45569</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71989-2021</t>
        </is>
      </c>
      <c r="B645" s="1" t="n">
        <v>44544</v>
      </c>
      <c r="C645" s="1" t="n">
        <v>45569</v>
      </c>
      <c r="D645" t="inlineStr">
        <is>
          <t>JÄMTLANDS LÄN</t>
        </is>
      </c>
      <c r="E645" t="inlineStr">
        <is>
          <t>HÄRJEDALEN</t>
        </is>
      </c>
      <c r="F645" t="inlineStr">
        <is>
          <t>Holmen skog AB</t>
        </is>
      </c>
      <c r="G645" t="n">
        <v>0.3</v>
      </c>
      <c r="H645" t="n">
        <v>0</v>
      </c>
      <c r="I645" t="n">
        <v>0</v>
      </c>
      <c r="J645" t="n">
        <v>0</v>
      </c>
      <c r="K645" t="n">
        <v>0</v>
      </c>
      <c r="L645" t="n">
        <v>0</v>
      </c>
      <c r="M645" t="n">
        <v>0</v>
      </c>
      <c r="N645" t="n">
        <v>0</v>
      </c>
      <c r="O645" t="n">
        <v>0</v>
      </c>
      <c r="P645" t="n">
        <v>0</v>
      </c>
      <c r="Q645" t="n">
        <v>0</v>
      </c>
      <c r="R645" s="2" t="inlineStr"/>
    </row>
    <row r="646" ht="15" customHeight="1">
      <c r="A646" t="inlineStr">
        <is>
          <t>A 72374-2021</t>
        </is>
      </c>
      <c r="B646" s="1" t="n">
        <v>44545</v>
      </c>
      <c r="C646" s="1" t="n">
        <v>45569</v>
      </c>
      <c r="D646" t="inlineStr">
        <is>
          <t>JÄMTLANDS LÄN</t>
        </is>
      </c>
      <c r="E646" t="inlineStr">
        <is>
          <t>HÄRJEDALEN</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72790-2021</t>
        </is>
      </c>
      <c r="B647" s="1" t="n">
        <v>44547</v>
      </c>
      <c r="C647" s="1" t="n">
        <v>45569</v>
      </c>
      <c r="D647" t="inlineStr">
        <is>
          <t>JÄMTLANDS LÄN</t>
        </is>
      </c>
      <c r="E647" t="inlineStr">
        <is>
          <t>HÄRJEDALEN</t>
        </is>
      </c>
      <c r="F647" t="inlineStr">
        <is>
          <t>Holmen skog AB</t>
        </is>
      </c>
      <c r="G647" t="n">
        <v>3.1</v>
      </c>
      <c r="H647" t="n">
        <v>0</v>
      </c>
      <c r="I647" t="n">
        <v>0</v>
      </c>
      <c r="J647" t="n">
        <v>0</v>
      </c>
      <c r="K647" t="n">
        <v>0</v>
      </c>
      <c r="L647" t="n">
        <v>0</v>
      </c>
      <c r="M647" t="n">
        <v>0</v>
      </c>
      <c r="N647" t="n">
        <v>0</v>
      </c>
      <c r="O647" t="n">
        <v>0</v>
      </c>
      <c r="P647" t="n">
        <v>0</v>
      </c>
      <c r="Q647" t="n">
        <v>0</v>
      </c>
      <c r="R647" s="2" t="inlineStr"/>
    </row>
    <row r="648" ht="15" customHeight="1">
      <c r="A648" t="inlineStr">
        <is>
          <t>A 73051-2021</t>
        </is>
      </c>
      <c r="B648" s="1" t="n">
        <v>44550</v>
      </c>
      <c r="C648" s="1" t="n">
        <v>45569</v>
      </c>
      <c r="D648" t="inlineStr">
        <is>
          <t>JÄMTLANDS LÄN</t>
        </is>
      </c>
      <c r="E648" t="inlineStr">
        <is>
          <t>HÄRJEDALEN</t>
        </is>
      </c>
      <c r="G648" t="n">
        <v>3.7</v>
      </c>
      <c r="H648" t="n">
        <v>0</v>
      </c>
      <c r="I648" t="n">
        <v>0</v>
      </c>
      <c r="J648" t="n">
        <v>0</v>
      </c>
      <c r="K648" t="n">
        <v>0</v>
      </c>
      <c r="L648" t="n">
        <v>0</v>
      </c>
      <c r="M648" t="n">
        <v>0</v>
      </c>
      <c r="N648" t="n">
        <v>0</v>
      </c>
      <c r="O648" t="n">
        <v>0</v>
      </c>
      <c r="P648" t="n">
        <v>0</v>
      </c>
      <c r="Q648" t="n">
        <v>0</v>
      </c>
      <c r="R648" s="2" t="inlineStr"/>
    </row>
    <row r="649" ht="15" customHeight="1">
      <c r="A649" t="inlineStr">
        <is>
          <t>A 73211-2021</t>
        </is>
      </c>
      <c r="B649" s="1" t="n">
        <v>44550</v>
      </c>
      <c r="C649" s="1" t="n">
        <v>45569</v>
      </c>
      <c r="D649" t="inlineStr">
        <is>
          <t>JÄMTLANDS LÄN</t>
        </is>
      </c>
      <c r="E649" t="inlineStr">
        <is>
          <t>HÄRJEDALEN</t>
        </is>
      </c>
      <c r="G649" t="n">
        <v>0.8</v>
      </c>
      <c r="H649" t="n">
        <v>0</v>
      </c>
      <c r="I649" t="n">
        <v>0</v>
      </c>
      <c r="J649" t="n">
        <v>0</v>
      </c>
      <c r="K649" t="n">
        <v>0</v>
      </c>
      <c r="L649" t="n">
        <v>0</v>
      </c>
      <c r="M649" t="n">
        <v>0</v>
      </c>
      <c r="N649" t="n">
        <v>0</v>
      </c>
      <c r="O649" t="n">
        <v>0</v>
      </c>
      <c r="P649" t="n">
        <v>0</v>
      </c>
      <c r="Q649" t="n">
        <v>0</v>
      </c>
      <c r="R649" s="2" t="inlineStr"/>
    </row>
    <row r="650" ht="15" customHeight="1">
      <c r="A650" t="inlineStr">
        <is>
          <t>A 73573-2021</t>
        </is>
      </c>
      <c r="B650" s="1" t="n">
        <v>44552</v>
      </c>
      <c r="C650" s="1" t="n">
        <v>45569</v>
      </c>
      <c r="D650" t="inlineStr">
        <is>
          <t>JÄMTLANDS LÄN</t>
        </is>
      </c>
      <c r="E650" t="inlineStr">
        <is>
          <t>HÄRJEDALEN</t>
        </is>
      </c>
      <c r="F650" t="inlineStr">
        <is>
          <t>Holmen skog AB</t>
        </is>
      </c>
      <c r="G650" t="n">
        <v>10.5</v>
      </c>
      <c r="H650" t="n">
        <v>0</v>
      </c>
      <c r="I650" t="n">
        <v>0</v>
      </c>
      <c r="J650" t="n">
        <v>0</v>
      </c>
      <c r="K650" t="n">
        <v>0</v>
      </c>
      <c r="L650" t="n">
        <v>0</v>
      </c>
      <c r="M650" t="n">
        <v>0</v>
      </c>
      <c r="N650" t="n">
        <v>0</v>
      </c>
      <c r="O650" t="n">
        <v>0</v>
      </c>
      <c r="P650" t="n">
        <v>0</v>
      </c>
      <c r="Q650" t="n">
        <v>0</v>
      </c>
      <c r="R650" s="2" t="inlineStr"/>
    </row>
    <row r="651" ht="15" customHeight="1">
      <c r="A651" t="inlineStr">
        <is>
          <t>A 197-2022</t>
        </is>
      </c>
      <c r="B651" s="1" t="n">
        <v>44564</v>
      </c>
      <c r="C651" s="1" t="n">
        <v>45569</v>
      </c>
      <c r="D651" t="inlineStr">
        <is>
          <t>JÄMTLANDS LÄN</t>
        </is>
      </c>
      <c r="E651" t="inlineStr">
        <is>
          <t>HÄRJEDALEN</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241-2022</t>
        </is>
      </c>
      <c r="B652" s="1" t="n">
        <v>44565</v>
      </c>
      <c r="C652" s="1" t="n">
        <v>45569</v>
      </c>
      <c r="D652" t="inlineStr">
        <is>
          <t>JÄMTLANDS LÄN</t>
        </is>
      </c>
      <c r="E652" t="inlineStr">
        <is>
          <t>HÄRJEDALEN</t>
        </is>
      </c>
      <c r="F652" t="inlineStr">
        <is>
          <t>Övriga Aktiebolag</t>
        </is>
      </c>
      <c r="G652" t="n">
        <v>16.5</v>
      </c>
      <c r="H652" t="n">
        <v>0</v>
      </c>
      <c r="I652" t="n">
        <v>0</v>
      </c>
      <c r="J652" t="n">
        <v>0</v>
      </c>
      <c r="K652" t="n">
        <v>0</v>
      </c>
      <c r="L652" t="n">
        <v>0</v>
      </c>
      <c r="M652" t="n">
        <v>0</v>
      </c>
      <c r="N652" t="n">
        <v>0</v>
      </c>
      <c r="O652" t="n">
        <v>0</v>
      </c>
      <c r="P652" t="n">
        <v>0</v>
      </c>
      <c r="Q652" t="n">
        <v>0</v>
      </c>
      <c r="R652" s="2" t="inlineStr"/>
    </row>
    <row r="653" ht="15" customHeight="1">
      <c r="A653" t="inlineStr">
        <is>
          <t>A 239-2022</t>
        </is>
      </c>
      <c r="B653" s="1" t="n">
        <v>44565</v>
      </c>
      <c r="C653" s="1" t="n">
        <v>45569</v>
      </c>
      <c r="D653" t="inlineStr">
        <is>
          <t>JÄMTLANDS LÄN</t>
        </is>
      </c>
      <c r="E653" t="inlineStr">
        <is>
          <t>HÄRJEDALEN</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240-2022</t>
        </is>
      </c>
      <c r="B654" s="1" t="n">
        <v>44565</v>
      </c>
      <c r="C654" s="1" t="n">
        <v>45569</v>
      </c>
      <c r="D654" t="inlineStr">
        <is>
          <t>JÄMTLANDS LÄN</t>
        </is>
      </c>
      <c r="E654" t="inlineStr">
        <is>
          <t>HÄRJEDALEN</t>
        </is>
      </c>
      <c r="F654" t="inlineStr">
        <is>
          <t>Övriga Aktiebolag</t>
        </is>
      </c>
      <c r="G654" t="n">
        <v>53.9</v>
      </c>
      <c r="H654" t="n">
        <v>0</v>
      </c>
      <c r="I654" t="n">
        <v>0</v>
      </c>
      <c r="J654" t="n">
        <v>0</v>
      </c>
      <c r="K654" t="n">
        <v>0</v>
      </c>
      <c r="L654" t="n">
        <v>0</v>
      </c>
      <c r="M654" t="n">
        <v>0</v>
      </c>
      <c r="N654" t="n">
        <v>0</v>
      </c>
      <c r="O654" t="n">
        <v>0</v>
      </c>
      <c r="P654" t="n">
        <v>0</v>
      </c>
      <c r="Q654" t="n">
        <v>0</v>
      </c>
      <c r="R654" s="2" t="inlineStr"/>
    </row>
    <row r="655" ht="15" customHeight="1">
      <c r="A655" t="inlineStr">
        <is>
          <t>A 537-2022</t>
        </is>
      </c>
      <c r="B655" s="1" t="n">
        <v>44566</v>
      </c>
      <c r="C655" s="1" t="n">
        <v>45569</v>
      </c>
      <c r="D655" t="inlineStr">
        <is>
          <t>JÄMTLANDS LÄN</t>
        </is>
      </c>
      <c r="E655" t="inlineStr">
        <is>
          <t>HÄRJEDALEN</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859-2022</t>
        </is>
      </c>
      <c r="B656" s="1" t="n">
        <v>44571</v>
      </c>
      <c r="C656" s="1" t="n">
        <v>45569</v>
      </c>
      <c r="D656" t="inlineStr">
        <is>
          <t>JÄMTLANDS LÄN</t>
        </is>
      </c>
      <c r="E656" t="inlineStr">
        <is>
          <t>HÄRJEDALEN</t>
        </is>
      </c>
      <c r="G656" t="n">
        <v>16.9</v>
      </c>
      <c r="H656" t="n">
        <v>0</v>
      </c>
      <c r="I656" t="n">
        <v>0</v>
      </c>
      <c r="J656" t="n">
        <v>0</v>
      </c>
      <c r="K656" t="n">
        <v>0</v>
      </c>
      <c r="L656" t="n">
        <v>0</v>
      </c>
      <c r="M656" t="n">
        <v>0</v>
      </c>
      <c r="N656" t="n">
        <v>0</v>
      </c>
      <c r="O656" t="n">
        <v>0</v>
      </c>
      <c r="P656" t="n">
        <v>0</v>
      </c>
      <c r="Q656" t="n">
        <v>0</v>
      </c>
      <c r="R656" s="2" t="inlineStr"/>
    </row>
    <row r="657" ht="15" customHeight="1">
      <c r="A657" t="inlineStr">
        <is>
          <t>A 2846-2022</t>
        </is>
      </c>
      <c r="B657" s="1" t="n">
        <v>44581</v>
      </c>
      <c r="C657" s="1" t="n">
        <v>45569</v>
      </c>
      <c r="D657" t="inlineStr">
        <is>
          <t>JÄMTLANDS LÄN</t>
        </is>
      </c>
      <c r="E657" t="inlineStr">
        <is>
          <t>HÄRJEDALEN</t>
        </is>
      </c>
      <c r="G657" t="n">
        <v>15.2</v>
      </c>
      <c r="H657" t="n">
        <v>0</v>
      </c>
      <c r="I657" t="n">
        <v>0</v>
      </c>
      <c r="J657" t="n">
        <v>0</v>
      </c>
      <c r="K657" t="n">
        <v>0</v>
      </c>
      <c r="L657" t="n">
        <v>0</v>
      </c>
      <c r="M657" t="n">
        <v>0</v>
      </c>
      <c r="N657" t="n">
        <v>0</v>
      </c>
      <c r="O657" t="n">
        <v>0</v>
      </c>
      <c r="P657" t="n">
        <v>0</v>
      </c>
      <c r="Q657" t="n">
        <v>0</v>
      </c>
      <c r="R657" s="2" t="inlineStr"/>
    </row>
    <row r="658" ht="15" customHeight="1">
      <c r="A658" t="inlineStr">
        <is>
          <t>A 3163-2022</t>
        </is>
      </c>
      <c r="B658" s="1" t="n">
        <v>44582</v>
      </c>
      <c r="C658" s="1" t="n">
        <v>45569</v>
      </c>
      <c r="D658" t="inlineStr">
        <is>
          <t>JÄMTLANDS LÄN</t>
        </is>
      </c>
      <c r="E658" t="inlineStr">
        <is>
          <t>HÄRJEDALEN</t>
        </is>
      </c>
      <c r="G658" t="n">
        <v>1.6</v>
      </c>
      <c r="H658" t="n">
        <v>0</v>
      </c>
      <c r="I658" t="n">
        <v>0</v>
      </c>
      <c r="J658" t="n">
        <v>0</v>
      </c>
      <c r="K658" t="n">
        <v>0</v>
      </c>
      <c r="L658" t="n">
        <v>0</v>
      </c>
      <c r="M658" t="n">
        <v>0</v>
      </c>
      <c r="N658" t="n">
        <v>0</v>
      </c>
      <c r="O658" t="n">
        <v>0</v>
      </c>
      <c r="P658" t="n">
        <v>0</v>
      </c>
      <c r="Q658" t="n">
        <v>0</v>
      </c>
      <c r="R658" s="2" t="inlineStr"/>
    </row>
    <row r="659" ht="15" customHeight="1">
      <c r="A659" t="inlineStr">
        <is>
          <t>A 3373-2022</t>
        </is>
      </c>
      <c r="B659" s="1" t="n">
        <v>44585</v>
      </c>
      <c r="C659" s="1" t="n">
        <v>45569</v>
      </c>
      <c r="D659" t="inlineStr">
        <is>
          <t>JÄMTLANDS LÄN</t>
        </is>
      </c>
      <c r="E659" t="inlineStr">
        <is>
          <t>HÄRJEDALEN</t>
        </is>
      </c>
      <c r="G659" t="n">
        <v>7.4</v>
      </c>
      <c r="H659" t="n">
        <v>0</v>
      </c>
      <c r="I659" t="n">
        <v>0</v>
      </c>
      <c r="J659" t="n">
        <v>0</v>
      </c>
      <c r="K659" t="n">
        <v>0</v>
      </c>
      <c r="L659" t="n">
        <v>0</v>
      </c>
      <c r="M659" t="n">
        <v>0</v>
      </c>
      <c r="N659" t="n">
        <v>0</v>
      </c>
      <c r="O659" t="n">
        <v>0</v>
      </c>
      <c r="P659" t="n">
        <v>0</v>
      </c>
      <c r="Q659" t="n">
        <v>0</v>
      </c>
      <c r="R659" s="2" t="inlineStr"/>
    </row>
    <row r="660" ht="15" customHeight="1">
      <c r="A660" t="inlineStr">
        <is>
          <t>A 4487-2022</t>
        </is>
      </c>
      <c r="B660" s="1" t="n">
        <v>44589</v>
      </c>
      <c r="C660" s="1" t="n">
        <v>45569</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4914-2022</t>
        </is>
      </c>
      <c r="B661" s="1" t="n">
        <v>44593</v>
      </c>
      <c r="C661" s="1" t="n">
        <v>45569</v>
      </c>
      <c r="D661" t="inlineStr">
        <is>
          <t>JÄMTLANDS LÄN</t>
        </is>
      </c>
      <c r="E661" t="inlineStr">
        <is>
          <t>HÄRJEDALEN</t>
        </is>
      </c>
      <c r="F661" t="inlineStr">
        <is>
          <t>Sveaskog</t>
        </is>
      </c>
      <c r="G661" t="n">
        <v>7.7</v>
      </c>
      <c r="H661" t="n">
        <v>0</v>
      </c>
      <c r="I661" t="n">
        <v>0</v>
      </c>
      <c r="J661" t="n">
        <v>0</v>
      </c>
      <c r="K661" t="n">
        <v>0</v>
      </c>
      <c r="L661" t="n">
        <v>0</v>
      </c>
      <c r="M661" t="n">
        <v>0</v>
      </c>
      <c r="N661" t="n">
        <v>0</v>
      </c>
      <c r="O661" t="n">
        <v>0</v>
      </c>
      <c r="P661" t="n">
        <v>0</v>
      </c>
      <c r="Q661" t="n">
        <v>0</v>
      </c>
      <c r="R661" s="2" t="inlineStr"/>
    </row>
    <row r="662" ht="15" customHeight="1">
      <c r="A662" t="inlineStr">
        <is>
          <t>A 6309-2022</t>
        </is>
      </c>
      <c r="B662" s="1" t="n">
        <v>44600</v>
      </c>
      <c r="C662" s="1" t="n">
        <v>45569</v>
      </c>
      <c r="D662" t="inlineStr">
        <is>
          <t>JÄMTLANDS LÄN</t>
        </is>
      </c>
      <c r="E662" t="inlineStr">
        <is>
          <t>HÄRJEDALEN</t>
        </is>
      </c>
      <c r="G662" t="n">
        <v>38.2</v>
      </c>
      <c r="H662" t="n">
        <v>0</v>
      </c>
      <c r="I662" t="n">
        <v>0</v>
      </c>
      <c r="J662" t="n">
        <v>0</v>
      </c>
      <c r="K662" t="n">
        <v>0</v>
      </c>
      <c r="L662" t="n">
        <v>0</v>
      </c>
      <c r="M662" t="n">
        <v>0</v>
      </c>
      <c r="N662" t="n">
        <v>0</v>
      </c>
      <c r="O662" t="n">
        <v>0</v>
      </c>
      <c r="P662" t="n">
        <v>0</v>
      </c>
      <c r="Q662" t="n">
        <v>0</v>
      </c>
      <c r="R662" s="2" t="inlineStr"/>
    </row>
    <row r="663" ht="15" customHeight="1">
      <c r="A663" t="inlineStr">
        <is>
          <t>A 6208-2022</t>
        </is>
      </c>
      <c r="B663" s="1" t="n">
        <v>44600</v>
      </c>
      <c r="C663" s="1" t="n">
        <v>45569</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6312-2022</t>
        </is>
      </c>
      <c r="B664" s="1" t="n">
        <v>44600</v>
      </c>
      <c r="C664" s="1" t="n">
        <v>45569</v>
      </c>
      <c r="D664" t="inlineStr">
        <is>
          <t>JÄMTLANDS LÄN</t>
        </is>
      </c>
      <c r="E664" t="inlineStr">
        <is>
          <t>HÄRJEDALEN</t>
        </is>
      </c>
      <c r="G664" t="n">
        <v>18.4</v>
      </c>
      <c r="H664" t="n">
        <v>0</v>
      </c>
      <c r="I664" t="n">
        <v>0</v>
      </c>
      <c r="J664" t="n">
        <v>0</v>
      </c>
      <c r="K664" t="n">
        <v>0</v>
      </c>
      <c r="L664" t="n">
        <v>0</v>
      </c>
      <c r="M664" t="n">
        <v>0</v>
      </c>
      <c r="N664" t="n">
        <v>0</v>
      </c>
      <c r="O664" t="n">
        <v>0</v>
      </c>
      <c r="P664" t="n">
        <v>0</v>
      </c>
      <c r="Q664" t="n">
        <v>0</v>
      </c>
      <c r="R664" s="2" t="inlineStr"/>
    </row>
    <row r="665" ht="15" customHeight="1">
      <c r="A665" t="inlineStr">
        <is>
          <t>A 6444-2022</t>
        </is>
      </c>
      <c r="B665" s="1" t="n">
        <v>44601</v>
      </c>
      <c r="C665" s="1" t="n">
        <v>45569</v>
      </c>
      <c r="D665" t="inlineStr">
        <is>
          <t>JÄMTLANDS LÄN</t>
        </is>
      </c>
      <c r="E665" t="inlineStr">
        <is>
          <t>HÄRJEDALEN</t>
        </is>
      </c>
      <c r="F665" t="inlineStr">
        <is>
          <t>Holmen skog AB</t>
        </is>
      </c>
      <c r="G665" t="n">
        <v>4.3</v>
      </c>
      <c r="H665" t="n">
        <v>0</v>
      </c>
      <c r="I665" t="n">
        <v>0</v>
      </c>
      <c r="J665" t="n">
        <v>0</v>
      </c>
      <c r="K665" t="n">
        <v>0</v>
      </c>
      <c r="L665" t="n">
        <v>0</v>
      </c>
      <c r="M665" t="n">
        <v>0</v>
      </c>
      <c r="N665" t="n">
        <v>0</v>
      </c>
      <c r="O665" t="n">
        <v>0</v>
      </c>
      <c r="P665" t="n">
        <v>0</v>
      </c>
      <c r="Q665" t="n">
        <v>0</v>
      </c>
      <c r="R665" s="2" t="inlineStr"/>
    </row>
    <row r="666" ht="15" customHeight="1">
      <c r="A666" t="inlineStr">
        <is>
          <t>A 6933-2022</t>
        </is>
      </c>
      <c r="B666" s="1" t="n">
        <v>44603</v>
      </c>
      <c r="C666" s="1" t="n">
        <v>45569</v>
      </c>
      <c r="D666" t="inlineStr">
        <is>
          <t>JÄMTLANDS LÄN</t>
        </is>
      </c>
      <c r="E666" t="inlineStr">
        <is>
          <t>HÄRJEDALEN</t>
        </is>
      </c>
      <c r="F666" t="inlineStr">
        <is>
          <t>Holmen skog AB</t>
        </is>
      </c>
      <c r="G666" t="n">
        <v>3.9</v>
      </c>
      <c r="H666" t="n">
        <v>0</v>
      </c>
      <c r="I666" t="n">
        <v>0</v>
      </c>
      <c r="J666" t="n">
        <v>0</v>
      </c>
      <c r="K666" t="n">
        <v>0</v>
      </c>
      <c r="L666" t="n">
        <v>0</v>
      </c>
      <c r="M666" t="n">
        <v>0</v>
      </c>
      <c r="N666" t="n">
        <v>0</v>
      </c>
      <c r="O666" t="n">
        <v>0</v>
      </c>
      <c r="P666" t="n">
        <v>0</v>
      </c>
      <c r="Q666" t="n">
        <v>0</v>
      </c>
      <c r="R666" s="2" t="inlineStr"/>
    </row>
    <row r="667" ht="15" customHeight="1">
      <c r="A667" t="inlineStr">
        <is>
          <t>A 6938-2022</t>
        </is>
      </c>
      <c r="B667" s="1" t="n">
        <v>44603</v>
      </c>
      <c r="C667" s="1" t="n">
        <v>45569</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6935-2022</t>
        </is>
      </c>
      <c r="B668" s="1" t="n">
        <v>44603</v>
      </c>
      <c r="C668" s="1" t="n">
        <v>45569</v>
      </c>
      <c r="D668" t="inlineStr">
        <is>
          <t>JÄMTLANDS LÄN</t>
        </is>
      </c>
      <c r="E668" t="inlineStr">
        <is>
          <t>HÄRJEDALEN</t>
        </is>
      </c>
      <c r="F668" t="inlineStr">
        <is>
          <t>Holmen skog AB</t>
        </is>
      </c>
      <c r="G668" t="n">
        <v>4</v>
      </c>
      <c r="H668" t="n">
        <v>0</v>
      </c>
      <c r="I668" t="n">
        <v>0</v>
      </c>
      <c r="J668" t="n">
        <v>0</v>
      </c>
      <c r="K668" t="n">
        <v>0</v>
      </c>
      <c r="L668" t="n">
        <v>0</v>
      </c>
      <c r="M668" t="n">
        <v>0</v>
      </c>
      <c r="N668" t="n">
        <v>0</v>
      </c>
      <c r="O668" t="n">
        <v>0</v>
      </c>
      <c r="P668" t="n">
        <v>0</v>
      </c>
      <c r="Q668" t="n">
        <v>0</v>
      </c>
      <c r="R668" s="2" t="inlineStr"/>
    </row>
    <row r="669" ht="15" customHeight="1">
      <c r="A669" t="inlineStr">
        <is>
          <t>A 6941-2022</t>
        </is>
      </c>
      <c r="B669" s="1" t="n">
        <v>44603</v>
      </c>
      <c r="C669" s="1" t="n">
        <v>45569</v>
      </c>
      <c r="D669" t="inlineStr">
        <is>
          <t>JÄMTLANDS LÄN</t>
        </is>
      </c>
      <c r="E669" t="inlineStr">
        <is>
          <t>HÄRJEDALEN</t>
        </is>
      </c>
      <c r="F669" t="inlineStr">
        <is>
          <t>Holmen skog AB</t>
        </is>
      </c>
      <c r="G669" t="n">
        <v>2.7</v>
      </c>
      <c r="H669" t="n">
        <v>0</v>
      </c>
      <c r="I669" t="n">
        <v>0</v>
      </c>
      <c r="J669" t="n">
        <v>0</v>
      </c>
      <c r="K669" t="n">
        <v>0</v>
      </c>
      <c r="L669" t="n">
        <v>0</v>
      </c>
      <c r="M669" t="n">
        <v>0</v>
      </c>
      <c r="N669" t="n">
        <v>0</v>
      </c>
      <c r="O669" t="n">
        <v>0</v>
      </c>
      <c r="P669" t="n">
        <v>0</v>
      </c>
      <c r="Q669" t="n">
        <v>0</v>
      </c>
      <c r="R669" s="2" t="inlineStr"/>
    </row>
    <row r="670" ht="15" customHeight="1">
      <c r="A670" t="inlineStr">
        <is>
          <t>A 8368-2022</t>
        </is>
      </c>
      <c r="B670" s="1" t="n">
        <v>44610</v>
      </c>
      <c r="C670" s="1" t="n">
        <v>45569</v>
      </c>
      <c r="D670" t="inlineStr">
        <is>
          <t>JÄMTLANDS LÄN</t>
        </is>
      </c>
      <c r="E670" t="inlineStr">
        <is>
          <t>HÄRJEDALEN</t>
        </is>
      </c>
      <c r="G670" t="n">
        <v>1.6</v>
      </c>
      <c r="H670" t="n">
        <v>0</v>
      </c>
      <c r="I670" t="n">
        <v>0</v>
      </c>
      <c r="J670" t="n">
        <v>0</v>
      </c>
      <c r="K670" t="n">
        <v>0</v>
      </c>
      <c r="L670" t="n">
        <v>0</v>
      </c>
      <c r="M670" t="n">
        <v>0</v>
      </c>
      <c r="N670" t="n">
        <v>0</v>
      </c>
      <c r="O670" t="n">
        <v>0</v>
      </c>
      <c r="P670" t="n">
        <v>0</v>
      </c>
      <c r="Q670" t="n">
        <v>0</v>
      </c>
      <c r="R670" s="2" t="inlineStr"/>
    </row>
    <row r="671" ht="15" customHeight="1">
      <c r="A671" t="inlineStr">
        <is>
          <t>A 8538-2022</t>
        </is>
      </c>
      <c r="B671" s="1" t="n">
        <v>44613</v>
      </c>
      <c r="C671" s="1" t="n">
        <v>45569</v>
      </c>
      <c r="D671" t="inlineStr">
        <is>
          <t>JÄMTLANDS LÄN</t>
        </is>
      </c>
      <c r="E671" t="inlineStr">
        <is>
          <t>HÄRJEDALEN</t>
        </is>
      </c>
      <c r="F671" t="inlineStr">
        <is>
          <t>Naturvårdsverket</t>
        </is>
      </c>
      <c r="G671" t="n">
        <v>0.4</v>
      </c>
      <c r="H671" t="n">
        <v>0</v>
      </c>
      <c r="I671" t="n">
        <v>0</v>
      </c>
      <c r="J671" t="n">
        <v>0</v>
      </c>
      <c r="K671" t="n">
        <v>0</v>
      </c>
      <c r="L671" t="n">
        <v>0</v>
      </c>
      <c r="M671" t="n">
        <v>0</v>
      </c>
      <c r="N671" t="n">
        <v>0</v>
      </c>
      <c r="O671" t="n">
        <v>0</v>
      </c>
      <c r="P671" t="n">
        <v>0</v>
      </c>
      <c r="Q671" t="n">
        <v>0</v>
      </c>
      <c r="R671" s="2" t="inlineStr"/>
    </row>
    <row r="672" ht="15" customHeight="1">
      <c r="A672" t="inlineStr">
        <is>
          <t>A 8823-2022</t>
        </is>
      </c>
      <c r="B672" s="1" t="n">
        <v>44614</v>
      </c>
      <c r="C672" s="1" t="n">
        <v>45569</v>
      </c>
      <c r="D672" t="inlineStr">
        <is>
          <t>JÄMTLANDS LÄN</t>
        </is>
      </c>
      <c r="E672" t="inlineStr">
        <is>
          <t>HÄRJEDALEN</t>
        </is>
      </c>
      <c r="F672" t="inlineStr">
        <is>
          <t>Naturvårdsverket</t>
        </is>
      </c>
      <c r="G672" t="n">
        <v>23.7</v>
      </c>
      <c r="H672" t="n">
        <v>0</v>
      </c>
      <c r="I672" t="n">
        <v>0</v>
      </c>
      <c r="J672" t="n">
        <v>0</v>
      </c>
      <c r="K672" t="n">
        <v>0</v>
      </c>
      <c r="L672" t="n">
        <v>0</v>
      </c>
      <c r="M672" t="n">
        <v>0</v>
      </c>
      <c r="N672" t="n">
        <v>0</v>
      </c>
      <c r="O672" t="n">
        <v>0</v>
      </c>
      <c r="P672" t="n">
        <v>0</v>
      </c>
      <c r="Q672" t="n">
        <v>0</v>
      </c>
      <c r="R672" s="2" t="inlineStr"/>
    </row>
    <row r="673" ht="15" customHeight="1">
      <c r="A673" t="inlineStr">
        <is>
          <t>A 9095-2022</t>
        </is>
      </c>
      <c r="B673" s="1" t="n">
        <v>44615</v>
      </c>
      <c r="C673" s="1" t="n">
        <v>45569</v>
      </c>
      <c r="D673" t="inlineStr">
        <is>
          <t>JÄMTLANDS LÄN</t>
        </is>
      </c>
      <c r="E673" t="inlineStr">
        <is>
          <t>HÄRJEDALEN</t>
        </is>
      </c>
      <c r="F673" t="inlineStr">
        <is>
          <t>Kyrkan</t>
        </is>
      </c>
      <c r="G673" t="n">
        <v>15.9</v>
      </c>
      <c r="H673" t="n">
        <v>0</v>
      </c>
      <c r="I673" t="n">
        <v>0</v>
      </c>
      <c r="J673" t="n">
        <v>0</v>
      </c>
      <c r="K673" t="n">
        <v>0</v>
      </c>
      <c r="L673" t="n">
        <v>0</v>
      </c>
      <c r="M673" t="n">
        <v>0</v>
      </c>
      <c r="N673" t="n">
        <v>0</v>
      </c>
      <c r="O673" t="n">
        <v>0</v>
      </c>
      <c r="P673" t="n">
        <v>0</v>
      </c>
      <c r="Q673" t="n">
        <v>0</v>
      </c>
      <c r="R673" s="2" t="inlineStr"/>
    </row>
    <row r="674" ht="15" customHeight="1">
      <c r="A674" t="inlineStr">
        <is>
          <t>A 10504-2022</t>
        </is>
      </c>
      <c r="B674" s="1" t="n">
        <v>44623</v>
      </c>
      <c r="C674" s="1" t="n">
        <v>45569</v>
      </c>
      <c r="D674" t="inlineStr">
        <is>
          <t>JÄMTLANDS LÄN</t>
        </is>
      </c>
      <c r="E674" t="inlineStr">
        <is>
          <t>HÄRJEDALEN</t>
        </is>
      </c>
      <c r="F674" t="inlineStr">
        <is>
          <t>Holmen skog AB</t>
        </is>
      </c>
      <c r="G674" t="n">
        <v>11.6</v>
      </c>
      <c r="H674" t="n">
        <v>0</v>
      </c>
      <c r="I674" t="n">
        <v>0</v>
      </c>
      <c r="J674" t="n">
        <v>0</v>
      </c>
      <c r="K674" t="n">
        <v>0</v>
      </c>
      <c r="L674" t="n">
        <v>0</v>
      </c>
      <c r="M674" t="n">
        <v>0</v>
      </c>
      <c r="N674" t="n">
        <v>0</v>
      </c>
      <c r="O674" t="n">
        <v>0</v>
      </c>
      <c r="P674" t="n">
        <v>0</v>
      </c>
      <c r="Q674" t="n">
        <v>0</v>
      </c>
      <c r="R674" s="2" t="inlineStr"/>
    </row>
    <row r="675" ht="15" customHeight="1">
      <c r="A675" t="inlineStr">
        <is>
          <t>A 10727-2022</t>
        </is>
      </c>
      <c r="B675" s="1" t="n">
        <v>44627</v>
      </c>
      <c r="C675" s="1" t="n">
        <v>45569</v>
      </c>
      <c r="D675" t="inlineStr">
        <is>
          <t>JÄMTLANDS LÄN</t>
        </is>
      </c>
      <c r="E675" t="inlineStr">
        <is>
          <t>HÄRJEDALEN</t>
        </is>
      </c>
      <c r="F675" t="inlineStr">
        <is>
          <t>Holmen skog AB</t>
        </is>
      </c>
      <c r="G675" t="n">
        <v>12.6</v>
      </c>
      <c r="H675" t="n">
        <v>0</v>
      </c>
      <c r="I675" t="n">
        <v>0</v>
      </c>
      <c r="J675" t="n">
        <v>0</v>
      </c>
      <c r="K675" t="n">
        <v>0</v>
      </c>
      <c r="L675" t="n">
        <v>0</v>
      </c>
      <c r="M675" t="n">
        <v>0</v>
      </c>
      <c r="N675" t="n">
        <v>0</v>
      </c>
      <c r="O675" t="n">
        <v>0</v>
      </c>
      <c r="P675" t="n">
        <v>0</v>
      </c>
      <c r="Q675" t="n">
        <v>0</v>
      </c>
      <c r="R675" s="2" t="inlineStr"/>
    </row>
    <row r="676" ht="15" customHeight="1">
      <c r="A676" t="inlineStr">
        <is>
          <t>A 10741-2022</t>
        </is>
      </c>
      <c r="B676" s="1" t="n">
        <v>44627</v>
      </c>
      <c r="C676" s="1" t="n">
        <v>45569</v>
      </c>
      <c r="D676" t="inlineStr">
        <is>
          <t>JÄMTLANDS LÄN</t>
        </is>
      </c>
      <c r="E676" t="inlineStr">
        <is>
          <t>HÄRJEDALEN</t>
        </is>
      </c>
      <c r="F676" t="inlineStr">
        <is>
          <t>Holmen skog AB</t>
        </is>
      </c>
      <c r="G676" t="n">
        <v>8</v>
      </c>
      <c r="H676" t="n">
        <v>0</v>
      </c>
      <c r="I676" t="n">
        <v>0</v>
      </c>
      <c r="J676" t="n">
        <v>0</v>
      </c>
      <c r="K676" t="n">
        <v>0</v>
      </c>
      <c r="L676" t="n">
        <v>0</v>
      </c>
      <c r="M676" t="n">
        <v>0</v>
      </c>
      <c r="N676" t="n">
        <v>0</v>
      </c>
      <c r="O676" t="n">
        <v>0</v>
      </c>
      <c r="P676" t="n">
        <v>0</v>
      </c>
      <c r="Q676" t="n">
        <v>0</v>
      </c>
      <c r="R676" s="2" t="inlineStr"/>
    </row>
    <row r="677" ht="15" customHeight="1">
      <c r="A677" t="inlineStr">
        <is>
          <t>A 10956-2022</t>
        </is>
      </c>
      <c r="B677" s="1" t="n">
        <v>44628</v>
      </c>
      <c r="C677" s="1" t="n">
        <v>45569</v>
      </c>
      <c r="D677" t="inlineStr">
        <is>
          <t>JÄMTLANDS LÄN</t>
        </is>
      </c>
      <c r="E677" t="inlineStr">
        <is>
          <t>HÄRJEDALEN</t>
        </is>
      </c>
      <c r="F677" t="inlineStr">
        <is>
          <t>Holmen skog AB</t>
        </is>
      </c>
      <c r="G677" t="n">
        <v>21.8</v>
      </c>
      <c r="H677" t="n">
        <v>0</v>
      </c>
      <c r="I677" t="n">
        <v>0</v>
      </c>
      <c r="J677" t="n">
        <v>0</v>
      </c>
      <c r="K677" t="n">
        <v>0</v>
      </c>
      <c r="L677" t="n">
        <v>0</v>
      </c>
      <c r="M677" t="n">
        <v>0</v>
      </c>
      <c r="N677" t="n">
        <v>0</v>
      </c>
      <c r="O677" t="n">
        <v>0</v>
      </c>
      <c r="P677" t="n">
        <v>0</v>
      </c>
      <c r="Q677" t="n">
        <v>0</v>
      </c>
      <c r="R677" s="2" t="inlineStr"/>
    </row>
    <row r="678" ht="15" customHeight="1">
      <c r="A678" t="inlineStr">
        <is>
          <t>A 10959-2022</t>
        </is>
      </c>
      <c r="B678" s="1" t="n">
        <v>44628</v>
      </c>
      <c r="C678" s="1" t="n">
        <v>45569</v>
      </c>
      <c r="D678" t="inlineStr">
        <is>
          <t>JÄMTLANDS LÄN</t>
        </is>
      </c>
      <c r="E678" t="inlineStr">
        <is>
          <t>HÄRJEDALEN</t>
        </is>
      </c>
      <c r="G678" t="n">
        <v>2.1</v>
      </c>
      <c r="H678" t="n">
        <v>0</v>
      </c>
      <c r="I678" t="n">
        <v>0</v>
      </c>
      <c r="J678" t="n">
        <v>0</v>
      </c>
      <c r="K678" t="n">
        <v>0</v>
      </c>
      <c r="L678" t="n">
        <v>0</v>
      </c>
      <c r="M678" t="n">
        <v>0</v>
      </c>
      <c r="N678" t="n">
        <v>0</v>
      </c>
      <c r="O678" t="n">
        <v>0</v>
      </c>
      <c r="P678" t="n">
        <v>0</v>
      </c>
      <c r="Q678" t="n">
        <v>0</v>
      </c>
      <c r="R678" s="2" t="inlineStr"/>
    </row>
    <row r="679" ht="15" customHeight="1">
      <c r="A679" t="inlineStr">
        <is>
          <t>A 11334-2022</t>
        </is>
      </c>
      <c r="B679" s="1" t="n">
        <v>44630</v>
      </c>
      <c r="C679" s="1" t="n">
        <v>45569</v>
      </c>
      <c r="D679" t="inlineStr">
        <is>
          <t>JÄMTLANDS LÄN</t>
        </is>
      </c>
      <c r="E679" t="inlineStr">
        <is>
          <t>HÄRJEDALEN</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11512-2022</t>
        </is>
      </c>
      <c r="B680" s="1" t="n">
        <v>44631</v>
      </c>
      <c r="C680" s="1" t="n">
        <v>45569</v>
      </c>
      <c r="D680" t="inlineStr">
        <is>
          <t>JÄMTLANDS LÄN</t>
        </is>
      </c>
      <c r="E680" t="inlineStr">
        <is>
          <t>HÄRJEDALEN</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11528-2022</t>
        </is>
      </c>
      <c r="B681" s="1" t="n">
        <v>44631</v>
      </c>
      <c r="C681" s="1" t="n">
        <v>45569</v>
      </c>
      <c r="D681" t="inlineStr">
        <is>
          <t>JÄMTLANDS LÄN</t>
        </is>
      </c>
      <c r="E681" t="inlineStr">
        <is>
          <t>HÄRJEDALEN</t>
        </is>
      </c>
      <c r="F681" t="inlineStr">
        <is>
          <t>Holmen skog AB</t>
        </is>
      </c>
      <c r="G681" t="n">
        <v>6.1</v>
      </c>
      <c r="H681" t="n">
        <v>0</v>
      </c>
      <c r="I681" t="n">
        <v>0</v>
      </c>
      <c r="J681" t="n">
        <v>0</v>
      </c>
      <c r="K681" t="n">
        <v>0</v>
      </c>
      <c r="L681" t="n">
        <v>0</v>
      </c>
      <c r="M681" t="n">
        <v>0</v>
      </c>
      <c r="N681" t="n">
        <v>0</v>
      </c>
      <c r="O681" t="n">
        <v>0</v>
      </c>
      <c r="P681" t="n">
        <v>0</v>
      </c>
      <c r="Q681" t="n">
        <v>0</v>
      </c>
      <c r="R681" s="2" t="inlineStr"/>
    </row>
    <row r="682" ht="15" customHeight="1">
      <c r="A682" t="inlineStr">
        <is>
          <t>A 11553-2022</t>
        </is>
      </c>
      <c r="B682" s="1" t="n">
        <v>44631</v>
      </c>
      <c r="C682" s="1" t="n">
        <v>45569</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11525-2022</t>
        </is>
      </c>
      <c r="B683" s="1" t="n">
        <v>44631</v>
      </c>
      <c r="C683" s="1" t="n">
        <v>45569</v>
      </c>
      <c r="D683" t="inlineStr">
        <is>
          <t>JÄMTLANDS LÄN</t>
        </is>
      </c>
      <c r="E683" t="inlineStr">
        <is>
          <t>HÄRJEDALEN</t>
        </is>
      </c>
      <c r="F683" t="inlineStr">
        <is>
          <t>Holmen skog AB</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11545-2022</t>
        </is>
      </c>
      <c r="B684" s="1" t="n">
        <v>44631</v>
      </c>
      <c r="C684" s="1" t="n">
        <v>45569</v>
      </c>
      <c r="D684" t="inlineStr">
        <is>
          <t>JÄMTLANDS LÄN</t>
        </is>
      </c>
      <c r="E684" t="inlineStr">
        <is>
          <t>HÄRJEDALEN</t>
        </is>
      </c>
      <c r="F684" t="inlineStr">
        <is>
          <t>Holmen skog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11522-2022</t>
        </is>
      </c>
      <c r="B685" s="1" t="n">
        <v>44631</v>
      </c>
      <c r="C685" s="1" t="n">
        <v>45569</v>
      </c>
      <c r="D685" t="inlineStr">
        <is>
          <t>JÄMTLANDS LÄN</t>
        </is>
      </c>
      <c r="E685" t="inlineStr">
        <is>
          <t>HÄRJEDALEN</t>
        </is>
      </c>
      <c r="F685" t="inlineStr">
        <is>
          <t>Holmen skog AB</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11527-2022</t>
        </is>
      </c>
      <c r="B686" s="1" t="n">
        <v>44631</v>
      </c>
      <c r="C686" s="1" t="n">
        <v>45569</v>
      </c>
      <c r="D686" t="inlineStr">
        <is>
          <t>JÄMTLANDS LÄN</t>
        </is>
      </c>
      <c r="E686" t="inlineStr">
        <is>
          <t>HÄRJEDALEN</t>
        </is>
      </c>
      <c r="F686" t="inlineStr">
        <is>
          <t>Holmen skog AB</t>
        </is>
      </c>
      <c r="G686" t="n">
        <v>4.6</v>
      </c>
      <c r="H686" t="n">
        <v>0</v>
      </c>
      <c r="I686" t="n">
        <v>0</v>
      </c>
      <c r="J686" t="n">
        <v>0</v>
      </c>
      <c r="K686" t="n">
        <v>0</v>
      </c>
      <c r="L686" t="n">
        <v>0</v>
      </c>
      <c r="M686" t="n">
        <v>0</v>
      </c>
      <c r="N686" t="n">
        <v>0</v>
      </c>
      <c r="O686" t="n">
        <v>0</v>
      </c>
      <c r="P686" t="n">
        <v>0</v>
      </c>
      <c r="Q686" t="n">
        <v>0</v>
      </c>
      <c r="R686" s="2" t="inlineStr"/>
    </row>
    <row r="687" ht="15" customHeight="1">
      <c r="A687" t="inlineStr">
        <is>
          <t>A 11557-2022</t>
        </is>
      </c>
      <c r="B687" s="1" t="n">
        <v>44631</v>
      </c>
      <c r="C687" s="1" t="n">
        <v>45569</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11541-2022</t>
        </is>
      </c>
      <c r="B688" s="1" t="n">
        <v>44631</v>
      </c>
      <c r="C688" s="1" t="n">
        <v>45569</v>
      </c>
      <c r="D688" t="inlineStr">
        <is>
          <t>JÄMTLANDS LÄN</t>
        </is>
      </c>
      <c r="E688" t="inlineStr">
        <is>
          <t>HÄRJEDALEN</t>
        </is>
      </c>
      <c r="F688" t="inlineStr">
        <is>
          <t>Holmen skog AB</t>
        </is>
      </c>
      <c r="G688" t="n">
        <v>5.5</v>
      </c>
      <c r="H688" t="n">
        <v>0</v>
      </c>
      <c r="I688" t="n">
        <v>0</v>
      </c>
      <c r="J688" t="n">
        <v>0</v>
      </c>
      <c r="K688" t="n">
        <v>0</v>
      </c>
      <c r="L688" t="n">
        <v>0</v>
      </c>
      <c r="M688" t="n">
        <v>0</v>
      </c>
      <c r="N688" t="n">
        <v>0</v>
      </c>
      <c r="O688" t="n">
        <v>0</v>
      </c>
      <c r="P688" t="n">
        <v>0</v>
      </c>
      <c r="Q688" t="n">
        <v>0</v>
      </c>
      <c r="R688" s="2" t="inlineStr"/>
    </row>
    <row r="689" ht="15" customHeight="1">
      <c r="A689" t="inlineStr">
        <is>
          <t>A 11551-2022</t>
        </is>
      </c>
      <c r="B689" s="1" t="n">
        <v>44631</v>
      </c>
      <c r="C689" s="1" t="n">
        <v>45569</v>
      </c>
      <c r="D689" t="inlineStr">
        <is>
          <t>JÄMTLANDS LÄN</t>
        </is>
      </c>
      <c r="E689" t="inlineStr">
        <is>
          <t>HÄRJEDALEN</t>
        </is>
      </c>
      <c r="F689" t="inlineStr">
        <is>
          <t>Holmen skog AB</t>
        </is>
      </c>
      <c r="G689" t="n">
        <v>17.6</v>
      </c>
      <c r="H689" t="n">
        <v>0</v>
      </c>
      <c r="I689" t="n">
        <v>0</v>
      </c>
      <c r="J689" t="n">
        <v>0</v>
      </c>
      <c r="K689" t="n">
        <v>0</v>
      </c>
      <c r="L689" t="n">
        <v>0</v>
      </c>
      <c r="M689" t="n">
        <v>0</v>
      </c>
      <c r="N689" t="n">
        <v>0</v>
      </c>
      <c r="O689" t="n">
        <v>0</v>
      </c>
      <c r="P689" t="n">
        <v>0</v>
      </c>
      <c r="Q689" t="n">
        <v>0</v>
      </c>
      <c r="R689" s="2" t="inlineStr"/>
    </row>
    <row r="690" ht="15" customHeight="1">
      <c r="A690" t="inlineStr">
        <is>
          <t>A 12468-2022</t>
        </is>
      </c>
      <c r="B690" s="1" t="n">
        <v>44638</v>
      </c>
      <c r="C690" s="1" t="n">
        <v>45569</v>
      </c>
      <c r="D690" t="inlineStr">
        <is>
          <t>JÄMTLANDS LÄN</t>
        </is>
      </c>
      <c r="E690" t="inlineStr">
        <is>
          <t>HÄRJEDALEN</t>
        </is>
      </c>
      <c r="G690" t="n">
        <v>2.5</v>
      </c>
      <c r="H690" t="n">
        <v>0</v>
      </c>
      <c r="I690" t="n">
        <v>0</v>
      </c>
      <c r="J690" t="n">
        <v>0</v>
      </c>
      <c r="K690" t="n">
        <v>0</v>
      </c>
      <c r="L690" t="n">
        <v>0</v>
      </c>
      <c r="M690" t="n">
        <v>0</v>
      </c>
      <c r="N690" t="n">
        <v>0</v>
      </c>
      <c r="O690" t="n">
        <v>0</v>
      </c>
      <c r="P690" t="n">
        <v>0</v>
      </c>
      <c r="Q690" t="n">
        <v>0</v>
      </c>
      <c r="R690" s="2" t="inlineStr"/>
    </row>
    <row r="691" ht="15" customHeight="1">
      <c r="A691" t="inlineStr">
        <is>
          <t>A 12810-2022</t>
        </is>
      </c>
      <c r="B691" s="1" t="n">
        <v>44642</v>
      </c>
      <c r="C691" s="1" t="n">
        <v>45569</v>
      </c>
      <c r="D691" t="inlineStr">
        <is>
          <t>JÄMTLANDS LÄN</t>
        </is>
      </c>
      <c r="E691" t="inlineStr">
        <is>
          <t>HÄRJEDALEN</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13081-2022</t>
        </is>
      </c>
      <c r="B692" s="1" t="n">
        <v>44643</v>
      </c>
      <c r="C692" s="1" t="n">
        <v>45569</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13991-2022</t>
        </is>
      </c>
      <c r="B693" s="1" t="n">
        <v>44650</v>
      </c>
      <c r="C693" s="1" t="n">
        <v>45569</v>
      </c>
      <c r="D693" t="inlineStr">
        <is>
          <t>JÄMTLANDS LÄN</t>
        </is>
      </c>
      <c r="E693" t="inlineStr">
        <is>
          <t>HÄRJEDALEN</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15374-2022</t>
        </is>
      </c>
      <c r="B694" s="1" t="n">
        <v>44659</v>
      </c>
      <c r="C694" s="1" t="n">
        <v>45569</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15611-2022</t>
        </is>
      </c>
      <c r="B695" s="1" t="n">
        <v>44662</v>
      </c>
      <c r="C695" s="1" t="n">
        <v>45569</v>
      </c>
      <c r="D695" t="inlineStr">
        <is>
          <t>JÄMTLANDS LÄN</t>
        </is>
      </c>
      <c r="E695" t="inlineStr">
        <is>
          <t>HÄRJEDALEN</t>
        </is>
      </c>
      <c r="F695" t="inlineStr">
        <is>
          <t>Kyrkan</t>
        </is>
      </c>
      <c r="G695" t="n">
        <v>6.9</v>
      </c>
      <c r="H695" t="n">
        <v>0</v>
      </c>
      <c r="I695" t="n">
        <v>0</v>
      </c>
      <c r="J695" t="n">
        <v>0</v>
      </c>
      <c r="K695" t="n">
        <v>0</v>
      </c>
      <c r="L695" t="n">
        <v>0</v>
      </c>
      <c r="M695" t="n">
        <v>0</v>
      </c>
      <c r="N695" t="n">
        <v>0</v>
      </c>
      <c r="O695" t="n">
        <v>0</v>
      </c>
      <c r="P695" t="n">
        <v>0</v>
      </c>
      <c r="Q695" t="n">
        <v>0</v>
      </c>
      <c r="R695" s="2" t="inlineStr"/>
    </row>
    <row r="696" ht="15" customHeight="1">
      <c r="A696" t="inlineStr">
        <is>
          <t>A 15763-2022</t>
        </is>
      </c>
      <c r="B696" s="1" t="n">
        <v>44663</v>
      </c>
      <c r="C696" s="1" t="n">
        <v>45569</v>
      </c>
      <c r="D696" t="inlineStr">
        <is>
          <t>JÄMTLANDS LÄN</t>
        </is>
      </c>
      <c r="E696" t="inlineStr">
        <is>
          <t>HÄRJEDALEN</t>
        </is>
      </c>
      <c r="G696" t="n">
        <v>4.4</v>
      </c>
      <c r="H696" t="n">
        <v>0</v>
      </c>
      <c r="I696" t="n">
        <v>0</v>
      </c>
      <c r="J696" t="n">
        <v>0</v>
      </c>
      <c r="K696" t="n">
        <v>0</v>
      </c>
      <c r="L696" t="n">
        <v>0</v>
      </c>
      <c r="M696" t="n">
        <v>0</v>
      </c>
      <c r="N696" t="n">
        <v>0</v>
      </c>
      <c r="O696" t="n">
        <v>0</v>
      </c>
      <c r="P696" t="n">
        <v>0</v>
      </c>
      <c r="Q696" t="n">
        <v>0</v>
      </c>
      <c r="R696" s="2" t="inlineStr"/>
    </row>
    <row r="697" ht="15" customHeight="1">
      <c r="A697" t="inlineStr">
        <is>
          <t>A 16014-2022</t>
        </is>
      </c>
      <c r="B697" s="1" t="n">
        <v>44665</v>
      </c>
      <c r="C697" s="1" t="n">
        <v>45569</v>
      </c>
      <c r="D697" t="inlineStr">
        <is>
          <t>JÄMTLANDS LÄN</t>
        </is>
      </c>
      <c r="E697" t="inlineStr">
        <is>
          <t>HÄRJEDALEN</t>
        </is>
      </c>
      <c r="G697" t="n">
        <v>38.7</v>
      </c>
      <c r="H697" t="n">
        <v>0</v>
      </c>
      <c r="I697" t="n">
        <v>0</v>
      </c>
      <c r="J697" t="n">
        <v>0</v>
      </c>
      <c r="K697" t="n">
        <v>0</v>
      </c>
      <c r="L697" t="n">
        <v>0</v>
      </c>
      <c r="M697" t="n">
        <v>0</v>
      </c>
      <c r="N697" t="n">
        <v>0</v>
      </c>
      <c r="O697" t="n">
        <v>0</v>
      </c>
      <c r="P697" t="n">
        <v>0</v>
      </c>
      <c r="Q697" t="n">
        <v>0</v>
      </c>
      <c r="R697" s="2" t="inlineStr"/>
    </row>
    <row r="698" ht="15" customHeight="1">
      <c r="A698" t="inlineStr">
        <is>
          <t>A 17805-2022</t>
        </is>
      </c>
      <c r="B698" s="1" t="n">
        <v>44683</v>
      </c>
      <c r="C698" s="1" t="n">
        <v>45569</v>
      </c>
      <c r="D698" t="inlineStr">
        <is>
          <t>JÄMTLANDS LÄN</t>
        </is>
      </c>
      <c r="E698" t="inlineStr">
        <is>
          <t>HÄRJEDALEN</t>
        </is>
      </c>
      <c r="G698" t="n">
        <v>15.7</v>
      </c>
      <c r="H698" t="n">
        <v>0</v>
      </c>
      <c r="I698" t="n">
        <v>0</v>
      </c>
      <c r="J698" t="n">
        <v>0</v>
      </c>
      <c r="K698" t="n">
        <v>0</v>
      </c>
      <c r="L698" t="n">
        <v>0</v>
      </c>
      <c r="M698" t="n">
        <v>0</v>
      </c>
      <c r="N698" t="n">
        <v>0</v>
      </c>
      <c r="O698" t="n">
        <v>0</v>
      </c>
      <c r="P698" t="n">
        <v>0</v>
      </c>
      <c r="Q698" t="n">
        <v>0</v>
      </c>
      <c r="R698" s="2" t="inlineStr"/>
    </row>
    <row r="699" ht="15" customHeight="1">
      <c r="A699" t="inlineStr">
        <is>
          <t>A 17797-2022</t>
        </is>
      </c>
      <c r="B699" s="1" t="n">
        <v>44683</v>
      </c>
      <c r="C699" s="1" t="n">
        <v>45569</v>
      </c>
      <c r="D699" t="inlineStr">
        <is>
          <t>JÄMTLANDS LÄN</t>
        </is>
      </c>
      <c r="E699" t="inlineStr">
        <is>
          <t>HÄRJEDALEN</t>
        </is>
      </c>
      <c r="G699" t="n">
        <v>15.4</v>
      </c>
      <c r="H699" t="n">
        <v>0</v>
      </c>
      <c r="I699" t="n">
        <v>0</v>
      </c>
      <c r="J699" t="n">
        <v>0</v>
      </c>
      <c r="K699" t="n">
        <v>0</v>
      </c>
      <c r="L699" t="n">
        <v>0</v>
      </c>
      <c r="M699" t="n">
        <v>0</v>
      </c>
      <c r="N699" t="n">
        <v>0</v>
      </c>
      <c r="O699" t="n">
        <v>0</v>
      </c>
      <c r="P699" t="n">
        <v>0</v>
      </c>
      <c r="Q699" t="n">
        <v>0</v>
      </c>
      <c r="R699" s="2" t="inlineStr"/>
    </row>
    <row r="700" ht="15" customHeight="1">
      <c r="A700" t="inlineStr">
        <is>
          <t>A 17935-2022</t>
        </is>
      </c>
      <c r="B700" s="1" t="n">
        <v>44683</v>
      </c>
      <c r="C700" s="1" t="n">
        <v>45569</v>
      </c>
      <c r="D700" t="inlineStr">
        <is>
          <t>JÄMTLANDS LÄN</t>
        </is>
      </c>
      <c r="E700" t="inlineStr">
        <is>
          <t>HÄRJEDALEN</t>
        </is>
      </c>
      <c r="G700" t="n">
        <v>4.2</v>
      </c>
      <c r="H700" t="n">
        <v>0</v>
      </c>
      <c r="I700" t="n">
        <v>0</v>
      </c>
      <c r="J700" t="n">
        <v>0</v>
      </c>
      <c r="K700" t="n">
        <v>0</v>
      </c>
      <c r="L700" t="n">
        <v>0</v>
      </c>
      <c r="M700" t="n">
        <v>0</v>
      </c>
      <c r="N700" t="n">
        <v>0</v>
      </c>
      <c r="O700" t="n">
        <v>0</v>
      </c>
      <c r="P700" t="n">
        <v>0</v>
      </c>
      <c r="Q700" t="n">
        <v>0</v>
      </c>
      <c r="R700" s="2" t="inlineStr"/>
    </row>
    <row r="701" ht="15" customHeight="1">
      <c r="A701" t="inlineStr">
        <is>
          <t>A 18169-2022</t>
        </is>
      </c>
      <c r="B701" s="1" t="n">
        <v>44684</v>
      </c>
      <c r="C701" s="1" t="n">
        <v>45569</v>
      </c>
      <c r="D701" t="inlineStr">
        <is>
          <t>JÄMTLANDS LÄN</t>
        </is>
      </c>
      <c r="E701" t="inlineStr">
        <is>
          <t>HÄRJEDALEN</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18778-2022</t>
        </is>
      </c>
      <c r="B702" s="1" t="n">
        <v>44689</v>
      </c>
      <c r="C702" s="1" t="n">
        <v>45569</v>
      </c>
      <c r="D702" t="inlineStr">
        <is>
          <t>JÄMTLANDS LÄN</t>
        </is>
      </c>
      <c r="E702" t="inlineStr">
        <is>
          <t>HÄRJEDALEN</t>
        </is>
      </c>
      <c r="G702" t="n">
        <v>4.1</v>
      </c>
      <c r="H702" t="n">
        <v>0</v>
      </c>
      <c r="I702" t="n">
        <v>0</v>
      </c>
      <c r="J702" t="n">
        <v>0</v>
      </c>
      <c r="K702" t="n">
        <v>0</v>
      </c>
      <c r="L702" t="n">
        <v>0</v>
      </c>
      <c r="M702" t="n">
        <v>0</v>
      </c>
      <c r="N702" t="n">
        <v>0</v>
      </c>
      <c r="O702" t="n">
        <v>0</v>
      </c>
      <c r="P702" t="n">
        <v>0</v>
      </c>
      <c r="Q702" t="n">
        <v>0</v>
      </c>
      <c r="R702" s="2" t="inlineStr"/>
    </row>
    <row r="703" ht="15" customHeight="1">
      <c r="A703" t="inlineStr">
        <is>
          <t>A 18808-2022</t>
        </is>
      </c>
      <c r="B703" s="1" t="n">
        <v>44690</v>
      </c>
      <c r="C703" s="1" t="n">
        <v>45569</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20059-2022</t>
        </is>
      </c>
      <c r="B704" s="1" t="n">
        <v>44698</v>
      </c>
      <c r="C704" s="1" t="n">
        <v>45569</v>
      </c>
      <c r="D704" t="inlineStr">
        <is>
          <t>JÄMTLANDS LÄN</t>
        </is>
      </c>
      <c r="E704" t="inlineStr">
        <is>
          <t>HÄRJEDALEN</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20206-2022</t>
        </is>
      </c>
      <c r="B705" s="1" t="n">
        <v>44698</v>
      </c>
      <c r="C705" s="1" t="n">
        <v>45569</v>
      </c>
      <c r="D705" t="inlineStr">
        <is>
          <t>JÄMTLANDS LÄN</t>
        </is>
      </c>
      <c r="E705" t="inlineStr">
        <is>
          <t>HÄRJEDALEN</t>
        </is>
      </c>
      <c r="F705" t="inlineStr">
        <is>
          <t>Bergvik skog väst AB</t>
        </is>
      </c>
      <c r="G705" t="n">
        <v>5.8</v>
      </c>
      <c r="H705" t="n">
        <v>0</v>
      </c>
      <c r="I705" t="n">
        <v>0</v>
      </c>
      <c r="J705" t="n">
        <v>0</v>
      </c>
      <c r="K705" t="n">
        <v>0</v>
      </c>
      <c r="L705" t="n">
        <v>0</v>
      </c>
      <c r="M705" t="n">
        <v>0</v>
      </c>
      <c r="N705" t="n">
        <v>0</v>
      </c>
      <c r="O705" t="n">
        <v>0</v>
      </c>
      <c r="P705" t="n">
        <v>0</v>
      </c>
      <c r="Q705" t="n">
        <v>0</v>
      </c>
      <c r="R705" s="2" t="inlineStr"/>
    </row>
    <row r="706" ht="15" customHeight="1">
      <c r="A706" t="inlineStr">
        <is>
          <t>A 21610-2022</t>
        </is>
      </c>
      <c r="B706" s="1" t="n">
        <v>44706</v>
      </c>
      <c r="C706" s="1" t="n">
        <v>45569</v>
      </c>
      <c r="D706" t="inlineStr">
        <is>
          <t>JÄMTLANDS LÄN</t>
        </is>
      </c>
      <c r="E706" t="inlineStr">
        <is>
          <t>HÄRJEDALEN</t>
        </is>
      </c>
      <c r="F706" t="inlineStr">
        <is>
          <t>Holmen skog AB</t>
        </is>
      </c>
      <c r="G706" t="n">
        <v>15.3</v>
      </c>
      <c r="H706" t="n">
        <v>0</v>
      </c>
      <c r="I706" t="n">
        <v>0</v>
      </c>
      <c r="J706" t="n">
        <v>0</v>
      </c>
      <c r="K706" t="n">
        <v>0</v>
      </c>
      <c r="L706" t="n">
        <v>0</v>
      </c>
      <c r="M706" t="n">
        <v>0</v>
      </c>
      <c r="N706" t="n">
        <v>0</v>
      </c>
      <c r="O706" t="n">
        <v>0</v>
      </c>
      <c r="P706" t="n">
        <v>0</v>
      </c>
      <c r="Q706" t="n">
        <v>0</v>
      </c>
      <c r="R706" s="2" t="inlineStr"/>
    </row>
    <row r="707" ht="15" customHeight="1">
      <c r="A707" t="inlineStr">
        <is>
          <t>A 21767-2022</t>
        </is>
      </c>
      <c r="B707" s="1" t="n">
        <v>44708</v>
      </c>
      <c r="C707" s="1" t="n">
        <v>45569</v>
      </c>
      <c r="D707" t="inlineStr">
        <is>
          <t>JÄMTLANDS LÄN</t>
        </is>
      </c>
      <c r="E707" t="inlineStr">
        <is>
          <t>HÄRJEDALEN</t>
        </is>
      </c>
      <c r="F707" t="inlineStr">
        <is>
          <t>Holmen skog AB</t>
        </is>
      </c>
      <c r="G707" t="n">
        <v>8.1</v>
      </c>
      <c r="H707" t="n">
        <v>0</v>
      </c>
      <c r="I707" t="n">
        <v>0</v>
      </c>
      <c r="J707" t="n">
        <v>0</v>
      </c>
      <c r="K707" t="n">
        <v>0</v>
      </c>
      <c r="L707" t="n">
        <v>0</v>
      </c>
      <c r="M707" t="n">
        <v>0</v>
      </c>
      <c r="N707" t="n">
        <v>0</v>
      </c>
      <c r="O707" t="n">
        <v>0</v>
      </c>
      <c r="P707" t="n">
        <v>0</v>
      </c>
      <c r="Q707" t="n">
        <v>0</v>
      </c>
      <c r="R707" s="2" t="inlineStr"/>
    </row>
    <row r="708" ht="15" customHeight="1">
      <c r="A708" t="inlineStr">
        <is>
          <t>A 21774-2022</t>
        </is>
      </c>
      <c r="B708" s="1" t="n">
        <v>44708</v>
      </c>
      <c r="C708" s="1" t="n">
        <v>45569</v>
      </c>
      <c r="D708" t="inlineStr">
        <is>
          <t>JÄMTLANDS LÄN</t>
        </is>
      </c>
      <c r="E708" t="inlineStr">
        <is>
          <t>HÄRJEDALEN</t>
        </is>
      </c>
      <c r="F708" t="inlineStr">
        <is>
          <t>Holmen skog AB</t>
        </is>
      </c>
      <c r="G708" t="n">
        <v>17.3</v>
      </c>
      <c r="H708" t="n">
        <v>0</v>
      </c>
      <c r="I708" t="n">
        <v>0</v>
      </c>
      <c r="J708" t="n">
        <v>0</v>
      </c>
      <c r="K708" t="n">
        <v>0</v>
      </c>
      <c r="L708" t="n">
        <v>0</v>
      </c>
      <c r="M708" t="n">
        <v>0</v>
      </c>
      <c r="N708" t="n">
        <v>0</v>
      </c>
      <c r="O708" t="n">
        <v>0</v>
      </c>
      <c r="P708" t="n">
        <v>0</v>
      </c>
      <c r="Q708" t="n">
        <v>0</v>
      </c>
      <c r="R708" s="2" t="inlineStr"/>
    </row>
    <row r="709" ht="15" customHeight="1">
      <c r="A709" t="inlineStr">
        <is>
          <t>A 21778-2022</t>
        </is>
      </c>
      <c r="B709" s="1" t="n">
        <v>44708</v>
      </c>
      <c r="C709" s="1" t="n">
        <v>45569</v>
      </c>
      <c r="D709" t="inlineStr">
        <is>
          <t>JÄMTLANDS LÄN</t>
        </is>
      </c>
      <c r="E709" t="inlineStr">
        <is>
          <t>HÄRJEDALEN</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21770-2022</t>
        </is>
      </c>
      <c r="B710" s="1" t="n">
        <v>44708</v>
      </c>
      <c r="C710" s="1" t="n">
        <v>45569</v>
      </c>
      <c r="D710" t="inlineStr">
        <is>
          <t>JÄMTLANDS LÄN</t>
        </is>
      </c>
      <c r="E710" t="inlineStr">
        <is>
          <t>HÄRJEDALEN</t>
        </is>
      </c>
      <c r="F710" t="inlineStr">
        <is>
          <t>Holmen skog AB</t>
        </is>
      </c>
      <c r="G710" t="n">
        <v>2.2</v>
      </c>
      <c r="H710" t="n">
        <v>0</v>
      </c>
      <c r="I710" t="n">
        <v>0</v>
      </c>
      <c r="J710" t="n">
        <v>0</v>
      </c>
      <c r="K710" t="n">
        <v>0</v>
      </c>
      <c r="L710" t="n">
        <v>0</v>
      </c>
      <c r="M710" t="n">
        <v>0</v>
      </c>
      <c r="N710" t="n">
        <v>0</v>
      </c>
      <c r="O710" t="n">
        <v>0</v>
      </c>
      <c r="P710" t="n">
        <v>0</v>
      </c>
      <c r="Q710" t="n">
        <v>0</v>
      </c>
      <c r="R710" s="2" t="inlineStr"/>
    </row>
    <row r="711" ht="15" customHeight="1">
      <c r="A711" t="inlineStr">
        <is>
          <t>A 21781-2022</t>
        </is>
      </c>
      <c r="B711" s="1" t="n">
        <v>44708</v>
      </c>
      <c r="C711" s="1" t="n">
        <v>45569</v>
      </c>
      <c r="D711" t="inlineStr">
        <is>
          <t>JÄMTLANDS LÄN</t>
        </is>
      </c>
      <c r="E711" t="inlineStr">
        <is>
          <t>HÄRJEDALEN</t>
        </is>
      </c>
      <c r="F711" t="inlineStr">
        <is>
          <t>Holmen skog AB</t>
        </is>
      </c>
      <c r="G711" t="n">
        <v>16.3</v>
      </c>
      <c r="H711" t="n">
        <v>0</v>
      </c>
      <c r="I711" t="n">
        <v>0</v>
      </c>
      <c r="J711" t="n">
        <v>0</v>
      </c>
      <c r="K711" t="n">
        <v>0</v>
      </c>
      <c r="L711" t="n">
        <v>0</v>
      </c>
      <c r="M711" t="n">
        <v>0</v>
      </c>
      <c r="N711" t="n">
        <v>0</v>
      </c>
      <c r="O711" t="n">
        <v>0</v>
      </c>
      <c r="P711" t="n">
        <v>0</v>
      </c>
      <c r="Q711" t="n">
        <v>0</v>
      </c>
      <c r="R711" s="2" t="inlineStr"/>
    </row>
    <row r="712" ht="15" customHeight="1">
      <c r="A712" t="inlineStr">
        <is>
          <t>A 21796-2022</t>
        </is>
      </c>
      <c r="B712" s="1" t="n">
        <v>44708</v>
      </c>
      <c r="C712" s="1" t="n">
        <v>45569</v>
      </c>
      <c r="D712" t="inlineStr">
        <is>
          <t>JÄMTLANDS LÄN</t>
        </is>
      </c>
      <c r="E712" t="inlineStr">
        <is>
          <t>HÄRJEDALEN</t>
        </is>
      </c>
      <c r="F712" t="inlineStr">
        <is>
          <t>Holmen skog AB</t>
        </is>
      </c>
      <c r="G712" t="n">
        <v>22.3</v>
      </c>
      <c r="H712" t="n">
        <v>0</v>
      </c>
      <c r="I712" t="n">
        <v>0</v>
      </c>
      <c r="J712" t="n">
        <v>0</v>
      </c>
      <c r="K712" t="n">
        <v>0</v>
      </c>
      <c r="L712" t="n">
        <v>0</v>
      </c>
      <c r="M712" t="n">
        <v>0</v>
      </c>
      <c r="N712" t="n">
        <v>0</v>
      </c>
      <c r="O712" t="n">
        <v>0</v>
      </c>
      <c r="P712" t="n">
        <v>0</v>
      </c>
      <c r="Q712" t="n">
        <v>0</v>
      </c>
      <c r="R712" s="2" t="inlineStr"/>
    </row>
    <row r="713" ht="15" customHeight="1">
      <c r="A713" t="inlineStr">
        <is>
          <t>A 22166-2022</t>
        </is>
      </c>
      <c r="B713" s="1" t="n">
        <v>44712</v>
      </c>
      <c r="C713" s="1" t="n">
        <v>45569</v>
      </c>
      <c r="D713" t="inlineStr">
        <is>
          <t>JÄMTLANDS LÄN</t>
        </is>
      </c>
      <c r="E713" t="inlineStr">
        <is>
          <t>HÄRJEDALEN</t>
        </is>
      </c>
      <c r="F713" t="inlineStr">
        <is>
          <t>Holmen skog AB</t>
        </is>
      </c>
      <c r="G713" t="n">
        <v>5.6</v>
      </c>
      <c r="H713" t="n">
        <v>0</v>
      </c>
      <c r="I713" t="n">
        <v>0</v>
      </c>
      <c r="J713" t="n">
        <v>0</v>
      </c>
      <c r="K713" t="n">
        <v>0</v>
      </c>
      <c r="L713" t="n">
        <v>0</v>
      </c>
      <c r="M713" t="n">
        <v>0</v>
      </c>
      <c r="N713" t="n">
        <v>0</v>
      </c>
      <c r="O713" t="n">
        <v>0</v>
      </c>
      <c r="P713" t="n">
        <v>0</v>
      </c>
      <c r="Q713" t="n">
        <v>0</v>
      </c>
      <c r="R713" s="2" t="inlineStr"/>
    </row>
    <row r="714" ht="15" customHeight="1">
      <c r="A714" t="inlineStr">
        <is>
          <t>A 23074-2022</t>
        </is>
      </c>
      <c r="B714" s="1" t="n">
        <v>44719</v>
      </c>
      <c r="C714" s="1" t="n">
        <v>45569</v>
      </c>
      <c r="D714" t="inlineStr">
        <is>
          <t>JÄMTLANDS LÄN</t>
        </is>
      </c>
      <c r="E714" t="inlineStr">
        <is>
          <t>HÄRJEDALEN</t>
        </is>
      </c>
      <c r="F714" t="inlineStr">
        <is>
          <t>Bergvik skog väst AB</t>
        </is>
      </c>
      <c r="G714" t="n">
        <v>23.2</v>
      </c>
      <c r="H714" t="n">
        <v>0</v>
      </c>
      <c r="I714" t="n">
        <v>0</v>
      </c>
      <c r="J714" t="n">
        <v>0</v>
      </c>
      <c r="K714" t="n">
        <v>0</v>
      </c>
      <c r="L714" t="n">
        <v>0</v>
      </c>
      <c r="M714" t="n">
        <v>0</v>
      </c>
      <c r="N714" t="n">
        <v>0</v>
      </c>
      <c r="O714" t="n">
        <v>0</v>
      </c>
      <c r="P714" t="n">
        <v>0</v>
      </c>
      <c r="Q714" t="n">
        <v>0</v>
      </c>
      <c r="R714" s="2" t="inlineStr"/>
    </row>
    <row r="715" ht="15" customHeight="1">
      <c r="A715" t="inlineStr">
        <is>
          <t>A 23140-2022</t>
        </is>
      </c>
      <c r="B715" s="1" t="n">
        <v>44719</v>
      </c>
      <c r="C715" s="1" t="n">
        <v>45569</v>
      </c>
      <c r="D715" t="inlineStr">
        <is>
          <t>JÄMTLANDS LÄN</t>
        </is>
      </c>
      <c r="E715" t="inlineStr">
        <is>
          <t>HÄRJEDALEN</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23731-2022</t>
        </is>
      </c>
      <c r="B716" s="1" t="n">
        <v>44722</v>
      </c>
      <c r="C716" s="1" t="n">
        <v>45569</v>
      </c>
      <c r="D716" t="inlineStr">
        <is>
          <t>JÄMTLANDS LÄN</t>
        </is>
      </c>
      <c r="E716" t="inlineStr">
        <is>
          <t>HÄRJEDALEN</t>
        </is>
      </c>
      <c r="G716" t="n">
        <v>15.6</v>
      </c>
      <c r="H716" t="n">
        <v>0</v>
      </c>
      <c r="I716" t="n">
        <v>0</v>
      </c>
      <c r="J716" t="n">
        <v>0</v>
      </c>
      <c r="K716" t="n">
        <v>0</v>
      </c>
      <c r="L716" t="n">
        <v>0</v>
      </c>
      <c r="M716" t="n">
        <v>0</v>
      </c>
      <c r="N716" t="n">
        <v>0</v>
      </c>
      <c r="O716" t="n">
        <v>0</v>
      </c>
      <c r="P716" t="n">
        <v>0</v>
      </c>
      <c r="Q716" t="n">
        <v>0</v>
      </c>
      <c r="R716" s="2" t="inlineStr"/>
    </row>
    <row r="717" ht="15" customHeight="1">
      <c r="A717" t="inlineStr">
        <is>
          <t>A 24214-2022</t>
        </is>
      </c>
      <c r="B717" s="1" t="n">
        <v>44725</v>
      </c>
      <c r="C717" s="1" t="n">
        <v>45569</v>
      </c>
      <c r="D717" t="inlineStr">
        <is>
          <t>JÄMTLANDS LÄN</t>
        </is>
      </c>
      <c r="E717" t="inlineStr">
        <is>
          <t>HÄRJEDALEN</t>
        </is>
      </c>
      <c r="F717" t="inlineStr">
        <is>
          <t>Holmen skog AB</t>
        </is>
      </c>
      <c r="G717" t="n">
        <v>7.8</v>
      </c>
      <c r="H717" t="n">
        <v>0</v>
      </c>
      <c r="I717" t="n">
        <v>0</v>
      </c>
      <c r="J717" t="n">
        <v>0</v>
      </c>
      <c r="K717" t="n">
        <v>0</v>
      </c>
      <c r="L717" t="n">
        <v>0</v>
      </c>
      <c r="M717" t="n">
        <v>0</v>
      </c>
      <c r="N717" t="n">
        <v>0</v>
      </c>
      <c r="O717" t="n">
        <v>0</v>
      </c>
      <c r="P717" t="n">
        <v>0</v>
      </c>
      <c r="Q717" t="n">
        <v>0</v>
      </c>
      <c r="R717" s="2" t="inlineStr"/>
    </row>
    <row r="718" ht="15" customHeight="1">
      <c r="A718" t="inlineStr">
        <is>
          <t>A 24426-2022</t>
        </is>
      </c>
      <c r="B718" s="1" t="n">
        <v>44726</v>
      </c>
      <c r="C718" s="1" t="n">
        <v>45569</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24530-2022</t>
        </is>
      </c>
      <c r="B719" s="1" t="n">
        <v>44726</v>
      </c>
      <c r="C719" s="1" t="n">
        <v>45569</v>
      </c>
      <c r="D719" t="inlineStr">
        <is>
          <t>JÄMTLANDS LÄN</t>
        </is>
      </c>
      <c r="E719" t="inlineStr">
        <is>
          <t>HÄRJEDALEN</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24571-2022</t>
        </is>
      </c>
      <c r="B720" s="1" t="n">
        <v>44727</v>
      </c>
      <c r="C720" s="1" t="n">
        <v>45569</v>
      </c>
      <c r="D720" t="inlineStr">
        <is>
          <t>JÄMTLANDS LÄN</t>
        </is>
      </c>
      <c r="E720" t="inlineStr">
        <is>
          <t>HÄRJEDALEN</t>
        </is>
      </c>
      <c r="G720" t="n">
        <v>2.6</v>
      </c>
      <c r="H720" t="n">
        <v>0</v>
      </c>
      <c r="I720" t="n">
        <v>0</v>
      </c>
      <c r="J720" t="n">
        <v>0</v>
      </c>
      <c r="K720" t="n">
        <v>0</v>
      </c>
      <c r="L720" t="n">
        <v>0</v>
      </c>
      <c r="M720" t="n">
        <v>0</v>
      </c>
      <c r="N720" t="n">
        <v>0</v>
      </c>
      <c r="O720" t="n">
        <v>0</v>
      </c>
      <c r="P720" t="n">
        <v>0</v>
      </c>
      <c r="Q720" t="n">
        <v>0</v>
      </c>
      <c r="R720" s="2" t="inlineStr"/>
    </row>
    <row r="721" ht="15" customHeight="1">
      <c r="A721" t="inlineStr">
        <is>
          <t>A 24690-2022</t>
        </is>
      </c>
      <c r="B721" s="1" t="n">
        <v>44727</v>
      </c>
      <c r="C721" s="1" t="n">
        <v>45569</v>
      </c>
      <c r="D721" t="inlineStr">
        <is>
          <t>JÄMTLANDS LÄN</t>
        </is>
      </c>
      <c r="E721" t="inlineStr">
        <is>
          <t>HÄRJEDALEN</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24693-2022</t>
        </is>
      </c>
      <c r="B722" s="1" t="n">
        <v>44727</v>
      </c>
      <c r="C722" s="1" t="n">
        <v>45569</v>
      </c>
      <c r="D722" t="inlineStr">
        <is>
          <t>JÄMTLANDS LÄN</t>
        </is>
      </c>
      <c r="E722" t="inlineStr">
        <is>
          <t>HÄRJEDALEN</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24824-2022</t>
        </is>
      </c>
      <c r="B723" s="1" t="n">
        <v>44728</v>
      </c>
      <c r="C723" s="1" t="n">
        <v>45569</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24834-2022</t>
        </is>
      </c>
      <c r="B724" s="1" t="n">
        <v>44728</v>
      </c>
      <c r="C724" s="1" t="n">
        <v>45569</v>
      </c>
      <c r="D724" t="inlineStr">
        <is>
          <t>JÄMTLANDS LÄN</t>
        </is>
      </c>
      <c r="E724" t="inlineStr">
        <is>
          <t>HÄRJEDALEN</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24792-2022</t>
        </is>
      </c>
      <c r="B725" s="1" t="n">
        <v>44728</v>
      </c>
      <c r="C725" s="1" t="n">
        <v>45569</v>
      </c>
      <c r="D725" t="inlineStr">
        <is>
          <t>JÄMTLANDS LÄN</t>
        </is>
      </c>
      <c r="E725" t="inlineStr">
        <is>
          <t>HÄRJEDALEN</t>
        </is>
      </c>
      <c r="G725" t="n">
        <v>0.2</v>
      </c>
      <c r="H725" t="n">
        <v>0</v>
      </c>
      <c r="I725" t="n">
        <v>0</v>
      </c>
      <c r="J725" t="n">
        <v>0</v>
      </c>
      <c r="K725" t="n">
        <v>0</v>
      </c>
      <c r="L725" t="n">
        <v>0</v>
      </c>
      <c r="M725" t="n">
        <v>0</v>
      </c>
      <c r="N725" t="n">
        <v>0</v>
      </c>
      <c r="O725" t="n">
        <v>0</v>
      </c>
      <c r="P725" t="n">
        <v>0</v>
      </c>
      <c r="Q725" t="n">
        <v>0</v>
      </c>
      <c r="R725" s="2" t="inlineStr"/>
    </row>
    <row r="726" ht="15" customHeight="1">
      <c r="A726" t="inlineStr">
        <is>
          <t>A 25500-2022</t>
        </is>
      </c>
      <c r="B726" s="1" t="n">
        <v>44732</v>
      </c>
      <c r="C726" s="1" t="n">
        <v>45569</v>
      </c>
      <c r="D726" t="inlineStr">
        <is>
          <t>JÄMTLANDS LÄN</t>
        </is>
      </c>
      <c r="E726" t="inlineStr">
        <is>
          <t>HÄRJEDALEN</t>
        </is>
      </c>
      <c r="G726" t="n">
        <v>2.6</v>
      </c>
      <c r="H726" t="n">
        <v>0</v>
      </c>
      <c r="I726" t="n">
        <v>0</v>
      </c>
      <c r="J726" t="n">
        <v>0</v>
      </c>
      <c r="K726" t="n">
        <v>0</v>
      </c>
      <c r="L726" t="n">
        <v>0</v>
      </c>
      <c r="M726" t="n">
        <v>0</v>
      </c>
      <c r="N726" t="n">
        <v>0</v>
      </c>
      <c r="O726" t="n">
        <v>0</v>
      </c>
      <c r="P726" t="n">
        <v>0</v>
      </c>
      <c r="Q726" t="n">
        <v>0</v>
      </c>
      <c r="R726" s="2" t="inlineStr"/>
    </row>
    <row r="727" ht="15" customHeight="1">
      <c r="A727" t="inlineStr">
        <is>
          <t>A 25583-2022</t>
        </is>
      </c>
      <c r="B727" s="1" t="n">
        <v>44732</v>
      </c>
      <c r="C727" s="1" t="n">
        <v>45569</v>
      </c>
      <c r="D727" t="inlineStr">
        <is>
          <t>JÄMTLANDS LÄN</t>
        </is>
      </c>
      <c r="E727" t="inlineStr">
        <is>
          <t>HÄRJEDALEN</t>
        </is>
      </c>
      <c r="F727" t="inlineStr">
        <is>
          <t>Bergvik skog väst AB</t>
        </is>
      </c>
      <c r="G727" t="n">
        <v>7.5</v>
      </c>
      <c r="H727" t="n">
        <v>0</v>
      </c>
      <c r="I727" t="n">
        <v>0</v>
      </c>
      <c r="J727" t="n">
        <v>0</v>
      </c>
      <c r="K727" t="n">
        <v>0</v>
      </c>
      <c r="L727" t="n">
        <v>0</v>
      </c>
      <c r="M727" t="n">
        <v>0</v>
      </c>
      <c r="N727" t="n">
        <v>0</v>
      </c>
      <c r="O727" t="n">
        <v>0</v>
      </c>
      <c r="P727" t="n">
        <v>0</v>
      </c>
      <c r="Q727" t="n">
        <v>0</v>
      </c>
      <c r="R727" s="2" t="inlineStr"/>
    </row>
    <row r="728" ht="15" customHeight="1">
      <c r="A728" t="inlineStr">
        <is>
          <t>A 25780-2022</t>
        </is>
      </c>
      <c r="B728" s="1" t="n">
        <v>44733</v>
      </c>
      <c r="C728" s="1" t="n">
        <v>45569</v>
      </c>
      <c r="D728" t="inlineStr">
        <is>
          <t>JÄMTLANDS LÄN</t>
        </is>
      </c>
      <c r="E728" t="inlineStr">
        <is>
          <t>HÄRJEDALEN</t>
        </is>
      </c>
      <c r="F728" t="inlineStr">
        <is>
          <t>Kyrkan</t>
        </is>
      </c>
      <c r="G728" t="n">
        <v>7.7</v>
      </c>
      <c r="H728" t="n">
        <v>0</v>
      </c>
      <c r="I728" t="n">
        <v>0</v>
      </c>
      <c r="J728" t="n">
        <v>0</v>
      </c>
      <c r="K728" t="n">
        <v>0</v>
      </c>
      <c r="L728" t="n">
        <v>0</v>
      </c>
      <c r="M728" t="n">
        <v>0</v>
      </c>
      <c r="N728" t="n">
        <v>0</v>
      </c>
      <c r="O728" t="n">
        <v>0</v>
      </c>
      <c r="P728" t="n">
        <v>0</v>
      </c>
      <c r="Q728" t="n">
        <v>0</v>
      </c>
      <c r="R728" s="2" t="inlineStr"/>
    </row>
    <row r="729" ht="15" customHeight="1">
      <c r="A729" t="inlineStr">
        <is>
          <t>A 25725-2022</t>
        </is>
      </c>
      <c r="B729" s="1" t="n">
        <v>44733</v>
      </c>
      <c r="C729" s="1" t="n">
        <v>45569</v>
      </c>
      <c r="D729" t="inlineStr">
        <is>
          <t>JÄMTLANDS LÄN</t>
        </is>
      </c>
      <c r="E729" t="inlineStr">
        <is>
          <t>HÄRJEDALEN</t>
        </is>
      </c>
      <c r="F729" t="inlineStr">
        <is>
          <t>Kyrkan</t>
        </is>
      </c>
      <c r="G729" t="n">
        <v>14</v>
      </c>
      <c r="H729" t="n">
        <v>0</v>
      </c>
      <c r="I729" t="n">
        <v>0</v>
      </c>
      <c r="J729" t="n">
        <v>0</v>
      </c>
      <c r="K729" t="n">
        <v>0</v>
      </c>
      <c r="L729" t="n">
        <v>0</v>
      </c>
      <c r="M729" t="n">
        <v>0</v>
      </c>
      <c r="N729" t="n">
        <v>0</v>
      </c>
      <c r="O729" t="n">
        <v>0</v>
      </c>
      <c r="P729" t="n">
        <v>0</v>
      </c>
      <c r="Q729" t="n">
        <v>0</v>
      </c>
      <c r="R729" s="2" t="inlineStr"/>
    </row>
    <row r="730" ht="15" customHeight="1">
      <c r="A730" t="inlineStr">
        <is>
          <t>A 25912-2022</t>
        </is>
      </c>
      <c r="B730" s="1" t="n">
        <v>44734</v>
      </c>
      <c r="C730" s="1" t="n">
        <v>45569</v>
      </c>
      <c r="D730" t="inlineStr">
        <is>
          <t>JÄMTLANDS LÄN</t>
        </is>
      </c>
      <c r="E730" t="inlineStr">
        <is>
          <t>HÄRJEDALEN</t>
        </is>
      </c>
      <c r="F730" t="inlineStr">
        <is>
          <t>Bergvik skog väst AB</t>
        </is>
      </c>
      <c r="G730" t="n">
        <v>13.7</v>
      </c>
      <c r="H730" t="n">
        <v>0</v>
      </c>
      <c r="I730" t="n">
        <v>0</v>
      </c>
      <c r="J730" t="n">
        <v>0</v>
      </c>
      <c r="K730" t="n">
        <v>0</v>
      </c>
      <c r="L730" t="n">
        <v>0</v>
      </c>
      <c r="M730" t="n">
        <v>0</v>
      </c>
      <c r="N730" t="n">
        <v>0</v>
      </c>
      <c r="O730" t="n">
        <v>0</v>
      </c>
      <c r="P730" t="n">
        <v>0</v>
      </c>
      <c r="Q730" t="n">
        <v>0</v>
      </c>
      <c r="R730" s="2" t="inlineStr"/>
    </row>
    <row r="731" ht="15" customHeight="1">
      <c r="A731" t="inlineStr">
        <is>
          <t>A 26613-2022</t>
        </is>
      </c>
      <c r="B731" s="1" t="n">
        <v>44739</v>
      </c>
      <c r="C731" s="1" t="n">
        <v>45569</v>
      </c>
      <c r="D731" t="inlineStr">
        <is>
          <t>JÄMTLANDS LÄN</t>
        </is>
      </c>
      <c r="E731" t="inlineStr">
        <is>
          <t>HÄRJEDALEN</t>
        </is>
      </c>
      <c r="F731" t="inlineStr">
        <is>
          <t>Bergvik skog väst AB</t>
        </is>
      </c>
      <c r="G731" t="n">
        <v>7.9</v>
      </c>
      <c r="H731" t="n">
        <v>0</v>
      </c>
      <c r="I731" t="n">
        <v>0</v>
      </c>
      <c r="J731" t="n">
        <v>0</v>
      </c>
      <c r="K731" t="n">
        <v>0</v>
      </c>
      <c r="L731" t="n">
        <v>0</v>
      </c>
      <c r="M731" t="n">
        <v>0</v>
      </c>
      <c r="N731" t="n">
        <v>0</v>
      </c>
      <c r="O731" t="n">
        <v>0</v>
      </c>
      <c r="P731" t="n">
        <v>0</v>
      </c>
      <c r="Q731" t="n">
        <v>0</v>
      </c>
      <c r="R731" s="2" t="inlineStr"/>
    </row>
    <row r="732" ht="15" customHeight="1">
      <c r="A732" t="inlineStr">
        <is>
          <t>A 26935-2022</t>
        </is>
      </c>
      <c r="B732" s="1" t="n">
        <v>44740</v>
      </c>
      <c r="C732" s="1" t="n">
        <v>45569</v>
      </c>
      <c r="D732" t="inlineStr">
        <is>
          <t>JÄMTLANDS LÄN</t>
        </is>
      </c>
      <c r="E732" t="inlineStr">
        <is>
          <t>HÄRJEDALEN</t>
        </is>
      </c>
      <c r="G732" t="n">
        <v>10.8</v>
      </c>
      <c r="H732" t="n">
        <v>0</v>
      </c>
      <c r="I732" t="n">
        <v>0</v>
      </c>
      <c r="J732" t="n">
        <v>0</v>
      </c>
      <c r="K732" t="n">
        <v>0</v>
      </c>
      <c r="L732" t="n">
        <v>0</v>
      </c>
      <c r="M732" t="n">
        <v>0</v>
      </c>
      <c r="N732" t="n">
        <v>0</v>
      </c>
      <c r="O732" t="n">
        <v>0</v>
      </c>
      <c r="P732" t="n">
        <v>0</v>
      </c>
      <c r="Q732" t="n">
        <v>0</v>
      </c>
      <c r="R732" s="2" t="inlineStr"/>
    </row>
    <row r="733" ht="15" customHeight="1">
      <c r="A733" t="inlineStr">
        <is>
          <t>A 27483-2022</t>
        </is>
      </c>
      <c r="B733" s="1" t="n">
        <v>44742</v>
      </c>
      <c r="C733" s="1" t="n">
        <v>45569</v>
      </c>
      <c r="D733" t="inlineStr">
        <is>
          <t>JÄMTLANDS LÄN</t>
        </is>
      </c>
      <c r="E733" t="inlineStr">
        <is>
          <t>HÄRJEDALEN</t>
        </is>
      </c>
      <c r="F733" t="inlineStr">
        <is>
          <t>Holmen skog AB</t>
        </is>
      </c>
      <c r="G733" t="n">
        <v>0</v>
      </c>
      <c r="H733" t="n">
        <v>0</v>
      </c>
      <c r="I733" t="n">
        <v>0</v>
      </c>
      <c r="J733" t="n">
        <v>0</v>
      </c>
      <c r="K733" t="n">
        <v>0</v>
      </c>
      <c r="L733" t="n">
        <v>0</v>
      </c>
      <c r="M733" t="n">
        <v>0</v>
      </c>
      <c r="N733" t="n">
        <v>0</v>
      </c>
      <c r="O733" t="n">
        <v>0</v>
      </c>
      <c r="P733" t="n">
        <v>0</v>
      </c>
      <c r="Q733" t="n">
        <v>0</v>
      </c>
      <c r="R733" s="2" t="inlineStr"/>
    </row>
    <row r="734" ht="15" customHeight="1">
      <c r="A734" t="inlineStr">
        <is>
          <t>A 29000-2022</t>
        </is>
      </c>
      <c r="B734" s="1" t="n">
        <v>44749</v>
      </c>
      <c r="C734" s="1" t="n">
        <v>45569</v>
      </c>
      <c r="D734" t="inlineStr">
        <is>
          <t>JÄMTLANDS LÄN</t>
        </is>
      </c>
      <c r="E734" t="inlineStr">
        <is>
          <t>HÄRJEDALEN</t>
        </is>
      </c>
      <c r="F734" t="inlineStr">
        <is>
          <t>Kyrkan</t>
        </is>
      </c>
      <c r="G734" t="n">
        <v>16.7</v>
      </c>
      <c r="H734" t="n">
        <v>0</v>
      </c>
      <c r="I734" t="n">
        <v>0</v>
      </c>
      <c r="J734" t="n">
        <v>0</v>
      </c>
      <c r="K734" t="n">
        <v>0</v>
      </c>
      <c r="L734" t="n">
        <v>0</v>
      </c>
      <c r="M734" t="n">
        <v>0</v>
      </c>
      <c r="N734" t="n">
        <v>0</v>
      </c>
      <c r="O734" t="n">
        <v>0</v>
      </c>
      <c r="P734" t="n">
        <v>0</v>
      </c>
      <c r="Q734" t="n">
        <v>0</v>
      </c>
      <c r="R734" s="2" t="inlineStr"/>
    </row>
    <row r="735" ht="15" customHeight="1">
      <c r="A735" t="inlineStr">
        <is>
          <t>A 29455-2022</t>
        </is>
      </c>
      <c r="B735" s="1" t="n">
        <v>44753</v>
      </c>
      <c r="C735" s="1" t="n">
        <v>45569</v>
      </c>
      <c r="D735" t="inlineStr">
        <is>
          <t>JÄMTLANDS LÄN</t>
        </is>
      </c>
      <c r="E735" t="inlineStr">
        <is>
          <t>HÄRJEDALEN</t>
        </is>
      </c>
      <c r="F735" t="inlineStr">
        <is>
          <t>Bergvik skog väst AB</t>
        </is>
      </c>
      <c r="G735" t="n">
        <v>1.7</v>
      </c>
      <c r="H735" t="n">
        <v>0</v>
      </c>
      <c r="I735" t="n">
        <v>0</v>
      </c>
      <c r="J735" t="n">
        <v>0</v>
      </c>
      <c r="K735" t="n">
        <v>0</v>
      </c>
      <c r="L735" t="n">
        <v>0</v>
      </c>
      <c r="M735" t="n">
        <v>0</v>
      </c>
      <c r="N735" t="n">
        <v>0</v>
      </c>
      <c r="O735" t="n">
        <v>0</v>
      </c>
      <c r="P735" t="n">
        <v>0</v>
      </c>
      <c r="Q735" t="n">
        <v>0</v>
      </c>
      <c r="R735" s="2" t="inlineStr"/>
    </row>
    <row r="736" ht="15" customHeight="1">
      <c r="A736" t="inlineStr">
        <is>
          <t>A 30082-2022</t>
        </is>
      </c>
      <c r="B736" s="1" t="n">
        <v>44757</v>
      </c>
      <c r="C736" s="1" t="n">
        <v>45569</v>
      </c>
      <c r="D736" t="inlineStr">
        <is>
          <t>JÄMTLANDS LÄN</t>
        </is>
      </c>
      <c r="E736" t="inlineStr">
        <is>
          <t>HÄRJEDALEN</t>
        </is>
      </c>
      <c r="G736" t="n">
        <v>3</v>
      </c>
      <c r="H736" t="n">
        <v>0</v>
      </c>
      <c r="I736" t="n">
        <v>0</v>
      </c>
      <c r="J736" t="n">
        <v>0</v>
      </c>
      <c r="K736" t="n">
        <v>0</v>
      </c>
      <c r="L736" t="n">
        <v>0</v>
      </c>
      <c r="M736" t="n">
        <v>0</v>
      </c>
      <c r="N736" t="n">
        <v>0</v>
      </c>
      <c r="O736" t="n">
        <v>0</v>
      </c>
      <c r="P736" t="n">
        <v>0</v>
      </c>
      <c r="Q736" t="n">
        <v>0</v>
      </c>
      <c r="R736" s="2" t="inlineStr"/>
    </row>
    <row r="737" ht="15" customHeight="1">
      <c r="A737" t="inlineStr">
        <is>
          <t>A 30537-2022</t>
        </is>
      </c>
      <c r="B737" s="1" t="n">
        <v>44762</v>
      </c>
      <c r="C737" s="1" t="n">
        <v>45569</v>
      </c>
      <c r="D737" t="inlineStr">
        <is>
          <t>JÄMTLANDS LÄN</t>
        </is>
      </c>
      <c r="E737" t="inlineStr">
        <is>
          <t>HÄRJEDALEN</t>
        </is>
      </c>
      <c r="F737" t="inlineStr">
        <is>
          <t>Bergvik skog väst AB</t>
        </is>
      </c>
      <c r="G737" t="n">
        <v>18.5</v>
      </c>
      <c r="H737" t="n">
        <v>0</v>
      </c>
      <c r="I737" t="n">
        <v>0</v>
      </c>
      <c r="J737" t="n">
        <v>0</v>
      </c>
      <c r="K737" t="n">
        <v>0</v>
      </c>
      <c r="L737" t="n">
        <v>0</v>
      </c>
      <c r="M737" t="n">
        <v>0</v>
      </c>
      <c r="N737" t="n">
        <v>0</v>
      </c>
      <c r="O737" t="n">
        <v>0</v>
      </c>
      <c r="P737" t="n">
        <v>0</v>
      </c>
      <c r="Q737" t="n">
        <v>0</v>
      </c>
      <c r="R737" s="2" t="inlineStr"/>
    </row>
    <row r="738" ht="15" customHeight="1">
      <c r="A738" t="inlineStr">
        <is>
          <t>A 30643-2022</t>
        </is>
      </c>
      <c r="B738" s="1" t="n">
        <v>44763</v>
      </c>
      <c r="C738" s="1" t="n">
        <v>45569</v>
      </c>
      <c r="D738" t="inlineStr">
        <is>
          <t>JÄMTLANDS LÄN</t>
        </is>
      </c>
      <c r="E738" t="inlineStr">
        <is>
          <t>HÄRJEDALEN</t>
        </is>
      </c>
      <c r="F738" t="inlineStr">
        <is>
          <t>Bergvik skog väst AB</t>
        </is>
      </c>
      <c r="G738" t="n">
        <v>3</v>
      </c>
      <c r="H738" t="n">
        <v>0</v>
      </c>
      <c r="I738" t="n">
        <v>0</v>
      </c>
      <c r="J738" t="n">
        <v>0</v>
      </c>
      <c r="K738" t="n">
        <v>0</v>
      </c>
      <c r="L738" t="n">
        <v>0</v>
      </c>
      <c r="M738" t="n">
        <v>0</v>
      </c>
      <c r="N738" t="n">
        <v>0</v>
      </c>
      <c r="O738" t="n">
        <v>0</v>
      </c>
      <c r="P738" t="n">
        <v>0</v>
      </c>
      <c r="Q738" t="n">
        <v>0</v>
      </c>
      <c r="R738" s="2" t="inlineStr"/>
    </row>
    <row r="739" ht="15" customHeight="1">
      <c r="A739" t="inlineStr">
        <is>
          <t>A 30962-2022</t>
        </is>
      </c>
      <c r="B739" s="1" t="n">
        <v>44768</v>
      </c>
      <c r="C739" s="1" t="n">
        <v>45569</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31167-2022</t>
        </is>
      </c>
      <c r="B740" s="1" t="n">
        <v>44770</v>
      </c>
      <c r="C740" s="1" t="n">
        <v>45569</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32910-2022</t>
        </is>
      </c>
      <c r="B741" s="1" t="n">
        <v>44784</v>
      </c>
      <c r="C741" s="1" t="n">
        <v>45569</v>
      </c>
      <c r="D741" t="inlineStr">
        <is>
          <t>JÄMTLANDS LÄN</t>
        </is>
      </c>
      <c r="E741" t="inlineStr">
        <is>
          <t>HÄRJEDALEN</t>
        </is>
      </c>
      <c r="F741" t="inlineStr">
        <is>
          <t>Bergvik skog väst AB</t>
        </is>
      </c>
      <c r="G741" t="n">
        <v>14.4</v>
      </c>
      <c r="H741" t="n">
        <v>0</v>
      </c>
      <c r="I741" t="n">
        <v>0</v>
      </c>
      <c r="J741" t="n">
        <v>0</v>
      </c>
      <c r="K741" t="n">
        <v>0</v>
      </c>
      <c r="L741" t="n">
        <v>0</v>
      </c>
      <c r="M741" t="n">
        <v>0</v>
      </c>
      <c r="N741" t="n">
        <v>0</v>
      </c>
      <c r="O741" t="n">
        <v>0</v>
      </c>
      <c r="P741" t="n">
        <v>0</v>
      </c>
      <c r="Q741" t="n">
        <v>0</v>
      </c>
      <c r="R741" s="2" t="inlineStr"/>
    </row>
    <row r="742" ht="15" customHeight="1">
      <c r="A742" t="inlineStr">
        <is>
          <t>A 32974-2022</t>
        </is>
      </c>
      <c r="B742" s="1" t="n">
        <v>44784</v>
      </c>
      <c r="C742" s="1" t="n">
        <v>45569</v>
      </c>
      <c r="D742" t="inlineStr">
        <is>
          <t>JÄMTLANDS LÄN</t>
        </is>
      </c>
      <c r="E742" t="inlineStr">
        <is>
          <t>HÄRJEDALEN</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33465-2022</t>
        </is>
      </c>
      <c r="B743" s="1" t="n">
        <v>44788</v>
      </c>
      <c r="C743" s="1" t="n">
        <v>45569</v>
      </c>
      <c r="D743" t="inlineStr">
        <is>
          <t>JÄMTLANDS LÄN</t>
        </is>
      </c>
      <c r="E743" t="inlineStr">
        <is>
          <t>HÄRJEDALEN</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33900-2022</t>
        </is>
      </c>
      <c r="B744" s="1" t="n">
        <v>44790</v>
      </c>
      <c r="C744" s="1" t="n">
        <v>45569</v>
      </c>
      <c r="D744" t="inlineStr">
        <is>
          <t>JÄMTLANDS LÄN</t>
        </is>
      </c>
      <c r="E744" t="inlineStr">
        <is>
          <t>HÄRJEDALEN</t>
        </is>
      </c>
      <c r="F744" t="inlineStr">
        <is>
          <t>Bergvik skog väst AB</t>
        </is>
      </c>
      <c r="G744" t="n">
        <v>15.2</v>
      </c>
      <c r="H744" t="n">
        <v>0</v>
      </c>
      <c r="I744" t="n">
        <v>0</v>
      </c>
      <c r="J744" t="n">
        <v>0</v>
      </c>
      <c r="K744" t="n">
        <v>0</v>
      </c>
      <c r="L744" t="n">
        <v>0</v>
      </c>
      <c r="M744" t="n">
        <v>0</v>
      </c>
      <c r="N744" t="n">
        <v>0</v>
      </c>
      <c r="O744" t="n">
        <v>0</v>
      </c>
      <c r="P744" t="n">
        <v>0</v>
      </c>
      <c r="Q744" t="n">
        <v>0</v>
      </c>
      <c r="R744" s="2" t="inlineStr"/>
    </row>
    <row r="745" ht="15" customHeight="1">
      <c r="A745" t="inlineStr">
        <is>
          <t>A 33889-2022</t>
        </is>
      </c>
      <c r="B745" s="1" t="n">
        <v>44790</v>
      </c>
      <c r="C745" s="1" t="n">
        <v>45569</v>
      </c>
      <c r="D745" t="inlineStr">
        <is>
          <t>JÄMTLANDS LÄN</t>
        </is>
      </c>
      <c r="E745" t="inlineStr">
        <is>
          <t>HÄRJEDALEN</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34112-2022</t>
        </is>
      </c>
      <c r="B746" s="1" t="n">
        <v>44791</v>
      </c>
      <c r="C746" s="1" t="n">
        <v>45569</v>
      </c>
      <c r="D746" t="inlineStr">
        <is>
          <t>JÄMTLANDS LÄN</t>
        </is>
      </c>
      <c r="E746" t="inlineStr">
        <is>
          <t>HÄRJEDALEN</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34359-2022</t>
        </is>
      </c>
      <c r="B747" s="1" t="n">
        <v>44792</v>
      </c>
      <c r="C747" s="1" t="n">
        <v>45569</v>
      </c>
      <c r="D747" t="inlineStr">
        <is>
          <t>JÄMTLANDS LÄN</t>
        </is>
      </c>
      <c r="E747" t="inlineStr">
        <is>
          <t>HÄRJEDALEN</t>
        </is>
      </c>
      <c r="F747" t="inlineStr">
        <is>
          <t>Bergvik skog väst AB</t>
        </is>
      </c>
      <c r="G747" t="n">
        <v>23.1</v>
      </c>
      <c r="H747" t="n">
        <v>0</v>
      </c>
      <c r="I747" t="n">
        <v>0</v>
      </c>
      <c r="J747" t="n">
        <v>0</v>
      </c>
      <c r="K747" t="n">
        <v>0</v>
      </c>
      <c r="L747" t="n">
        <v>0</v>
      </c>
      <c r="M747" t="n">
        <v>0</v>
      </c>
      <c r="N747" t="n">
        <v>0</v>
      </c>
      <c r="O747" t="n">
        <v>0</v>
      </c>
      <c r="P747" t="n">
        <v>0</v>
      </c>
      <c r="Q747" t="n">
        <v>0</v>
      </c>
      <c r="R747" s="2" t="inlineStr"/>
    </row>
    <row r="748" ht="15" customHeight="1">
      <c r="A748" t="inlineStr">
        <is>
          <t>A 34361-2022</t>
        </is>
      </c>
      <c r="B748" s="1" t="n">
        <v>44792</v>
      </c>
      <c r="C748" s="1" t="n">
        <v>45569</v>
      </c>
      <c r="D748" t="inlineStr">
        <is>
          <t>JÄMTLANDS LÄN</t>
        </is>
      </c>
      <c r="E748" t="inlineStr">
        <is>
          <t>HÄRJEDALEN</t>
        </is>
      </c>
      <c r="F748" t="inlineStr">
        <is>
          <t>Bergvik skog väst AB</t>
        </is>
      </c>
      <c r="G748" t="n">
        <v>2.9</v>
      </c>
      <c r="H748" t="n">
        <v>0</v>
      </c>
      <c r="I748" t="n">
        <v>0</v>
      </c>
      <c r="J748" t="n">
        <v>0</v>
      </c>
      <c r="K748" t="n">
        <v>0</v>
      </c>
      <c r="L748" t="n">
        <v>0</v>
      </c>
      <c r="M748" t="n">
        <v>0</v>
      </c>
      <c r="N748" t="n">
        <v>0</v>
      </c>
      <c r="O748" t="n">
        <v>0</v>
      </c>
      <c r="P748" t="n">
        <v>0</v>
      </c>
      <c r="Q748" t="n">
        <v>0</v>
      </c>
      <c r="R748" s="2" t="inlineStr"/>
    </row>
    <row r="749" ht="15" customHeight="1">
      <c r="A749" t="inlineStr">
        <is>
          <t>A 34392-2022</t>
        </is>
      </c>
      <c r="B749" s="1" t="n">
        <v>44792</v>
      </c>
      <c r="C749" s="1" t="n">
        <v>45569</v>
      </c>
      <c r="D749" t="inlineStr">
        <is>
          <t>JÄMTLANDS LÄN</t>
        </is>
      </c>
      <c r="E749" t="inlineStr">
        <is>
          <t>HÄRJEDALEN</t>
        </is>
      </c>
      <c r="G749" t="n">
        <v>23.5</v>
      </c>
      <c r="H749" t="n">
        <v>0</v>
      </c>
      <c r="I749" t="n">
        <v>0</v>
      </c>
      <c r="J749" t="n">
        <v>0</v>
      </c>
      <c r="K749" t="n">
        <v>0</v>
      </c>
      <c r="L749" t="n">
        <v>0</v>
      </c>
      <c r="M749" t="n">
        <v>0</v>
      </c>
      <c r="N749" t="n">
        <v>0</v>
      </c>
      <c r="O749" t="n">
        <v>0</v>
      </c>
      <c r="P749" t="n">
        <v>0</v>
      </c>
      <c r="Q749" t="n">
        <v>0</v>
      </c>
      <c r="R749" s="2" t="inlineStr"/>
    </row>
    <row r="750" ht="15" customHeight="1">
      <c r="A750" t="inlineStr">
        <is>
          <t>A 34492-2022</t>
        </is>
      </c>
      <c r="B750" s="1" t="n">
        <v>44792</v>
      </c>
      <c r="C750" s="1" t="n">
        <v>45569</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34627-2022</t>
        </is>
      </c>
      <c r="B751" s="1" t="n">
        <v>44795</v>
      </c>
      <c r="C751" s="1" t="n">
        <v>45569</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34621-2022</t>
        </is>
      </c>
      <c r="B752" s="1" t="n">
        <v>44795</v>
      </c>
      <c r="C752" s="1" t="n">
        <v>45569</v>
      </c>
      <c r="D752" t="inlineStr">
        <is>
          <t>JÄMTLANDS LÄN</t>
        </is>
      </c>
      <c r="E752" t="inlineStr">
        <is>
          <t>HÄRJEDALEN</t>
        </is>
      </c>
      <c r="G752" t="n">
        <v>3.8</v>
      </c>
      <c r="H752" t="n">
        <v>0</v>
      </c>
      <c r="I752" t="n">
        <v>0</v>
      </c>
      <c r="J752" t="n">
        <v>0</v>
      </c>
      <c r="K752" t="n">
        <v>0</v>
      </c>
      <c r="L752" t="n">
        <v>0</v>
      </c>
      <c r="M752" t="n">
        <v>0</v>
      </c>
      <c r="N752" t="n">
        <v>0</v>
      </c>
      <c r="O752" t="n">
        <v>0</v>
      </c>
      <c r="P752" t="n">
        <v>0</v>
      </c>
      <c r="Q752" t="n">
        <v>0</v>
      </c>
      <c r="R752" s="2" t="inlineStr"/>
    </row>
    <row r="753" ht="15" customHeight="1">
      <c r="A753" t="inlineStr">
        <is>
          <t>A 35614-2022</t>
        </is>
      </c>
      <c r="B753" s="1" t="n">
        <v>44799</v>
      </c>
      <c r="C753" s="1" t="n">
        <v>45569</v>
      </c>
      <c r="D753" t="inlineStr">
        <is>
          <t>JÄMTLANDS LÄN</t>
        </is>
      </c>
      <c r="E753" t="inlineStr">
        <is>
          <t>HÄRJEDALEN</t>
        </is>
      </c>
      <c r="F753" t="inlineStr">
        <is>
          <t>Bergvik skog väst AB</t>
        </is>
      </c>
      <c r="G753" t="n">
        <v>72.09999999999999</v>
      </c>
      <c r="H753" t="n">
        <v>0</v>
      </c>
      <c r="I753" t="n">
        <v>0</v>
      </c>
      <c r="J753" t="n">
        <v>0</v>
      </c>
      <c r="K753" t="n">
        <v>0</v>
      </c>
      <c r="L753" t="n">
        <v>0</v>
      </c>
      <c r="M753" t="n">
        <v>0</v>
      </c>
      <c r="N753" t="n">
        <v>0</v>
      </c>
      <c r="O753" t="n">
        <v>0</v>
      </c>
      <c r="P753" t="n">
        <v>0</v>
      </c>
      <c r="Q753" t="n">
        <v>0</v>
      </c>
      <c r="R753" s="2" t="inlineStr"/>
    </row>
    <row r="754" ht="15" customHeight="1">
      <c r="A754" t="inlineStr">
        <is>
          <t>A 36249-2022</t>
        </is>
      </c>
      <c r="B754" s="1" t="n">
        <v>44803</v>
      </c>
      <c r="C754" s="1" t="n">
        <v>45569</v>
      </c>
      <c r="D754" t="inlineStr">
        <is>
          <t>JÄMTLANDS LÄN</t>
        </is>
      </c>
      <c r="E754" t="inlineStr">
        <is>
          <t>HÄRJEDALEN</t>
        </is>
      </c>
      <c r="G754" t="n">
        <v>7.2</v>
      </c>
      <c r="H754" t="n">
        <v>0</v>
      </c>
      <c r="I754" t="n">
        <v>0</v>
      </c>
      <c r="J754" t="n">
        <v>0</v>
      </c>
      <c r="K754" t="n">
        <v>0</v>
      </c>
      <c r="L754" t="n">
        <v>0</v>
      </c>
      <c r="M754" t="n">
        <v>0</v>
      </c>
      <c r="N754" t="n">
        <v>0</v>
      </c>
      <c r="O754" t="n">
        <v>0</v>
      </c>
      <c r="P754" t="n">
        <v>0</v>
      </c>
      <c r="Q754" t="n">
        <v>0</v>
      </c>
      <c r="R754" s="2" t="inlineStr"/>
    </row>
    <row r="755" ht="15" customHeight="1">
      <c r="A755" t="inlineStr">
        <is>
          <t>A 36170-2022</t>
        </is>
      </c>
      <c r="B755" s="1" t="n">
        <v>44803</v>
      </c>
      <c r="C755" s="1" t="n">
        <v>45569</v>
      </c>
      <c r="D755" t="inlineStr">
        <is>
          <t>JÄMTLANDS LÄN</t>
        </is>
      </c>
      <c r="E755" t="inlineStr">
        <is>
          <t>HÄRJEDALEN</t>
        </is>
      </c>
      <c r="G755" t="n">
        <v>14.7</v>
      </c>
      <c r="H755" t="n">
        <v>0</v>
      </c>
      <c r="I755" t="n">
        <v>0</v>
      </c>
      <c r="J755" t="n">
        <v>0</v>
      </c>
      <c r="K755" t="n">
        <v>0</v>
      </c>
      <c r="L755" t="n">
        <v>0</v>
      </c>
      <c r="M755" t="n">
        <v>0</v>
      </c>
      <c r="N755" t="n">
        <v>0</v>
      </c>
      <c r="O755" t="n">
        <v>0</v>
      </c>
      <c r="P755" t="n">
        <v>0</v>
      </c>
      <c r="Q755" t="n">
        <v>0</v>
      </c>
      <c r="R755" s="2" t="inlineStr"/>
    </row>
    <row r="756" ht="15" customHeight="1">
      <c r="A756" t="inlineStr">
        <is>
          <t>A 36182-2022</t>
        </is>
      </c>
      <c r="B756" s="1" t="n">
        <v>44803</v>
      </c>
      <c r="C756" s="1" t="n">
        <v>45569</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36187-2022</t>
        </is>
      </c>
      <c r="B757" s="1" t="n">
        <v>44803</v>
      </c>
      <c r="C757" s="1" t="n">
        <v>45569</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36448-2022</t>
        </is>
      </c>
      <c r="B758" s="1" t="n">
        <v>44804</v>
      </c>
      <c r="C758" s="1" t="n">
        <v>45569</v>
      </c>
      <c r="D758" t="inlineStr">
        <is>
          <t>JÄMTLANDS LÄN</t>
        </is>
      </c>
      <c r="E758" t="inlineStr">
        <is>
          <t>HÄRJEDALEN</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37515-2022</t>
        </is>
      </c>
      <c r="B759" s="1" t="n">
        <v>44809</v>
      </c>
      <c r="C759" s="1" t="n">
        <v>45569</v>
      </c>
      <c r="D759" t="inlineStr">
        <is>
          <t>JÄMTLANDS LÄN</t>
        </is>
      </c>
      <c r="E759" t="inlineStr">
        <is>
          <t>HÄRJEDALEN</t>
        </is>
      </c>
      <c r="F759" t="inlineStr">
        <is>
          <t>Bergvik skog väst AB</t>
        </is>
      </c>
      <c r="G759" t="n">
        <v>3.2</v>
      </c>
      <c r="H759" t="n">
        <v>0</v>
      </c>
      <c r="I759" t="n">
        <v>0</v>
      </c>
      <c r="J759" t="n">
        <v>0</v>
      </c>
      <c r="K759" t="n">
        <v>0</v>
      </c>
      <c r="L759" t="n">
        <v>0</v>
      </c>
      <c r="M759" t="n">
        <v>0</v>
      </c>
      <c r="N759" t="n">
        <v>0</v>
      </c>
      <c r="O759" t="n">
        <v>0</v>
      </c>
      <c r="P759" t="n">
        <v>0</v>
      </c>
      <c r="Q759" t="n">
        <v>0</v>
      </c>
      <c r="R759" s="2" t="inlineStr"/>
    </row>
    <row r="760" ht="15" customHeight="1">
      <c r="A760" t="inlineStr">
        <is>
          <t>A 37666-2022</t>
        </is>
      </c>
      <c r="B760" s="1" t="n">
        <v>44810</v>
      </c>
      <c r="C760" s="1" t="n">
        <v>45569</v>
      </c>
      <c r="D760" t="inlineStr">
        <is>
          <t>JÄMTLANDS LÄN</t>
        </is>
      </c>
      <c r="E760" t="inlineStr">
        <is>
          <t>HÄRJEDALEN</t>
        </is>
      </c>
      <c r="F760" t="inlineStr">
        <is>
          <t>Holmen skog AB</t>
        </is>
      </c>
      <c r="G760" t="n">
        <v>7.2</v>
      </c>
      <c r="H760" t="n">
        <v>0</v>
      </c>
      <c r="I760" t="n">
        <v>0</v>
      </c>
      <c r="J760" t="n">
        <v>0</v>
      </c>
      <c r="K760" t="n">
        <v>0</v>
      </c>
      <c r="L760" t="n">
        <v>0</v>
      </c>
      <c r="M760" t="n">
        <v>0</v>
      </c>
      <c r="N760" t="n">
        <v>0</v>
      </c>
      <c r="O760" t="n">
        <v>0</v>
      </c>
      <c r="P760" t="n">
        <v>0</v>
      </c>
      <c r="Q760" t="n">
        <v>0</v>
      </c>
      <c r="R760" s="2" t="inlineStr"/>
    </row>
    <row r="761" ht="15" customHeight="1">
      <c r="A761" t="inlineStr">
        <is>
          <t>A 37690-2022</t>
        </is>
      </c>
      <c r="B761" s="1" t="n">
        <v>44810</v>
      </c>
      <c r="C761" s="1" t="n">
        <v>45569</v>
      </c>
      <c r="D761" t="inlineStr">
        <is>
          <t>JÄMTLANDS LÄN</t>
        </is>
      </c>
      <c r="E761" t="inlineStr">
        <is>
          <t>HÄRJEDALEN</t>
        </is>
      </c>
      <c r="F761" t="inlineStr">
        <is>
          <t>Holmen skog AB</t>
        </is>
      </c>
      <c r="G761" t="n">
        <v>7.8</v>
      </c>
      <c r="H761" t="n">
        <v>0</v>
      </c>
      <c r="I761" t="n">
        <v>0</v>
      </c>
      <c r="J761" t="n">
        <v>0</v>
      </c>
      <c r="K761" t="n">
        <v>0</v>
      </c>
      <c r="L761" t="n">
        <v>0</v>
      </c>
      <c r="M761" t="n">
        <v>0</v>
      </c>
      <c r="N761" t="n">
        <v>0</v>
      </c>
      <c r="O761" t="n">
        <v>0</v>
      </c>
      <c r="P761" t="n">
        <v>0</v>
      </c>
      <c r="Q761" t="n">
        <v>0</v>
      </c>
      <c r="R761" s="2" t="inlineStr"/>
    </row>
    <row r="762" ht="15" customHeight="1">
      <c r="A762" t="inlineStr">
        <is>
          <t>A 37678-2022</t>
        </is>
      </c>
      <c r="B762" s="1" t="n">
        <v>44810</v>
      </c>
      <c r="C762" s="1" t="n">
        <v>45569</v>
      </c>
      <c r="D762" t="inlineStr">
        <is>
          <t>JÄMTLANDS LÄN</t>
        </is>
      </c>
      <c r="E762" t="inlineStr">
        <is>
          <t>HÄRJEDALEN</t>
        </is>
      </c>
      <c r="F762" t="inlineStr">
        <is>
          <t>Bergvik skog väst AB</t>
        </is>
      </c>
      <c r="G762" t="n">
        <v>4.7</v>
      </c>
      <c r="H762" t="n">
        <v>0</v>
      </c>
      <c r="I762" t="n">
        <v>0</v>
      </c>
      <c r="J762" t="n">
        <v>0</v>
      </c>
      <c r="K762" t="n">
        <v>0</v>
      </c>
      <c r="L762" t="n">
        <v>0</v>
      </c>
      <c r="M762" t="n">
        <v>0</v>
      </c>
      <c r="N762" t="n">
        <v>0</v>
      </c>
      <c r="O762" t="n">
        <v>0</v>
      </c>
      <c r="P762" t="n">
        <v>0</v>
      </c>
      <c r="Q762" t="n">
        <v>0</v>
      </c>
      <c r="R762" s="2" t="inlineStr"/>
    </row>
    <row r="763" ht="15" customHeight="1">
      <c r="A763" t="inlineStr">
        <is>
          <t>A 37873-2022</t>
        </is>
      </c>
      <c r="B763" s="1" t="n">
        <v>44811</v>
      </c>
      <c r="C763" s="1" t="n">
        <v>45569</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37990-2022</t>
        </is>
      </c>
      <c r="B764" s="1" t="n">
        <v>44811</v>
      </c>
      <c r="C764" s="1" t="n">
        <v>45569</v>
      </c>
      <c r="D764" t="inlineStr">
        <is>
          <t>JÄMTLANDS LÄN</t>
        </is>
      </c>
      <c r="E764" t="inlineStr">
        <is>
          <t>HÄRJEDALEN</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37988-2022</t>
        </is>
      </c>
      <c r="B765" s="1" t="n">
        <v>44811</v>
      </c>
      <c r="C765" s="1" t="n">
        <v>45569</v>
      </c>
      <c r="D765" t="inlineStr">
        <is>
          <t>JÄMTLANDS LÄN</t>
        </is>
      </c>
      <c r="E765" t="inlineStr">
        <is>
          <t>HÄRJEDALEN</t>
        </is>
      </c>
      <c r="F765" t="inlineStr">
        <is>
          <t>Bergvik skog väst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39396-2022</t>
        </is>
      </c>
      <c r="B766" s="1" t="n">
        <v>44818</v>
      </c>
      <c r="C766" s="1" t="n">
        <v>45569</v>
      </c>
      <c r="D766" t="inlineStr">
        <is>
          <t>JÄMTLANDS LÄN</t>
        </is>
      </c>
      <c r="E766" t="inlineStr">
        <is>
          <t>HÄRJEDALEN</t>
        </is>
      </c>
      <c r="F766" t="inlineStr">
        <is>
          <t>SCA</t>
        </is>
      </c>
      <c r="G766" t="n">
        <v>11.4</v>
      </c>
      <c r="H766" t="n">
        <v>0</v>
      </c>
      <c r="I766" t="n">
        <v>0</v>
      </c>
      <c r="J766" t="n">
        <v>0</v>
      </c>
      <c r="K766" t="n">
        <v>0</v>
      </c>
      <c r="L766" t="n">
        <v>0</v>
      </c>
      <c r="M766" t="n">
        <v>0</v>
      </c>
      <c r="N766" t="n">
        <v>0</v>
      </c>
      <c r="O766" t="n">
        <v>0</v>
      </c>
      <c r="P766" t="n">
        <v>0</v>
      </c>
      <c r="Q766" t="n">
        <v>0</v>
      </c>
      <c r="R766" s="2" t="inlineStr"/>
    </row>
    <row r="767" ht="15" customHeight="1">
      <c r="A767" t="inlineStr">
        <is>
          <t>A 39625-2022</t>
        </is>
      </c>
      <c r="B767" s="1" t="n">
        <v>44818</v>
      </c>
      <c r="C767" s="1" t="n">
        <v>45569</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39618-2022</t>
        </is>
      </c>
      <c r="B768" s="1" t="n">
        <v>44818</v>
      </c>
      <c r="C768" s="1" t="n">
        <v>45569</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39820-2022</t>
        </is>
      </c>
      <c r="B769" s="1" t="n">
        <v>44819</v>
      </c>
      <c r="C769" s="1" t="n">
        <v>45569</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40084-2022</t>
        </is>
      </c>
      <c r="B770" s="1" t="n">
        <v>44820</v>
      </c>
      <c r="C770" s="1" t="n">
        <v>45569</v>
      </c>
      <c r="D770" t="inlineStr">
        <is>
          <t>JÄMTLANDS LÄN</t>
        </is>
      </c>
      <c r="E770" t="inlineStr">
        <is>
          <t>HÄRJEDALEN</t>
        </is>
      </c>
      <c r="F770" t="inlineStr">
        <is>
          <t>Bergvik skog väst AB</t>
        </is>
      </c>
      <c r="G770" t="n">
        <v>6</v>
      </c>
      <c r="H770" t="n">
        <v>0</v>
      </c>
      <c r="I770" t="n">
        <v>0</v>
      </c>
      <c r="J770" t="n">
        <v>0</v>
      </c>
      <c r="K770" t="n">
        <v>0</v>
      </c>
      <c r="L770" t="n">
        <v>0</v>
      </c>
      <c r="M770" t="n">
        <v>0</v>
      </c>
      <c r="N770" t="n">
        <v>0</v>
      </c>
      <c r="O770" t="n">
        <v>0</v>
      </c>
      <c r="P770" t="n">
        <v>0</v>
      </c>
      <c r="Q770" t="n">
        <v>0</v>
      </c>
      <c r="R770" s="2" t="inlineStr"/>
    </row>
    <row r="771" ht="15" customHeight="1">
      <c r="A771" t="inlineStr">
        <is>
          <t>A 40201-2022</t>
        </is>
      </c>
      <c r="B771" s="1" t="n">
        <v>44820</v>
      </c>
      <c r="C771" s="1" t="n">
        <v>45569</v>
      </c>
      <c r="D771" t="inlineStr">
        <is>
          <t>JÄMTLANDS LÄN</t>
        </is>
      </c>
      <c r="E771" t="inlineStr">
        <is>
          <t>HÄRJEDALEN</t>
        </is>
      </c>
      <c r="F771" t="inlineStr">
        <is>
          <t>Kyrkan</t>
        </is>
      </c>
      <c r="G771" t="n">
        <v>14.6</v>
      </c>
      <c r="H771" t="n">
        <v>0</v>
      </c>
      <c r="I771" t="n">
        <v>0</v>
      </c>
      <c r="J771" t="n">
        <v>0</v>
      </c>
      <c r="K771" t="n">
        <v>0</v>
      </c>
      <c r="L771" t="n">
        <v>0</v>
      </c>
      <c r="M771" t="n">
        <v>0</v>
      </c>
      <c r="N771" t="n">
        <v>0</v>
      </c>
      <c r="O771" t="n">
        <v>0</v>
      </c>
      <c r="P771" t="n">
        <v>0</v>
      </c>
      <c r="Q771" t="n">
        <v>0</v>
      </c>
      <c r="R771" s="2" t="inlineStr"/>
    </row>
    <row r="772" ht="15" customHeight="1">
      <c r="A772" t="inlineStr">
        <is>
          <t>A 40596-2022</t>
        </is>
      </c>
      <c r="B772" s="1" t="n">
        <v>44823</v>
      </c>
      <c r="C772" s="1" t="n">
        <v>45569</v>
      </c>
      <c r="D772" t="inlineStr">
        <is>
          <t>JÄMTLANDS LÄN</t>
        </is>
      </c>
      <c r="E772" t="inlineStr">
        <is>
          <t>HÄRJEDALEN</t>
        </is>
      </c>
      <c r="G772" t="n">
        <v>2.9</v>
      </c>
      <c r="H772" t="n">
        <v>0</v>
      </c>
      <c r="I772" t="n">
        <v>0</v>
      </c>
      <c r="J772" t="n">
        <v>0</v>
      </c>
      <c r="K772" t="n">
        <v>0</v>
      </c>
      <c r="L772" t="n">
        <v>0</v>
      </c>
      <c r="M772" t="n">
        <v>0</v>
      </c>
      <c r="N772" t="n">
        <v>0</v>
      </c>
      <c r="O772" t="n">
        <v>0</v>
      </c>
      <c r="P772" t="n">
        <v>0</v>
      </c>
      <c r="Q772" t="n">
        <v>0</v>
      </c>
      <c r="R772" s="2" t="inlineStr"/>
    </row>
    <row r="773" ht="15" customHeight="1">
      <c r="A773" t="inlineStr">
        <is>
          <t>A 40561-2022</t>
        </is>
      </c>
      <c r="B773" s="1" t="n">
        <v>44823</v>
      </c>
      <c r="C773" s="1" t="n">
        <v>45569</v>
      </c>
      <c r="D773" t="inlineStr">
        <is>
          <t>JÄMTLANDS LÄN</t>
        </is>
      </c>
      <c r="E773" t="inlineStr">
        <is>
          <t>HÄRJEDALEN</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40578-2022</t>
        </is>
      </c>
      <c r="B774" s="1" t="n">
        <v>44823</v>
      </c>
      <c r="C774" s="1" t="n">
        <v>45569</v>
      </c>
      <c r="D774" t="inlineStr">
        <is>
          <t>JÄMTLANDS LÄN</t>
        </is>
      </c>
      <c r="E774" t="inlineStr">
        <is>
          <t>HÄRJEDALEN</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41080-2022</t>
        </is>
      </c>
      <c r="B775" s="1" t="n">
        <v>44825</v>
      </c>
      <c r="C775" s="1" t="n">
        <v>45569</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41164-2022</t>
        </is>
      </c>
      <c r="B776" s="1" t="n">
        <v>44825</v>
      </c>
      <c r="C776" s="1" t="n">
        <v>45569</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41209-2022</t>
        </is>
      </c>
      <c r="B777" s="1" t="n">
        <v>44825</v>
      </c>
      <c r="C777" s="1" t="n">
        <v>45569</v>
      </c>
      <c r="D777" t="inlineStr">
        <is>
          <t>JÄMTLANDS LÄN</t>
        </is>
      </c>
      <c r="E777" t="inlineStr">
        <is>
          <t>HÄRJEDALEN</t>
        </is>
      </c>
      <c r="G777" t="n">
        <v>1</v>
      </c>
      <c r="H777" t="n">
        <v>0</v>
      </c>
      <c r="I777" t="n">
        <v>0</v>
      </c>
      <c r="J777" t="n">
        <v>0</v>
      </c>
      <c r="K777" t="n">
        <v>0</v>
      </c>
      <c r="L777" t="n">
        <v>0</v>
      </c>
      <c r="M777" t="n">
        <v>0</v>
      </c>
      <c r="N777" t="n">
        <v>0</v>
      </c>
      <c r="O777" t="n">
        <v>0</v>
      </c>
      <c r="P777" t="n">
        <v>0</v>
      </c>
      <c r="Q777" t="n">
        <v>0</v>
      </c>
      <c r="R777" s="2" t="inlineStr"/>
    </row>
    <row r="778" ht="15" customHeight="1">
      <c r="A778" t="inlineStr">
        <is>
          <t>A 41293-2022</t>
        </is>
      </c>
      <c r="B778" s="1" t="n">
        <v>44826</v>
      </c>
      <c r="C778" s="1" t="n">
        <v>45569</v>
      </c>
      <c r="D778" t="inlineStr">
        <is>
          <t>JÄMTLANDS LÄN</t>
        </is>
      </c>
      <c r="E778" t="inlineStr">
        <is>
          <t>HÄRJEDALEN</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41759-2022</t>
        </is>
      </c>
      <c r="B779" s="1" t="n">
        <v>44827</v>
      </c>
      <c r="C779" s="1" t="n">
        <v>45569</v>
      </c>
      <c r="D779" t="inlineStr">
        <is>
          <t>JÄMTLANDS LÄN</t>
        </is>
      </c>
      <c r="E779" t="inlineStr">
        <is>
          <t>HÄRJEDALEN</t>
        </is>
      </c>
      <c r="G779" t="n">
        <v>20</v>
      </c>
      <c r="H779" t="n">
        <v>0</v>
      </c>
      <c r="I779" t="n">
        <v>0</v>
      </c>
      <c r="J779" t="n">
        <v>0</v>
      </c>
      <c r="K779" t="n">
        <v>0</v>
      </c>
      <c r="L779" t="n">
        <v>0</v>
      </c>
      <c r="M779" t="n">
        <v>0</v>
      </c>
      <c r="N779" t="n">
        <v>0</v>
      </c>
      <c r="O779" t="n">
        <v>0</v>
      </c>
      <c r="P779" t="n">
        <v>0</v>
      </c>
      <c r="Q779" t="n">
        <v>0</v>
      </c>
      <c r="R779" s="2" t="inlineStr"/>
    </row>
    <row r="780" ht="15" customHeight="1">
      <c r="A780" t="inlineStr">
        <is>
          <t>A 41711-2022</t>
        </is>
      </c>
      <c r="B780" s="1" t="n">
        <v>44827</v>
      </c>
      <c r="C780" s="1" t="n">
        <v>45569</v>
      </c>
      <c r="D780" t="inlineStr">
        <is>
          <t>JÄMTLANDS LÄN</t>
        </is>
      </c>
      <c r="E780" t="inlineStr">
        <is>
          <t>HÄRJEDALEN</t>
        </is>
      </c>
      <c r="G780" t="n">
        <v>18.3</v>
      </c>
      <c r="H780" t="n">
        <v>0</v>
      </c>
      <c r="I780" t="n">
        <v>0</v>
      </c>
      <c r="J780" t="n">
        <v>0</v>
      </c>
      <c r="K780" t="n">
        <v>0</v>
      </c>
      <c r="L780" t="n">
        <v>0</v>
      </c>
      <c r="M780" t="n">
        <v>0</v>
      </c>
      <c r="N780" t="n">
        <v>0</v>
      </c>
      <c r="O780" t="n">
        <v>0</v>
      </c>
      <c r="P780" t="n">
        <v>0</v>
      </c>
      <c r="Q780" t="n">
        <v>0</v>
      </c>
      <c r="R780" s="2" t="inlineStr"/>
    </row>
    <row r="781" ht="15" customHeight="1">
      <c r="A781" t="inlineStr">
        <is>
          <t>A 41771-2022</t>
        </is>
      </c>
      <c r="B781" s="1" t="n">
        <v>44827</v>
      </c>
      <c r="C781" s="1" t="n">
        <v>45569</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41766-2022</t>
        </is>
      </c>
      <c r="B782" s="1" t="n">
        <v>44827</v>
      </c>
      <c r="C782" s="1" t="n">
        <v>45569</v>
      </c>
      <c r="D782" t="inlineStr">
        <is>
          <t>JÄMTLANDS LÄN</t>
        </is>
      </c>
      <c r="E782" t="inlineStr">
        <is>
          <t>HÄRJEDALEN</t>
        </is>
      </c>
      <c r="G782" t="n">
        <v>12.5</v>
      </c>
      <c r="H782" t="n">
        <v>0</v>
      </c>
      <c r="I782" t="n">
        <v>0</v>
      </c>
      <c r="J782" t="n">
        <v>0</v>
      </c>
      <c r="K782" t="n">
        <v>0</v>
      </c>
      <c r="L782" t="n">
        <v>0</v>
      </c>
      <c r="M782" t="n">
        <v>0</v>
      </c>
      <c r="N782" t="n">
        <v>0</v>
      </c>
      <c r="O782" t="n">
        <v>0</v>
      </c>
      <c r="P782" t="n">
        <v>0</v>
      </c>
      <c r="Q782" t="n">
        <v>0</v>
      </c>
      <c r="R782" s="2" t="inlineStr"/>
    </row>
    <row r="783" ht="15" customHeight="1">
      <c r="A783" t="inlineStr">
        <is>
          <t>A 42673-2022</t>
        </is>
      </c>
      <c r="B783" s="1" t="n">
        <v>44832</v>
      </c>
      <c r="C783" s="1" t="n">
        <v>45569</v>
      </c>
      <c r="D783" t="inlineStr">
        <is>
          <t>JÄMTLANDS LÄN</t>
        </is>
      </c>
      <c r="E783" t="inlineStr">
        <is>
          <t>HÄRJEDALEN</t>
        </is>
      </c>
      <c r="F783" t="inlineStr">
        <is>
          <t>Bergvik skog väst AB</t>
        </is>
      </c>
      <c r="G783" t="n">
        <v>18.6</v>
      </c>
      <c r="H783" t="n">
        <v>0</v>
      </c>
      <c r="I783" t="n">
        <v>0</v>
      </c>
      <c r="J783" t="n">
        <v>0</v>
      </c>
      <c r="K783" t="n">
        <v>0</v>
      </c>
      <c r="L783" t="n">
        <v>0</v>
      </c>
      <c r="M783" t="n">
        <v>0</v>
      </c>
      <c r="N783" t="n">
        <v>0</v>
      </c>
      <c r="O783" t="n">
        <v>0</v>
      </c>
      <c r="P783" t="n">
        <v>0</v>
      </c>
      <c r="Q783" t="n">
        <v>0</v>
      </c>
      <c r="R783" s="2" t="inlineStr"/>
    </row>
    <row r="784" ht="15" customHeight="1">
      <c r="A784" t="inlineStr">
        <is>
          <t>A 42916-2022</t>
        </is>
      </c>
      <c r="B784" s="1" t="n">
        <v>44833</v>
      </c>
      <c r="C784" s="1" t="n">
        <v>45569</v>
      </c>
      <c r="D784" t="inlineStr">
        <is>
          <t>JÄMTLANDS LÄN</t>
        </is>
      </c>
      <c r="E784" t="inlineStr">
        <is>
          <t>HÄRJEDALEN</t>
        </is>
      </c>
      <c r="F784" t="inlineStr">
        <is>
          <t>Bergvik skog väst AB</t>
        </is>
      </c>
      <c r="G784" t="n">
        <v>8.6</v>
      </c>
      <c r="H784" t="n">
        <v>0</v>
      </c>
      <c r="I784" t="n">
        <v>0</v>
      </c>
      <c r="J784" t="n">
        <v>0</v>
      </c>
      <c r="K784" t="n">
        <v>0</v>
      </c>
      <c r="L784" t="n">
        <v>0</v>
      </c>
      <c r="M784" t="n">
        <v>0</v>
      </c>
      <c r="N784" t="n">
        <v>0</v>
      </c>
      <c r="O784" t="n">
        <v>0</v>
      </c>
      <c r="P784" t="n">
        <v>0</v>
      </c>
      <c r="Q784" t="n">
        <v>0</v>
      </c>
      <c r="R784" s="2" t="inlineStr"/>
    </row>
    <row r="785" ht="15" customHeight="1">
      <c r="A785" t="inlineStr">
        <is>
          <t>A 43293-2022</t>
        </is>
      </c>
      <c r="B785" s="1" t="n">
        <v>44834</v>
      </c>
      <c r="C785" s="1" t="n">
        <v>45569</v>
      </c>
      <c r="D785" t="inlineStr">
        <is>
          <t>JÄMTLANDS LÄN</t>
        </is>
      </c>
      <c r="E785" t="inlineStr">
        <is>
          <t>HÄRJEDALEN</t>
        </is>
      </c>
      <c r="F785" t="inlineStr">
        <is>
          <t>Bergvik skog väst AB</t>
        </is>
      </c>
      <c r="G785" t="n">
        <v>6.7</v>
      </c>
      <c r="H785" t="n">
        <v>0</v>
      </c>
      <c r="I785" t="n">
        <v>0</v>
      </c>
      <c r="J785" t="n">
        <v>0</v>
      </c>
      <c r="K785" t="n">
        <v>0</v>
      </c>
      <c r="L785" t="n">
        <v>0</v>
      </c>
      <c r="M785" t="n">
        <v>0</v>
      </c>
      <c r="N785" t="n">
        <v>0</v>
      </c>
      <c r="O785" t="n">
        <v>0</v>
      </c>
      <c r="P785" t="n">
        <v>0</v>
      </c>
      <c r="Q785" t="n">
        <v>0</v>
      </c>
      <c r="R785" s="2" t="inlineStr"/>
    </row>
    <row r="786" ht="15" customHeight="1">
      <c r="A786" t="inlineStr">
        <is>
          <t>A 43531-2022</t>
        </is>
      </c>
      <c r="B786" s="1" t="n">
        <v>44837</v>
      </c>
      <c r="C786" s="1" t="n">
        <v>45569</v>
      </c>
      <c r="D786" t="inlineStr">
        <is>
          <t>JÄMTLANDS LÄN</t>
        </is>
      </c>
      <c r="E786" t="inlineStr">
        <is>
          <t>HÄRJEDALEN</t>
        </is>
      </c>
      <c r="F786" t="inlineStr">
        <is>
          <t>Bergvik skog väst AB</t>
        </is>
      </c>
      <c r="G786" t="n">
        <v>7.1</v>
      </c>
      <c r="H786" t="n">
        <v>0</v>
      </c>
      <c r="I786" t="n">
        <v>0</v>
      </c>
      <c r="J786" t="n">
        <v>0</v>
      </c>
      <c r="K786" t="n">
        <v>0</v>
      </c>
      <c r="L786" t="n">
        <v>0</v>
      </c>
      <c r="M786" t="n">
        <v>0</v>
      </c>
      <c r="N786" t="n">
        <v>0</v>
      </c>
      <c r="O786" t="n">
        <v>0</v>
      </c>
      <c r="P786" t="n">
        <v>0</v>
      </c>
      <c r="Q786" t="n">
        <v>0</v>
      </c>
      <c r="R786" s="2" t="inlineStr"/>
    </row>
    <row r="787" ht="15" customHeight="1">
      <c r="A787" t="inlineStr">
        <is>
          <t>A 43552-2022</t>
        </is>
      </c>
      <c r="B787" s="1" t="n">
        <v>44837</v>
      </c>
      <c r="C787" s="1" t="n">
        <v>45569</v>
      </c>
      <c r="D787" t="inlineStr">
        <is>
          <t>JÄMTLANDS LÄN</t>
        </is>
      </c>
      <c r="E787" t="inlineStr">
        <is>
          <t>HÄRJEDALEN</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43825-2022</t>
        </is>
      </c>
      <c r="B788" s="1" t="n">
        <v>44838</v>
      </c>
      <c r="C788" s="1" t="n">
        <v>45569</v>
      </c>
      <c r="D788" t="inlineStr">
        <is>
          <t>JÄMTLANDS LÄN</t>
        </is>
      </c>
      <c r="E788" t="inlineStr">
        <is>
          <t>HÄRJEDALEN</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45017-2022</t>
        </is>
      </c>
      <c r="B789" s="1" t="n">
        <v>44841</v>
      </c>
      <c r="C789" s="1" t="n">
        <v>45569</v>
      </c>
      <c r="D789" t="inlineStr">
        <is>
          <t>JÄMTLANDS LÄN</t>
        </is>
      </c>
      <c r="E789" t="inlineStr">
        <is>
          <t>HÄRJEDALEN</t>
        </is>
      </c>
      <c r="F789" t="inlineStr">
        <is>
          <t>Bergvik skog väst AB</t>
        </is>
      </c>
      <c r="G789" t="n">
        <v>5.4</v>
      </c>
      <c r="H789" t="n">
        <v>0</v>
      </c>
      <c r="I789" t="n">
        <v>0</v>
      </c>
      <c r="J789" t="n">
        <v>0</v>
      </c>
      <c r="K789" t="n">
        <v>0</v>
      </c>
      <c r="L789" t="n">
        <v>0</v>
      </c>
      <c r="M789" t="n">
        <v>0</v>
      </c>
      <c r="N789" t="n">
        <v>0</v>
      </c>
      <c r="O789" t="n">
        <v>0</v>
      </c>
      <c r="P789" t="n">
        <v>0</v>
      </c>
      <c r="Q789" t="n">
        <v>0</v>
      </c>
      <c r="R789" s="2" t="inlineStr"/>
    </row>
    <row r="790" ht="15" customHeight="1">
      <c r="A790" t="inlineStr">
        <is>
          <t>A 47351-2022</t>
        </is>
      </c>
      <c r="B790" s="1" t="n">
        <v>44853</v>
      </c>
      <c r="C790" s="1" t="n">
        <v>45569</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47450-2022</t>
        </is>
      </c>
      <c r="B791" s="1" t="n">
        <v>44853</v>
      </c>
      <c r="C791" s="1" t="n">
        <v>45569</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47635-2022</t>
        </is>
      </c>
      <c r="B792" s="1" t="n">
        <v>44854</v>
      </c>
      <c r="C792" s="1" t="n">
        <v>45569</v>
      </c>
      <c r="D792" t="inlineStr">
        <is>
          <t>JÄMTLANDS LÄN</t>
        </is>
      </c>
      <c r="E792" t="inlineStr">
        <is>
          <t>HÄRJEDALEN</t>
        </is>
      </c>
      <c r="G792" t="n">
        <v>2.2</v>
      </c>
      <c r="H792" t="n">
        <v>0</v>
      </c>
      <c r="I792" t="n">
        <v>0</v>
      </c>
      <c r="J792" t="n">
        <v>0</v>
      </c>
      <c r="K792" t="n">
        <v>0</v>
      </c>
      <c r="L792" t="n">
        <v>0</v>
      </c>
      <c r="M792" t="n">
        <v>0</v>
      </c>
      <c r="N792" t="n">
        <v>0</v>
      </c>
      <c r="O792" t="n">
        <v>0</v>
      </c>
      <c r="P792" t="n">
        <v>0</v>
      </c>
      <c r="Q792" t="n">
        <v>0</v>
      </c>
      <c r="R792" s="2" t="inlineStr"/>
    </row>
    <row r="793" ht="15" customHeight="1">
      <c r="A793" t="inlineStr">
        <is>
          <t>A 47738-2022</t>
        </is>
      </c>
      <c r="B793" s="1" t="n">
        <v>44854</v>
      </c>
      <c r="C793" s="1" t="n">
        <v>45569</v>
      </c>
      <c r="D793" t="inlineStr">
        <is>
          <t>JÄMTLANDS LÄN</t>
        </is>
      </c>
      <c r="E793" t="inlineStr">
        <is>
          <t>HÄRJEDALEN</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47975-2022</t>
        </is>
      </c>
      <c r="B794" s="1" t="n">
        <v>44855</v>
      </c>
      <c r="C794" s="1" t="n">
        <v>45569</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48438-2022</t>
        </is>
      </c>
      <c r="B795" s="1" t="n">
        <v>44858</v>
      </c>
      <c r="C795" s="1" t="n">
        <v>45569</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48583-2022</t>
        </is>
      </c>
      <c r="B796" s="1" t="n">
        <v>44859</v>
      </c>
      <c r="C796" s="1" t="n">
        <v>45569</v>
      </c>
      <c r="D796" t="inlineStr">
        <is>
          <t>JÄMTLANDS LÄN</t>
        </is>
      </c>
      <c r="E796" t="inlineStr">
        <is>
          <t>HÄRJEDALEN</t>
        </is>
      </c>
      <c r="F796" t="inlineStr">
        <is>
          <t>Bergvik skog väst AB</t>
        </is>
      </c>
      <c r="G796" t="n">
        <v>8.6</v>
      </c>
      <c r="H796" t="n">
        <v>0</v>
      </c>
      <c r="I796" t="n">
        <v>0</v>
      </c>
      <c r="J796" t="n">
        <v>0</v>
      </c>
      <c r="K796" t="n">
        <v>0</v>
      </c>
      <c r="L796" t="n">
        <v>0</v>
      </c>
      <c r="M796" t="n">
        <v>0</v>
      </c>
      <c r="N796" t="n">
        <v>0</v>
      </c>
      <c r="O796" t="n">
        <v>0</v>
      </c>
      <c r="P796" t="n">
        <v>0</v>
      </c>
      <c r="Q796" t="n">
        <v>0</v>
      </c>
      <c r="R796" s="2" t="inlineStr"/>
    </row>
    <row r="797" ht="15" customHeight="1">
      <c r="A797" t="inlineStr">
        <is>
          <t>A 49237-2022</t>
        </is>
      </c>
      <c r="B797" s="1" t="n">
        <v>44861</v>
      </c>
      <c r="C797" s="1" t="n">
        <v>45569</v>
      </c>
      <c r="D797" t="inlineStr">
        <is>
          <t>JÄMTLANDS LÄN</t>
        </is>
      </c>
      <c r="E797" t="inlineStr">
        <is>
          <t>HÄRJEDALEN</t>
        </is>
      </c>
      <c r="G797" t="n">
        <v>5.8</v>
      </c>
      <c r="H797" t="n">
        <v>0</v>
      </c>
      <c r="I797" t="n">
        <v>0</v>
      </c>
      <c r="J797" t="n">
        <v>0</v>
      </c>
      <c r="K797" t="n">
        <v>0</v>
      </c>
      <c r="L797" t="n">
        <v>0</v>
      </c>
      <c r="M797" t="n">
        <v>0</v>
      </c>
      <c r="N797" t="n">
        <v>0</v>
      </c>
      <c r="O797" t="n">
        <v>0</v>
      </c>
      <c r="P797" t="n">
        <v>0</v>
      </c>
      <c r="Q797" t="n">
        <v>0</v>
      </c>
      <c r="R797" s="2" t="inlineStr"/>
    </row>
    <row r="798" ht="15" customHeight="1">
      <c r="A798" t="inlineStr">
        <is>
          <t>A 49295-2022</t>
        </is>
      </c>
      <c r="B798" s="1" t="n">
        <v>44861</v>
      </c>
      <c r="C798" s="1" t="n">
        <v>45569</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49663-2022</t>
        </is>
      </c>
      <c r="B799" s="1" t="n">
        <v>44862</v>
      </c>
      <c r="C799" s="1" t="n">
        <v>45569</v>
      </c>
      <c r="D799" t="inlineStr">
        <is>
          <t>JÄMTLANDS LÄN</t>
        </is>
      </c>
      <c r="E799" t="inlineStr">
        <is>
          <t>HÄRJEDALEN</t>
        </is>
      </c>
      <c r="F799" t="inlineStr">
        <is>
          <t>Bergvik skog väst AB</t>
        </is>
      </c>
      <c r="G799" t="n">
        <v>17.5</v>
      </c>
      <c r="H799" t="n">
        <v>0</v>
      </c>
      <c r="I799" t="n">
        <v>0</v>
      </c>
      <c r="J799" t="n">
        <v>0</v>
      </c>
      <c r="K799" t="n">
        <v>0</v>
      </c>
      <c r="L799" t="n">
        <v>0</v>
      </c>
      <c r="M799" t="n">
        <v>0</v>
      </c>
      <c r="N799" t="n">
        <v>0</v>
      </c>
      <c r="O799" t="n">
        <v>0</v>
      </c>
      <c r="P799" t="n">
        <v>0</v>
      </c>
      <c r="Q799" t="n">
        <v>0</v>
      </c>
      <c r="R799" s="2" t="inlineStr"/>
    </row>
    <row r="800" ht="15" customHeight="1">
      <c r="A800" t="inlineStr">
        <is>
          <t>A 49689-2022</t>
        </is>
      </c>
      <c r="B800" s="1" t="n">
        <v>44862</v>
      </c>
      <c r="C800" s="1" t="n">
        <v>45569</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49995-2022</t>
        </is>
      </c>
      <c r="B801" s="1" t="n">
        <v>44865</v>
      </c>
      <c r="C801" s="1" t="n">
        <v>45569</v>
      </c>
      <c r="D801" t="inlineStr">
        <is>
          <t>JÄMTLANDS LÄN</t>
        </is>
      </c>
      <c r="E801" t="inlineStr">
        <is>
          <t>HÄRJEDALEN</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51948-2022</t>
        </is>
      </c>
      <c r="B802" s="1" t="n">
        <v>44872</v>
      </c>
      <c r="C802" s="1" t="n">
        <v>45569</v>
      </c>
      <c r="D802" t="inlineStr">
        <is>
          <t>JÄMTLANDS LÄN</t>
        </is>
      </c>
      <c r="E802" t="inlineStr">
        <is>
          <t>HÄRJEDALEN</t>
        </is>
      </c>
      <c r="F802" t="inlineStr">
        <is>
          <t>Bergvik skog väst AB</t>
        </is>
      </c>
      <c r="G802" t="n">
        <v>3.8</v>
      </c>
      <c r="H802" t="n">
        <v>0</v>
      </c>
      <c r="I802" t="n">
        <v>0</v>
      </c>
      <c r="J802" t="n">
        <v>0</v>
      </c>
      <c r="K802" t="n">
        <v>0</v>
      </c>
      <c r="L802" t="n">
        <v>0</v>
      </c>
      <c r="M802" t="n">
        <v>0</v>
      </c>
      <c r="N802" t="n">
        <v>0</v>
      </c>
      <c r="O802" t="n">
        <v>0</v>
      </c>
      <c r="P802" t="n">
        <v>0</v>
      </c>
      <c r="Q802" t="n">
        <v>0</v>
      </c>
      <c r="R802" s="2" t="inlineStr"/>
    </row>
    <row r="803" ht="15" customHeight="1">
      <c r="A803" t="inlineStr">
        <is>
          <t>A 52852-2022</t>
        </is>
      </c>
      <c r="B803" s="1" t="n">
        <v>44872</v>
      </c>
      <c r="C803" s="1" t="n">
        <v>45569</v>
      </c>
      <c r="D803" t="inlineStr">
        <is>
          <t>JÄMTLANDS LÄN</t>
        </is>
      </c>
      <c r="E803" t="inlineStr">
        <is>
          <t>HÄRJEDALEN</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52867-2022</t>
        </is>
      </c>
      <c r="B804" s="1" t="n">
        <v>44872</v>
      </c>
      <c r="C804" s="1" t="n">
        <v>45569</v>
      </c>
      <c r="D804" t="inlineStr">
        <is>
          <t>JÄMTLANDS LÄN</t>
        </is>
      </c>
      <c r="E804" t="inlineStr">
        <is>
          <t>HÄRJEDALEN</t>
        </is>
      </c>
      <c r="G804" t="n">
        <v>0.3</v>
      </c>
      <c r="H804" t="n">
        <v>0</v>
      </c>
      <c r="I804" t="n">
        <v>0</v>
      </c>
      <c r="J804" t="n">
        <v>0</v>
      </c>
      <c r="K804" t="n">
        <v>0</v>
      </c>
      <c r="L804" t="n">
        <v>0</v>
      </c>
      <c r="M804" t="n">
        <v>0</v>
      </c>
      <c r="N804" t="n">
        <v>0</v>
      </c>
      <c r="O804" t="n">
        <v>0</v>
      </c>
      <c r="P804" t="n">
        <v>0</v>
      </c>
      <c r="Q804" t="n">
        <v>0</v>
      </c>
      <c r="R804" s="2" t="inlineStr"/>
    </row>
    <row r="805" ht="15" customHeight="1">
      <c r="A805" t="inlineStr">
        <is>
          <t>A 52339-2022</t>
        </is>
      </c>
      <c r="B805" s="1" t="n">
        <v>44873</v>
      </c>
      <c r="C805" s="1" t="n">
        <v>45569</v>
      </c>
      <c r="D805" t="inlineStr">
        <is>
          <t>JÄMTLANDS LÄN</t>
        </is>
      </c>
      <c r="E805" t="inlineStr">
        <is>
          <t>HÄRJEDALEN</t>
        </is>
      </c>
      <c r="G805" t="n">
        <v>28.1</v>
      </c>
      <c r="H805" t="n">
        <v>0</v>
      </c>
      <c r="I805" t="n">
        <v>0</v>
      </c>
      <c r="J805" t="n">
        <v>0</v>
      </c>
      <c r="K805" t="n">
        <v>0</v>
      </c>
      <c r="L805" t="n">
        <v>0</v>
      </c>
      <c r="M805" t="n">
        <v>0</v>
      </c>
      <c r="N805" t="n">
        <v>0</v>
      </c>
      <c r="O805" t="n">
        <v>0</v>
      </c>
      <c r="P805" t="n">
        <v>0</v>
      </c>
      <c r="Q805" t="n">
        <v>0</v>
      </c>
      <c r="R805" s="2" t="inlineStr"/>
    </row>
    <row r="806" ht="15" customHeight="1">
      <c r="A806" t="inlineStr">
        <is>
          <t>A 52586-2022</t>
        </is>
      </c>
      <c r="B806" s="1" t="n">
        <v>44874</v>
      </c>
      <c r="C806" s="1" t="n">
        <v>45569</v>
      </c>
      <c r="D806" t="inlineStr">
        <is>
          <t>JÄMTLANDS LÄN</t>
        </is>
      </c>
      <c r="E806" t="inlineStr">
        <is>
          <t>HÄRJEDALEN</t>
        </is>
      </c>
      <c r="F806" t="inlineStr">
        <is>
          <t>Bergvik skog väst AB</t>
        </is>
      </c>
      <c r="G806" t="n">
        <v>6.1</v>
      </c>
      <c r="H806" t="n">
        <v>0</v>
      </c>
      <c r="I806" t="n">
        <v>0</v>
      </c>
      <c r="J806" t="n">
        <v>0</v>
      </c>
      <c r="K806" t="n">
        <v>0</v>
      </c>
      <c r="L806" t="n">
        <v>0</v>
      </c>
      <c r="M806" t="n">
        <v>0</v>
      </c>
      <c r="N806" t="n">
        <v>0</v>
      </c>
      <c r="O806" t="n">
        <v>0</v>
      </c>
      <c r="P806" t="n">
        <v>0</v>
      </c>
      <c r="Q806" t="n">
        <v>0</v>
      </c>
      <c r="R806" s="2" t="inlineStr"/>
    </row>
    <row r="807" ht="15" customHeight="1">
      <c r="A807" t="inlineStr">
        <is>
          <t>A 53104-2022</t>
        </is>
      </c>
      <c r="B807" s="1" t="n">
        <v>44876</v>
      </c>
      <c r="C807" s="1" t="n">
        <v>45569</v>
      </c>
      <c r="D807" t="inlineStr">
        <is>
          <t>JÄMTLANDS LÄN</t>
        </is>
      </c>
      <c r="E807" t="inlineStr">
        <is>
          <t>HÄRJEDALEN</t>
        </is>
      </c>
      <c r="F807" t="inlineStr">
        <is>
          <t>Bergvik skog väst AB</t>
        </is>
      </c>
      <c r="G807" t="n">
        <v>0.7</v>
      </c>
      <c r="H807" t="n">
        <v>0</v>
      </c>
      <c r="I807" t="n">
        <v>0</v>
      </c>
      <c r="J807" t="n">
        <v>0</v>
      </c>
      <c r="K807" t="n">
        <v>0</v>
      </c>
      <c r="L807" t="n">
        <v>0</v>
      </c>
      <c r="M807" t="n">
        <v>0</v>
      </c>
      <c r="N807" t="n">
        <v>0</v>
      </c>
      <c r="O807" t="n">
        <v>0</v>
      </c>
      <c r="P807" t="n">
        <v>0</v>
      </c>
      <c r="Q807" t="n">
        <v>0</v>
      </c>
      <c r="R807" s="2" t="inlineStr"/>
    </row>
    <row r="808" ht="15" customHeight="1">
      <c r="A808" t="inlineStr">
        <is>
          <t>A 53107-2022</t>
        </is>
      </c>
      <c r="B808" s="1" t="n">
        <v>44876</v>
      </c>
      <c r="C808" s="1" t="n">
        <v>45569</v>
      </c>
      <c r="D808" t="inlineStr">
        <is>
          <t>JÄMTLANDS LÄN</t>
        </is>
      </c>
      <c r="E808" t="inlineStr">
        <is>
          <t>HÄRJEDALEN</t>
        </is>
      </c>
      <c r="F808" t="inlineStr">
        <is>
          <t>Bergvik skog väst AB</t>
        </is>
      </c>
      <c r="G808" t="n">
        <v>9.1</v>
      </c>
      <c r="H808" t="n">
        <v>0</v>
      </c>
      <c r="I808" t="n">
        <v>0</v>
      </c>
      <c r="J808" t="n">
        <v>0</v>
      </c>
      <c r="K808" t="n">
        <v>0</v>
      </c>
      <c r="L808" t="n">
        <v>0</v>
      </c>
      <c r="M808" t="n">
        <v>0</v>
      </c>
      <c r="N808" t="n">
        <v>0</v>
      </c>
      <c r="O808" t="n">
        <v>0</v>
      </c>
      <c r="P808" t="n">
        <v>0</v>
      </c>
      <c r="Q808" t="n">
        <v>0</v>
      </c>
      <c r="R808" s="2" t="inlineStr"/>
    </row>
    <row r="809" ht="15" customHeight="1">
      <c r="A809" t="inlineStr">
        <is>
          <t>A 53120-2022</t>
        </is>
      </c>
      <c r="B809" s="1" t="n">
        <v>44876</v>
      </c>
      <c r="C809" s="1" t="n">
        <v>45569</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53563-2022</t>
        </is>
      </c>
      <c r="B810" s="1" t="n">
        <v>44879</v>
      </c>
      <c r="C810" s="1" t="n">
        <v>45569</v>
      </c>
      <c r="D810" t="inlineStr">
        <is>
          <t>JÄMTLANDS LÄN</t>
        </is>
      </c>
      <c r="E810" t="inlineStr">
        <is>
          <t>HÄRJEDALEN</t>
        </is>
      </c>
      <c r="G810" t="n">
        <v>8.6</v>
      </c>
      <c r="H810" t="n">
        <v>0</v>
      </c>
      <c r="I810" t="n">
        <v>0</v>
      </c>
      <c r="J810" t="n">
        <v>0</v>
      </c>
      <c r="K810" t="n">
        <v>0</v>
      </c>
      <c r="L810" t="n">
        <v>0</v>
      </c>
      <c r="M810" t="n">
        <v>0</v>
      </c>
      <c r="N810" t="n">
        <v>0</v>
      </c>
      <c r="O810" t="n">
        <v>0</v>
      </c>
      <c r="P810" t="n">
        <v>0</v>
      </c>
      <c r="Q810" t="n">
        <v>0</v>
      </c>
      <c r="R810" s="2" t="inlineStr"/>
    </row>
    <row r="811" ht="15" customHeight="1">
      <c r="A811" t="inlineStr">
        <is>
          <t>A 54059-2022</t>
        </is>
      </c>
      <c r="B811" s="1" t="n">
        <v>44881</v>
      </c>
      <c r="C811" s="1" t="n">
        <v>45569</v>
      </c>
      <c r="D811" t="inlineStr">
        <is>
          <t>JÄMTLANDS LÄN</t>
        </is>
      </c>
      <c r="E811" t="inlineStr">
        <is>
          <t>HÄRJEDALEN</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54065-2022</t>
        </is>
      </c>
      <c r="B812" s="1" t="n">
        <v>44881</v>
      </c>
      <c r="C812" s="1" t="n">
        <v>45569</v>
      </c>
      <c r="D812" t="inlineStr">
        <is>
          <t>JÄMTLANDS LÄN</t>
        </is>
      </c>
      <c r="E812" t="inlineStr">
        <is>
          <t>HÄRJEDALEN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54305-2022</t>
        </is>
      </c>
      <c r="B813" s="1" t="n">
        <v>44882</v>
      </c>
      <c r="C813" s="1" t="n">
        <v>45569</v>
      </c>
      <c r="D813" t="inlineStr">
        <is>
          <t>JÄMTLANDS LÄN</t>
        </is>
      </c>
      <c r="E813" t="inlineStr">
        <is>
          <t>HÄRJEDALEN</t>
        </is>
      </c>
      <c r="G813" t="n">
        <v>2.3</v>
      </c>
      <c r="H813" t="n">
        <v>0</v>
      </c>
      <c r="I813" t="n">
        <v>0</v>
      </c>
      <c r="J813" t="n">
        <v>0</v>
      </c>
      <c r="K813" t="n">
        <v>0</v>
      </c>
      <c r="L813" t="n">
        <v>0</v>
      </c>
      <c r="M813" t="n">
        <v>0</v>
      </c>
      <c r="N813" t="n">
        <v>0</v>
      </c>
      <c r="O813" t="n">
        <v>0</v>
      </c>
      <c r="P813" t="n">
        <v>0</v>
      </c>
      <c r="Q813" t="n">
        <v>0</v>
      </c>
      <c r="R813" s="2" t="inlineStr"/>
    </row>
    <row r="814" ht="15" customHeight="1">
      <c r="A814" t="inlineStr">
        <is>
          <t>A 54661-2022</t>
        </is>
      </c>
      <c r="B814" s="1" t="n">
        <v>44883</v>
      </c>
      <c r="C814" s="1" t="n">
        <v>45569</v>
      </c>
      <c r="D814" t="inlineStr">
        <is>
          <t>JÄMTLANDS LÄN</t>
        </is>
      </c>
      <c r="E814" t="inlineStr">
        <is>
          <t>HÄRJEDALEN</t>
        </is>
      </c>
      <c r="G814" t="n">
        <v>5.9</v>
      </c>
      <c r="H814" t="n">
        <v>0</v>
      </c>
      <c r="I814" t="n">
        <v>0</v>
      </c>
      <c r="J814" t="n">
        <v>0</v>
      </c>
      <c r="K814" t="n">
        <v>0</v>
      </c>
      <c r="L814" t="n">
        <v>0</v>
      </c>
      <c r="M814" t="n">
        <v>0</v>
      </c>
      <c r="N814" t="n">
        <v>0</v>
      </c>
      <c r="O814" t="n">
        <v>0</v>
      </c>
      <c r="P814" t="n">
        <v>0</v>
      </c>
      <c r="Q814" t="n">
        <v>0</v>
      </c>
      <c r="R814" s="2" t="inlineStr"/>
    </row>
    <row r="815" ht="15" customHeight="1">
      <c r="A815" t="inlineStr">
        <is>
          <t>A 54762-2022</t>
        </is>
      </c>
      <c r="B815" s="1" t="n">
        <v>44883</v>
      </c>
      <c r="C815" s="1" t="n">
        <v>45569</v>
      </c>
      <c r="D815" t="inlineStr">
        <is>
          <t>JÄMTLANDS LÄN</t>
        </is>
      </c>
      <c r="E815" t="inlineStr">
        <is>
          <t>HÄRJEDALEN</t>
        </is>
      </c>
      <c r="G815" t="n">
        <v>1.8</v>
      </c>
      <c r="H815" t="n">
        <v>0</v>
      </c>
      <c r="I815" t="n">
        <v>0</v>
      </c>
      <c r="J815" t="n">
        <v>0</v>
      </c>
      <c r="K815" t="n">
        <v>0</v>
      </c>
      <c r="L815" t="n">
        <v>0</v>
      </c>
      <c r="M815" t="n">
        <v>0</v>
      </c>
      <c r="N815" t="n">
        <v>0</v>
      </c>
      <c r="O815" t="n">
        <v>0</v>
      </c>
      <c r="P815" t="n">
        <v>0</v>
      </c>
      <c r="Q815" t="n">
        <v>0</v>
      </c>
      <c r="R815" s="2" t="inlineStr"/>
    </row>
    <row r="816" ht="15" customHeight="1">
      <c r="A816" t="inlineStr">
        <is>
          <t>A 55100-2022</t>
        </is>
      </c>
      <c r="B816" s="1" t="n">
        <v>44886</v>
      </c>
      <c r="C816" s="1" t="n">
        <v>45569</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55103-2022</t>
        </is>
      </c>
      <c r="B817" s="1" t="n">
        <v>44886</v>
      </c>
      <c r="C817" s="1" t="n">
        <v>45569</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55931-2022</t>
        </is>
      </c>
      <c r="B818" s="1" t="n">
        <v>44886</v>
      </c>
      <c r="C818" s="1" t="n">
        <v>45569</v>
      </c>
      <c r="D818" t="inlineStr">
        <is>
          <t>JÄMTLANDS LÄN</t>
        </is>
      </c>
      <c r="E818" t="inlineStr">
        <is>
          <t>HÄRJEDALEN</t>
        </is>
      </c>
      <c r="F818" t="inlineStr">
        <is>
          <t>Övriga statliga verk och myndigheter</t>
        </is>
      </c>
      <c r="G818" t="n">
        <v>2.9</v>
      </c>
      <c r="H818" t="n">
        <v>0</v>
      </c>
      <c r="I818" t="n">
        <v>0</v>
      </c>
      <c r="J818" t="n">
        <v>0</v>
      </c>
      <c r="K818" t="n">
        <v>0</v>
      </c>
      <c r="L818" t="n">
        <v>0</v>
      </c>
      <c r="M818" t="n">
        <v>0</v>
      </c>
      <c r="N818" t="n">
        <v>0</v>
      </c>
      <c r="O818" t="n">
        <v>0</v>
      </c>
      <c r="P818" t="n">
        <v>0</v>
      </c>
      <c r="Q818" t="n">
        <v>0</v>
      </c>
      <c r="R818" s="2" t="inlineStr"/>
    </row>
    <row r="819" ht="15" customHeight="1">
      <c r="A819" t="inlineStr">
        <is>
          <t>A 55969-2022</t>
        </is>
      </c>
      <c r="B819" s="1" t="n">
        <v>44886</v>
      </c>
      <c r="C819" s="1" t="n">
        <v>45569</v>
      </c>
      <c r="D819" t="inlineStr">
        <is>
          <t>JÄMTLANDS LÄN</t>
        </is>
      </c>
      <c r="E819" t="inlineStr">
        <is>
          <t>HÄRJEDALEN</t>
        </is>
      </c>
      <c r="F819" t="inlineStr">
        <is>
          <t>Övriga statliga verk och myndigheter</t>
        </is>
      </c>
      <c r="G819" t="n">
        <v>1.6</v>
      </c>
      <c r="H819" t="n">
        <v>0</v>
      </c>
      <c r="I819" t="n">
        <v>0</v>
      </c>
      <c r="J819" t="n">
        <v>0</v>
      </c>
      <c r="K819" t="n">
        <v>0</v>
      </c>
      <c r="L819" t="n">
        <v>0</v>
      </c>
      <c r="M819" t="n">
        <v>0</v>
      </c>
      <c r="N819" t="n">
        <v>0</v>
      </c>
      <c r="O819" t="n">
        <v>0</v>
      </c>
      <c r="P819" t="n">
        <v>0</v>
      </c>
      <c r="Q819" t="n">
        <v>0</v>
      </c>
      <c r="R819" s="2" t="inlineStr"/>
    </row>
    <row r="820" ht="15" customHeight="1">
      <c r="A820" t="inlineStr">
        <is>
          <t>A 56043-2022</t>
        </is>
      </c>
      <c r="B820" s="1" t="n">
        <v>44889</v>
      </c>
      <c r="C820" s="1" t="n">
        <v>45569</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57223-2022</t>
        </is>
      </c>
      <c r="B821" s="1" t="n">
        <v>44889</v>
      </c>
      <c r="C821" s="1" t="n">
        <v>45569</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56533-2022</t>
        </is>
      </c>
      <c r="B822" s="1" t="n">
        <v>44893</v>
      </c>
      <c r="C822" s="1" t="n">
        <v>45569</v>
      </c>
      <c r="D822" t="inlineStr">
        <is>
          <t>JÄMTLANDS LÄN</t>
        </is>
      </c>
      <c r="E822" t="inlineStr">
        <is>
          <t>HÄRJEDALEN</t>
        </is>
      </c>
      <c r="F822" t="inlineStr">
        <is>
          <t>Bergvik skog väst AB</t>
        </is>
      </c>
      <c r="G822" t="n">
        <v>3</v>
      </c>
      <c r="H822" t="n">
        <v>0</v>
      </c>
      <c r="I822" t="n">
        <v>0</v>
      </c>
      <c r="J822" t="n">
        <v>0</v>
      </c>
      <c r="K822" t="n">
        <v>0</v>
      </c>
      <c r="L822" t="n">
        <v>0</v>
      </c>
      <c r="M822" t="n">
        <v>0</v>
      </c>
      <c r="N822" t="n">
        <v>0</v>
      </c>
      <c r="O822" t="n">
        <v>0</v>
      </c>
      <c r="P822" t="n">
        <v>0</v>
      </c>
      <c r="Q822" t="n">
        <v>0</v>
      </c>
      <c r="R822" s="2" t="inlineStr"/>
    </row>
    <row r="823" ht="15" customHeight="1">
      <c r="A823" t="inlineStr">
        <is>
          <t>A 56992-2022</t>
        </is>
      </c>
      <c r="B823" s="1" t="n">
        <v>44894</v>
      </c>
      <c r="C823" s="1" t="n">
        <v>45569</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58425-2022</t>
        </is>
      </c>
      <c r="B824" s="1" t="n">
        <v>44901</v>
      </c>
      <c r="C824" s="1" t="n">
        <v>45569</v>
      </c>
      <c r="D824" t="inlineStr">
        <is>
          <t>JÄMTLANDS LÄN</t>
        </is>
      </c>
      <c r="E824" t="inlineStr">
        <is>
          <t>HÄRJEDALEN</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59094-2022</t>
        </is>
      </c>
      <c r="B825" s="1" t="n">
        <v>44904</v>
      </c>
      <c r="C825" s="1" t="n">
        <v>45569</v>
      </c>
      <c r="D825" t="inlineStr">
        <is>
          <t>JÄMTLANDS LÄN</t>
        </is>
      </c>
      <c r="E825" t="inlineStr">
        <is>
          <t>HÄRJEDALEN</t>
        </is>
      </c>
      <c r="F825" t="inlineStr">
        <is>
          <t>Bergvik skog väst AB</t>
        </is>
      </c>
      <c r="G825" t="n">
        <v>49.8</v>
      </c>
      <c r="H825" t="n">
        <v>0</v>
      </c>
      <c r="I825" t="n">
        <v>0</v>
      </c>
      <c r="J825" t="n">
        <v>0</v>
      </c>
      <c r="K825" t="n">
        <v>0</v>
      </c>
      <c r="L825" t="n">
        <v>0</v>
      </c>
      <c r="M825" t="n">
        <v>0</v>
      </c>
      <c r="N825" t="n">
        <v>0</v>
      </c>
      <c r="O825" t="n">
        <v>0</v>
      </c>
      <c r="P825" t="n">
        <v>0</v>
      </c>
      <c r="Q825" t="n">
        <v>0</v>
      </c>
      <c r="R825" s="2" t="inlineStr"/>
    </row>
    <row r="826" ht="15" customHeight="1">
      <c r="A826" t="inlineStr">
        <is>
          <t>A 59112-2022</t>
        </is>
      </c>
      <c r="B826" s="1" t="n">
        <v>44904</v>
      </c>
      <c r="C826" s="1" t="n">
        <v>45569</v>
      </c>
      <c r="D826" t="inlineStr">
        <is>
          <t>JÄMTLANDS LÄN</t>
        </is>
      </c>
      <c r="E826" t="inlineStr">
        <is>
          <t>HÄRJEDALEN</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59824-2022</t>
        </is>
      </c>
      <c r="B827" s="1" t="n">
        <v>44908</v>
      </c>
      <c r="C827" s="1" t="n">
        <v>45569</v>
      </c>
      <c r="D827" t="inlineStr">
        <is>
          <t>JÄMTLANDS LÄN</t>
        </is>
      </c>
      <c r="E827" t="inlineStr">
        <is>
          <t>HÄRJEDALEN</t>
        </is>
      </c>
      <c r="G827" t="n">
        <v>4.9</v>
      </c>
      <c r="H827" t="n">
        <v>0</v>
      </c>
      <c r="I827" t="n">
        <v>0</v>
      </c>
      <c r="J827" t="n">
        <v>0</v>
      </c>
      <c r="K827" t="n">
        <v>0</v>
      </c>
      <c r="L827" t="n">
        <v>0</v>
      </c>
      <c r="M827" t="n">
        <v>0</v>
      </c>
      <c r="N827" t="n">
        <v>0</v>
      </c>
      <c r="O827" t="n">
        <v>0</v>
      </c>
      <c r="P827" t="n">
        <v>0</v>
      </c>
      <c r="Q827" t="n">
        <v>0</v>
      </c>
      <c r="R827" s="2" t="inlineStr"/>
    </row>
    <row r="828" ht="15" customHeight="1">
      <c r="A828" t="inlineStr">
        <is>
          <t>A 59851-2022</t>
        </is>
      </c>
      <c r="B828" s="1" t="n">
        <v>44908</v>
      </c>
      <c r="C828" s="1" t="n">
        <v>45569</v>
      </c>
      <c r="D828" t="inlineStr">
        <is>
          <t>JÄMTLANDS LÄN</t>
        </is>
      </c>
      <c r="E828" t="inlineStr">
        <is>
          <t>HÄRJEDALEN</t>
        </is>
      </c>
      <c r="G828" t="n">
        <v>3.2</v>
      </c>
      <c r="H828" t="n">
        <v>0</v>
      </c>
      <c r="I828" t="n">
        <v>0</v>
      </c>
      <c r="J828" t="n">
        <v>0</v>
      </c>
      <c r="K828" t="n">
        <v>0</v>
      </c>
      <c r="L828" t="n">
        <v>0</v>
      </c>
      <c r="M828" t="n">
        <v>0</v>
      </c>
      <c r="N828" t="n">
        <v>0</v>
      </c>
      <c r="O828" t="n">
        <v>0</v>
      </c>
      <c r="P828" t="n">
        <v>0</v>
      </c>
      <c r="Q828" t="n">
        <v>0</v>
      </c>
      <c r="R828" s="2" t="inlineStr"/>
    </row>
    <row r="829" ht="15" customHeight="1">
      <c r="A829" t="inlineStr">
        <is>
          <t>A 59828-2022</t>
        </is>
      </c>
      <c r="B829" s="1" t="n">
        <v>44908</v>
      </c>
      <c r="C829" s="1" t="n">
        <v>45569</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59818-2022</t>
        </is>
      </c>
      <c r="B830" s="1" t="n">
        <v>44908</v>
      </c>
      <c r="C830" s="1" t="n">
        <v>45569</v>
      </c>
      <c r="D830" t="inlineStr">
        <is>
          <t>JÄMTLANDS LÄN</t>
        </is>
      </c>
      <c r="E830" t="inlineStr">
        <is>
          <t>HÄRJEDALEN</t>
        </is>
      </c>
      <c r="G830" t="n">
        <v>5.3</v>
      </c>
      <c r="H830" t="n">
        <v>0</v>
      </c>
      <c r="I830" t="n">
        <v>0</v>
      </c>
      <c r="J830" t="n">
        <v>0</v>
      </c>
      <c r="K830" t="n">
        <v>0</v>
      </c>
      <c r="L830" t="n">
        <v>0</v>
      </c>
      <c r="M830" t="n">
        <v>0</v>
      </c>
      <c r="N830" t="n">
        <v>0</v>
      </c>
      <c r="O830" t="n">
        <v>0</v>
      </c>
      <c r="P830" t="n">
        <v>0</v>
      </c>
      <c r="Q830" t="n">
        <v>0</v>
      </c>
      <c r="R830" s="2" t="inlineStr"/>
    </row>
    <row r="831" ht="15" customHeight="1">
      <c r="A831" t="inlineStr">
        <is>
          <t>A 61300-2022</t>
        </is>
      </c>
      <c r="B831" s="1" t="n">
        <v>44909</v>
      </c>
      <c r="C831" s="1" t="n">
        <v>45569</v>
      </c>
      <c r="D831" t="inlineStr">
        <is>
          <t>JÄMTLANDS LÄN</t>
        </is>
      </c>
      <c r="E831" t="inlineStr">
        <is>
          <t>HÄRJEDALEN</t>
        </is>
      </c>
      <c r="F831" t="inlineStr">
        <is>
          <t>Bergvik skog väst AB</t>
        </is>
      </c>
      <c r="G831" t="n">
        <v>14.1</v>
      </c>
      <c r="H831" t="n">
        <v>0</v>
      </c>
      <c r="I831" t="n">
        <v>0</v>
      </c>
      <c r="J831" t="n">
        <v>0</v>
      </c>
      <c r="K831" t="n">
        <v>0</v>
      </c>
      <c r="L831" t="n">
        <v>0</v>
      </c>
      <c r="M831" t="n">
        <v>0</v>
      </c>
      <c r="N831" t="n">
        <v>0</v>
      </c>
      <c r="O831" t="n">
        <v>0</v>
      </c>
      <c r="P831" t="n">
        <v>0</v>
      </c>
      <c r="Q831" t="n">
        <v>0</v>
      </c>
      <c r="R831" s="2" t="inlineStr"/>
    </row>
    <row r="832" ht="15" customHeight="1">
      <c r="A832" t="inlineStr">
        <is>
          <t>A 60236-2022</t>
        </is>
      </c>
      <c r="B832" s="1" t="n">
        <v>44910</v>
      </c>
      <c r="C832" s="1" t="n">
        <v>45569</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60542-2022</t>
        </is>
      </c>
      <c r="B833" s="1" t="n">
        <v>44911</v>
      </c>
      <c r="C833" s="1" t="n">
        <v>45569</v>
      </c>
      <c r="D833" t="inlineStr">
        <is>
          <t>JÄMTLANDS LÄN</t>
        </is>
      </c>
      <c r="E833" t="inlineStr">
        <is>
          <t>HÄRJEDALEN</t>
        </is>
      </c>
      <c r="F833" t="inlineStr">
        <is>
          <t>Bergvik skog väst AB</t>
        </is>
      </c>
      <c r="G833" t="n">
        <v>1.3</v>
      </c>
      <c r="H833" t="n">
        <v>0</v>
      </c>
      <c r="I833" t="n">
        <v>0</v>
      </c>
      <c r="J833" t="n">
        <v>0</v>
      </c>
      <c r="K833" t="n">
        <v>0</v>
      </c>
      <c r="L833" t="n">
        <v>0</v>
      </c>
      <c r="M833" t="n">
        <v>0</v>
      </c>
      <c r="N833" t="n">
        <v>0</v>
      </c>
      <c r="O833" t="n">
        <v>0</v>
      </c>
      <c r="P833" t="n">
        <v>0</v>
      </c>
      <c r="Q833" t="n">
        <v>0</v>
      </c>
      <c r="R833" s="2" t="inlineStr"/>
    </row>
    <row r="834" ht="15" customHeight="1">
      <c r="A834" t="inlineStr">
        <is>
          <t>A 60887-2022</t>
        </is>
      </c>
      <c r="B834" s="1" t="n">
        <v>44914</v>
      </c>
      <c r="C834" s="1" t="n">
        <v>45569</v>
      </c>
      <c r="D834" t="inlineStr">
        <is>
          <t>JÄMTLANDS LÄN</t>
        </is>
      </c>
      <c r="E834" t="inlineStr">
        <is>
          <t>HÄRJEDALEN</t>
        </is>
      </c>
      <c r="G834" t="n">
        <v>0.9</v>
      </c>
      <c r="H834" t="n">
        <v>0</v>
      </c>
      <c r="I834" t="n">
        <v>0</v>
      </c>
      <c r="J834" t="n">
        <v>0</v>
      </c>
      <c r="K834" t="n">
        <v>0</v>
      </c>
      <c r="L834" t="n">
        <v>0</v>
      </c>
      <c r="M834" t="n">
        <v>0</v>
      </c>
      <c r="N834" t="n">
        <v>0</v>
      </c>
      <c r="O834" t="n">
        <v>0</v>
      </c>
      <c r="P834" t="n">
        <v>0</v>
      </c>
      <c r="Q834" t="n">
        <v>0</v>
      </c>
      <c r="R834" s="2" t="inlineStr"/>
    </row>
    <row r="835" ht="15" customHeight="1">
      <c r="A835" t="inlineStr">
        <is>
          <t>A 60983-2022</t>
        </is>
      </c>
      <c r="B835" s="1" t="n">
        <v>44914</v>
      </c>
      <c r="C835" s="1" t="n">
        <v>45569</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60897-2022</t>
        </is>
      </c>
      <c r="B836" s="1" t="n">
        <v>44914</v>
      </c>
      <c r="C836" s="1" t="n">
        <v>45569</v>
      </c>
      <c r="D836" t="inlineStr">
        <is>
          <t>JÄMTLANDS LÄN</t>
        </is>
      </c>
      <c r="E836" t="inlineStr">
        <is>
          <t>HÄRJEDALEN</t>
        </is>
      </c>
      <c r="F836" t="inlineStr">
        <is>
          <t>Holmen skog AB</t>
        </is>
      </c>
      <c r="G836" t="n">
        <v>0.3</v>
      </c>
      <c r="H836" t="n">
        <v>0</v>
      </c>
      <c r="I836" t="n">
        <v>0</v>
      </c>
      <c r="J836" t="n">
        <v>0</v>
      </c>
      <c r="K836" t="n">
        <v>0</v>
      </c>
      <c r="L836" t="n">
        <v>0</v>
      </c>
      <c r="M836" t="n">
        <v>0</v>
      </c>
      <c r="N836" t="n">
        <v>0</v>
      </c>
      <c r="O836" t="n">
        <v>0</v>
      </c>
      <c r="P836" t="n">
        <v>0</v>
      </c>
      <c r="Q836" t="n">
        <v>0</v>
      </c>
      <c r="R836" s="2" t="inlineStr"/>
      <c r="U836">
        <f>HYPERLINK("https://klasma.github.io/Logging_2361/knärot/A 60897-2022 karta knärot.png", "A 60897-2022")</f>
        <v/>
      </c>
      <c r="V836">
        <f>HYPERLINK("https://klasma.github.io/Logging_2361/klagomål/A 60897-2022 FSC-klagomål.docx", "A 60897-2022")</f>
        <v/>
      </c>
      <c r="W836">
        <f>HYPERLINK("https://klasma.github.io/Logging_2361/klagomålsmail/A 60897-2022 FSC-klagomål mail.docx", "A 60897-2022")</f>
        <v/>
      </c>
      <c r="X836">
        <f>HYPERLINK("https://klasma.github.io/Logging_2361/tillsyn/A 60897-2022 tillsynsbegäran.docx", "A 60897-2022")</f>
        <v/>
      </c>
      <c r="Y836">
        <f>HYPERLINK("https://klasma.github.io/Logging_2361/tillsynsmail/A 60897-2022 tillsynsbegäran mail.docx", "A 60897-2022")</f>
        <v/>
      </c>
    </row>
    <row r="837" ht="15" customHeight="1">
      <c r="A837" t="inlineStr">
        <is>
          <t>A 60933-2022</t>
        </is>
      </c>
      <c r="B837" s="1" t="n">
        <v>44914</v>
      </c>
      <c r="C837" s="1" t="n">
        <v>45569</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61571-2022</t>
        </is>
      </c>
      <c r="B838" s="1" t="n">
        <v>44916</v>
      </c>
      <c r="C838" s="1" t="n">
        <v>45569</v>
      </c>
      <c r="D838" t="inlineStr">
        <is>
          <t>JÄMTLANDS LÄN</t>
        </is>
      </c>
      <c r="E838" t="inlineStr">
        <is>
          <t>HÄRJEDALEN</t>
        </is>
      </c>
      <c r="G838" t="n">
        <v>3.4</v>
      </c>
      <c r="H838" t="n">
        <v>0</v>
      </c>
      <c r="I838" t="n">
        <v>0</v>
      </c>
      <c r="J838" t="n">
        <v>0</v>
      </c>
      <c r="K838" t="n">
        <v>0</v>
      </c>
      <c r="L838" t="n">
        <v>0</v>
      </c>
      <c r="M838" t="n">
        <v>0</v>
      </c>
      <c r="N838" t="n">
        <v>0</v>
      </c>
      <c r="O838" t="n">
        <v>0</v>
      </c>
      <c r="P838" t="n">
        <v>0</v>
      </c>
      <c r="Q838" t="n">
        <v>0</v>
      </c>
      <c r="R838" s="2" t="inlineStr"/>
    </row>
    <row r="839" ht="15" customHeight="1">
      <c r="A839" t="inlineStr">
        <is>
          <t>A 62500-2022</t>
        </is>
      </c>
      <c r="B839" s="1" t="n">
        <v>44924</v>
      </c>
      <c r="C839" s="1" t="n">
        <v>45569</v>
      </c>
      <c r="D839" t="inlineStr">
        <is>
          <t>JÄMTLANDS LÄN</t>
        </is>
      </c>
      <c r="E839" t="inlineStr">
        <is>
          <t>HÄRJEDALEN</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62513-2022</t>
        </is>
      </c>
      <c r="B840" s="1" t="n">
        <v>44924</v>
      </c>
      <c r="C840" s="1" t="n">
        <v>45569</v>
      </c>
      <c r="D840" t="inlineStr">
        <is>
          <t>JÄMTLANDS LÄN</t>
        </is>
      </c>
      <c r="E840" t="inlineStr">
        <is>
          <t>HÄRJEDALEN</t>
        </is>
      </c>
      <c r="F840" t="inlineStr">
        <is>
          <t>Holmen skog AB</t>
        </is>
      </c>
      <c r="G840" t="n">
        <v>2.2</v>
      </c>
      <c r="H840" t="n">
        <v>0</v>
      </c>
      <c r="I840" t="n">
        <v>0</v>
      </c>
      <c r="J840" t="n">
        <v>0</v>
      </c>
      <c r="K840" t="n">
        <v>0</v>
      </c>
      <c r="L840" t="n">
        <v>0</v>
      </c>
      <c r="M840" t="n">
        <v>0</v>
      </c>
      <c r="N840" t="n">
        <v>0</v>
      </c>
      <c r="O840" t="n">
        <v>0</v>
      </c>
      <c r="P840" t="n">
        <v>0</v>
      </c>
      <c r="Q840" t="n">
        <v>0</v>
      </c>
      <c r="R840" s="2" t="inlineStr"/>
    </row>
    <row r="841" ht="15" customHeight="1">
      <c r="A841" t="inlineStr">
        <is>
          <t>A 62535-2022</t>
        </is>
      </c>
      <c r="B841" s="1" t="n">
        <v>44924</v>
      </c>
      <c r="C841" s="1" t="n">
        <v>45569</v>
      </c>
      <c r="D841" t="inlineStr">
        <is>
          <t>JÄMTLANDS LÄN</t>
        </is>
      </c>
      <c r="E841" t="inlineStr">
        <is>
          <t>HÄRJEDALEN</t>
        </is>
      </c>
      <c r="F841" t="inlineStr">
        <is>
          <t>Holmen skog AB</t>
        </is>
      </c>
      <c r="G841" t="n">
        <v>5.9</v>
      </c>
      <c r="H841" t="n">
        <v>0</v>
      </c>
      <c r="I841" t="n">
        <v>0</v>
      </c>
      <c r="J841" t="n">
        <v>0</v>
      </c>
      <c r="K841" t="n">
        <v>0</v>
      </c>
      <c r="L841" t="n">
        <v>0</v>
      </c>
      <c r="M841" t="n">
        <v>0</v>
      </c>
      <c r="N841" t="n">
        <v>0</v>
      </c>
      <c r="O841" t="n">
        <v>0</v>
      </c>
      <c r="P841" t="n">
        <v>0</v>
      </c>
      <c r="Q841" t="n">
        <v>0</v>
      </c>
      <c r="R841" s="2" t="inlineStr"/>
    </row>
    <row r="842" ht="15" customHeight="1">
      <c r="A842" t="inlineStr">
        <is>
          <t>A 62505-2022</t>
        </is>
      </c>
      <c r="B842" s="1" t="n">
        <v>44924</v>
      </c>
      <c r="C842" s="1" t="n">
        <v>45569</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62533-2022</t>
        </is>
      </c>
      <c r="B843" s="1" t="n">
        <v>44924</v>
      </c>
      <c r="C843" s="1" t="n">
        <v>45569</v>
      </c>
      <c r="D843" t="inlineStr">
        <is>
          <t>JÄMTLANDS LÄN</t>
        </is>
      </c>
      <c r="E843" t="inlineStr">
        <is>
          <t>HÄRJEDALEN</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62639-2022</t>
        </is>
      </c>
      <c r="B844" s="1" t="n">
        <v>44925</v>
      </c>
      <c r="C844" s="1" t="n">
        <v>45569</v>
      </c>
      <c r="D844" t="inlineStr">
        <is>
          <t>JÄMTLANDS LÄN</t>
        </is>
      </c>
      <c r="E844" t="inlineStr">
        <is>
          <t>HÄRJEDALEN</t>
        </is>
      </c>
      <c r="G844" t="n">
        <v>4.3</v>
      </c>
      <c r="H844" t="n">
        <v>0</v>
      </c>
      <c r="I844" t="n">
        <v>0</v>
      </c>
      <c r="J844" t="n">
        <v>0</v>
      </c>
      <c r="K844" t="n">
        <v>0</v>
      </c>
      <c r="L844" t="n">
        <v>0</v>
      </c>
      <c r="M844" t="n">
        <v>0</v>
      </c>
      <c r="N844" t="n">
        <v>0</v>
      </c>
      <c r="O844" t="n">
        <v>0</v>
      </c>
      <c r="P844" t="n">
        <v>0</v>
      </c>
      <c r="Q844" t="n">
        <v>0</v>
      </c>
      <c r="R844" s="2" t="inlineStr"/>
    </row>
    <row r="845" ht="15" customHeight="1">
      <c r="A845" t="inlineStr">
        <is>
          <t>A 62696-2022</t>
        </is>
      </c>
      <c r="B845" s="1" t="n">
        <v>44925</v>
      </c>
      <c r="C845" s="1" t="n">
        <v>45569</v>
      </c>
      <c r="D845" t="inlineStr">
        <is>
          <t>JÄMTLANDS LÄN</t>
        </is>
      </c>
      <c r="E845" t="inlineStr">
        <is>
          <t>HÄRJEDALEN</t>
        </is>
      </c>
      <c r="F845" t="inlineStr">
        <is>
          <t>Holmen skog AB</t>
        </is>
      </c>
      <c r="G845" t="n">
        <v>2.9</v>
      </c>
      <c r="H845" t="n">
        <v>0</v>
      </c>
      <c r="I845" t="n">
        <v>0</v>
      </c>
      <c r="J845" t="n">
        <v>0</v>
      </c>
      <c r="K845" t="n">
        <v>0</v>
      </c>
      <c r="L845" t="n">
        <v>0</v>
      </c>
      <c r="M845" t="n">
        <v>0</v>
      </c>
      <c r="N845" t="n">
        <v>0</v>
      </c>
      <c r="O845" t="n">
        <v>0</v>
      </c>
      <c r="P845" t="n">
        <v>0</v>
      </c>
      <c r="Q845" t="n">
        <v>0</v>
      </c>
      <c r="R845" s="2" t="inlineStr"/>
    </row>
    <row r="846" ht="15" customHeight="1">
      <c r="A846" t="inlineStr">
        <is>
          <t>A 62702-2022</t>
        </is>
      </c>
      <c r="B846" s="1" t="n">
        <v>44925</v>
      </c>
      <c r="C846" s="1" t="n">
        <v>45569</v>
      </c>
      <c r="D846" t="inlineStr">
        <is>
          <t>JÄMTLANDS LÄN</t>
        </is>
      </c>
      <c r="E846" t="inlineStr">
        <is>
          <t>HÄRJEDALEN</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62719-2022</t>
        </is>
      </c>
      <c r="B847" s="1" t="n">
        <v>44925</v>
      </c>
      <c r="C847" s="1" t="n">
        <v>45569</v>
      </c>
      <c r="D847" t="inlineStr">
        <is>
          <t>JÄMTLANDS LÄN</t>
        </is>
      </c>
      <c r="E847" t="inlineStr">
        <is>
          <t>HÄRJEDALEN</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62724-2022</t>
        </is>
      </c>
      <c r="B848" s="1" t="n">
        <v>44925</v>
      </c>
      <c r="C848" s="1" t="n">
        <v>45569</v>
      </c>
      <c r="D848" t="inlineStr">
        <is>
          <t>JÄMTLANDS LÄN</t>
        </is>
      </c>
      <c r="E848" t="inlineStr">
        <is>
          <t>HÄRJEDALEN</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62599-2022</t>
        </is>
      </c>
      <c r="B849" s="1" t="n">
        <v>44925</v>
      </c>
      <c r="C849" s="1" t="n">
        <v>45569</v>
      </c>
      <c r="D849" t="inlineStr">
        <is>
          <t>JÄMTLANDS LÄN</t>
        </is>
      </c>
      <c r="E849" t="inlineStr">
        <is>
          <t>HÄRJEDALEN</t>
        </is>
      </c>
      <c r="F849" t="inlineStr">
        <is>
          <t>Holmen skog AB</t>
        </is>
      </c>
      <c r="G849" t="n">
        <v>8.1</v>
      </c>
      <c r="H849" t="n">
        <v>0</v>
      </c>
      <c r="I849" t="n">
        <v>0</v>
      </c>
      <c r="J849" t="n">
        <v>0</v>
      </c>
      <c r="K849" t="n">
        <v>0</v>
      </c>
      <c r="L849" t="n">
        <v>0</v>
      </c>
      <c r="M849" t="n">
        <v>0</v>
      </c>
      <c r="N849" t="n">
        <v>0</v>
      </c>
      <c r="O849" t="n">
        <v>0</v>
      </c>
      <c r="P849" t="n">
        <v>0</v>
      </c>
      <c r="Q849" t="n">
        <v>0</v>
      </c>
      <c r="R849" s="2" t="inlineStr"/>
    </row>
    <row r="850" ht="15" customHeight="1">
      <c r="A850" t="inlineStr">
        <is>
          <t>A 62641-2022</t>
        </is>
      </c>
      <c r="B850" s="1" t="n">
        <v>44925</v>
      </c>
      <c r="C850" s="1" t="n">
        <v>45569</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62591-2022</t>
        </is>
      </c>
      <c r="B851" s="1" t="n">
        <v>44925</v>
      </c>
      <c r="C851" s="1" t="n">
        <v>45569</v>
      </c>
      <c r="D851" t="inlineStr">
        <is>
          <t>JÄMTLANDS LÄN</t>
        </is>
      </c>
      <c r="E851" t="inlineStr">
        <is>
          <t>HÄRJEDALEN</t>
        </is>
      </c>
      <c r="G851" t="n">
        <v>32.7</v>
      </c>
      <c r="H851" t="n">
        <v>0</v>
      </c>
      <c r="I851" t="n">
        <v>0</v>
      </c>
      <c r="J851" t="n">
        <v>0</v>
      </c>
      <c r="K851" t="n">
        <v>0</v>
      </c>
      <c r="L851" t="n">
        <v>0</v>
      </c>
      <c r="M851" t="n">
        <v>0</v>
      </c>
      <c r="N851" t="n">
        <v>0</v>
      </c>
      <c r="O851" t="n">
        <v>0</v>
      </c>
      <c r="P851" t="n">
        <v>0</v>
      </c>
      <c r="Q851" t="n">
        <v>0</v>
      </c>
      <c r="R851" s="2" t="inlineStr"/>
    </row>
    <row r="852" ht="15" customHeight="1">
      <c r="A852" t="inlineStr">
        <is>
          <t>A 62653-2022</t>
        </is>
      </c>
      <c r="B852" s="1" t="n">
        <v>44925</v>
      </c>
      <c r="C852" s="1" t="n">
        <v>45569</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62687-2022</t>
        </is>
      </c>
      <c r="B853" s="1" t="n">
        <v>44925</v>
      </c>
      <c r="C853" s="1" t="n">
        <v>45569</v>
      </c>
      <c r="D853" t="inlineStr">
        <is>
          <t>JÄMTLANDS LÄN</t>
        </is>
      </c>
      <c r="E853" t="inlineStr">
        <is>
          <t>HÄRJEDALEN</t>
        </is>
      </c>
      <c r="F853" t="inlineStr">
        <is>
          <t>Holmen skog AB</t>
        </is>
      </c>
      <c r="G853" t="n">
        <v>5.7</v>
      </c>
      <c r="H853" t="n">
        <v>0</v>
      </c>
      <c r="I853" t="n">
        <v>0</v>
      </c>
      <c r="J853" t="n">
        <v>0</v>
      </c>
      <c r="K853" t="n">
        <v>0</v>
      </c>
      <c r="L853" t="n">
        <v>0</v>
      </c>
      <c r="M853" t="n">
        <v>0</v>
      </c>
      <c r="N853" t="n">
        <v>0</v>
      </c>
      <c r="O853" t="n">
        <v>0</v>
      </c>
      <c r="P853" t="n">
        <v>0</v>
      </c>
      <c r="Q853" t="n">
        <v>0</v>
      </c>
      <c r="R853" s="2" t="inlineStr"/>
    </row>
    <row r="854" ht="15" customHeight="1">
      <c r="A854" t="inlineStr">
        <is>
          <t>A 62694-2022</t>
        </is>
      </c>
      <c r="B854" s="1" t="n">
        <v>44925</v>
      </c>
      <c r="C854" s="1" t="n">
        <v>45569</v>
      </c>
      <c r="D854" t="inlineStr">
        <is>
          <t>JÄMTLANDS LÄN</t>
        </is>
      </c>
      <c r="E854" t="inlineStr">
        <is>
          <t>HÄRJEDALEN</t>
        </is>
      </c>
      <c r="F854" t="inlineStr">
        <is>
          <t>Holmen skog AB</t>
        </is>
      </c>
      <c r="G854" t="n">
        <v>4.5</v>
      </c>
      <c r="H854" t="n">
        <v>0</v>
      </c>
      <c r="I854" t="n">
        <v>0</v>
      </c>
      <c r="J854" t="n">
        <v>0</v>
      </c>
      <c r="K854" t="n">
        <v>0</v>
      </c>
      <c r="L854" t="n">
        <v>0</v>
      </c>
      <c r="M854" t="n">
        <v>0</v>
      </c>
      <c r="N854" t="n">
        <v>0</v>
      </c>
      <c r="O854" t="n">
        <v>0</v>
      </c>
      <c r="P854" t="n">
        <v>0</v>
      </c>
      <c r="Q854" t="n">
        <v>0</v>
      </c>
      <c r="R854" s="2" t="inlineStr"/>
    </row>
    <row r="855" ht="15" customHeight="1">
      <c r="A855" t="inlineStr">
        <is>
          <t>A 62708-2022</t>
        </is>
      </c>
      <c r="B855" s="1" t="n">
        <v>44925</v>
      </c>
      <c r="C855" s="1" t="n">
        <v>45569</v>
      </c>
      <c r="D855" t="inlineStr">
        <is>
          <t>JÄMTLANDS LÄN</t>
        </is>
      </c>
      <c r="E855" t="inlineStr">
        <is>
          <t>HÄRJEDALEN</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62590-2022</t>
        </is>
      </c>
      <c r="B856" s="1" t="n">
        <v>44925</v>
      </c>
      <c r="C856" s="1" t="n">
        <v>45569</v>
      </c>
      <c r="D856" t="inlineStr">
        <is>
          <t>JÄMTLANDS LÄN</t>
        </is>
      </c>
      <c r="E856" t="inlineStr">
        <is>
          <t>HÄRJEDALEN</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62684-2022</t>
        </is>
      </c>
      <c r="B857" s="1" t="n">
        <v>44925</v>
      </c>
      <c r="C857" s="1" t="n">
        <v>45569</v>
      </c>
      <c r="D857" t="inlineStr">
        <is>
          <t>JÄMTLANDS LÄN</t>
        </is>
      </c>
      <c r="E857" t="inlineStr">
        <is>
          <t>HÄRJEDALEN</t>
        </is>
      </c>
      <c r="F857" t="inlineStr">
        <is>
          <t>Holmen skog AB</t>
        </is>
      </c>
      <c r="G857" t="n">
        <v>4.4</v>
      </c>
      <c r="H857" t="n">
        <v>0</v>
      </c>
      <c r="I857" t="n">
        <v>0</v>
      </c>
      <c r="J857" t="n">
        <v>0</v>
      </c>
      <c r="K857" t="n">
        <v>0</v>
      </c>
      <c r="L857" t="n">
        <v>0</v>
      </c>
      <c r="M857" t="n">
        <v>0</v>
      </c>
      <c r="N857" t="n">
        <v>0</v>
      </c>
      <c r="O857" t="n">
        <v>0</v>
      </c>
      <c r="P857" t="n">
        <v>0</v>
      </c>
      <c r="Q857" t="n">
        <v>0</v>
      </c>
      <c r="R857" s="2" t="inlineStr"/>
    </row>
    <row r="858" ht="15" customHeight="1">
      <c r="A858" t="inlineStr">
        <is>
          <t>A 62699-2022</t>
        </is>
      </c>
      <c r="B858" s="1" t="n">
        <v>44925</v>
      </c>
      <c r="C858" s="1" t="n">
        <v>45569</v>
      </c>
      <c r="D858" t="inlineStr">
        <is>
          <t>JÄMTLANDS LÄN</t>
        </is>
      </c>
      <c r="E858" t="inlineStr">
        <is>
          <t>HÄRJEDALEN</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62706-2022</t>
        </is>
      </c>
      <c r="B859" s="1" t="n">
        <v>44925</v>
      </c>
      <c r="C859" s="1" t="n">
        <v>45569</v>
      </c>
      <c r="D859" t="inlineStr">
        <is>
          <t>JÄMTLANDS LÄN</t>
        </is>
      </c>
      <c r="E859" t="inlineStr">
        <is>
          <t>HÄRJEDALEN</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62721-2022</t>
        </is>
      </c>
      <c r="B860" s="1" t="n">
        <v>44925</v>
      </c>
      <c r="C860" s="1" t="n">
        <v>45569</v>
      </c>
      <c r="D860" t="inlineStr">
        <is>
          <t>JÄMTLANDS LÄN</t>
        </is>
      </c>
      <c r="E860" t="inlineStr">
        <is>
          <t>HÄRJEDALEN</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105-2023</t>
        </is>
      </c>
      <c r="B861" s="1" t="n">
        <v>44928</v>
      </c>
      <c r="C861" s="1" t="n">
        <v>45569</v>
      </c>
      <c r="D861" t="inlineStr">
        <is>
          <t>JÄMTLANDS LÄN</t>
        </is>
      </c>
      <c r="E861" t="inlineStr">
        <is>
          <t>HÄRJEDALEN</t>
        </is>
      </c>
      <c r="F861" t="inlineStr">
        <is>
          <t>Holmen skog AB</t>
        </is>
      </c>
      <c r="G861" t="n">
        <v>17.5</v>
      </c>
      <c r="H861" t="n">
        <v>0</v>
      </c>
      <c r="I861" t="n">
        <v>0</v>
      </c>
      <c r="J861" t="n">
        <v>0</v>
      </c>
      <c r="K861" t="n">
        <v>0</v>
      </c>
      <c r="L861" t="n">
        <v>0</v>
      </c>
      <c r="M861" t="n">
        <v>0</v>
      </c>
      <c r="N861" t="n">
        <v>0</v>
      </c>
      <c r="O861" t="n">
        <v>0</v>
      </c>
      <c r="P861" t="n">
        <v>0</v>
      </c>
      <c r="Q861" t="n">
        <v>0</v>
      </c>
      <c r="R861" s="2" t="inlineStr"/>
    </row>
    <row r="862" ht="15" customHeight="1">
      <c r="A862" t="inlineStr">
        <is>
          <t>A 29-2023</t>
        </is>
      </c>
      <c r="B862" s="1" t="n">
        <v>44928</v>
      </c>
      <c r="C862" s="1" t="n">
        <v>45569</v>
      </c>
      <c r="D862" t="inlineStr">
        <is>
          <t>JÄMTLANDS LÄN</t>
        </is>
      </c>
      <c r="E862" t="inlineStr">
        <is>
          <t>HÄRJEDALEN</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35-2023</t>
        </is>
      </c>
      <c r="B863" s="1" t="n">
        <v>44928</v>
      </c>
      <c r="C863" s="1" t="n">
        <v>45569</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78-2023</t>
        </is>
      </c>
      <c r="B864" s="1" t="n">
        <v>44928</v>
      </c>
      <c r="C864" s="1" t="n">
        <v>45569</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103-2023</t>
        </is>
      </c>
      <c r="B865" s="1" t="n">
        <v>44928</v>
      </c>
      <c r="C865" s="1" t="n">
        <v>45569</v>
      </c>
      <c r="D865" t="inlineStr">
        <is>
          <t>JÄMTLANDS LÄN</t>
        </is>
      </c>
      <c r="E865" t="inlineStr">
        <is>
          <t>HÄRJEDALEN</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166-2023</t>
        </is>
      </c>
      <c r="B866" s="1" t="n">
        <v>44928</v>
      </c>
      <c r="C866" s="1" t="n">
        <v>45569</v>
      </c>
      <c r="D866" t="inlineStr">
        <is>
          <t>JÄMTLANDS LÄN</t>
        </is>
      </c>
      <c r="E866" t="inlineStr">
        <is>
          <t>HÄRJEDALEN</t>
        </is>
      </c>
      <c r="F866" t="inlineStr">
        <is>
          <t>Holmen skog AB</t>
        </is>
      </c>
      <c r="G866" t="n">
        <v>13.5</v>
      </c>
      <c r="H866" t="n">
        <v>0</v>
      </c>
      <c r="I866" t="n">
        <v>0</v>
      </c>
      <c r="J866" t="n">
        <v>0</v>
      </c>
      <c r="K866" t="n">
        <v>0</v>
      </c>
      <c r="L866" t="n">
        <v>0</v>
      </c>
      <c r="M866" t="n">
        <v>0</v>
      </c>
      <c r="N866" t="n">
        <v>0</v>
      </c>
      <c r="O866" t="n">
        <v>0</v>
      </c>
      <c r="P866" t="n">
        <v>0</v>
      </c>
      <c r="Q866" t="n">
        <v>0</v>
      </c>
      <c r="R866" s="2" t="inlineStr"/>
    </row>
    <row r="867" ht="15" customHeight="1">
      <c r="A867" t="inlineStr">
        <is>
          <t>A 176-2023</t>
        </is>
      </c>
      <c r="B867" s="1" t="n">
        <v>44928</v>
      </c>
      <c r="C867" s="1" t="n">
        <v>45569</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171-2023</t>
        </is>
      </c>
      <c r="B868" s="1" t="n">
        <v>44928</v>
      </c>
      <c r="C868" s="1" t="n">
        <v>45569</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1907-2023</t>
        </is>
      </c>
      <c r="B869" s="1" t="n">
        <v>44939</v>
      </c>
      <c r="C869" s="1" t="n">
        <v>45569</v>
      </c>
      <c r="D869" t="inlineStr">
        <is>
          <t>JÄMTLANDS LÄN</t>
        </is>
      </c>
      <c r="E869" t="inlineStr">
        <is>
          <t>HÄRJEDALEN</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1954-2023</t>
        </is>
      </c>
      <c r="B870" s="1" t="n">
        <v>44939</v>
      </c>
      <c r="C870" s="1" t="n">
        <v>45569</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4196-2023</t>
        </is>
      </c>
      <c r="B871" s="1" t="n">
        <v>44953</v>
      </c>
      <c r="C871" s="1" t="n">
        <v>45569</v>
      </c>
      <c r="D871" t="inlineStr">
        <is>
          <t>JÄMTLANDS LÄN</t>
        </is>
      </c>
      <c r="E871" t="inlineStr">
        <is>
          <t>HÄRJEDALEN</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4694-2023</t>
        </is>
      </c>
      <c r="B872" s="1" t="n">
        <v>44957</v>
      </c>
      <c r="C872" s="1" t="n">
        <v>45569</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4712-2023</t>
        </is>
      </c>
      <c r="B873" s="1" t="n">
        <v>44957</v>
      </c>
      <c r="C873" s="1" t="n">
        <v>45569</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4711-2023</t>
        </is>
      </c>
      <c r="B874" s="1" t="n">
        <v>44957</v>
      </c>
      <c r="C874" s="1" t="n">
        <v>45569</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4782-2023</t>
        </is>
      </c>
      <c r="B875" s="1" t="n">
        <v>44957</v>
      </c>
      <c r="C875" s="1" t="n">
        <v>45569</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5013-2023</t>
        </is>
      </c>
      <c r="B876" s="1" t="n">
        <v>44958</v>
      </c>
      <c r="C876" s="1" t="n">
        <v>45569</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5640-2023</t>
        </is>
      </c>
      <c r="B877" s="1" t="n">
        <v>44960</v>
      </c>
      <c r="C877" s="1" t="n">
        <v>45569</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6001-2023</t>
        </is>
      </c>
      <c r="B878" s="1" t="n">
        <v>44964</v>
      </c>
      <c r="C878" s="1" t="n">
        <v>45569</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6124-2023</t>
        </is>
      </c>
      <c r="B879" s="1" t="n">
        <v>44964</v>
      </c>
      <c r="C879" s="1" t="n">
        <v>45569</v>
      </c>
      <c r="D879" t="inlineStr">
        <is>
          <t>JÄMTLANDS LÄN</t>
        </is>
      </c>
      <c r="E879" t="inlineStr">
        <is>
          <t>HÄRJEDALEN</t>
        </is>
      </c>
      <c r="G879" t="n">
        <v>20</v>
      </c>
      <c r="H879" t="n">
        <v>0</v>
      </c>
      <c r="I879" t="n">
        <v>0</v>
      </c>
      <c r="J879" t="n">
        <v>0</v>
      </c>
      <c r="K879" t="n">
        <v>0</v>
      </c>
      <c r="L879" t="n">
        <v>0</v>
      </c>
      <c r="M879" t="n">
        <v>0</v>
      </c>
      <c r="N879" t="n">
        <v>0</v>
      </c>
      <c r="O879" t="n">
        <v>0</v>
      </c>
      <c r="P879" t="n">
        <v>0</v>
      </c>
      <c r="Q879" t="n">
        <v>0</v>
      </c>
      <c r="R879" s="2" t="inlineStr"/>
    </row>
    <row r="880" ht="15" customHeight="1">
      <c r="A880" t="inlineStr">
        <is>
          <t>A 7636-2023</t>
        </is>
      </c>
      <c r="B880" s="1" t="n">
        <v>44972</v>
      </c>
      <c r="C880" s="1" t="n">
        <v>45569</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8365-2023</t>
        </is>
      </c>
      <c r="B881" s="1" t="n">
        <v>44977</v>
      </c>
      <c r="C881" s="1" t="n">
        <v>45569</v>
      </c>
      <c r="D881" t="inlineStr">
        <is>
          <t>JÄMTLANDS LÄN</t>
        </is>
      </c>
      <c r="E881" t="inlineStr">
        <is>
          <t>HÄRJEDALEN</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8420-2023</t>
        </is>
      </c>
      <c r="B882" s="1" t="n">
        <v>44977</v>
      </c>
      <c r="C882" s="1" t="n">
        <v>45569</v>
      </c>
      <c r="D882" t="inlineStr">
        <is>
          <t>JÄMTLANDS LÄN</t>
        </is>
      </c>
      <c r="E882" t="inlineStr">
        <is>
          <t>HÄRJEDALEN</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8577-2023</t>
        </is>
      </c>
      <c r="B883" s="1" t="n">
        <v>44977</v>
      </c>
      <c r="C883" s="1" t="n">
        <v>45569</v>
      </c>
      <c r="D883" t="inlineStr">
        <is>
          <t>JÄMTLANDS LÄN</t>
        </is>
      </c>
      <c r="E883" t="inlineStr">
        <is>
          <t>HÄRJEDALEN</t>
        </is>
      </c>
      <c r="G883" t="n">
        <v>19.6</v>
      </c>
      <c r="H883" t="n">
        <v>0</v>
      </c>
      <c r="I883" t="n">
        <v>0</v>
      </c>
      <c r="J883" t="n">
        <v>0</v>
      </c>
      <c r="K883" t="n">
        <v>0</v>
      </c>
      <c r="L883" t="n">
        <v>0</v>
      </c>
      <c r="M883" t="n">
        <v>0</v>
      </c>
      <c r="N883" t="n">
        <v>0</v>
      </c>
      <c r="O883" t="n">
        <v>0</v>
      </c>
      <c r="P883" t="n">
        <v>0</v>
      </c>
      <c r="Q883" t="n">
        <v>0</v>
      </c>
      <c r="R883" s="2" t="inlineStr"/>
    </row>
    <row r="884" ht="15" customHeight="1">
      <c r="A884" t="inlineStr">
        <is>
          <t>A 8804-2023</t>
        </is>
      </c>
      <c r="B884" s="1" t="n">
        <v>44978</v>
      </c>
      <c r="C884" s="1" t="n">
        <v>45569</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9188-2023</t>
        </is>
      </c>
      <c r="B885" s="1" t="n">
        <v>44980</v>
      </c>
      <c r="C885" s="1" t="n">
        <v>45569</v>
      </c>
      <c r="D885" t="inlineStr">
        <is>
          <t>JÄMTLANDS LÄN</t>
        </is>
      </c>
      <c r="E885" t="inlineStr">
        <is>
          <t>HÄRJEDALEN</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9998-2023</t>
        </is>
      </c>
      <c r="B886" s="1" t="n">
        <v>44985</v>
      </c>
      <c r="C886" s="1" t="n">
        <v>45569</v>
      </c>
      <c r="D886" t="inlineStr">
        <is>
          <t>JÄMTLANDS LÄN</t>
        </is>
      </c>
      <c r="E886" t="inlineStr">
        <is>
          <t>HÄRJEDALEN</t>
        </is>
      </c>
      <c r="F886" t="inlineStr">
        <is>
          <t>Holmen skog AB</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10002-2023</t>
        </is>
      </c>
      <c r="B887" s="1" t="n">
        <v>44985</v>
      </c>
      <c r="C887" s="1" t="n">
        <v>45569</v>
      </c>
      <c r="D887" t="inlineStr">
        <is>
          <t>JÄMTLANDS LÄN</t>
        </is>
      </c>
      <c r="E887" t="inlineStr">
        <is>
          <t>HÄRJEDALEN</t>
        </is>
      </c>
      <c r="F887" t="inlineStr">
        <is>
          <t>Holmen skog AB</t>
        </is>
      </c>
      <c r="G887" t="n">
        <v>8.6</v>
      </c>
      <c r="H887" t="n">
        <v>0</v>
      </c>
      <c r="I887" t="n">
        <v>0</v>
      </c>
      <c r="J887" t="n">
        <v>0</v>
      </c>
      <c r="K887" t="n">
        <v>0</v>
      </c>
      <c r="L887" t="n">
        <v>0</v>
      </c>
      <c r="M887" t="n">
        <v>0</v>
      </c>
      <c r="N887" t="n">
        <v>0</v>
      </c>
      <c r="O887" t="n">
        <v>0</v>
      </c>
      <c r="P887" t="n">
        <v>0</v>
      </c>
      <c r="Q887" t="n">
        <v>0</v>
      </c>
      <c r="R887" s="2" t="inlineStr"/>
    </row>
    <row r="888" ht="15" customHeight="1">
      <c r="A888" t="inlineStr">
        <is>
          <t>A 10006-2023</t>
        </is>
      </c>
      <c r="B888" s="1" t="n">
        <v>44985</v>
      </c>
      <c r="C888" s="1" t="n">
        <v>45569</v>
      </c>
      <c r="D888" t="inlineStr">
        <is>
          <t>JÄMTLANDS LÄN</t>
        </is>
      </c>
      <c r="E888" t="inlineStr">
        <is>
          <t>HÄRJEDALEN</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10000-2023</t>
        </is>
      </c>
      <c r="B889" s="1" t="n">
        <v>44985</v>
      </c>
      <c r="C889" s="1" t="n">
        <v>45569</v>
      </c>
      <c r="D889" t="inlineStr">
        <is>
          <t>JÄMTLANDS LÄN</t>
        </is>
      </c>
      <c r="E889" t="inlineStr">
        <is>
          <t>HÄRJEDALEN</t>
        </is>
      </c>
      <c r="F889" t="inlineStr">
        <is>
          <t>Holmen skog AB</t>
        </is>
      </c>
      <c r="G889" t="n">
        <v>12.6</v>
      </c>
      <c r="H889" t="n">
        <v>0</v>
      </c>
      <c r="I889" t="n">
        <v>0</v>
      </c>
      <c r="J889" t="n">
        <v>0</v>
      </c>
      <c r="K889" t="n">
        <v>0</v>
      </c>
      <c r="L889" t="n">
        <v>0</v>
      </c>
      <c r="M889" t="n">
        <v>0</v>
      </c>
      <c r="N889" t="n">
        <v>0</v>
      </c>
      <c r="O889" t="n">
        <v>0</v>
      </c>
      <c r="P889" t="n">
        <v>0</v>
      </c>
      <c r="Q889" t="n">
        <v>0</v>
      </c>
      <c r="R889" s="2" t="inlineStr"/>
    </row>
    <row r="890" ht="15" customHeight="1">
      <c r="A890" t="inlineStr">
        <is>
          <t>A 9997-2023</t>
        </is>
      </c>
      <c r="B890" s="1" t="n">
        <v>44985</v>
      </c>
      <c r="C890" s="1" t="n">
        <v>45569</v>
      </c>
      <c r="D890" t="inlineStr">
        <is>
          <t>JÄMTLANDS LÄN</t>
        </is>
      </c>
      <c r="E890" t="inlineStr">
        <is>
          <t>HÄRJEDALEN</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10014-2023</t>
        </is>
      </c>
      <c r="B891" s="1" t="n">
        <v>44985</v>
      </c>
      <c r="C891" s="1" t="n">
        <v>45569</v>
      </c>
      <c r="D891" t="inlineStr">
        <is>
          <t>JÄMTLANDS LÄN</t>
        </is>
      </c>
      <c r="E891" t="inlineStr">
        <is>
          <t>HÄRJEDALEN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10008-2023</t>
        </is>
      </c>
      <c r="B892" s="1" t="n">
        <v>44985</v>
      </c>
      <c r="C892" s="1" t="n">
        <v>45569</v>
      </c>
      <c r="D892" t="inlineStr">
        <is>
          <t>JÄMTLANDS LÄN</t>
        </is>
      </c>
      <c r="E892" t="inlineStr">
        <is>
          <t>HÄRJEDALEN</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10046-2023</t>
        </is>
      </c>
      <c r="B893" s="1" t="n">
        <v>44985</v>
      </c>
      <c r="C893" s="1" t="n">
        <v>45569</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10015-2023</t>
        </is>
      </c>
      <c r="B894" s="1" t="n">
        <v>44985</v>
      </c>
      <c r="C894" s="1" t="n">
        <v>45569</v>
      </c>
      <c r="D894" t="inlineStr">
        <is>
          <t>JÄMTLANDS LÄN</t>
        </is>
      </c>
      <c r="E894" t="inlineStr">
        <is>
          <t>HÄRJEDALEN</t>
        </is>
      </c>
      <c r="F894" t="inlineStr">
        <is>
          <t>Holmen skog AB</t>
        </is>
      </c>
      <c r="G894" t="n">
        <v>3.2</v>
      </c>
      <c r="H894" t="n">
        <v>0</v>
      </c>
      <c r="I894" t="n">
        <v>0</v>
      </c>
      <c r="J894" t="n">
        <v>0</v>
      </c>
      <c r="K894" t="n">
        <v>0</v>
      </c>
      <c r="L894" t="n">
        <v>0</v>
      </c>
      <c r="M894" t="n">
        <v>0</v>
      </c>
      <c r="N894" t="n">
        <v>0</v>
      </c>
      <c r="O894" t="n">
        <v>0</v>
      </c>
      <c r="P894" t="n">
        <v>0</v>
      </c>
      <c r="Q894" t="n">
        <v>0</v>
      </c>
      <c r="R894" s="2" t="inlineStr"/>
    </row>
    <row r="895" ht="15" customHeight="1">
      <c r="A895" t="inlineStr">
        <is>
          <t>A 10043-2023</t>
        </is>
      </c>
      <c r="B895" s="1" t="n">
        <v>44985</v>
      </c>
      <c r="C895" s="1" t="n">
        <v>45569</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9993-2023</t>
        </is>
      </c>
      <c r="B896" s="1" t="n">
        <v>44985</v>
      </c>
      <c r="C896" s="1" t="n">
        <v>45569</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10003-2023</t>
        </is>
      </c>
      <c r="B897" s="1" t="n">
        <v>44985</v>
      </c>
      <c r="C897" s="1" t="n">
        <v>45569</v>
      </c>
      <c r="D897" t="inlineStr">
        <is>
          <t>JÄMTLANDS LÄN</t>
        </is>
      </c>
      <c r="E897" t="inlineStr">
        <is>
          <t>HÄRJEDALEN</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10007-2023</t>
        </is>
      </c>
      <c r="B898" s="1" t="n">
        <v>44985</v>
      </c>
      <c r="C898" s="1" t="n">
        <v>45569</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10012-2023</t>
        </is>
      </c>
      <c r="B899" s="1" t="n">
        <v>44985</v>
      </c>
      <c r="C899" s="1" t="n">
        <v>45569</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10040-2023</t>
        </is>
      </c>
      <c r="B900" s="1" t="n">
        <v>44985</v>
      </c>
      <c r="C900" s="1" t="n">
        <v>45569</v>
      </c>
      <c r="D900" t="inlineStr">
        <is>
          <t>JÄMTLANDS LÄN</t>
        </is>
      </c>
      <c r="E900" t="inlineStr">
        <is>
          <t>HÄRJEDALEN</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10329-2023</t>
        </is>
      </c>
      <c r="B901" s="1" t="n">
        <v>44987</v>
      </c>
      <c r="C901" s="1" t="n">
        <v>45569</v>
      </c>
      <c r="D901" t="inlineStr">
        <is>
          <t>JÄMTLANDS LÄN</t>
        </is>
      </c>
      <c r="E901" t="inlineStr">
        <is>
          <t>HÄRJEDALEN</t>
        </is>
      </c>
      <c r="F901" t="inlineStr">
        <is>
          <t>Holmen skog AB</t>
        </is>
      </c>
      <c r="G901" t="n">
        <v>4.7</v>
      </c>
      <c r="H901" t="n">
        <v>0</v>
      </c>
      <c r="I901" t="n">
        <v>0</v>
      </c>
      <c r="J901" t="n">
        <v>0</v>
      </c>
      <c r="K901" t="n">
        <v>0</v>
      </c>
      <c r="L901" t="n">
        <v>0</v>
      </c>
      <c r="M901" t="n">
        <v>0</v>
      </c>
      <c r="N901" t="n">
        <v>0</v>
      </c>
      <c r="O901" t="n">
        <v>0</v>
      </c>
      <c r="P901" t="n">
        <v>0</v>
      </c>
      <c r="Q901" t="n">
        <v>0</v>
      </c>
      <c r="R901" s="2" t="inlineStr"/>
    </row>
    <row r="902" ht="15" customHeight="1">
      <c r="A902" t="inlineStr">
        <is>
          <t>A 10353-2023</t>
        </is>
      </c>
      <c r="B902" s="1" t="n">
        <v>44987</v>
      </c>
      <c r="C902" s="1" t="n">
        <v>45569</v>
      </c>
      <c r="D902" t="inlineStr">
        <is>
          <t>JÄMTLANDS LÄN</t>
        </is>
      </c>
      <c r="E902" t="inlineStr">
        <is>
          <t>HÄRJEDALEN</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v>
      </c>
      <c r="C903" s="1" t="n">
        <v>45569</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10340-2023</t>
        </is>
      </c>
      <c r="B904" s="1" t="n">
        <v>44987</v>
      </c>
      <c r="C904" s="1" t="n">
        <v>45569</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10348-2023</t>
        </is>
      </c>
      <c r="B905" s="1" t="n">
        <v>44987</v>
      </c>
      <c r="C905" s="1" t="n">
        <v>45569</v>
      </c>
      <c r="D905" t="inlineStr">
        <is>
          <t>JÄMTLANDS LÄN</t>
        </is>
      </c>
      <c r="E905" t="inlineStr">
        <is>
          <t>HÄRJEDALEN</t>
        </is>
      </c>
      <c r="F905" t="inlineStr">
        <is>
          <t>Holmen skog AB</t>
        </is>
      </c>
      <c r="G905" t="n">
        <v>17.8</v>
      </c>
      <c r="H905" t="n">
        <v>0</v>
      </c>
      <c r="I905" t="n">
        <v>0</v>
      </c>
      <c r="J905" t="n">
        <v>0</v>
      </c>
      <c r="K905" t="n">
        <v>0</v>
      </c>
      <c r="L905" t="n">
        <v>0</v>
      </c>
      <c r="M905" t="n">
        <v>0</v>
      </c>
      <c r="N905" t="n">
        <v>0</v>
      </c>
      <c r="O905" t="n">
        <v>0</v>
      </c>
      <c r="P905" t="n">
        <v>0</v>
      </c>
      <c r="Q905" t="n">
        <v>0</v>
      </c>
      <c r="R905" s="2" t="inlineStr"/>
    </row>
    <row r="906" ht="15" customHeight="1">
      <c r="A906" t="inlineStr">
        <is>
          <t>A 10338-2023</t>
        </is>
      </c>
      <c r="B906" s="1" t="n">
        <v>44987</v>
      </c>
      <c r="C906" s="1" t="n">
        <v>45569</v>
      </c>
      <c r="D906" t="inlineStr">
        <is>
          <t>JÄMTLANDS LÄN</t>
        </is>
      </c>
      <c r="E906" t="inlineStr">
        <is>
          <t>HÄRJEDALEN</t>
        </is>
      </c>
      <c r="F906" t="inlineStr">
        <is>
          <t>Holmen skog AB</t>
        </is>
      </c>
      <c r="G906" t="n">
        <v>11.8</v>
      </c>
      <c r="H906" t="n">
        <v>0</v>
      </c>
      <c r="I906" t="n">
        <v>0</v>
      </c>
      <c r="J906" t="n">
        <v>0</v>
      </c>
      <c r="K906" t="n">
        <v>0</v>
      </c>
      <c r="L906" t="n">
        <v>0</v>
      </c>
      <c r="M906" t="n">
        <v>0</v>
      </c>
      <c r="N906" t="n">
        <v>0</v>
      </c>
      <c r="O906" t="n">
        <v>0</v>
      </c>
      <c r="P906" t="n">
        <v>0</v>
      </c>
      <c r="Q906" t="n">
        <v>0</v>
      </c>
      <c r="R906" s="2" t="inlineStr"/>
    </row>
    <row r="907" ht="15" customHeight="1">
      <c r="A907" t="inlineStr">
        <is>
          <t>A 11448-2023</t>
        </is>
      </c>
      <c r="B907" s="1" t="n">
        <v>44993</v>
      </c>
      <c r="C907" s="1" t="n">
        <v>45569</v>
      </c>
      <c r="D907" t="inlineStr">
        <is>
          <t>JÄMTLANDS LÄN</t>
        </is>
      </c>
      <c r="E907" t="inlineStr">
        <is>
          <t>HÄRJEDALEN</t>
        </is>
      </c>
      <c r="G907" t="n">
        <v>12.1</v>
      </c>
      <c r="H907" t="n">
        <v>0</v>
      </c>
      <c r="I907" t="n">
        <v>0</v>
      </c>
      <c r="J907" t="n">
        <v>0</v>
      </c>
      <c r="K907" t="n">
        <v>0</v>
      </c>
      <c r="L907" t="n">
        <v>0</v>
      </c>
      <c r="M907" t="n">
        <v>0</v>
      </c>
      <c r="N907" t="n">
        <v>0</v>
      </c>
      <c r="O907" t="n">
        <v>0</v>
      </c>
      <c r="P907" t="n">
        <v>0</v>
      </c>
      <c r="Q907" t="n">
        <v>0</v>
      </c>
      <c r="R907" s="2" t="inlineStr"/>
    </row>
    <row r="908" ht="15" customHeight="1">
      <c r="A908" t="inlineStr">
        <is>
          <t>A 11818-2023</t>
        </is>
      </c>
      <c r="B908" s="1" t="n">
        <v>44994</v>
      </c>
      <c r="C908" s="1" t="n">
        <v>45569</v>
      </c>
      <c r="D908" t="inlineStr">
        <is>
          <t>JÄMTLANDS LÄN</t>
        </is>
      </c>
      <c r="E908" t="inlineStr">
        <is>
          <t>HÄRJEDALEN</t>
        </is>
      </c>
      <c r="G908" t="n">
        <v>8.9</v>
      </c>
      <c r="H908" t="n">
        <v>0</v>
      </c>
      <c r="I908" t="n">
        <v>0</v>
      </c>
      <c r="J908" t="n">
        <v>0</v>
      </c>
      <c r="K908" t="n">
        <v>0</v>
      </c>
      <c r="L908" t="n">
        <v>0</v>
      </c>
      <c r="M908" t="n">
        <v>0</v>
      </c>
      <c r="N908" t="n">
        <v>0</v>
      </c>
      <c r="O908" t="n">
        <v>0</v>
      </c>
      <c r="P908" t="n">
        <v>0</v>
      </c>
      <c r="Q908" t="n">
        <v>0</v>
      </c>
      <c r="R908" s="2" t="inlineStr"/>
    </row>
    <row r="909" ht="15" customHeight="1">
      <c r="A909" t="inlineStr">
        <is>
          <t>A 12484-2023</t>
        </is>
      </c>
      <c r="B909" s="1" t="n">
        <v>44998</v>
      </c>
      <c r="C909" s="1" t="n">
        <v>45569</v>
      </c>
      <c r="D909" t="inlineStr">
        <is>
          <t>JÄMTLANDS LÄN</t>
        </is>
      </c>
      <c r="E909" t="inlineStr">
        <is>
          <t>HÄRJEDALEN</t>
        </is>
      </c>
      <c r="G909" t="n">
        <v>43.1</v>
      </c>
      <c r="H909" t="n">
        <v>0</v>
      </c>
      <c r="I909" t="n">
        <v>0</v>
      </c>
      <c r="J909" t="n">
        <v>0</v>
      </c>
      <c r="K909" t="n">
        <v>0</v>
      </c>
      <c r="L909" t="n">
        <v>0</v>
      </c>
      <c r="M909" t="n">
        <v>0</v>
      </c>
      <c r="N909" t="n">
        <v>0</v>
      </c>
      <c r="O909" t="n">
        <v>0</v>
      </c>
      <c r="P909" t="n">
        <v>0</v>
      </c>
      <c r="Q909" t="n">
        <v>0</v>
      </c>
      <c r="R909" s="2" t="inlineStr"/>
    </row>
    <row r="910" ht="15" customHeight="1">
      <c r="A910" t="inlineStr">
        <is>
          <t>A 12462-2023</t>
        </is>
      </c>
      <c r="B910" s="1" t="n">
        <v>44999</v>
      </c>
      <c r="C910" s="1" t="n">
        <v>45569</v>
      </c>
      <c r="D910" t="inlineStr">
        <is>
          <t>JÄMTLANDS LÄN</t>
        </is>
      </c>
      <c r="E910" t="inlineStr">
        <is>
          <t>HÄRJEDALEN</t>
        </is>
      </c>
      <c r="G910" t="n">
        <v>7.8</v>
      </c>
      <c r="H910" t="n">
        <v>0</v>
      </c>
      <c r="I910" t="n">
        <v>0</v>
      </c>
      <c r="J910" t="n">
        <v>0</v>
      </c>
      <c r="K910" t="n">
        <v>0</v>
      </c>
      <c r="L910" t="n">
        <v>0</v>
      </c>
      <c r="M910" t="n">
        <v>0</v>
      </c>
      <c r="N910" t="n">
        <v>0</v>
      </c>
      <c r="O910" t="n">
        <v>0</v>
      </c>
      <c r="P910" t="n">
        <v>0</v>
      </c>
      <c r="Q910" t="n">
        <v>0</v>
      </c>
      <c r="R910" s="2" t="inlineStr"/>
    </row>
    <row r="911" ht="15" customHeight="1">
      <c r="A911" t="inlineStr">
        <is>
          <t>A 12625-2023</t>
        </is>
      </c>
      <c r="B911" s="1" t="n">
        <v>45000</v>
      </c>
      <c r="C911" s="1" t="n">
        <v>45569</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12921-2023</t>
        </is>
      </c>
      <c r="B912" s="1" t="n">
        <v>45001</v>
      </c>
      <c r="C912" s="1" t="n">
        <v>45569</v>
      </c>
      <c r="D912" t="inlineStr">
        <is>
          <t>JÄMTLANDS LÄN</t>
        </is>
      </c>
      <c r="E912" t="inlineStr">
        <is>
          <t>HÄRJEDALEN</t>
        </is>
      </c>
      <c r="G912" t="n">
        <v>13.9</v>
      </c>
      <c r="H912" t="n">
        <v>0</v>
      </c>
      <c r="I912" t="n">
        <v>0</v>
      </c>
      <c r="J912" t="n">
        <v>0</v>
      </c>
      <c r="K912" t="n">
        <v>0</v>
      </c>
      <c r="L912" t="n">
        <v>0</v>
      </c>
      <c r="M912" t="n">
        <v>0</v>
      </c>
      <c r="N912" t="n">
        <v>0</v>
      </c>
      <c r="O912" t="n">
        <v>0</v>
      </c>
      <c r="P912" t="n">
        <v>0</v>
      </c>
      <c r="Q912" t="n">
        <v>0</v>
      </c>
      <c r="R912" s="2" t="inlineStr"/>
    </row>
    <row r="913" ht="15" customHeight="1">
      <c r="A913" t="inlineStr">
        <is>
          <t>A 13774-2023</t>
        </is>
      </c>
      <c r="B913" s="1" t="n">
        <v>45007</v>
      </c>
      <c r="C913" s="1" t="n">
        <v>45569</v>
      </c>
      <c r="D913" t="inlineStr">
        <is>
          <t>JÄMTLANDS LÄN</t>
        </is>
      </c>
      <c r="E913" t="inlineStr">
        <is>
          <t>HÄRJEDALEN</t>
        </is>
      </c>
      <c r="G913" t="n">
        <v>0.7</v>
      </c>
      <c r="H913" t="n">
        <v>0</v>
      </c>
      <c r="I913" t="n">
        <v>0</v>
      </c>
      <c r="J913" t="n">
        <v>0</v>
      </c>
      <c r="K913" t="n">
        <v>0</v>
      </c>
      <c r="L913" t="n">
        <v>0</v>
      </c>
      <c r="M913" t="n">
        <v>0</v>
      </c>
      <c r="N913" t="n">
        <v>0</v>
      </c>
      <c r="O913" t="n">
        <v>0</v>
      </c>
      <c r="P913" t="n">
        <v>0</v>
      </c>
      <c r="Q913" t="n">
        <v>0</v>
      </c>
      <c r="R913" s="2" t="inlineStr"/>
    </row>
    <row r="914" ht="15" customHeight="1">
      <c r="A914" t="inlineStr">
        <is>
          <t>A 14631-2023</t>
        </is>
      </c>
      <c r="B914" s="1" t="n">
        <v>45012</v>
      </c>
      <c r="C914" s="1" t="n">
        <v>45569</v>
      </c>
      <c r="D914" t="inlineStr">
        <is>
          <t>JÄMTLANDS LÄN</t>
        </is>
      </c>
      <c r="E914" t="inlineStr">
        <is>
          <t>HÄRJEDALEN</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15511-2023</t>
        </is>
      </c>
      <c r="B915" s="1" t="n">
        <v>45020</v>
      </c>
      <c r="C915" s="1" t="n">
        <v>45569</v>
      </c>
      <c r="D915" t="inlineStr">
        <is>
          <t>JÄMTLANDS LÄN</t>
        </is>
      </c>
      <c r="E915" t="inlineStr">
        <is>
          <t>HÄRJEDALEN</t>
        </is>
      </c>
      <c r="G915" t="n">
        <v>14.6</v>
      </c>
      <c r="H915" t="n">
        <v>0</v>
      </c>
      <c r="I915" t="n">
        <v>0</v>
      </c>
      <c r="J915" t="n">
        <v>0</v>
      </c>
      <c r="K915" t="n">
        <v>0</v>
      </c>
      <c r="L915" t="n">
        <v>0</v>
      </c>
      <c r="M915" t="n">
        <v>0</v>
      </c>
      <c r="N915" t="n">
        <v>0</v>
      </c>
      <c r="O915" t="n">
        <v>0</v>
      </c>
      <c r="P915" t="n">
        <v>0</v>
      </c>
      <c r="Q915" t="n">
        <v>0</v>
      </c>
      <c r="R915" s="2" t="inlineStr"/>
    </row>
    <row r="916" ht="15" customHeight="1">
      <c r="A916" t="inlineStr">
        <is>
          <t>A 15747-2023</t>
        </is>
      </c>
      <c r="B916" s="1" t="n">
        <v>45020</v>
      </c>
      <c r="C916" s="1" t="n">
        <v>45569</v>
      </c>
      <c r="D916" t="inlineStr">
        <is>
          <t>JÄMTLANDS LÄN</t>
        </is>
      </c>
      <c r="E916" t="inlineStr">
        <is>
          <t>HÄRJEDALEN</t>
        </is>
      </c>
      <c r="G916" t="n">
        <v>0.1</v>
      </c>
      <c r="H916" t="n">
        <v>0</v>
      </c>
      <c r="I916" t="n">
        <v>0</v>
      </c>
      <c r="J916" t="n">
        <v>0</v>
      </c>
      <c r="K916" t="n">
        <v>0</v>
      </c>
      <c r="L916" t="n">
        <v>0</v>
      </c>
      <c r="M916" t="n">
        <v>0</v>
      </c>
      <c r="N916" t="n">
        <v>0</v>
      </c>
      <c r="O916" t="n">
        <v>0</v>
      </c>
      <c r="P916" t="n">
        <v>0</v>
      </c>
      <c r="Q916" t="n">
        <v>0</v>
      </c>
      <c r="R916" s="2" t="inlineStr"/>
    </row>
    <row r="917" ht="15" customHeight="1">
      <c r="A917" t="inlineStr">
        <is>
          <t>A 16115-2023</t>
        </is>
      </c>
      <c r="B917" s="1" t="n">
        <v>45027</v>
      </c>
      <c r="C917" s="1" t="n">
        <v>45569</v>
      </c>
      <c r="D917" t="inlineStr">
        <is>
          <t>JÄMTLANDS LÄN</t>
        </is>
      </c>
      <c r="E917" t="inlineStr">
        <is>
          <t>HÄRJEDALEN</t>
        </is>
      </c>
      <c r="G917" t="n">
        <v>26</v>
      </c>
      <c r="H917" t="n">
        <v>0</v>
      </c>
      <c r="I917" t="n">
        <v>0</v>
      </c>
      <c r="J917" t="n">
        <v>0</v>
      </c>
      <c r="K917" t="n">
        <v>0</v>
      </c>
      <c r="L917" t="n">
        <v>0</v>
      </c>
      <c r="M917" t="n">
        <v>0</v>
      </c>
      <c r="N917" t="n">
        <v>0</v>
      </c>
      <c r="O917" t="n">
        <v>0</v>
      </c>
      <c r="P917" t="n">
        <v>0</v>
      </c>
      <c r="Q917" t="n">
        <v>0</v>
      </c>
      <c r="R917" s="2" t="inlineStr"/>
    </row>
    <row r="918" ht="15" customHeight="1">
      <c r="A918" t="inlineStr">
        <is>
          <t>A 16468-2023</t>
        </is>
      </c>
      <c r="B918" s="1" t="n">
        <v>45029</v>
      </c>
      <c r="C918" s="1" t="n">
        <v>45569</v>
      </c>
      <c r="D918" t="inlineStr">
        <is>
          <t>JÄMTLANDS LÄN</t>
        </is>
      </c>
      <c r="E918" t="inlineStr">
        <is>
          <t>HÄRJEDALEN</t>
        </is>
      </c>
      <c r="G918" t="n">
        <v>6.7</v>
      </c>
      <c r="H918" t="n">
        <v>0</v>
      </c>
      <c r="I918" t="n">
        <v>0</v>
      </c>
      <c r="J918" t="n">
        <v>0</v>
      </c>
      <c r="K918" t="n">
        <v>0</v>
      </c>
      <c r="L918" t="n">
        <v>0</v>
      </c>
      <c r="M918" t="n">
        <v>0</v>
      </c>
      <c r="N918" t="n">
        <v>0</v>
      </c>
      <c r="O918" t="n">
        <v>0</v>
      </c>
      <c r="P918" t="n">
        <v>0</v>
      </c>
      <c r="Q918" t="n">
        <v>0</v>
      </c>
      <c r="R918" s="2" t="inlineStr"/>
    </row>
    <row r="919" ht="15" customHeight="1">
      <c r="A919" t="inlineStr">
        <is>
          <t>A 17121-2023</t>
        </is>
      </c>
      <c r="B919" s="1" t="n">
        <v>45034</v>
      </c>
      <c r="C919" s="1" t="n">
        <v>45569</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17105-2023</t>
        </is>
      </c>
      <c r="B920" s="1" t="n">
        <v>45034</v>
      </c>
      <c r="C920" s="1" t="n">
        <v>45569</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17122-2023</t>
        </is>
      </c>
      <c r="B921" s="1" t="n">
        <v>45034</v>
      </c>
      <c r="C921" s="1" t="n">
        <v>45569</v>
      </c>
      <c r="D921" t="inlineStr">
        <is>
          <t>JÄMTLANDS LÄN</t>
        </is>
      </c>
      <c r="E921" t="inlineStr">
        <is>
          <t>HÄRJEDALEN</t>
        </is>
      </c>
      <c r="G921" t="n">
        <v>3.8</v>
      </c>
      <c r="H921" t="n">
        <v>0</v>
      </c>
      <c r="I921" t="n">
        <v>0</v>
      </c>
      <c r="J921" t="n">
        <v>0</v>
      </c>
      <c r="K921" t="n">
        <v>0</v>
      </c>
      <c r="L921" t="n">
        <v>0</v>
      </c>
      <c r="M921" t="n">
        <v>0</v>
      </c>
      <c r="N921" t="n">
        <v>0</v>
      </c>
      <c r="O921" t="n">
        <v>0</v>
      </c>
      <c r="P921" t="n">
        <v>0</v>
      </c>
      <c r="Q921" t="n">
        <v>0</v>
      </c>
      <c r="R921" s="2" t="inlineStr"/>
    </row>
    <row r="922" ht="15" customHeight="1">
      <c r="A922" t="inlineStr">
        <is>
          <t>A 17153-2023</t>
        </is>
      </c>
      <c r="B922" s="1" t="n">
        <v>45034</v>
      </c>
      <c r="C922" s="1" t="n">
        <v>45569</v>
      </c>
      <c r="D922" t="inlineStr">
        <is>
          <t>JÄMTLANDS LÄN</t>
        </is>
      </c>
      <c r="E922" t="inlineStr">
        <is>
          <t>HÄRJEDALEN</t>
        </is>
      </c>
      <c r="G922" t="n">
        <v>5.6</v>
      </c>
      <c r="H922" t="n">
        <v>0</v>
      </c>
      <c r="I922" t="n">
        <v>0</v>
      </c>
      <c r="J922" t="n">
        <v>0</v>
      </c>
      <c r="K922" t="n">
        <v>0</v>
      </c>
      <c r="L922" t="n">
        <v>0</v>
      </c>
      <c r="M922" t="n">
        <v>0</v>
      </c>
      <c r="N922" t="n">
        <v>0</v>
      </c>
      <c r="O922" t="n">
        <v>0</v>
      </c>
      <c r="P922" t="n">
        <v>0</v>
      </c>
      <c r="Q922" t="n">
        <v>0</v>
      </c>
      <c r="R922" s="2" t="inlineStr"/>
    </row>
    <row r="923" ht="15" customHeight="1">
      <c r="A923" t="inlineStr">
        <is>
          <t>A 17118-2023</t>
        </is>
      </c>
      <c r="B923" s="1" t="n">
        <v>45034</v>
      </c>
      <c r="C923" s="1" t="n">
        <v>45569</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17238-2023</t>
        </is>
      </c>
      <c r="B924" s="1" t="n">
        <v>45035</v>
      </c>
      <c r="C924" s="1" t="n">
        <v>45569</v>
      </c>
      <c r="D924" t="inlineStr">
        <is>
          <t>JÄMTLANDS LÄN</t>
        </is>
      </c>
      <c r="E924" t="inlineStr">
        <is>
          <t>HÄRJEDALEN</t>
        </is>
      </c>
      <c r="G924" t="n">
        <v>3.1</v>
      </c>
      <c r="H924" t="n">
        <v>0</v>
      </c>
      <c r="I924" t="n">
        <v>0</v>
      </c>
      <c r="J924" t="n">
        <v>0</v>
      </c>
      <c r="K924" t="n">
        <v>0</v>
      </c>
      <c r="L924" t="n">
        <v>0</v>
      </c>
      <c r="M924" t="n">
        <v>0</v>
      </c>
      <c r="N924" t="n">
        <v>0</v>
      </c>
      <c r="O924" t="n">
        <v>0</v>
      </c>
      <c r="P924" t="n">
        <v>0</v>
      </c>
      <c r="Q924" t="n">
        <v>0</v>
      </c>
      <c r="R924" s="2" t="inlineStr"/>
    </row>
    <row r="925" ht="15" customHeight="1">
      <c r="A925" t="inlineStr">
        <is>
          <t>A 17246-2023</t>
        </is>
      </c>
      <c r="B925" s="1" t="n">
        <v>45035</v>
      </c>
      <c r="C925" s="1" t="n">
        <v>45569</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17232-2023</t>
        </is>
      </c>
      <c r="B926" s="1" t="n">
        <v>45035</v>
      </c>
      <c r="C926" s="1" t="n">
        <v>45569</v>
      </c>
      <c r="D926" t="inlineStr">
        <is>
          <t>JÄMTLANDS LÄN</t>
        </is>
      </c>
      <c r="E926" t="inlineStr">
        <is>
          <t>HÄRJEDALEN</t>
        </is>
      </c>
      <c r="G926" t="n">
        <v>6.9</v>
      </c>
      <c r="H926" t="n">
        <v>0</v>
      </c>
      <c r="I926" t="n">
        <v>0</v>
      </c>
      <c r="J926" t="n">
        <v>0</v>
      </c>
      <c r="K926" t="n">
        <v>0</v>
      </c>
      <c r="L926" t="n">
        <v>0</v>
      </c>
      <c r="M926" t="n">
        <v>0</v>
      </c>
      <c r="N926" t="n">
        <v>0</v>
      </c>
      <c r="O926" t="n">
        <v>0</v>
      </c>
      <c r="P926" t="n">
        <v>0</v>
      </c>
      <c r="Q926" t="n">
        <v>0</v>
      </c>
      <c r="R926" s="2" t="inlineStr"/>
    </row>
    <row r="927" ht="15" customHeight="1">
      <c r="A927" t="inlineStr">
        <is>
          <t>A 17368-2023</t>
        </is>
      </c>
      <c r="B927" s="1" t="n">
        <v>45035</v>
      </c>
      <c r="C927" s="1" t="n">
        <v>45569</v>
      </c>
      <c r="D927" t="inlineStr">
        <is>
          <t>JÄMTLANDS LÄN</t>
        </is>
      </c>
      <c r="E927" t="inlineStr">
        <is>
          <t>HÄRJEDALEN</t>
        </is>
      </c>
      <c r="F927" t="inlineStr">
        <is>
          <t>Kyrkan</t>
        </is>
      </c>
      <c r="G927" t="n">
        <v>1.3</v>
      </c>
      <c r="H927" t="n">
        <v>0</v>
      </c>
      <c r="I927" t="n">
        <v>0</v>
      </c>
      <c r="J927" t="n">
        <v>0</v>
      </c>
      <c r="K927" t="n">
        <v>0</v>
      </c>
      <c r="L927" t="n">
        <v>0</v>
      </c>
      <c r="M927" t="n">
        <v>0</v>
      </c>
      <c r="N927" t="n">
        <v>0</v>
      </c>
      <c r="O927" t="n">
        <v>0</v>
      </c>
      <c r="P927" t="n">
        <v>0</v>
      </c>
      <c r="Q927" t="n">
        <v>0</v>
      </c>
      <c r="R927" s="2" t="inlineStr"/>
    </row>
    <row r="928" ht="15" customHeight="1">
      <c r="A928" t="inlineStr">
        <is>
          <t>A 18334-2023</t>
        </is>
      </c>
      <c r="B928" s="1" t="n">
        <v>45041</v>
      </c>
      <c r="C928" s="1" t="n">
        <v>45569</v>
      </c>
      <c r="D928" t="inlineStr">
        <is>
          <t>JÄMTLANDS LÄN</t>
        </is>
      </c>
      <c r="E928" t="inlineStr">
        <is>
          <t>HÄRJEDALEN</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18258-2023</t>
        </is>
      </c>
      <c r="B929" s="1" t="n">
        <v>45041</v>
      </c>
      <c r="C929" s="1" t="n">
        <v>45569</v>
      </c>
      <c r="D929" t="inlineStr">
        <is>
          <t>JÄMTLANDS LÄN</t>
        </is>
      </c>
      <c r="E929" t="inlineStr">
        <is>
          <t>HÄRJEDALEN</t>
        </is>
      </c>
      <c r="F929" t="inlineStr">
        <is>
          <t>Bergvik skog väst AB</t>
        </is>
      </c>
      <c r="G929" t="n">
        <v>14.7</v>
      </c>
      <c r="H929" t="n">
        <v>0</v>
      </c>
      <c r="I929" t="n">
        <v>0</v>
      </c>
      <c r="J929" t="n">
        <v>0</v>
      </c>
      <c r="K929" t="n">
        <v>0</v>
      </c>
      <c r="L929" t="n">
        <v>0</v>
      </c>
      <c r="M929" t="n">
        <v>0</v>
      </c>
      <c r="N929" t="n">
        <v>0</v>
      </c>
      <c r="O929" t="n">
        <v>0</v>
      </c>
      <c r="P929" t="n">
        <v>0</v>
      </c>
      <c r="Q929" t="n">
        <v>0</v>
      </c>
      <c r="R929" s="2" t="inlineStr"/>
    </row>
    <row r="930" ht="15" customHeight="1">
      <c r="A930" t="inlineStr">
        <is>
          <t>A 18620-2023</t>
        </is>
      </c>
      <c r="B930" s="1" t="n">
        <v>45041</v>
      </c>
      <c r="C930" s="1" t="n">
        <v>45569</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18646-2023</t>
        </is>
      </c>
      <c r="B931" s="1" t="n">
        <v>45041</v>
      </c>
      <c r="C931" s="1" t="n">
        <v>45569</v>
      </c>
      <c r="D931" t="inlineStr">
        <is>
          <t>JÄMTLANDS LÄN</t>
        </is>
      </c>
      <c r="E931" t="inlineStr">
        <is>
          <t>HÄRJEDALEN</t>
        </is>
      </c>
      <c r="G931" t="n">
        <v>0.2</v>
      </c>
      <c r="H931" t="n">
        <v>0</v>
      </c>
      <c r="I931" t="n">
        <v>0</v>
      </c>
      <c r="J931" t="n">
        <v>0</v>
      </c>
      <c r="K931" t="n">
        <v>0</v>
      </c>
      <c r="L931" t="n">
        <v>0</v>
      </c>
      <c r="M931" t="n">
        <v>0</v>
      </c>
      <c r="N931" t="n">
        <v>0</v>
      </c>
      <c r="O931" t="n">
        <v>0</v>
      </c>
      <c r="P931" t="n">
        <v>0</v>
      </c>
      <c r="Q931" t="n">
        <v>0</v>
      </c>
      <c r="R931" s="2" t="inlineStr"/>
    </row>
    <row r="932" ht="15" customHeight="1">
      <c r="A932" t="inlineStr">
        <is>
          <t>A 18659-2023</t>
        </is>
      </c>
      <c r="B932" s="1" t="n">
        <v>45041</v>
      </c>
      <c r="C932" s="1" t="n">
        <v>45569</v>
      </c>
      <c r="D932" t="inlineStr">
        <is>
          <t>JÄMTLANDS LÄN</t>
        </is>
      </c>
      <c r="E932" t="inlineStr">
        <is>
          <t>HÄRJEDALEN</t>
        </is>
      </c>
      <c r="G932" t="n">
        <v>0.9</v>
      </c>
      <c r="H932" t="n">
        <v>0</v>
      </c>
      <c r="I932" t="n">
        <v>0</v>
      </c>
      <c r="J932" t="n">
        <v>0</v>
      </c>
      <c r="K932" t="n">
        <v>0</v>
      </c>
      <c r="L932" t="n">
        <v>0</v>
      </c>
      <c r="M932" t="n">
        <v>0</v>
      </c>
      <c r="N932" t="n">
        <v>0</v>
      </c>
      <c r="O932" t="n">
        <v>0</v>
      </c>
      <c r="P932" t="n">
        <v>0</v>
      </c>
      <c r="Q932" t="n">
        <v>0</v>
      </c>
      <c r="R932" s="2" t="inlineStr"/>
    </row>
    <row r="933" ht="15" customHeight="1">
      <c r="A933" t="inlineStr">
        <is>
          <t>A 18617-2023</t>
        </is>
      </c>
      <c r="B933" s="1" t="n">
        <v>45043</v>
      </c>
      <c r="C933" s="1" t="n">
        <v>45569</v>
      </c>
      <c r="D933" t="inlineStr">
        <is>
          <t>JÄMTLANDS LÄN</t>
        </is>
      </c>
      <c r="E933" t="inlineStr">
        <is>
          <t>HÄRJEDALEN</t>
        </is>
      </c>
      <c r="G933" t="n">
        <v>15.1</v>
      </c>
      <c r="H933" t="n">
        <v>0</v>
      </c>
      <c r="I933" t="n">
        <v>0</v>
      </c>
      <c r="J933" t="n">
        <v>0</v>
      </c>
      <c r="K933" t="n">
        <v>0</v>
      </c>
      <c r="L933" t="n">
        <v>0</v>
      </c>
      <c r="M933" t="n">
        <v>0</v>
      </c>
      <c r="N933" t="n">
        <v>0</v>
      </c>
      <c r="O933" t="n">
        <v>0</v>
      </c>
      <c r="P933" t="n">
        <v>0</v>
      </c>
      <c r="Q933" t="n">
        <v>0</v>
      </c>
      <c r="R933" s="2" t="inlineStr"/>
    </row>
    <row r="934" ht="15" customHeight="1">
      <c r="A934" t="inlineStr">
        <is>
          <t>A 18875-2023</t>
        </is>
      </c>
      <c r="B934" s="1" t="n">
        <v>45044</v>
      </c>
      <c r="C934" s="1" t="n">
        <v>45569</v>
      </c>
      <c r="D934" t="inlineStr">
        <is>
          <t>JÄMTLANDS LÄN</t>
        </is>
      </c>
      <c r="E934" t="inlineStr">
        <is>
          <t>HÄRJEDALEN</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19353-2023</t>
        </is>
      </c>
      <c r="B935" s="1" t="n">
        <v>45049</v>
      </c>
      <c r="C935" s="1" t="n">
        <v>45569</v>
      </c>
      <c r="D935" t="inlineStr">
        <is>
          <t>JÄMTLANDS LÄN</t>
        </is>
      </c>
      <c r="E935" t="inlineStr">
        <is>
          <t>HÄRJEDALEN</t>
        </is>
      </c>
      <c r="G935" t="n">
        <v>3.9</v>
      </c>
      <c r="H935" t="n">
        <v>0</v>
      </c>
      <c r="I935" t="n">
        <v>0</v>
      </c>
      <c r="J935" t="n">
        <v>0</v>
      </c>
      <c r="K935" t="n">
        <v>0</v>
      </c>
      <c r="L935" t="n">
        <v>0</v>
      </c>
      <c r="M935" t="n">
        <v>0</v>
      </c>
      <c r="N935" t="n">
        <v>0</v>
      </c>
      <c r="O935" t="n">
        <v>0</v>
      </c>
      <c r="P935" t="n">
        <v>0</v>
      </c>
      <c r="Q935" t="n">
        <v>0</v>
      </c>
      <c r="R935" s="2" t="inlineStr"/>
    </row>
    <row r="936" ht="15" customHeight="1">
      <c r="A936" t="inlineStr">
        <is>
          <t>A 19337-2023</t>
        </is>
      </c>
      <c r="B936" s="1" t="n">
        <v>45049</v>
      </c>
      <c r="C936" s="1" t="n">
        <v>45569</v>
      </c>
      <c r="D936" t="inlineStr">
        <is>
          <t>JÄMTLANDS LÄN</t>
        </is>
      </c>
      <c r="E936" t="inlineStr">
        <is>
          <t>HÄRJEDALEN</t>
        </is>
      </c>
      <c r="G936" t="n">
        <v>3.6</v>
      </c>
      <c r="H936" t="n">
        <v>0</v>
      </c>
      <c r="I936" t="n">
        <v>0</v>
      </c>
      <c r="J936" t="n">
        <v>0</v>
      </c>
      <c r="K936" t="n">
        <v>0</v>
      </c>
      <c r="L936" t="n">
        <v>0</v>
      </c>
      <c r="M936" t="n">
        <v>0</v>
      </c>
      <c r="N936" t="n">
        <v>0</v>
      </c>
      <c r="O936" t="n">
        <v>0</v>
      </c>
      <c r="P936" t="n">
        <v>0</v>
      </c>
      <c r="Q936" t="n">
        <v>0</v>
      </c>
      <c r="R936" s="2" t="inlineStr"/>
    </row>
    <row r="937" ht="15" customHeight="1">
      <c r="A937" t="inlineStr">
        <is>
          <t>A 19730-2023</t>
        </is>
      </c>
      <c r="B937" s="1" t="n">
        <v>45050</v>
      </c>
      <c r="C937" s="1" t="n">
        <v>45569</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19915-2023</t>
        </is>
      </c>
      <c r="B938" s="1" t="n">
        <v>45054</v>
      </c>
      <c r="C938" s="1" t="n">
        <v>45569</v>
      </c>
      <c r="D938" t="inlineStr">
        <is>
          <t>JÄMTLANDS LÄN</t>
        </is>
      </c>
      <c r="E938" t="inlineStr">
        <is>
          <t>HÄRJEDALEN</t>
        </is>
      </c>
      <c r="F938" t="inlineStr">
        <is>
          <t>Sveaskog</t>
        </is>
      </c>
      <c r="G938" t="n">
        <v>0.1</v>
      </c>
      <c r="H938" t="n">
        <v>0</v>
      </c>
      <c r="I938" t="n">
        <v>0</v>
      </c>
      <c r="J938" t="n">
        <v>0</v>
      </c>
      <c r="K938" t="n">
        <v>0</v>
      </c>
      <c r="L938" t="n">
        <v>0</v>
      </c>
      <c r="M938" t="n">
        <v>0</v>
      </c>
      <c r="N938" t="n">
        <v>0</v>
      </c>
      <c r="O938" t="n">
        <v>0</v>
      </c>
      <c r="P938" t="n">
        <v>0</v>
      </c>
      <c r="Q938" t="n">
        <v>0</v>
      </c>
      <c r="R938" s="2" t="inlineStr"/>
    </row>
    <row r="939" ht="15" customHeight="1">
      <c r="A939" t="inlineStr">
        <is>
          <t>A 19981-2023</t>
        </is>
      </c>
      <c r="B939" s="1" t="n">
        <v>45054</v>
      </c>
      <c r="C939" s="1" t="n">
        <v>45569</v>
      </c>
      <c r="D939" t="inlineStr">
        <is>
          <t>JÄMTLANDS LÄN</t>
        </is>
      </c>
      <c r="E939" t="inlineStr">
        <is>
          <t>HÄRJEDALEN</t>
        </is>
      </c>
      <c r="G939" t="n">
        <v>13.5</v>
      </c>
      <c r="H939" t="n">
        <v>0</v>
      </c>
      <c r="I939" t="n">
        <v>0</v>
      </c>
      <c r="J939" t="n">
        <v>0</v>
      </c>
      <c r="K939" t="n">
        <v>0</v>
      </c>
      <c r="L939" t="n">
        <v>0</v>
      </c>
      <c r="M939" t="n">
        <v>0</v>
      </c>
      <c r="N939" t="n">
        <v>0</v>
      </c>
      <c r="O939" t="n">
        <v>0</v>
      </c>
      <c r="P939" t="n">
        <v>0</v>
      </c>
      <c r="Q939" t="n">
        <v>0</v>
      </c>
      <c r="R939" s="2" t="inlineStr"/>
    </row>
    <row r="940" ht="15" customHeight="1">
      <c r="A940" t="inlineStr">
        <is>
          <t>A 20539-2023</t>
        </is>
      </c>
      <c r="B940" s="1" t="n">
        <v>45055</v>
      </c>
      <c r="C940" s="1" t="n">
        <v>45569</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20851-2023</t>
        </is>
      </c>
      <c r="B941" s="1" t="n">
        <v>45056</v>
      </c>
      <c r="C941" s="1" t="n">
        <v>45569</v>
      </c>
      <c r="D941" t="inlineStr">
        <is>
          <t>JÄMTLANDS LÄN</t>
        </is>
      </c>
      <c r="E941" t="inlineStr">
        <is>
          <t>HÄRJEDALEN</t>
        </is>
      </c>
      <c r="F941" t="inlineStr">
        <is>
          <t>Holmen skog AB</t>
        </is>
      </c>
      <c r="G941" t="n">
        <v>41.1</v>
      </c>
      <c r="H941" t="n">
        <v>0</v>
      </c>
      <c r="I941" t="n">
        <v>0</v>
      </c>
      <c r="J941" t="n">
        <v>0</v>
      </c>
      <c r="K941" t="n">
        <v>0</v>
      </c>
      <c r="L941" t="n">
        <v>0</v>
      </c>
      <c r="M941" t="n">
        <v>0</v>
      </c>
      <c r="N941" t="n">
        <v>0</v>
      </c>
      <c r="O941" t="n">
        <v>0</v>
      </c>
      <c r="P941" t="n">
        <v>0</v>
      </c>
      <c r="Q941" t="n">
        <v>0</v>
      </c>
      <c r="R941" s="2" t="inlineStr"/>
    </row>
    <row r="942" ht="15" customHeight="1">
      <c r="A942" t="inlineStr">
        <is>
          <t>A 20609-2023</t>
        </is>
      </c>
      <c r="B942" s="1" t="n">
        <v>45057</v>
      </c>
      <c r="C942" s="1" t="n">
        <v>45569</v>
      </c>
      <c r="D942" t="inlineStr">
        <is>
          <t>JÄMTLANDS LÄN</t>
        </is>
      </c>
      <c r="E942" t="inlineStr">
        <is>
          <t>HÄRJEDALEN</t>
        </is>
      </c>
      <c r="F942" t="inlineStr">
        <is>
          <t>SCA</t>
        </is>
      </c>
      <c r="G942" t="n">
        <v>15.6</v>
      </c>
      <c r="H942" t="n">
        <v>0</v>
      </c>
      <c r="I942" t="n">
        <v>0</v>
      </c>
      <c r="J942" t="n">
        <v>0</v>
      </c>
      <c r="K942" t="n">
        <v>0</v>
      </c>
      <c r="L942" t="n">
        <v>0</v>
      </c>
      <c r="M942" t="n">
        <v>0</v>
      </c>
      <c r="N942" t="n">
        <v>0</v>
      </c>
      <c r="O942" t="n">
        <v>0</v>
      </c>
      <c r="P942" t="n">
        <v>0</v>
      </c>
      <c r="Q942" t="n">
        <v>0</v>
      </c>
      <c r="R942" s="2" t="inlineStr"/>
      <c r="U942">
        <f>HYPERLINK("https://klasma.github.io/Logging_2361/knärot/A 20609-2023 karta knärot.png", "A 20609-2023")</f>
        <v/>
      </c>
      <c r="V942">
        <f>HYPERLINK("https://klasma.github.io/Logging_2361/klagomål/A 20609-2023 FSC-klagomål.docx", "A 20609-2023")</f>
        <v/>
      </c>
      <c r="W942">
        <f>HYPERLINK("https://klasma.github.io/Logging_2361/klagomålsmail/A 20609-2023 FSC-klagomål mail.docx", "A 20609-2023")</f>
        <v/>
      </c>
      <c r="X942">
        <f>HYPERLINK("https://klasma.github.io/Logging_2361/tillsyn/A 20609-2023 tillsynsbegäran.docx", "A 20609-2023")</f>
        <v/>
      </c>
      <c r="Y942">
        <f>HYPERLINK("https://klasma.github.io/Logging_2361/tillsynsmail/A 20609-2023 tillsynsbegäran mail.docx", "A 20609-2023")</f>
        <v/>
      </c>
    </row>
    <row r="943" ht="15" customHeight="1">
      <c r="A943" t="inlineStr">
        <is>
          <t>A 20768-2023</t>
        </is>
      </c>
      <c r="B943" s="1" t="n">
        <v>45058</v>
      </c>
      <c r="C943" s="1" t="n">
        <v>45569</v>
      </c>
      <c r="D943" t="inlineStr">
        <is>
          <t>JÄMTLANDS LÄN</t>
        </is>
      </c>
      <c r="E943" t="inlineStr">
        <is>
          <t>HÄRJEDALEN</t>
        </is>
      </c>
      <c r="G943" t="n">
        <v>7.8</v>
      </c>
      <c r="H943" t="n">
        <v>0</v>
      </c>
      <c r="I943" t="n">
        <v>0</v>
      </c>
      <c r="J943" t="n">
        <v>0</v>
      </c>
      <c r="K943" t="n">
        <v>0</v>
      </c>
      <c r="L943" t="n">
        <v>0</v>
      </c>
      <c r="M943" t="n">
        <v>0</v>
      </c>
      <c r="N943" t="n">
        <v>0</v>
      </c>
      <c r="O943" t="n">
        <v>0</v>
      </c>
      <c r="P943" t="n">
        <v>0</v>
      </c>
      <c r="Q943" t="n">
        <v>0</v>
      </c>
      <c r="R943" s="2" t="inlineStr"/>
    </row>
    <row r="944" ht="15" customHeight="1">
      <c r="A944" t="inlineStr">
        <is>
          <t>A 20718-2023</t>
        </is>
      </c>
      <c r="B944" s="1" t="n">
        <v>45058</v>
      </c>
      <c r="C944" s="1" t="n">
        <v>45569</v>
      </c>
      <c r="D944" t="inlineStr">
        <is>
          <t>JÄMTLANDS LÄN</t>
        </is>
      </c>
      <c r="E944" t="inlineStr">
        <is>
          <t>HÄRJEDALEN</t>
        </is>
      </c>
      <c r="F944" t="inlineStr">
        <is>
          <t>Kyrkan</t>
        </is>
      </c>
      <c r="G944" t="n">
        <v>1</v>
      </c>
      <c r="H944" t="n">
        <v>0</v>
      </c>
      <c r="I944" t="n">
        <v>0</v>
      </c>
      <c r="J944" t="n">
        <v>0</v>
      </c>
      <c r="K944" t="n">
        <v>0</v>
      </c>
      <c r="L944" t="n">
        <v>0</v>
      </c>
      <c r="M944" t="n">
        <v>0</v>
      </c>
      <c r="N944" t="n">
        <v>0</v>
      </c>
      <c r="O944" t="n">
        <v>0</v>
      </c>
      <c r="P944" t="n">
        <v>0</v>
      </c>
      <c r="Q944" t="n">
        <v>0</v>
      </c>
      <c r="R944" s="2" t="inlineStr"/>
    </row>
    <row r="945" ht="15" customHeight="1">
      <c r="A945" t="inlineStr">
        <is>
          <t>A 20935-2023</t>
        </is>
      </c>
      <c r="B945" s="1" t="n">
        <v>45061</v>
      </c>
      <c r="C945" s="1" t="n">
        <v>45569</v>
      </c>
      <c r="D945" t="inlineStr">
        <is>
          <t>JÄMTLANDS LÄN</t>
        </is>
      </c>
      <c r="E945" t="inlineStr">
        <is>
          <t>HÄRJEDALEN</t>
        </is>
      </c>
      <c r="G945" t="n">
        <v>7.3</v>
      </c>
      <c r="H945" t="n">
        <v>0</v>
      </c>
      <c r="I945" t="n">
        <v>0</v>
      </c>
      <c r="J945" t="n">
        <v>0</v>
      </c>
      <c r="K945" t="n">
        <v>0</v>
      </c>
      <c r="L945" t="n">
        <v>0</v>
      </c>
      <c r="M945" t="n">
        <v>0</v>
      </c>
      <c r="N945" t="n">
        <v>0</v>
      </c>
      <c r="O945" t="n">
        <v>0</v>
      </c>
      <c r="P945" t="n">
        <v>0</v>
      </c>
      <c r="Q945" t="n">
        <v>0</v>
      </c>
      <c r="R945" s="2" t="inlineStr"/>
    </row>
    <row r="946" ht="15" customHeight="1">
      <c r="A946" t="inlineStr">
        <is>
          <t>A 21050-2023</t>
        </is>
      </c>
      <c r="B946" s="1" t="n">
        <v>45061</v>
      </c>
      <c r="C946" s="1" t="n">
        <v>45569</v>
      </c>
      <c r="D946" t="inlineStr">
        <is>
          <t>JÄMTLANDS LÄN</t>
        </is>
      </c>
      <c r="E946" t="inlineStr">
        <is>
          <t>HÄRJEDALEN</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21054-2023</t>
        </is>
      </c>
      <c r="B947" s="1" t="n">
        <v>45061</v>
      </c>
      <c r="C947" s="1" t="n">
        <v>45569</v>
      </c>
      <c r="D947" t="inlineStr">
        <is>
          <t>JÄMTLANDS LÄN</t>
        </is>
      </c>
      <c r="E947" t="inlineStr">
        <is>
          <t>HÄRJEDALEN</t>
        </is>
      </c>
      <c r="F947" t="inlineStr">
        <is>
          <t>Sveaskog</t>
        </is>
      </c>
      <c r="G947" t="n">
        <v>0.3</v>
      </c>
      <c r="H947" t="n">
        <v>0</v>
      </c>
      <c r="I947" t="n">
        <v>0</v>
      </c>
      <c r="J947" t="n">
        <v>0</v>
      </c>
      <c r="K947" t="n">
        <v>0</v>
      </c>
      <c r="L947" t="n">
        <v>0</v>
      </c>
      <c r="M947" t="n">
        <v>0</v>
      </c>
      <c r="N947" t="n">
        <v>0</v>
      </c>
      <c r="O947" t="n">
        <v>0</v>
      </c>
      <c r="P947" t="n">
        <v>0</v>
      </c>
      <c r="Q947" t="n">
        <v>0</v>
      </c>
      <c r="R947" s="2" t="inlineStr"/>
    </row>
    <row r="948" ht="15" customHeight="1">
      <c r="A948" t="inlineStr">
        <is>
          <t>A 21517-2023</t>
        </is>
      </c>
      <c r="B948" s="1" t="n">
        <v>45063</v>
      </c>
      <c r="C948" s="1" t="n">
        <v>45569</v>
      </c>
      <c r="D948" t="inlineStr">
        <is>
          <t>JÄMTLANDS LÄN</t>
        </is>
      </c>
      <c r="E948" t="inlineStr">
        <is>
          <t>HÄRJEDALEN</t>
        </is>
      </c>
      <c r="G948" t="n">
        <v>9</v>
      </c>
      <c r="H948" t="n">
        <v>0</v>
      </c>
      <c r="I948" t="n">
        <v>0</v>
      </c>
      <c r="J948" t="n">
        <v>0</v>
      </c>
      <c r="K948" t="n">
        <v>0</v>
      </c>
      <c r="L948" t="n">
        <v>0</v>
      </c>
      <c r="M948" t="n">
        <v>0</v>
      </c>
      <c r="N948" t="n">
        <v>0</v>
      </c>
      <c r="O948" t="n">
        <v>0</v>
      </c>
      <c r="P948" t="n">
        <v>0</v>
      </c>
      <c r="Q948" t="n">
        <v>0</v>
      </c>
      <c r="R948" s="2" t="inlineStr"/>
    </row>
    <row r="949" ht="15" customHeight="1">
      <c r="A949" t="inlineStr">
        <is>
          <t>A 21531-2023</t>
        </is>
      </c>
      <c r="B949" s="1" t="n">
        <v>45063</v>
      </c>
      <c r="C949" s="1" t="n">
        <v>45569</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21439-2023</t>
        </is>
      </c>
      <c r="B950" s="1" t="n">
        <v>45063</v>
      </c>
      <c r="C950" s="1" t="n">
        <v>45569</v>
      </c>
      <c r="D950" t="inlineStr">
        <is>
          <t>JÄMTLANDS LÄN</t>
        </is>
      </c>
      <c r="E950" t="inlineStr">
        <is>
          <t>HÄRJEDALEN</t>
        </is>
      </c>
      <c r="G950" t="n">
        <v>57</v>
      </c>
      <c r="H950" t="n">
        <v>0</v>
      </c>
      <c r="I950" t="n">
        <v>0</v>
      </c>
      <c r="J950" t="n">
        <v>0</v>
      </c>
      <c r="K950" t="n">
        <v>0</v>
      </c>
      <c r="L950" t="n">
        <v>0</v>
      </c>
      <c r="M950" t="n">
        <v>0</v>
      </c>
      <c r="N950" t="n">
        <v>0</v>
      </c>
      <c r="O950" t="n">
        <v>0</v>
      </c>
      <c r="P950" t="n">
        <v>0</v>
      </c>
      <c r="Q950" t="n">
        <v>0</v>
      </c>
      <c r="R950" s="2" t="inlineStr"/>
    </row>
    <row r="951" ht="15" customHeight="1">
      <c r="A951" t="inlineStr">
        <is>
          <t>A 21521-2023</t>
        </is>
      </c>
      <c r="B951" s="1" t="n">
        <v>45063</v>
      </c>
      <c r="C951" s="1" t="n">
        <v>45569</v>
      </c>
      <c r="D951" t="inlineStr">
        <is>
          <t>JÄMTLANDS LÄN</t>
        </is>
      </c>
      <c r="E951" t="inlineStr">
        <is>
          <t>HÄRJEDALEN</t>
        </is>
      </c>
      <c r="G951" t="n">
        <v>3</v>
      </c>
      <c r="H951" t="n">
        <v>0</v>
      </c>
      <c r="I951" t="n">
        <v>0</v>
      </c>
      <c r="J951" t="n">
        <v>0</v>
      </c>
      <c r="K951" t="n">
        <v>0</v>
      </c>
      <c r="L951" t="n">
        <v>0</v>
      </c>
      <c r="M951" t="n">
        <v>0</v>
      </c>
      <c r="N951" t="n">
        <v>0</v>
      </c>
      <c r="O951" t="n">
        <v>0</v>
      </c>
      <c r="P951" t="n">
        <v>0</v>
      </c>
      <c r="Q951" t="n">
        <v>0</v>
      </c>
      <c r="R951" s="2" t="inlineStr"/>
    </row>
    <row r="952" ht="15" customHeight="1">
      <c r="A952" t="inlineStr">
        <is>
          <t>A 21525-2023</t>
        </is>
      </c>
      <c r="B952" s="1" t="n">
        <v>45063</v>
      </c>
      <c r="C952" s="1" t="n">
        <v>45569</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45569</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21645-2023</t>
        </is>
      </c>
      <c r="B954" s="1" t="n">
        <v>45063</v>
      </c>
      <c r="C954" s="1" t="n">
        <v>45569</v>
      </c>
      <c r="D954" t="inlineStr">
        <is>
          <t>JÄMTLANDS LÄN</t>
        </is>
      </c>
      <c r="E954" t="inlineStr">
        <is>
          <t>HÄRJEDALEN</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21646-2023</t>
        </is>
      </c>
      <c r="B955" s="1" t="n">
        <v>45063</v>
      </c>
      <c r="C955" s="1" t="n">
        <v>45569</v>
      </c>
      <c r="D955" t="inlineStr">
        <is>
          <t>JÄMTLANDS LÄN</t>
        </is>
      </c>
      <c r="E955" t="inlineStr">
        <is>
          <t>HÄRJEDALEN</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21665-2023</t>
        </is>
      </c>
      <c r="B956" s="1" t="n">
        <v>45063</v>
      </c>
      <c r="C956" s="1" t="n">
        <v>45569</v>
      </c>
      <c r="D956" t="inlineStr">
        <is>
          <t>JÄMTLANDS LÄN</t>
        </is>
      </c>
      <c r="E956" t="inlineStr">
        <is>
          <t>HÄRJEDALEN</t>
        </is>
      </c>
      <c r="G956" t="n">
        <v>19.3</v>
      </c>
      <c r="H956" t="n">
        <v>0</v>
      </c>
      <c r="I956" t="n">
        <v>0</v>
      </c>
      <c r="J956" t="n">
        <v>0</v>
      </c>
      <c r="K956" t="n">
        <v>0</v>
      </c>
      <c r="L956" t="n">
        <v>0</v>
      </c>
      <c r="M956" t="n">
        <v>0</v>
      </c>
      <c r="N956" t="n">
        <v>0</v>
      </c>
      <c r="O956" t="n">
        <v>0</v>
      </c>
      <c r="P956" t="n">
        <v>0</v>
      </c>
      <c r="Q956" t="n">
        <v>0</v>
      </c>
      <c r="R956" s="2" t="inlineStr"/>
    </row>
    <row r="957" ht="15" customHeight="1">
      <c r="A957" t="inlineStr">
        <is>
          <t>A 21666-2023</t>
        </is>
      </c>
      <c r="B957" s="1" t="n">
        <v>45064</v>
      </c>
      <c r="C957" s="1" t="n">
        <v>45569</v>
      </c>
      <c r="D957" t="inlineStr">
        <is>
          <t>JÄMTLANDS LÄN</t>
        </is>
      </c>
      <c r="E957" t="inlineStr">
        <is>
          <t>HÄRJEDALEN</t>
        </is>
      </c>
      <c r="G957" t="n">
        <v>2.5</v>
      </c>
      <c r="H957" t="n">
        <v>0</v>
      </c>
      <c r="I957" t="n">
        <v>0</v>
      </c>
      <c r="J957" t="n">
        <v>0</v>
      </c>
      <c r="K957" t="n">
        <v>0</v>
      </c>
      <c r="L957" t="n">
        <v>0</v>
      </c>
      <c r="M957" t="n">
        <v>0</v>
      </c>
      <c r="N957" t="n">
        <v>0</v>
      </c>
      <c r="O957" t="n">
        <v>0</v>
      </c>
      <c r="P957" t="n">
        <v>0</v>
      </c>
      <c r="Q957" t="n">
        <v>0</v>
      </c>
      <c r="R957" s="2" t="inlineStr"/>
    </row>
    <row r="958" ht="15" customHeight="1">
      <c r="A958" t="inlineStr">
        <is>
          <t>A 22674-2023</t>
        </is>
      </c>
      <c r="B958" s="1" t="n">
        <v>45071</v>
      </c>
      <c r="C958" s="1" t="n">
        <v>45569</v>
      </c>
      <c r="D958" t="inlineStr">
        <is>
          <t>JÄMTLANDS LÄN</t>
        </is>
      </c>
      <c r="E958" t="inlineStr">
        <is>
          <t>HÄRJEDALEN</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22728-2023</t>
        </is>
      </c>
      <c r="B959" s="1" t="n">
        <v>45072</v>
      </c>
      <c r="C959" s="1" t="n">
        <v>45569</v>
      </c>
      <c r="D959" t="inlineStr">
        <is>
          <t>JÄMTLANDS LÄN</t>
        </is>
      </c>
      <c r="E959" t="inlineStr">
        <is>
          <t>HÄRJEDALEN</t>
        </is>
      </c>
      <c r="G959" t="n">
        <v>2.8</v>
      </c>
      <c r="H959" t="n">
        <v>0</v>
      </c>
      <c r="I959" t="n">
        <v>0</v>
      </c>
      <c r="J959" t="n">
        <v>0</v>
      </c>
      <c r="K959" t="n">
        <v>0</v>
      </c>
      <c r="L959" t="n">
        <v>0</v>
      </c>
      <c r="M959" t="n">
        <v>0</v>
      </c>
      <c r="N959" t="n">
        <v>0</v>
      </c>
      <c r="O959" t="n">
        <v>0</v>
      </c>
      <c r="P959" t="n">
        <v>0</v>
      </c>
      <c r="Q959" t="n">
        <v>0</v>
      </c>
      <c r="R959" s="2" t="inlineStr"/>
    </row>
    <row r="960" ht="15" customHeight="1">
      <c r="A960" t="inlineStr">
        <is>
          <t>A 22747-2023</t>
        </is>
      </c>
      <c r="B960" s="1" t="n">
        <v>45071</v>
      </c>
      <c r="C960" s="1" t="n">
        <v>45569</v>
      </c>
      <c r="D960" t="inlineStr">
        <is>
          <t>JÄMTLANDS LÄN</t>
        </is>
      </c>
      <c r="E960" t="inlineStr">
        <is>
          <t>HÄRJEDALEN</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22746-2023</t>
        </is>
      </c>
      <c r="B961" s="1" t="n">
        <v>45071</v>
      </c>
      <c r="C961" s="1" t="n">
        <v>45569</v>
      </c>
      <c r="D961" t="inlineStr">
        <is>
          <t>JÄMTLANDS LÄN</t>
        </is>
      </c>
      <c r="E961" t="inlineStr">
        <is>
          <t>HÄRJEDALEN</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22729-2023</t>
        </is>
      </c>
      <c r="B962" s="1" t="n">
        <v>45072</v>
      </c>
      <c r="C962" s="1" t="n">
        <v>45569</v>
      </c>
      <c r="D962" t="inlineStr">
        <is>
          <t>JÄMTLANDS LÄN</t>
        </is>
      </c>
      <c r="E962" t="inlineStr">
        <is>
          <t>HÄRJEDALEN</t>
        </is>
      </c>
      <c r="G962" t="n">
        <v>2.1</v>
      </c>
      <c r="H962" t="n">
        <v>0</v>
      </c>
      <c r="I962" t="n">
        <v>0</v>
      </c>
      <c r="J962" t="n">
        <v>0</v>
      </c>
      <c r="K962" t="n">
        <v>0</v>
      </c>
      <c r="L962" t="n">
        <v>0</v>
      </c>
      <c r="M962" t="n">
        <v>0</v>
      </c>
      <c r="N962" t="n">
        <v>0</v>
      </c>
      <c r="O962" t="n">
        <v>0</v>
      </c>
      <c r="P962" t="n">
        <v>0</v>
      </c>
      <c r="Q962" t="n">
        <v>0</v>
      </c>
      <c r="R962" s="2" t="inlineStr"/>
    </row>
    <row r="963" ht="15" customHeight="1">
      <c r="A963" t="inlineStr">
        <is>
          <t>A 23186-2023</t>
        </is>
      </c>
      <c r="B963" s="1" t="n">
        <v>45075</v>
      </c>
      <c r="C963" s="1" t="n">
        <v>45569</v>
      </c>
      <c r="D963" t="inlineStr">
        <is>
          <t>JÄMTLANDS LÄN</t>
        </is>
      </c>
      <c r="E963" t="inlineStr">
        <is>
          <t>HÄRJEDALEN</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23185-2023</t>
        </is>
      </c>
      <c r="B964" s="1" t="n">
        <v>45075</v>
      </c>
      <c r="C964" s="1" t="n">
        <v>45569</v>
      </c>
      <c r="D964" t="inlineStr">
        <is>
          <t>JÄMTLANDS LÄN</t>
        </is>
      </c>
      <c r="E964" t="inlineStr">
        <is>
          <t>HÄRJEDALEN</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23356-2023</t>
        </is>
      </c>
      <c r="B965" s="1" t="n">
        <v>45076</v>
      </c>
      <c r="C965" s="1" t="n">
        <v>45569</v>
      </c>
      <c r="D965" t="inlineStr">
        <is>
          <t>JÄMTLANDS LÄN</t>
        </is>
      </c>
      <c r="E965" t="inlineStr">
        <is>
          <t>HÄRJEDALEN</t>
        </is>
      </c>
      <c r="G965" t="n">
        <v>2.1</v>
      </c>
      <c r="H965" t="n">
        <v>0</v>
      </c>
      <c r="I965" t="n">
        <v>0</v>
      </c>
      <c r="J965" t="n">
        <v>0</v>
      </c>
      <c r="K965" t="n">
        <v>0</v>
      </c>
      <c r="L965" t="n">
        <v>0</v>
      </c>
      <c r="M965" t="n">
        <v>0</v>
      </c>
      <c r="N965" t="n">
        <v>0</v>
      </c>
      <c r="O965" t="n">
        <v>0</v>
      </c>
      <c r="P965" t="n">
        <v>0</v>
      </c>
      <c r="Q965" t="n">
        <v>0</v>
      </c>
      <c r="R965" s="2" t="inlineStr"/>
    </row>
    <row r="966" ht="15" customHeight="1">
      <c r="A966" t="inlineStr">
        <is>
          <t>A 23465-2023</t>
        </is>
      </c>
      <c r="B966" s="1" t="n">
        <v>45076</v>
      </c>
      <c r="C966" s="1" t="n">
        <v>45569</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23895-2023</t>
        </is>
      </c>
      <c r="B967" s="1" t="n">
        <v>45078</v>
      </c>
      <c r="C967" s="1" t="n">
        <v>45569</v>
      </c>
      <c r="D967" t="inlineStr">
        <is>
          <t>JÄMTLANDS LÄN</t>
        </is>
      </c>
      <c r="E967" t="inlineStr">
        <is>
          <t>HÄRJEDALEN</t>
        </is>
      </c>
      <c r="G967" t="n">
        <v>3.2</v>
      </c>
      <c r="H967" t="n">
        <v>0</v>
      </c>
      <c r="I967" t="n">
        <v>0</v>
      </c>
      <c r="J967" t="n">
        <v>0</v>
      </c>
      <c r="K967" t="n">
        <v>0</v>
      </c>
      <c r="L967" t="n">
        <v>0</v>
      </c>
      <c r="M967" t="n">
        <v>0</v>
      </c>
      <c r="N967" t="n">
        <v>0</v>
      </c>
      <c r="O967" t="n">
        <v>0</v>
      </c>
      <c r="P967" t="n">
        <v>0</v>
      </c>
      <c r="Q967" t="n">
        <v>0</v>
      </c>
      <c r="R967" s="2" t="inlineStr"/>
    </row>
    <row r="968" ht="15" customHeight="1">
      <c r="A968" t="inlineStr">
        <is>
          <t>A 23908-2023</t>
        </is>
      </c>
      <c r="B968" s="1" t="n">
        <v>45078</v>
      </c>
      <c r="C968" s="1" t="n">
        <v>45569</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24240-2023</t>
        </is>
      </c>
      <c r="B969" s="1" t="n">
        <v>45079</v>
      </c>
      <c r="C969" s="1" t="n">
        <v>45569</v>
      </c>
      <c r="D969" t="inlineStr">
        <is>
          <t>JÄMTLANDS LÄN</t>
        </is>
      </c>
      <c r="E969" t="inlineStr">
        <is>
          <t>HÄRJEDALEN</t>
        </is>
      </c>
      <c r="G969" t="n">
        <v>1.5</v>
      </c>
      <c r="H969" t="n">
        <v>0</v>
      </c>
      <c r="I969" t="n">
        <v>0</v>
      </c>
      <c r="J969" t="n">
        <v>0</v>
      </c>
      <c r="K969" t="n">
        <v>0</v>
      </c>
      <c r="L969" t="n">
        <v>0</v>
      </c>
      <c r="M969" t="n">
        <v>0</v>
      </c>
      <c r="N969" t="n">
        <v>0</v>
      </c>
      <c r="O969" t="n">
        <v>0</v>
      </c>
      <c r="P969" t="n">
        <v>0</v>
      </c>
      <c r="Q969" t="n">
        <v>0</v>
      </c>
      <c r="R969" s="2" t="inlineStr"/>
    </row>
    <row r="970" ht="15" customHeight="1">
      <c r="A970" t="inlineStr">
        <is>
          <t>A 24238-2023</t>
        </is>
      </c>
      <c r="B970" s="1" t="n">
        <v>45079</v>
      </c>
      <c r="C970" s="1" t="n">
        <v>45569</v>
      </c>
      <c r="D970" t="inlineStr">
        <is>
          <t>JÄMTLANDS LÄN</t>
        </is>
      </c>
      <c r="E970" t="inlineStr">
        <is>
          <t>HÄRJEDALEN</t>
        </is>
      </c>
      <c r="G970" t="n">
        <v>2</v>
      </c>
      <c r="H970" t="n">
        <v>0</v>
      </c>
      <c r="I970" t="n">
        <v>0</v>
      </c>
      <c r="J970" t="n">
        <v>0</v>
      </c>
      <c r="K970" t="n">
        <v>0</v>
      </c>
      <c r="L970" t="n">
        <v>0</v>
      </c>
      <c r="M970" t="n">
        <v>0</v>
      </c>
      <c r="N970" t="n">
        <v>0</v>
      </c>
      <c r="O970" t="n">
        <v>0</v>
      </c>
      <c r="P970" t="n">
        <v>0</v>
      </c>
      <c r="Q970" t="n">
        <v>0</v>
      </c>
      <c r="R970" s="2" t="inlineStr"/>
    </row>
    <row r="971" ht="15" customHeight="1">
      <c r="A971" t="inlineStr">
        <is>
          <t>A 24255-2023</t>
        </is>
      </c>
      <c r="B971" s="1" t="n">
        <v>45079</v>
      </c>
      <c r="C971" s="1" t="n">
        <v>45569</v>
      </c>
      <c r="D971" t="inlineStr">
        <is>
          <t>JÄMTLANDS LÄN</t>
        </is>
      </c>
      <c r="E971" t="inlineStr">
        <is>
          <t>HÄRJEDALEN</t>
        </is>
      </c>
      <c r="G971" t="n">
        <v>16.1</v>
      </c>
      <c r="H971" t="n">
        <v>0</v>
      </c>
      <c r="I971" t="n">
        <v>0</v>
      </c>
      <c r="J971" t="n">
        <v>0</v>
      </c>
      <c r="K971" t="n">
        <v>0</v>
      </c>
      <c r="L971" t="n">
        <v>0</v>
      </c>
      <c r="M971" t="n">
        <v>0</v>
      </c>
      <c r="N971" t="n">
        <v>0</v>
      </c>
      <c r="O971" t="n">
        <v>0</v>
      </c>
      <c r="P971" t="n">
        <v>0</v>
      </c>
      <c r="Q971" t="n">
        <v>0</v>
      </c>
      <c r="R971" s="2" t="inlineStr"/>
    </row>
    <row r="972" ht="15" customHeight="1">
      <c r="A972" t="inlineStr">
        <is>
          <t>A 24220-2023</t>
        </is>
      </c>
      <c r="B972" s="1" t="n">
        <v>45079</v>
      </c>
      <c r="C972" s="1" t="n">
        <v>45569</v>
      </c>
      <c r="D972" t="inlineStr">
        <is>
          <t>JÄMTLANDS LÄN</t>
        </is>
      </c>
      <c r="E972" t="inlineStr">
        <is>
          <t>HÄRJEDALEN</t>
        </is>
      </c>
      <c r="F972" t="inlineStr">
        <is>
          <t>Bergvik skog väst AB</t>
        </is>
      </c>
      <c r="G972" t="n">
        <v>6.5</v>
      </c>
      <c r="H972" t="n">
        <v>0</v>
      </c>
      <c r="I972" t="n">
        <v>0</v>
      </c>
      <c r="J972" t="n">
        <v>0</v>
      </c>
      <c r="K972" t="n">
        <v>0</v>
      </c>
      <c r="L972" t="n">
        <v>0</v>
      </c>
      <c r="M972" t="n">
        <v>0</v>
      </c>
      <c r="N972" t="n">
        <v>0</v>
      </c>
      <c r="O972" t="n">
        <v>0</v>
      </c>
      <c r="P972" t="n">
        <v>0</v>
      </c>
      <c r="Q972" t="n">
        <v>0</v>
      </c>
      <c r="R972" s="2" t="inlineStr"/>
    </row>
    <row r="973" ht="15" customHeight="1">
      <c r="A973" t="inlineStr">
        <is>
          <t>A 25536-2023</t>
        </is>
      </c>
      <c r="B973" s="1" t="n">
        <v>45082</v>
      </c>
      <c r="C973" s="1" t="n">
        <v>45569</v>
      </c>
      <c r="D973" t="inlineStr">
        <is>
          <t>JÄMTLANDS LÄN</t>
        </is>
      </c>
      <c r="E973" t="inlineStr">
        <is>
          <t>HÄRJEDALEN</t>
        </is>
      </c>
      <c r="F973" t="inlineStr">
        <is>
          <t>Bergvik skog väst AB</t>
        </is>
      </c>
      <c r="G973" t="n">
        <v>6.9</v>
      </c>
      <c r="H973" t="n">
        <v>0</v>
      </c>
      <c r="I973" t="n">
        <v>0</v>
      </c>
      <c r="J973" t="n">
        <v>0</v>
      </c>
      <c r="K973" t="n">
        <v>0</v>
      </c>
      <c r="L973" t="n">
        <v>0</v>
      </c>
      <c r="M973" t="n">
        <v>0</v>
      </c>
      <c r="N973" t="n">
        <v>0</v>
      </c>
      <c r="O973" t="n">
        <v>0</v>
      </c>
      <c r="P973" t="n">
        <v>0</v>
      </c>
      <c r="Q973" t="n">
        <v>0</v>
      </c>
      <c r="R973" s="2" t="inlineStr"/>
    </row>
    <row r="974" ht="15" customHeight="1">
      <c r="A974" t="inlineStr">
        <is>
          <t>A 25526-2023</t>
        </is>
      </c>
      <c r="B974" s="1" t="n">
        <v>45082</v>
      </c>
      <c r="C974" s="1" t="n">
        <v>45569</v>
      </c>
      <c r="D974" t="inlineStr">
        <is>
          <t>JÄMTLANDS LÄN</t>
        </is>
      </c>
      <c r="E974" t="inlineStr">
        <is>
          <t>HÄRJEDALEN</t>
        </is>
      </c>
      <c r="F974" t="inlineStr">
        <is>
          <t>Bergvik skog väst AB</t>
        </is>
      </c>
      <c r="G974" t="n">
        <v>4.9</v>
      </c>
      <c r="H974" t="n">
        <v>0</v>
      </c>
      <c r="I974" t="n">
        <v>0</v>
      </c>
      <c r="J974" t="n">
        <v>0</v>
      </c>
      <c r="K974" t="n">
        <v>0</v>
      </c>
      <c r="L974" t="n">
        <v>0</v>
      </c>
      <c r="M974" t="n">
        <v>0</v>
      </c>
      <c r="N974" t="n">
        <v>0</v>
      </c>
      <c r="O974" t="n">
        <v>0</v>
      </c>
      <c r="P974" t="n">
        <v>0</v>
      </c>
      <c r="Q974" t="n">
        <v>0</v>
      </c>
      <c r="R974" s="2" t="inlineStr"/>
    </row>
    <row r="975" ht="15" customHeight="1">
      <c r="A975" t="inlineStr">
        <is>
          <t>A 25582-2023</t>
        </is>
      </c>
      <c r="B975" s="1" t="n">
        <v>45082</v>
      </c>
      <c r="C975" s="1" t="n">
        <v>45569</v>
      </c>
      <c r="D975" t="inlineStr">
        <is>
          <t>JÄMTLANDS LÄN</t>
        </is>
      </c>
      <c r="E975" t="inlineStr">
        <is>
          <t>HÄRJEDALEN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24834-2023</t>
        </is>
      </c>
      <c r="B976" s="1" t="n">
        <v>45084</v>
      </c>
      <c r="C976" s="1" t="n">
        <v>45569</v>
      </c>
      <c r="D976" t="inlineStr">
        <is>
          <t>JÄMTLANDS LÄN</t>
        </is>
      </c>
      <c r="E976" t="inlineStr">
        <is>
          <t>HÄRJEDALEN</t>
        </is>
      </c>
      <c r="F976" t="inlineStr">
        <is>
          <t>SCA</t>
        </is>
      </c>
      <c r="G976" t="n">
        <v>16.5</v>
      </c>
      <c r="H976" t="n">
        <v>0</v>
      </c>
      <c r="I976" t="n">
        <v>0</v>
      </c>
      <c r="J976" t="n">
        <v>0</v>
      </c>
      <c r="K976" t="n">
        <v>0</v>
      </c>
      <c r="L976" t="n">
        <v>0</v>
      </c>
      <c r="M976" t="n">
        <v>0</v>
      </c>
      <c r="N976" t="n">
        <v>0</v>
      </c>
      <c r="O976" t="n">
        <v>0</v>
      </c>
      <c r="P976" t="n">
        <v>0</v>
      </c>
      <c r="Q976" t="n">
        <v>0</v>
      </c>
      <c r="R976" s="2" t="inlineStr"/>
    </row>
    <row r="977" ht="15" customHeight="1">
      <c r="A977" t="inlineStr">
        <is>
          <t>A 24835-2023</t>
        </is>
      </c>
      <c r="B977" s="1" t="n">
        <v>45084</v>
      </c>
      <c r="C977" s="1" t="n">
        <v>45569</v>
      </c>
      <c r="D977" t="inlineStr">
        <is>
          <t>JÄMTLANDS LÄN</t>
        </is>
      </c>
      <c r="E977" t="inlineStr">
        <is>
          <t>HÄRJEDALEN</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25018-2023</t>
        </is>
      </c>
      <c r="B978" s="1" t="n">
        <v>45085</v>
      </c>
      <c r="C978" s="1" t="n">
        <v>45569</v>
      </c>
      <c r="D978" t="inlineStr">
        <is>
          <t>JÄMTLANDS LÄN</t>
        </is>
      </c>
      <c r="E978" t="inlineStr">
        <is>
          <t>HÄRJEDALEN</t>
        </is>
      </c>
      <c r="F978" t="inlineStr">
        <is>
          <t>Sveaskog</t>
        </is>
      </c>
      <c r="G978" t="n">
        <v>39.7</v>
      </c>
      <c r="H978" t="n">
        <v>0</v>
      </c>
      <c r="I978" t="n">
        <v>0</v>
      </c>
      <c r="J978" t="n">
        <v>0</v>
      </c>
      <c r="K978" t="n">
        <v>0</v>
      </c>
      <c r="L978" t="n">
        <v>0</v>
      </c>
      <c r="M978" t="n">
        <v>0</v>
      </c>
      <c r="N978" t="n">
        <v>0</v>
      </c>
      <c r="O978" t="n">
        <v>0</v>
      </c>
      <c r="P978" t="n">
        <v>0</v>
      </c>
      <c r="Q978" t="n">
        <v>0</v>
      </c>
      <c r="R978" s="2" t="inlineStr"/>
    </row>
    <row r="979" ht="15" customHeight="1">
      <c r="A979" t="inlineStr">
        <is>
          <t>A 24964-2023</t>
        </is>
      </c>
      <c r="B979" s="1" t="n">
        <v>45085</v>
      </c>
      <c r="C979" s="1" t="n">
        <v>45569</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25181-2023</t>
        </is>
      </c>
      <c r="B980" s="1" t="n">
        <v>45086</v>
      </c>
      <c r="C980" s="1" t="n">
        <v>45569</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25485-2023</t>
        </is>
      </c>
      <c r="B981" s="1" t="n">
        <v>45089</v>
      </c>
      <c r="C981" s="1" t="n">
        <v>45569</v>
      </c>
      <c r="D981" t="inlineStr">
        <is>
          <t>JÄMTLANDS LÄN</t>
        </is>
      </c>
      <c r="E981" t="inlineStr">
        <is>
          <t>HÄRJEDALEN</t>
        </is>
      </c>
      <c r="G981" t="n">
        <v>15.2</v>
      </c>
      <c r="H981" t="n">
        <v>0</v>
      </c>
      <c r="I981" t="n">
        <v>0</v>
      </c>
      <c r="J981" t="n">
        <v>0</v>
      </c>
      <c r="K981" t="n">
        <v>0</v>
      </c>
      <c r="L981" t="n">
        <v>0</v>
      </c>
      <c r="M981" t="n">
        <v>0</v>
      </c>
      <c r="N981" t="n">
        <v>0</v>
      </c>
      <c r="O981" t="n">
        <v>0</v>
      </c>
      <c r="P981" t="n">
        <v>0</v>
      </c>
      <c r="Q981" t="n">
        <v>0</v>
      </c>
      <c r="R981" s="2" t="inlineStr"/>
    </row>
    <row r="982" ht="15" customHeight="1">
      <c r="A982" t="inlineStr">
        <is>
          <t>A 26411-2023</t>
        </is>
      </c>
      <c r="B982" s="1" t="n">
        <v>45092</v>
      </c>
      <c r="C982" s="1" t="n">
        <v>45569</v>
      </c>
      <c r="D982" t="inlineStr">
        <is>
          <t>JÄMTLANDS LÄN</t>
        </is>
      </c>
      <c r="E982" t="inlineStr">
        <is>
          <t>HÄRJEDALEN</t>
        </is>
      </c>
      <c r="G982" t="n">
        <v>5.4</v>
      </c>
      <c r="H982" t="n">
        <v>0</v>
      </c>
      <c r="I982" t="n">
        <v>0</v>
      </c>
      <c r="J982" t="n">
        <v>0</v>
      </c>
      <c r="K982" t="n">
        <v>0</v>
      </c>
      <c r="L982" t="n">
        <v>0</v>
      </c>
      <c r="M982" t="n">
        <v>0</v>
      </c>
      <c r="N982" t="n">
        <v>0</v>
      </c>
      <c r="O982" t="n">
        <v>0</v>
      </c>
      <c r="P982" t="n">
        <v>0</v>
      </c>
      <c r="Q982" t="n">
        <v>0</v>
      </c>
      <c r="R982" s="2" t="inlineStr"/>
    </row>
    <row r="983" ht="15" customHeight="1">
      <c r="A983" t="inlineStr">
        <is>
          <t>A 26701-2023</t>
        </is>
      </c>
      <c r="B983" s="1" t="n">
        <v>45093</v>
      </c>
      <c r="C983" s="1" t="n">
        <v>45569</v>
      </c>
      <c r="D983" t="inlineStr">
        <is>
          <t>JÄMTLANDS LÄN</t>
        </is>
      </c>
      <c r="E983" t="inlineStr">
        <is>
          <t>HÄRJEDALEN</t>
        </is>
      </c>
      <c r="F983" t="inlineStr">
        <is>
          <t>Bergvik skog väst AB</t>
        </is>
      </c>
      <c r="G983" t="n">
        <v>10.1</v>
      </c>
      <c r="H983" t="n">
        <v>0</v>
      </c>
      <c r="I983" t="n">
        <v>0</v>
      </c>
      <c r="J983" t="n">
        <v>0</v>
      </c>
      <c r="K983" t="n">
        <v>0</v>
      </c>
      <c r="L983" t="n">
        <v>0</v>
      </c>
      <c r="M983" t="n">
        <v>0</v>
      </c>
      <c r="N983" t="n">
        <v>0</v>
      </c>
      <c r="O983" t="n">
        <v>0</v>
      </c>
      <c r="P983" t="n">
        <v>0</v>
      </c>
      <c r="Q983" t="n">
        <v>0</v>
      </c>
      <c r="R983" s="2" t="inlineStr"/>
    </row>
    <row r="984" ht="15" customHeight="1">
      <c r="A984" t="inlineStr">
        <is>
          <t>A 26902-2023</t>
        </is>
      </c>
      <c r="B984" s="1" t="n">
        <v>45093</v>
      </c>
      <c r="C984" s="1" t="n">
        <v>45569</v>
      </c>
      <c r="D984" t="inlineStr">
        <is>
          <t>JÄMTLANDS LÄN</t>
        </is>
      </c>
      <c r="E984" t="inlineStr">
        <is>
          <t>HÄRJEDALEN</t>
        </is>
      </c>
      <c r="F984" t="inlineStr">
        <is>
          <t>Bergvik skog väst AB</t>
        </is>
      </c>
      <c r="G984" t="n">
        <v>5.2</v>
      </c>
      <c r="H984" t="n">
        <v>0</v>
      </c>
      <c r="I984" t="n">
        <v>0</v>
      </c>
      <c r="J984" t="n">
        <v>0</v>
      </c>
      <c r="K984" t="n">
        <v>0</v>
      </c>
      <c r="L984" t="n">
        <v>0</v>
      </c>
      <c r="M984" t="n">
        <v>0</v>
      </c>
      <c r="N984" t="n">
        <v>0</v>
      </c>
      <c r="O984" t="n">
        <v>0</v>
      </c>
      <c r="P984" t="n">
        <v>0</v>
      </c>
      <c r="Q984" t="n">
        <v>0</v>
      </c>
      <c r="R984" s="2" t="inlineStr"/>
    </row>
    <row r="985" ht="15" customHeight="1">
      <c r="A985" t="inlineStr">
        <is>
          <t>A 26905-2023</t>
        </is>
      </c>
      <c r="B985" s="1" t="n">
        <v>45093</v>
      </c>
      <c r="C985" s="1" t="n">
        <v>45569</v>
      </c>
      <c r="D985" t="inlineStr">
        <is>
          <t>JÄMTLANDS LÄN</t>
        </is>
      </c>
      <c r="E985" t="inlineStr">
        <is>
          <t>HÄRJEDALEN</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27136-2023</t>
        </is>
      </c>
      <c r="B986" s="1" t="n">
        <v>45096</v>
      </c>
      <c r="C986" s="1" t="n">
        <v>45569</v>
      </c>
      <c r="D986" t="inlineStr">
        <is>
          <t>JÄMTLANDS LÄN</t>
        </is>
      </c>
      <c r="E986" t="inlineStr">
        <is>
          <t>HÄRJEDALEN</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27261-2023</t>
        </is>
      </c>
      <c r="B987" s="1" t="n">
        <v>45096</v>
      </c>
      <c r="C987" s="1" t="n">
        <v>45569</v>
      </c>
      <c r="D987" t="inlineStr">
        <is>
          <t>JÄMTLANDS LÄN</t>
        </is>
      </c>
      <c r="E987" t="inlineStr">
        <is>
          <t>HÄRJEDALEN</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27541-2023</t>
        </is>
      </c>
      <c r="B988" s="1" t="n">
        <v>45097</v>
      </c>
      <c r="C988" s="1" t="n">
        <v>45569</v>
      </c>
      <c r="D988" t="inlineStr">
        <is>
          <t>JÄMTLANDS LÄN</t>
        </is>
      </c>
      <c r="E988" t="inlineStr">
        <is>
          <t>HÄRJEDALEN</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27764-2023</t>
        </is>
      </c>
      <c r="B989" s="1" t="n">
        <v>45098</v>
      </c>
      <c r="C989" s="1" t="n">
        <v>45569</v>
      </c>
      <c r="D989" t="inlineStr">
        <is>
          <t>JÄMTLANDS LÄN</t>
        </is>
      </c>
      <c r="E989" t="inlineStr">
        <is>
          <t>HÄRJEDALEN</t>
        </is>
      </c>
      <c r="G989" t="n">
        <v>66.40000000000001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45569</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27940-2023</t>
        </is>
      </c>
      <c r="B991" s="1" t="n">
        <v>45098</v>
      </c>
      <c r="C991" s="1" t="n">
        <v>45569</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28078-2023</t>
        </is>
      </c>
      <c r="B992" s="1" t="n">
        <v>45099</v>
      </c>
      <c r="C992" s="1" t="n">
        <v>45569</v>
      </c>
      <c r="D992" t="inlineStr">
        <is>
          <t>JÄMTLANDS LÄN</t>
        </is>
      </c>
      <c r="E992" t="inlineStr">
        <is>
          <t>HÄRJEDALEN</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28059-2023</t>
        </is>
      </c>
      <c r="B993" s="1" t="n">
        <v>45099</v>
      </c>
      <c r="C993" s="1" t="n">
        <v>45569</v>
      </c>
      <c r="D993" t="inlineStr">
        <is>
          <t>JÄMTLANDS LÄN</t>
        </is>
      </c>
      <c r="E993" t="inlineStr">
        <is>
          <t>HÄRJEDALEN</t>
        </is>
      </c>
      <c r="G993" t="n">
        <v>1.6</v>
      </c>
      <c r="H993" t="n">
        <v>0</v>
      </c>
      <c r="I993" t="n">
        <v>0</v>
      </c>
      <c r="J993" t="n">
        <v>0</v>
      </c>
      <c r="K993" t="n">
        <v>0</v>
      </c>
      <c r="L993" t="n">
        <v>0</v>
      </c>
      <c r="M993" t="n">
        <v>0</v>
      </c>
      <c r="N993" t="n">
        <v>0</v>
      </c>
      <c r="O993" t="n">
        <v>0</v>
      </c>
      <c r="P993" t="n">
        <v>0</v>
      </c>
      <c r="Q993" t="n">
        <v>0</v>
      </c>
      <c r="R993" s="2" t="inlineStr"/>
    </row>
    <row r="994" ht="15" customHeight="1">
      <c r="A994" t="inlineStr">
        <is>
          <t>A 28209-2023</t>
        </is>
      </c>
      <c r="B994" s="1" t="n">
        <v>45099</v>
      </c>
      <c r="C994" s="1" t="n">
        <v>45569</v>
      </c>
      <c r="D994" t="inlineStr">
        <is>
          <t>JÄMTLANDS LÄN</t>
        </is>
      </c>
      <c r="E994" t="inlineStr">
        <is>
          <t>HÄRJEDALEN</t>
        </is>
      </c>
      <c r="F994" t="inlineStr">
        <is>
          <t>Bergvik skog väst AB</t>
        </is>
      </c>
      <c r="G994" t="n">
        <v>10.9</v>
      </c>
      <c r="H994" t="n">
        <v>0</v>
      </c>
      <c r="I994" t="n">
        <v>0</v>
      </c>
      <c r="J994" t="n">
        <v>0</v>
      </c>
      <c r="K994" t="n">
        <v>0</v>
      </c>
      <c r="L994" t="n">
        <v>0</v>
      </c>
      <c r="M994" t="n">
        <v>0</v>
      </c>
      <c r="N994" t="n">
        <v>0</v>
      </c>
      <c r="O994" t="n">
        <v>0</v>
      </c>
      <c r="P994" t="n">
        <v>0</v>
      </c>
      <c r="Q994" t="n">
        <v>0</v>
      </c>
      <c r="R994" s="2" t="inlineStr"/>
    </row>
    <row r="995" ht="15" customHeight="1">
      <c r="A995" t="inlineStr">
        <is>
          <t>A 28802-2023</t>
        </is>
      </c>
      <c r="B995" s="1" t="n">
        <v>45104</v>
      </c>
      <c r="C995" s="1" t="n">
        <v>45569</v>
      </c>
      <c r="D995" t="inlineStr">
        <is>
          <t>JÄMTLANDS LÄN</t>
        </is>
      </c>
      <c r="E995" t="inlineStr">
        <is>
          <t>HÄRJEDALEN</t>
        </is>
      </c>
      <c r="G995" t="n">
        <v>5</v>
      </c>
      <c r="H995" t="n">
        <v>0</v>
      </c>
      <c r="I995" t="n">
        <v>0</v>
      </c>
      <c r="J995" t="n">
        <v>0</v>
      </c>
      <c r="K995" t="n">
        <v>0</v>
      </c>
      <c r="L995" t="n">
        <v>0</v>
      </c>
      <c r="M995" t="n">
        <v>0</v>
      </c>
      <c r="N995" t="n">
        <v>0</v>
      </c>
      <c r="O995" t="n">
        <v>0</v>
      </c>
      <c r="P995" t="n">
        <v>0</v>
      </c>
      <c r="Q995" t="n">
        <v>0</v>
      </c>
      <c r="R995" s="2" t="inlineStr"/>
    </row>
    <row r="996" ht="15" customHeight="1">
      <c r="A996" t="inlineStr">
        <is>
          <t>A 29067-2023</t>
        </is>
      </c>
      <c r="B996" s="1" t="n">
        <v>45104</v>
      </c>
      <c r="C996" s="1" t="n">
        <v>45569</v>
      </c>
      <c r="D996" t="inlineStr">
        <is>
          <t>JÄMTLANDS LÄN</t>
        </is>
      </c>
      <c r="E996" t="inlineStr">
        <is>
          <t>HÄRJEDALEN</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29194-2023</t>
        </is>
      </c>
      <c r="B997" s="1" t="n">
        <v>45105</v>
      </c>
      <c r="C997" s="1" t="n">
        <v>45569</v>
      </c>
      <c r="D997" t="inlineStr">
        <is>
          <t>JÄMTLANDS LÄN</t>
        </is>
      </c>
      <c r="E997" t="inlineStr">
        <is>
          <t>HÄRJEDALEN</t>
        </is>
      </c>
      <c r="F997" t="inlineStr">
        <is>
          <t>Bergvik skog väst AB</t>
        </is>
      </c>
      <c r="G997" t="n">
        <v>21.4</v>
      </c>
      <c r="H997" t="n">
        <v>0</v>
      </c>
      <c r="I997" t="n">
        <v>0</v>
      </c>
      <c r="J997" t="n">
        <v>0</v>
      </c>
      <c r="K997" t="n">
        <v>0</v>
      </c>
      <c r="L997" t="n">
        <v>0</v>
      </c>
      <c r="M997" t="n">
        <v>0</v>
      </c>
      <c r="N997" t="n">
        <v>0</v>
      </c>
      <c r="O997" t="n">
        <v>0</v>
      </c>
      <c r="P997" t="n">
        <v>0</v>
      </c>
      <c r="Q997" t="n">
        <v>0</v>
      </c>
      <c r="R997" s="2" t="inlineStr"/>
    </row>
    <row r="998" ht="15" customHeight="1">
      <c r="A998" t="inlineStr">
        <is>
          <t>A 29094-2023</t>
        </is>
      </c>
      <c r="B998" s="1" t="n">
        <v>45105</v>
      </c>
      <c r="C998" s="1" t="n">
        <v>45569</v>
      </c>
      <c r="D998" t="inlineStr">
        <is>
          <t>JÄMTLANDS LÄN</t>
        </is>
      </c>
      <c r="E998" t="inlineStr">
        <is>
          <t>HÄRJEDALEN</t>
        </is>
      </c>
      <c r="F998" t="inlineStr">
        <is>
          <t>Bergvik skog väst AB</t>
        </is>
      </c>
      <c r="G998" t="n">
        <v>4.6</v>
      </c>
      <c r="H998" t="n">
        <v>0</v>
      </c>
      <c r="I998" t="n">
        <v>0</v>
      </c>
      <c r="J998" t="n">
        <v>0</v>
      </c>
      <c r="K998" t="n">
        <v>0</v>
      </c>
      <c r="L998" t="n">
        <v>0</v>
      </c>
      <c r="M998" t="n">
        <v>0</v>
      </c>
      <c r="N998" t="n">
        <v>0</v>
      </c>
      <c r="O998" t="n">
        <v>0</v>
      </c>
      <c r="P998" t="n">
        <v>0</v>
      </c>
      <c r="Q998" t="n">
        <v>0</v>
      </c>
      <c r="R998" s="2" t="inlineStr"/>
    </row>
    <row r="999" ht="15" customHeight="1">
      <c r="A999" t="inlineStr">
        <is>
          <t>A 29431-2023</t>
        </is>
      </c>
      <c r="B999" s="1" t="n">
        <v>45106</v>
      </c>
      <c r="C999" s="1" t="n">
        <v>45569</v>
      </c>
      <c r="D999" t="inlineStr">
        <is>
          <t>JÄMTLANDS LÄN</t>
        </is>
      </c>
      <c r="E999" t="inlineStr">
        <is>
          <t>HÄRJEDALEN</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29772-2023</t>
        </is>
      </c>
      <c r="B1000" s="1" t="n">
        <v>45107</v>
      </c>
      <c r="C1000" s="1" t="n">
        <v>45569</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30411-2023</t>
        </is>
      </c>
      <c r="B1001" s="1" t="n">
        <v>45111</v>
      </c>
      <c r="C1001" s="1" t="n">
        <v>45569</v>
      </c>
      <c r="D1001" t="inlineStr">
        <is>
          <t>JÄMTLANDS LÄN</t>
        </is>
      </c>
      <c r="E1001" t="inlineStr">
        <is>
          <t>HÄRJEDALEN</t>
        </is>
      </c>
      <c r="F1001" t="inlineStr">
        <is>
          <t>Bergvik skog väst AB</t>
        </is>
      </c>
      <c r="G1001" t="n">
        <v>28.3</v>
      </c>
      <c r="H1001" t="n">
        <v>0</v>
      </c>
      <c r="I1001" t="n">
        <v>0</v>
      </c>
      <c r="J1001" t="n">
        <v>0</v>
      </c>
      <c r="K1001" t="n">
        <v>0</v>
      </c>
      <c r="L1001" t="n">
        <v>0</v>
      </c>
      <c r="M1001" t="n">
        <v>0</v>
      </c>
      <c r="N1001" t="n">
        <v>0</v>
      </c>
      <c r="O1001" t="n">
        <v>0</v>
      </c>
      <c r="P1001" t="n">
        <v>0</v>
      </c>
      <c r="Q1001" t="n">
        <v>0</v>
      </c>
      <c r="R1001" s="2" t="inlineStr"/>
    </row>
    <row r="1002" ht="15" customHeight="1">
      <c r="A1002" t="inlineStr">
        <is>
          <t>A 30435-2023</t>
        </is>
      </c>
      <c r="B1002" s="1" t="n">
        <v>45111</v>
      </c>
      <c r="C1002" s="1" t="n">
        <v>45569</v>
      </c>
      <c r="D1002" t="inlineStr">
        <is>
          <t>JÄMTLANDS LÄN</t>
        </is>
      </c>
      <c r="E1002" t="inlineStr">
        <is>
          <t>HÄRJEDALEN</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30751-2023</t>
        </is>
      </c>
      <c r="B1003" s="1" t="n">
        <v>45112</v>
      </c>
      <c r="C1003" s="1" t="n">
        <v>45569</v>
      </c>
      <c r="D1003" t="inlineStr">
        <is>
          <t>JÄMTLANDS LÄN</t>
        </is>
      </c>
      <c r="E1003" t="inlineStr">
        <is>
          <t>HÄRJEDALEN</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30709-2023</t>
        </is>
      </c>
      <c r="B1004" s="1" t="n">
        <v>45112</v>
      </c>
      <c r="C1004" s="1" t="n">
        <v>45569</v>
      </c>
      <c r="D1004" t="inlineStr">
        <is>
          <t>JÄMTLANDS LÄN</t>
        </is>
      </c>
      <c r="E1004" t="inlineStr">
        <is>
          <t>HÄRJEDALEN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30984-2023</t>
        </is>
      </c>
      <c r="B1005" s="1" t="n">
        <v>45113</v>
      </c>
      <c r="C1005" s="1" t="n">
        <v>45569</v>
      </c>
      <c r="D1005" t="inlineStr">
        <is>
          <t>JÄMTLANDS LÄN</t>
        </is>
      </c>
      <c r="E1005" t="inlineStr">
        <is>
          <t>HÄRJEDALEN</t>
        </is>
      </c>
      <c r="F1005" t="inlineStr">
        <is>
          <t>Bergvik skog väst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31269-2023</t>
        </is>
      </c>
      <c r="B1006" s="1" t="n">
        <v>45114</v>
      </c>
      <c r="C1006" s="1" t="n">
        <v>45569</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31435-2023</t>
        </is>
      </c>
      <c r="B1007" s="1" t="n">
        <v>45114</v>
      </c>
      <c r="C1007" s="1" t="n">
        <v>45569</v>
      </c>
      <c r="D1007" t="inlineStr">
        <is>
          <t>JÄMTLANDS LÄN</t>
        </is>
      </c>
      <c r="E1007" t="inlineStr">
        <is>
          <t>HÄRJEDALEN</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31778-2023</t>
        </is>
      </c>
      <c r="B1008" s="1" t="n">
        <v>45118</v>
      </c>
      <c r="C1008" s="1" t="n">
        <v>45569</v>
      </c>
      <c r="D1008" t="inlineStr">
        <is>
          <t>JÄMTLANDS LÄN</t>
        </is>
      </c>
      <c r="E1008" t="inlineStr">
        <is>
          <t>HÄRJEDALEN</t>
        </is>
      </c>
      <c r="F1008" t="inlineStr">
        <is>
          <t>Bergvik skog väst AB</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31811-2023</t>
        </is>
      </c>
      <c r="B1009" s="1" t="n">
        <v>45118</v>
      </c>
      <c r="C1009" s="1" t="n">
        <v>45569</v>
      </c>
      <c r="D1009" t="inlineStr">
        <is>
          <t>JÄMTLANDS LÄN</t>
        </is>
      </c>
      <c r="E1009" t="inlineStr">
        <is>
          <t>HÄRJEDALEN</t>
        </is>
      </c>
      <c r="F1009" t="inlineStr">
        <is>
          <t>Bergvik skog väst AB</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31910-2023</t>
        </is>
      </c>
      <c r="B1010" s="1" t="n">
        <v>45118</v>
      </c>
      <c r="C1010" s="1" t="n">
        <v>45569</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31958-2023</t>
        </is>
      </c>
      <c r="B1011" s="1" t="n">
        <v>45119</v>
      </c>
      <c r="C1011" s="1" t="n">
        <v>45569</v>
      </c>
      <c r="D1011" t="inlineStr">
        <is>
          <t>JÄMTLANDS LÄN</t>
        </is>
      </c>
      <c r="E1011" t="inlineStr">
        <is>
          <t>HÄRJEDALEN</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31996-2023</t>
        </is>
      </c>
      <c r="B1012" s="1" t="n">
        <v>45119</v>
      </c>
      <c r="C1012" s="1" t="n">
        <v>45569</v>
      </c>
      <c r="D1012" t="inlineStr">
        <is>
          <t>JÄMTLANDS LÄN</t>
        </is>
      </c>
      <c r="E1012" t="inlineStr">
        <is>
          <t>HÄRJEDALEN</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31960-2023</t>
        </is>
      </c>
      <c r="B1013" s="1" t="n">
        <v>45119</v>
      </c>
      <c r="C1013" s="1" t="n">
        <v>45569</v>
      </c>
      <c r="D1013" t="inlineStr">
        <is>
          <t>JÄMTLANDS LÄN</t>
        </is>
      </c>
      <c r="E1013" t="inlineStr">
        <is>
          <t>HÄRJEDALEN</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31956-2023</t>
        </is>
      </c>
      <c r="B1014" s="1" t="n">
        <v>45119</v>
      </c>
      <c r="C1014" s="1" t="n">
        <v>45569</v>
      </c>
      <c r="D1014" t="inlineStr">
        <is>
          <t>JÄMTLANDS LÄN</t>
        </is>
      </c>
      <c r="E1014" t="inlineStr">
        <is>
          <t>HÄRJEDALEN</t>
        </is>
      </c>
      <c r="F1014" t="inlineStr">
        <is>
          <t>Bergvik skog väst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31961-2023</t>
        </is>
      </c>
      <c r="B1015" s="1" t="n">
        <v>45119</v>
      </c>
      <c r="C1015" s="1" t="n">
        <v>45569</v>
      </c>
      <c r="D1015" t="inlineStr">
        <is>
          <t>JÄMTLANDS LÄN</t>
        </is>
      </c>
      <c r="E1015" t="inlineStr">
        <is>
          <t>HÄRJEDALEN</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33257-2023</t>
        </is>
      </c>
      <c r="B1016" s="1" t="n">
        <v>45127</v>
      </c>
      <c r="C1016" s="1" t="n">
        <v>45569</v>
      </c>
      <c r="D1016" t="inlineStr">
        <is>
          <t>JÄMTLANDS LÄN</t>
        </is>
      </c>
      <c r="E1016" t="inlineStr">
        <is>
          <t>HÄRJEDALEN</t>
        </is>
      </c>
      <c r="F1016" t="inlineStr">
        <is>
          <t>Bergvik skog väst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33232-2023</t>
        </is>
      </c>
      <c r="B1017" s="1" t="n">
        <v>45127</v>
      </c>
      <c r="C1017" s="1" t="n">
        <v>45569</v>
      </c>
      <c r="D1017" t="inlineStr">
        <is>
          <t>JÄMTLANDS LÄN</t>
        </is>
      </c>
      <c r="E1017" t="inlineStr">
        <is>
          <t>HÄRJEDALEN</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33992-2023</t>
        </is>
      </c>
      <c r="B1018" s="1" t="n">
        <v>45134</v>
      </c>
      <c r="C1018" s="1" t="n">
        <v>45569</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34260-2023</t>
        </is>
      </c>
      <c r="B1019" s="1" t="n">
        <v>45138</v>
      </c>
      <c r="C1019" s="1" t="n">
        <v>45569</v>
      </c>
      <c r="D1019" t="inlineStr">
        <is>
          <t>JÄMTLANDS LÄN</t>
        </is>
      </c>
      <c r="E1019" t="inlineStr">
        <is>
          <t>HÄRJEDALEN</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34313-2023</t>
        </is>
      </c>
      <c r="B1020" s="1" t="n">
        <v>45139</v>
      </c>
      <c r="C1020" s="1" t="n">
        <v>45569</v>
      </c>
      <c r="D1020" t="inlineStr">
        <is>
          <t>JÄMTLANDS LÄN</t>
        </is>
      </c>
      <c r="E1020" t="inlineStr">
        <is>
          <t>HÄRJEDALEN</t>
        </is>
      </c>
      <c r="F1020" t="inlineStr">
        <is>
          <t>SCA</t>
        </is>
      </c>
      <c r="G1020" t="n">
        <v>31.6</v>
      </c>
      <c r="H1020" t="n">
        <v>0</v>
      </c>
      <c r="I1020" t="n">
        <v>0</v>
      </c>
      <c r="J1020" t="n">
        <v>0</v>
      </c>
      <c r="K1020" t="n">
        <v>0</v>
      </c>
      <c r="L1020" t="n">
        <v>0</v>
      </c>
      <c r="M1020" t="n">
        <v>0</v>
      </c>
      <c r="N1020" t="n">
        <v>0</v>
      </c>
      <c r="O1020" t="n">
        <v>0</v>
      </c>
      <c r="P1020" t="n">
        <v>0</v>
      </c>
      <c r="Q1020" t="n">
        <v>0</v>
      </c>
      <c r="R1020" s="2" t="inlineStr"/>
    </row>
    <row r="1021" ht="15" customHeight="1">
      <c r="A1021" t="inlineStr">
        <is>
          <t>A 34314-2023</t>
        </is>
      </c>
      <c r="B1021" s="1" t="n">
        <v>45138</v>
      </c>
      <c r="C1021" s="1" t="n">
        <v>45569</v>
      </c>
      <c r="D1021" t="inlineStr">
        <is>
          <t>JÄMTLANDS LÄN</t>
        </is>
      </c>
      <c r="E1021" t="inlineStr">
        <is>
          <t>HÄRJEDALEN</t>
        </is>
      </c>
      <c r="F1021" t="inlineStr">
        <is>
          <t>SCA</t>
        </is>
      </c>
      <c r="G1021" t="n">
        <v>18.1</v>
      </c>
      <c r="H1021" t="n">
        <v>0</v>
      </c>
      <c r="I1021" t="n">
        <v>0</v>
      </c>
      <c r="J1021" t="n">
        <v>0</v>
      </c>
      <c r="K1021" t="n">
        <v>0</v>
      </c>
      <c r="L1021" t="n">
        <v>0</v>
      </c>
      <c r="M1021" t="n">
        <v>0</v>
      </c>
      <c r="N1021" t="n">
        <v>0</v>
      </c>
      <c r="O1021" t="n">
        <v>0</v>
      </c>
      <c r="P1021" t="n">
        <v>0</v>
      </c>
      <c r="Q1021" t="n">
        <v>0</v>
      </c>
      <c r="R1021" s="2" t="inlineStr"/>
    </row>
    <row r="1022" ht="15" customHeight="1">
      <c r="A1022" t="inlineStr">
        <is>
          <t>A 35396-2023</t>
        </is>
      </c>
      <c r="B1022" s="1" t="n">
        <v>45146</v>
      </c>
      <c r="C1022" s="1" t="n">
        <v>45569</v>
      </c>
      <c r="D1022" t="inlineStr">
        <is>
          <t>JÄMTLANDS LÄN</t>
        </is>
      </c>
      <c r="E1022" t="inlineStr">
        <is>
          <t>HÄRJEDALEN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35813-2023</t>
        </is>
      </c>
      <c r="B1023" s="1" t="n">
        <v>45147</v>
      </c>
      <c r="C1023" s="1" t="n">
        <v>45569</v>
      </c>
      <c r="D1023" t="inlineStr">
        <is>
          <t>JÄMTLANDS LÄN</t>
        </is>
      </c>
      <c r="E1023" t="inlineStr">
        <is>
          <t>HÄRJEDALEN</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35891-2023</t>
        </is>
      </c>
      <c r="B1024" s="1" t="n">
        <v>45148</v>
      </c>
      <c r="C1024" s="1" t="n">
        <v>45569</v>
      </c>
      <c r="D1024" t="inlineStr">
        <is>
          <t>JÄMTLANDS LÄN</t>
        </is>
      </c>
      <c r="E1024" t="inlineStr">
        <is>
          <t>HÄRJEDALEN</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36027-2023</t>
        </is>
      </c>
      <c r="B1025" s="1" t="n">
        <v>45149</v>
      </c>
      <c r="C1025" s="1" t="n">
        <v>45569</v>
      </c>
      <c r="D1025" t="inlineStr">
        <is>
          <t>JÄMTLANDS LÄN</t>
        </is>
      </c>
      <c r="E1025" t="inlineStr">
        <is>
          <t>HÄRJEDALEN</t>
        </is>
      </c>
      <c r="F1025" t="inlineStr">
        <is>
          <t>Bergvik skog väst AB</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36111-2023</t>
        </is>
      </c>
      <c r="B1026" s="1" t="n">
        <v>45149</v>
      </c>
      <c r="C1026" s="1" t="n">
        <v>45569</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36143-2023</t>
        </is>
      </c>
      <c r="B1027" s="1" t="n">
        <v>45149</v>
      </c>
      <c r="C1027" s="1" t="n">
        <v>45569</v>
      </c>
      <c r="D1027" t="inlineStr">
        <is>
          <t>JÄMTLANDS LÄN</t>
        </is>
      </c>
      <c r="E1027" t="inlineStr">
        <is>
          <t>HÄRJEDALEN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36570-2023</t>
        </is>
      </c>
      <c r="B1028" s="1" t="n">
        <v>45153</v>
      </c>
      <c r="C1028" s="1" t="n">
        <v>45569</v>
      </c>
      <c r="D1028" t="inlineStr">
        <is>
          <t>JÄMTLANDS LÄN</t>
        </is>
      </c>
      <c r="E1028" t="inlineStr">
        <is>
          <t>HÄRJEDALEN</t>
        </is>
      </c>
      <c r="F1028" t="inlineStr">
        <is>
          <t>Bergvik skog väst AB</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36565-2023</t>
        </is>
      </c>
      <c r="B1029" s="1" t="n">
        <v>45153</v>
      </c>
      <c r="C1029" s="1" t="n">
        <v>45569</v>
      </c>
      <c r="D1029" t="inlineStr">
        <is>
          <t>JÄMTLANDS LÄN</t>
        </is>
      </c>
      <c r="E1029" t="inlineStr">
        <is>
          <t>HÄRJEDALEN</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36568-2023</t>
        </is>
      </c>
      <c r="B1030" s="1" t="n">
        <v>45153</v>
      </c>
      <c r="C1030" s="1" t="n">
        <v>45569</v>
      </c>
      <c r="D1030" t="inlineStr">
        <is>
          <t>JÄMTLANDS LÄN</t>
        </is>
      </c>
      <c r="E1030" t="inlineStr">
        <is>
          <t>HÄRJEDALEN</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36651-2023</t>
        </is>
      </c>
      <c r="B1031" s="1" t="n">
        <v>45153</v>
      </c>
      <c r="C1031" s="1" t="n">
        <v>45569</v>
      </c>
      <c r="D1031" t="inlineStr">
        <is>
          <t>JÄMTLANDS LÄN</t>
        </is>
      </c>
      <c r="E1031" t="inlineStr">
        <is>
          <t>HÄRJEDALEN</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36720-2023</t>
        </is>
      </c>
      <c r="B1032" s="1" t="n">
        <v>45153</v>
      </c>
      <c r="C1032" s="1" t="n">
        <v>45569</v>
      </c>
      <c r="D1032" t="inlineStr">
        <is>
          <t>JÄMTLANDS LÄN</t>
        </is>
      </c>
      <c r="E1032" t="inlineStr">
        <is>
          <t>HÄRJEDALEN</t>
        </is>
      </c>
      <c r="F1032" t="inlineStr">
        <is>
          <t>Bergvik skog väst AB</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36677-2023</t>
        </is>
      </c>
      <c r="B1033" s="1" t="n">
        <v>45153</v>
      </c>
      <c r="C1033" s="1" t="n">
        <v>45569</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36921-2023</t>
        </is>
      </c>
      <c r="B1034" s="1" t="n">
        <v>45154</v>
      </c>
      <c r="C1034" s="1" t="n">
        <v>45569</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36926-2023</t>
        </is>
      </c>
      <c r="B1035" s="1" t="n">
        <v>45154</v>
      </c>
      <c r="C1035" s="1" t="n">
        <v>45569</v>
      </c>
      <c r="D1035" t="inlineStr">
        <is>
          <t>JÄMTLANDS LÄN</t>
        </is>
      </c>
      <c r="E1035" t="inlineStr">
        <is>
          <t>HÄRJEDALEN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36930-2023</t>
        </is>
      </c>
      <c r="B1036" s="1" t="n">
        <v>45154</v>
      </c>
      <c r="C1036" s="1" t="n">
        <v>45569</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36946-2023</t>
        </is>
      </c>
      <c r="B1037" s="1" t="n">
        <v>45154</v>
      </c>
      <c r="C1037" s="1" t="n">
        <v>45569</v>
      </c>
      <c r="D1037" t="inlineStr">
        <is>
          <t>JÄMTLANDS LÄN</t>
        </is>
      </c>
      <c r="E1037" t="inlineStr">
        <is>
          <t>HÄRJEDALEN</t>
        </is>
      </c>
      <c r="F1037" t="inlineStr">
        <is>
          <t>Kyrkan</t>
        </is>
      </c>
      <c r="G1037" t="n">
        <v>43.1</v>
      </c>
      <c r="H1037" t="n">
        <v>0</v>
      </c>
      <c r="I1037" t="n">
        <v>0</v>
      </c>
      <c r="J1037" t="n">
        <v>0</v>
      </c>
      <c r="K1037" t="n">
        <v>0</v>
      </c>
      <c r="L1037" t="n">
        <v>0</v>
      </c>
      <c r="M1037" t="n">
        <v>0</v>
      </c>
      <c r="N1037" t="n">
        <v>0</v>
      </c>
      <c r="O1037" t="n">
        <v>0</v>
      </c>
      <c r="P1037" t="n">
        <v>0</v>
      </c>
      <c r="Q1037" t="n">
        <v>0</v>
      </c>
      <c r="R1037" s="2" t="inlineStr"/>
    </row>
    <row r="1038" ht="15" customHeight="1">
      <c r="A1038" t="inlineStr">
        <is>
          <t>A 36840-2023</t>
        </is>
      </c>
      <c r="B1038" s="1" t="n">
        <v>45154</v>
      </c>
      <c r="C1038" s="1" t="n">
        <v>45569</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c r="U1038">
        <f>HYPERLINK("https://klasma.github.io/Logging_2361/knärot/A 36840-2023 karta knärot.png", "A 36840-2023")</f>
        <v/>
      </c>
      <c r="V1038">
        <f>HYPERLINK("https://klasma.github.io/Logging_2361/klagomål/A 36840-2023 FSC-klagomål.docx", "A 36840-2023")</f>
        <v/>
      </c>
      <c r="W1038">
        <f>HYPERLINK("https://klasma.github.io/Logging_2361/klagomålsmail/A 36840-2023 FSC-klagomål mail.docx", "A 36840-2023")</f>
        <v/>
      </c>
      <c r="X1038">
        <f>HYPERLINK("https://klasma.github.io/Logging_2361/tillsyn/A 36840-2023 tillsynsbegäran.docx", "A 36840-2023")</f>
        <v/>
      </c>
      <c r="Y1038">
        <f>HYPERLINK("https://klasma.github.io/Logging_2361/tillsynsmail/A 36840-2023 tillsynsbegäran mail.docx", "A 36840-2023")</f>
        <v/>
      </c>
    </row>
    <row r="1039" ht="15" customHeight="1">
      <c r="A1039" t="inlineStr">
        <is>
          <t>A 37054-2023</t>
        </is>
      </c>
      <c r="B1039" s="1" t="n">
        <v>45154</v>
      </c>
      <c r="C1039" s="1" t="n">
        <v>45569</v>
      </c>
      <c r="D1039" t="inlineStr">
        <is>
          <t>JÄMTLANDS LÄN</t>
        </is>
      </c>
      <c r="E1039" t="inlineStr">
        <is>
          <t>HÄRJEDALEN</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36931-2023</t>
        </is>
      </c>
      <c r="B1040" s="1" t="n">
        <v>45154</v>
      </c>
      <c r="C1040" s="1" t="n">
        <v>45569</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37315-2023</t>
        </is>
      </c>
      <c r="B1041" s="1" t="n">
        <v>45156</v>
      </c>
      <c r="C1041" s="1" t="n">
        <v>45569</v>
      </c>
      <c r="D1041" t="inlineStr">
        <is>
          <t>JÄMTLANDS LÄN</t>
        </is>
      </c>
      <c r="E1041" t="inlineStr">
        <is>
          <t>HÄRJEDALEN</t>
        </is>
      </c>
      <c r="F1041" t="inlineStr">
        <is>
          <t>Bergvik skog väst AB</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37345-2023</t>
        </is>
      </c>
      <c r="B1042" s="1" t="n">
        <v>45156</v>
      </c>
      <c r="C1042" s="1" t="n">
        <v>45569</v>
      </c>
      <c r="D1042" t="inlineStr">
        <is>
          <t>JÄMTLANDS LÄN</t>
        </is>
      </c>
      <c r="E1042" t="inlineStr">
        <is>
          <t>HÄRJEDALEN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37365-2023</t>
        </is>
      </c>
      <c r="B1043" s="1" t="n">
        <v>45156</v>
      </c>
      <c r="C1043" s="1" t="n">
        <v>45569</v>
      </c>
      <c r="D1043" t="inlineStr">
        <is>
          <t>JÄMTLANDS LÄN</t>
        </is>
      </c>
      <c r="E1043" t="inlineStr">
        <is>
          <t>HÄRJEDALEN</t>
        </is>
      </c>
      <c r="F1043" t="inlineStr">
        <is>
          <t>Bergvik skog väst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37363-2023</t>
        </is>
      </c>
      <c r="B1044" s="1" t="n">
        <v>45156</v>
      </c>
      <c r="C1044" s="1" t="n">
        <v>45569</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37638-2023</t>
        </is>
      </c>
      <c r="B1045" s="1" t="n">
        <v>45159</v>
      </c>
      <c r="C1045" s="1" t="n">
        <v>45569</v>
      </c>
      <c r="D1045" t="inlineStr">
        <is>
          <t>JÄMTLANDS LÄN</t>
        </is>
      </c>
      <c r="E1045" t="inlineStr">
        <is>
          <t>HÄRJEDALEN</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37764-2023</t>
        </is>
      </c>
      <c r="B1046" s="1" t="n">
        <v>45159</v>
      </c>
      <c r="C1046" s="1" t="n">
        <v>45569</v>
      </c>
      <c r="D1046" t="inlineStr">
        <is>
          <t>JÄMTLANDS LÄN</t>
        </is>
      </c>
      <c r="E1046" t="inlineStr">
        <is>
          <t>HÄRJEDALEN</t>
        </is>
      </c>
      <c r="F1046" t="inlineStr">
        <is>
          <t>Bergvik skog väst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37715-2023</t>
        </is>
      </c>
      <c r="B1047" s="1" t="n">
        <v>45159</v>
      </c>
      <c r="C1047" s="1" t="n">
        <v>45569</v>
      </c>
      <c r="D1047" t="inlineStr">
        <is>
          <t>JÄMTLANDS LÄN</t>
        </is>
      </c>
      <c r="E1047" t="inlineStr">
        <is>
          <t>HÄRJEDALEN</t>
        </is>
      </c>
      <c r="G1047" t="n">
        <v>23.3</v>
      </c>
      <c r="H1047" t="n">
        <v>0</v>
      </c>
      <c r="I1047" t="n">
        <v>0</v>
      </c>
      <c r="J1047" t="n">
        <v>0</v>
      </c>
      <c r="K1047" t="n">
        <v>0</v>
      </c>
      <c r="L1047" t="n">
        <v>0</v>
      </c>
      <c r="M1047" t="n">
        <v>0</v>
      </c>
      <c r="N1047" t="n">
        <v>0</v>
      </c>
      <c r="O1047" t="n">
        <v>0</v>
      </c>
      <c r="P1047" t="n">
        <v>0</v>
      </c>
      <c r="Q1047" t="n">
        <v>0</v>
      </c>
      <c r="R1047" s="2" t="inlineStr"/>
    </row>
    <row r="1048" ht="15" customHeight="1">
      <c r="A1048" t="inlineStr">
        <is>
          <t>A 37719-2023</t>
        </is>
      </c>
      <c r="B1048" s="1" t="n">
        <v>45159</v>
      </c>
      <c r="C1048" s="1" t="n">
        <v>45569</v>
      </c>
      <c r="D1048" t="inlineStr">
        <is>
          <t>JÄMTLANDS LÄN</t>
        </is>
      </c>
      <c r="E1048" t="inlineStr">
        <is>
          <t>HÄRJEDALEN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37747-2023</t>
        </is>
      </c>
      <c r="B1049" s="1" t="n">
        <v>45159</v>
      </c>
      <c r="C1049" s="1" t="n">
        <v>45569</v>
      </c>
      <c r="D1049" t="inlineStr">
        <is>
          <t>JÄMTLANDS LÄN</t>
        </is>
      </c>
      <c r="E1049" t="inlineStr">
        <is>
          <t>HÄRJEDALEN</t>
        </is>
      </c>
      <c r="F1049" t="inlineStr">
        <is>
          <t>Bergvik skog väst AB</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37762-2023</t>
        </is>
      </c>
      <c r="B1050" s="1" t="n">
        <v>45159</v>
      </c>
      <c r="C1050" s="1" t="n">
        <v>45569</v>
      </c>
      <c r="D1050" t="inlineStr">
        <is>
          <t>JÄMTLANDS LÄN</t>
        </is>
      </c>
      <c r="E1050" t="inlineStr">
        <is>
          <t>HÄRJEDALEN</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38683-2023</t>
        </is>
      </c>
      <c r="B1051" s="1" t="n">
        <v>45162</v>
      </c>
      <c r="C1051" s="1" t="n">
        <v>45569</v>
      </c>
      <c r="D1051" t="inlineStr">
        <is>
          <t>JÄMTLANDS LÄN</t>
        </is>
      </c>
      <c r="E1051" t="inlineStr">
        <is>
          <t>HÄRJEDALEN</t>
        </is>
      </c>
      <c r="F1051" t="inlineStr">
        <is>
          <t>SCA</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38929-2023</t>
        </is>
      </c>
      <c r="B1052" s="1" t="n">
        <v>45163</v>
      </c>
      <c r="C1052" s="1" t="n">
        <v>45569</v>
      </c>
      <c r="D1052" t="inlineStr">
        <is>
          <t>JÄMTLANDS LÄN</t>
        </is>
      </c>
      <c r="E1052" t="inlineStr">
        <is>
          <t>HÄRJEDALEN</t>
        </is>
      </c>
      <c r="G1052" t="n">
        <v>23.1</v>
      </c>
      <c r="H1052" t="n">
        <v>0</v>
      </c>
      <c r="I1052" t="n">
        <v>0</v>
      </c>
      <c r="J1052" t="n">
        <v>0</v>
      </c>
      <c r="K1052" t="n">
        <v>0</v>
      </c>
      <c r="L1052" t="n">
        <v>0</v>
      </c>
      <c r="M1052" t="n">
        <v>0</v>
      </c>
      <c r="N1052" t="n">
        <v>0</v>
      </c>
      <c r="O1052" t="n">
        <v>0</v>
      </c>
      <c r="P1052" t="n">
        <v>0</v>
      </c>
      <c r="Q1052" t="n">
        <v>0</v>
      </c>
      <c r="R1052" s="2" t="inlineStr"/>
    </row>
    <row r="1053" ht="15" customHeight="1">
      <c r="A1053" t="inlineStr">
        <is>
          <t>A 39158-2023</t>
        </is>
      </c>
      <c r="B1053" s="1" t="n">
        <v>45166</v>
      </c>
      <c r="C1053" s="1" t="n">
        <v>45569</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39355-2023</t>
        </is>
      </c>
      <c r="B1054" s="1" t="n">
        <v>45166</v>
      </c>
      <c r="C1054" s="1" t="n">
        <v>45569</v>
      </c>
      <c r="D1054" t="inlineStr">
        <is>
          <t>JÄMTLANDS LÄN</t>
        </is>
      </c>
      <c r="E1054" t="inlineStr">
        <is>
          <t>HÄRJEDALEN</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39614-2023</t>
        </is>
      </c>
      <c r="B1055" s="1" t="n">
        <v>45167</v>
      </c>
      <c r="C1055" s="1" t="n">
        <v>45569</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39612-2023</t>
        </is>
      </c>
      <c r="B1056" s="1" t="n">
        <v>45167</v>
      </c>
      <c r="C1056" s="1" t="n">
        <v>45569</v>
      </c>
      <c r="D1056" t="inlineStr">
        <is>
          <t>JÄMTLANDS LÄN</t>
        </is>
      </c>
      <c r="E1056" t="inlineStr">
        <is>
          <t>HÄRJEDALEN</t>
        </is>
      </c>
      <c r="F1056" t="inlineStr">
        <is>
          <t>Bergvik skog väst AB</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39649-2023</t>
        </is>
      </c>
      <c r="B1057" s="1" t="n">
        <v>45167</v>
      </c>
      <c r="C1057" s="1" t="n">
        <v>45569</v>
      </c>
      <c r="D1057" t="inlineStr">
        <is>
          <t>JÄMTLANDS LÄN</t>
        </is>
      </c>
      <c r="E1057" t="inlineStr">
        <is>
          <t>HÄRJEDALEN</t>
        </is>
      </c>
      <c r="F1057" t="inlineStr">
        <is>
          <t>Bergvik skog väst AB</t>
        </is>
      </c>
      <c r="G1057" t="n">
        <v>23.6</v>
      </c>
      <c r="H1057" t="n">
        <v>0</v>
      </c>
      <c r="I1057" t="n">
        <v>0</v>
      </c>
      <c r="J1057" t="n">
        <v>0</v>
      </c>
      <c r="K1057" t="n">
        <v>0</v>
      </c>
      <c r="L1057" t="n">
        <v>0</v>
      </c>
      <c r="M1057" t="n">
        <v>0</v>
      </c>
      <c r="N1057" t="n">
        <v>0</v>
      </c>
      <c r="O1057" t="n">
        <v>0</v>
      </c>
      <c r="P1057" t="n">
        <v>0</v>
      </c>
      <c r="Q1057" t="n">
        <v>0</v>
      </c>
      <c r="R1057" s="2" t="inlineStr"/>
      <c r="U1057">
        <f>HYPERLINK("https://klasma.github.io/Logging_2361/knärot/A 39649-2023 karta knärot.png", "A 39649-2023")</f>
        <v/>
      </c>
      <c r="V1057">
        <f>HYPERLINK("https://klasma.github.io/Logging_2361/klagomål/A 39649-2023 FSC-klagomål.docx", "A 39649-2023")</f>
        <v/>
      </c>
      <c r="W1057">
        <f>HYPERLINK("https://klasma.github.io/Logging_2361/klagomålsmail/A 39649-2023 FSC-klagomål mail.docx", "A 39649-2023")</f>
        <v/>
      </c>
      <c r="X1057">
        <f>HYPERLINK("https://klasma.github.io/Logging_2361/tillsyn/A 39649-2023 tillsynsbegäran.docx", "A 39649-2023")</f>
        <v/>
      </c>
      <c r="Y1057">
        <f>HYPERLINK("https://klasma.github.io/Logging_2361/tillsynsmail/A 39649-2023 tillsynsbegäran mail.docx", "A 39649-2023")</f>
        <v/>
      </c>
    </row>
    <row r="1058" ht="15" customHeight="1">
      <c r="A1058" t="inlineStr">
        <is>
          <t>A 40215-2023</t>
        </is>
      </c>
      <c r="B1058" s="1" t="n">
        <v>45169</v>
      </c>
      <c r="C1058" s="1" t="n">
        <v>45569</v>
      </c>
      <c r="D1058" t="inlineStr">
        <is>
          <t>JÄMTLANDS LÄN</t>
        </is>
      </c>
      <c r="E1058" t="inlineStr">
        <is>
          <t>HÄRJEDALEN</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40217-2023</t>
        </is>
      </c>
      <c r="B1059" s="1" t="n">
        <v>45169</v>
      </c>
      <c r="C1059" s="1" t="n">
        <v>45569</v>
      </c>
      <c r="D1059" t="inlineStr">
        <is>
          <t>JÄMTLANDS LÄN</t>
        </is>
      </c>
      <c r="E1059" t="inlineStr">
        <is>
          <t>HÄRJEDALEN</t>
        </is>
      </c>
      <c r="G1059" t="n">
        <v>23.5</v>
      </c>
      <c r="H1059" t="n">
        <v>0</v>
      </c>
      <c r="I1059" t="n">
        <v>0</v>
      </c>
      <c r="J1059" t="n">
        <v>0</v>
      </c>
      <c r="K1059" t="n">
        <v>0</v>
      </c>
      <c r="L1059" t="n">
        <v>0</v>
      </c>
      <c r="M1059" t="n">
        <v>0</v>
      </c>
      <c r="N1059" t="n">
        <v>0</v>
      </c>
      <c r="O1059" t="n">
        <v>0</v>
      </c>
      <c r="P1059" t="n">
        <v>0</v>
      </c>
      <c r="Q1059" t="n">
        <v>0</v>
      </c>
      <c r="R1059" s="2" t="inlineStr"/>
    </row>
    <row r="1060" ht="15" customHeight="1">
      <c r="A1060" t="inlineStr">
        <is>
          <t>A 40560-2023</t>
        </is>
      </c>
      <c r="B1060" s="1" t="n">
        <v>45170</v>
      </c>
      <c r="C1060" s="1" t="n">
        <v>45569</v>
      </c>
      <c r="D1060" t="inlineStr">
        <is>
          <t>JÄMTLANDS LÄN</t>
        </is>
      </c>
      <c r="E1060" t="inlineStr">
        <is>
          <t>HÄRJEDALEN</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40569-2023</t>
        </is>
      </c>
      <c r="B1061" s="1" t="n">
        <v>45170</v>
      </c>
      <c r="C1061" s="1" t="n">
        <v>45569</v>
      </c>
      <c r="D1061" t="inlineStr">
        <is>
          <t>JÄMTLANDS LÄN</t>
        </is>
      </c>
      <c r="E1061" t="inlineStr">
        <is>
          <t>HÄRJEDALEN</t>
        </is>
      </c>
      <c r="F1061" t="inlineStr">
        <is>
          <t>Holmen skog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40578-2023</t>
        </is>
      </c>
      <c r="B1062" s="1" t="n">
        <v>45170</v>
      </c>
      <c r="C1062" s="1" t="n">
        <v>45569</v>
      </c>
      <c r="D1062" t="inlineStr">
        <is>
          <t>JÄMTLANDS LÄN</t>
        </is>
      </c>
      <c r="E1062" t="inlineStr">
        <is>
          <t>HÄRJEDALEN</t>
        </is>
      </c>
      <c r="F1062" t="inlineStr">
        <is>
          <t>Holmen skog AB</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40664-2023</t>
        </is>
      </c>
      <c r="B1063" s="1" t="n">
        <v>45170</v>
      </c>
      <c r="C1063" s="1" t="n">
        <v>45569</v>
      </c>
      <c r="D1063" t="inlineStr">
        <is>
          <t>JÄMTLANDS LÄN</t>
        </is>
      </c>
      <c r="E1063" t="inlineStr">
        <is>
          <t>HÄRJEDALEN</t>
        </is>
      </c>
      <c r="G1063" t="n">
        <v>65.3</v>
      </c>
      <c r="H1063" t="n">
        <v>0</v>
      </c>
      <c r="I1063" t="n">
        <v>0</v>
      </c>
      <c r="J1063" t="n">
        <v>0</v>
      </c>
      <c r="K1063" t="n">
        <v>0</v>
      </c>
      <c r="L1063" t="n">
        <v>0</v>
      </c>
      <c r="M1063" t="n">
        <v>0</v>
      </c>
      <c r="N1063" t="n">
        <v>0</v>
      </c>
      <c r="O1063" t="n">
        <v>0</v>
      </c>
      <c r="P1063" t="n">
        <v>0</v>
      </c>
      <c r="Q1063" t="n">
        <v>0</v>
      </c>
      <c r="R1063" s="2" t="inlineStr"/>
    </row>
    <row r="1064" ht="15" customHeight="1">
      <c r="A1064" t="inlineStr">
        <is>
          <t>A 40567-2023</t>
        </is>
      </c>
      <c r="B1064" s="1" t="n">
        <v>45170</v>
      </c>
      <c r="C1064" s="1" t="n">
        <v>45569</v>
      </c>
      <c r="D1064" t="inlineStr">
        <is>
          <t>JÄMTLANDS LÄN</t>
        </is>
      </c>
      <c r="E1064" t="inlineStr">
        <is>
          <t>HÄRJEDALEN</t>
        </is>
      </c>
      <c r="F1064" t="inlineStr">
        <is>
          <t>Holmen skog AB</t>
        </is>
      </c>
      <c r="G1064" t="n">
        <v>19.4</v>
      </c>
      <c r="H1064" t="n">
        <v>0</v>
      </c>
      <c r="I1064" t="n">
        <v>0</v>
      </c>
      <c r="J1064" t="n">
        <v>0</v>
      </c>
      <c r="K1064" t="n">
        <v>0</v>
      </c>
      <c r="L1064" t="n">
        <v>0</v>
      </c>
      <c r="M1064" t="n">
        <v>0</v>
      </c>
      <c r="N1064" t="n">
        <v>0</v>
      </c>
      <c r="O1064" t="n">
        <v>0</v>
      </c>
      <c r="P1064" t="n">
        <v>0</v>
      </c>
      <c r="Q1064" t="n">
        <v>0</v>
      </c>
      <c r="R1064" s="2" t="inlineStr"/>
    </row>
    <row r="1065" ht="15" customHeight="1">
      <c r="A1065" t="inlineStr">
        <is>
          <t>A 40573-2023</t>
        </is>
      </c>
      <c r="B1065" s="1" t="n">
        <v>45170</v>
      </c>
      <c r="C1065" s="1" t="n">
        <v>45569</v>
      </c>
      <c r="D1065" t="inlineStr">
        <is>
          <t>JÄMTLANDS LÄN</t>
        </is>
      </c>
      <c r="E1065" t="inlineStr">
        <is>
          <t>HÄRJEDALEN</t>
        </is>
      </c>
      <c r="F1065" t="inlineStr">
        <is>
          <t>Holmen skog AB</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40900-2023</t>
        </is>
      </c>
      <c r="B1066" s="1" t="n">
        <v>45173</v>
      </c>
      <c r="C1066" s="1" t="n">
        <v>45569</v>
      </c>
      <c r="D1066" t="inlineStr">
        <is>
          <t>JÄMTLANDS LÄN</t>
        </is>
      </c>
      <c r="E1066" t="inlineStr">
        <is>
          <t>HÄRJEDALEN</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40904-2023</t>
        </is>
      </c>
      <c r="B1067" s="1" t="n">
        <v>45173</v>
      </c>
      <c r="C1067" s="1" t="n">
        <v>45569</v>
      </c>
      <c r="D1067" t="inlineStr">
        <is>
          <t>JÄMTLANDS LÄN</t>
        </is>
      </c>
      <c r="E1067" t="inlineStr">
        <is>
          <t>HÄRJEDALEN</t>
        </is>
      </c>
      <c r="F1067" t="inlineStr">
        <is>
          <t>Bergvik skog väst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41058-2023</t>
        </is>
      </c>
      <c r="B1068" s="1" t="n">
        <v>45173</v>
      </c>
      <c r="C1068" s="1" t="n">
        <v>45569</v>
      </c>
      <c r="D1068" t="inlineStr">
        <is>
          <t>JÄMTLANDS LÄN</t>
        </is>
      </c>
      <c r="E1068" t="inlineStr">
        <is>
          <t>HÄRJEDALEN</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45569</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41955-2023</t>
        </is>
      </c>
      <c r="B1070" s="1" t="n">
        <v>45174</v>
      </c>
      <c r="C1070" s="1" t="n">
        <v>45569</v>
      </c>
      <c r="D1070" t="inlineStr">
        <is>
          <t>JÄMTLANDS LÄN</t>
        </is>
      </c>
      <c r="E1070" t="inlineStr">
        <is>
          <t>HÄRJEDALEN</t>
        </is>
      </c>
      <c r="G1070" t="n">
        <v>60.4</v>
      </c>
      <c r="H1070" t="n">
        <v>0</v>
      </c>
      <c r="I1070" t="n">
        <v>0</v>
      </c>
      <c r="J1070" t="n">
        <v>0</v>
      </c>
      <c r="K1070" t="n">
        <v>0</v>
      </c>
      <c r="L1070" t="n">
        <v>0</v>
      </c>
      <c r="M1070" t="n">
        <v>0</v>
      </c>
      <c r="N1070" t="n">
        <v>0</v>
      </c>
      <c r="O1070" t="n">
        <v>0</v>
      </c>
      <c r="P1070" t="n">
        <v>0</v>
      </c>
      <c r="Q1070" t="n">
        <v>0</v>
      </c>
      <c r="R1070" s="2" t="inlineStr"/>
    </row>
    <row r="1071" ht="15" customHeight="1">
      <c r="A1071" t="inlineStr">
        <is>
          <t>A 42146-2023</t>
        </is>
      </c>
      <c r="B1071" s="1" t="n">
        <v>45178</v>
      </c>
      <c r="C1071" s="1" t="n">
        <v>45569</v>
      </c>
      <c r="D1071" t="inlineStr">
        <is>
          <t>JÄMTLANDS LÄN</t>
        </is>
      </c>
      <c r="E1071" t="inlineStr">
        <is>
          <t>HÄRJEDALEN</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42143-2023</t>
        </is>
      </c>
      <c r="B1072" s="1" t="n">
        <v>45178</v>
      </c>
      <c r="C1072" s="1" t="n">
        <v>45569</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43192-2023</t>
        </is>
      </c>
      <c r="B1073" s="1" t="n">
        <v>45180</v>
      </c>
      <c r="C1073" s="1" t="n">
        <v>45569</v>
      </c>
      <c r="D1073" t="inlineStr">
        <is>
          <t>JÄMTLANDS LÄN</t>
        </is>
      </c>
      <c r="E1073" t="inlineStr">
        <is>
          <t>HÄRJEDALEN</t>
        </is>
      </c>
      <c r="F1073" t="inlineStr">
        <is>
          <t>Övriga Aktiebolag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43211-2023</t>
        </is>
      </c>
      <c r="B1074" s="1" t="n">
        <v>45180</v>
      </c>
      <c r="C1074" s="1" t="n">
        <v>45569</v>
      </c>
      <c r="D1074" t="inlineStr">
        <is>
          <t>JÄMTLANDS LÄN</t>
        </is>
      </c>
      <c r="E1074" t="inlineStr">
        <is>
          <t>HÄRJEDALEN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42720-2023</t>
        </is>
      </c>
      <c r="B1075" s="1" t="n">
        <v>45181</v>
      </c>
      <c r="C1075" s="1" t="n">
        <v>45569</v>
      </c>
      <c r="D1075" t="inlineStr">
        <is>
          <t>JÄMTLANDS LÄN</t>
        </is>
      </c>
      <c r="E1075" t="inlineStr">
        <is>
          <t>HÄRJEDALEN</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43503-2023</t>
        </is>
      </c>
      <c r="B1076" s="1" t="n">
        <v>45184</v>
      </c>
      <c r="C1076" s="1" t="n">
        <v>45569</v>
      </c>
      <c r="D1076" t="inlineStr">
        <is>
          <t>JÄMTLANDS LÄN</t>
        </is>
      </c>
      <c r="E1076" t="inlineStr">
        <is>
          <t>HÄRJEDALEN</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43481-2023</t>
        </is>
      </c>
      <c r="B1077" s="1" t="n">
        <v>45184</v>
      </c>
      <c r="C1077" s="1" t="n">
        <v>45569</v>
      </c>
      <c r="D1077" t="inlineStr">
        <is>
          <t>JÄMTLANDS LÄN</t>
        </is>
      </c>
      <c r="E1077" t="inlineStr">
        <is>
          <t>HÄRJEDALEN</t>
        </is>
      </c>
      <c r="F1077" t="inlineStr">
        <is>
          <t>Bergvik skog väst AB</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43870-2023</t>
        </is>
      </c>
      <c r="B1078" s="1" t="n">
        <v>45187</v>
      </c>
      <c r="C1078" s="1" t="n">
        <v>45569</v>
      </c>
      <c r="D1078" t="inlineStr">
        <is>
          <t>JÄMTLANDS LÄN</t>
        </is>
      </c>
      <c r="E1078" t="inlineStr">
        <is>
          <t>HÄRJEDALEN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43804-2023</t>
        </is>
      </c>
      <c r="B1079" s="1" t="n">
        <v>45187</v>
      </c>
      <c r="C1079" s="1" t="n">
        <v>45569</v>
      </c>
      <c r="D1079" t="inlineStr">
        <is>
          <t>JÄMTLANDS LÄN</t>
        </is>
      </c>
      <c r="E1079" t="inlineStr">
        <is>
          <t>HÄRJEDALEN</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43811-2023</t>
        </is>
      </c>
      <c r="B1080" s="1" t="n">
        <v>45187</v>
      </c>
      <c r="C1080" s="1" t="n">
        <v>45569</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43820-2023</t>
        </is>
      </c>
      <c r="B1081" s="1" t="n">
        <v>45187</v>
      </c>
      <c r="C1081" s="1" t="n">
        <v>45569</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44102-2023</t>
        </is>
      </c>
      <c r="B1082" s="1" t="n">
        <v>45188</v>
      </c>
      <c r="C1082" s="1" t="n">
        <v>45569</v>
      </c>
      <c r="D1082" t="inlineStr">
        <is>
          <t>JÄMTLANDS LÄN</t>
        </is>
      </c>
      <c r="E1082" t="inlineStr">
        <is>
          <t>HÄRJEDALEN</t>
        </is>
      </c>
      <c r="F1082" t="inlineStr">
        <is>
          <t>Bergvik skog väst AB</t>
        </is>
      </c>
      <c r="G1082" t="n">
        <v>11.6</v>
      </c>
      <c r="H1082" t="n">
        <v>0</v>
      </c>
      <c r="I1082" t="n">
        <v>0</v>
      </c>
      <c r="J1082" t="n">
        <v>0</v>
      </c>
      <c r="K1082" t="n">
        <v>0</v>
      </c>
      <c r="L1082" t="n">
        <v>0</v>
      </c>
      <c r="M1082" t="n">
        <v>0</v>
      </c>
      <c r="N1082" t="n">
        <v>0</v>
      </c>
      <c r="O1082" t="n">
        <v>0</v>
      </c>
      <c r="P1082" t="n">
        <v>0</v>
      </c>
      <c r="Q1082" t="n">
        <v>0</v>
      </c>
      <c r="R1082" s="2" t="inlineStr"/>
    </row>
    <row r="1083" ht="15" customHeight="1">
      <c r="A1083" t="inlineStr">
        <is>
          <t>A 44270-2023</t>
        </is>
      </c>
      <c r="B1083" s="1" t="n">
        <v>45188</v>
      </c>
      <c r="C1083" s="1" t="n">
        <v>45569</v>
      </c>
      <c r="D1083" t="inlineStr">
        <is>
          <t>JÄMTLANDS LÄN</t>
        </is>
      </c>
      <c r="E1083" t="inlineStr">
        <is>
          <t>HÄRJEDALEN</t>
        </is>
      </c>
      <c r="G1083" t="n">
        <v>15.6</v>
      </c>
      <c r="H1083" t="n">
        <v>0</v>
      </c>
      <c r="I1083" t="n">
        <v>0</v>
      </c>
      <c r="J1083" t="n">
        <v>0</v>
      </c>
      <c r="K1083" t="n">
        <v>0</v>
      </c>
      <c r="L1083" t="n">
        <v>0</v>
      </c>
      <c r="M1083" t="n">
        <v>0</v>
      </c>
      <c r="N1083" t="n">
        <v>0</v>
      </c>
      <c r="O1083" t="n">
        <v>0</v>
      </c>
      <c r="P1083" t="n">
        <v>0</v>
      </c>
      <c r="Q1083" t="n">
        <v>0</v>
      </c>
      <c r="R1083" s="2" t="inlineStr"/>
    </row>
    <row r="1084" ht="15" customHeight="1">
      <c r="A1084" t="inlineStr">
        <is>
          <t>A 45640-2023</t>
        </is>
      </c>
      <c r="B1084" s="1" t="n">
        <v>45188</v>
      </c>
      <c r="C1084" s="1" t="n">
        <v>45569</v>
      </c>
      <c r="D1084" t="inlineStr">
        <is>
          <t>JÄMTLANDS LÄN</t>
        </is>
      </c>
      <c r="E1084" t="inlineStr">
        <is>
          <t>HÄRJEDALEN</t>
        </is>
      </c>
      <c r="F1084" t="inlineStr">
        <is>
          <t>Bergvik skog väst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45179-2023</t>
        </is>
      </c>
      <c r="B1085" s="1" t="n">
        <v>45191</v>
      </c>
      <c r="C1085" s="1" t="n">
        <v>45569</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45143-2023</t>
        </is>
      </c>
      <c r="B1086" s="1" t="n">
        <v>45191</v>
      </c>
      <c r="C1086" s="1" t="n">
        <v>45569</v>
      </c>
      <c r="D1086" t="inlineStr">
        <is>
          <t>JÄMTLANDS LÄN</t>
        </is>
      </c>
      <c r="E1086" t="inlineStr">
        <is>
          <t>HÄRJEDALEN</t>
        </is>
      </c>
      <c r="G1086" t="n">
        <v>24.8</v>
      </c>
      <c r="H1086" t="n">
        <v>0</v>
      </c>
      <c r="I1086" t="n">
        <v>0</v>
      </c>
      <c r="J1086" t="n">
        <v>0</v>
      </c>
      <c r="K1086" t="n">
        <v>0</v>
      </c>
      <c r="L1086" t="n">
        <v>0</v>
      </c>
      <c r="M1086" t="n">
        <v>0</v>
      </c>
      <c r="N1086" t="n">
        <v>0</v>
      </c>
      <c r="O1086" t="n">
        <v>0</v>
      </c>
      <c r="P1086" t="n">
        <v>0</v>
      </c>
      <c r="Q1086" t="n">
        <v>0</v>
      </c>
      <c r="R1086" s="2" t="inlineStr"/>
    </row>
    <row r="1087" ht="15" customHeight="1">
      <c r="A1087" t="inlineStr">
        <is>
          <t>A 45274-2023</t>
        </is>
      </c>
      <c r="B1087" s="1" t="n">
        <v>45191</v>
      </c>
      <c r="C1087" s="1" t="n">
        <v>45569</v>
      </c>
      <c r="D1087" t="inlineStr">
        <is>
          <t>JÄMTLANDS LÄN</t>
        </is>
      </c>
      <c r="E1087" t="inlineStr">
        <is>
          <t>HÄRJEDALEN</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45491-2023</t>
        </is>
      </c>
      <c r="B1088" s="1" t="n">
        <v>45194</v>
      </c>
      <c r="C1088" s="1" t="n">
        <v>45569</v>
      </c>
      <c r="D1088" t="inlineStr">
        <is>
          <t>JÄMTLANDS LÄN</t>
        </is>
      </c>
      <c r="E1088" t="inlineStr">
        <is>
          <t>HÄRJEDALEN</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45495-2023</t>
        </is>
      </c>
      <c r="B1089" s="1" t="n">
        <v>45194</v>
      </c>
      <c r="C1089" s="1" t="n">
        <v>45569</v>
      </c>
      <c r="D1089" t="inlineStr">
        <is>
          <t>JÄMTLANDS LÄN</t>
        </is>
      </c>
      <c r="E1089" t="inlineStr">
        <is>
          <t>HÄRJEDALEN</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45613-2023</t>
        </is>
      </c>
      <c r="B1090" s="1" t="n">
        <v>45194</v>
      </c>
      <c r="C1090" s="1" t="n">
        <v>45569</v>
      </c>
      <c r="D1090" t="inlineStr">
        <is>
          <t>JÄMTLANDS LÄN</t>
        </is>
      </c>
      <c r="E1090" t="inlineStr">
        <is>
          <t>HÄRJEDALEN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45636-2023</t>
        </is>
      </c>
      <c r="B1091" s="1" t="n">
        <v>45194</v>
      </c>
      <c r="C1091" s="1" t="n">
        <v>45569</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45616-2023</t>
        </is>
      </c>
      <c r="B1092" s="1" t="n">
        <v>45194</v>
      </c>
      <c r="C1092" s="1" t="n">
        <v>45569</v>
      </c>
      <c r="D1092" t="inlineStr">
        <is>
          <t>JÄMTLANDS LÄN</t>
        </is>
      </c>
      <c r="E1092" t="inlineStr">
        <is>
          <t>HÄRJEDALEN</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45684-2023</t>
        </is>
      </c>
      <c r="B1093" s="1" t="n">
        <v>45195</v>
      </c>
      <c r="C1093" s="1" t="n">
        <v>45569</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45716-2023</t>
        </is>
      </c>
      <c r="B1094" s="1" t="n">
        <v>45195</v>
      </c>
      <c r="C1094" s="1" t="n">
        <v>45569</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45720-2023</t>
        </is>
      </c>
      <c r="B1095" s="1" t="n">
        <v>45195</v>
      </c>
      <c r="C1095" s="1" t="n">
        <v>45569</v>
      </c>
      <c r="D1095" t="inlineStr">
        <is>
          <t>JÄMTLANDS LÄN</t>
        </is>
      </c>
      <c r="E1095" t="inlineStr">
        <is>
          <t>HÄRJEDALEN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45747-2023</t>
        </is>
      </c>
      <c r="B1096" s="1" t="n">
        <v>45195</v>
      </c>
      <c r="C1096" s="1" t="n">
        <v>45569</v>
      </c>
      <c r="D1096" t="inlineStr">
        <is>
          <t>JÄMTLANDS LÄN</t>
        </is>
      </c>
      <c r="E1096" t="inlineStr">
        <is>
          <t>HÄRJEDALEN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45864-2023</t>
        </is>
      </c>
      <c r="B1097" s="1" t="n">
        <v>45195</v>
      </c>
      <c r="C1097" s="1" t="n">
        <v>45569</v>
      </c>
      <c r="D1097" t="inlineStr">
        <is>
          <t>JÄMTLANDS LÄN</t>
        </is>
      </c>
      <c r="E1097" t="inlineStr">
        <is>
          <t>HÄRJEDALEN</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45843-2023</t>
        </is>
      </c>
      <c r="B1098" s="1" t="n">
        <v>45195</v>
      </c>
      <c r="C1098" s="1" t="n">
        <v>45569</v>
      </c>
      <c r="D1098" t="inlineStr">
        <is>
          <t>JÄMTLANDS LÄN</t>
        </is>
      </c>
      <c r="E1098" t="inlineStr">
        <is>
          <t>HÄRJEDALEN</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45999-2023</t>
        </is>
      </c>
      <c r="B1099" s="1" t="n">
        <v>45196</v>
      </c>
      <c r="C1099" s="1" t="n">
        <v>45569</v>
      </c>
      <c r="D1099" t="inlineStr">
        <is>
          <t>JÄMTLANDS LÄN</t>
        </is>
      </c>
      <c r="E1099" t="inlineStr">
        <is>
          <t>HÄRJEDALEN</t>
        </is>
      </c>
      <c r="F1099" t="inlineStr">
        <is>
          <t>Bergvik skog väst AB</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46383-2023</t>
        </is>
      </c>
      <c r="B1100" s="1" t="n">
        <v>45197</v>
      </c>
      <c r="C1100" s="1" t="n">
        <v>45569</v>
      </c>
      <c r="D1100" t="inlineStr">
        <is>
          <t>JÄMTLANDS LÄN</t>
        </is>
      </c>
      <c r="E1100" t="inlineStr">
        <is>
          <t>HÄRJEDALEN</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46394-2023</t>
        </is>
      </c>
      <c r="B1101" s="1" t="n">
        <v>45197</v>
      </c>
      <c r="C1101" s="1" t="n">
        <v>45569</v>
      </c>
      <c r="D1101" t="inlineStr">
        <is>
          <t>JÄMTLANDS LÄN</t>
        </is>
      </c>
      <c r="E1101" t="inlineStr">
        <is>
          <t>HÄRJEDALEN</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46977-2023</t>
        </is>
      </c>
      <c r="B1102" s="1" t="n">
        <v>45201</v>
      </c>
      <c r="C1102" s="1" t="n">
        <v>45569</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46993-2023</t>
        </is>
      </c>
      <c r="B1103" s="1" t="n">
        <v>45201</v>
      </c>
      <c r="C1103" s="1" t="n">
        <v>45569</v>
      </c>
      <c r="D1103" t="inlineStr">
        <is>
          <t>JÄMTLANDS LÄN</t>
        </is>
      </c>
      <c r="E1103" t="inlineStr">
        <is>
          <t>HÄRJEDALEN</t>
        </is>
      </c>
      <c r="G1103" t="n">
        <v>13.5</v>
      </c>
      <c r="H1103" t="n">
        <v>0</v>
      </c>
      <c r="I1103" t="n">
        <v>0</v>
      </c>
      <c r="J1103" t="n">
        <v>0</v>
      </c>
      <c r="K1103" t="n">
        <v>0</v>
      </c>
      <c r="L1103" t="n">
        <v>0</v>
      </c>
      <c r="M1103" t="n">
        <v>0</v>
      </c>
      <c r="N1103" t="n">
        <v>0</v>
      </c>
      <c r="O1103" t="n">
        <v>0</v>
      </c>
      <c r="P1103" t="n">
        <v>0</v>
      </c>
      <c r="Q1103" t="n">
        <v>0</v>
      </c>
      <c r="R1103" s="2" t="inlineStr"/>
    </row>
    <row r="1104" ht="15" customHeight="1">
      <c r="A1104" t="inlineStr">
        <is>
          <t>A 47095-2023</t>
        </is>
      </c>
      <c r="B1104" s="1" t="n">
        <v>45201</v>
      </c>
      <c r="C1104" s="1" t="n">
        <v>45569</v>
      </c>
      <c r="D1104" t="inlineStr">
        <is>
          <t>JÄMTLANDS LÄN</t>
        </is>
      </c>
      <c r="E1104" t="inlineStr">
        <is>
          <t>HÄRJEDALEN</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47244-2023</t>
        </is>
      </c>
      <c r="B1105" s="1" t="n">
        <v>45202</v>
      </c>
      <c r="C1105" s="1" t="n">
        <v>45569</v>
      </c>
      <c r="D1105" t="inlineStr">
        <is>
          <t>JÄMTLANDS LÄN</t>
        </is>
      </c>
      <c r="E1105" t="inlineStr">
        <is>
          <t>HÄRJEDALEN</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47546-2023</t>
        </is>
      </c>
      <c r="B1106" s="1" t="n">
        <v>45203</v>
      </c>
      <c r="C1106" s="1" t="n">
        <v>45569</v>
      </c>
      <c r="D1106" t="inlineStr">
        <is>
          <t>JÄMTLANDS LÄN</t>
        </is>
      </c>
      <c r="E1106" t="inlineStr">
        <is>
          <t>HÄRJEDALEN</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47705-2023</t>
        </is>
      </c>
      <c r="B1107" s="1" t="n">
        <v>45203</v>
      </c>
      <c r="C1107" s="1" t="n">
        <v>45569</v>
      </c>
      <c r="D1107" t="inlineStr">
        <is>
          <t>JÄMTLANDS LÄN</t>
        </is>
      </c>
      <c r="E1107" t="inlineStr">
        <is>
          <t>HÄRJEDALEN</t>
        </is>
      </c>
      <c r="F1107" t="inlineStr">
        <is>
          <t>Bergvik skog väst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47510-2023</t>
        </is>
      </c>
      <c r="B1108" s="1" t="n">
        <v>45203</v>
      </c>
      <c r="C1108" s="1" t="n">
        <v>45569</v>
      </c>
      <c r="D1108" t="inlineStr">
        <is>
          <t>JÄMTLANDS LÄN</t>
        </is>
      </c>
      <c r="E1108" t="inlineStr">
        <is>
          <t>HÄRJEDALEN</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47795-2023</t>
        </is>
      </c>
      <c r="B1109" s="1" t="n">
        <v>45204</v>
      </c>
      <c r="C1109" s="1" t="n">
        <v>45569</v>
      </c>
      <c r="D1109" t="inlineStr">
        <is>
          <t>JÄMTLANDS LÄN</t>
        </is>
      </c>
      <c r="E1109" t="inlineStr">
        <is>
          <t>HÄRJEDALEN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45569</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47955-2023</t>
        </is>
      </c>
      <c r="B1111" s="1" t="n">
        <v>45204</v>
      </c>
      <c r="C1111" s="1" t="n">
        <v>45569</v>
      </c>
      <c r="D1111" t="inlineStr">
        <is>
          <t>JÄMTLANDS LÄN</t>
        </is>
      </c>
      <c r="E1111" t="inlineStr">
        <is>
          <t>HÄRJEDALEN</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48051-2023</t>
        </is>
      </c>
      <c r="B1112" s="1" t="n">
        <v>45204</v>
      </c>
      <c r="C1112" s="1" t="n">
        <v>45569</v>
      </c>
      <c r="D1112" t="inlineStr">
        <is>
          <t>JÄMTLANDS LÄN</t>
        </is>
      </c>
      <c r="E1112" t="inlineStr">
        <is>
          <t>HÄRJEDALEN</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48050-2023</t>
        </is>
      </c>
      <c r="B1113" s="1" t="n">
        <v>45204</v>
      </c>
      <c r="C1113" s="1" t="n">
        <v>45569</v>
      </c>
      <c r="D1113" t="inlineStr">
        <is>
          <t>JÄMTLANDS LÄN</t>
        </is>
      </c>
      <c r="E1113" t="inlineStr">
        <is>
          <t>HÄRJEDALEN</t>
        </is>
      </c>
      <c r="G1113" t="n">
        <v>19.2</v>
      </c>
      <c r="H1113" t="n">
        <v>0</v>
      </c>
      <c r="I1113" t="n">
        <v>0</v>
      </c>
      <c r="J1113" t="n">
        <v>0</v>
      </c>
      <c r="K1113" t="n">
        <v>0</v>
      </c>
      <c r="L1113" t="n">
        <v>0</v>
      </c>
      <c r="M1113" t="n">
        <v>0</v>
      </c>
      <c r="N1113" t="n">
        <v>0</v>
      </c>
      <c r="O1113" t="n">
        <v>0</v>
      </c>
      <c r="P1113" t="n">
        <v>0</v>
      </c>
      <c r="Q1113" t="n">
        <v>0</v>
      </c>
      <c r="R1113" s="2" t="inlineStr"/>
    </row>
    <row r="1114" ht="15" customHeight="1">
      <c r="A1114" t="inlineStr">
        <is>
          <t>A 48048-2023</t>
        </is>
      </c>
      <c r="B1114" s="1" t="n">
        <v>45204</v>
      </c>
      <c r="C1114" s="1" t="n">
        <v>45569</v>
      </c>
      <c r="D1114" t="inlineStr">
        <is>
          <t>JÄMTLANDS LÄN</t>
        </is>
      </c>
      <c r="E1114" t="inlineStr">
        <is>
          <t>HÄRJEDALEN</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48100-2023</t>
        </is>
      </c>
      <c r="B1115" s="1" t="n">
        <v>45205</v>
      </c>
      <c r="C1115" s="1" t="n">
        <v>45569</v>
      </c>
      <c r="D1115" t="inlineStr">
        <is>
          <t>JÄMTLANDS LÄN</t>
        </is>
      </c>
      <c r="E1115" t="inlineStr">
        <is>
          <t>HÄRJEDALEN</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48213-2023</t>
        </is>
      </c>
      <c r="B1116" s="1" t="n">
        <v>45205</v>
      </c>
      <c r="C1116" s="1" t="n">
        <v>45569</v>
      </c>
      <c r="D1116" t="inlineStr">
        <is>
          <t>JÄMTLANDS LÄN</t>
        </is>
      </c>
      <c r="E1116" t="inlineStr">
        <is>
          <t>HÄRJEDALEN</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48179-2023</t>
        </is>
      </c>
      <c r="B1117" s="1" t="n">
        <v>45205</v>
      </c>
      <c r="C1117" s="1" t="n">
        <v>45569</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48299-2023</t>
        </is>
      </c>
      <c r="B1118" s="1" t="n">
        <v>45205</v>
      </c>
      <c r="C1118" s="1" t="n">
        <v>45569</v>
      </c>
      <c r="D1118" t="inlineStr">
        <is>
          <t>JÄMTLANDS LÄN</t>
        </is>
      </c>
      <c r="E1118" t="inlineStr">
        <is>
          <t>HÄRJEDALEN</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48318-2023</t>
        </is>
      </c>
      <c r="B1119" s="1" t="n">
        <v>45205</v>
      </c>
      <c r="C1119" s="1" t="n">
        <v>45569</v>
      </c>
      <c r="D1119" t="inlineStr">
        <is>
          <t>JÄMTLANDS LÄN</t>
        </is>
      </c>
      <c r="E1119" t="inlineStr">
        <is>
          <t>HÄRJEDALEN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48226-2023</t>
        </is>
      </c>
      <c r="B1120" s="1" t="n">
        <v>45205</v>
      </c>
      <c r="C1120" s="1" t="n">
        <v>45569</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48364-2023</t>
        </is>
      </c>
      <c r="B1121" s="1" t="n">
        <v>45205</v>
      </c>
      <c r="C1121" s="1" t="n">
        <v>45569</v>
      </c>
      <c r="D1121" t="inlineStr">
        <is>
          <t>JÄMTLANDS LÄN</t>
        </is>
      </c>
      <c r="E1121" t="inlineStr">
        <is>
          <t>HÄRJEDALEN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48438-2023</t>
        </is>
      </c>
      <c r="B1122" s="1" t="n">
        <v>45205</v>
      </c>
      <c r="C1122" s="1" t="n">
        <v>45569</v>
      </c>
      <c r="D1122" t="inlineStr">
        <is>
          <t>JÄMTLANDS LÄN</t>
        </is>
      </c>
      <c r="E1122" t="inlineStr">
        <is>
          <t>HÄRJEDALEN</t>
        </is>
      </c>
      <c r="F1122" t="inlineStr">
        <is>
          <t>SCA</t>
        </is>
      </c>
      <c r="G1122" t="n">
        <v>23.3</v>
      </c>
      <c r="H1122" t="n">
        <v>0</v>
      </c>
      <c r="I1122" t="n">
        <v>0</v>
      </c>
      <c r="J1122" t="n">
        <v>0</v>
      </c>
      <c r="K1122" t="n">
        <v>0</v>
      </c>
      <c r="L1122" t="n">
        <v>0</v>
      </c>
      <c r="M1122" t="n">
        <v>0</v>
      </c>
      <c r="N1122" t="n">
        <v>0</v>
      </c>
      <c r="O1122" t="n">
        <v>0</v>
      </c>
      <c r="P1122" t="n">
        <v>0</v>
      </c>
      <c r="Q1122" t="n">
        <v>0</v>
      </c>
      <c r="R1122" s="2" t="inlineStr"/>
    </row>
    <row r="1123" ht="15" customHeight="1">
      <c r="A1123" t="inlineStr">
        <is>
          <t>A 48201-2023</t>
        </is>
      </c>
      <c r="B1123" s="1" t="n">
        <v>45205</v>
      </c>
      <c r="C1123" s="1" t="n">
        <v>45569</v>
      </c>
      <c r="D1123" t="inlineStr">
        <is>
          <t>JÄMTLANDS LÄN</t>
        </is>
      </c>
      <c r="E1123" t="inlineStr">
        <is>
          <t>HÄRJEDALEN</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48485-2023</t>
        </is>
      </c>
      <c r="B1124" s="1" t="n">
        <v>45206</v>
      </c>
      <c r="C1124" s="1" t="n">
        <v>45569</v>
      </c>
      <c r="D1124" t="inlineStr">
        <is>
          <t>JÄMTLANDS LÄN</t>
        </is>
      </c>
      <c r="E1124" t="inlineStr">
        <is>
          <t>HÄRJEDALEN</t>
        </is>
      </c>
      <c r="F1124" t="inlineStr">
        <is>
          <t>SCA</t>
        </is>
      </c>
      <c r="G1124" t="n">
        <v>23.3</v>
      </c>
      <c r="H1124" t="n">
        <v>0</v>
      </c>
      <c r="I1124" t="n">
        <v>0</v>
      </c>
      <c r="J1124" t="n">
        <v>0</v>
      </c>
      <c r="K1124" t="n">
        <v>0</v>
      </c>
      <c r="L1124" t="n">
        <v>0</v>
      </c>
      <c r="M1124" t="n">
        <v>0</v>
      </c>
      <c r="N1124" t="n">
        <v>0</v>
      </c>
      <c r="O1124" t="n">
        <v>0</v>
      </c>
      <c r="P1124" t="n">
        <v>0</v>
      </c>
      <c r="Q1124" t="n">
        <v>0</v>
      </c>
      <c r="R1124" s="2" t="inlineStr"/>
    </row>
    <row r="1125" ht="15" customHeight="1">
      <c r="A1125" t="inlineStr">
        <is>
          <t>A 48583-2023</t>
        </is>
      </c>
      <c r="B1125" s="1" t="n">
        <v>45208</v>
      </c>
      <c r="C1125" s="1" t="n">
        <v>45569</v>
      </c>
      <c r="D1125" t="inlineStr">
        <is>
          <t>JÄMTLANDS LÄN</t>
        </is>
      </c>
      <c r="E1125" t="inlineStr">
        <is>
          <t>HÄRJEDALEN</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48675-2023</t>
        </is>
      </c>
      <c r="B1126" s="1" t="n">
        <v>45208</v>
      </c>
      <c r="C1126" s="1" t="n">
        <v>45569</v>
      </c>
      <c r="D1126" t="inlineStr">
        <is>
          <t>JÄMTLANDS LÄN</t>
        </is>
      </c>
      <c r="E1126" t="inlineStr">
        <is>
          <t>HÄRJEDALEN</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48689-2023</t>
        </is>
      </c>
      <c r="B1127" s="1" t="n">
        <v>45208</v>
      </c>
      <c r="C1127" s="1" t="n">
        <v>45569</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48708-2023</t>
        </is>
      </c>
      <c r="B1128" s="1" t="n">
        <v>45208</v>
      </c>
      <c r="C1128" s="1" t="n">
        <v>45569</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48854-2023</t>
        </is>
      </c>
      <c r="B1129" s="1" t="n">
        <v>45209</v>
      </c>
      <c r="C1129" s="1" t="n">
        <v>45569</v>
      </c>
      <c r="D1129" t="inlineStr">
        <is>
          <t>JÄMTLANDS LÄN</t>
        </is>
      </c>
      <c r="E1129" t="inlineStr">
        <is>
          <t>HÄRJEDALEN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48867-2023</t>
        </is>
      </c>
      <c r="B1130" s="1" t="n">
        <v>45209</v>
      </c>
      <c r="C1130" s="1" t="n">
        <v>45569</v>
      </c>
      <c r="D1130" t="inlineStr">
        <is>
          <t>JÄMTLANDS LÄN</t>
        </is>
      </c>
      <c r="E1130" t="inlineStr">
        <is>
          <t>HÄRJEDALEN</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49120-2023</t>
        </is>
      </c>
      <c r="B1131" s="1" t="n">
        <v>45210</v>
      </c>
      <c r="C1131" s="1" t="n">
        <v>45569</v>
      </c>
      <c r="D1131" t="inlineStr">
        <is>
          <t>JÄMTLANDS LÄN</t>
        </is>
      </c>
      <c r="E1131" t="inlineStr">
        <is>
          <t>HÄRJEDALEN</t>
        </is>
      </c>
      <c r="G1131" t="n">
        <v>38.2</v>
      </c>
      <c r="H1131" t="n">
        <v>0</v>
      </c>
      <c r="I1131" t="n">
        <v>0</v>
      </c>
      <c r="J1131" t="n">
        <v>0</v>
      </c>
      <c r="K1131" t="n">
        <v>0</v>
      </c>
      <c r="L1131" t="n">
        <v>0</v>
      </c>
      <c r="M1131" t="n">
        <v>0</v>
      </c>
      <c r="N1131" t="n">
        <v>0</v>
      </c>
      <c r="O1131" t="n">
        <v>0</v>
      </c>
      <c r="P1131" t="n">
        <v>0</v>
      </c>
      <c r="Q1131" t="n">
        <v>0</v>
      </c>
      <c r="R1131" s="2" t="inlineStr"/>
    </row>
    <row r="1132" ht="15" customHeight="1">
      <c r="A1132" t="inlineStr">
        <is>
          <t>A 49134-2023</t>
        </is>
      </c>
      <c r="B1132" s="1" t="n">
        <v>45210</v>
      </c>
      <c r="C1132" s="1" t="n">
        <v>45569</v>
      </c>
      <c r="D1132" t="inlineStr">
        <is>
          <t>JÄMTLANDS LÄN</t>
        </is>
      </c>
      <c r="E1132" t="inlineStr">
        <is>
          <t>HÄRJEDALEN</t>
        </is>
      </c>
      <c r="G1132" t="n">
        <v>25.8</v>
      </c>
      <c r="H1132" t="n">
        <v>0</v>
      </c>
      <c r="I1132" t="n">
        <v>0</v>
      </c>
      <c r="J1132" t="n">
        <v>0</v>
      </c>
      <c r="K1132" t="n">
        <v>0</v>
      </c>
      <c r="L1132" t="n">
        <v>0</v>
      </c>
      <c r="M1132" t="n">
        <v>0</v>
      </c>
      <c r="N1132" t="n">
        <v>0</v>
      </c>
      <c r="O1132" t="n">
        <v>0</v>
      </c>
      <c r="P1132" t="n">
        <v>0</v>
      </c>
      <c r="Q1132" t="n">
        <v>0</v>
      </c>
      <c r="R1132" s="2" t="inlineStr"/>
    </row>
    <row r="1133" ht="15" customHeight="1">
      <c r="A1133" t="inlineStr">
        <is>
          <t>A 49712-2023</t>
        </is>
      </c>
      <c r="B1133" s="1" t="n">
        <v>45212</v>
      </c>
      <c r="C1133" s="1" t="n">
        <v>45569</v>
      </c>
      <c r="D1133" t="inlineStr">
        <is>
          <t>JÄMTLANDS LÄN</t>
        </is>
      </c>
      <c r="E1133" t="inlineStr">
        <is>
          <t>HÄRJEDALEN</t>
        </is>
      </c>
      <c r="G1133" t="n">
        <v>42.9</v>
      </c>
      <c r="H1133" t="n">
        <v>0</v>
      </c>
      <c r="I1133" t="n">
        <v>0</v>
      </c>
      <c r="J1133" t="n">
        <v>0</v>
      </c>
      <c r="K1133" t="n">
        <v>0</v>
      </c>
      <c r="L1133" t="n">
        <v>0</v>
      </c>
      <c r="M1133" t="n">
        <v>0</v>
      </c>
      <c r="N1133" t="n">
        <v>0</v>
      </c>
      <c r="O1133" t="n">
        <v>0</v>
      </c>
      <c r="P1133" t="n">
        <v>0</v>
      </c>
      <c r="Q1133" t="n">
        <v>0</v>
      </c>
      <c r="R1133" s="2" t="inlineStr"/>
    </row>
    <row r="1134" ht="15" customHeight="1">
      <c r="A1134" t="inlineStr">
        <is>
          <t>A 49792-2023</t>
        </is>
      </c>
      <c r="B1134" s="1" t="n">
        <v>45212</v>
      </c>
      <c r="C1134" s="1" t="n">
        <v>45569</v>
      </c>
      <c r="D1134" t="inlineStr">
        <is>
          <t>JÄMTLANDS LÄN</t>
        </is>
      </c>
      <c r="E1134" t="inlineStr">
        <is>
          <t>HÄRJEDALEN</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49969-2023</t>
        </is>
      </c>
      <c r="B1135" s="1" t="n">
        <v>45215</v>
      </c>
      <c r="C1135" s="1" t="n">
        <v>45569</v>
      </c>
      <c r="D1135" t="inlineStr">
        <is>
          <t>JÄMTLANDS LÄN</t>
        </is>
      </c>
      <c r="E1135" t="inlineStr">
        <is>
          <t>HÄRJEDALEN</t>
        </is>
      </c>
      <c r="G1135" t="n">
        <v>43.7</v>
      </c>
      <c r="H1135" t="n">
        <v>0</v>
      </c>
      <c r="I1135" t="n">
        <v>0</v>
      </c>
      <c r="J1135" t="n">
        <v>0</v>
      </c>
      <c r="K1135" t="n">
        <v>0</v>
      </c>
      <c r="L1135" t="n">
        <v>0</v>
      </c>
      <c r="M1135" t="n">
        <v>0</v>
      </c>
      <c r="N1135" t="n">
        <v>0</v>
      </c>
      <c r="O1135" t="n">
        <v>0</v>
      </c>
      <c r="P1135" t="n">
        <v>0</v>
      </c>
      <c r="Q1135" t="n">
        <v>0</v>
      </c>
      <c r="R1135" s="2" t="inlineStr"/>
    </row>
    <row r="1136" ht="15" customHeight="1">
      <c r="A1136" t="inlineStr">
        <is>
          <t>A 50360-2023</t>
        </is>
      </c>
      <c r="B1136" s="1" t="n">
        <v>45216</v>
      </c>
      <c r="C1136" s="1" t="n">
        <v>45569</v>
      </c>
      <c r="D1136" t="inlineStr">
        <is>
          <t>JÄMTLANDS LÄN</t>
        </is>
      </c>
      <c r="E1136" t="inlineStr">
        <is>
          <t>HÄRJEDALEN</t>
        </is>
      </c>
      <c r="F1136" t="inlineStr">
        <is>
          <t>Bergvik skog väst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50331-2023</t>
        </is>
      </c>
      <c r="B1137" s="1" t="n">
        <v>45216</v>
      </c>
      <c r="C1137" s="1" t="n">
        <v>45569</v>
      </c>
      <c r="D1137" t="inlineStr">
        <is>
          <t>JÄMTLANDS LÄN</t>
        </is>
      </c>
      <c r="E1137" t="inlineStr">
        <is>
          <t>HÄRJEDALEN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50291-2023</t>
        </is>
      </c>
      <c r="B1138" s="1" t="n">
        <v>45216</v>
      </c>
      <c r="C1138" s="1" t="n">
        <v>45569</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50424-2023</t>
        </is>
      </c>
      <c r="B1139" s="1" t="n">
        <v>45216</v>
      </c>
      <c r="C1139" s="1" t="n">
        <v>45569</v>
      </c>
      <c r="D1139" t="inlineStr">
        <is>
          <t>JÄMTLANDS LÄN</t>
        </is>
      </c>
      <c r="E1139" t="inlineStr">
        <is>
          <t>HÄRJEDALEN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50328-2023</t>
        </is>
      </c>
      <c r="B1140" s="1" t="n">
        <v>45216</v>
      </c>
      <c r="C1140" s="1" t="n">
        <v>45569</v>
      </c>
      <c r="D1140" t="inlineStr">
        <is>
          <t>JÄMTLANDS LÄN</t>
        </is>
      </c>
      <c r="E1140" t="inlineStr">
        <is>
          <t>HÄRJEDALEN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50539-2023</t>
        </is>
      </c>
      <c r="B1141" s="1" t="n">
        <v>45217</v>
      </c>
      <c r="C1141" s="1" t="n">
        <v>45569</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51017-2023</t>
        </is>
      </c>
      <c r="B1142" s="1" t="n">
        <v>45218</v>
      </c>
      <c r="C1142" s="1" t="n">
        <v>45569</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51351-2023</t>
        </is>
      </c>
      <c r="B1143" s="1" t="n">
        <v>45219</v>
      </c>
      <c r="C1143" s="1" t="n">
        <v>45569</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51898-2023</t>
        </is>
      </c>
      <c r="B1144" s="1" t="n">
        <v>45223</v>
      </c>
      <c r="C1144" s="1" t="n">
        <v>45569</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52565-2023</t>
        </is>
      </c>
      <c r="B1145" s="1" t="n">
        <v>45225</v>
      </c>
      <c r="C1145" s="1" t="n">
        <v>45569</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52554-2023</t>
        </is>
      </c>
      <c r="B1146" s="1" t="n">
        <v>45225</v>
      </c>
      <c r="C1146" s="1" t="n">
        <v>45569</v>
      </c>
      <c r="D1146" t="inlineStr">
        <is>
          <t>JÄMTLANDS LÄN</t>
        </is>
      </c>
      <c r="E1146" t="inlineStr">
        <is>
          <t>HÄRJEDALEN</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52567-2023</t>
        </is>
      </c>
      <c r="B1147" s="1" t="n">
        <v>45225</v>
      </c>
      <c r="C1147" s="1" t="n">
        <v>45569</v>
      </c>
      <c r="D1147" t="inlineStr">
        <is>
          <t>JÄMTLANDS LÄN</t>
        </is>
      </c>
      <c r="E1147" t="inlineStr">
        <is>
          <t>HÄRJEDALEN</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52683-2023</t>
        </is>
      </c>
      <c r="B1148" s="1" t="n">
        <v>45225</v>
      </c>
      <c r="C1148" s="1" t="n">
        <v>45569</v>
      </c>
      <c r="D1148" t="inlineStr">
        <is>
          <t>JÄMTLANDS LÄN</t>
        </is>
      </c>
      <c r="E1148" t="inlineStr">
        <is>
          <t>HÄRJEDALEN</t>
        </is>
      </c>
      <c r="F1148" t="inlineStr">
        <is>
          <t>Bergvik skog väst AB</t>
        </is>
      </c>
      <c r="G1148" t="n">
        <v>19.3</v>
      </c>
      <c r="H1148" t="n">
        <v>0</v>
      </c>
      <c r="I1148" t="n">
        <v>0</v>
      </c>
      <c r="J1148" t="n">
        <v>0</v>
      </c>
      <c r="K1148" t="n">
        <v>0</v>
      </c>
      <c r="L1148" t="n">
        <v>0</v>
      </c>
      <c r="M1148" t="n">
        <v>0</v>
      </c>
      <c r="N1148" t="n">
        <v>0</v>
      </c>
      <c r="O1148" t="n">
        <v>0</v>
      </c>
      <c r="P1148" t="n">
        <v>0</v>
      </c>
      <c r="Q1148" t="n">
        <v>0</v>
      </c>
      <c r="R1148" s="2" t="inlineStr"/>
    </row>
    <row r="1149" ht="15" customHeight="1">
      <c r="A1149" t="inlineStr">
        <is>
          <t>A 52741-2023</t>
        </is>
      </c>
      <c r="B1149" s="1" t="n">
        <v>45225</v>
      </c>
      <c r="C1149" s="1" t="n">
        <v>45569</v>
      </c>
      <c r="D1149" t="inlineStr">
        <is>
          <t>JÄMTLANDS LÄN</t>
        </is>
      </c>
      <c r="E1149" t="inlineStr">
        <is>
          <t>HÄRJEDALEN</t>
        </is>
      </c>
      <c r="F1149" t="inlineStr">
        <is>
          <t>SCA</t>
        </is>
      </c>
      <c r="G1149" t="n">
        <v>75.40000000000001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53003-2023</t>
        </is>
      </c>
      <c r="B1150" s="1" t="n">
        <v>45226</v>
      </c>
      <c r="C1150" s="1" t="n">
        <v>45569</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53431-2023</t>
        </is>
      </c>
      <c r="B1151" s="1" t="n">
        <v>45229</v>
      </c>
      <c r="C1151" s="1" t="n">
        <v>45569</v>
      </c>
      <c r="D1151" t="inlineStr">
        <is>
          <t>JÄMTLANDS LÄN</t>
        </is>
      </c>
      <c r="E1151" t="inlineStr">
        <is>
          <t>HÄRJEDALEN</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53432-2023</t>
        </is>
      </c>
      <c r="B1152" s="1" t="n">
        <v>45229</v>
      </c>
      <c r="C1152" s="1" t="n">
        <v>45569</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53681-2023</t>
        </is>
      </c>
      <c r="B1153" s="1" t="n">
        <v>45230</v>
      </c>
      <c r="C1153" s="1" t="n">
        <v>45569</v>
      </c>
      <c r="D1153" t="inlineStr">
        <is>
          <t>JÄMTLANDS LÄN</t>
        </is>
      </c>
      <c r="E1153" t="inlineStr">
        <is>
          <t>HÄRJEDALEN</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53804-2023</t>
        </is>
      </c>
      <c r="B1154" s="1" t="n">
        <v>45231</v>
      </c>
      <c r="C1154" s="1" t="n">
        <v>45569</v>
      </c>
      <c r="D1154" t="inlineStr">
        <is>
          <t>JÄMTLANDS LÄN</t>
        </is>
      </c>
      <c r="E1154" t="inlineStr">
        <is>
          <t>HÄRJEDALEN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53993-2023</t>
        </is>
      </c>
      <c r="B1155" s="1" t="n">
        <v>45231</v>
      </c>
      <c r="C1155" s="1" t="n">
        <v>45569</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54382-2023</t>
        </is>
      </c>
      <c r="B1156" s="1" t="n">
        <v>45233</v>
      </c>
      <c r="C1156" s="1" t="n">
        <v>45569</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55127-2023</t>
        </is>
      </c>
      <c r="B1157" s="1" t="n">
        <v>45237</v>
      </c>
      <c r="C1157" s="1" t="n">
        <v>45569</v>
      </c>
      <c r="D1157" t="inlineStr">
        <is>
          <t>JÄMTLANDS LÄN</t>
        </is>
      </c>
      <c r="E1157" t="inlineStr">
        <is>
          <t>HÄRJEDALEN</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55150-2023</t>
        </is>
      </c>
      <c r="B1158" s="1" t="n">
        <v>45237</v>
      </c>
      <c r="C1158" s="1" t="n">
        <v>45569</v>
      </c>
      <c r="D1158" t="inlineStr">
        <is>
          <t>JÄMTLANDS LÄN</t>
        </is>
      </c>
      <c r="E1158" t="inlineStr">
        <is>
          <t>HÄRJEDALEN</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55183-2023</t>
        </is>
      </c>
      <c r="B1159" s="1" t="n">
        <v>45237</v>
      </c>
      <c r="C1159" s="1" t="n">
        <v>45569</v>
      </c>
      <c r="D1159" t="inlineStr">
        <is>
          <t>JÄMTLANDS LÄN</t>
        </is>
      </c>
      <c r="E1159" t="inlineStr">
        <is>
          <t>HÄRJEDALEN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55195-2023</t>
        </is>
      </c>
      <c r="B1160" s="1" t="n">
        <v>45237</v>
      </c>
      <c r="C1160" s="1" t="n">
        <v>45569</v>
      </c>
      <c r="D1160" t="inlineStr">
        <is>
          <t>JÄMTLANDS LÄN</t>
        </is>
      </c>
      <c r="E1160" t="inlineStr">
        <is>
          <t>HÄRJEDALEN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55220-2023</t>
        </is>
      </c>
      <c r="B1161" s="1" t="n">
        <v>45237</v>
      </c>
      <c r="C1161" s="1" t="n">
        <v>45569</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55180-2023</t>
        </is>
      </c>
      <c r="B1162" s="1" t="n">
        <v>45237</v>
      </c>
      <c r="C1162" s="1" t="n">
        <v>45569</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55185-2023</t>
        </is>
      </c>
      <c r="B1163" s="1" t="n">
        <v>45237</v>
      </c>
      <c r="C1163" s="1" t="n">
        <v>45569</v>
      </c>
      <c r="D1163" t="inlineStr">
        <is>
          <t>JÄMTLANDS LÄN</t>
        </is>
      </c>
      <c r="E1163" t="inlineStr">
        <is>
          <t>HÄRJEDALEN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55189-2023</t>
        </is>
      </c>
      <c r="B1164" s="1" t="n">
        <v>45237</v>
      </c>
      <c r="C1164" s="1" t="n">
        <v>45569</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55193-2023</t>
        </is>
      </c>
      <c r="B1165" s="1" t="n">
        <v>45237</v>
      </c>
      <c r="C1165" s="1" t="n">
        <v>45569</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55500-2023</t>
        </is>
      </c>
      <c r="B1166" s="1" t="n">
        <v>45238</v>
      </c>
      <c r="C1166" s="1" t="n">
        <v>45569</v>
      </c>
      <c r="D1166" t="inlineStr">
        <is>
          <t>JÄMTLANDS LÄN</t>
        </is>
      </c>
      <c r="E1166" t="inlineStr">
        <is>
          <t>HÄRJEDALEN</t>
        </is>
      </c>
      <c r="F1166" t="inlineStr">
        <is>
          <t>Kyrkan</t>
        </is>
      </c>
      <c r="G1166" t="n">
        <v>81.2</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v>
      </c>
      <c r="C1167" s="1" t="n">
        <v>45569</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55463-2023</t>
        </is>
      </c>
      <c r="B1168" s="1" t="n">
        <v>45238</v>
      </c>
      <c r="C1168" s="1" t="n">
        <v>45569</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55555-2023</t>
        </is>
      </c>
      <c r="B1169" s="1" t="n">
        <v>45238</v>
      </c>
      <c r="C1169" s="1" t="n">
        <v>45569</v>
      </c>
      <c r="D1169" t="inlineStr">
        <is>
          <t>JÄMTLANDS LÄN</t>
        </is>
      </c>
      <c r="E1169" t="inlineStr">
        <is>
          <t>HÄRJEDALEN</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55566-2023</t>
        </is>
      </c>
      <c r="B1170" s="1" t="n">
        <v>45238</v>
      </c>
      <c r="C1170" s="1" t="n">
        <v>45569</v>
      </c>
      <c r="D1170" t="inlineStr">
        <is>
          <t>JÄMTLANDS LÄN</t>
        </is>
      </c>
      <c r="E1170" t="inlineStr">
        <is>
          <t>HÄRJEDALEN</t>
        </is>
      </c>
      <c r="F1170" t="inlineStr">
        <is>
          <t>Bergvik skog väst AB</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55844-2023</t>
        </is>
      </c>
      <c r="B1171" s="1" t="n">
        <v>45239</v>
      </c>
      <c r="C1171" s="1" t="n">
        <v>45569</v>
      </c>
      <c r="D1171" t="inlineStr">
        <is>
          <t>JÄMTLANDS LÄN</t>
        </is>
      </c>
      <c r="E1171" t="inlineStr">
        <is>
          <t>HÄRJEDALEN</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55736-2023</t>
        </is>
      </c>
      <c r="B1172" s="1" t="n">
        <v>45239</v>
      </c>
      <c r="C1172" s="1" t="n">
        <v>45569</v>
      </c>
      <c r="D1172" t="inlineStr">
        <is>
          <t>JÄMTLANDS LÄN</t>
        </is>
      </c>
      <c r="E1172" t="inlineStr">
        <is>
          <t>HÄRJEDALEN</t>
        </is>
      </c>
      <c r="F1172" t="inlineStr">
        <is>
          <t>Holmen skog AB</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55766-2023</t>
        </is>
      </c>
      <c r="B1173" s="1" t="n">
        <v>45239</v>
      </c>
      <c r="C1173" s="1" t="n">
        <v>45569</v>
      </c>
      <c r="D1173" t="inlineStr">
        <is>
          <t>JÄMTLANDS LÄN</t>
        </is>
      </c>
      <c r="E1173" t="inlineStr">
        <is>
          <t>HÄRJEDALEN</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55834-2023</t>
        </is>
      </c>
      <c r="B1174" s="1" t="n">
        <v>45239</v>
      </c>
      <c r="C1174" s="1" t="n">
        <v>45569</v>
      </c>
      <c r="D1174" t="inlineStr">
        <is>
          <t>JÄMTLANDS LÄN</t>
        </is>
      </c>
      <c r="E1174" t="inlineStr">
        <is>
          <t>HÄRJEDALEN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56013-2023</t>
        </is>
      </c>
      <c r="B1175" s="1" t="n">
        <v>45240</v>
      </c>
      <c r="C1175" s="1" t="n">
        <v>45569</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56512-2023</t>
        </is>
      </c>
      <c r="B1176" s="1" t="n">
        <v>45243</v>
      </c>
      <c r="C1176" s="1" t="n">
        <v>45569</v>
      </c>
      <c r="D1176" t="inlineStr">
        <is>
          <t>JÄMTLANDS LÄN</t>
        </is>
      </c>
      <c r="E1176" t="inlineStr">
        <is>
          <t>HÄRJEDALEN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56587-2023</t>
        </is>
      </c>
      <c r="B1177" s="1" t="n">
        <v>45243</v>
      </c>
      <c r="C1177" s="1" t="n">
        <v>45569</v>
      </c>
      <c r="D1177" t="inlineStr">
        <is>
          <t>JÄMTLANDS LÄN</t>
        </is>
      </c>
      <c r="E1177" t="inlineStr">
        <is>
          <t>HÄRJEDALEN</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56909-2023</t>
        </is>
      </c>
      <c r="B1178" s="1" t="n">
        <v>45244</v>
      </c>
      <c r="C1178" s="1" t="n">
        <v>45569</v>
      </c>
      <c r="D1178" t="inlineStr">
        <is>
          <t>JÄMTLANDS LÄN</t>
        </is>
      </c>
      <c r="E1178" t="inlineStr">
        <is>
          <t>HÄRJEDALEN</t>
        </is>
      </c>
      <c r="F1178" t="inlineStr">
        <is>
          <t>Bergvik skog väst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56912-2023</t>
        </is>
      </c>
      <c r="B1179" s="1" t="n">
        <v>45244</v>
      </c>
      <c r="C1179" s="1" t="n">
        <v>45569</v>
      </c>
      <c r="D1179" t="inlineStr">
        <is>
          <t>JÄMTLANDS LÄN</t>
        </is>
      </c>
      <c r="E1179" t="inlineStr">
        <is>
          <t>HÄRJEDALEN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56906-2023</t>
        </is>
      </c>
      <c r="B1180" s="1" t="n">
        <v>45244</v>
      </c>
      <c r="C1180" s="1" t="n">
        <v>45569</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57313-2023</t>
        </is>
      </c>
      <c r="B1181" s="1" t="n">
        <v>45245</v>
      </c>
      <c r="C1181" s="1" t="n">
        <v>45569</v>
      </c>
      <c r="D1181" t="inlineStr">
        <is>
          <t>JÄMTLANDS LÄN</t>
        </is>
      </c>
      <c r="E1181" t="inlineStr">
        <is>
          <t>HÄRJEDALEN</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57099-2023</t>
        </is>
      </c>
      <c r="B1182" s="1" t="n">
        <v>45245</v>
      </c>
      <c r="C1182" s="1" t="n">
        <v>45569</v>
      </c>
      <c r="D1182" t="inlineStr">
        <is>
          <t>JÄMTLANDS LÄN</t>
        </is>
      </c>
      <c r="E1182" t="inlineStr">
        <is>
          <t>HÄRJEDALEN</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57181-2023</t>
        </is>
      </c>
      <c r="B1183" s="1" t="n">
        <v>45245</v>
      </c>
      <c r="C1183" s="1" t="n">
        <v>45569</v>
      </c>
      <c r="D1183" t="inlineStr">
        <is>
          <t>JÄMTLANDS LÄN</t>
        </is>
      </c>
      <c r="E1183" t="inlineStr">
        <is>
          <t>HÄRJEDALEN</t>
        </is>
      </c>
      <c r="F1183" t="inlineStr">
        <is>
          <t>Bergvik skog väst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57202-2023</t>
        </is>
      </c>
      <c r="B1184" s="1" t="n">
        <v>45245</v>
      </c>
      <c r="C1184" s="1" t="n">
        <v>45569</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57140-2023</t>
        </is>
      </c>
      <c r="B1185" s="1" t="n">
        <v>45245</v>
      </c>
      <c r="C1185" s="1" t="n">
        <v>45569</v>
      </c>
      <c r="D1185" t="inlineStr">
        <is>
          <t>JÄMTLANDS LÄN</t>
        </is>
      </c>
      <c r="E1185" t="inlineStr">
        <is>
          <t>HÄRJEDALEN</t>
        </is>
      </c>
      <c r="F1185" t="inlineStr">
        <is>
          <t>Bergvik skog väst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57281-2023</t>
        </is>
      </c>
      <c r="B1186" s="1" t="n">
        <v>45245</v>
      </c>
      <c r="C1186" s="1" t="n">
        <v>45569</v>
      </c>
      <c r="D1186" t="inlineStr">
        <is>
          <t>JÄMTLANDS LÄN</t>
        </is>
      </c>
      <c r="E1186" t="inlineStr">
        <is>
          <t>HÄRJEDALEN</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57661-2023</t>
        </is>
      </c>
      <c r="B1187" s="1" t="n">
        <v>45246</v>
      </c>
      <c r="C1187" s="1" t="n">
        <v>45569</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58146-2023</t>
        </is>
      </c>
      <c r="B1188" s="1" t="n">
        <v>45250</v>
      </c>
      <c r="C1188" s="1" t="n">
        <v>45569</v>
      </c>
      <c r="D1188" t="inlineStr">
        <is>
          <t>JÄMTLANDS LÄN</t>
        </is>
      </c>
      <c r="E1188" t="inlineStr">
        <is>
          <t>HÄRJEDALEN</t>
        </is>
      </c>
      <c r="F1188" t="inlineStr">
        <is>
          <t>Bergvik skog väst AB</t>
        </is>
      </c>
      <c r="G1188" t="n">
        <v>15.9</v>
      </c>
      <c r="H1188" t="n">
        <v>0</v>
      </c>
      <c r="I1188" t="n">
        <v>0</v>
      </c>
      <c r="J1188" t="n">
        <v>0</v>
      </c>
      <c r="K1188" t="n">
        <v>0</v>
      </c>
      <c r="L1188" t="n">
        <v>0</v>
      </c>
      <c r="M1188" t="n">
        <v>0</v>
      </c>
      <c r="N1188" t="n">
        <v>0</v>
      </c>
      <c r="O1188" t="n">
        <v>0</v>
      </c>
      <c r="P1188" t="n">
        <v>0</v>
      </c>
      <c r="Q1188" t="n">
        <v>0</v>
      </c>
      <c r="R1188" s="2" t="inlineStr"/>
    </row>
    <row r="1189" ht="15" customHeight="1">
      <c r="A1189" t="inlineStr">
        <is>
          <t>A 58144-2023</t>
        </is>
      </c>
      <c r="B1189" s="1" t="n">
        <v>45250</v>
      </c>
      <c r="C1189" s="1" t="n">
        <v>45569</v>
      </c>
      <c r="D1189" t="inlineStr">
        <is>
          <t>JÄMTLANDS LÄN</t>
        </is>
      </c>
      <c r="E1189" t="inlineStr">
        <is>
          <t>HÄRJEDALEN</t>
        </is>
      </c>
      <c r="F1189" t="inlineStr">
        <is>
          <t>Bergvik skog väst AB</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58890-2023</t>
        </is>
      </c>
      <c r="B1190" s="1" t="n">
        <v>45252</v>
      </c>
      <c r="C1190" s="1" t="n">
        <v>45569</v>
      </c>
      <c r="D1190" t="inlineStr">
        <is>
          <t>JÄMTLANDS LÄN</t>
        </is>
      </c>
      <c r="E1190" t="inlineStr">
        <is>
          <t>HÄRJEDALEN</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58930-2023</t>
        </is>
      </c>
      <c r="B1191" s="1" t="n">
        <v>45252</v>
      </c>
      <c r="C1191" s="1" t="n">
        <v>45569</v>
      </c>
      <c r="D1191" t="inlineStr">
        <is>
          <t>JÄMTLANDS LÄN</t>
        </is>
      </c>
      <c r="E1191" t="inlineStr">
        <is>
          <t>HÄRJEDALEN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58866-2023</t>
        </is>
      </c>
      <c r="B1192" s="1" t="n">
        <v>45252</v>
      </c>
      <c r="C1192" s="1" t="n">
        <v>45569</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59092-2023</t>
        </is>
      </c>
      <c r="B1193" s="1" t="n">
        <v>45253</v>
      </c>
      <c r="C1193" s="1" t="n">
        <v>45569</v>
      </c>
      <c r="D1193" t="inlineStr">
        <is>
          <t>JÄMTLANDS LÄN</t>
        </is>
      </c>
      <c r="E1193" t="inlineStr">
        <is>
          <t>HÄRJEDALEN</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59279-2023</t>
        </is>
      </c>
      <c r="B1194" s="1" t="n">
        <v>45253</v>
      </c>
      <c r="C1194" s="1" t="n">
        <v>45569</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59424-2023</t>
        </is>
      </c>
      <c r="B1195" s="1" t="n">
        <v>45254</v>
      </c>
      <c r="C1195" s="1" t="n">
        <v>45569</v>
      </c>
      <c r="D1195" t="inlineStr">
        <is>
          <t>JÄMTLANDS LÄN</t>
        </is>
      </c>
      <c r="E1195" t="inlineStr">
        <is>
          <t>HÄRJEDALEN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59577-2023</t>
        </is>
      </c>
      <c r="B1196" s="1" t="n">
        <v>45254</v>
      </c>
      <c r="C1196" s="1" t="n">
        <v>45569</v>
      </c>
      <c r="D1196" t="inlineStr">
        <is>
          <t>JÄMTLANDS LÄN</t>
        </is>
      </c>
      <c r="E1196" t="inlineStr">
        <is>
          <t>HÄRJEDALEN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59594-2023</t>
        </is>
      </c>
      <c r="B1197" s="1" t="n">
        <v>45254</v>
      </c>
      <c r="C1197" s="1" t="n">
        <v>45569</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59620-2023</t>
        </is>
      </c>
      <c r="B1198" s="1" t="n">
        <v>45254</v>
      </c>
      <c r="C1198" s="1" t="n">
        <v>45569</v>
      </c>
      <c r="D1198" t="inlineStr">
        <is>
          <t>JÄMTLANDS LÄN</t>
        </is>
      </c>
      <c r="E1198" t="inlineStr">
        <is>
          <t>HÄRJEDALEN</t>
        </is>
      </c>
      <c r="G1198" t="n">
        <v>14.9</v>
      </c>
      <c r="H1198" t="n">
        <v>0</v>
      </c>
      <c r="I1198" t="n">
        <v>0</v>
      </c>
      <c r="J1198" t="n">
        <v>0</v>
      </c>
      <c r="K1198" t="n">
        <v>0</v>
      </c>
      <c r="L1198" t="n">
        <v>0</v>
      </c>
      <c r="M1198" t="n">
        <v>0</v>
      </c>
      <c r="N1198" t="n">
        <v>0</v>
      </c>
      <c r="O1198" t="n">
        <v>0</v>
      </c>
      <c r="P1198" t="n">
        <v>0</v>
      </c>
      <c r="Q1198" t="n">
        <v>0</v>
      </c>
      <c r="R1198" s="2" t="inlineStr"/>
    </row>
    <row r="1199" ht="15" customHeight="1">
      <c r="A1199" t="inlineStr">
        <is>
          <t>A 59738-2023</t>
        </is>
      </c>
      <c r="B1199" s="1" t="n">
        <v>45257</v>
      </c>
      <c r="C1199" s="1" t="n">
        <v>45569</v>
      </c>
      <c r="D1199" t="inlineStr">
        <is>
          <t>JÄMTLANDS LÄN</t>
        </is>
      </c>
      <c r="E1199" t="inlineStr">
        <is>
          <t>HÄRJEDALEN</t>
        </is>
      </c>
      <c r="F1199" t="inlineStr">
        <is>
          <t>Bergvik skog väst AB</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59750-2023</t>
        </is>
      </c>
      <c r="B1200" s="1" t="n">
        <v>45257</v>
      </c>
      <c r="C1200" s="1" t="n">
        <v>45569</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60062-2023</t>
        </is>
      </c>
      <c r="B1201" s="1" t="n">
        <v>45257</v>
      </c>
      <c r="C1201" s="1" t="n">
        <v>45569</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60611-2023</t>
        </is>
      </c>
      <c r="B1202" s="1" t="n">
        <v>45260</v>
      </c>
      <c r="C1202" s="1" t="n">
        <v>45569</v>
      </c>
      <c r="D1202" t="inlineStr">
        <is>
          <t>JÄMTLANDS LÄN</t>
        </is>
      </c>
      <c r="E1202" t="inlineStr">
        <is>
          <t>HÄRJEDALEN</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60749-2023</t>
        </is>
      </c>
      <c r="B1203" s="1" t="n">
        <v>45260</v>
      </c>
      <c r="C1203" s="1" t="n">
        <v>45569</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61465-2023</t>
        </is>
      </c>
      <c r="B1204" s="1" t="n">
        <v>45264</v>
      </c>
      <c r="C1204" s="1" t="n">
        <v>45569</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61751-2023</t>
        </is>
      </c>
      <c r="B1205" s="1" t="n">
        <v>45265</v>
      </c>
      <c r="C1205" s="1" t="n">
        <v>45569</v>
      </c>
      <c r="D1205" t="inlineStr">
        <is>
          <t>JÄMTLANDS LÄN</t>
        </is>
      </c>
      <c r="E1205" t="inlineStr">
        <is>
          <t>HÄRJEDALEN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62482-2023</t>
        </is>
      </c>
      <c r="B1206" s="1" t="n">
        <v>45268</v>
      </c>
      <c r="C1206" s="1" t="n">
        <v>45569</v>
      </c>
      <c r="D1206" t="inlineStr">
        <is>
          <t>JÄMTLANDS LÄN</t>
        </is>
      </c>
      <c r="E1206" t="inlineStr">
        <is>
          <t>HÄRJEDALEN</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62784-2023</t>
        </is>
      </c>
      <c r="B1207" s="1" t="n">
        <v>45271</v>
      </c>
      <c r="C1207" s="1" t="n">
        <v>45569</v>
      </c>
      <c r="D1207" t="inlineStr">
        <is>
          <t>JÄMTLANDS LÄN</t>
        </is>
      </c>
      <c r="E1207" t="inlineStr">
        <is>
          <t>HÄRJEDALEN</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63323-2023</t>
        </is>
      </c>
      <c r="B1208" s="1" t="n">
        <v>45274</v>
      </c>
      <c r="C1208" s="1" t="n">
        <v>45569</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63546-2023</t>
        </is>
      </c>
      <c r="B1209" s="1" t="n">
        <v>45275</v>
      </c>
      <c r="C1209" s="1" t="n">
        <v>45569</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63577-2023</t>
        </is>
      </c>
      <c r="B1210" s="1" t="n">
        <v>45275</v>
      </c>
      <c r="C1210" s="1" t="n">
        <v>45569</v>
      </c>
      <c r="D1210" t="inlineStr">
        <is>
          <t>JÄMTLANDS LÄN</t>
        </is>
      </c>
      <c r="E1210" t="inlineStr">
        <is>
          <t>HÄRJEDALEN</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63934-2023</t>
        </is>
      </c>
      <c r="B1211" s="1" t="n">
        <v>45278</v>
      </c>
      <c r="C1211" s="1" t="n">
        <v>45569</v>
      </c>
      <c r="D1211" t="inlineStr">
        <is>
          <t>JÄMTLANDS LÄN</t>
        </is>
      </c>
      <c r="E1211" t="inlineStr">
        <is>
          <t>HÄRJEDALEN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63802-2023</t>
        </is>
      </c>
      <c r="B1212" s="1" t="n">
        <v>45278</v>
      </c>
      <c r="C1212" s="1" t="n">
        <v>45569</v>
      </c>
      <c r="D1212" t="inlineStr">
        <is>
          <t>JÄMTLANDS LÄN</t>
        </is>
      </c>
      <c r="E1212" t="inlineStr">
        <is>
          <t>HÄRJEDALEN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64144-2023</t>
        </is>
      </c>
      <c r="B1213" s="1" t="n">
        <v>45279</v>
      </c>
      <c r="C1213" s="1" t="n">
        <v>45569</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64157-2023</t>
        </is>
      </c>
      <c r="B1214" s="1" t="n">
        <v>45279</v>
      </c>
      <c r="C1214" s="1" t="n">
        <v>45569</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64165-2023</t>
        </is>
      </c>
      <c r="B1215" s="1" t="n">
        <v>45279</v>
      </c>
      <c r="C1215" s="1" t="n">
        <v>45569</v>
      </c>
      <c r="D1215" t="inlineStr">
        <is>
          <t>JÄMTLANDS LÄN</t>
        </is>
      </c>
      <c r="E1215" t="inlineStr">
        <is>
          <t>HÄRJEDALEN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64484-2023</t>
        </is>
      </c>
      <c r="B1216" s="1" t="n">
        <v>45280</v>
      </c>
      <c r="C1216" s="1" t="n">
        <v>45569</v>
      </c>
      <c r="D1216" t="inlineStr">
        <is>
          <t>JÄMTLANDS LÄN</t>
        </is>
      </c>
      <c r="E1216" t="inlineStr">
        <is>
          <t>HÄRJEDALEN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64371-2023</t>
        </is>
      </c>
      <c r="B1217" s="1" t="n">
        <v>45280</v>
      </c>
      <c r="C1217" s="1" t="n">
        <v>45569</v>
      </c>
      <c r="D1217" t="inlineStr">
        <is>
          <t>JÄMTLANDS LÄN</t>
        </is>
      </c>
      <c r="E1217" t="inlineStr">
        <is>
          <t>HÄRJEDALEN</t>
        </is>
      </c>
      <c r="G1217" t="n">
        <v>31.8</v>
      </c>
      <c r="H1217" t="n">
        <v>0</v>
      </c>
      <c r="I1217" t="n">
        <v>0</v>
      </c>
      <c r="J1217" t="n">
        <v>0</v>
      </c>
      <c r="K1217" t="n">
        <v>0</v>
      </c>
      <c r="L1217" t="n">
        <v>0</v>
      </c>
      <c r="M1217" t="n">
        <v>0</v>
      </c>
      <c r="N1217" t="n">
        <v>0</v>
      </c>
      <c r="O1217" t="n">
        <v>0</v>
      </c>
      <c r="P1217" t="n">
        <v>0</v>
      </c>
      <c r="Q1217" t="n">
        <v>0</v>
      </c>
      <c r="R1217" s="2" t="inlineStr"/>
    </row>
    <row r="1218" ht="15" customHeight="1">
      <c r="A1218" t="inlineStr">
        <is>
          <t>A 64485-2023</t>
        </is>
      </c>
      <c r="B1218" s="1" t="n">
        <v>45280</v>
      </c>
      <c r="C1218" s="1" t="n">
        <v>45569</v>
      </c>
      <c r="D1218" t="inlineStr">
        <is>
          <t>JÄMTLANDS LÄN</t>
        </is>
      </c>
      <c r="E1218" t="inlineStr">
        <is>
          <t>HÄRJEDALEN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64630-2023</t>
        </is>
      </c>
      <c r="B1219" s="1" t="n">
        <v>45281</v>
      </c>
      <c r="C1219" s="1" t="n">
        <v>45569</v>
      </c>
      <c r="D1219" t="inlineStr">
        <is>
          <t>JÄMTLANDS LÄN</t>
        </is>
      </c>
      <c r="E1219" t="inlineStr">
        <is>
          <t>HÄRJEDALEN</t>
        </is>
      </c>
      <c r="G1219" t="n">
        <v>82.2</v>
      </c>
      <c r="H1219" t="n">
        <v>0</v>
      </c>
      <c r="I1219" t="n">
        <v>0</v>
      </c>
      <c r="J1219" t="n">
        <v>0</v>
      </c>
      <c r="K1219" t="n">
        <v>0</v>
      </c>
      <c r="L1219" t="n">
        <v>0</v>
      </c>
      <c r="M1219" t="n">
        <v>0</v>
      </c>
      <c r="N1219" t="n">
        <v>0</v>
      </c>
      <c r="O1219" t="n">
        <v>0</v>
      </c>
      <c r="P1219" t="n">
        <v>0</v>
      </c>
      <c r="Q1219" t="n">
        <v>0</v>
      </c>
      <c r="R1219" s="2" t="inlineStr"/>
    </row>
    <row r="1220" ht="15" customHeight="1">
      <c r="A1220" t="inlineStr">
        <is>
          <t>A 64648-2023</t>
        </is>
      </c>
      <c r="B1220" s="1" t="n">
        <v>45281</v>
      </c>
      <c r="C1220" s="1" t="n">
        <v>45569</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64645-2023</t>
        </is>
      </c>
      <c r="B1221" s="1" t="n">
        <v>45281</v>
      </c>
      <c r="C1221" s="1" t="n">
        <v>45569</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64647-2023</t>
        </is>
      </c>
      <c r="B1222" s="1" t="n">
        <v>45281</v>
      </c>
      <c r="C1222" s="1" t="n">
        <v>45569</v>
      </c>
      <c r="D1222" t="inlineStr">
        <is>
          <t>JÄMTLANDS LÄN</t>
        </is>
      </c>
      <c r="E1222" t="inlineStr">
        <is>
          <t>HÄRJEDALEN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64909-2023</t>
        </is>
      </c>
      <c r="B1223" s="1" t="n">
        <v>45282</v>
      </c>
      <c r="C1223" s="1" t="n">
        <v>45569</v>
      </c>
      <c r="D1223" t="inlineStr">
        <is>
          <t>JÄMTLANDS LÄN</t>
        </is>
      </c>
      <c r="E1223" t="inlineStr">
        <is>
          <t>HÄRJEDALEN</t>
        </is>
      </c>
      <c r="F1223" t="inlineStr">
        <is>
          <t>Holmen skog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65032-2023</t>
        </is>
      </c>
      <c r="B1224" s="1" t="n">
        <v>45287</v>
      </c>
      <c r="C1224" s="1" t="n">
        <v>45569</v>
      </c>
      <c r="D1224" t="inlineStr">
        <is>
          <t>JÄMTLANDS LÄN</t>
        </is>
      </c>
      <c r="E1224" t="inlineStr">
        <is>
          <t>HÄRJEDALEN</t>
        </is>
      </c>
      <c r="F1224" t="inlineStr">
        <is>
          <t>Holmen skog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65152-2023</t>
        </is>
      </c>
      <c r="B1225" s="1" t="n">
        <v>45288</v>
      </c>
      <c r="C1225" s="1" t="n">
        <v>45569</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65150-2023</t>
        </is>
      </c>
      <c r="B1226" s="1" t="n">
        <v>45288</v>
      </c>
      <c r="C1226" s="1" t="n">
        <v>45569</v>
      </c>
      <c r="D1226" t="inlineStr">
        <is>
          <t>JÄMTLANDS LÄN</t>
        </is>
      </c>
      <c r="E1226" t="inlineStr">
        <is>
          <t>HÄRJEDALEN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65248-2023</t>
        </is>
      </c>
      <c r="B1227" s="1" t="n">
        <v>45290</v>
      </c>
      <c r="C1227" s="1" t="n">
        <v>45569</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54-2024</t>
        </is>
      </c>
      <c r="B1228" s="1" t="n">
        <v>45293</v>
      </c>
      <c r="C1228" s="1" t="n">
        <v>45569</v>
      </c>
      <c r="D1228" t="inlineStr">
        <is>
          <t>JÄMTLANDS LÄN</t>
        </is>
      </c>
      <c r="E1228" t="inlineStr">
        <is>
          <t>HÄRJEDALEN</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40-2024</t>
        </is>
      </c>
      <c r="B1229" s="1" t="n">
        <v>45293</v>
      </c>
      <c r="C1229" s="1" t="n">
        <v>45569</v>
      </c>
      <c r="D1229" t="inlineStr">
        <is>
          <t>JÄMTLANDS LÄN</t>
        </is>
      </c>
      <c r="E1229" t="inlineStr">
        <is>
          <t>HÄRJEDALEN</t>
        </is>
      </c>
      <c r="G1229" t="n">
        <v>24.2</v>
      </c>
      <c r="H1229" t="n">
        <v>0</v>
      </c>
      <c r="I1229" t="n">
        <v>0</v>
      </c>
      <c r="J1229" t="n">
        <v>0</v>
      </c>
      <c r="K1229" t="n">
        <v>0</v>
      </c>
      <c r="L1229" t="n">
        <v>0</v>
      </c>
      <c r="M1229" t="n">
        <v>0</v>
      </c>
      <c r="N1229" t="n">
        <v>0</v>
      </c>
      <c r="O1229" t="n">
        <v>0</v>
      </c>
      <c r="P1229" t="n">
        <v>0</v>
      </c>
      <c r="Q1229" t="n">
        <v>0</v>
      </c>
      <c r="R1229" s="2" t="inlineStr"/>
    </row>
    <row r="1230" ht="15" customHeight="1">
      <c r="A1230" t="inlineStr">
        <is>
          <t>A 1211-2024</t>
        </is>
      </c>
      <c r="B1230" s="1" t="n">
        <v>45302</v>
      </c>
      <c r="C1230" s="1" t="n">
        <v>45569</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1366-2024</t>
        </is>
      </c>
      <c r="B1231" s="1" t="n">
        <v>45303</v>
      </c>
      <c r="C1231" s="1" t="n">
        <v>45569</v>
      </c>
      <c r="D1231" t="inlineStr">
        <is>
          <t>JÄMTLANDS LÄN</t>
        </is>
      </c>
      <c r="E1231" t="inlineStr">
        <is>
          <t>HÄRJEDALEN</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1398-2024</t>
        </is>
      </c>
      <c r="B1232" s="1" t="n">
        <v>45303</v>
      </c>
      <c r="C1232" s="1" t="n">
        <v>45569</v>
      </c>
      <c r="D1232" t="inlineStr">
        <is>
          <t>JÄMTLANDS LÄN</t>
        </is>
      </c>
      <c r="E1232" t="inlineStr">
        <is>
          <t>HÄRJEDALEN</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1361-2024</t>
        </is>
      </c>
      <c r="B1233" s="1" t="n">
        <v>45303</v>
      </c>
      <c r="C1233" s="1" t="n">
        <v>45569</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1364-2024</t>
        </is>
      </c>
      <c r="B1234" s="1" t="n">
        <v>45303</v>
      </c>
      <c r="C1234" s="1" t="n">
        <v>45569</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1587-2024</t>
        </is>
      </c>
      <c r="B1235" s="1" t="n">
        <v>45306</v>
      </c>
      <c r="C1235" s="1" t="n">
        <v>45569</v>
      </c>
      <c r="D1235" t="inlineStr">
        <is>
          <t>JÄMTLANDS LÄN</t>
        </is>
      </c>
      <c r="E1235" t="inlineStr">
        <is>
          <t>HÄRJEDALEN</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1952-2024</t>
        </is>
      </c>
      <c r="B1236" s="1" t="n">
        <v>45308</v>
      </c>
      <c r="C1236" s="1" t="n">
        <v>45569</v>
      </c>
      <c r="D1236" t="inlineStr">
        <is>
          <t>JÄMTLANDS LÄN</t>
        </is>
      </c>
      <c r="E1236" t="inlineStr">
        <is>
          <t>HÄRJEDALEN</t>
        </is>
      </c>
      <c r="F1236" t="inlineStr">
        <is>
          <t>Kyrkan</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2066-2024</t>
        </is>
      </c>
      <c r="B1237" s="1" t="n">
        <v>45308</v>
      </c>
      <c r="C1237" s="1" t="n">
        <v>45569</v>
      </c>
      <c r="D1237" t="inlineStr">
        <is>
          <t>JÄMTLANDS LÄN</t>
        </is>
      </c>
      <c r="E1237" t="inlineStr">
        <is>
          <t>HÄRJEDALEN</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2185-2024</t>
        </is>
      </c>
      <c r="B1238" s="1" t="n">
        <v>45309</v>
      </c>
      <c r="C1238" s="1" t="n">
        <v>45569</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4533-2024</t>
        </is>
      </c>
      <c r="B1239" s="1" t="n">
        <v>45327</v>
      </c>
      <c r="C1239" s="1" t="n">
        <v>45569</v>
      </c>
      <c r="D1239" t="inlineStr">
        <is>
          <t>JÄMTLANDS LÄN</t>
        </is>
      </c>
      <c r="E1239" t="inlineStr">
        <is>
          <t>HÄRJEDALEN</t>
        </is>
      </c>
      <c r="F1239" t="inlineStr">
        <is>
          <t>Övriga statliga verk och myndigheter</t>
        </is>
      </c>
      <c r="G1239" t="n">
        <v>21.1</v>
      </c>
      <c r="H1239" t="n">
        <v>0</v>
      </c>
      <c r="I1239" t="n">
        <v>0</v>
      </c>
      <c r="J1239" t="n">
        <v>0</v>
      </c>
      <c r="K1239" t="n">
        <v>0</v>
      </c>
      <c r="L1239" t="n">
        <v>0</v>
      </c>
      <c r="M1239" t="n">
        <v>0</v>
      </c>
      <c r="N1239" t="n">
        <v>0</v>
      </c>
      <c r="O1239" t="n">
        <v>0</v>
      </c>
      <c r="P1239" t="n">
        <v>0</v>
      </c>
      <c r="Q1239" t="n">
        <v>0</v>
      </c>
      <c r="R1239" s="2" t="inlineStr"/>
    </row>
    <row r="1240" ht="15" customHeight="1">
      <c r="A1240" t="inlineStr">
        <is>
          <t>A 5630-2024</t>
        </is>
      </c>
      <c r="B1240" s="1" t="n">
        <v>45334</v>
      </c>
      <c r="C1240" s="1" t="n">
        <v>45569</v>
      </c>
      <c r="D1240" t="inlineStr">
        <is>
          <t>JÄMTLANDS LÄN</t>
        </is>
      </c>
      <c r="E1240" t="inlineStr">
        <is>
          <t>HÄRJEDALEN</t>
        </is>
      </c>
      <c r="F1240" t="inlineStr">
        <is>
          <t>Övriga statliga verk och myndigheter</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5912-2024</t>
        </is>
      </c>
      <c r="B1241" s="1" t="n">
        <v>45335</v>
      </c>
      <c r="C1241" s="1" t="n">
        <v>45569</v>
      </c>
      <c r="D1241" t="inlineStr">
        <is>
          <t>JÄMTLANDS LÄN</t>
        </is>
      </c>
      <c r="E1241" t="inlineStr">
        <is>
          <t>HÄRJEDALEN</t>
        </is>
      </c>
      <c r="G1241" t="n">
        <v>39.3</v>
      </c>
      <c r="H1241" t="n">
        <v>0</v>
      </c>
      <c r="I1241" t="n">
        <v>0</v>
      </c>
      <c r="J1241" t="n">
        <v>0</v>
      </c>
      <c r="K1241" t="n">
        <v>0</v>
      </c>
      <c r="L1241" t="n">
        <v>0</v>
      </c>
      <c r="M1241" t="n">
        <v>0</v>
      </c>
      <c r="N1241" t="n">
        <v>0</v>
      </c>
      <c r="O1241" t="n">
        <v>0</v>
      </c>
      <c r="P1241" t="n">
        <v>0</v>
      </c>
      <c r="Q1241" t="n">
        <v>0</v>
      </c>
      <c r="R1241" s="2" t="inlineStr"/>
    </row>
    <row r="1242" ht="15" customHeight="1">
      <c r="A1242" t="inlineStr">
        <is>
          <t>A 5913-2024</t>
        </is>
      </c>
      <c r="B1242" s="1" t="n">
        <v>45335</v>
      </c>
      <c r="C1242" s="1" t="n">
        <v>45569</v>
      </c>
      <c r="D1242" t="inlineStr">
        <is>
          <t>JÄMTLANDS LÄN</t>
        </is>
      </c>
      <c r="E1242" t="inlineStr">
        <is>
          <t>HÄRJEDALEN</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6218-2024</t>
        </is>
      </c>
      <c r="B1243" s="1" t="n">
        <v>45337</v>
      </c>
      <c r="C1243" s="1" t="n">
        <v>45569</v>
      </c>
      <c r="D1243" t="inlineStr">
        <is>
          <t>JÄMTLANDS LÄN</t>
        </is>
      </c>
      <c r="E1243" t="inlineStr">
        <is>
          <t>HÄRJEDALEN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6286-2024</t>
        </is>
      </c>
      <c r="B1244" s="1" t="n">
        <v>45337</v>
      </c>
      <c r="C1244" s="1" t="n">
        <v>45569</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6313-2024</t>
        </is>
      </c>
      <c r="B1245" s="1" t="n">
        <v>45338</v>
      </c>
      <c r="C1245" s="1" t="n">
        <v>45569</v>
      </c>
      <c r="D1245" t="inlineStr">
        <is>
          <t>JÄMTLANDS LÄN</t>
        </is>
      </c>
      <c r="E1245" t="inlineStr">
        <is>
          <t>HÄRJEDALEN</t>
        </is>
      </c>
      <c r="F1245" t="inlineStr">
        <is>
          <t>Bergvik skog väst AB</t>
        </is>
      </c>
      <c r="G1245" t="n">
        <v>60.7</v>
      </c>
      <c r="H1245" t="n">
        <v>0</v>
      </c>
      <c r="I1245" t="n">
        <v>0</v>
      </c>
      <c r="J1245" t="n">
        <v>0</v>
      </c>
      <c r="K1245" t="n">
        <v>0</v>
      </c>
      <c r="L1245" t="n">
        <v>0</v>
      </c>
      <c r="M1245" t="n">
        <v>0</v>
      </c>
      <c r="N1245" t="n">
        <v>0</v>
      </c>
      <c r="O1245" t="n">
        <v>0</v>
      </c>
      <c r="P1245" t="n">
        <v>0</v>
      </c>
      <c r="Q1245" t="n">
        <v>0</v>
      </c>
      <c r="R1245" s="2" t="inlineStr"/>
    </row>
    <row r="1246" ht="15" customHeight="1">
      <c r="A1246" t="inlineStr">
        <is>
          <t>A 6304-2024</t>
        </is>
      </c>
      <c r="B1246" s="1" t="n">
        <v>45338</v>
      </c>
      <c r="C1246" s="1" t="n">
        <v>45569</v>
      </c>
      <c r="D1246" t="inlineStr">
        <is>
          <t>JÄMTLANDS LÄN</t>
        </is>
      </c>
      <c r="E1246" t="inlineStr">
        <is>
          <t>HÄRJEDALEN</t>
        </is>
      </c>
      <c r="F1246" t="inlineStr">
        <is>
          <t>Bergvik skog väst AB</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6756-2024</t>
        </is>
      </c>
      <c r="B1247" s="1" t="n">
        <v>45342</v>
      </c>
      <c r="C1247" s="1" t="n">
        <v>45569</v>
      </c>
      <c r="D1247" t="inlineStr">
        <is>
          <t>JÄMTLANDS LÄN</t>
        </is>
      </c>
      <c r="E1247" t="inlineStr">
        <is>
          <t>HÄRJEDALEN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7205-2024</t>
        </is>
      </c>
      <c r="B1248" s="1" t="n">
        <v>45344</v>
      </c>
      <c r="C1248" s="1" t="n">
        <v>45569</v>
      </c>
      <c r="D1248" t="inlineStr">
        <is>
          <t>JÄMTLANDS LÄN</t>
        </is>
      </c>
      <c r="E1248" t="inlineStr">
        <is>
          <t>HÄRJEDALEN</t>
        </is>
      </c>
      <c r="F1248" t="inlineStr">
        <is>
          <t>Holmen skog AB</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7199-2024</t>
        </is>
      </c>
      <c r="B1249" s="1" t="n">
        <v>45344</v>
      </c>
      <c r="C1249" s="1" t="n">
        <v>45569</v>
      </c>
      <c r="D1249" t="inlineStr">
        <is>
          <t>JÄMTLANDS LÄN</t>
        </is>
      </c>
      <c r="E1249" t="inlineStr">
        <is>
          <t>HÄRJEDALEN</t>
        </is>
      </c>
      <c r="F1249" t="inlineStr">
        <is>
          <t>Holmen skog AB</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7235-2024</t>
        </is>
      </c>
      <c r="B1250" s="1" t="n">
        <v>45344</v>
      </c>
      <c r="C1250" s="1" t="n">
        <v>45569</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7239-2024</t>
        </is>
      </c>
      <c r="B1251" s="1" t="n">
        <v>45344</v>
      </c>
      <c r="C1251" s="1" t="n">
        <v>45569</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7243-2024</t>
        </is>
      </c>
      <c r="B1252" s="1" t="n">
        <v>45344</v>
      </c>
      <c r="C1252" s="1" t="n">
        <v>45569</v>
      </c>
      <c r="D1252" t="inlineStr">
        <is>
          <t>JÄMTLANDS LÄN</t>
        </is>
      </c>
      <c r="E1252" t="inlineStr">
        <is>
          <t>HÄRJEDALEN</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7200-2024</t>
        </is>
      </c>
      <c r="B1253" s="1" t="n">
        <v>45344</v>
      </c>
      <c r="C1253" s="1" t="n">
        <v>45569</v>
      </c>
      <c r="D1253" t="inlineStr">
        <is>
          <t>JÄMTLANDS LÄN</t>
        </is>
      </c>
      <c r="E1253" t="inlineStr">
        <is>
          <t>HÄRJEDALEN</t>
        </is>
      </c>
      <c r="F1253" t="inlineStr">
        <is>
          <t>Holmen skog AB</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7313-2024</t>
        </is>
      </c>
      <c r="B1254" s="1" t="n">
        <v>45345</v>
      </c>
      <c r="C1254" s="1" t="n">
        <v>45569</v>
      </c>
      <c r="D1254" t="inlineStr">
        <is>
          <t>JÄMTLANDS LÄN</t>
        </is>
      </c>
      <c r="E1254" t="inlineStr">
        <is>
          <t>HÄRJEDALEN</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7311-2024</t>
        </is>
      </c>
      <c r="B1255" s="1" t="n">
        <v>45345</v>
      </c>
      <c r="C1255" s="1" t="n">
        <v>45569</v>
      </c>
      <c r="D1255" t="inlineStr">
        <is>
          <t>JÄMTLANDS LÄN</t>
        </is>
      </c>
      <c r="E1255" t="inlineStr">
        <is>
          <t>HÄRJEDALEN</t>
        </is>
      </c>
      <c r="F1255" t="inlineStr">
        <is>
          <t>Holmen skog AB</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7392-2024</t>
        </is>
      </c>
      <c r="B1256" s="1" t="n">
        <v>45345</v>
      </c>
      <c r="C1256" s="1" t="n">
        <v>45569</v>
      </c>
      <c r="D1256" t="inlineStr">
        <is>
          <t>JÄMTLANDS LÄN</t>
        </is>
      </c>
      <c r="E1256" t="inlineStr">
        <is>
          <t>HÄRJEDALEN</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7396-2024</t>
        </is>
      </c>
      <c r="B1257" s="1" t="n">
        <v>45345</v>
      </c>
      <c r="C1257" s="1" t="n">
        <v>45569</v>
      </c>
      <c r="D1257" t="inlineStr">
        <is>
          <t>JÄMTLANDS LÄN</t>
        </is>
      </c>
      <c r="E1257" t="inlineStr">
        <is>
          <t>HÄRJEDALEN</t>
        </is>
      </c>
      <c r="F1257" t="inlineStr">
        <is>
          <t>Holmen skog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7368-2024</t>
        </is>
      </c>
      <c r="B1258" s="1" t="n">
        <v>45345</v>
      </c>
      <c r="C1258" s="1" t="n">
        <v>45569</v>
      </c>
      <c r="D1258" t="inlineStr">
        <is>
          <t>JÄMTLANDS LÄN</t>
        </is>
      </c>
      <c r="E1258" t="inlineStr">
        <is>
          <t>HÄRJEDALEN</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7433-2024</t>
        </is>
      </c>
      <c r="B1259" s="1" t="n">
        <v>45345</v>
      </c>
      <c r="C1259" s="1" t="n">
        <v>45569</v>
      </c>
      <c r="D1259" t="inlineStr">
        <is>
          <t>JÄMTLANDS LÄN</t>
        </is>
      </c>
      <c r="E1259" t="inlineStr">
        <is>
          <t>HÄRJEDALEN</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7424-2024</t>
        </is>
      </c>
      <c r="B1260" s="1" t="n">
        <v>45345</v>
      </c>
      <c r="C1260" s="1" t="n">
        <v>45569</v>
      </c>
      <c r="D1260" t="inlineStr">
        <is>
          <t>JÄMTLANDS LÄN</t>
        </is>
      </c>
      <c r="E1260" t="inlineStr">
        <is>
          <t>HÄRJEDALEN</t>
        </is>
      </c>
      <c r="F1260" t="inlineStr">
        <is>
          <t>Holmen skog AB</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7328-2024</t>
        </is>
      </c>
      <c r="B1261" s="1" t="n">
        <v>45345</v>
      </c>
      <c r="C1261" s="1" t="n">
        <v>45569</v>
      </c>
      <c r="D1261" t="inlineStr">
        <is>
          <t>JÄMTLANDS LÄN</t>
        </is>
      </c>
      <c r="E1261" t="inlineStr">
        <is>
          <t>HÄRJEDALEN</t>
        </is>
      </c>
      <c r="F1261" t="inlineStr">
        <is>
          <t>Sveaskog</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7320-2024</t>
        </is>
      </c>
      <c r="B1262" s="1" t="n">
        <v>45345</v>
      </c>
      <c r="C1262" s="1" t="n">
        <v>45569</v>
      </c>
      <c r="D1262" t="inlineStr">
        <is>
          <t>JÄMTLANDS LÄN</t>
        </is>
      </c>
      <c r="E1262" t="inlineStr">
        <is>
          <t>HÄRJEDALEN</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7402-2024</t>
        </is>
      </c>
      <c r="B1263" s="1" t="n">
        <v>45345</v>
      </c>
      <c r="C1263" s="1" t="n">
        <v>45569</v>
      </c>
      <c r="D1263" t="inlineStr">
        <is>
          <t>JÄMTLANDS LÄN</t>
        </is>
      </c>
      <c r="E1263" t="inlineStr">
        <is>
          <t>HÄRJEDALEN</t>
        </is>
      </c>
      <c r="F1263" t="inlineStr">
        <is>
          <t>Holmen skog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7370-2024</t>
        </is>
      </c>
      <c r="B1264" s="1" t="n">
        <v>45345</v>
      </c>
      <c r="C1264" s="1" t="n">
        <v>45569</v>
      </c>
      <c r="D1264" t="inlineStr">
        <is>
          <t>JÄMTLANDS LÄN</t>
        </is>
      </c>
      <c r="E1264" t="inlineStr">
        <is>
          <t>HÄRJEDALEN</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7362-2024</t>
        </is>
      </c>
      <c r="B1265" s="1" t="n">
        <v>45345</v>
      </c>
      <c r="C1265" s="1" t="n">
        <v>45569</v>
      </c>
      <c r="D1265" t="inlineStr">
        <is>
          <t>JÄMTLANDS LÄN</t>
        </is>
      </c>
      <c r="E1265" t="inlineStr">
        <is>
          <t>HÄRJEDALEN</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7358-2024</t>
        </is>
      </c>
      <c r="B1266" s="1" t="n">
        <v>45345</v>
      </c>
      <c r="C1266" s="1" t="n">
        <v>45569</v>
      </c>
      <c r="D1266" t="inlineStr">
        <is>
          <t>JÄMTLANDS LÄN</t>
        </is>
      </c>
      <c r="E1266" t="inlineStr">
        <is>
          <t>HÄRJEDALEN</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7318-2024</t>
        </is>
      </c>
      <c r="B1267" s="1" t="n">
        <v>45345</v>
      </c>
      <c r="C1267" s="1" t="n">
        <v>45569</v>
      </c>
      <c r="D1267" t="inlineStr">
        <is>
          <t>JÄMTLANDS LÄN</t>
        </is>
      </c>
      <c r="E1267" t="inlineStr">
        <is>
          <t>HÄRJEDALEN</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7430-2024</t>
        </is>
      </c>
      <c r="B1268" s="1" t="n">
        <v>45345</v>
      </c>
      <c r="C1268" s="1" t="n">
        <v>45569</v>
      </c>
      <c r="D1268" t="inlineStr">
        <is>
          <t>JÄMTLANDS LÄN</t>
        </is>
      </c>
      <c r="E1268" t="inlineStr">
        <is>
          <t>HÄRJEDALEN</t>
        </is>
      </c>
      <c r="F1268" t="inlineStr">
        <is>
          <t>Holmen skog AB</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7371-2024</t>
        </is>
      </c>
      <c r="B1269" s="1" t="n">
        <v>45345</v>
      </c>
      <c r="C1269" s="1" t="n">
        <v>45569</v>
      </c>
      <c r="D1269" t="inlineStr">
        <is>
          <t>JÄMTLANDS LÄN</t>
        </is>
      </c>
      <c r="E1269" t="inlineStr">
        <is>
          <t>HÄRJEDALEN</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7405-2024</t>
        </is>
      </c>
      <c r="B1270" s="1" t="n">
        <v>45345</v>
      </c>
      <c r="C1270" s="1" t="n">
        <v>45569</v>
      </c>
      <c r="D1270" t="inlineStr">
        <is>
          <t>JÄMTLANDS LÄN</t>
        </is>
      </c>
      <c r="E1270" t="inlineStr">
        <is>
          <t>HÄRJEDALEN</t>
        </is>
      </c>
      <c r="F1270" t="inlineStr">
        <is>
          <t>Holmen skog AB</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7349-2024</t>
        </is>
      </c>
      <c r="B1271" s="1" t="n">
        <v>45345</v>
      </c>
      <c r="C1271" s="1" t="n">
        <v>45569</v>
      </c>
      <c r="D1271" t="inlineStr">
        <is>
          <t>JÄMTLANDS LÄN</t>
        </is>
      </c>
      <c r="E1271" t="inlineStr">
        <is>
          <t>HÄRJEDALEN</t>
        </is>
      </c>
      <c r="F1271" t="inlineStr">
        <is>
          <t>Holmen skog AB</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7341-2024</t>
        </is>
      </c>
      <c r="B1272" s="1" t="n">
        <v>45345</v>
      </c>
      <c r="C1272" s="1" t="n">
        <v>45569</v>
      </c>
      <c r="D1272" t="inlineStr">
        <is>
          <t>JÄMTLANDS LÄN</t>
        </is>
      </c>
      <c r="E1272" t="inlineStr">
        <is>
          <t>HÄRJEDALEN</t>
        </is>
      </c>
      <c r="F1272" t="inlineStr">
        <is>
          <t>Holmen skog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7647-2024</t>
        </is>
      </c>
      <c r="B1273" s="1" t="n">
        <v>45348</v>
      </c>
      <c r="C1273" s="1" t="n">
        <v>45569</v>
      </c>
      <c r="D1273" t="inlineStr">
        <is>
          <t>JÄMTLANDS LÄN</t>
        </is>
      </c>
      <c r="E1273" t="inlineStr">
        <is>
          <t>HÄRJEDALEN</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7528-2024</t>
        </is>
      </c>
      <c r="B1274" s="1" t="n">
        <v>45348</v>
      </c>
      <c r="C1274" s="1" t="n">
        <v>45569</v>
      </c>
      <c r="D1274" t="inlineStr">
        <is>
          <t>JÄMTLANDS LÄN</t>
        </is>
      </c>
      <c r="E1274" t="inlineStr">
        <is>
          <t>HÄRJEDALEN</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7530-2024</t>
        </is>
      </c>
      <c r="B1275" s="1" t="n">
        <v>45348</v>
      </c>
      <c r="C1275" s="1" t="n">
        <v>45569</v>
      </c>
      <c r="D1275" t="inlineStr">
        <is>
          <t>JÄMTLANDS LÄN</t>
        </is>
      </c>
      <c r="E1275" t="inlineStr">
        <is>
          <t>HÄRJEDALEN</t>
        </is>
      </c>
      <c r="F1275" t="inlineStr">
        <is>
          <t>Holmen skog AB</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7639-2024</t>
        </is>
      </c>
      <c r="B1276" s="1" t="n">
        <v>45348</v>
      </c>
      <c r="C1276" s="1" t="n">
        <v>45569</v>
      </c>
      <c r="D1276" t="inlineStr">
        <is>
          <t>JÄMTLANDS LÄN</t>
        </is>
      </c>
      <c r="E1276" t="inlineStr">
        <is>
          <t>HÄRJEDALEN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7684-2024</t>
        </is>
      </c>
      <c r="B1277" s="1" t="n">
        <v>45348</v>
      </c>
      <c r="C1277" s="1" t="n">
        <v>45569</v>
      </c>
      <c r="D1277" t="inlineStr">
        <is>
          <t>JÄMTLANDS LÄN</t>
        </is>
      </c>
      <c r="E1277" t="inlineStr">
        <is>
          <t>HÄRJEDALEN</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7896-2024</t>
        </is>
      </c>
      <c r="B1278" s="1" t="n">
        <v>45350</v>
      </c>
      <c r="C1278" s="1" t="n">
        <v>45569</v>
      </c>
      <c r="D1278" t="inlineStr">
        <is>
          <t>JÄMTLANDS LÄN</t>
        </is>
      </c>
      <c r="E1278" t="inlineStr">
        <is>
          <t>HÄRJEDALEN</t>
        </is>
      </c>
      <c r="F1278" t="inlineStr">
        <is>
          <t>Holmen skog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7880-2024</t>
        </is>
      </c>
      <c r="B1279" s="1" t="n">
        <v>45350</v>
      </c>
      <c r="C1279" s="1" t="n">
        <v>45569</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7995-2024</t>
        </is>
      </c>
      <c r="B1280" s="1" t="n">
        <v>45350</v>
      </c>
      <c r="C1280" s="1" t="n">
        <v>45569</v>
      </c>
      <c r="D1280" t="inlineStr">
        <is>
          <t>JÄMTLANDS LÄN</t>
        </is>
      </c>
      <c r="E1280" t="inlineStr">
        <is>
          <t>HÄRJEDALEN</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8178-2024</t>
        </is>
      </c>
      <c r="B1281" s="1" t="n">
        <v>45350</v>
      </c>
      <c r="C1281" s="1" t="n">
        <v>45569</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8158-2024</t>
        </is>
      </c>
      <c r="B1282" s="1" t="n">
        <v>45351</v>
      </c>
      <c r="C1282" s="1" t="n">
        <v>45569</v>
      </c>
      <c r="D1282" t="inlineStr">
        <is>
          <t>JÄMTLANDS LÄN</t>
        </is>
      </c>
      <c r="E1282" t="inlineStr">
        <is>
          <t>HÄRJEDALEN</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8215-2024</t>
        </is>
      </c>
      <c r="B1283" s="1" t="n">
        <v>45351</v>
      </c>
      <c r="C1283" s="1" t="n">
        <v>45569</v>
      </c>
      <c r="D1283" t="inlineStr">
        <is>
          <t>JÄMTLANDS LÄN</t>
        </is>
      </c>
      <c r="E1283" t="inlineStr">
        <is>
          <t>HÄRJEDALEN</t>
        </is>
      </c>
      <c r="G1283" t="n">
        <v>49.2</v>
      </c>
      <c r="H1283" t="n">
        <v>0</v>
      </c>
      <c r="I1283" t="n">
        <v>0</v>
      </c>
      <c r="J1283" t="n">
        <v>0</v>
      </c>
      <c r="K1283" t="n">
        <v>0</v>
      </c>
      <c r="L1283" t="n">
        <v>0</v>
      </c>
      <c r="M1283" t="n">
        <v>0</v>
      </c>
      <c r="N1283" t="n">
        <v>0</v>
      </c>
      <c r="O1283" t="n">
        <v>0</v>
      </c>
      <c r="P1283" t="n">
        <v>0</v>
      </c>
      <c r="Q1283" t="n">
        <v>0</v>
      </c>
      <c r="R1283" s="2" t="inlineStr"/>
    </row>
    <row r="1284" ht="15" customHeight="1">
      <c r="A1284" t="inlineStr">
        <is>
          <t>A 8136-2024</t>
        </is>
      </c>
      <c r="B1284" s="1" t="n">
        <v>45351</v>
      </c>
      <c r="C1284" s="1" t="n">
        <v>45569</v>
      </c>
      <c r="D1284" t="inlineStr">
        <is>
          <t>JÄMTLANDS LÄN</t>
        </is>
      </c>
      <c r="E1284" t="inlineStr">
        <is>
          <t>HÄRJEDALEN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8376-2024</t>
        </is>
      </c>
      <c r="B1285" s="1" t="n">
        <v>45352</v>
      </c>
      <c r="C1285" s="1" t="n">
        <v>45569</v>
      </c>
      <c r="D1285" t="inlineStr">
        <is>
          <t>JÄMTLANDS LÄN</t>
        </is>
      </c>
      <c r="E1285" t="inlineStr">
        <is>
          <t>HÄRJEDALEN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9013-2024</t>
        </is>
      </c>
      <c r="B1286" s="1" t="n">
        <v>45357</v>
      </c>
      <c r="C1286" s="1" t="n">
        <v>45569</v>
      </c>
      <c r="D1286" t="inlineStr">
        <is>
          <t>JÄMTLANDS LÄN</t>
        </is>
      </c>
      <c r="E1286" t="inlineStr">
        <is>
          <t>HÄRJEDALEN</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9778-2024</t>
        </is>
      </c>
      <c r="B1287" s="1" t="n">
        <v>45362</v>
      </c>
      <c r="C1287" s="1" t="n">
        <v>45569</v>
      </c>
      <c r="D1287" t="inlineStr">
        <is>
          <t>JÄMTLANDS LÄN</t>
        </is>
      </c>
      <c r="E1287" t="inlineStr">
        <is>
          <t>HÄRJEDALEN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9782-2024</t>
        </is>
      </c>
      <c r="B1288" s="1" t="n">
        <v>45362</v>
      </c>
      <c r="C1288" s="1" t="n">
        <v>45569</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9767-2024</t>
        </is>
      </c>
      <c r="B1289" s="1" t="n">
        <v>45362</v>
      </c>
      <c r="C1289" s="1" t="n">
        <v>45569</v>
      </c>
      <c r="D1289" t="inlineStr">
        <is>
          <t>JÄMTLANDS LÄN</t>
        </is>
      </c>
      <c r="E1289" t="inlineStr">
        <is>
          <t>HÄRJEDALEN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9780-2024</t>
        </is>
      </c>
      <c r="B1290" s="1" t="n">
        <v>45362</v>
      </c>
      <c r="C1290" s="1" t="n">
        <v>45569</v>
      </c>
      <c r="D1290" t="inlineStr">
        <is>
          <t>JÄMTLANDS LÄN</t>
        </is>
      </c>
      <c r="E1290" t="inlineStr">
        <is>
          <t>HÄRJEDALEN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9784-2024</t>
        </is>
      </c>
      <c r="B1291" s="1" t="n">
        <v>45362</v>
      </c>
      <c r="C1291" s="1" t="n">
        <v>45569</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9788-2024</t>
        </is>
      </c>
      <c r="B1292" s="1" t="n">
        <v>45362</v>
      </c>
      <c r="C1292" s="1" t="n">
        <v>45569</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9775-2024</t>
        </is>
      </c>
      <c r="B1293" s="1" t="n">
        <v>45362</v>
      </c>
      <c r="C1293" s="1" t="n">
        <v>45569</v>
      </c>
      <c r="D1293" t="inlineStr">
        <is>
          <t>JÄMTLANDS LÄN</t>
        </is>
      </c>
      <c r="E1293" t="inlineStr">
        <is>
          <t>HÄRJEDALEN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10566-2024</t>
        </is>
      </c>
      <c r="B1294" s="1" t="n">
        <v>45366</v>
      </c>
      <c r="C1294" s="1" t="n">
        <v>45569</v>
      </c>
      <c r="D1294" t="inlineStr">
        <is>
          <t>JÄMTLANDS LÄN</t>
        </is>
      </c>
      <c r="E1294" t="inlineStr">
        <is>
          <t>HÄRJEDALEN</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10564-2024</t>
        </is>
      </c>
      <c r="B1295" s="1" t="n">
        <v>45366</v>
      </c>
      <c r="C1295" s="1" t="n">
        <v>45569</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10563-2024</t>
        </is>
      </c>
      <c r="B1296" s="1" t="n">
        <v>45366</v>
      </c>
      <c r="C1296" s="1" t="n">
        <v>45569</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11257-2024</t>
        </is>
      </c>
      <c r="B1297" s="1" t="n">
        <v>45371</v>
      </c>
      <c r="C1297" s="1" t="n">
        <v>45569</v>
      </c>
      <c r="D1297" t="inlineStr">
        <is>
          <t>JÄMTLANDS LÄN</t>
        </is>
      </c>
      <c r="E1297" t="inlineStr">
        <is>
          <t>HÄRJEDALEN</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11255-2024</t>
        </is>
      </c>
      <c r="B1298" s="1" t="n">
        <v>45371</v>
      </c>
      <c r="C1298" s="1" t="n">
        <v>45569</v>
      </c>
      <c r="D1298" t="inlineStr">
        <is>
          <t>JÄMTLANDS LÄN</t>
        </is>
      </c>
      <c r="E1298" t="inlineStr">
        <is>
          <t>HÄRJEDALEN</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11494-2024</t>
        </is>
      </c>
      <c r="B1299" s="1" t="n">
        <v>45372</v>
      </c>
      <c r="C1299" s="1" t="n">
        <v>45569</v>
      </c>
      <c r="D1299" t="inlineStr">
        <is>
          <t>JÄMTLANDS LÄN</t>
        </is>
      </c>
      <c r="E1299" t="inlineStr">
        <is>
          <t>HÄRJEDALEN</t>
        </is>
      </c>
      <c r="G1299" t="n">
        <v>28.8</v>
      </c>
      <c r="H1299" t="n">
        <v>0</v>
      </c>
      <c r="I1299" t="n">
        <v>0</v>
      </c>
      <c r="J1299" t="n">
        <v>0</v>
      </c>
      <c r="K1299" t="n">
        <v>0</v>
      </c>
      <c r="L1299" t="n">
        <v>0</v>
      </c>
      <c r="M1299" t="n">
        <v>0</v>
      </c>
      <c r="N1299" t="n">
        <v>0</v>
      </c>
      <c r="O1299" t="n">
        <v>0</v>
      </c>
      <c r="P1299" t="n">
        <v>0</v>
      </c>
      <c r="Q1299" t="n">
        <v>0</v>
      </c>
      <c r="R1299" s="2" t="inlineStr"/>
    </row>
    <row r="1300" ht="15" customHeight="1">
      <c r="A1300" t="inlineStr">
        <is>
          <t>A 11624-2024</t>
        </is>
      </c>
      <c r="B1300" s="1" t="n">
        <v>45373</v>
      </c>
      <c r="C1300" s="1" t="n">
        <v>45569</v>
      </c>
      <c r="D1300" t="inlineStr">
        <is>
          <t>JÄMTLANDS LÄN</t>
        </is>
      </c>
      <c r="E1300" t="inlineStr">
        <is>
          <t>HÄRJEDALEN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11612-2024</t>
        </is>
      </c>
      <c r="B1301" s="1" t="n">
        <v>45373</v>
      </c>
      <c r="C1301" s="1" t="n">
        <v>45569</v>
      </c>
      <c r="D1301" t="inlineStr">
        <is>
          <t>JÄMTLANDS LÄN</t>
        </is>
      </c>
      <c r="E1301" t="inlineStr">
        <is>
          <t>HÄRJEDALEN</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12043-2024</t>
        </is>
      </c>
      <c r="B1302" s="1" t="n">
        <v>45377</v>
      </c>
      <c r="C1302" s="1" t="n">
        <v>45569</v>
      </c>
      <c r="D1302" t="inlineStr">
        <is>
          <t>JÄMTLANDS LÄN</t>
        </is>
      </c>
      <c r="E1302" t="inlineStr">
        <is>
          <t>HÄRJEDALEN</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12929-2024</t>
        </is>
      </c>
      <c r="B1303" s="1" t="n">
        <v>45385</v>
      </c>
      <c r="C1303" s="1" t="n">
        <v>45569</v>
      </c>
      <c r="D1303" t="inlineStr">
        <is>
          <t>JÄMTLANDS LÄN</t>
        </is>
      </c>
      <c r="E1303" t="inlineStr">
        <is>
          <t>HÄRJEDALEN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13542-2024</t>
        </is>
      </c>
      <c r="B1304" s="1" t="n">
        <v>45387</v>
      </c>
      <c r="C1304" s="1" t="n">
        <v>45569</v>
      </c>
      <c r="D1304" t="inlineStr">
        <is>
          <t>JÄMTLANDS LÄN</t>
        </is>
      </c>
      <c r="E1304" t="inlineStr">
        <is>
          <t>HÄRJEDALEN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13543-2024</t>
        </is>
      </c>
      <c r="B1305" s="1" t="n">
        <v>45387</v>
      </c>
      <c r="C1305" s="1" t="n">
        <v>45569</v>
      </c>
      <c r="D1305" t="inlineStr">
        <is>
          <t>JÄMTLANDS LÄN</t>
        </is>
      </c>
      <c r="E1305" t="inlineStr">
        <is>
          <t>HÄRJEDALEN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13544-2024</t>
        </is>
      </c>
      <c r="B1306" s="1" t="n">
        <v>45387</v>
      </c>
      <c r="C1306" s="1" t="n">
        <v>45569</v>
      </c>
      <c r="D1306" t="inlineStr">
        <is>
          <t>JÄMTLANDS LÄN</t>
        </is>
      </c>
      <c r="E1306" t="inlineStr">
        <is>
          <t>HÄRJEDALEN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13545-2024</t>
        </is>
      </c>
      <c r="B1307" s="1" t="n">
        <v>45387</v>
      </c>
      <c r="C1307" s="1" t="n">
        <v>45569</v>
      </c>
      <c r="D1307" t="inlineStr">
        <is>
          <t>JÄMTLANDS LÄN</t>
        </is>
      </c>
      <c r="E1307" t="inlineStr">
        <is>
          <t>HÄRJEDALEN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13541-2024</t>
        </is>
      </c>
      <c r="B1308" s="1" t="n">
        <v>45387</v>
      </c>
      <c r="C1308" s="1" t="n">
        <v>45569</v>
      </c>
      <c r="D1308" t="inlineStr">
        <is>
          <t>JÄMTLANDS LÄN</t>
        </is>
      </c>
      <c r="E1308" t="inlineStr">
        <is>
          <t>HÄRJEDALEN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13723-2024</t>
        </is>
      </c>
      <c r="B1309" s="1" t="n">
        <v>45390</v>
      </c>
      <c r="C1309" s="1" t="n">
        <v>45569</v>
      </c>
      <c r="D1309" t="inlineStr">
        <is>
          <t>JÄMTLANDS LÄN</t>
        </is>
      </c>
      <c r="E1309" t="inlineStr">
        <is>
          <t>HÄRJEDALEN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14301-2024</t>
        </is>
      </c>
      <c r="B1310" s="1" t="n">
        <v>45393</v>
      </c>
      <c r="C1310" s="1" t="n">
        <v>45569</v>
      </c>
      <c r="D1310" t="inlineStr">
        <is>
          <t>JÄMTLANDS LÄN</t>
        </is>
      </c>
      <c r="E1310" t="inlineStr">
        <is>
          <t>HÄRJEDALEN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14306-2024</t>
        </is>
      </c>
      <c r="B1311" s="1" t="n">
        <v>45393</v>
      </c>
      <c r="C1311" s="1" t="n">
        <v>45569</v>
      </c>
      <c r="D1311" t="inlineStr">
        <is>
          <t>JÄMTLANDS LÄN</t>
        </is>
      </c>
      <c r="E1311" t="inlineStr">
        <is>
          <t>HÄRJEDALEN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14752-2024</t>
        </is>
      </c>
      <c r="B1312" s="1" t="n">
        <v>45397</v>
      </c>
      <c r="C1312" s="1" t="n">
        <v>45569</v>
      </c>
      <c r="D1312" t="inlineStr">
        <is>
          <t>JÄMTLANDS LÄN</t>
        </is>
      </c>
      <c r="E1312" t="inlineStr">
        <is>
          <t>HÄRJEDALEN</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15525-2024</t>
        </is>
      </c>
      <c r="B1313" s="1" t="n">
        <v>45401</v>
      </c>
      <c r="C1313" s="1" t="n">
        <v>45569</v>
      </c>
      <c r="D1313" t="inlineStr">
        <is>
          <t>JÄMTLANDS LÄN</t>
        </is>
      </c>
      <c r="E1313" t="inlineStr">
        <is>
          <t>HÄRJEDALEN</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16185-2024</t>
        </is>
      </c>
      <c r="B1314" s="1" t="n">
        <v>45406</v>
      </c>
      <c r="C1314" s="1" t="n">
        <v>45569</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16151-2024</t>
        </is>
      </c>
      <c r="B1315" s="1" t="n">
        <v>45406</v>
      </c>
      <c r="C1315" s="1" t="n">
        <v>45569</v>
      </c>
      <c r="D1315" t="inlineStr">
        <is>
          <t>JÄMTLANDS LÄN</t>
        </is>
      </c>
      <c r="E1315" t="inlineStr">
        <is>
          <t>HÄRJEDALEN</t>
        </is>
      </c>
      <c r="F1315" t="inlineStr">
        <is>
          <t>Holmen skog AB</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16175-2024</t>
        </is>
      </c>
      <c r="B1316" s="1" t="n">
        <v>45406</v>
      </c>
      <c r="C1316" s="1" t="n">
        <v>45569</v>
      </c>
      <c r="D1316" t="inlineStr">
        <is>
          <t>JÄMTLANDS LÄN</t>
        </is>
      </c>
      <c r="E1316" t="inlineStr">
        <is>
          <t>HÄRJEDALEN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16176-2024</t>
        </is>
      </c>
      <c r="B1317" s="1" t="n">
        <v>45406</v>
      </c>
      <c r="C1317" s="1" t="n">
        <v>45569</v>
      </c>
      <c r="D1317" t="inlineStr">
        <is>
          <t>JÄMTLANDS LÄN</t>
        </is>
      </c>
      <c r="E1317" t="inlineStr">
        <is>
          <t>HÄRJEDALEN</t>
        </is>
      </c>
      <c r="F1317" t="inlineStr">
        <is>
          <t>Holmen skog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16283-2024</t>
        </is>
      </c>
      <c r="B1318" s="1" t="n">
        <v>45407</v>
      </c>
      <c r="C1318" s="1" t="n">
        <v>45569</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16511-2024</t>
        </is>
      </c>
      <c r="B1319" s="1" t="n">
        <v>45408</v>
      </c>
      <c r="C1319" s="1" t="n">
        <v>45569</v>
      </c>
      <c r="D1319" t="inlineStr">
        <is>
          <t>JÄMTLANDS LÄN</t>
        </is>
      </c>
      <c r="E1319" t="inlineStr">
        <is>
          <t>HÄRJEDALEN</t>
        </is>
      </c>
      <c r="G1319" t="n">
        <v>54.2</v>
      </c>
      <c r="H1319" t="n">
        <v>0</v>
      </c>
      <c r="I1319" t="n">
        <v>0</v>
      </c>
      <c r="J1319" t="n">
        <v>0</v>
      </c>
      <c r="K1319" t="n">
        <v>0</v>
      </c>
      <c r="L1319" t="n">
        <v>0</v>
      </c>
      <c r="M1319" t="n">
        <v>0</v>
      </c>
      <c r="N1319" t="n">
        <v>0</v>
      </c>
      <c r="O1319" t="n">
        <v>0</v>
      </c>
      <c r="P1319" t="n">
        <v>0</v>
      </c>
      <c r="Q1319" t="n">
        <v>0</v>
      </c>
      <c r="R1319" s="2" t="inlineStr"/>
    </row>
    <row r="1320" ht="15" customHeight="1">
      <c r="A1320" t="inlineStr">
        <is>
          <t>A 16535-2024</t>
        </is>
      </c>
      <c r="B1320" s="1" t="n">
        <v>45408</v>
      </c>
      <c r="C1320" s="1" t="n">
        <v>45569</v>
      </c>
      <c r="D1320" t="inlineStr">
        <is>
          <t>JÄMTLANDS LÄN</t>
        </is>
      </c>
      <c r="E1320" t="inlineStr">
        <is>
          <t>HÄRJEDALEN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16801-2024</t>
        </is>
      </c>
      <c r="B1321" s="1" t="n">
        <v>45411</v>
      </c>
      <c r="C1321" s="1" t="n">
        <v>45569</v>
      </c>
      <c r="D1321" t="inlineStr">
        <is>
          <t>JÄMTLANDS LÄN</t>
        </is>
      </c>
      <c r="E1321" t="inlineStr">
        <is>
          <t>HÄRJEDALEN</t>
        </is>
      </c>
      <c r="F1321" t="inlineStr">
        <is>
          <t>Bergvik skog väst AB</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17416-2024</t>
        </is>
      </c>
      <c r="B1322" s="1" t="n">
        <v>45415</v>
      </c>
      <c r="C1322" s="1" t="n">
        <v>45569</v>
      </c>
      <c r="D1322" t="inlineStr">
        <is>
          <t>JÄMTLANDS LÄN</t>
        </is>
      </c>
      <c r="E1322" t="inlineStr">
        <is>
          <t>HÄRJEDALEN</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17773-2024</t>
        </is>
      </c>
      <c r="B1323" s="1" t="n">
        <v>45418</v>
      </c>
      <c r="C1323" s="1" t="n">
        <v>45569</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17865-2024</t>
        </is>
      </c>
      <c r="B1324" s="1" t="n">
        <v>45419</v>
      </c>
      <c r="C1324" s="1" t="n">
        <v>45569</v>
      </c>
      <c r="D1324" t="inlineStr">
        <is>
          <t>JÄMTLANDS LÄN</t>
        </is>
      </c>
      <c r="E1324" t="inlineStr">
        <is>
          <t>HÄRJEDALEN</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18036-2024</t>
        </is>
      </c>
      <c r="B1325" s="1" t="n">
        <v>45420</v>
      </c>
      <c r="C1325" s="1" t="n">
        <v>45569</v>
      </c>
      <c r="D1325" t="inlineStr">
        <is>
          <t>JÄMTLANDS LÄN</t>
        </is>
      </c>
      <c r="E1325" t="inlineStr">
        <is>
          <t>HÄRJEDALEN</t>
        </is>
      </c>
      <c r="F1325" t="inlineStr">
        <is>
          <t>Holmen skog AB</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18068-2024</t>
        </is>
      </c>
      <c r="B1326" s="1" t="n">
        <v>45420</v>
      </c>
      <c r="C1326" s="1" t="n">
        <v>45569</v>
      </c>
      <c r="D1326" t="inlineStr">
        <is>
          <t>JÄMTLANDS LÄN</t>
        </is>
      </c>
      <c r="E1326" t="inlineStr">
        <is>
          <t>HÄRJEDALEN</t>
        </is>
      </c>
      <c r="F1326" t="inlineStr">
        <is>
          <t>Bergvik skog väst AB</t>
        </is>
      </c>
      <c r="G1326" t="n">
        <v>14.5</v>
      </c>
      <c r="H1326" t="n">
        <v>0</v>
      </c>
      <c r="I1326" t="n">
        <v>0</v>
      </c>
      <c r="J1326" t="n">
        <v>0</v>
      </c>
      <c r="K1326" t="n">
        <v>0</v>
      </c>
      <c r="L1326" t="n">
        <v>0</v>
      </c>
      <c r="M1326" t="n">
        <v>0</v>
      </c>
      <c r="N1326" t="n">
        <v>0</v>
      </c>
      <c r="O1326" t="n">
        <v>0</v>
      </c>
      <c r="P1326" t="n">
        <v>0</v>
      </c>
      <c r="Q1326" t="n">
        <v>0</v>
      </c>
      <c r="R1326" s="2" t="inlineStr"/>
    </row>
    <row r="1327" ht="15" customHeight="1">
      <c r="A1327" t="inlineStr">
        <is>
          <t>A 18076-2024</t>
        </is>
      </c>
      <c r="B1327" s="1" t="n">
        <v>45420</v>
      </c>
      <c r="C1327" s="1" t="n">
        <v>45569</v>
      </c>
      <c r="D1327" t="inlineStr">
        <is>
          <t>JÄMTLANDS LÄN</t>
        </is>
      </c>
      <c r="E1327" t="inlineStr">
        <is>
          <t>HÄRJEDALEN</t>
        </is>
      </c>
      <c r="F1327" t="inlineStr">
        <is>
          <t>Holmen skog AB</t>
        </is>
      </c>
      <c r="G1327" t="n">
        <v>18.2</v>
      </c>
      <c r="H1327" t="n">
        <v>0</v>
      </c>
      <c r="I1327" t="n">
        <v>0</v>
      </c>
      <c r="J1327" t="n">
        <v>0</v>
      </c>
      <c r="K1327" t="n">
        <v>0</v>
      </c>
      <c r="L1327" t="n">
        <v>0</v>
      </c>
      <c r="M1327" t="n">
        <v>0</v>
      </c>
      <c r="N1327" t="n">
        <v>0</v>
      </c>
      <c r="O1327" t="n">
        <v>0</v>
      </c>
      <c r="P1327" t="n">
        <v>0</v>
      </c>
      <c r="Q1327" t="n">
        <v>0</v>
      </c>
      <c r="R1327" s="2" t="inlineStr"/>
    </row>
    <row r="1328" ht="15" customHeight="1">
      <c r="A1328" t="inlineStr">
        <is>
          <t>A 18080-2024</t>
        </is>
      </c>
      <c r="B1328" s="1" t="n">
        <v>45420</v>
      </c>
      <c r="C1328" s="1" t="n">
        <v>45569</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18107-2024</t>
        </is>
      </c>
      <c r="B1329" s="1" t="n">
        <v>45420</v>
      </c>
      <c r="C1329" s="1" t="n">
        <v>45569</v>
      </c>
      <c r="D1329" t="inlineStr">
        <is>
          <t>JÄMTLANDS LÄN</t>
        </is>
      </c>
      <c r="E1329" t="inlineStr">
        <is>
          <t>HÄRJEDALEN</t>
        </is>
      </c>
      <c r="F1329" t="inlineStr">
        <is>
          <t>Holmen skog AB</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18554-2024</t>
        </is>
      </c>
      <c r="B1330" s="1" t="n">
        <v>45425</v>
      </c>
      <c r="C1330" s="1" t="n">
        <v>45569</v>
      </c>
      <c r="D1330" t="inlineStr">
        <is>
          <t>JÄMTLANDS LÄN</t>
        </is>
      </c>
      <c r="E1330" t="inlineStr">
        <is>
          <t>HÄRJEDALEN</t>
        </is>
      </c>
      <c r="G1330" t="n">
        <v>18.7</v>
      </c>
      <c r="H1330" t="n">
        <v>0</v>
      </c>
      <c r="I1330" t="n">
        <v>0</v>
      </c>
      <c r="J1330" t="n">
        <v>0</v>
      </c>
      <c r="K1330" t="n">
        <v>0</v>
      </c>
      <c r="L1330" t="n">
        <v>0</v>
      </c>
      <c r="M1330" t="n">
        <v>0</v>
      </c>
      <c r="N1330" t="n">
        <v>0</v>
      </c>
      <c r="O1330" t="n">
        <v>0</v>
      </c>
      <c r="P1330" t="n">
        <v>0</v>
      </c>
      <c r="Q1330" t="n">
        <v>0</v>
      </c>
      <c r="R1330" s="2" t="inlineStr"/>
    </row>
    <row r="1331" ht="15" customHeight="1">
      <c r="A1331" t="inlineStr">
        <is>
          <t>A 18550-2024</t>
        </is>
      </c>
      <c r="B1331" s="1" t="n">
        <v>45425</v>
      </c>
      <c r="C1331" s="1" t="n">
        <v>45569</v>
      </c>
      <c r="D1331" t="inlineStr">
        <is>
          <t>JÄMTLANDS LÄN</t>
        </is>
      </c>
      <c r="E1331" t="inlineStr">
        <is>
          <t>HÄRJEDALEN</t>
        </is>
      </c>
      <c r="G1331" t="n">
        <v>15.7</v>
      </c>
      <c r="H1331" t="n">
        <v>0</v>
      </c>
      <c r="I1331" t="n">
        <v>0</v>
      </c>
      <c r="J1331" t="n">
        <v>0</v>
      </c>
      <c r="K1331" t="n">
        <v>0</v>
      </c>
      <c r="L1331" t="n">
        <v>0</v>
      </c>
      <c r="M1331" t="n">
        <v>0</v>
      </c>
      <c r="N1331" t="n">
        <v>0</v>
      </c>
      <c r="O1331" t="n">
        <v>0</v>
      </c>
      <c r="P1331" t="n">
        <v>0</v>
      </c>
      <c r="Q1331" t="n">
        <v>0</v>
      </c>
      <c r="R1331" s="2" t="inlineStr"/>
    </row>
    <row r="1332" ht="15" customHeight="1">
      <c r="A1332" t="inlineStr">
        <is>
          <t>A 18644-2024</t>
        </is>
      </c>
      <c r="B1332" s="1" t="n">
        <v>45426</v>
      </c>
      <c r="C1332" s="1" t="n">
        <v>45569</v>
      </c>
      <c r="D1332" t="inlineStr">
        <is>
          <t>JÄMTLANDS LÄN</t>
        </is>
      </c>
      <c r="E1332" t="inlineStr">
        <is>
          <t>HÄRJEDALEN</t>
        </is>
      </c>
      <c r="F1332" t="inlineStr">
        <is>
          <t>SCA</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18903-2024</t>
        </is>
      </c>
      <c r="B1333" s="1" t="n">
        <v>45427</v>
      </c>
      <c r="C1333" s="1" t="n">
        <v>45569</v>
      </c>
      <c r="D1333" t="inlineStr">
        <is>
          <t>JÄMTLANDS LÄN</t>
        </is>
      </c>
      <c r="E1333" t="inlineStr">
        <is>
          <t>HÄRJEDALEN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19001-2024</t>
        </is>
      </c>
      <c r="B1334" s="1" t="n">
        <v>45427</v>
      </c>
      <c r="C1334" s="1" t="n">
        <v>45569</v>
      </c>
      <c r="D1334" t="inlineStr">
        <is>
          <t>JÄMTLANDS LÄN</t>
        </is>
      </c>
      <c r="E1334" t="inlineStr">
        <is>
          <t>HÄRJEDALEN</t>
        </is>
      </c>
      <c r="G1334" t="n">
        <v>22.6</v>
      </c>
      <c r="H1334" t="n">
        <v>0</v>
      </c>
      <c r="I1334" t="n">
        <v>0</v>
      </c>
      <c r="J1334" t="n">
        <v>0</v>
      </c>
      <c r="K1334" t="n">
        <v>0</v>
      </c>
      <c r="L1334" t="n">
        <v>0</v>
      </c>
      <c r="M1334" t="n">
        <v>0</v>
      </c>
      <c r="N1334" t="n">
        <v>0</v>
      </c>
      <c r="O1334" t="n">
        <v>0</v>
      </c>
      <c r="P1334" t="n">
        <v>0</v>
      </c>
      <c r="Q1334" t="n">
        <v>0</v>
      </c>
      <c r="R1334" s="2" t="inlineStr"/>
    </row>
    <row r="1335" ht="15" customHeight="1">
      <c r="A1335" t="inlineStr">
        <is>
          <t>A 19453-2024</t>
        </is>
      </c>
      <c r="B1335" s="1" t="n">
        <v>45429</v>
      </c>
      <c r="C1335" s="1" t="n">
        <v>45569</v>
      </c>
      <c r="D1335" t="inlineStr">
        <is>
          <t>JÄMTLANDS LÄN</t>
        </is>
      </c>
      <c r="E1335" t="inlineStr">
        <is>
          <t>HÄRJEDALEN</t>
        </is>
      </c>
      <c r="G1335" t="n">
        <v>31.6</v>
      </c>
      <c r="H1335" t="n">
        <v>0</v>
      </c>
      <c r="I1335" t="n">
        <v>0</v>
      </c>
      <c r="J1335" t="n">
        <v>0</v>
      </c>
      <c r="K1335" t="n">
        <v>0</v>
      </c>
      <c r="L1335" t="n">
        <v>0</v>
      </c>
      <c r="M1335" t="n">
        <v>0</v>
      </c>
      <c r="N1335" t="n">
        <v>0</v>
      </c>
      <c r="O1335" t="n">
        <v>0</v>
      </c>
      <c r="P1335" t="n">
        <v>0</v>
      </c>
      <c r="Q1335" t="n">
        <v>0</v>
      </c>
      <c r="R1335" s="2" t="inlineStr"/>
    </row>
    <row r="1336" ht="15" customHeight="1">
      <c r="A1336" t="inlineStr">
        <is>
          <t>A 19488-2024</t>
        </is>
      </c>
      <c r="B1336" s="1" t="n">
        <v>45429</v>
      </c>
      <c r="C1336" s="1" t="n">
        <v>45569</v>
      </c>
      <c r="D1336" t="inlineStr">
        <is>
          <t>JÄMTLANDS LÄN</t>
        </is>
      </c>
      <c r="E1336" t="inlineStr">
        <is>
          <t>HÄRJEDALEN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19492-2024</t>
        </is>
      </c>
      <c r="B1337" s="1" t="n">
        <v>45429</v>
      </c>
      <c r="C1337" s="1" t="n">
        <v>45569</v>
      </c>
      <c r="D1337" t="inlineStr">
        <is>
          <t>JÄMTLANDS LÄN</t>
        </is>
      </c>
      <c r="E1337" t="inlineStr">
        <is>
          <t>HÄRJEDALEN</t>
        </is>
      </c>
      <c r="G1337" t="n">
        <v>58.7</v>
      </c>
      <c r="H1337" t="n">
        <v>0</v>
      </c>
      <c r="I1337" t="n">
        <v>0</v>
      </c>
      <c r="J1337" t="n">
        <v>0</v>
      </c>
      <c r="K1337" t="n">
        <v>0</v>
      </c>
      <c r="L1337" t="n">
        <v>0</v>
      </c>
      <c r="M1337" t="n">
        <v>0</v>
      </c>
      <c r="N1337" t="n">
        <v>0</v>
      </c>
      <c r="O1337" t="n">
        <v>0</v>
      </c>
      <c r="P1337" t="n">
        <v>0</v>
      </c>
      <c r="Q1337" t="n">
        <v>0</v>
      </c>
      <c r="R1337" s="2" t="inlineStr"/>
    </row>
    <row r="1338" ht="15" customHeight="1">
      <c r="A1338" t="inlineStr">
        <is>
          <t>A 19402-2024</t>
        </is>
      </c>
      <c r="B1338" s="1" t="n">
        <v>45429</v>
      </c>
      <c r="C1338" s="1" t="n">
        <v>45569</v>
      </c>
      <c r="D1338" t="inlineStr">
        <is>
          <t>JÄMTLANDS LÄN</t>
        </is>
      </c>
      <c r="E1338" t="inlineStr">
        <is>
          <t>HÄRJEDALEN</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19426-2024</t>
        </is>
      </c>
      <c r="B1339" s="1" t="n">
        <v>45429</v>
      </c>
      <c r="C1339" s="1" t="n">
        <v>45569</v>
      </c>
      <c r="D1339" t="inlineStr">
        <is>
          <t>JÄMTLANDS LÄN</t>
        </is>
      </c>
      <c r="E1339" t="inlineStr">
        <is>
          <t>HÄRJEDALEN</t>
        </is>
      </c>
      <c r="G1339" t="n">
        <v>30.6</v>
      </c>
      <c r="H1339" t="n">
        <v>0</v>
      </c>
      <c r="I1339" t="n">
        <v>0</v>
      </c>
      <c r="J1339" t="n">
        <v>0</v>
      </c>
      <c r="K1339" t="n">
        <v>0</v>
      </c>
      <c r="L1339" t="n">
        <v>0</v>
      </c>
      <c r="M1339" t="n">
        <v>0</v>
      </c>
      <c r="N1339" t="n">
        <v>0</v>
      </c>
      <c r="O1339" t="n">
        <v>0</v>
      </c>
      <c r="P1339" t="n">
        <v>0</v>
      </c>
      <c r="Q1339" t="n">
        <v>0</v>
      </c>
      <c r="R1339" s="2" t="inlineStr"/>
    </row>
    <row r="1340" ht="15" customHeight="1">
      <c r="A1340" t="inlineStr">
        <is>
          <t>A 19661-2024</t>
        </is>
      </c>
      <c r="B1340" s="1" t="n">
        <v>45432</v>
      </c>
      <c r="C1340" s="1" t="n">
        <v>45569</v>
      </c>
      <c r="D1340" t="inlineStr">
        <is>
          <t>JÄMTLANDS LÄN</t>
        </is>
      </c>
      <c r="E1340" t="inlineStr">
        <is>
          <t>HÄRJEDALEN</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19677-2024</t>
        </is>
      </c>
      <c r="B1341" s="1" t="n">
        <v>45432</v>
      </c>
      <c r="C1341" s="1" t="n">
        <v>45569</v>
      </c>
      <c r="D1341" t="inlineStr">
        <is>
          <t>JÄMTLANDS LÄN</t>
        </is>
      </c>
      <c r="E1341" t="inlineStr">
        <is>
          <t>HÄRJEDALEN</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20005-2024</t>
        </is>
      </c>
      <c r="B1342" s="1" t="n">
        <v>45434</v>
      </c>
      <c r="C1342" s="1" t="n">
        <v>45569</v>
      </c>
      <c r="D1342" t="inlineStr">
        <is>
          <t>JÄMTLANDS LÄN</t>
        </is>
      </c>
      <c r="E1342" t="inlineStr">
        <is>
          <t>HÄRJEDALEN</t>
        </is>
      </c>
      <c r="F1342" t="inlineStr">
        <is>
          <t>SCA</t>
        </is>
      </c>
      <c r="G1342" t="n">
        <v>20.7</v>
      </c>
      <c r="H1342" t="n">
        <v>0</v>
      </c>
      <c r="I1342" t="n">
        <v>0</v>
      </c>
      <c r="J1342" t="n">
        <v>0</v>
      </c>
      <c r="K1342" t="n">
        <v>0</v>
      </c>
      <c r="L1342" t="n">
        <v>0</v>
      </c>
      <c r="M1342" t="n">
        <v>0</v>
      </c>
      <c r="N1342" t="n">
        <v>0</v>
      </c>
      <c r="O1342" t="n">
        <v>0</v>
      </c>
      <c r="P1342" t="n">
        <v>0</v>
      </c>
      <c r="Q1342" t="n">
        <v>0</v>
      </c>
      <c r="R1342" s="2" t="inlineStr"/>
    </row>
    <row r="1343" ht="15" customHeight="1">
      <c r="A1343" t="inlineStr">
        <is>
          <t>A 20701-2024</t>
        </is>
      </c>
      <c r="B1343" s="1" t="n">
        <v>45436</v>
      </c>
      <c r="C1343" s="1" t="n">
        <v>45569</v>
      </c>
      <c r="D1343" t="inlineStr">
        <is>
          <t>JÄMTLANDS LÄN</t>
        </is>
      </c>
      <c r="E1343" t="inlineStr">
        <is>
          <t>HÄRJEDALEN</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20865-2024</t>
        </is>
      </c>
      <c r="B1344" s="1" t="n">
        <v>45439</v>
      </c>
      <c r="C1344" s="1" t="n">
        <v>45569</v>
      </c>
      <c r="D1344" t="inlineStr">
        <is>
          <t>JÄMTLANDS LÄN</t>
        </is>
      </c>
      <c r="E1344" t="inlineStr">
        <is>
          <t>HÄRJEDALEN</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21011-2024</t>
        </is>
      </c>
      <c r="B1345" s="1" t="n">
        <v>45439</v>
      </c>
      <c r="C1345" s="1" t="n">
        <v>45569</v>
      </c>
      <c r="D1345" t="inlineStr">
        <is>
          <t>JÄMTLANDS LÄN</t>
        </is>
      </c>
      <c r="E1345" t="inlineStr">
        <is>
          <t>HÄRJEDALEN</t>
        </is>
      </c>
      <c r="G1345" t="n">
        <v>92.40000000000001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20853-2024</t>
        </is>
      </c>
      <c r="B1346" s="1" t="n">
        <v>45439</v>
      </c>
      <c r="C1346" s="1" t="n">
        <v>45569</v>
      </c>
      <c r="D1346" t="inlineStr">
        <is>
          <t>JÄMTLANDS LÄN</t>
        </is>
      </c>
      <c r="E1346" t="inlineStr">
        <is>
          <t>HÄRJEDALEN</t>
        </is>
      </c>
      <c r="F1346" t="inlineStr">
        <is>
          <t>Holmen skog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21478-2024</t>
        </is>
      </c>
      <c r="B1347" s="1" t="n">
        <v>45441</v>
      </c>
      <c r="C1347" s="1" t="n">
        <v>45569</v>
      </c>
      <c r="D1347" t="inlineStr">
        <is>
          <t>JÄMTLANDS LÄN</t>
        </is>
      </c>
      <c r="E1347" t="inlineStr">
        <is>
          <t>HÄRJEDALEN</t>
        </is>
      </c>
      <c r="G1347" t="n">
        <v>44.9</v>
      </c>
      <c r="H1347" t="n">
        <v>0</v>
      </c>
      <c r="I1347" t="n">
        <v>0</v>
      </c>
      <c r="J1347" t="n">
        <v>0</v>
      </c>
      <c r="K1347" t="n">
        <v>0</v>
      </c>
      <c r="L1347" t="n">
        <v>0</v>
      </c>
      <c r="M1347" t="n">
        <v>0</v>
      </c>
      <c r="N1347" t="n">
        <v>0</v>
      </c>
      <c r="O1347" t="n">
        <v>0</v>
      </c>
      <c r="P1347" t="n">
        <v>0</v>
      </c>
      <c r="Q1347" t="n">
        <v>0</v>
      </c>
      <c r="R1347" s="2" t="inlineStr"/>
    </row>
    <row r="1348" ht="15" customHeight="1">
      <c r="A1348" t="inlineStr">
        <is>
          <t>A 21621-2024</t>
        </is>
      </c>
      <c r="B1348" s="1" t="n">
        <v>45442</v>
      </c>
      <c r="C1348" s="1" t="n">
        <v>45569</v>
      </c>
      <c r="D1348" t="inlineStr">
        <is>
          <t>JÄMTLANDS LÄN</t>
        </is>
      </c>
      <c r="E1348" t="inlineStr">
        <is>
          <t>HÄRJEDALEN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21624-2024</t>
        </is>
      </c>
      <c r="B1349" s="1" t="n">
        <v>45442</v>
      </c>
      <c r="C1349" s="1" t="n">
        <v>45569</v>
      </c>
      <c r="D1349" t="inlineStr">
        <is>
          <t>JÄMTLANDS LÄN</t>
        </is>
      </c>
      <c r="E1349" t="inlineStr">
        <is>
          <t>HÄRJEDALEN</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21816-2024</t>
        </is>
      </c>
      <c r="B1350" s="1" t="n">
        <v>45442</v>
      </c>
      <c r="C1350" s="1" t="n">
        <v>45569</v>
      </c>
      <c r="D1350" t="inlineStr">
        <is>
          <t>JÄMTLANDS LÄN</t>
        </is>
      </c>
      <c r="E1350" t="inlineStr">
        <is>
          <t>HÄRJEDALEN</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22499-2024</t>
        </is>
      </c>
      <c r="B1351" s="1" t="n">
        <v>45447</v>
      </c>
      <c r="C1351" s="1" t="n">
        <v>45569</v>
      </c>
      <c r="D1351" t="inlineStr">
        <is>
          <t>JÄMTLANDS LÄN</t>
        </is>
      </c>
      <c r="E1351" t="inlineStr">
        <is>
          <t>HÄRJEDALEN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22685-2024</t>
        </is>
      </c>
      <c r="B1352" s="1" t="n">
        <v>45448</v>
      </c>
      <c r="C1352" s="1" t="n">
        <v>45569</v>
      </c>
      <c r="D1352" t="inlineStr">
        <is>
          <t>JÄMTLANDS LÄN</t>
        </is>
      </c>
      <c r="E1352" t="inlineStr">
        <is>
          <t>HÄRJEDALEN</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22706-2024</t>
        </is>
      </c>
      <c r="B1353" s="1" t="n">
        <v>45448</v>
      </c>
      <c r="C1353" s="1" t="n">
        <v>45569</v>
      </c>
      <c r="D1353" t="inlineStr">
        <is>
          <t>JÄMTLANDS LÄN</t>
        </is>
      </c>
      <c r="E1353" t="inlineStr">
        <is>
          <t>HÄRJEDALEN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22838-2024</t>
        </is>
      </c>
      <c r="B1354" s="1" t="n">
        <v>45448</v>
      </c>
      <c r="C1354" s="1" t="n">
        <v>45569</v>
      </c>
      <c r="D1354" t="inlineStr">
        <is>
          <t>JÄMTLANDS LÄN</t>
        </is>
      </c>
      <c r="E1354" t="inlineStr">
        <is>
          <t>HÄRJEDALEN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23474-2024</t>
        </is>
      </c>
      <c r="B1355" s="1" t="n">
        <v>45453</v>
      </c>
      <c r="C1355" s="1" t="n">
        <v>45569</v>
      </c>
      <c r="D1355" t="inlineStr">
        <is>
          <t>JÄMTLANDS LÄN</t>
        </is>
      </c>
      <c r="E1355" t="inlineStr">
        <is>
          <t>HÄRJEDALEN</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23467-2024</t>
        </is>
      </c>
      <c r="B1356" s="1" t="n">
        <v>45453</v>
      </c>
      <c r="C1356" s="1" t="n">
        <v>45569</v>
      </c>
      <c r="D1356" t="inlineStr">
        <is>
          <t>JÄMTLANDS LÄN</t>
        </is>
      </c>
      <c r="E1356" t="inlineStr">
        <is>
          <t>HÄRJEDALEN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23965-2024</t>
        </is>
      </c>
      <c r="B1357" s="1" t="n">
        <v>45456</v>
      </c>
      <c r="C1357" s="1" t="n">
        <v>45569</v>
      </c>
      <c r="D1357" t="inlineStr">
        <is>
          <t>JÄMTLANDS LÄN</t>
        </is>
      </c>
      <c r="E1357" t="inlineStr">
        <is>
          <t>HÄRJEDALEN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23964-2024</t>
        </is>
      </c>
      <c r="B1358" s="1" t="n">
        <v>45456</v>
      </c>
      <c r="C1358" s="1" t="n">
        <v>45569</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24250-2024</t>
        </is>
      </c>
      <c r="B1359" s="1" t="n">
        <v>45457</v>
      </c>
      <c r="C1359" s="1" t="n">
        <v>45569</v>
      </c>
      <c r="D1359" t="inlineStr">
        <is>
          <t>JÄMTLANDS LÄN</t>
        </is>
      </c>
      <c r="E1359" t="inlineStr">
        <is>
          <t>HÄRJEDALEN</t>
        </is>
      </c>
      <c r="F1359" t="inlineStr">
        <is>
          <t>Sveaskog</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24423-2024</t>
        </is>
      </c>
      <c r="B1360" s="1" t="n">
        <v>45458</v>
      </c>
      <c r="C1360" s="1" t="n">
        <v>45569</v>
      </c>
      <c r="D1360" t="inlineStr">
        <is>
          <t>JÄMTLANDS LÄN</t>
        </is>
      </c>
      <c r="E1360" t="inlineStr">
        <is>
          <t>HÄRJEDALEN</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24453-2024</t>
        </is>
      </c>
      <c r="B1361" s="1" t="n">
        <v>45458</v>
      </c>
      <c r="C1361" s="1" t="n">
        <v>45569</v>
      </c>
      <c r="D1361" t="inlineStr">
        <is>
          <t>JÄMTLANDS LÄN</t>
        </is>
      </c>
      <c r="E1361" t="inlineStr">
        <is>
          <t>HÄRJEDALEN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24240-2024</t>
        </is>
      </c>
      <c r="B1362" s="1" t="n">
        <v>45457</v>
      </c>
      <c r="C1362" s="1" t="n">
        <v>45569</v>
      </c>
      <c r="D1362" t="inlineStr">
        <is>
          <t>JÄMTLANDS LÄN</t>
        </is>
      </c>
      <c r="E1362" t="inlineStr">
        <is>
          <t>HÄRJEDALEN</t>
        </is>
      </c>
      <c r="F1362" t="inlineStr">
        <is>
          <t>Bergvik skog väst AB</t>
        </is>
      </c>
      <c r="G1362" t="n">
        <v>27.3</v>
      </c>
      <c r="H1362" t="n">
        <v>0</v>
      </c>
      <c r="I1362" t="n">
        <v>0</v>
      </c>
      <c r="J1362" t="n">
        <v>0</v>
      </c>
      <c r="K1362" t="n">
        <v>0</v>
      </c>
      <c r="L1362" t="n">
        <v>0</v>
      </c>
      <c r="M1362" t="n">
        <v>0</v>
      </c>
      <c r="N1362" t="n">
        <v>0</v>
      </c>
      <c r="O1362" t="n">
        <v>0</v>
      </c>
      <c r="P1362" t="n">
        <v>0</v>
      </c>
      <c r="Q1362" t="n">
        <v>0</v>
      </c>
      <c r="R1362" s="2" t="inlineStr"/>
    </row>
    <row r="1363" ht="15" customHeight="1">
      <c r="A1363" t="inlineStr">
        <is>
          <t>A 24421-2024</t>
        </is>
      </c>
      <c r="B1363" s="1" t="n">
        <v>45458</v>
      </c>
      <c r="C1363" s="1" t="n">
        <v>45569</v>
      </c>
      <c r="D1363" t="inlineStr">
        <is>
          <t>JÄMTLANDS LÄN</t>
        </is>
      </c>
      <c r="E1363" t="inlineStr">
        <is>
          <t>HÄRJEDALEN</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24452-2024</t>
        </is>
      </c>
      <c r="B1364" s="1" t="n">
        <v>45458</v>
      </c>
      <c r="C1364" s="1" t="n">
        <v>45569</v>
      </c>
      <c r="D1364" t="inlineStr">
        <is>
          <t>JÄMTLANDS LÄN</t>
        </is>
      </c>
      <c r="E1364" t="inlineStr">
        <is>
          <t>HÄRJEDALEN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24275-2024</t>
        </is>
      </c>
      <c r="B1365" s="1" t="n">
        <v>45457</v>
      </c>
      <c r="C1365" s="1" t="n">
        <v>45569</v>
      </c>
      <c r="D1365" t="inlineStr">
        <is>
          <t>JÄMTLANDS LÄN</t>
        </is>
      </c>
      <c r="E1365" t="inlineStr">
        <is>
          <t>HÄRJEDALEN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24295-2024</t>
        </is>
      </c>
      <c r="B1366" s="1" t="n">
        <v>45457</v>
      </c>
      <c r="C1366" s="1" t="n">
        <v>45569</v>
      </c>
      <c r="D1366" t="inlineStr">
        <is>
          <t>JÄMTLANDS LÄN</t>
        </is>
      </c>
      <c r="E1366" t="inlineStr">
        <is>
          <t>HÄRJEDALEN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24335-2024</t>
        </is>
      </c>
      <c r="B1367" s="1" t="n">
        <v>45457</v>
      </c>
      <c r="C1367" s="1" t="n">
        <v>45569</v>
      </c>
      <c r="D1367" t="inlineStr">
        <is>
          <t>JÄMTLANDS LÄN</t>
        </is>
      </c>
      <c r="E1367" t="inlineStr">
        <is>
          <t>HÄRJEDALEN</t>
        </is>
      </c>
      <c r="F1367" t="inlineStr">
        <is>
          <t>Naturvårdsverket</t>
        </is>
      </c>
      <c r="G1367" t="n">
        <v>20.3</v>
      </c>
      <c r="H1367" t="n">
        <v>0</v>
      </c>
      <c r="I1367" t="n">
        <v>0</v>
      </c>
      <c r="J1367" t="n">
        <v>0</v>
      </c>
      <c r="K1367" t="n">
        <v>0</v>
      </c>
      <c r="L1367" t="n">
        <v>0</v>
      </c>
      <c r="M1367" t="n">
        <v>0</v>
      </c>
      <c r="N1367" t="n">
        <v>0</v>
      </c>
      <c r="O1367" t="n">
        <v>0</v>
      </c>
      <c r="P1367" t="n">
        <v>0</v>
      </c>
      <c r="Q1367" t="n">
        <v>0</v>
      </c>
      <c r="R1367" s="2" t="inlineStr"/>
    </row>
    <row r="1368" ht="15" customHeight="1">
      <c r="A1368" t="inlineStr">
        <is>
          <t>A 24425-2024</t>
        </is>
      </c>
      <c r="B1368" s="1" t="n">
        <v>45458</v>
      </c>
      <c r="C1368" s="1" t="n">
        <v>45569</v>
      </c>
      <c r="D1368" t="inlineStr">
        <is>
          <t>JÄMTLANDS LÄN</t>
        </is>
      </c>
      <c r="E1368" t="inlineStr">
        <is>
          <t>HÄRJEDALEN</t>
        </is>
      </c>
      <c r="G1368" t="n">
        <v>15.8</v>
      </c>
      <c r="H1368" t="n">
        <v>0</v>
      </c>
      <c r="I1368" t="n">
        <v>0</v>
      </c>
      <c r="J1368" t="n">
        <v>0</v>
      </c>
      <c r="K1368" t="n">
        <v>0</v>
      </c>
      <c r="L1368" t="n">
        <v>0</v>
      </c>
      <c r="M1368" t="n">
        <v>0</v>
      </c>
      <c r="N1368" t="n">
        <v>0</v>
      </c>
      <c r="O1368" t="n">
        <v>0</v>
      </c>
      <c r="P1368" t="n">
        <v>0</v>
      </c>
      <c r="Q1368" t="n">
        <v>0</v>
      </c>
      <c r="R1368" s="2" t="inlineStr"/>
    </row>
    <row r="1369" ht="15" customHeight="1">
      <c r="A1369" t="inlineStr">
        <is>
          <t>A 24494-2024</t>
        </is>
      </c>
      <c r="B1369" s="1" t="n">
        <v>45459</v>
      </c>
      <c r="C1369" s="1" t="n">
        <v>45569</v>
      </c>
      <c r="D1369" t="inlineStr">
        <is>
          <t>JÄMTLANDS LÄN</t>
        </is>
      </c>
      <c r="E1369" t="inlineStr">
        <is>
          <t>HÄRJEDALEN</t>
        </is>
      </c>
      <c r="G1369" t="n">
        <v>20.1</v>
      </c>
      <c r="H1369" t="n">
        <v>0</v>
      </c>
      <c r="I1369" t="n">
        <v>0</v>
      </c>
      <c r="J1369" t="n">
        <v>0</v>
      </c>
      <c r="K1369" t="n">
        <v>0</v>
      </c>
      <c r="L1369" t="n">
        <v>0</v>
      </c>
      <c r="M1369" t="n">
        <v>0</v>
      </c>
      <c r="N1369" t="n">
        <v>0</v>
      </c>
      <c r="O1369" t="n">
        <v>0</v>
      </c>
      <c r="P1369" t="n">
        <v>0</v>
      </c>
      <c r="Q1369" t="n">
        <v>0</v>
      </c>
      <c r="R1369" s="2" t="inlineStr"/>
    </row>
    <row r="1370" ht="15" customHeight="1">
      <c r="A1370" t="inlineStr">
        <is>
          <t>A 24711-2024</t>
        </is>
      </c>
      <c r="B1370" s="1" t="n">
        <v>45460</v>
      </c>
      <c r="C1370" s="1" t="n">
        <v>45569</v>
      </c>
      <c r="D1370" t="inlineStr">
        <is>
          <t>JÄMTLANDS LÄN</t>
        </is>
      </c>
      <c r="E1370" t="inlineStr">
        <is>
          <t>HÄRJEDALEN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24608-2024</t>
        </is>
      </c>
      <c r="B1371" s="1" t="n">
        <v>45460</v>
      </c>
      <c r="C1371" s="1" t="n">
        <v>45569</v>
      </c>
      <c r="D1371" t="inlineStr">
        <is>
          <t>JÄMTLANDS LÄN</t>
        </is>
      </c>
      <c r="E1371" t="inlineStr">
        <is>
          <t>HÄRJEDALEN</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24526-2024</t>
        </is>
      </c>
      <c r="B1372" s="1" t="n">
        <v>45460</v>
      </c>
      <c r="C1372" s="1" t="n">
        <v>45569</v>
      </c>
      <c r="D1372" t="inlineStr">
        <is>
          <t>JÄMTLANDS LÄN</t>
        </is>
      </c>
      <c r="E1372" t="inlineStr">
        <is>
          <t>HÄRJEDALEN</t>
        </is>
      </c>
      <c r="F1372" t="inlineStr">
        <is>
          <t>Kyrkan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24613-2024</t>
        </is>
      </c>
      <c r="B1373" s="1" t="n">
        <v>45460</v>
      </c>
      <c r="C1373" s="1" t="n">
        <v>45569</v>
      </c>
      <c r="D1373" t="inlineStr">
        <is>
          <t>JÄMTLANDS LÄN</t>
        </is>
      </c>
      <c r="E1373" t="inlineStr">
        <is>
          <t>HÄRJEDALEN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25049-2024</t>
        </is>
      </c>
      <c r="B1374" s="1" t="n">
        <v>45462</v>
      </c>
      <c r="C1374" s="1" t="n">
        <v>45569</v>
      </c>
      <c r="D1374" t="inlineStr">
        <is>
          <t>JÄMTLANDS LÄN</t>
        </is>
      </c>
      <c r="E1374" t="inlineStr">
        <is>
          <t>HÄRJEDALEN</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25502-2024</t>
        </is>
      </c>
      <c r="B1375" s="1" t="n">
        <v>45463</v>
      </c>
      <c r="C1375" s="1" t="n">
        <v>45569</v>
      </c>
      <c r="D1375" t="inlineStr">
        <is>
          <t>JÄMTLANDS LÄN</t>
        </is>
      </c>
      <c r="E1375" t="inlineStr">
        <is>
          <t>HÄRJEDALEN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25893-2024</t>
        </is>
      </c>
      <c r="B1376" s="1" t="n">
        <v>45467</v>
      </c>
      <c r="C1376" s="1" t="n">
        <v>45569</v>
      </c>
      <c r="D1376" t="inlineStr">
        <is>
          <t>JÄMTLANDS LÄN</t>
        </is>
      </c>
      <c r="E1376" t="inlineStr">
        <is>
          <t>HÄRJEDALEN</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26001-2024</t>
        </is>
      </c>
      <c r="B1377" s="1" t="n">
        <v>45468</v>
      </c>
      <c r="C1377" s="1" t="n">
        <v>45569</v>
      </c>
      <c r="D1377" t="inlineStr">
        <is>
          <t>JÄMTLANDS LÄN</t>
        </is>
      </c>
      <c r="E1377" t="inlineStr">
        <is>
          <t>HÄRJEDALEN</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27068-2024</t>
        </is>
      </c>
      <c r="B1378" s="1" t="n">
        <v>45471</v>
      </c>
      <c r="C1378" s="1" t="n">
        <v>45569</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27075-2024</t>
        </is>
      </c>
      <c r="B1379" s="1" t="n">
        <v>45471</v>
      </c>
      <c r="C1379" s="1" t="n">
        <v>45569</v>
      </c>
      <c r="D1379" t="inlineStr">
        <is>
          <t>JÄMTLANDS LÄN</t>
        </is>
      </c>
      <c r="E1379" t="inlineStr">
        <is>
          <t>HÄRJEDALEN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27245-2024</t>
        </is>
      </c>
      <c r="B1380" s="1" t="n">
        <v>45471</v>
      </c>
      <c r="C1380" s="1" t="n">
        <v>45569</v>
      </c>
      <c r="D1380" t="inlineStr">
        <is>
          <t>JÄMTLANDS LÄN</t>
        </is>
      </c>
      <c r="E1380" t="inlineStr">
        <is>
          <t>HÄRJEDALEN</t>
        </is>
      </c>
      <c r="F1380" t="inlineStr">
        <is>
          <t>Bergvik skog väst AB</t>
        </is>
      </c>
      <c r="G1380" t="n">
        <v>31.2</v>
      </c>
      <c r="H1380" t="n">
        <v>0</v>
      </c>
      <c r="I1380" t="n">
        <v>0</v>
      </c>
      <c r="J1380" t="n">
        <v>0</v>
      </c>
      <c r="K1380" t="n">
        <v>0</v>
      </c>
      <c r="L1380" t="n">
        <v>0</v>
      </c>
      <c r="M1380" t="n">
        <v>0</v>
      </c>
      <c r="N1380" t="n">
        <v>0</v>
      </c>
      <c r="O1380" t="n">
        <v>0</v>
      </c>
      <c r="P1380" t="n">
        <v>0</v>
      </c>
      <c r="Q1380" t="n">
        <v>0</v>
      </c>
      <c r="R1380" s="2" t="inlineStr"/>
    </row>
    <row r="1381" ht="15" customHeight="1">
      <c r="A1381" t="inlineStr">
        <is>
          <t>A 27065-2024</t>
        </is>
      </c>
      <c r="B1381" s="1" t="n">
        <v>45471</v>
      </c>
      <c r="C1381" s="1" t="n">
        <v>45569</v>
      </c>
      <c r="D1381" t="inlineStr">
        <is>
          <t>JÄMTLANDS LÄN</t>
        </is>
      </c>
      <c r="E1381" t="inlineStr">
        <is>
          <t>HÄRJEDALEN</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27066-2024</t>
        </is>
      </c>
      <c r="B1382" s="1" t="n">
        <v>45471</v>
      </c>
      <c r="C1382" s="1" t="n">
        <v>45569</v>
      </c>
      <c r="D1382" t="inlineStr">
        <is>
          <t>JÄMTLANDS LÄN</t>
        </is>
      </c>
      <c r="E1382" t="inlineStr">
        <is>
          <t>HÄRJEDALEN</t>
        </is>
      </c>
      <c r="F1382" t="inlineStr">
        <is>
          <t>Bergvik skog väst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27235-2024</t>
        </is>
      </c>
      <c r="B1383" s="1" t="n">
        <v>45471</v>
      </c>
      <c r="C1383" s="1" t="n">
        <v>45569</v>
      </c>
      <c r="D1383" t="inlineStr">
        <is>
          <t>JÄMTLANDS LÄN</t>
        </is>
      </c>
      <c r="E1383" t="inlineStr">
        <is>
          <t>HÄRJEDALEN</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27076-2024</t>
        </is>
      </c>
      <c r="B1384" s="1" t="n">
        <v>45471</v>
      </c>
      <c r="C1384" s="1" t="n">
        <v>45569</v>
      </c>
      <c r="D1384" t="inlineStr">
        <is>
          <t>JÄMTLANDS LÄN</t>
        </is>
      </c>
      <c r="E1384" t="inlineStr">
        <is>
          <t>HÄRJEDALEN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27512-2024</t>
        </is>
      </c>
      <c r="B1385" s="1" t="n">
        <v>45474</v>
      </c>
      <c r="C1385" s="1" t="n">
        <v>45569</v>
      </c>
      <c r="D1385" t="inlineStr">
        <is>
          <t>JÄMTLANDS LÄN</t>
        </is>
      </c>
      <c r="E1385" t="inlineStr">
        <is>
          <t>HÄRJEDALEN</t>
        </is>
      </c>
      <c r="G1385" t="n">
        <v>19.3</v>
      </c>
      <c r="H1385" t="n">
        <v>0</v>
      </c>
      <c r="I1385" t="n">
        <v>0</v>
      </c>
      <c r="J1385" t="n">
        <v>0</v>
      </c>
      <c r="K1385" t="n">
        <v>0</v>
      </c>
      <c r="L1385" t="n">
        <v>0</v>
      </c>
      <c r="M1385" t="n">
        <v>0</v>
      </c>
      <c r="N1385" t="n">
        <v>0</v>
      </c>
      <c r="O1385" t="n">
        <v>0</v>
      </c>
      <c r="P1385" t="n">
        <v>0</v>
      </c>
      <c r="Q1385" t="n">
        <v>0</v>
      </c>
      <c r="R1385" s="2" t="inlineStr"/>
    </row>
    <row r="1386" ht="15" customHeight="1">
      <c r="A1386" t="inlineStr">
        <is>
          <t>A 28406-2024</t>
        </is>
      </c>
      <c r="B1386" s="1" t="n">
        <v>45477</v>
      </c>
      <c r="C1386" s="1" t="n">
        <v>45569</v>
      </c>
      <c r="D1386" t="inlineStr">
        <is>
          <t>JÄMTLANDS LÄN</t>
        </is>
      </c>
      <c r="E1386" t="inlineStr">
        <is>
          <t>HÄRJEDALEN</t>
        </is>
      </c>
      <c r="F1386" t="inlineStr">
        <is>
          <t>Holmen skog AB</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28444-2024</t>
        </is>
      </c>
      <c r="B1387" s="1" t="n">
        <v>45477</v>
      </c>
      <c r="C1387" s="1" t="n">
        <v>45569</v>
      </c>
      <c r="D1387" t="inlineStr">
        <is>
          <t>JÄMTLANDS LÄN</t>
        </is>
      </c>
      <c r="E1387" t="inlineStr">
        <is>
          <t>HÄRJEDALEN</t>
        </is>
      </c>
      <c r="F1387" t="inlineStr">
        <is>
          <t>Holmen skog AB</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28408-2024</t>
        </is>
      </c>
      <c r="B1388" s="1" t="n">
        <v>45477</v>
      </c>
      <c r="C1388" s="1" t="n">
        <v>45569</v>
      </c>
      <c r="D1388" t="inlineStr">
        <is>
          <t>JÄMTLANDS LÄN</t>
        </is>
      </c>
      <c r="E1388" t="inlineStr">
        <is>
          <t>HÄRJEDALEN</t>
        </is>
      </c>
      <c r="F1388" t="inlineStr">
        <is>
          <t>Holmen skog AB</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28400-2024</t>
        </is>
      </c>
      <c r="B1389" s="1" t="n">
        <v>45477</v>
      </c>
      <c r="C1389" s="1" t="n">
        <v>45569</v>
      </c>
      <c r="D1389" t="inlineStr">
        <is>
          <t>JÄMTLANDS LÄN</t>
        </is>
      </c>
      <c r="E1389" t="inlineStr">
        <is>
          <t>HÄRJEDALEN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28403-2024</t>
        </is>
      </c>
      <c r="B1390" s="1" t="n">
        <v>45477</v>
      </c>
      <c r="C1390" s="1" t="n">
        <v>45569</v>
      </c>
      <c r="D1390" t="inlineStr">
        <is>
          <t>JÄMTLANDS LÄN</t>
        </is>
      </c>
      <c r="E1390" t="inlineStr">
        <is>
          <t>HÄRJEDALEN</t>
        </is>
      </c>
      <c r="F1390" t="inlineStr">
        <is>
          <t>Holmen skog AB</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28426-2024</t>
        </is>
      </c>
      <c r="B1391" s="1" t="n">
        <v>45477</v>
      </c>
      <c r="C1391" s="1" t="n">
        <v>45569</v>
      </c>
      <c r="D1391" t="inlineStr">
        <is>
          <t>JÄMTLANDS LÄN</t>
        </is>
      </c>
      <c r="E1391" t="inlineStr">
        <is>
          <t>HÄRJEDALEN</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28288-2024</t>
        </is>
      </c>
      <c r="B1392" s="1" t="n">
        <v>45477</v>
      </c>
      <c r="C1392" s="1" t="n">
        <v>45569</v>
      </c>
      <c r="D1392" t="inlineStr">
        <is>
          <t>JÄMTLANDS LÄN</t>
        </is>
      </c>
      <c r="E1392" t="inlineStr">
        <is>
          <t>HÄRJEDALEN</t>
        </is>
      </c>
      <c r="F1392" t="inlineStr">
        <is>
          <t>Bergvik skog väst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28627-2024</t>
        </is>
      </c>
      <c r="B1393" s="1" t="n">
        <v>45478</v>
      </c>
      <c r="C1393" s="1" t="n">
        <v>45569</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28686-2024</t>
        </is>
      </c>
      <c r="B1394" s="1" t="n">
        <v>45478</v>
      </c>
      <c r="C1394" s="1" t="n">
        <v>45569</v>
      </c>
      <c r="D1394" t="inlineStr">
        <is>
          <t>JÄMTLANDS LÄN</t>
        </is>
      </c>
      <c r="E1394" t="inlineStr">
        <is>
          <t>HÄRJEDALEN</t>
        </is>
      </c>
      <c r="F1394" t="inlineStr">
        <is>
          <t>Bergvik skog väst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28930-2024</t>
        </is>
      </c>
      <c r="B1395" s="1" t="n">
        <v>45481</v>
      </c>
      <c r="C1395" s="1" t="n">
        <v>45569</v>
      </c>
      <c r="D1395" t="inlineStr">
        <is>
          <t>JÄMTLANDS LÄN</t>
        </is>
      </c>
      <c r="E1395" t="inlineStr">
        <is>
          <t>HÄRJEDALEN</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29330-2024</t>
        </is>
      </c>
      <c r="B1396" s="1" t="n">
        <v>45483</v>
      </c>
      <c r="C1396" s="1" t="n">
        <v>45569</v>
      </c>
      <c r="D1396" t="inlineStr">
        <is>
          <t>JÄMTLANDS LÄN</t>
        </is>
      </c>
      <c r="E1396" t="inlineStr">
        <is>
          <t>HÄRJEDALEN</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29334-2024</t>
        </is>
      </c>
      <c r="B1397" s="1" t="n">
        <v>45483</v>
      </c>
      <c r="C1397" s="1" t="n">
        <v>45569</v>
      </c>
      <c r="D1397" t="inlineStr">
        <is>
          <t>JÄMTLANDS LÄN</t>
        </is>
      </c>
      <c r="E1397" t="inlineStr">
        <is>
          <t>HÄRJEDALEN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29343-2024</t>
        </is>
      </c>
      <c r="B1398" s="1" t="n">
        <v>45483</v>
      </c>
      <c r="C1398" s="1" t="n">
        <v>45569</v>
      </c>
      <c r="D1398" t="inlineStr">
        <is>
          <t>JÄMTLANDS LÄN</t>
        </is>
      </c>
      <c r="E1398" t="inlineStr">
        <is>
          <t>HÄRJEDALEN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29304-2024</t>
        </is>
      </c>
      <c r="B1399" s="1" t="n">
        <v>45483</v>
      </c>
      <c r="C1399" s="1" t="n">
        <v>45569</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29347-2024</t>
        </is>
      </c>
      <c r="B1400" s="1" t="n">
        <v>45483</v>
      </c>
      <c r="C1400" s="1" t="n">
        <v>45569</v>
      </c>
      <c r="D1400" t="inlineStr">
        <is>
          <t>JÄMTLANDS LÄN</t>
        </is>
      </c>
      <c r="E1400" t="inlineStr">
        <is>
          <t>HÄRJEDALEN</t>
        </is>
      </c>
      <c r="G1400" t="n">
        <v>35.8</v>
      </c>
      <c r="H1400" t="n">
        <v>0</v>
      </c>
      <c r="I1400" t="n">
        <v>0</v>
      </c>
      <c r="J1400" t="n">
        <v>0</v>
      </c>
      <c r="K1400" t="n">
        <v>0</v>
      </c>
      <c r="L1400" t="n">
        <v>0</v>
      </c>
      <c r="M1400" t="n">
        <v>0</v>
      </c>
      <c r="N1400" t="n">
        <v>0</v>
      </c>
      <c r="O1400" t="n">
        <v>0</v>
      </c>
      <c r="P1400" t="n">
        <v>0</v>
      </c>
      <c r="Q1400" t="n">
        <v>0</v>
      </c>
      <c r="R1400" s="2" t="inlineStr"/>
    </row>
    <row r="1401" ht="15" customHeight="1">
      <c r="A1401" t="inlineStr">
        <is>
          <t>A 29536-2024</t>
        </is>
      </c>
      <c r="B1401" s="1" t="n">
        <v>45484</v>
      </c>
      <c r="C1401" s="1" t="n">
        <v>45569</v>
      </c>
      <c r="D1401" t="inlineStr">
        <is>
          <t>JÄMTLANDS LÄN</t>
        </is>
      </c>
      <c r="E1401" t="inlineStr">
        <is>
          <t>HÄRJEDALEN</t>
        </is>
      </c>
      <c r="F1401" t="inlineStr">
        <is>
          <t>Holmen skog AB</t>
        </is>
      </c>
      <c r="G1401" t="n">
        <v>25.2</v>
      </c>
      <c r="H1401" t="n">
        <v>0</v>
      </c>
      <c r="I1401" t="n">
        <v>0</v>
      </c>
      <c r="J1401" t="n">
        <v>0</v>
      </c>
      <c r="K1401" t="n">
        <v>0</v>
      </c>
      <c r="L1401" t="n">
        <v>0</v>
      </c>
      <c r="M1401" t="n">
        <v>0</v>
      </c>
      <c r="N1401" t="n">
        <v>0</v>
      </c>
      <c r="O1401" t="n">
        <v>0</v>
      </c>
      <c r="P1401" t="n">
        <v>0</v>
      </c>
      <c r="Q1401" t="n">
        <v>0</v>
      </c>
      <c r="R1401" s="2" t="inlineStr"/>
    </row>
    <row r="1402" ht="15" customHeight="1">
      <c r="A1402" t="inlineStr">
        <is>
          <t>A 29624-2024</t>
        </is>
      </c>
      <c r="B1402" s="1" t="n">
        <v>45484</v>
      </c>
      <c r="C1402" s="1" t="n">
        <v>45569</v>
      </c>
      <c r="D1402" t="inlineStr">
        <is>
          <t>JÄMTLANDS LÄN</t>
        </is>
      </c>
      <c r="E1402" t="inlineStr">
        <is>
          <t>HÄRJEDALEN</t>
        </is>
      </c>
      <c r="F1402" t="inlineStr">
        <is>
          <t>Holmen skog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29584-2024</t>
        </is>
      </c>
      <c r="B1403" s="1" t="n">
        <v>45484</v>
      </c>
      <c r="C1403" s="1" t="n">
        <v>45569</v>
      </c>
      <c r="D1403" t="inlineStr">
        <is>
          <t>JÄMTLANDS LÄN</t>
        </is>
      </c>
      <c r="E1403" t="inlineStr">
        <is>
          <t>HÄRJEDALEN</t>
        </is>
      </c>
      <c r="F1403" t="inlineStr">
        <is>
          <t>Holmen skog AB</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29580-2024</t>
        </is>
      </c>
      <c r="B1404" s="1" t="n">
        <v>45484</v>
      </c>
      <c r="C1404" s="1" t="n">
        <v>45569</v>
      </c>
      <c r="D1404" t="inlineStr">
        <is>
          <t>JÄMTLANDS LÄN</t>
        </is>
      </c>
      <c r="E1404" t="inlineStr">
        <is>
          <t>HÄRJEDALEN</t>
        </is>
      </c>
      <c r="F1404" t="inlineStr">
        <is>
          <t>Holmen skog AB</t>
        </is>
      </c>
      <c r="G1404" t="n">
        <v>38.1</v>
      </c>
      <c r="H1404" t="n">
        <v>0</v>
      </c>
      <c r="I1404" t="n">
        <v>0</v>
      </c>
      <c r="J1404" t="n">
        <v>0</v>
      </c>
      <c r="K1404" t="n">
        <v>0</v>
      </c>
      <c r="L1404" t="n">
        <v>0</v>
      </c>
      <c r="M1404" t="n">
        <v>0</v>
      </c>
      <c r="N1404" t="n">
        <v>0</v>
      </c>
      <c r="O1404" t="n">
        <v>0</v>
      </c>
      <c r="P1404" t="n">
        <v>0</v>
      </c>
      <c r="Q1404" t="n">
        <v>0</v>
      </c>
      <c r="R1404" s="2" t="inlineStr"/>
    </row>
    <row r="1405" ht="15" customHeight="1">
      <c r="A1405" t="inlineStr">
        <is>
          <t>A 29631-2024</t>
        </is>
      </c>
      <c r="B1405" s="1" t="n">
        <v>45484</v>
      </c>
      <c r="C1405" s="1" t="n">
        <v>45569</v>
      </c>
      <c r="D1405" t="inlineStr">
        <is>
          <t>JÄMTLANDS LÄN</t>
        </is>
      </c>
      <c r="E1405" t="inlineStr">
        <is>
          <t>HÄRJEDALEN</t>
        </is>
      </c>
      <c r="F1405" t="inlineStr">
        <is>
          <t>Holmen skog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29538-2024</t>
        </is>
      </c>
      <c r="B1406" s="1" t="n">
        <v>45484</v>
      </c>
      <c r="C1406" s="1" t="n">
        <v>45569</v>
      </c>
      <c r="D1406" t="inlineStr">
        <is>
          <t>JÄMTLANDS LÄN</t>
        </is>
      </c>
      <c r="E1406" t="inlineStr">
        <is>
          <t>HÄRJEDALEN</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29626-2024</t>
        </is>
      </c>
      <c r="B1407" s="1" t="n">
        <v>45484</v>
      </c>
      <c r="C1407" s="1" t="n">
        <v>45569</v>
      </c>
      <c r="D1407" t="inlineStr">
        <is>
          <t>JÄMTLANDS LÄN</t>
        </is>
      </c>
      <c r="E1407" t="inlineStr">
        <is>
          <t>HÄRJEDALEN</t>
        </is>
      </c>
      <c r="F1407" t="inlineStr">
        <is>
          <t>Holmen skog AB</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29602-2024</t>
        </is>
      </c>
      <c r="B1408" s="1" t="n">
        <v>45484</v>
      </c>
      <c r="C1408" s="1" t="n">
        <v>45569</v>
      </c>
      <c r="D1408" t="inlineStr">
        <is>
          <t>JÄMTLANDS LÄN</t>
        </is>
      </c>
      <c r="E1408" t="inlineStr">
        <is>
          <t>HÄRJEDALEN</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29594-2024</t>
        </is>
      </c>
      <c r="B1409" s="1" t="n">
        <v>45484</v>
      </c>
      <c r="C1409" s="1" t="n">
        <v>45569</v>
      </c>
      <c r="D1409" t="inlineStr">
        <is>
          <t>JÄMTLANDS LÄN</t>
        </is>
      </c>
      <c r="E1409" t="inlineStr">
        <is>
          <t>HÄRJEDALEN</t>
        </is>
      </c>
      <c r="F1409" t="inlineStr">
        <is>
          <t>Holmen skog AB</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29803-2024</t>
        </is>
      </c>
      <c r="B1410" s="1" t="n">
        <v>45485</v>
      </c>
      <c r="C1410" s="1" t="n">
        <v>45569</v>
      </c>
      <c r="D1410" t="inlineStr">
        <is>
          <t>JÄMTLANDS LÄN</t>
        </is>
      </c>
      <c r="E1410" t="inlineStr">
        <is>
          <t>HÄRJEDALEN</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29791-2024</t>
        </is>
      </c>
      <c r="B1411" s="1" t="n">
        <v>45485</v>
      </c>
      <c r="C1411" s="1" t="n">
        <v>45569</v>
      </c>
      <c r="D1411" t="inlineStr">
        <is>
          <t>JÄMTLANDS LÄN</t>
        </is>
      </c>
      <c r="E1411" t="inlineStr">
        <is>
          <t>HÄRJEDALEN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29706-2024</t>
        </is>
      </c>
      <c r="B1412" s="1" t="n">
        <v>45485</v>
      </c>
      <c r="C1412" s="1" t="n">
        <v>45569</v>
      </c>
      <c r="D1412" t="inlineStr">
        <is>
          <t>JÄMTLANDS LÄN</t>
        </is>
      </c>
      <c r="E1412" t="inlineStr">
        <is>
          <t>HÄRJEDALEN</t>
        </is>
      </c>
      <c r="F1412" t="inlineStr">
        <is>
          <t>Holmen skog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29710-2024</t>
        </is>
      </c>
      <c r="B1413" s="1" t="n">
        <v>45485</v>
      </c>
      <c r="C1413" s="1" t="n">
        <v>45569</v>
      </c>
      <c r="D1413" t="inlineStr">
        <is>
          <t>JÄMTLANDS LÄN</t>
        </is>
      </c>
      <c r="E1413" t="inlineStr">
        <is>
          <t>HÄRJEDALEN</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29766-2024</t>
        </is>
      </c>
      <c r="B1414" s="1" t="n">
        <v>45485</v>
      </c>
      <c r="C1414" s="1" t="n">
        <v>45569</v>
      </c>
      <c r="D1414" t="inlineStr">
        <is>
          <t>JÄMTLANDS LÄN</t>
        </is>
      </c>
      <c r="E1414" t="inlineStr">
        <is>
          <t>HÄRJEDALEN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29774-2024</t>
        </is>
      </c>
      <c r="B1415" s="1" t="n">
        <v>45485</v>
      </c>
      <c r="C1415" s="1" t="n">
        <v>45569</v>
      </c>
      <c r="D1415" t="inlineStr">
        <is>
          <t>JÄMTLANDS LÄN</t>
        </is>
      </c>
      <c r="E1415" t="inlineStr">
        <is>
          <t>HÄRJEDALEN</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29712-2024</t>
        </is>
      </c>
      <c r="B1416" s="1" t="n">
        <v>45485</v>
      </c>
      <c r="C1416" s="1" t="n">
        <v>45569</v>
      </c>
      <c r="D1416" t="inlineStr">
        <is>
          <t>JÄMTLANDS LÄN</t>
        </is>
      </c>
      <c r="E1416" t="inlineStr">
        <is>
          <t>HÄRJEDALEN</t>
        </is>
      </c>
      <c r="F1416" t="inlineStr">
        <is>
          <t>Holmen skog AB</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29768-2024</t>
        </is>
      </c>
      <c r="B1417" s="1" t="n">
        <v>45485</v>
      </c>
      <c r="C1417" s="1" t="n">
        <v>45569</v>
      </c>
      <c r="D1417" t="inlineStr">
        <is>
          <t>JÄMTLANDS LÄN</t>
        </is>
      </c>
      <c r="E1417" t="inlineStr">
        <is>
          <t>HÄRJEDALEN</t>
        </is>
      </c>
      <c r="F1417" t="inlineStr">
        <is>
          <t>Holmen skog AB</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29717-2024</t>
        </is>
      </c>
      <c r="B1418" s="1" t="n">
        <v>45485</v>
      </c>
      <c r="C1418" s="1" t="n">
        <v>45569</v>
      </c>
      <c r="D1418" t="inlineStr">
        <is>
          <t>JÄMTLANDS LÄN</t>
        </is>
      </c>
      <c r="E1418" t="inlineStr">
        <is>
          <t>HÄRJEDALEN</t>
        </is>
      </c>
      <c r="F1418" t="inlineStr">
        <is>
          <t>Holmen skog AB</t>
        </is>
      </c>
      <c r="G1418" t="n">
        <v>25.7</v>
      </c>
      <c r="H1418" t="n">
        <v>0</v>
      </c>
      <c r="I1418" t="n">
        <v>0</v>
      </c>
      <c r="J1418" t="n">
        <v>0</v>
      </c>
      <c r="K1418" t="n">
        <v>0</v>
      </c>
      <c r="L1418" t="n">
        <v>0</v>
      </c>
      <c r="M1418" t="n">
        <v>0</v>
      </c>
      <c r="N1418" t="n">
        <v>0</v>
      </c>
      <c r="O1418" t="n">
        <v>0</v>
      </c>
      <c r="P1418" t="n">
        <v>0</v>
      </c>
      <c r="Q1418" t="n">
        <v>0</v>
      </c>
      <c r="R1418" s="2" t="inlineStr"/>
    </row>
    <row r="1419" ht="15" customHeight="1">
      <c r="A1419" t="inlineStr">
        <is>
          <t>A 29729-2024</t>
        </is>
      </c>
      <c r="B1419" s="1" t="n">
        <v>45485</v>
      </c>
      <c r="C1419" s="1" t="n">
        <v>45569</v>
      </c>
      <c r="D1419" t="inlineStr">
        <is>
          <t>JÄMTLANDS LÄN</t>
        </is>
      </c>
      <c r="E1419" t="inlineStr">
        <is>
          <t>HÄRJEDALEN</t>
        </is>
      </c>
      <c r="F1419" t="inlineStr">
        <is>
          <t>Holmen skog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29749-2024</t>
        </is>
      </c>
      <c r="B1420" s="1" t="n">
        <v>45485</v>
      </c>
      <c r="C1420" s="1" t="n">
        <v>45569</v>
      </c>
      <c r="D1420" t="inlineStr">
        <is>
          <t>JÄMTLANDS LÄN</t>
        </is>
      </c>
      <c r="E1420" t="inlineStr">
        <is>
          <t>HÄRJEDALEN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29935-2024</t>
        </is>
      </c>
      <c r="B1421" s="1" t="n">
        <v>45488</v>
      </c>
      <c r="C1421" s="1" t="n">
        <v>45569</v>
      </c>
      <c r="D1421" t="inlineStr">
        <is>
          <t>JÄMTLANDS LÄN</t>
        </is>
      </c>
      <c r="E1421" t="inlineStr">
        <is>
          <t>HÄRJEDALEN</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30404-2024</t>
        </is>
      </c>
      <c r="B1422" s="1" t="n">
        <v>45491</v>
      </c>
      <c r="C1422" s="1" t="n">
        <v>45569</v>
      </c>
      <c r="D1422" t="inlineStr">
        <is>
          <t>JÄMTLANDS LÄN</t>
        </is>
      </c>
      <c r="E1422" t="inlineStr">
        <is>
          <t>HÄRJEDALEN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30626-2024</t>
        </is>
      </c>
      <c r="B1423" s="1" t="n">
        <v>45495</v>
      </c>
      <c r="C1423" s="1" t="n">
        <v>45569</v>
      </c>
      <c r="D1423" t="inlineStr">
        <is>
          <t>JÄMTLANDS LÄN</t>
        </is>
      </c>
      <c r="E1423" t="inlineStr">
        <is>
          <t>HÄRJEDALEN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30742-2024</t>
        </is>
      </c>
      <c r="B1424" s="1" t="n">
        <v>45496</v>
      </c>
      <c r="C1424" s="1" t="n">
        <v>45569</v>
      </c>
      <c r="D1424" t="inlineStr">
        <is>
          <t>JÄMTLANDS LÄN</t>
        </is>
      </c>
      <c r="E1424" t="inlineStr">
        <is>
          <t>HÄRJEDALEN</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30776-2024</t>
        </is>
      </c>
      <c r="B1425" s="1" t="n">
        <v>45497</v>
      </c>
      <c r="C1425" s="1" t="n">
        <v>45569</v>
      </c>
      <c r="D1425" t="inlineStr">
        <is>
          <t>JÄMTLANDS LÄN</t>
        </is>
      </c>
      <c r="E1425" t="inlineStr">
        <is>
          <t>HÄRJEDALEN</t>
        </is>
      </c>
      <c r="F1425" t="inlineStr">
        <is>
          <t>SCA</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30744-2024</t>
        </is>
      </c>
      <c r="B1426" s="1" t="n">
        <v>45496</v>
      </c>
      <c r="C1426" s="1" t="n">
        <v>45569</v>
      </c>
      <c r="D1426" t="inlineStr">
        <is>
          <t>JÄMTLANDS LÄN</t>
        </is>
      </c>
      <c r="E1426" t="inlineStr">
        <is>
          <t>HÄRJEDALEN</t>
        </is>
      </c>
      <c r="F1426" t="inlineStr">
        <is>
          <t>Bergvik skog väst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30781-2024</t>
        </is>
      </c>
      <c r="B1427" s="1" t="n">
        <v>45497</v>
      </c>
      <c r="C1427" s="1" t="n">
        <v>45569</v>
      </c>
      <c r="D1427" t="inlineStr">
        <is>
          <t>JÄMTLANDS LÄN</t>
        </is>
      </c>
      <c r="E1427" t="inlineStr">
        <is>
          <t>HÄRJEDALEN</t>
        </is>
      </c>
      <c r="F1427" t="inlineStr">
        <is>
          <t>SCA</t>
        </is>
      </c>
      <c r="G1427" t="n">
        <v>23.1</v>
      </c>
      <c r="H1427" t="n">
        <v>0</v>
      </c>
      <c r="I1427" t="n">
        <v>0</v>
      </c>
      <c r="J1427" t="n">
        <v>0</v>
      </c>
      <c r="K1427" t="n">
        <v>0</v>
      </c>
      <c r="L1427" t="n">
        <v>0</v>
      </c>
      <c r="M1427" t="n">
        <v>0</v>
      </c>
      <c r="N1427" t="n">
        <v>0</v>
      </c>
      <c r="O1427" t="n">
        <v>0</v>
      </c>
      <c r="P1427" t="n">
        <v>0</v>
      </c>
      <c r="Q1427" t="n">
        <v>0</v>
      </c>
      <c r="R1427" s="2" t="inlineStr"/>
    </row>
    <row r="1428" ht="15" customHeight="1">
      <c r="A1428" t="inlineStr">
        <is>
          <t>A 30777-2024</t>
        </is>
      </c>
      <c r="B1428" s="1" t="n">
        <v>45497</v>
      </c>
      <c r="C1428" s="1" t="n">
        <v>45569</v>
      </c>
      <c r="D1428" t="inlineStr">
        <is>
          <t>JÄMTLANDS LÄN</t>
        </is>
      </c>
      <c r="E1428" t="inlineStr">
        <is>
          <t>HÄRJEDALEN</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30743-2024</t>
        </is>
      </c>
      <c r="B1429" s="1" t="n">
        <v>45496</v>
      </c>
      <c r="C1429" s="1" t="n">
        <v>45569</v>
      </c>
      <c r="D1429" t="inlineStr">
        <is>
          <t>JÄMTLANDS LÄN</t>
        </is>
      </c>
      <c r="E1429" t="inlineStr">
        <is>
          <t>HÄRJEDALEN</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30775-2024</t>
        </is>
      </c>
      <c r="B1430" s="1" t="n">
        <v>45497</v>
      </c>
      <c r="C1430" s="1" t="n">
        <v>45569</v>
      </c>
      <c r="D1430" t="inlineStr">
        <is>
          <t>JÄMTLANDS LÄN</t>
        </is>
      </c>
      <c r="E1430" t="inlineStr">
        <is>
          <t>HÄRJEDALEN</t>
        </is>
      </c>
      <c r="F1430" t="inlineStr">
        <is>
          <t>SCA</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30729-2024</t>
        </is>
      </c>
      <c r="B1431" s="1" t="n">
        <v>45496</v>
      </c>
      <c r="C1431" s="1" t="n">
        <v>45569</v>
      </c>
      <c r="D1431" t="inlineStr">
        <is>
          <t>JÄMTLANDS LÄN</t>
        </is>
      </c>
      <c r="E1431" t="inlineStr">
        <is>
          <t>HÄRJEDALEN</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31116-2024</t>
        </is>
      </c>
      <c r="B1432" s="1" t="n">
        <v>45502</v>
      </c>
      <c r="C1432" s="1" t="n">
        <v>45569</v>
      </c>
      <c r="D1432" t="inlineStr">
        <is>
          <t>JÄMTLANDS LÄN</t>
        </is>
      </c>
      <c r="E1432" t="inlineStr">
        <is>
          <t>HÄRJEDALEN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31205-2024</t>
        </is>
      </c>
      <c r="B1433" s="1" t="n">
        <v>45503</v>
      </c>
      <c r="C1433" s="1" t="n">
        <v>45569</v>
      </c>
      <c r="D1433" t="inlineStr">
        <is>
          <t>JÄMTLANDS LÄN</t>
        </is>
      </c>
      <c r="E1433" t="inlineStr">
        <is>
          <t>HÄRJEDALEN</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31301-2024</t>
        </is>
      </c>
      <c r="B1434" s="1" t="n">
        <v>45504</v>
      </c>
      <c r="C1434" s="1" t="n">
        <v>45569</v>
      </c>
      <c r="D1434" t="inlineStr">
        <is>
          <t>JÄMTLANDS LÄN</t>
        </is>
      </c>
      <c r="E1434" t="inlineStr">
        <is>
          <t>HÄRJEDALEN</t>
        </is>
      </c>
      <c r="G1434" t="n">
        <v>32.9</v>
      </c>
      <c r="H1434" t="n">
        <v>0</v>
      </c>
      <c r="I1434" t="n">
        <v>0</v>
      </c>
      <c r="J1434" t="n">
        <v>0</v>
      </c>
      <c r="K1434" t="n">
        <v>0</v>
      </c>
      <c r="L1434" t="n">
        <v>0</v>
      </c>
      <c r="M1434" t="n">
        <v>0</v>
      </c>
      <c r="N1434" t="n">
        <v>0</v>
      </c>
      <c r="O1434" t="n">
        <v>0</v>
      </c>
      <c r="P1434" t="n">
        <v>0</v>
      </c>
      <c r="Q1434" t="n">
        <v>0</v>
      </c>
      <c r="R1434" s="2" t="inlineStr"/>
    </row>
    <row r="1435" ht="15" customHeight="1">
      <c r="A1435" t="inlineStr">
        <is>
          <t>A 31460-2024</t>
        </is>
      </c>
      <c r="B1435" s="1" t="n">
        <v>45505</v>
      </c>
      <c r="C1435" s="1" t="n">
        <v>45569</v>
      </c>
      <c r="D1435" t="inlineStr">
        <is>
          <t>JÄMTLANDS LÄN</t>
        </is>
      </c>
      <c r="E1435" t="inlineStr">
        <is>
          <t>HÄRJEDALEN</t>
        </is>
      </c>
      <c r="F1435" t="inlineStr">
        <is>
          <t>SCA</t>
        </is>
      </c>
      <c r="G1435" t="n">
        <v>30.3</v>
      </c>
      <c r="H1435" t="n">
        <v>0</v>
      </c>
      <c r="I1435" t="n">
        <v>0</v>
      </c>
      <c r="J1435" t="n">
        <v>0</v>
      </c>
      <c r="K1435" t="n">
        <v>0</v>
      </c>
      <c r="L1435" t="n">
        <v>0</v>
      </c>
      <c r="M1435" t="n">
        <v>0</v>
      </c>
      <c r="N1435" t="n">
        <v>0</v>
      </c>
      <c r="O1435" t="n">
        <v>0</v>
      </c>
      <c r="P1435" t="n">
        <v>0</v>
      </c>
      <c r="Q1435" t="n">
        <v>0</v>
      </c>
      <c r="R1435" s="2" t="inlineStr"/>
    </row>
    <row r="1436" ht="15" customHeight="1">
      <c r="A1436" t="inlineStr">
        <is>
          <t>A 31527-2024</t>
        </is>
      </c>
      <c r="B1436" s="1" t="n">
        <v>45505</v>
      </c>
      <c r="C1436" s="1" t="n">
        <v>45569</v>
      </c>
      <c r="D1436" t="inlineStr">
        <is>
          <t>JÄMTLANDS LÄN</t>
        </is>
      </c>
      <c r="E1436" t="inlineStr">
        <is>
          <t>HÄRJEDALEN</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31462-2024</t>
        </is>
      </c>
      <c r="B1437" s="1" t="n">
        <v>45505</v>
      </c>
      <c r="C1437" s="1" t="n">
        <v>45569</v>
      </c>
      <c r="D1437" t="inlineStr">
        <is>
          <t>JÄMTLANDS LÄN</t>
        </is>
      </c>
      <c r="E1437" t="inlineStr">
        <is>
          <t>HÄRJEDALEN</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31473-2024</t>
        </is>
      </c>
      <c r="B1438" s="1" t="n">
        <v>45505</v>
      </c>
      <c r="C1438" s="1" t="n">
        <v>45569</v>
      </c>
      <c r="D1438" t="inlineStr">
        <is>
          <t>JÄMTLANDS LÄN</t>
        </is>
      </c>
      <c r="E1438" t="inlineStr">
        <is>
          <t>HÄRJEDALEN</t>
        </is>
      </c>
      <c r="F1438" t="inlineStr">
        <is>
          <t>SCA</t>
        </is>
      </c>
      <c r="G1438" t="n">
        <v>30.4</v>
      </c>
      <c r="H1438" t="n">
        <v>0</v>
      </c>
      <c r="I1438" t="n">
        <v>0</v>
      </c>
      <c r="J1438" t="n">
        <v>0</v>
      </c>
      <c r="K1438" t="n">
        <v>0</v>
      </c>
      <c r="L1438" t="n">
        <v>0</v>
      </c>
      <c r="M1438" t="n">
        <v>0</v>
      </c>
      <c r="N1438" t="n">
        <v>0</v>
      </c>
      <c r="O1438" t="n">
        <v>0</v>
      </c>
      <c r="P1438" t="n">
        <v>0</v>
      </c>
      <c r="Q1438" t="n">
        <v>0</v>
      </c>
      <c r="R1438" s="2" t="inlineStr"/>
    </row>
    <row r="1439" ht="15" customHeight="1">
      <c r="A1439" t="inlineStr">
        <is>
          <t>A 31459-2024</t>
        </is>
      </c>
      <c r="B1439" s="1" t="n">
        <v>45505</v>
      </c>
      <c r="C1439" s="1" t="n">
        <v>45569</v>
      </c>
      <c r="D1439" t="inlineStr">
        <is>
          <t>JÄMTLANDS LÄN</t>
        </is>
      </c>
      <c r="E1439" t="inlineStr">
        <is>
          <t>HÄRJEDALEN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31672-2024</t>
        </is>
      </c>
      <c r="B1440" s="1" t="n">
        <v>45506</v>
      </c>
      <c r="C1440" s="1" t="n">
        <v>45569</v>
      </c>
      <c r="D1440" t="inlineStr">
        <is>
          <t>JÄMTLANDS LÄN</t>
        </is>
      </c>
      <c r="E1440" t="inlineStr">
        <is>
          <t>HÄRJEDALEN</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31581-2024</t>
        </is>
      </c>
      <c r="B1441" s="1" t="n">
        <v>45506</v>
      </c>
      <c r="C1441" s="1" t="n">
        <v>45569</v>
      </c>
      <c r="D1441" t="inlineStr">
        <is>
          <t>JÄMTLANDS LÄN</t>
        </is>
      </c>
      <c r="E1441" t="inlineStr">
        <is>
          <t>HÄRJEDALEN</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31584-2024</t>
        </is>
      </c>
      <c r="B1442" s="1" t="n">
        <v>45506</v>
      </c>
      <c r="C1442" s="1" t="n">
        <v>45569</v>
      </c>
      <c r="D1442" t="inlineStr">
        <is>
          <t>JÄMTLANDS LÄN</t>
        </is>
      </c>
      <c r="E1442" t="inlineStr">
        <is>
          <t>HÄRJEDALEN</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31683-2024</t>
        </is>
      </c>
      <c r="B1443" s="1" t="n">
        <v>45506</v>
      </c>
      <c r="C1443" s="1" t="n">
        <v>45569</v>
      </c>
      <c r="D1443" t="inlineStr">
        <is>
          <t>JÄMTLANDS LÄN</t>
        </is>
      </c>
      <c r="E1443" t="inlineStr">
        <is>
          <t>HÄRJEDALEN</t>
        </is>
      </c>
      <c r="F1443" t="inlineStr">
        <is>
          <t>SCA</t>
        </is>
      </c>
      <c r="G1443" t="n">
        <v>37.4</v>
      </c>
      <c r="H1443" t="n">
        <v>0</v>
      </c>
      <c r="I1443" t="n">
        <v>0</v>
      </c>
      <c r="J1443" t="n">
        <v>0</v>
      </c>
      <c r="K1443" t="n">
        <v>0</v>
      </c>
      <c r="L1443" t="n">
        <v>0</v>
      </c>
      <c r="M1443" t="n">
        <v>0</v>
      </c>
      <c r="N1443" t="n">
        <v>0</v>
      </c>
      <c r="O1443" t="n">
        <v>0</v>
      </c>
      <c r="P1443" t="n">
        <v>0</v>
      </c>
      <c r="Q1443" t="n">
        <v>0</v>
      </c>
      <c r="R1443" s="2" t="inlineStr"/>
    </row>
    <row r="1444" ht="15" customHeight="1">
      <c r="A1444" t="inlineStr">
        <is>
          <t>A 31588-2024</t>
        </is>
      </c>
      <c r="B1444" s="1" t="n">
        <v>45506</v>
      </c>
      <c r="C1444" s="1" t="n">
        <v>45569</v>
      </c>
      <c r="D1444" t="inlineStr">
        <is>
          <t>JÄMTLANDS LÄN</t>
        </is>
      </c>
      <c r="E1444" t="inlineStr">
        <is>
          <t>HÄRJEDALEN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31587-2024</t>
        </is>
      </c>
      <c r="B1445" s="1" t="n">
        <v>45506</v>
      </c>
      <c r="C1445" s="1" t="n">
        <v>45569</v>
      </c>
      <c r="D1445" t="inlineStr">
        <is>
          <t>JÄMTLANDS LÄN</t>
        </is>
      </c>
      <c r="E1445" t="inlineStr">
        <is>
          <t>HÄRJEDALEN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31586-2024</t>
        </is>
      </c>
      <c r="B1446" s="1" t="n">
        <v>45506</v>
      </c>
      <c r="C1446" s="1" t="n">
        <v>45569</v>
      </c>
      <c r="D1446" t="inlineStr">
        <is>
          <t>JÄMTLANDS LÄN</t>
        </is>
      </c>
      <c r="E1446" t="inlineStr">
        <is>
          <t>HÄRJEDALEN</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31682-2024</t>
        </is>
      </c>
      <c r="B1447" s="1" t="n">
        <v>45506</v>
      </c>
      <c r="C1447" s="1" t="n">
        <v>45569</v>
      </c>
      <c r="D1447" t="inlineStr">
        <is>
          <t>JÄMTLANDS LÄN</t>
        </is>
      </c>
      <c r="E1447" t="inlineStr">
        <is>
          <t>HÄRJEDALEN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31777-2024</t>
        </is>
      </c>
      <c r="B1448" s="1" t="n">
        <v>45509</v>
      </c>
      <c r="C1448" s="1" t="n">
        <v>45569</v>
      </c>
      <c r="D1448" t="inlineStr">
        <is>
          <t>JÄMTLANDS LÄN</t>
        </is>
      </c>
      <c r="E1448" t="inlineStr">
        <is>
          <t>HÄRJEDALEN</t>
        </is>
      </c>
      <c r="F1448" t="inlineStr">
        <is>
          <t>Övriga statliga verk och myndigheter</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31743-2024</t>
        </is>
      </c>
      <c r="B1449" s="1" t="n">
        <v>45509</v>
      </c>
      <c r="C1449" s="1" t="n">
        <v>45569</v>
      </c>
      <c r="D1449" t="inlineStr">
        <is>
          <t>JÄMTLANDS LÄN</t>
        </is>
      </c>
      <c r="E1449" t="inlineStr">
        <is>
          <t>HÄRJEDALEN</t>
        </is>
      </c>
      <c r="F1449" t="inlineStr">
        <is>
          <t>Bergvik skog väst AB</t>
        </is>
      </c>
      <c r="G1449" t="n">
        <v>16.1</v>
      </c>
      <c r="H1449" t="n">
        <v>0</v>
      </c>
      <c r="I1449" t="n">
        <v>0</v>
      </c>
      <c r="J1449" t="n">
        <v>0</v>
      </c>
      <c r="K1449" t="n">
        <v>0</v>
      </c>
      <c r="L1449" t="n">
        <v>0</v>
      </c>
      <c r="M1449" t="n">
        <v>0</v>
      </c>
      <c r="N1449" t="n">
        <v>0</v>
      </c>
      <c r="O1449" t="n">
        <v>0</v>
      </c>
      <c r="P1449" t="n">
        <v>0</v>
      </c>
      <c r="Q1449" t="n">
        <v>0</v>
      </c>
      <c r="R1449" s="2" t="inlineStr"/>
    </row>
    <row r="1450" ht="15" customHeight="1">
      <c r="A1450" t="inlineStr">
        <is>
          <t>A 31747-2024</t>
        </is>
      </c>
      <c r="B1450" s="1" t="n">
        <v>45509</v>
      </c>
      <c r="C1450" s="1" t="n">
        <v>45569</v>
      </c>
      <c r="D1450" t="inlineStr">
        <is>
          <t>JÄMTLANDS LÄN</t>
        </is>
      </c>
      <c r="E1450" t="inlineStr">
        <is>
          <t>HÄRJEDALEN</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31759-2024</t>
        </is>
      </c>
      <c r="B1451" s="1" t="n">
        <v>45509</v>
      </c>
      <c r="C1451" s="1" t="n">
        <v>45569</v>
      </c>
      <c r="D1451" t="inlineStr">
        <is>
          <t>JÄMTLANDS LÄN</t>
        </is>
      </c>
      <c r="E1451" t="inlineStr">
        <is>
          <t>HÄRJEDALEN</t>
        </is>
      </c>
      <c r="F1451" t="inlineStr">
        <is>
          <t>Övriga statliga verk och myndigheter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31783-2024</t>
        </is>
      </c>
      <c r="B1452" s="1" t="n">
        <v>45509</v>
      </c>
      <c r="C1452" s="1" t="n">
        <v>45569</v>
      </c>
      <c r="D1452" t="inlineStr">
        <is>
          <t>JÄMTLANDS LÄN</t>
        </is>
      </c>
      <c r="E1452" t="inlineStr">
        <is>
          <t>HÄRJEDALEN</t>
        </is>
      </c>
      <c r="F1452" t="inlineStr">
        <is>
          <t>Övriga statliga verk och myndigheter</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31791-2024</t>
        </is>
      </c>
      <c r="B1453" s="1" t="n">
        <v>45509</v>
      </c>
      <c r="C1453" s="1" t="n">
        <v>45569</v>
      </c>
      <c r="D1453" t="inlineStr">
        <is>
          <t>JÄMTLANDS LÄN</t>
        </is>
      </c>
      <c r="E1453" t="inlineStr">
        <is>
          <t>HÄRJEDALEN</t>
        </is>
      </c>
      <c r="F1453" t="inlineStr">
        <is>
          <t>Övriga statliga verk och myndigheter</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31819-2024</t>
        </is>
      </c>
      <c r="B1454" s="1" t="n">
        <v>45509</v>
      </c>
      <c r="C1454" s="1" t="n">
        <v>45569</v>
      </c>
      <c r="D1454" t="inlineStr">
        <is>
          <t>JÄMTLANDS LÄN</t>
        </is>
      </c>
      <c r="E1454" t="inlineStr">
        <is>
          <t>HÄRJEDALEN</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31816-2024</t>
        </is>
      </c>
      <c r="B1455" s="1" t="n">
        <v>45509</v>
      </c>
      <c r="C1455" s="1" t="n">
        <v>45569</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31764-2024</t>
        </is>
      </c>
      <c r="B1456" s="1" t="n">
        <v>45509</v>
      </c>
      <c r="C1456" s="1" t="n">
        <v>45569</v>
      </c>
      <c r="D1456" t="inlineStr">
        <is>
          <t>JÄMTLANDS LÄN</t>
        </is>
      </c>
      <c r="E1456" t="inlineStr">
        <is>
          <t>HÄRJEDALEN</t>
        </is>
      </c>
      <c r="F1456" t="inlineStr">
        <is>
          <t>Övriga statliga verk och myndigheter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31732-2024</t>
        </is>
      </c>
      <c r="B1457" s="1" t="n">
        <v>45509</v>
      </c>
      <c r="C1457" s="1" t="n">
        <v>45569</v>
      </c>
      <c r="D1457" t="inlineStr">
        <is>
          <t>JÄMTLANDS LÄN</t>
        </is>
      </c>
      <c r="E1457" t="inlineStr">
        <is>
          <t>HÄRJEDALEN</t>
        </is>
      </c>
      <c r="F1457" t="inlineStr">
        <is>
          <t>Bergvik skog väst AB</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31834-2024</t>
        </is>
      </c>
      <c r="B1458" s="1" t="n">
        <v>45509</v>
      </c>
      <c r="C1458" s="1" t="n">
        <v>45569</v>
      </c>
      <c r="D1458" t="inlineStr">
        <is>
          <t>JÄMTLANDS LÄN</t>
        </is>
      </c>
      <c r="E1458" t="inlineStr">
        <is>
          <t>HÄRJEDALEN</t>
        </is>
      </c>
      <c r="F1458" t="inlineStr">
        <is>
          <t>Kommuner</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31806-2024</t>
        </is>
      </c>
      <c r="B1459" s="1" t="n">
        <v>45509</v>
      </c>
      <c r="C1459" s="1" t="n">
        <v>45569</v>
      </c>
      <c r="D1459" t="inlineStr">
        <is>
          <t>JÄMTLANDS LÄN</t>
        </is>
      </c>
      <c r="E1459" t="inlineStr">
        <is>
          <t>HÄRJEDALEN</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31891-2024</t>
        </is>
      </c>
      <c r="B1460" s="1" t="n">
        <v>45509</v>
      </c>
      <c r="C1460" s="1" t="n">
        <v>45569</v>
      </c>
      <c r="D1460" t="inlineStr">
        <is>
          <t>JÄMTLANDS LÄN</t>
        </is>
      </c>
      <c r="E1460" t="inlineStr">
        <is>
          <t>HÄRJEDALEN</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32064-2024</t>
        </is>
      </c>
      <c r="B1461" s="1" t="n">
        <v>45510</v>
      </c>
      <c r="C1461" s="1" t="n">
        <v>45569</v>
      </c>
      <c r="D1461" t="inlineStr">
        <is>
          <t>JÄMTLANDS LÄN</t>
        </is>
      </c>
      <c r="E1461" t="inlineStr">
        <is>
          <t>HÄRJEDALEN</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31920-2024</t>
        </is>
      </c>
      <c r="B1462" s="1" t="n">
        <v>45510</v>
      </c>
      <c r="C1462" s="1" t="n">
        <v>45569</v>
      </c>
      <c r="D1462" t="inlineStr">
        <is>
          <t>JÄMTLANDS LÄN</t>
        </is>
      </c>
      <c r="E1462" t="inlineStr">
        <is>
          <t>HÄRJEDALEN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32135-2024</t>
        </is>
      </c>
      <c r="B1463" s="1" t="n">
        <v>45511</v>
      </c>
      <c r="C1463" s="1" t="n">
        <v>45569</v>
      </c>
      <c r="D1463" t="inlineStr">
        <is>
          <t>JÄMTLANDS LÄN</t>
        </is>
      </c>
      <c r="E1463" t="inlineStr">
        <is>
          <t>HÄRJEDALEN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32122-2024</t>
        </is>
      </c>
      <c r="B1464" s="1" t="n">
        <v>45511</v>
      </c>
      <c r="C1464" s="1" t="n">
        <v>45569</v>
      </c>
      <c r="D1464" t="inlineStr">
        <is>
          <t>JÄMTLANDS LÄN</t>
        </is>
      </c>
      <c r="E1464" t="inlineStr">
        <is>
          <t>HÄRJEDALEN</t>
        </is>
      </c>
      <c r="F1464" t="inlineStr">
        <is>
          <t>Bergvik skog väst AB</t>
        </is>
      </c>
      <c r="G1464" t="n">
        <v>16.7</v>
      </c>
      <c r="H1464" t="n">
        <v>0</v>
      </c>
      <c r="I1464" t="n">
        <v>0</v>
      </c>
      <c r="J1464" t="n">
        <v>0</v>
      </c>
      <c r="K1464" t="n">
        <v>0</v>
      </c>
      <c r="L1464" t="n">
        <v>0</v>
      </c>
      <c r="M1464" t="n">
        <v>0</v>
      </c>
      <c r="N1464" t="n">
        <v>0</v>
      </c>
      <c r="O1464" t="n">
        <v>0</v>
      </c>
      <c r="P1464" t="n">
        <v>0</v>
      </c>
      <c r="Q1464" t="n">
        <v>0</v>
      </c>
      <c r="R1464" s="2" t="inlineStr"/>
    </row>
    <row r="1465" ht="15" customHeight="1">
      <c r="A1465" t="inlineStr">
        <is>
          <t>A 32233-2024</t>
        </is>
      </c>
      <c r="B1465" s="1" t="n">
        <v>45512</v>
      </c>
      <c r="C1465" s="1" t="n">
        <v>45569</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32382-2024</t>
        </is>
      </c>
      <c r="B1466" s="1" t="n">
        <v>45512</v>
      </c>
      <c r="C1466" s="1" t="n">
        <v>45569</v>
      </c>
      <c r="D1466" t="inlineStr">
        <is>
          <t>JÄMTLANDS LÄN</t>
        </is>
      </c>
      <c r="E1466" t="inlineStr">
        <is>
          <t>HÄRJEDALEN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32403-2024</t>
        </is>
      </c>
      <c r="B1467" s="1" t="n">
        <v>45512</v>
      </c>
      <c r="C1467" s="1" t="n">
        <v>45569</v>
      </c>
      <c r="D1467" t="inlineStr">
        <is>
          <t>JÄMTLANDS LÄN</t>
        </is>
      </c>
      <c r="E1467" t="inlineStr">
        <is>
          <t>HÄRJEDALEN</t>
        </is>
      </c>
      <c r="F1467" t="inlineStr">
        <is>
          <t>Bergvik skog väst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32765-2024</t>
        </is>
      </c>
      <c r="B1468" s="1" t="n">
        <v>45516</v>
      </c>
      <c r="C1468" s="1" t="n">
        <v>45569</v>
      </c>
      <c r="D1468" t="inlineStr">
        <is>
          <t>JÄMTLANDS LÄN</t>
        </is>
      </c>
      <c r="E1468" t="inlineStr">
        <is>
          <t>HÄRJEDALEN</t>
        </is>
      </c>
      <c r="F1468" t="inlineStr">
        <is>
          <t>Bergvik skog väst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32735-2024</t>
        </is>
      </c>
      <c r="B1469" s="1" t="n">
        <v>45516</v>
      </c>
      <c r="C1469" s="1" t="n">
        <v>45569</v>
      </c>
      <c r="D1469" t="inlineStr">
        <is>
          <t>JÄMTLANDS LÄN</t>
        </is>
      </c>
      <c r="E1469" t="inlineStr">
        <is>
          <t>HÄRJEDALEN</t>
        </is>
      </c>
      <c r="F1469" t="inlineStr">
        <is>
          <t>Bergvik skog väst AB</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33096-2024</t>
        </is>
      </c>
      <c r="B1470" s="1" t="n">
        <v>45517</v>
      </c>
      <c r="C1470" s="1" t="n">
        <v>45569</v>
      </c>
      <c r="D1470" t="inlineStr">
        <is>
          <t>JÄMTLANDS LÄN</t>
        </is>
      </c>
      <c r="E1470" t="inlineStr">
        <is>
          <t>HÄRJEDALEN</t>
        </is>
      </c>
      <c r="F1470" t="inlineStr">
        <is>
          <t>Övriga Aktiebolag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33123-2024</t>
        </is>
      </c>
      <c r="B1471" s="1" t="n">
        <v>45518</v>
      </c>
      <c r="C1471" s="1" t="n">
        <v>45569</v>
      </c>
      <c r="D1471" t="inlineStr">
        <is>
          <t>JÄMTLANDS LÄN</t>
        </is>
      </c>
      <c r="E1471" t="inlineStr">
        <is>
          <t>HÄRJEDALEN</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33125-2024</t>
        </is>
      </c>
      <c r="B1472" s="1" t="n">
        <v>45518</v>
      </c>
      <c r="C1472" s="1" t="n">
        <v>45569</v>
      </c>
      <c r="D1472" t="inlineStr">
        <is>
          <t>JÄMTLANDS LÄN</t>
        </is>
      </c>
      <c r="E1472" t="inlineStr">
        <is>
          <t>HÄRJEDALEN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32962-2024</t>
        </is>
      </c>
      <c r="B1473" s="1" t="n">
        <v>45517</v>
      </c>
      <c r="C1473" s="1" t="n">
        <v>45569</v>
      </c>
      <c r="D1473" t="inlineStr">
        <is>
          <t>JÄMTLANDS LÄN</t>
        </is>
      </c>
      <c r="E1473" t="inlineStr">
        <is>
          <t>HÄRJEDALEN</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32964-2024</t>
        </is>
      </c>
      <c r="B1474" s="1" t="n">
        <v>45517</v>
      </c>
      <c r="C1474" s="1" t="n">
        <v>45569</v>
      </c>
      <c r="D1474" t="inlineStr">
        <is>
          <t>JÄMTLANDS LÄN</t>
        </is>
      </c>
      <c r="E1474" t="inlineStr">
        <is>
          <t>HÄRJEDALEN</t>
        </is>
      </c>
      <c r="F1474" t="inlineStr">
        <is>
          <t>Kommuner</t>
        </is>
      </c>
      <c r="G1474" t="n">
        <v>30.3</v>
      </c>
      <c r="H1474" t="n">
        <v>0</v>
      </c>
      <c r="I1474" t="n">
        <v>0</v>
      </c>
      <c r="J1474" t="n">
        <v>0</v>
      </c>
      <c r="K1474" t="n">
        <v>0</v>
      </c>
      <c r="L1474" t="n">
        <v>0</v>
      </c>
      <c r="M1474" t="n">
        <v>0</v>
      </c>
      <c r="N1474" t="n">
        <v>0</v>
      </c>
      <c r="O1474" t="n">
        <v>0</v>
      </c>
      <c r="P1474" t="n">
        <v>0</v>
      </c>
      <c r="Q1474" t="n">
        <v>0</v>
      </c>
      <c r="R1474" s="2" t="inlineStr"/>
    </row>
    <row r="1475" ht="15" customHeight="1">
      <c r="A1475" t="inlineStr">
        <is>
          <t>A 33124-2024</t>
        </is>
      </c>
      <c r="B1475" s="1" t="n">
        <v>45518</v>
      </c>
      <c r="C1475" s="1" t="n">
        <v>45569</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33307-2024</t>
        </is>
      </c>
      <c r="B1476" s="1" t="n">
        <v>45519</v>
      </c>
      <c r="C1476" s="1" t="n">
        <v>45569</v>
      </c>
      <c r="D1476" t="inlineStr">
        <is>
          <t>JÄMTLANDS LÄN</t>
        </is>
      </c>
      <c r="E1476" t="inlineStr">
        <is>
          <t>HÄRJEDALEN</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33308-2024</t>
        </is>
      </c>
      <c r="B1477" s="1" t="n">
        <v>45519</v>
      </c>
      <c r="C1477" s="1" t="n">
        <v>45569</v>
      </c>
      <c r="D1477" t="inlineStr">
        <is>
          <t>JÄMTLANDS LÄN</t>
        </is>
      </c>
      <c r="E1477" t="inlineStr">
        <is>
          <t>HÄRJEDALEN</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33502-2024</t>
        </is>
      </c>
      <c r="B1478" s="1" t="n">
        <v>45519</v>
      </c>
      <c r="C1478" s="1" t="n">
        <v>45569</v>
      </c>
      <c r="D1478" t="inlineStr">
        <is>
          <t>JÄMTLANDS LÄN</t>
        </is>
      </c>
      <c r="E1478" t="inlineStr">
        <is>
          <t>HÄRJEDALEN</t>
        </is>
      </c>
      <c r="F1478" t="inlineStr">
        <is>
          <t>SCA</t>
        </is>
      </c>
      <c r="G1478" t="n">
        <v>18.9</v>
      </c>
      <c r="H1478" t="n">
        <v>0</v>
      </c>
      <c r="I1478" t="n">
        <v>0</v>
      </c>
      <c r="J1478" t="n">
        <v>0</v>
      </c>
      <c r="K1478" t="n">
        <v>0</v>
      </c>
      <c r="L1478" t="n">
        <v>0</v>
      </c>
      <c r="M1478" t="n">
        <v>0</v>
      </c>
      <c r="N1478" t="n">
        <v>0</v>
      </c>
      <c r="O1478" t="n">
        <v>0</v>
      </c>
      <c r="P1478" t="n">
        <v>0</v>
      </c>
      <c r="Q1478" t="n">
        <v>0</v>
      </c>
      <c r="R1478" s="2" t="inlineStr"/>
    </row>
    <row r="1479" ht="15" customHeight="1">
      <c r="A1479" t="inlineStr">
        <is>
          <t>A 33523-2024</t>
        </is>
      </c>
      <c r="B1479" s="1" t="n">
        <v>45519</v>
      </c>
      <c r="C1479" s="1" t="n">
        <v>45569</v>
      </c>
      <c r="D1479" t="inlineStr">
        <is>
          <t>JÄMTLANDS LÄN</t>
        </is>
      </c>
      <c r="E1479" t="inlineStr">
        <is>
          <t>HÄRJEDALEN</t>
        </is>
      </c>
      <c r="F1479" t="inlineStr">
        <is>
          <t>SCA</t>
        </is>
      </c>
      <c r="G1479" t="n">
        <v>19.4</v>
      </c>
      <c r="H1479" t="n">
        <v>0</v>
      </c>
      <c r="I1479" t="n">
        <v>0</v>
      </c>
      <c r="J1479" t="n">
        <v>0</v>
      </c>
      <c r="K1479" t="n">
        <v>0</v>
      </c>
      <c r="L1479" t="n">
        <v>0</v>
      </c>
      <c r="M1479" t="n">
        <v>0</v>
      </c>
      <c r="N1479" t="n">
        <v>0</v>
      </c>
      <c r="O1479" t="n">
        <v>0</v>
      </c>
      <c r="P1479" t="n">
        <v>0</v>
      </c>
      <c r="Q1479" t="n">
        <v>0</v>
      </c>
      <c r="R1479" s="2" t="inlineStr"/>
    </row>
    <row r="1480" ht="15" customHeight="1">
      <c r="A1480" t="inlineStr">
        <is>
          <t>A 34291-2024</t>
        </is>
      </c>
      <c r="B1480" s="1" t="n">
        <v>45524</v>
      </c>
      <c r="C1480" s="1" t="n">
        <v>45569</v>
      </c>
      <c r="D1480" t="inlineStr">
        <is>
          <t>JÄMTLANDS LÄN</t>
        </is>
      </c>
      <c r="E1480" t="inlineStr">
        <is>
          <t>HÄRJEDALEN</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34523-2024</t>
        </is>
      </c>
      <c r="B1481" s="1" t="n">
        <v>45525</v>
      </c>
      <c r="C1481" s="1" t="n">
        <v>45569</v>
      </c>
      <c r="D1481" t="inlineStr">
        <is>
          <t>JÄMTLANDS LÄN</t>
        </is>
      </c>
      <c r="E1481" t="inlineStr">
        <is>
          <t>HÄRJEDALEN</t>
        </is>
      </c>
      <c r="G1481" t="n">
        <v>31.5</v>
      </c>
      <c r="H1481" t="n">
        <v>0</v>
      </c>
      <c r="I1481" t="n">
        <v>0</v>
      </c>
      <c r="J1481" t="n">
        <v>0</v>
      </c>
      <c r="K1481" t="n">
        <v>0</v>
      </c>
      <c r="L1481" t="n">
        <v>0</v>
      </c>
      <c r="M1481" t="n">
        <v>0</v>
      </c>
      <c r="N1481" t="n">
        <v>0</v>
      </c>
      <c r="O1481" t="n">
        <v>0</v>
      </c>
      <c r="P1481" t="n">
        <v>0</v>
      </c>
      <c r="Q1481" t="n">
        <v>0</v>
      </c>
      <c r="R1481" s="2" t="inlineStr"/>
    </row>
    <row r="1482" ht="15" customHeight="1">
      <c r="A1482" t="inlineStr">
        <is>
          <t>A 34660-2024</t>
        </is>
      </c>
      <c r="B1482" s="1" t="n">
        <v>45526</v>
      </c>
      <c r="C1482" s="1" t="n">
        <v>45569</v>
      </c>
      <c r="D1482" t="inlineStr">
        <is>
          <t>JÄMTLANDS LÄN</t>
        </is>
      </c>
      <c r="E1482" t="inlineStr">
        <is>
          <t>HÄRJEDALEN</t>
        </is>
      </c>
      <c r="F1482" t="inlineStr">
        <is>
          <t>Bergvik skog väst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34775-2024</t>
        </is>
      </c>
      <c r="B1483" s="1" t="n">
        <v>45526</v>
      </c>
      <c r="C1483" s="1" t="n">
        <v>45569</v>
      </c>
      <c r="D1483" t="inlineStr">
        <is>
          <t>JÄMTLANDS LÄN</t>
        </is>
      </c>
      <c r="E1483" t="inlineStr">
        <is>
          <t>HÄRJEDALEN</t>
        </is>
      </c>
      <c r="F1483" t="inlineStr">
        <is>
          <t>Bergvik skog väst AB</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35015-2024</t>
        </is>
      </c>
      <c r="B1484" s="1" t="n">
        <v>45527</v>
      </c>
      <c r="C1484" s="1" t="n">
        <v>45569</v>
      </c>
      <c r="D1484" t="inlineStr">
        <is>
          <t>JÄMTLANDS LÄN</t>
        </is>
      </c>
      <c r="E1484" t="inlineStr">
        <is>
          <t>HÄRJEDALEN</t>
        </is>
      </c>
      <c r="G1484" t="n">
        <v>23.2</v>
      </c>
      <c r="H1484" t="n">
        <v>0</v>
      </c>
      <c r="I1484" t="n">
        <v>0</v>
      </c>
      <c r="J1484" t="n">
        <v>0</v>
      </c>
      <c r="K1484" t="n">
        <v>0</v>
      </c>
      <c r="L1484" t="n">
        <v>0</v>
      </c>
      <c r="M1484" t="n">
        <v>0</v>
      </c>
      <c r="N1484" t="n">
        <v>0</v>
      </c>
      <c r="O1484" t="n">
        <v>0</v>
      </c>
      <c r="P1484" t="n">
        <v>0</v>
      </c>
      <c r="Q1484" t="n">
        <v>0</v>
      </c>
      <c r="R1484" s="2" t="inlineStr"/>
    </row>
    <row r="1485" ht="15" customHeight="1">
      <c r="A1485" t="inlineStr">
        <is>
          <t>A 35046-2024</t>
        </is>
      </c>
      <c r="B1485" s="1" t="n">
        <v>45527</v>
      </c>
      <c r="C1485" s="1" t="n">
        <v>45569</v>
      </c>
      <c r="D1485" t="inlineStr">
        <is>
          <t>JÄMTLANDS LÄN</t>
        </is>
      </c>
      <c r="E1485" t="inlineStr">
        <is>
          <t>HÄRJEDALEN</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35362-2024</t>
        </is>
      </c>
      <c r="B1486" s="1" t="n">
        <v>45531</v>
      </c>
      <c r="C1486" s="1" t="n">
        <v>45569</v>
      </c>
      <c r="D1486" t="inlineStr">
        <is>
          <t>JÄMTLANDS LÄN</t>
        </is>
      </c>
      <c r="E1486" t="inlineStr">
        <is>
          <t>HÄRJEDALEN</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35454-2024</t>
        </is>
      </c>
      <c r="B1487" s="1" t="n">
        <v>45531</v>
      </c>
      <c r="C1487" s="1" t="n">
        <v>45569</v>
      </c>
      <c r="D1487" t="inlineStr">
        <is>
          <t>JÄMTLANDS LÄN</t>
        </is>
      </c>
      <c r="E1487" t="inlineStr">
        <is>
          <t>HÄRJEDALEN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35369-2024</t>
        </is>
      </c>
      <c r="B1488" s="1" t="n">
        <v>45531</v>
      </c>
      <c r="C1488" s="1" t="n">
        <v>45569</v>
      </c>
      <c r="D1488" t="inlineStr">
        <is>
          <t>JÄMTLANDS LÄN</t>
        </is>
      </c>
      <c r="E1488" t="inlineStr">
        <is>
          <t>HÄRJEDALEN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35457-2024</t>
        </is>
      </c>
      <c r="B1489" s="1" t="n">
        <v>45531</v>
      </c>
      <c r="C1489" s="1" t="n">
        <v>45569</v>
      </c>
      <c r="D1489" t="inlineStr">
        <is>
          <t>JÄMTLANDS LÄN</t>
        </is>
      </c>
      <c r="E1489" t="inlineStr">
        <is>
          <t>HÄRJEDALEN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35599-2024</t>
        </is>
      </c>
      <c r="B1490" s="1" t="n">
        <v>45531</v>
      </c>
      <c r="C1490" s="1" t="n">
        <v>45569</v>
      </c>
      <c r="D1490" t="inlineStr">
        <is>
          <t>JÄMTLANDS LÄN</t>
        </is>
      </c>
      <c r="E1490" t="inlineStr">
        <is>
          <t>HÄRJEDALEN</t>
        </is>
      </c>
      <c r="F1490" t="inlineStr">
        <is>
          <t>Bergvik skog väst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35635-2024</t>
        </is>
      </c>
      <c r="B1491" s="1" t="n">
        <v>45531</v>
      </c>
      <c r="C1491" s="1" t="n">
        <v>45569</v>
      </c>
      <c r="D1491" t="inlineStr">
        <is>
          <t>JÄMTLANDS LÄN</t>
        </is>
      </c>
      <c r="E1491" t="inlineStr">
        <is>
          <t>HÄRJEDALEN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35726-2024</t>
        </is>
      </c>
      <c r="B1492" s="1" t="n">
        <v>45532</v>
      </c>
      <c r="C1492" s="1" t="n">
        <v>45569</v>
      </c>
      <c r="D1492" t="inlineStr">
        <is>
          <t>JÄMTLANDS LÄN</t>
        </is>
      </c>
      <c r="E1492" t="inlineStr">
        <is>
          <t>HÄRJEDALEN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35947-2024</t>
        </is>
      </c>
      <c r="B1493" s="1" t="n">
        <v>45533</v>
      </c>
      <c r="C1493" s="1" t="n">
        <v>45569</v>
      </c>
      <c r="D1493" t="inlineStr">
        <is>
          <t>JÄMTLANDS LÄN</t>
        </is>
      </c>
      <c r="E1493" t="inlineStr">
        <is>
          <t>HÄRJEDALEN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35971-2024</t>
        </is>
      </c>
      <c r="B1494" s="1" t="n">
        <v>45533</v>
      </c>
      <c r="C1494" s="1" t="n">
        <v>45569</v>
      </c>
      <c r="D1494" t="inlineStr">
        <is>
          <t>JÄMTLANDS LÄN</t>
        </is>
      </c>
      <c r="E1494" t="inlineStr">
        <is>
          <t>HÄRJEDALEN</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36083-2024</t>
        </is>
      </c>
      <c r="B1495" s="1" t="n">
        <v>45533</v>
      </c>
      <c r="C1495" s="1" t="n">
        <v>45569</v>
      </c>
      <c r="D1495" t="inlineStr">
        <is>
          <t>JÄMTLANDS LÄN</t>
        </is>
      </c>
      <c r="E1495" t="inlineStr">
        <is>
          <t>HÄRJEDALEN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36097-2024</t>
        </is>
      </c>
      <c r="B1496" s="1" t="n">
        <v>45533</v>
      </c>
      <c r="C1496" s="1" t="n">
        <v>45569</v>
      </c>
      <c r="D1496" t="inlineStr">
        <is>
          <t>JÄMTLANDS LÄN</t>
        </is>
      </c>
      <c r="E1496" t="inlineStr">
        <is>
          <t>HÄRJEDALEN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36123-2024</t>
        </is>
      </c>
      <c r="B1497" s="1" t="n">
        <v>45534</v>
      </c>
      <c r="C1497" s="1" t="n">
        <v>45569</v>
      </c>
      <c r="D1497" t="inlineStr">
        <is>
          <t>JÄMTLANDS LÄN</t>
        </is>
      </c>
      <c r="E1497" t="inlineStr">
        <is>
          <t>HÄRJEDALEN</t>
        </is>
      </c>
      <c r="F1497" t="inlineStr">
        <is>
          <t>Bergvik skog väst AB</t>
        </is>
      </c>
      <c r="G1497" t="n">
        <v>25.7</v>
      </c>
      <c r="H1497" t="n">
        <v>0</v>
      </c>
      <c r="I1497" t="n">
        <v>0</v>
      </c>
      <c r="J1497" t="n">
        <v>0</v>
      </c>
      <c r="K1497" t="n">
        <v>0</v>
      </c>
      <c r="L1497" t="n">
        <v>0</v>
      </c>
      <c r="M1497" t="n">
        <v>0</v>
      </c>
      <c r="N1497" t="n">
        <v>0</v>
      </c>
      <c r="O1497" t="n">
        <v>0</v>
      </c>
      <c r="P1497" t="n">
        <v>0</v>
      </c>
      <c r="Q1497" t="n">
        <v>0</v>
      </c>
      <c r="R1497" s="2" t="inlineStr"/>
    </row>
    <row r="1498" ht="15" customHeight="1">
      <c r="A1498" t="inlineStr">
        <is>
          <t>A 36239-2024</t>
        </is>
      </c>
      <c r="B1498" s="1" t="n">
        <v>45534</v>
      </c>
      <c r="C1498" s="1" t="n">
        <v>45569</v>
      </c>
      <c r="D1498" t="inlineStr">
        <is>
          <t>JÄMTLANDS LÄN</t>
        </is>
      </c>
      <c r="E1498" t="inlineStr">
        <is>
          <t>HÄRJEDALEN</t>
        </is>
      </c>
      <c r="F1498" t="inlineStr">
        <is>
          <t>Bergvik skog väst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36645-2024</t>
        </is>
      </c>
      <c r="B1499" s="1" t="n">
        <v>45537</v>
      </c>
      <c r="C1499" s="1" t="n">
        <v>45569</v>
      </c>
      <c r="D1499" t="inlineStr">
        <is>
          <t>JÄMTLANDS LÄN</t>
        </is>
      </c>
      <c r="E1499" t="inlineStr">
        <is>
          <t>HÄRJEDALEN</t>
        </is>
      </c>
      <c r="F1499" t="inlineStr">
        <is>
          <t>Holmen skog AB</t>
        </is>
      </c>
      <c r="G1499" t="n">
        <v>16.8</v>
      </c>
      <c r="H1499" t="n">
        <v>0</v>
      </c>
      <c r="I1499" t="n">
        <v>0</v>
      </c>
      <c r="J1499" t="n">
        <v>0</v>
      </c>
      <c r="K1499" t="n">
        <v>0</v>
      </c>
      <c r="L1499" t="n">
        <v>0</v>
      </c>
      <c r="M1499" t="n">
        <v>0</v>
      </c>
      <c r="N1499" t="n">
        <v>0</v>
      </c>
      <c r="O1499" t="n">
        <v>0</v>
      </c>
      <c r="P1499" t="n">
        <v>0</v>
      </c>
      <c r="Q1499" t="n">
        <v>0</v>
      </c>
      <c r="R1499" s="2" t="inlineStr"/>
    </row>
    <row r="1500" ht="15" customHeight="1">
      <c r="A1500" t="inlineStr">
        <is>
          <t>A 36911-2024</t>
        </is>
      </c>
      <c r="B1500" s="1" t="n">
        <v>45538</v>
      </c>
      <c r="C1500" s="1" t="n">
        <v>45569</v>
      </c>
      <c r="D1500" t="inlineStr">
        <is>
          <t>JÄMTLANDS LÄN</t>
        </is>
      </c>
      <c r="E1500" t="inlineStr">
        <is>
          <t>HÄRJEDALEN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36941-2024</t>
        </is>
      </c>
      <c r="B1501" s="1" t="n">
        <v>45538</v>
      </c>
      <c r="C1501" s="1" t="n">
        <v>45569</v>
      </c>
      <c r="D1501" t="inlineStr">
        <is>
          <t>JÄMTLANDS LÄN</t>
        </is>
      </c>
      <c r="E1501" t="inlineStr">
        <is>
          <t>HÄRJEDALEN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37054-2024</t>
        </is>
      </c>
      <c r="B1502" s="1" t="n">
        <v>45539</v>
      </c>
      <c r="C1502" s="1" t="n">
        <v>45569</v>
      </c>
      <c r="D1502" t="inlineStr">
        <is>
          <t>JÄMTLANDS LÄN</t>
        </is>
      </c>
      <c r="E1502" t="inlineStr">
        <is>
          <t>HÄRJEDALEN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37281-2024</t>
        </is>
      </c>
      <c r="B1503" s="1" t="n">
        <v>45540</v>
      </c>
      <c r="C1503" s="1" t="n">
        <v>45569</v>
      </c>
      <c r="D1503" t="inlineStr">
        <is>
          <t>JÄMTLANDS LÄN</t>
        </is>
      </c>
      <c r="E1503" t="inlineStr">
        <is>
          <t>HÄRJEDALEN</t>
        </is>
      </c>
      <c r="F1503" t="inlineStr">
        <is>
          <t>Bergvik skog väst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38064-2024</t>
        </is>
      </c>
      <c r="B1504" s="1" t="n">
        <v>45544</v>
      </c>
      <c r="C1504" s="1" t="n">
        <v>45569</v>
      </c>
      <c r="D1504" t="inlineStr">
        <is>
          <t>JÄMTLANDS LÄN</t>
        </is>
      </c>
      <c r="E1504" t="inlineStr">
        <is>
          <t>HÄRJEDALEN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38070-2024</t>
        </is>
      </c>
      <c r="B1505" s="1" t="n">
        <v>45544</v>
      </c>
      <c r="C1505" s="1" t="n">
        <v>45569</v>
      </c>
      <c r="D1505" t="inlineStr">
        <is>
          <t>JÄMTLANDS LÄN</t>
        </is>
      </c>
      <c r="E1505" t="inlineStr">
        <is>
          <t>HÄRJEDALEN</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38609-2024</t>
        </is>
      </c>
      <c r="B1506" s="1" t="n">
        <v>45546</v>
      </c>
      <c r="C1506" s="1" t="n">
        <v>45569</v>
      </c>
      <c r="D1506" t="inlineStr">
        <is>
          <t>JÄMTLANDS LÄN</t>
        </is>
      </c>
      <c r="E1506" t="inlineStr">
        <is>
          <t>HÄRJEDALEN</t>
        </is>
      </c>
      <c r="F1506" t="inlineStr">
        <is>
          <t>Bergvik skog väst AB</t>
        </is>
      </c>
      <c r="G1506" t="n">
        <v>32.4</v>
      </c>
      <c r="H1506" t="n">
        <v>0</v>
      </c>
      <c r="I1506" t="n">
        <v>0</v>
      </c>
      <c r="J1506" t="n">
        <v>0</v>
      </c>
      <c r="K1506" t="n">
        <v>0</v>
      </c>
      <c r="L1506" t="n">
        <v>0</v>
      </c>
      <c r="M1506" t="n">
        <v>0</v>
      </c>
      <c r="N1506" t="n">
        <v>0</v>
      </c>
      <c r="O1506" t="n">
        <v>0</v>
      </c>
      <c r="P1506" t="n">
        <v>0</v>
      </c>
      <c r="Q1506" t="n">
        <v>0</v>
      </c>
      <c r="R1506" s="2" t="inlineStr"/>
    </row>
    <row r="1507" ht="15" customHeight="1">
      <c r="A1507" t="inlineStr">
        <is>
          <t>A 38507-2024</t>
        </is>
      </c>
      <c r="B1507" s="1" t="n">
        <v>45546</v>
      </c>
      <c r="C1507" s="1" t="n">
        <v>45569</v>
      </c>
      <c r="D1507" t="inlineStr">
        <is>
          <t>JÄMTLANDS LÄN</t>
        </is>
      </c>
      <c r="E1507" t="inlineStr">
        <is>
          <t>HÄRJEDALEN</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38840-2024</t>
        </is>
      </c>
      <c r="B1508" s="1" t="n">
        <v>45547</v>
      </c>
      <c r="C1508" s="1" t="n">
        <v>45569</v>
      </c>
      <c r="D1508" t="inlineStr">
        <is>
          <t>JÄMTLANDS LÄN</t>
        </is>
      </c>
      <c r="E1508" t="inlineStr">
        <is>
          <t>HÄRJEDALEN</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38827-2024</t>
        </is>
      </c>
      <c r="B1509" s="1" t="n">
        <v>45547</v>
      </c>
      <c r="C1509" s="1" t="n">
        <v>45569</v>
      </c>
      <c r="D1509" t="inlineStr">
        <is>
          <t>JÄMTLANDS LÄN</t>
        </is>
      </c>
      <c r="E1509" t="inlineStr">
        <is>
          <t>HÄRJEDALEN</t>
        </is>
      </c>
      <c r="F1509" t="inlineStr">
        <is>
          <t>Bergvik skog väst AB</t>
        </is>
      </c>
      <c r="G1509" t="n">
        <v>30</v>
      </c>
      <c r="H1509" t="n">
        <v>0</v>
      </c>
      <c r="I1509" t="n">
        <v>0</v>
      </c>
      <c r="J1509" t="n">
        <v>0</v>
      </c>
      <c r="K1509" t="n">
        <v>0</v>
      </c>
      <c r="L1509" t="n">
        <v>0</v>
      </c>
      <c r="M1509" t="n">
        <v>0</v>
      </c>
      <c r="N1509" t="n">
        <v>0</v>
      </c>
      <c r="O1509" t="n">
        <v>0</v>
      </c>
      <c r="P1509" t="n">
        <v>0</v>
      </c>
      <c r="Q1509" t="n">
        <v>0</v>
      </c>
      <c r="R1509" s="2" t="inlineStr"/>
    </row>
    <row r="1510" ht="15" customHeight="1">
      <c r="A1510" t="inlineStr">
        <is>
          <t>A 38851-2024</t>
        </is>
      </c>
      <c r="B1510" s="1" t="n">
        <v>45547</v>
      </c>
      <c r="C1510" s="1" t="n">
        <v>45569</v>
      </c>
      <c r="D1510" t="inlineStr">
        <is>
          <t>JÄMTLANDS LÄN</t>
        </is>
      </c>
      <c r="E1510" t="inlineStr">
        <is>
          <t>HÄRJEDALEN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38841-2024</t>
        </is>
      </c>
      <c r="B1511" s="1" t="n">
        <v>45547</v>
      </c>
      <c r="C1511" s="1" t="n">
        <v>45569</v>
      </c>
      <c r="D1511" t="inlineStr">
        <is>
          <t>JÄMTLANDS LÄN</t>
        </is>
      </c>
      <c r="E1511" t="inlineStr">
        <is>
          <t>HÄRJEDALEN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40037-2024</t>
        </is>
      </c>
      <c r="B1512" s="1" t="n">
        <v>45553</v>
      </c>
      <c r="C1512" s="1" t="n">
        <v>45569</v>
      </c>
      <c r="D1512" t="inlineStr">
        <is>
          <t>JÄMTLANDS LÄN</t>
        </is>
      </c>
      <c r="E1512" t="inlineStr">
        <is>
          <t>HÄRJEDALEN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40114-2024</t>
        </is>
      </c>
      <c r="B1513" s="1" t="n">
        <v>45554</v>
      </c>
      <c r="C1513" s="1" t="n">
        <v>45569</v>
      </c>
      <c r="D1513" t="inlineStr">
        <is>
          <t>JÄMTLANDS LÄN</t>
        </is>
      </c>
      <c r="E1513" t="inlineStr">
        <is>
          <t>HÄRJEDALEN</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45569</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41068-2024</t>
        </is>
      </c>
      <c r="B1515" s="1" t="n">
        <v>45559</v>
      </c>
      <c r="C1515" s="1" t="n">
        <v>45569</v>
      </c>
      <c r="D1515" t="inlineStr">
        <is>
          <t>JÄMTLANDS LÄN</t>
        </is>
      </c>
      <c r="E1515" t="inlineStr">
        <is>
          <t>HÄRJEDALEN</t>
        </is>
      </c>
      <c r="F1515" t="inlineStr">
        <is>
          <t>Bergvik skog väst AB</t>
        </is>
      </c>
      <c r="G1515" t="n">
        <v>51.1</v>
      </c>
      <c r="H1515" t="n">
        <v>0</v>
      </c>
      <c r="I1515" t="n">
        <v>0</v>
      </c>
      <c r="J1515" t="n">
        <v>0</v>
      </c>
      <c r="K1515" t="n">
        <v>0</v>
      </c>
      <c r="L1515" t="n">
        <v>0</v>
      </c>
      <c r="M1515" t="n">
        <v>0</v>
      </c>
      <c r="N1515" t="n">
        <v>0</v>
      </c>
      <c r="O1515" t="n">
        <v>0</v>
      </c>
      <c r="P1515" t="n">
        <v>0</v>
      </c>
      <c r="Q1515" t="n">
        <v>0</v>
      </c>
      <c r="R1515" s="2" t="inlineStr"/>
    </row>
    <row r="1516" ht="15" customHeight="1">
      <c r="A1516" t="inlineStr">
        <is>
          <t>A 41259-2024</t>
        </is>
      </c>
      <c r="B1516" s="1" t="n">
        <v>45559</v>
      </c>
      <c r="C1516" s="1" t="n">
        <v>45569</v>
      </c>
      <c r="D1516" t="inlineStr">
        <is>
          <t>JÄMTLANDS LÄN</t>
        </is>
      </c>
      <c r="E1516" t="inlineStr">
        <is>
          <t>HÄRJEDALEN</t>
        </is>
      </c>
      <c r="F1516" t="inlineStr">
        <is>
          <t>Bergvik skog väst AB</t>
        </is>
      </c>
      <c r="G1516" t="n">
        <v>30.7</v>
      </c>
      <c r="H1516" t="n">
        <v>0</v>
      </c>
      <c r="I1516" t="n">
        <v>0</v>
      </c>
      <c r="J1516" t="n">
        <v>0</v>
      </c>
      <c r="K1516" t="n">
        <v>0</v>
      </c>
      <c r="L1516" t="n">
        <v>0</v>
      </c>
      <c r="M1516" t="n">
        <v>0</v>
      </c>
      <c r="N1516" t="n">
        <v>0</v>
      </c>
      <c r="O1516" t="n">
        <v>0</v>
      </c>
      <c r="P1516" t="n">
        <v>0</v>
      </c>
      <c r="Q1516" t="n">
        <v>0</v>
      </c>
      <c r="R1516" s="2" t="inlineStr"/>
    </row>
    <row r="1517" ht="15" customHeight="1">
      <c r="A1517" t="inlineStr">
        <is>
          <t>A 41329-2024</t>
        </is>
      </c>
      <c r="B1517" s="1" t="n">
        <v>45559</v>
      </c>
      <c r="C1517" s="1" t="n">
        <v>45569</v>
      </c>
      <c r="D1517" t="inlineStr">
        <is>
          <t>JÄMTLANDS LÄN</t>
        </is>
      </c>
      <c r="E1517" t="inlineStr">
        <is>
          <t>HÄRJEDALEN</t>
        </is>
      </c>
      <c r="G1517" t="n">
        <v>47.1</v>
      </c>
      <c r="H1517" t="n">
        <v>0</v>
      </c>
      <c r="I1517" t="n">
        <v>0</v>
      </c>
      <c r="J1517" t="n">
        <v>0</v>
      </c>
      <c r="K1517" t="n">
        <v>0</v>
      </c>
      <c r="L1517" t="n">
        <v>0</v>
      </c>
      <c r="M1517" t="n">
        <v>0</v>
      </c>
      <c r="N1517" t="n">
        <v>0</v>
      </c>
      <c r="O1517" t="n">
        <v>0</v>
      </c>
      <c r="P1517" t="n">
        <v>0</v>
      </c>
      <c r="Q1517" t="n">
        <v>0</v>
      </c>
      <c r="R1517" s="2" t="inlineStr"/>
    </row>
    <row r="1518" ht="15" customHeight="1">
      <c r="A1518" t="inlineStr">
        <is>
          <t>A 41401-2024</t>
        </is>
      </c>
      <c r="B1518" s="1" t="n">
        <v>45560</v>
      </c>
      <c r="C1518" s="1" t="n">
        <v>45569</v>
      </c>
      <c r="D1518" t="inlineStr">
        <is>
          <t>JÄMTLANDS LÄN</t>
        </is>
      </c>
      <c r="E1518" t="inlineStr">
        <is>
          <t>HÄRJEDALEN</t>
        </is>
      </c>
      <c r="F1518" t="inlineStr">
        <is>
          <t>Bergvik skog väst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41615-2024</t>
        </is>
      </c>
      <c r="B1519" s="1" t="n">
        <v>45560</v>
      </c>
      <c r="C1519" s="1" t="n">
        <v>45569</v>
      </c>
      <c r="D1519" t="inlineStr">
        <is>
          <t>JÄMTLANDS LÄN</t>
        </is>
      </c>
      <c r="E1519" t="inlineStr">
        <is>
          <t>HÄRJEDALEN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41604-2024</t>
        </is>
      </c>
      <c r="B1520" s="1" t="n">
        <v>45560</v>
      </c>
      <c r="C1520" s="1" t="n">
        <v>45569</v>
      </c>
      <c r="D1520" t="inlineStr">
        <is>
          <t>JÄMTLANDS LÄN</t>
        </is>
      </c>
      <c r="E1520" t="inlineStr">
        <is>
          <t>HÄRJEDALEN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41647-2024</t>
        </is>
      </c>
      <c r="B1521" s="1" t="n">
        <v>45560</v>
      </c>
      <c r="C1521" s="1" t="n">
        <v>45569</v>
      </c>
      <c r="D1521" t="inlineStr">
        <is>
          <t>JÄMTLANDS LÄN</t>
        </is>
      </c>
      <c r="E1521" t="inlineStr">
        <is>
          <t>HÄRJEDALEN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41761-2024</t>
        </is>
      </c>
      <c r="B1522" s="1" t="n">
        <v>45561</v>
      </c>
      <c r="C1522" s="1" t="n">
        <v>45569</v>
      </c>
      <c r="D1522" t="inlineStr">
        <is>
          <t>JÄMTLANDS LÄN</t>
        </is>
      </c>
      <c r="E1522" t="inlineStr">
        <is>
          <t>HÄRJEDALEN</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41887-2024</t>
        </is>
      </c>
      <c r="B1523" s="1" t="n">
        <v>45561</v>
      </c>
      <c r="C1523" s="1" t="n">
        <v>45569</v>
      </c>
      <c r="D1523" t="inlineStr">
        <is>
          <t>JÄMTLANDS LÄN</t>
        </is>
      </c>
      <c r="E1523" t="inlineStr">
        <is>
          <t>HÄRJEDALEN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41895-2024</t>
        </is>
      </c>
      <c r="B1524" s="1" t="n">
        <v>45561</v>
      </c>
      <c r="C1524" s="1" t="n">
        <v>45569</v>
      </c>
      <c r="D1524" t="inlineStr">
        <is>
          <t>JÄMTLANDS LÄN</t>
        </is>
      </c>
      <c r="E1524" t="inlineStr">
        <is>
          <t>HÄRJEDALEN</t>
        </is>
      </c>
      <c r="G1524" t="n">
        <v>39.3</v>
      </c>
      <c r="H1524" t="n">
        <v>0</v>
      </c>
      <c r="I1524" t="n">
        <v>0</v>
      </c>
      <c r="J1524" t="n">
        <v>0</v>
      </c>
      <c r="K1524" t="n">
        <v>0</v>
      </c>
      <c r="L1524" t="n">
        <v>0</v>
      </c>
      <c r="M1524" t="n">
        <v>0</v>
      </c>
      <c r="N1524" t="n">
        <v>0</v>
      </c>
      <c r="O1524" t="n">
        <v>0</v>
      </c>
      <c r="P1524" t="n">
        <v>0</v>
      </c>
      <c r="Q1524" t="n">
        <v>0</v>
      </c>
      <c r="R1524" s="2" t="inlineStr"/>
    </row>
    <row r="1525" ht="15" customHeight="1">
      <c r="A1525" t="inlineStr">
        <is>
          <t>A 41785-2024</t>
        </is>
      </c>
      <c r="B1525" s="1" t="n">
        <v>45561</v>
      </c>
      <c r="C1525" s="1" t="n">
        <v>45569</v>
      </c>
      <c r="D1525" t="inlineStr">
        <is>
          <t>JÄMTLANDS LÄN</t>
        </is>
      </c>
      <c r="E1525" t="inlineStr">
        <is>
          <t>HÄRJEDALEN</t>
        </is>
      </c>
      <c r="F1525" t="inlineStr">
        <is>
          <t>SCA</t>
        </is>
      </c>
      <c r="G1525" t="n">
        <v>45.1</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45569</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42333-2024</t>
        </is>
      </c>
      <c r="B1527" s="1" t="n">
        <v>45562</v>
      </c>
      <c r="C1527" s="1" t="n">
        <v>45569</v>
      </c>
      <c r="D1527" t="inlineStr">
        <is>
          <t>JÄMTLANDS LÄN</t>
        </is>
      </c>
      <c r="E1527" t="inlineStr">
        <is>
          <t>HÄRJEDALEN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42332-2024</t>
        </is>
      </c>
      <c r="B1528" s="1" t="n">
        <v>45562</v>
      </c>
      <c r="C1528" s="1" t="n">
        <v>45569</v>
      </c>
      <c r="D1528" t="inlineStr">
        <is>
          <t>JÄMTLANDS LÄN</t>
        </is>
      </c>
      <c r="E1528" t="inlineStr">
        <is>
          <t>HÄRJEDALEN</t>
        </is>
      </c>
      <c r="F1528" t="inlineStr">
        <is>
          <t>Sveaskog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42789-2024</t>
        </is>
      </c>
      <c r="B1529" s="1" t="n">
        <v>45566</v>
      </c>
      <c r="C1529" s="1" t="n">
        <v>45569</v>
      </c>
      <c r="D1529" t="inlineStr">
        <is>
          <t>JÄMTLANDS LÄN</t>
        </is>
      </c>
      <c r="E1529" t="inlineStr">
        <is>
          <t>HÄRJEDALEN</t>
        </is>
      </c>
      <c r="G1529" t="n">
        <v>13.9</v>
      </c>
      <c r="H1529" t="n">
        <v>0</v>
      </c>
      <c r="I1529" t="n">
        <v>0</v>
      </c>
      <c r="J1529" t="n">
        <v>0</v>
      </c>
      <c r="K1529" t="n">
        <v>0</v>
      </c>
      <c r="L1529" t="n">
        <v>0</v>
      </c>
      <c r="M1529" t="n">
        <v>0</v>
      </c>
      <c r="N1529" t="n">
        <v>0</v>
      </c>
      <c r="O1529" t="n">
        <v>0</v>
      </c>
      <c r="P1529" t="n">
        <v>0</v>
      </c>
      <c r="Q1529" t="n">
        <v>0</v>
      </c>
      <c r="R1529" s="2" t="inlineStr"/>
    </row>
    <row r="1530" ht="15" customHeight="1">
      <c r="A1530" t="inlineStr">
        <is>
          <t>A 42803-2024</t>
        </is>
      </c>
      <c r="B1530" s="1" t="n">
        <v>45566</v>
      </c>
      <c r="C1530" s="1" t="n">
        <v>45569</v>
      </c>
      <c r="D1530" t="inlineStr">
        <is>
          <t>JÄMTLANDS LÄN</t>
        </is>
      </c>
      <c r="E1530" t="inlineStr">
        <is>
          <t>HÄRJEDALEN</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43036-2024</t>
        </is>
      </c>
      <c r="B1531" s="1" t="n">
        <v>45567</v>
      </c>
      <c r="C1531" s="1" t="n">
        <v>45569</v>
      </c>
      <c r="D1531" t="inlineStr">
        <is>
          <t>JÄMTLANDS LÄN</t>
        </is>
      </c>
      <c r="E1531" t="inlineStr">
        <is>
          <t>HÄRJEDALEN</t>
        </is>
      </c>
      <c r="F1531" t="inlineStr">
        <is>
          <t>Bergvik skog väst AB</t>
        </is>
      </c>
      <c r="G1531" t="n">
        <v>28.4</v>
      </c>
      <c r="H1531" t="n">
        <v>0</v>
      </c>
      <c r="I1531" t="n">
        <v>0</v>
      </c>
      <c r="J1531" t="n">
        <v>0</v>
      </c>
      <c r="K1531" t="n">
        <v>0</v>
      </c>
      <c r="L1531" t="n">
        <v>0</v>
      </c>
      <c r="M1531" t="n">
        <v>0</v>
      </c>
      <c r="N1531" t="n">
        <v>0</v>
      </c>
      <c r="O1531" t="n">
        <v>0</v>
      </c>
      <c r="P1531" t="n">
        <v>0</v>
      </c>
      <c r="Q1531" t="n">
        <v>0</v>
      </c>
      <c r="R1531" s="2" t="inlineStr"/>
    </row>
    <row r="1532" ht="15" customHeight="1">
      <c r="A1532" t="inlineStr">
        <is>
          <t>A 43287-2024</t>
        </is>
      </c>
      <c r="B1532" s="1" t="n">
        <v>45568</v>
      </c>
      <c r="C1532" s="1" t="n">
        <v>45569</v>
      </c>
      <c r="D1532" t="inlineStr">
        <is>
          <t>JÄMTLANDS LÄN</t>
        </is>
      </c>
      <c r="E1532" t="inlineStr">
        <is>
          <t>HÄRJEDALEN</t>
        </is>
      </c>
      <c r="F1532" t="inlineStr">
        <is>
          <t>SCA</t>
        </is>
      </c>
      <c r="G1532" t="n">
        <v>19.7</v>
      </c>
      <c r="H1532" t="n">
        <v>0</v>
      </c>
      <c r="I1532" t="n">
        <v>0</v>
      </c>
      <c r="J1532" t="n">
        <v>0</v>
      </c>
      <c r="K1532" t="n">
        <v>0</v>
      </c>
      <c r="L1532" t="n">
        <v>0</v>
      </c>
      <c r="M1532" t="n">
        <v>0</v>
      </c>
      <c r="N1532" t="n">
        <v>0</v>
      </c>
      <c r="O1532" t="n">
        <v>0</v>
      </c>
      <c r="P1532" t="n">
        <v>0</v>
      </c>
      <c r="Q1532" t="n">
        <v>0</v>
      </c>
      <c r="R1532" s="2" t="inlineStr"/>
    </row>
    <row r="1533" ht="15" customHeight="1">
      <c r="A1533" t="inlineStr">
        <is>
          <t>A 43297-2024</t>
        </is>
      </c>
      <c r="B1533" s="1" t="n">
        <v>45568</v>
      </c>
      <c r="C1533" s="1" t="n">
        <v>45569</v>
      </c>
      <c r="D1533" t="inlineStr">
        <is>
          <t>JÄMTLANDS LÄN</t>
        </is>
      </c>
      <c r="E1533" t="inlineStr">
        <is>
          <t>HÄRJEDALEN</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43309-2024</t>
        </is>
      </c>
      <c r="B1534" s="1" t="n">
        <v>45568</v>
      </c>
      <c r="C1534" s="1" t="n">
        <v>45569</v>
      </c>
      <c r="D1534" t="inlineStr">
        <is>
          <t>JÄMTLANDS LÄN</t>
        </is>
      </c>
      <c r="E1534" t="inlineStr">
        <is>
          <t>HÄRJEDALEN</t>
        </is>
      </c>
      <c r="F1534" t="inlineStr">
        <is>
          <t>Bergvik skog väst AB</t>
        </is>
      </c>
      <c r="G1534" t="n">
        <v>79.8</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45569</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43390-2024</t>
        </is>
      </c>
      <c r="B1536" s="1" t="n">
        <v>45568</v>
      </c>
      <c r="C1536" s="1" t="n">
        <v>45569</v>
      </c>
      <c r="D1536" t="inlineStr">
        <is>
          <t>JÄMTLANDS LÄN</t>
        </is>
      </c>
      <c r="E1536" t="inlineStr">
        <is>
          <t>HÄRJEDALEN</t>
        </is>
      </c>
      <c r="F1536" t="inlineStr">
        <is>
          <t>Bergvik skog väst AB</t>
        </is>
      </c>
      <c r="G1536" t="n">
        <v>10.9</v>
      </c>
      <c r="H1536" t="n">
        <v>0</v>
      </c>
      <c r="I1536" t="n">
        <v>0</v>
      </c>
      <c r="J1536" t="n">
        <v>0</v>
      </c>
      <c r="K1536" t="n">
        <v>0</v>
      </c>
      <c r="L1536" t="n">
        <v>0</v>
      </c>
      <c r="M1536" t="n">
        <v>0</v>
      </c>
      <c r="N1536" t="n">
        <v>0</v>
      </c>
      <c r="O1536" t="n">
        <v>0</v>
      </c>
      <c r="P1536" t="n">
        <v>0</v>
      </c>
      <c r="Q1536" t="n">
        <v>0</v>
      </c>
      <c r="R1536" s="2" t="inlineStr"/>
    </row>
    <row r="1537">
      <c r="A1537" t="inlineStr">
        <is>
          <t>A 43294-2024</t>
        </is>
      </c>
      <c r="B1537" s="1" t="n">
        <v>45568</v>
      </c>
      <c r="C1537" s="1" t="n">
        <v>45569</v>
      </c>
      <c r="D1537" t="inlineStr">
        <is>
          <t>JÄMTLANDS LÄN</t>
        </is>
      </c>
      <c r="E1537" t="inlineStr">
        <is>
          <t>HÄRJEDALEN</t>
        </is>
      </c>
      <c r="F1537" t="inlineStr">
        <is>
          <t>SCA</t>
        </is>
      </c>
      <c r="G1537" t="n">
        <v>18.5</v>
      </c>
      <c r="H1537" t="n">
        <v>0</v>
      </c>
      <c r="I1537" t="n">
        <v>0</v>
      </c>
      <c r="J1537" t="n">
        <v>0</v>
      </c>
      <c r="K1537" t="n">
        <v>0</v>
      </c>
      <c r="L1537" t="n">
        <v>0</v>
      </c>
      <c r="M1537" t="n">
        <v>0</v>
      </c>
      <c r="N1537" t="n">
        <v>0</v>
      </c>
      <c r="O1537" t="n">
        <v>0</v>
      </c>
      <c r="P1537" t="n">
        <v>0</v>
      </c>
      <c r="Q1537" t="n">
        <v>0</v>
      </c>
      <c r="R1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2024-10-04T13:01:42Z</dcterms:created>
  <dcterms:modified xmlns:dcterms="http://purl.org/dc/terms/" xmlns:xsi="http://www.w3.org/2001/XMLSchema-instance" xsi:type="dcterms:W3CDTF">2024-10-04T13:01:43Z</dcterms:modified>
</cp:coreProperties>
</file>