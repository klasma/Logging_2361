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45743</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45743</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45743</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45743</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45743</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45743</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45743</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45743</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45743</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45743</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45743</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45743</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45743</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HYPERLINK("https://klasma.github.io/Logging_2361/artfynd/A 14565-2025 artfynd.xlsx", "A 14565-2025")</f>
        <v/>
      </c>
      <c r="T76">
        <f>HYPERLINK("https://klasma.github.io/Logging_2361/kartor/A 14565-2025 karta.png", "A 14565-2025")</f>
        <v/>
      </c>
      <c r="V76">
        <f>HYPERLINK("https://klasma.github.io/Logging_2361/klagomål/A 14565-2025 FSC-klagomål.docx", "A 14565-2025")</f>
        <v/>
      </c>
      <c r="W76">
        <f>HYPERLINK("https://klasma.github.io/Logging_2361/klagomålsmail/A 14565-2025 FSC-klagomål mail.docx", "A 14565-2025")</f>
        <v/>
      </c>
      <c r="X76">
        <f>HYPERLINK("https://klasma.github.io/Logging_2361/tillsyn/A 14565-2025 tillsynsbegäran.docx", "A 14565-2025")</f>
        <v/>
      </c>
      <c r="Y76">
        <f>HYPERLINK("https://klasma.github.io/Logging_2361/tillsynsmail/A 14565-2025 tillsynsbegäran mail.docx", "A 14565-2025")</f>
        <v/>
      </c>
    </row>
    <row r="77" ht="15" customHeight="1">
      <c r="A77" t="inlineStr">
        <is>
          <t>A 42828-2021</t>
        </is>
      </c>
      <c r="B77" s="1" t="n">
        <v>44430</v>
      </c>
      <c r="C77" s="1" t="n">
        <v>45743</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45743</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45743</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45743</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45743</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45743</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45743</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45743</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45743</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45743</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45743</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45743</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45743</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45743</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13779-2025</t>
        </is>
      </c>
      <c r="B91" s="1" t="n">
        <v>45737</v>
      </c>
      <c r="C91" s="1" t="n">
        <v>45743</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HYPERLINK("https://klasma.github.io/Logging_2361/artfynd/A 13779-2025 artfynd.xlsx", "A 13779-2025")</f>
        <v/>
      </c>
      <c r="T91">
        <f>HYPERLINK("https://klasma.github.io/Logging_2361/kartor/A 13779-2025 karta.png", "A 13779-2025")</f>
        <v/>
      </c>
      <c r="V91">
        <f>HYPERLINK("https://klasma.github.io/Logging_2361/klagomål/A 13779-2025 FSC-klagomål.docx", "A 13779-2025")</f>
        <v/>
      </c>
      <c r="W91">
        <f>HYPERLINK("https://klasma.github.io/Logging_2361/klagomålsmail/A 13779-2025 FSC-klagomål mail.docx", "A 13779-2025")</f>
        <v/>
      </c>
      <c r="X91">
        <f>HYPERLINK("https://klasma.github.io/Logging_2361/tillsyn/A 13779-2025 tillsynsbegäran.docx", "A 13779-2025")</f>
        <v/>
      </c>
      <c r="Y91">
        <f>HYPERLINK("https://klasma.github.io/Logging_2361/tillsynsmail/A 13779-2025 tillsynsbegäran mail.docx", "A 13779-2025")</f>
        <v/>
      </c>
    </row>
    <row r="92" ht="15" customHeight="1">
      <c r="A92" t="inlineStr">
        <is>
          <t>A 25472-2019</t>
        </is>
      </c>
      <c r="B92" s="1" t="n">
        <v>43606</v>
      </c>
      <c r="C92" s="1" t="n">
        <v>45743</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45743</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45743</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45743</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45743</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45743</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45743</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45743</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45743</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45743</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45743</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63750-2019</t>
        </is>
      </c>
      <c r="B103" s="1" t="n">
        <v>43795</v>
      </c>
      <c r="C103" s="1" t="n">
        <v>45743</v>
      </c>
      <c r="D103" t="inlineStr">
        <is>
          <t>JÄMTLANDS LÄN</t>
        </is>
      </c>
      <c r="E103" t="inlineStr">
        <is>
          <t>HÄRJEDALEN</t>
        </is>
      </c>
      <c r="F103" t="inlineStr">
        <is>
          <t>Sveaskog</t>
        </is>
      </c>
      <c r="G103" t="n">
        <v>5.6</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HYPERLINK("https://klasma.github.io/Logging_2361/artfynd/A 63750-2019 artfynd.xlsx", "A 63750-2019")</f>
        <v/>
      </c>
      <c r="T103">
        <f>HYPERLINK("https://klasma.github.io/Logging_2361/kartor/A 63750-2019 karta.png", "A 63750-2019")</f>
        <v/>
      </c>
      <c r="V103">
        <f>HYPERLINK("https://klasma.github.io/Logging_2361/klagomål/A 63750-2019 FSC-klagomål.docx", "A 63750-2019")</f>
        <v/>
      </c>
      <c r="W103">
        <f>HYPERLINK("https://klasma.github.io/Logging_2361/klagomålsmail/A 63750-2019 FSC-klagomål mail.docx", "A 63750-2019")</f>
        <v/>
      </c>
      <c r="X103">
        <f>HYPERLINK("https://klasma.github.io/Logging_2361/tillsyn/A 63750-2019 tillsynsbegäran.docx", "A 63750-2019")</f>
        <v/>
      </c>
      <c r="Y103">
        <f>HYPERLINK("https://klasma.github.io/Logging_2361/tillsynsmail/A 63750-2019 tillsynsbegäran mail.docx", "A 63750-2019")</f>
        <v/>
      </c>
    </row>
    <row r="104" ht="15" customHeight="1">
      <c r="A104" t="inlineStr">
        <is>
          <t>A 16680-2021</t>
        </is>
      </c>
      <c r="B104" s="1" t="n">
        <v>44294</v>
      </c>
      <c r="C104" s="1" t="n">
        <v>45743</v>
      </c>
      <c r="D104" t="inlineStr">
        <is>
          <t>JÄMTLANDS LÄN</t>
        </is>
      </c>
      <c r="E104" t="inlineStr">
        <is>
          <t>HÄRJEDALEN</t>
        </is>
      </c>
      <c r="G104" t="n">
        <v>5.7</v>
      </c>
      <c r="H104" t="n">
        <v>0</v>
      </c>
      <c r="I104" t="n">
        <v>3</v>
      </c>
      <c r="J104" t="n">
        <v>1</v>
      </c>
      <c r="K104" t="n">
        <v>0</v>
      </c>
      <c r="L104" t="n">
        <v>0</v>
      </c>
      <c r="M104" t="n">
        <v>0</v>
      </c>
      <c r="N104" t="n">
        <v>0</v>
      </c>
      <c r="O104" t="n">
        <v>1</v>
      </c>
      <c r="P104" t="n">
        <v>0</v>
      </c>
      <c r="Q104" t="n">
        <v>4</v>
      </c>
      <c r="R104" s="2" t="inlineStr">
        <is>
          <t>Vitgrynig nållav
Bronshjon
Bårdlav
Stuplav</t>
        </is>
      </c>
      <c r="S104">
        <f>HYPERLINK("https://klasma.github.io/Logging_2361/artfynd/A 16680-2021 artfynd.xlsx", "A 16680-2021")</f>
        <v/>
      </c>
      <c r="T104">
        <f>HYPERLINK("https://klasma.github.io/Logging_2361/kartor/A 16680-2021 karta.png", "A 16680-2021")</f>
        <v/>
      </c>
      <c r="V104">
        <f>HYPERLINK("https://klasma.github.io/Logging_2361/klagomål/A 16680-2021 FSC-klagomål.docx", "A 16680-2021")</f>
        <v/>
      </c>
      <c r="W104">
        <f>HYPERLINK("https://klasma.github.io/Logging_2361/klagomålsmail/A 16680-2021 FSC-klagomål mail.docx", "A 16680-2021")</f>
        <v/>
      </c>
      <c r="X104">
        <f>HYPERLINK("https://klasma.github.io/Logging_2361/tillsyn/A 16680-2021 tillsynsbegäran.docx", "A 16680-2021")</f>
        <v/>
      </c>
      <c r="Y104">
        <f>HYPERLINK("https://klasma.github.io/Logging_2361/tillsynsmail/A 16680-2021 tillsynsbegäran mail.docx", "A 16680-2021")</f>
        <v/>
      </c>
    </row>
    <row r="105" ht="15" customHeight="1">
      <c r="A105" t="inlineStr">
        <is>
          <t>A 16691-2021</t>
        </is>
      </c>
      <c r="B105" s="1" t="n">
        <v>44294</v>
      </c>
      <c r="C105" s="1" t="n">
        <v>45743</v>
      </c>
      <c r="D105" t="inlineStr">
        <is>
          <t>JÄMTLANDS LÄN</t>
        </is>
      </c>
      <c r="E105" t="inlineStr">
        <is>
          <t>HÄRJEDALEN</t>
        </is>
      </c>
      <c r="G105" t="n">
        <v>4.2</v>
      </c>
      <c r="H105" t="n">
        <v>0</v>
      </c>
      <c r="I105" t="n">
        <v>1</v>
      </c>
      <c r="J105" t="n">
        <v>3</v>
      </c>
      <c r="K105" t="n">
        <v>0</v>
      </c>
      <c r="L105" t="n">
        <v>0</v>
      </c>
      <c r="M105" t="n">
        <v>0</v>
      </c>
      <c r="N105" t="n">
        <v>0</v>
      </c>
      <c r="O105" t="n">
        <v>3</v>
      </c>
      <c r="P105" t="n">
        <v>0</v>
      </c>
      <c r="Q105" t="n">
        <v>4</v>
      </c>
      <c r="R105" s="2" t="inlineStr">
        <is>
          <t>Granticka
Knottrig blåslav
Vitgrynig nållav
Kornig nållav</t>
        </is>
      </c>
      <c r="S105">
        <f>HYPERLINK("https://klasma.github.io/Logging_2361/artfynd/A 16691-2021 artfynd.xlsx", "A 16691-2021")</f>
        <v/>
      </c>
      <c r="T105">
        <f>HYPERLINK("https://klasma.github.io/Logging_2361/kartor/A 16691-2021 karta.png", "A 16691-2021")</f>
        <v/>
      </c>
      <c r="V105">
        <f>HYPERLINK("https://klasma.github.io/Logging_2361/klagomål/A 16691-2021 FSC-klagomål.docx", "A 16691-2021")</f>
        <v/>
      </c>
      <c r="W105">
        <f>HYPERLINK("https://klasma.github.io/Logging_2361/klagomålsmail/A 16691-2021 FSC-klagomål mail.docx", "A 16691-2021")</f>
        <v/>
      </c>
      <c r="X105">
        <f>HYPERLINK("https://klasma.github.io/Logging_2361/tillsyn/A 16691-2021 tillsynsbegäran.docx", "A 16691-2021")</f>
        <v/>
      </c>
      <c r="Y105">
        <f>HYPERLINK("https://klasma.github.io/Logging_2361/tillsynsmail/A 16691-2021 tillsynsbegäran mail.docx", "A 16691-2021")</f>
        <v/>
      </c>
    </row>
    <row r="106" ht="15" customHeight="1">
      <c r="A106" t="inlineStr">
        <is>
          <t>A 42826-2021</t>
        </is>
      </c>
      <c r="B106" s="1" t="n">
        <v>44430</v>
      </c>
      <c r="C106" s="1" t="n">
        <v>45743</v>
      </c>
      <c r="D106" t="inlineStr">
        <is>
          <t>JÄMTLANDS LÄN</t>
        </is>
      </c>
      <c r="E106" t="inlineStr">
        <is>
          <t>HÄRJEDALEN</t>
        </is>
      </c>
      <c r="F106" t="inlineStr">
        <is>
          <t>Sveaskog</t>
        </is>
      </c>
      <c r="G106" t="n">
        <v>8.1</v>
      </c>
      <c r="H106" t="n">
        <v>2</v>
      </c>
      <c r="I106" t="n">
        <v>0</v>
      </c>
      <c r="J106" t="n">
        <v>3</v>
      </c>
      <c r="K106" t="n">
        <v>1</v>
      </c>
      <c r="L106" t="n">
        <v>0</v>
      </c>
      <c r="M106" t="n">
        <v>0</v>
      </c>
      <c r="N106" t="n">
        <v>0</v>
      </c>
      <c r="O106" t="n">
        <v>4</v>
      </c>
      <c r="P106" t="n">
        <v>1</v>
      </c>
      <c r="Q106" t="n">
        <v>4</v>
      </c>
      <c r="R106" s="2" t="inlineStr">
        <is>
          <t>Knärot
Garnlav
Kungsörn
Motaggsvamp</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c r="Z106">
        <f>HYPERLINK("https://klasma.github.io/Logging_2361/fåglar/A 42826-2021 prioriterade fågelarter.docx", "A 42826-2021")</f>
        <v/>
      </c>
    </row>
    <row r="107" ht="15" customHeight="1">
      <c r="A107" t="inlineStr">
        <is>
          <t>A 54420-2021</t>
        </is>
      </c>
      <c r="B107" s="1" t="n">
        <v>44473</v>
      </c>
      <c r="C107" s="1" t="n">
        <v>45743</v>
      </c>
      <c r="D107" t="inlineStr">
        <is>
          <t>JÄMTLANDS LÄN</t>
        </is>
      </c>
      <c r="E107" t="inlineStr">
        <is>
          <t>HÄRJEDALEN</t>
        </is>
      </c>
      <c r="F107" t="inlineStr">
        <is>
          <t>Bergvik skog väst AB</t>
        </is>
      </c>
      <c r="G107" t="n">
        <v>18.5</v>
      </c>
      <c r="H107" t="n">
        <v>2</v>
      </c>
      <c r="I107" t="n">
        <v>0</v>
      </c>
      <c r="J107" t="n">
        <v>2</v>
      </c>
      <c r="K107" t="n">
        <v>1</v>
      </c>
      <c r="L107" t="n">
        <v>0</v>
      </c>
      <c r="M107" t="n">
        <v>0</v>
      </c>
      <c r="N107" t="n">
        <v>0</v>
      </c>
      <c r="O107" t="n">
        <v>3</v>
      </c>
      <c r="P107" t="n">
        <v>1</v>
      </c>
      <c r="Q107" t="n">
        <v>4</v>
      </c>
      <c r="R107" s="2" t="inlineStr">
        <is>
          <t>Knärot
Lunglav
Skrovellav
Fläcknycklar</t>
        </is>
      </c>
      <c r="S107">
        <f>HYPERLINK("https://klasma.github.io/Logging_2361/artfynd/A 54420-2021 artfynd.xlsx", "A 54420-2021")</f>
        <v/>
      </c>
      <c r="T107">
        <f>HYPERLINK("https://klasma.github.io/Logging_2361/kartor/A 54420-2021 karta.png", "A 54420-2021")</f>
        <v/>
      </c>
      <c r="U107">
        <f>HYPERLINK("https://klasma.github.io/Logging_2361/knärot/A 54420-2021 karta knärot.png", "A 54420-2021")</f>
        <v/>
      </c>
      <c r="V107">
        <f>HYPERLINK("https://klasma.github.io/Logging_2361/klagomål/A 54420-2021 FSC-klagomål.docx", "A 54420-2021")</f>
        <v/>
      </c>
      <c r="W107">
        <f>HYPERLINK("https://klasma.github.io/Logging_2361/klagomålsmail/A 54420-2021 FSC-klagomål mail.docx", "A 54420-2021")</f>
        <v/>
      </c>
      <c r="X107">
        <f>HYPERLINK("https://klasma.github.io/Logging_2361/tillsyn/A 54420-2021 tillsynsbegäran.docx", "A 54420-2021")</f>
        <v/>
      </c>
      <c r="Y107">
        <f>HYPERLINK("https://klasma.github.io/Logging_2361/tillsynsmail/A 54420-2021 tillsynsbegäran mail.docx", "A 54420-2021")</f>
        <v/>
      </c>
    </row>
    <row r="108" ht="15" customHeight="1">
      <c r="A108" t="inlineStr">
        <is>
          <t>A 55641-2021</t>
        </is>
      </c>
      <c r="B108" s="1" t="n">
        <v>44476</v>
      </c>
      <c r="C108" s="1" t="n">
        <v>45743</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42576-2022</t>
        </is>
      </c>
      <c r="B109" s="1" t="n">
        <v>44831</v>
      </c>
      <c r="C109" s="1" t="n">
        <v>45743</v>
      </c>
      <c r="D109" t="inlineStr">
        <is>
          <t>JÄMTLANDS LÄN</t>
        </is>
      </c>
      <c r="E109" t="inlineStr">
        <is>
          <t>HÄRJEDALEN</t>
        </is>
      </c>
      <c r="F109" t="inlineStr">
        <is>
          <t>Sveaskog</t>
        </is>
      </c>
      <c r="G109" t="n">
        <v>24.4</v>
      </c>
      <c r="H109" t="n">
        <v>3</v>
      </c>
      <c r="I109" t="n">
        <v>3</v>
      </c>
      <c r="J109" t="n">
        <v>0</v>
      </c>
      <c r="K109" t="n">
        <v>1</v>
      </c>
      <c r="L109" t="n">
        <v>0</v>
      </c>
      <c r="M109" t="n">
        <v>0</v>
      </c>
      <c r="N109" t="n">
        <v>0</v>
      </c>
      <c r="O109" t="n">
        <v>1</v>
      </c>
      <c r="P109" t="n">
        <v>1</v>
      </c>
      <c r="Q109" t="n">
        <v>4</v>
      </c>
      <c r="R109" s="2" t="inlineStr">
        <is>
          <t>Knärot
Skarp dropptaggsvamp
Spindelblomster
Tvåblad</t>
        </is>
      </c>
      <c r="S109">
        <f>HYPERLINK("https://klasma.github.io/Logging_2361/artfynd/A 42576-2022 artfynd.xlsx", "A 42576-2022")</f>
        <v/>
      </c>
      <c r="T109">
        <f>HYPERLINK("https://klasma.github.io/Logging_2361/kartor/A 42576-2022 karta.png", "A 42576-2022")</f>
        <v/>
      </c>
      <c r="U109">
        <f>HYPERLINK("https://klasma.github.io/Logging_2361/knärot/A 42576-2022 karta knärot.png", "A 42576-2022")</f>
        <v/>
      </c>
      <c r="V109">
        <f>HYPERLINK("https://klasma.github.io/Logging_2361/klagomål/A 42576-2022 FSC-klagomål.docx", "A 42576-2022")</f>
        <v/>
      </c>
      <c r="W109">
        <f>HYPERLINK("https://klasma.github.io/Logging_2361/klagomålsmail/A 42576-2022 FSC-klagomål mail.docx", "A 42576-2022")</f>
        <v/>
      </c>
      <c r="X109">
        <f>HYPERLINK("https://klasma.github.io/Logging_2361/tillsyn/A 42576-2022 tillsynsbegäran.docx", "A 42576-2022")</f>
        <v/>
      </c>
      <c r="Y109">
        <f>HYPERLINK("https://klasma.github.io/Logging_2361/tillsynsmail/A 42576-2022 tillsynsbegäran mail.docx", "A 42576-2022")</f>
        <v/>
      </c>
    </row>
    <row r="110" ht="15" customHeight="1">
      <c r="A110" t="inlineStr">
        <is>
          <t>A 4757-2023</t>
        </is>
      </c>
      <c r="B110" s="1" t="n">
        <v>44957</v>
      </c>
      <c r="C110" s="1" t="n">
        <v>45743</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8587-2023</t>
        </is>
      </c>
      <c r="B111" s="1" t="n">
        <v>44977</v>
      </c>
      <c r="C111" s="1" t="n">
        <v>45743</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45743</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24955-2023</t>
        </is>
      </c>
      <c r="B113" s="1" t="n">
        <v>45085</v>
      </c>
      <c r="C113" s="1" t="n">
        <v>45743</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29829-2023</t>
        </is>
      </c>
      <c r="B114" s="1" t="n">
        <v>45107</v>
      </c>
      <c r="C114" s="1" t="n">
        <v>45743</v>
      </c>
      <c r="D114" t="inlineStr">
        <is>
          <t>JÄMTLANDS LÄN</t>
        </is>
      </c>
      <c r="E114" t="inlineStr">
        <is>
          <t>HÄRJEDALEN</t>
        </is>
      </c>
      <c r="G114" t="n">
        <v>29.4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HYPERLINK("https://klasma.github.io/Logging_2361/artfynd/A 29829-2023 artfynd.xlsx", "A 29829-2023")</f>
        <v/>
      </c>
      <c r="T114">
        <f>HYPERLINK("https://klasma.github.io/Logging_2361/kartor/A 29829-2023 karta.png", "A 29829-2023")</f>
        <v/>
      </c>
      <c r="V114">
        <f>HYPERLINK("https://klasma.github.io/Logging_2361/klagomål/A 29829-2023 FSC-klagomål.docx", "A 29829-2023")</f>
        <v/>
      </c>
      <c r="W114">
        <f>HYPERLINK("https://klasma.github.io/Logging_2361/klagomålsmail/A 29829-2023 FSC-klagomål mail.docx", "A 29829-2023")</f>
        <v/>
      </c>
      <c r="X114">
        <f>HYPERLINK("https://klasma.github.io/Logging_2361/tillsyn/A 29829-2023 tillsynsbegäran.docx", "A 29829-2023")</f>
        <v/>
      </c>
      <c r="Y114">
        <f>HYPERLINK("https://klasma.github.io/Logging_2361/tillsynsmail/A 29829-2023 tillsynsbegäran mail.docx", "A 29829-2023")</f>
        <v/>
      </c>
      <c r="Z114">
        <f>HYPERLINK("https://klasma.github.io/Logging_2361/fåglar/A 29829-2023 prioriterade fågelarter.docx", "A 29829-2023")</f>
        <v/>
      </c>
    </row>
    <row r="115" ht="15" customHeight="1">
      <c r="A115" t="inlineStr">
        <is>
          <t>A 39925-2023</t>
        </is>
      </c>
      <c r="B115" s="1" t="n">
        <v>45168</v>
      </c>
      <c r="C115" s="1" t="n">
        <v>45743</v>
      </c>
      <c r="D115" t="inlineStr">
        <is>
          <t>JÄMTLANDS LÄN</t>
        </is>
      </c>
      <c r="E115" t="inlineStr">
        <is>
          <t>HÄRJEDALEN</t>
        </is>
      </c>
      <c r="F115" t="inlineStr">
        <is>
          <t>Sveaskog</t>
        </is>
      </c>
      <c r="G115" t="n">
        <v>25.6</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39925-2023 artfynd.xlsx", "A 39925-2023")</f>
        <v/>
      </c>
      <c r="T115">
        <f>HYPERLINK("https://klasma.github.io/Logging_2361/kartor/A 39925-2023 karta.png", "A 39925-2023")</f>
        <v/>
      </c>
      <c r="V115">
        <f>HYPERLINK("https://klasma.github.io/Logging_2361/klagomål/A 39925-2023 FSC-klagomål.docx", "A 39925-2023")</f>
        <v/>
      </c>
      <c r="W115">
        <f>HYPERLINK("https://klasma.github.io/Logging_2361/klagomålsmail/A 39925-2023 FSC-klagomål mail.docx", "A 39925-2023")</f>
        <v/>
      </c>
      <c r="X115">
        <f>HYPERLINK("https://klasma.github.io/Logging_2361/tillsyn/A 39925-2023 tillsynsbegäran.docx", "A 39925-2023")</f>
        <v/>
      </c>
      <c r="Y115">
        <f>HYPERLINK("https://klasma.github.io/Logging_2361/tillsynsmail/A 39925-2023 tillsynsbegäran mail.docx", "A 39925-2023")</f>
        <v/>
      </c>
    </row>
    <row r="116" ht="15" customHeight="1">
      <c r="A116" t="inlineStr">
        <is>
          <t>A 46228-2023</t>
        </is>
      </c>
      <c r="B116" s="1" t="n">
        <v>45196</v>
      </c>
      <c r="C116" s="1" t="n">
        <v>45743</v>
      </c>
      <c r="D116" t="inlineStr">
        <is>
          <t>JÄMTLANDS LÄN</t>
        </is>
      </c>
      <c r="E116" t="inlineStr">
        <is>
          <t>HÄRJEDALEN</t>
        </is>
      </c>
      <c r="F116" t="inlineStr">
        <is>
          <t>Sveaskog</t>
        </is>
      </c>
      <c r="G116" t="n">
        <v>9.4</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46228-2023 artfynd.xlsx", "A 46228-2023")</f>
        <v/>
      </c>
      <c r="T116">
        <f>HYPERLINK("https://klasma.github.io/Logging_2361/kartor/A 46228-2023 karta.png", "A 46228-2023")</f>
        <v/>
      </c>
      <c r="V116">
        <f>HYPERLINK("https://klasma.github.io/Logging_2361/klagomål/A 46228-2023 FSC-klagomål.docx", "A 46228-2023")</f>
        <v/>
      </c>
      <c r="W116">
        <f>HYPERLINK("https://klasma.github.io/Logging_2361/klagomålsmail/A 46228-2023 FSC-klagomål mail.docx", "A 46228-2023")</f>
        <v/>
      </c>
      <c r="X116">
        <f>HYPERLINK("https://klasma.github.io/Logging_2361/tillsyn/A 46228-2023 tillsynsbegäran.docx", "A 46228-2023")</f>
        <v/>
      </c>
      <c r="Y116">
        <f>HYPERLINK("https://klasma.github.io/Logging_2361/tillsynsmail/A 46228-2023 tillsynsbegäran mail.docx", "A 46228-2023")</f>
        <v/>
      </c>
    </row>
    <row r="117" ht="15" customHeight="1">
      <c r="A117" t="inlineStr">
        <is>
          <t>A 46230-2023</t>
        </is>
      </c>
      <c r="B117" s="1" t="n">
        <v>45196</v>
      </c>
      <c r="C117" s="1" t="n">
        <v>45743</v>
      </c>
      <c r="D117" t="inlineStr">
        <is>
          <t>JÄMTLANDS LÄN</t>
        </is>
      </c>
      <c r="E117" t="inlineStr">
        <is>
          <t>HÄRJEDALEN</t>
        </is>
      </c>
      <c r="F117" t="inlineStr">
        <is>
          <t>Sveaskog</t>
        </is>
      </c>
      <c r="G117" t="n">
        <v>3.8</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46230-2023 artfynd.xlsx", "A 46230-2023")</f>
        <v/>
      </c>
      <c r="T117">
        <f>HYPERLINK("https://klasma.github.io/Logging_2361/kartor/A 46230-2023 karta.png", "A 46230-2023")</f>
        <v/>
      </c>
      <c r="V117">
        <f>HYPERLINK("https://klasma.github.io/Logging_2361/klagomål/A 46230-2023 FSC-klagomål.docx", "A 46230-2023")</f>
        <v/>
      </c>
      <c r="W117">
        <f>HYPERLINK("https://klasma.github.io/Logging_2361/klagomålsmail/A 46230-2023 FSC-klagomål mail.docx", "A 46230-2023")</f>
        <v/>
      </c>
      <c r="X117">
        <f>HYPERLINK("https://klasma.github.io/Logging_2361/tillsyn/A 46230-2023 tillsynsbegäran.docx", "A 46230-2023")</f>
        <v/>
      </c>
      <c r="Y117">
        <f>HYPERLINK("https://klasma.github.io/Logging_2361/tillsynsmail/A 46230-2023 tillsynsbegäran mail.docx", "A 46230-2023")</f>
        <v/>
      </c>
    </row>
    <row r="118" ht="15" customHeight="1">
      <c r="A118" t="inlineStr">
        <is>
          <t>A 16549-2024</t>
        </is>
      </c>
      <c r="B118" s="1" t="n">
        <v>45408</v>
      </c>
      <c r="C118" s="1" t="n">
        <v>45743</v>
      </c>
      <c r="D118" t="inlineStr">
        <is>
          <t>JÄMTLANDS LÄN</t>
        </is>
      </c>
      <c r="E118" t="inlineStr">
        <is>
          <t>HÄRJEDALEN</t>
        </is>
      </c>
      <c r="G118" t="n">
        <v>3.5</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16549-2024 artfynd.xlsx", "A 16549-2024")</f>
        <v/>
      </c>
      <c r="T118">
        <f>HYPERLINK("https://klasma.github.io/Logging_2361/kartor/A 16549-2024 karta.png", "A 16549-2024")</f>
        <v/>
      </c>
      <c r="V118">
        <f>HYPERLINK("https://klasma.github.io/Logging_2361/klagomål/A 16549-2024 FSC-klagomål.docx", "A 16549-2024")</f>
        <v/>
      </c>
      <c r="W118">
        <f>HYPERLINK("https://klasma.github.io/Logging_2361/klagomålsmail/A 16549-2024 FSC-klagomål mail.docx", "A 16549-2024")</f>
        <v/>
      </c>
      <c r="X118">
        <f>HYPERLINK("https://klasma.github.io/Logging_2361/tillsyn/A 16549-2024 tillsynsbegäran.docx", "A 16549-2024")</f>
        <v/>
      </c>
      <c r="Y118">
        <f>HYPERLINK("https://klasma.github.io/Logging_2361/tillsynsmail/A 16549-2024 tillsynsbegäran mail.docx", "A 16549-2024")</f>
        <v/>
      </c>
    </row>
    <row r="119" ht="15" customHeight="1">
      <c r="A119" t="inlineStr">
        <is>
          <t>A 19965-2024</t>
        </is>
      </c>
      <c r="B119" s="1" t="n">
        <v>45433</v>
      </c>
      <c r="C119" s="1" t="n">
        <v>45743</v>
      </c>
      <c r="D119" t="inlineStr">
        <is>
          <t>JÄMTLANDS LÄN</t>
        </is>
      </c>
      <c r="E119" t="inlineStr">
        <is>
          <t>HÄRJEDALEN</t>
        </is>
      </c>
      <c r="F119" t="inlineStr">
        <is>
          <t>Sveaskog</t>
        </is>
      </c>
      <c r="G119" t="n">
        <v>15</v>
      </c>
      <c r="H119" t="n">
        <v>0</v>
      </c>
      <c r="I119" t="n">
        <v>1</v>
      </c>
      <c r="J119" t="n">
        <v>3</v>
      </c>
      <c r="K119" t="n">
        <v>0</v>
      </c>
      <c r="L119" t="n">
        <v>0</v>
      </c>
      <c r="M119" t="n">
        <v>0</v>
      </c>
      <c r="N119" t="n">
        <v>0</v>
      </c>
      <c r="O119" t="n">
        <v>3</v>
      </c>
      <c r="P119" t="n">
        <v>0</v>
      </c>
      <c r="Q119" t="n">
        <v>4</v>
      </c>
      <c r="R119" s="2" t="inlineStr">
        <is>
          <t>Kolflarnlav
Motaggsvamp
Vedflamlav
Dropptaggsvamp</t>
        </is>
      </c>
      <c r="S119">
        <f>HYPERLINK("https://klasma.github.io/Logging_2361/artfynd/A 19965-2024 artfynd.xlsx", "A 19965-2024")</f>
        <v/>
      </c>
      <c r="T119">
        <f>HYPERLINK("https://klasma.github.io/Logging_2361/kartor/A 19965-2024 karta.png", "A 19965-2024")</f>
        <v/>
      </c>
      <c r="V119">
        <f>HYPERLINK("https://klasma.github.io/Logging_2361/klagomål/A 19965-2024 FSC-klagomål.docx", "A 19965-2024")</f>
        <v/>
      </c>
      <c r="W119">
        <f>HYPERLINK("https://klasma.github.io/Logging_2361/klagomålsmail/A 19965-2024 FSC-klagomål mail.docx", "A 19965-2024")</f>
        <v/>
      </c>
      <c r="X119">
        <f>HYPERLINK("https://klasma.github.io/Logging_2361/tillsyn/A 19965-2024 tillsynsbegäran.docx", "A 19965-2024")</f>
        <v/>
      </c>
      <c r="Y119">
        <f>HYPERLINK("https://klasma.github.io/Logging_2361/tillsynsmail/A 19965-2024 tillsynsbegäran mail.docx", "A 19965-2024")</f>
        <v/>
      </c>
    </row>
    <row r="120" ht="15" customHeight="1">
      <c r="A120" t="inlineStr">
        <is>
          <t>A 25864-2024</t>
        </is>
      </c>
      <c r="B120" s="1" t="n">
        <v>45467</v>
      </c>
      <c r="C120" s="1" t="n">
        <v>45743</v>
      </c>
      <c r="D120" t="inlineStr">
        <is>
          <t>JÄMTLANDS LÄN</t>
        </is>
      </c>
      <c r="E120" t="inlineStr">
        <is>
          <t>HÄRJEDALEN</t>
        </is>
      </c>
      <c r="F120" t="inlineStr">
        <is>
          <t>Sveaskog</t>
        </is>
      </c>
      <c r="G120" t="n">
        <v>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HYPERLINK("https://klasma.github.io/Logging_2361/artfynd/A 25864-2024 artfynd.xlsx", "A 25864-2024")</f>
        <v/>
      </c>
      <c r="T120">
        <f>HYPERLINK("https://klasma.github.io/Logging_2361/kartor/A 25864-2024 karta.png", "A 25864-2024")</f>
        <v/>
      </c>
      <c r="V120">
        <f>HYPERLINK("https://klasma.github.io/Logging_2361/klagomål/A 25864-2024 FSC-klagomål.docx", "A 25864-2024")</f>
        <v/>
      </c>
      <c r="W120">
        <f>HYPERLINK("https://klasma.github.io/Logging_2361/klagomålsmail/A 25864-2024 FSC-klagomål mail.docx", "A 25864-2024")</f>
        <v/>
      </c>
      <c r="X120">
        <f>HYPERLINK("https://klasma.github.io/Logging_2361/tillsyn/A 25864-2024 tillsynsbegäran.docx", "A 25864-2024")</f>
        <v/>
      </c>
      <c r="Y120">
        <f>HYPERLINK("https://klasma.github.io/Logging_2361/tillsynsmail/A 25864-2024 tillsynsbegäran mail.docx", "A 25864-2024")</f>
        <v/>
      </c>
    </row>
    <row r="121" ht="15" customHeight="1">
      <c r="A121" t="inlineStr">
        <is>
          <t>A 31012-2024</t>
        </is>
      </c>
      <c r="B121" s="1" t="n">
        <v>45499</v>
      </c>
      <c r="C121" s="1" t="n">
        <v>45743</v>
      </c>
      <c r="D121" t="inlineStr">
        <is>
          <t>JÄMTLANDS LÄN</t>
        </is>
      </c>
      <c r="E121" t="inlineStr">
        <is>
          <t>HÄRJEDALEN</t>
        </is>
      </c>
      <c r="F121" t="inlineStr">
        <is>
          <t>Sveaskog</t>
        </is>
      </c>
      <c r="G121" t="n">
        <v>11.7</v>
      </c>
      <c r="H121" t="n">
        <v>1</v>
      </c>
      <c r="I121" t="n">
        <v>1</v>
      </c>
      <c r="J121" t="n">
        <v>3</v>
      </c>
      <c r="K121" t="n">
        <v>0</v>
      </c>
      <c r="L121" t="n">
        <v>0</v>
      </c>
      <c r="M121" t="n">
        <v>0</v>
      </c>
      <c r="N121" t="n">
        <v>0</v>
      </c>
      <c r="O121" t="n">
        <v>3</v>
      </c>
      <c r="P121" t="n">
        <v>0</v>
      </c>
      <c r="Q121" t="n">
        <v>4</v>
      </c>
      <c r="R121" s="2" t="inlineStr">
        <is>
          <t>Kolflarnlav
Mörk kolflarnlav
Tretåig hackspett
Dropptaggsvamp</t>
        </is>
      </c>
      <c r="S121">
        <f>HYPERLINK("https://klasma.github.io/Logging_2361/artfynd/A 31012-2024 artfynd.xlsx", "A 31012-2024")</f>
        <v/>
      </c>
      <c r="T121">
        <f>HYPERLINK("https://klasma.github.io/Logging_2361/kartor/A 31012-2024 karta.png", "A 31012-2024")</f>
        <v/>
      </c>
      <c r="V121">
        <f>HYPERLINK("https://klasma.github.io/Logging_2361/klagomål/A 31012-2024 FSC-klagomål.docx", "A 31012-2024")</f>
        <v/>
      </c>
      <c r="W121">
        <f>HYPERLINK("https://klasma.github.io/Logging_2361/klagomålsmail/A 31012-2024 FSC-klagomål mail.docx", "A 31012-2024")</f>
        <v/>
      </c>
      <c r="X121">
        <f>HYPERLINK("https://klasma.github.io/Logging_2361/tillsyn/A 31012-2024 tillsynsbegäran.docx", "A 31012-2024")</f>
        <v/>
      </c>
      <c r="Y121">
        <f>HYPERLINK("https://klasma.github.io/Logging_2361/tillsynsmail/A 31012-2024 tillsynsbegäran mail.docx", "A 31012-2024")</f>
        <v/>
      </c>
      <c r="Z121">
        <f>HYPERLINK("https://klasma.github.io/Logging_2361/fåglar/A 31012-2024 prioriterade fågelarter.docx", "A 31012-2024")</f>
        <v/>
      </c>
    </row>
    <row r="122" ht="15" customHeight="1">
      <c r="A122" t="inlineStr">
        <is>
          <t>A 31148-2024</t>
        </is>
      </c>
      <c r="B122" s="1" t="n">
        <v>45502</v>
      </c>
      <c r="C122" s="1" t="n">
        <v>45743</v>
      </c>
      <c r="D122" t="inlineStr">
        <is>
          <t>JÄMTLANDS LÄN</t>
        </is>
      </c>
      <c r="E122" t="inlineStr">
        <is>
          <t>HÄRJEDALEN</t>
        </is>
      </c>
      <c r="F122" t="inlineStr">
        <is>
          <t>Sveaskog</t>
        </is>
      </c>
      <c r="G122" t="n">
        <v>8.199999999999999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HYPERLINK("https://klasma.github.io/Logging_2361/artfynd/A 31148-2024 artfynd.xlsx", "A 31148-2024")</f>
        <v/>
      </c>
      <c r="T122">
        <f>HYPERLINK("https://klasma.github.io/Logging_2361/kartor/A 31148-2024 karta.png", "A 31148-2024")</f>
        <v/>
      </c>
      <c r="V122">
        <f>HYPERLINK("https://klasma.github.io/Logging_2361/klagomål/A 31148-2024 FSC-klagomål.docx", "A 31148-2024")</f>
        <v/>
      </c>
      <c r="W122">
        <f>HYPERLINK("https://klasma.github.io/Logging_2361/klagomålsmail/A 31148-2024 FSC-klagomål mail.docx", "A 31148-2024")</f>
        <v/>
      </c>
      <c r="X122">
        <f>HYPERLINK("https://klasma.github.io/Logging_2361/tillsyn/A 31148-2024 tillsynsbegäran.docx", "A 31148-2024")</f>
        <v/>
      </c>
      <c r="Y122">
        <f>HYPERLINK("https://klasma.github.io/Logging_2361/tillsynsmail/A 31148-2024 tillsynsbegäran mail.docx", "A 31148-2024")</f>
        <v/>
      </c>
    </row>
    <row r="123" ht="15" customHeight="1">
      <c r="A123" t="inlineStr">
        <is>
          <t>A 31288-2024</t>
        </is>
      </c>
      <c r="B123" s="1" t="n">
        <v>45504</v>
      </c>
      <c r="C123" s="1" t="n">
        <v>45743</v>
      </c>
      <c r="D123" t="inlineStr">
        <is>
          <t>JÄMTLANDS LÄN</t>
        </is>
      </c>
      <c r="E123" t="inlineStr">
        <is>
          <t>HÄRJEDALEN</t>
        </is>
      </c>
      <c r="F123" t="inlineStr">
        <is>
          <t>Sveaskog</t>
        </is>
      </c>
      <c r="G123" t="n">
        <v>10.4</v>
      </c>
      <c r="H123" t="n">
        <v>0</v>
      </c>
      <c r="I123" t="n">
        <v>0</v>
      </c>
      <c r="J123" t="n">
        <v>4</v>
      </c>
      <c r="K123" t="n">
        <v>0</v>
      </c>
      <c r="L123" t="n">
        <v>0</v>
      </c>
      <c r="M123" t="n">
        <v>0</v>
      </c>
      <c r="N123" t="n">
        <v>0</v>
      </c>
      <c r="O123" t="n">
        <v>4</v>
      </c>
      <c r="P123" t="n">
        <v>0</v>
      </c>
      <c r="Q123" t="n">
        <v>4</v>
      </c>
      <c r="R123" s="2" t="inlineStr">
        <is>
          <t>Blå taggsvamp
Kolflarnlav
Mörk kolflarnlav
Vedflamlav</t>
        </is>
      </c>
      <c r="S123">
        <f>HYPERLINK("https://klasma.github.io/Logging_2361/artfynd/A 31288-2024 artfynd.xlsx", "A 31288-2024")</f>
        <v/>
      </c>
      <c r="T123">
        <f>HYPERLINK("https://klasma.github.io/Logging_2361/kartor/A 31288-2024 karta.png", "A 31288-2024")</f>
        <v/>
      </c>
      <c r="V123">
        <f>HYPERLINK("https://klasma.github.io/Logging_2361/klagomål/A 31288-2024 FSC-klagomål.docx", "A 31288-2024")</f>
        <v/>
      </c>
      <c r="W123">
        <f>HYPERLINK("https://klasma.github.io/Logging_2361/klagomålsmail/A 31288-2024 FSC-klagomål mail.docx", "A 31288-2024")</f>
        <v/>
      </c>
      <c r="X123">
        <f>HYPERLINK("https://klasma.github.io/Logging_2361/tillsyn/A 31288-2024 tillsynsbegäran.docx", "A 31288-2024")</f>
        <v/>
      </c>
      <c r="Y123">
        <f>HYPERLINK("https://klasma.github.io/Logging_2361/tillsynsmail/A 31288-2024 tillsynsbegäran mail.docx", "A 31288-2024")</f>
        <v/>
      </c>
    </row>
    <row r="124" ht="15" customHeight="1">
      <c r="A124" t="inlineStr">
        <is>
          <t>A 36538-2024</t>
        </is>
      </c>
      <c r="B124" s="1" t="n">
        <v>45537</v>
      </c>
      <c r="C124" s="1" t="n">
        <v>45743</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36538-2024 artfynd.xlsx", "A 36538-2024")</f>
        <v/>
      </c>
      <c r="T124">
        <f>HYPERLINK("https://klasma.github.io/Logging_2361/kartor/A 36538-2024 karta.png", "A 36538-2024")</f>
        <v/>
      </c>
      <c r="U124">
        <f>HYPERLINK("https://klasma.github.io/Logging_2361/knärot/A 36538-2024 karta knärot.png", "A 36538-2024")</f>
        <v/>
      </c>
      <c r="V124">
        <f>HYPERLINK("https://klasma.github.io/Logging_2361/klagomål/A 36538-2024 FSC-klagomål.docx", "A 36538-2024")</f>
        <v/>
      </c>
      <c r="W124">
        <f>HYPERLINK("https://klasma.github.io/Logging_2361/klagomålsmail/A 36538-2024 FSC-klagomål mail.docx", "A 36538-2024")</f>
        <v/>
      </c>
      <c r="X124">
        <f>HYPERLINK("https://klasma.github.io/Logging_2361/tillsyn/A 36538-2024 tillsynsbegäran.docx", "A 36538-2024")</f>
        <v/>
      </c>
      <c r="Y124">
        <f>HYPERLINK("https://klasma.github.io/Logging_2361/tillsynsmail/A 36538-2024 tillsynsbegäran mail.docx", "A 36538-2024")</f>
        <v/>
      </c>
    </row>
    <row r="125" ht="15" customHeight="1">
      <c r="A125" t="inlineStr">
        <is>
          <t>A 39687-2024</t>
        </is>
      </c>
      <c r="B125" s="1" t="n">
        <v>45552</v>
      </c>
      <c r="C125" s="1" t="n">
        <v>45743</v>
      </c>
      <c r="D125" t="inlineStr">
        <is>
          <t>JÄMTLANDS LÄN</t>
        </is>
      </c>
      <c r="E125" t="inlineStr">
        <is>
          <t>HÄRJEDALEN</t>
        </is>
      </c>
      <c r="G125" t="n">
        <v>2.4</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39687-2024 artfynd.xlsx", "A 39687-2024")</f>
        <v/>
      </c>
      <c r="T125">
        <f>HYPERLINK("https://klasma.github.io/Logging_2361/kartor/A 39687-2024 karta.png", "A 39687-2024")</f>
        <v/>
      </c>
      <c r="V125">
        <f>HYPERLINK("https://klasma.github.io/Logging_2361/klagomål/A 39687-2024 FSC-klagomål.docx", "A 39687-2024")</f>
        <v/>
      </c>
      <c r="W125">
        <f>HYPERLINK("https://klasma.github.io/Logging_2361/klagomålsmail/A 39687-2024 FSC-klagomål mail.docx", "A 39687-2024")</f>
        <v/>
      </c>
      <c r="X125">
        <f>HYPERLINK("https://klasma.github.io/Logging_2361/tillsyn/A 39687-2024 tillsynsbegäran.docx", "A 39687-2024")</f>
        <v/>
      </c>
      <c r="Y125">
        <f>HYPERLINK("https://klasma.github.io/Logging_2361/tillsynsmail/A 39687-2024 tillsynsbegäran mail.docx", "A 39687-2024")</f>
        <v/>
      </c>
    </row>
    <row r="126" ht="15" customHeight="1">
      <c r="A126" t="inlineStr">
        <is>
          <t>A 41068-2024</t>
        </is>
      </c>
      <c r="B126" s="1" t="n">
        <v>45559</v>
      </c>
      <c r="C126" s="1" t="n">
        <v>45743</v>
      </c>
      <c r="D126" t="inlineStr">
        <is>
          <t>JÄMTLANDS LÄN</t>
        </is>
      </c>
      <c r="E126" t="inlineStr">
        <is>
          <t>HÄRJEDALEN</t>
        </is>
      </c>
      <c r="F126" t="inlineStr">
        <is>
          <t>Bergvik skog väst AB</t>
        </is>
      </c>
      <c r="G126" t="n">
        <v>51.1</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56468-2024</t>
        </is>
      </c>
      <c r="B127" s="1" t="n">
        <v>45625</v>
      </c>
      <c r="C127" s="1" t="n">
        <v>45743</v>
      </c>
      <c r="D127" t="inlineStr">
        <is>
          <t>JÄMTLANDS LÄN</t>
        </is>
      </c>
      <c r="E127" t="inlineStr">
        <is>
          <t>HÄRJEDALEN</t>
        </is>
      </c>
      <c r="F127" t="inlineStr">
        <is>
          <t>Bergvik skog väst AB</t>
        </is>
      </c>
      <c r="G127" t="n">
        <v>20.5</v>
      </c>
      <c r="H127" t="n">
        <v>0</v>
      </c>
      <c r="I127" t="n">
        <v>0</v>
      </c>
      <c r="J127" t="n">
        <v>4</v>
      </c>
      <c r="K127" t="n">
        <v>0</v>
      </c>
      <c r="L127" t="n">
        <v>0</v>
      </c>
      <c r="M127" t="n">
        <v>0</v>
      </c>
      <c r="N127" t="n">
        <v>0</v>
      </c>
      <c r="O127" t="n">
        <v>4</v>
      </c>
      <c r="P127" t="n">
        <v>0</v>
      </c>
      <c r="Q127" t="n">
        <v>4</v>
      </c>
      <c r="R127" s="2" t="inlineStr">
        <is>
          <t>Knottrig blåslav
Kolflarnlav
Lunglav
Violettgrå tagellav</t>
        </is>
      </c>
      <c r="S127">
        <f>HYPERLINK("https://klasma.github.io/Logging_2361/artfynd/A 56468-2024 artfynd.xlsx", "A 56468-2024")</f>
        <v/>
      </c>
      <c r="T127">
        <f>HYPERLINK("https://klasma.github.io/Logging_2361/kartor/A 56468-2024 karta.png", "A 56468-2024")</f>
        <v/>
      </c>
      <c r="V127">
        <f>HYPERLINK("https://klasma.github.io/Logging_2361/klagomål/A 56468-2024 FSC-klagomål.docx", "A 56468-2024")</f>
        <v/>
      </c>
      <c r="W127">
        <f>HYPERLINK("https://klasma.github.io/Logging_2361/klagomålsmail/A 56468-2024 FSC-klagomål mail.docx", "A 56468-2024")</f>
        <v/>
      </c>
      <c r="X127">
        <f>HYPERLINK("https://klasma.github.io/Logging_2361/tillsyn/A 56468-2024 tillsynsbegäran.docx", "A 56468-2024")</f>
        <v/>
      </c>
      <c r="Y127">
        <f>HYPERLINK("https://klasma.github.io/Logging_2361/tillsynsmail/A 56468-2024 tillsynsbegäran mail.docx", "A 56468-2024")</f>
        <v/>
      </c>
    </row>
    <row r="128" ht="15" customHeight="1">
      <c r="A128" t="inlineStr">
        <is>
          <t>A 5795-2025</t>
        </is>
      </c>
      <c r="B128" s="1" t="n">
        <v>45694</v>
      </c>
      <c r="C128" s="1" t="n">
        <v>45743</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45743</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45743</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45743</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45743</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45743</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45743</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45743</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45743</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45743</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45743</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45743</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45743</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45743</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45743</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45743</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45743</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45743</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45743</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45743</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45743</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HYPERLINK("https://klasma.github.io/Logging_2361/artfynd/A 9618-2025 artfynd.xlsx", "A 9618-2025")</f>
        <v/>
      </c>
      <c r="T148">
        <f>HYPERLINK("https://klasma.github.io/Logging_2361/kartor/A 9618-2025 karta.png", "A 9618-2025")</f>
        <v/>
      </c>
      <c r="V148">
        <f>HYPERLINK("https://klasma.github.io/Logging_2361/klagomål/A 9618-2025 FSC-klagomål.docx", "A 9618-2025")</f>
        <v/>
      </c>
      <c r="W148">
        <f>HYPERLINK("https://klasma.github.io/Logging_2361/klagomålsmail/A 9618-2025 FSC-klagomål mail.docx", "A 9618-2025")</f>
        <v/>
      </c>
      <c r="X148">
        <f>HYPERLINK("https://klasma.github.io/Logging_2361/tillsyn/A 9618-2025 tillsynsbegäran.docx", "A 9618-2025")</f>
        <v/>
      </c>
      <c r="Y148">
        <f>HYPERLINK("https://klasma.github.io/Logging_2361/tillsynsmail/A 9618-2025 tillsynsbegäran mail.docx", "A 9618-2025")</f>
        <v/>
      </c>
    </row>
    <row r="149" ht="15" customHeight="1">
      <c r="A149" t="inlineStr">
        <is>
          <t>A 28321-2019</t>
        </is>
      </c>
      <c r="B149" s="1" t="n">
        <v>43623</v>
      </c>
      <c r="C149" s="1" t="n">
        <v>45743</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45743</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45743</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45743</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45743</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45743</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45743</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45743</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68856-2020</t>
        </is>
      </c>
      <c r="B157" s="1" t="n">
        <v>44186</v>
      </c>
      <c r="C157" s="1" t="n">
        <v>45743</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68856-2020 artfynd.xlsx", "A 68856-2020")</f>
        <v/>
      </c>
      <c r="T157">
        <f>HYPERLINK("https://klasma.github.io/Logging_2361/kartor/A 68856-2020 karta.png", "A 68856-2020")</f>
        <v/>
      </c>
      <c r="V157">
        <f>HYPERLINK("https://klasma.github.io/Logging_2361/klagomål/A 68856-2020 FSC-klagomål.docx", "A 68856-2020")</f>
        <v/>
      </c>
      <c r="W157">
        <f>HYPERLINK("https://klasma.github.io/Logging_2361/klagomålsmail/A 68856-2020 FSC-klagomål mail.docx", "A 68856-2020")</f>
        <v/>
      </c>
      <c r="X157">
        <f>HYPERLINK("https://klasma.github.io/Logging_2361/tillsyn/A 68856-2020 tillsynsbegäran.docx", "A 68856-2020")</f>
        <v/>
      </c>
      <c r="Y157">
        <f>HYPERLINK("https://klasma.github.io/Logging_2361/tillsynsmail/A 68856-2020 tillsynsbegäran mail.docx", "A 68856-2020")</f>
        <v/>
      </c>
    </row>
    <row r="158" ht="15" customHeight="1">
      <c r="A158" t="inlineStr">
        <is>
          <t>A 3699-2021</t>
        </is>
      </c>
      <c r="B158" s="1" t="n">
        <v>44221</v>
      </c>
      <c r="C158" s="1" t="n">
        <v>45743</v>
      </c>
      <c r="D158" t="inlineStr">
        <is>
          <t>JÄMTLANDS LÄN</t>
        </is>
      </c>
      <c r="E158" t="inlineStr">
        <is>
          <t>HÄRJEDALEN</t>
        </is>
      </c>
      <c r="G158" t="n">
        <v>10.1</v>
      </c>
      <c r="H158" t="n">
        <v>0</v>
      </c>
      <c r="I158" t="n">
        <v>0</v>
      </c>
      <c r="J158" t="n">
        <v>0</v>
      </c>
      <c r="K158" t="n">
        <v>2</v>
      </c>
      <c r="L158" t="n">
        <v>0</v>
      </c>
      <c r="M158" t="n">
        <v>0</v>
      </c>
      <c r="N158" t="n">
        <v>0</v>
      </c>
      <c r="O158" t="n">
        <v>2</v>
      </c>
      <c r="P158" t="n">
        <v>2</v>
      </c>
      <c r="Q158" t="n">
        <v>2</v>
      </c>
      <c r="R158" s="2" t="inlineStr">
        <is>
          <t>Fläckporing
Gräddporing</t>
        </is>
      </c>
      <c r="S158">
        <f>HYPERLINK("https://klasma.github.io/Logging_2361/artfynd/A 3699-2021 artfynd.xlsx", "A 3699-2021")</f>
        <v/>
      </c>
      <c r="T158">
        <f>HYPERLINK("https://klasma.github.io/Logging_2361/kartor/A 3699-2021 karta.png", "A 3699-2021")</f>
        <v/>
      </c>
      <c r="V158">
        <f>HYPERLINK("https://klasma.github.io/Logging_2361/klagomål/A 3699-2021 FSC-klagomål.docx", "A 3699-2021")</f>
        <v/>
      </c>
      <c r="W158">
        <f>HYPERLINK("https://klasma.github.io/Logging_2361/klagomålsmail/A 3699-2021 FSC-klagomål mail.docx", "A 3699-2021")</f>
        <v/>
      </c>
      <c r="X158">
        <f>HYPERLINK("https://klasma.github.io/Logging_2361/tillsyn/A 3699-2021 tillsynsbegäran.docx", "A 3699-2021")</f>
        <v/>
      </c>
      <c r="Y158">
        <f>HYPERLINK("https://klasma.github.io/Logging_2361/tillsynsmail/A 3699-2021 tillsynsbegäran mail.docx", "A 3699-2021")</f>
        <v/>
      </c>
    </row>
    <row r="159" ht="15" customHeight="1">
      <c r="A159" t="inlineStr">
        <is>
          <t>A 15679-2021</t>
        </is>
      </c>
      <c r="B159" s="1" t="n">
        <v>44286</v>
      </c>
      <c r="C159" s="1" t="n">
        <v>45743</v>
      </c>
      <c r="D159" t="inlineStr">
        <is>
          <t>JÄMTLANDS LÄN</t>
        </is>
      </c>
      <c r="E159" t="inlineStr">
        <is>
          <t>HÄRJEDALEN</t>
        </is>
      </c>
      <c r="G159" t="n">
        <v>20.9</v>
      </c>
      <c r="H159" t="n">
        <v>0</v>
      </c>
      <c r="I159" t="n">
        <v>0</v>
      </c>
      <c r="J159" t="n">
        <v>2</v>
      </c>
      <c r="K159" t="n">
        <v>0</v>
      </c>
      <c r="L159" t="n">
        <v>0</v>
      </c>
      <c r="M159" t="n">
        <v>0</v>
      </c>
      <c r="N159" t="n">
        <v>0</v>
      </c>
      <c r="O159" t="n">
        <v>2</v>
      </c>
      <c r="P159" t="n">
        <v>0</v>
      </c>
      <c r="Q159" t="n">
        <v>2</v>
      </c>
      <c r="R159" s="2" t="inlineStr">
        <is>
          <t>Gränsticka
Hornvaxskinn</t>
        </is>
      </c>
      <c r="S159">
        <f>HYPERLINK("https://klasma.github.io/Logging_2361/artfynd/A 15679-2021 artfynd.xlsx", "A 15679-2021")</f>
        <v/>
      </c>
      <c r="T159">
        <f>HYPERLINK("https://klasma.github.io/Logging_2361/kartor/A 15679-2021 karta.png", "A 15679-2021")</f>
        <v/>
      </c>
      <c r="V159">
        <f>HYPERLINK("https://klasma.github.io/Logging_2361/klagomål/A 15679-2021 FSC-klagomål.docx", "A 15679-2021")</f>
        <v/>
      </c>
      <c r="W159">
        <f>HYPERLINK("https://klasma.github.io/Logging_2361/klagomålsmail/A 15679-2021 FSC-klagomål mail.docx", "A 15679-2021")</f>
        <v/>
      </c>
      <c r="X159">
        <f>HYPERLINK("https://klasma.github.io/Logging_2361/tillsyn/A 15679-2021 tillsynsbegäran.docx", "A 15679-2021")</f>
        <v/>
      </c>
      <c r="Y159">
        <f>HYPERLINK("https://klasma.github.io/Logging_2361/tillsynsmail/A 15679-2021 tillsynsbegäran mail.docx", "A 15679-2021")</f>
        <v/>
      </c>
    </row>
    <row r="160" ht="15" customHeight="1">
      <c r="A160" t="inlineStr">
        <is>
          <t>A 33421-2021</t>
        </is>
      </c>
      <c r="B160" s="1" t="n">
        <v>44377</v>
      </c>
      <c r="C160" s="1" t="n">
        <v>45743</v>
      </c>
      <c r="D160" t="inlineStr">
        <is>
          <t>JÄMTLANDS LÄN</t>
        </is>
      </c>
      <c r="E160" t="inlineStr">
        <is>
          <t>HÄRJEDALEN</t>
        </is>
      </c>
      <c r="G160" t="n">
        <v>47.1</v>
      </c>
      <c r="H160" t="n">
        <v>1</v>
      </c>
      <c r="I160" t="n">
        <v>0</v>
      </c>
      <c r="J160" t="n">
        <v>2</v>
      </c>
      <c r="K160" t="n">
        <v>0</v>
      </c>
      <c r="L160" t="n">
        <v>0</v>
      </c>
      <c r="M160" t="n">
        <v>0</v>
      </c>
      <c r="N160" t="n">
        <v>0</v>
      </c>
      <c r="O160" t="n">
        <v>2</v>
      </c>
      <c r="P160" t="n">
        <v>0</v>
      </c>
      <c r="Q160" t="n">
        <v>2</v>
      </c>
      <c r="R160" s="2" t="inlineStr">
        <is>
          <t>Gultoppig fingersvamp
Talltita</t>
        </is>
      </c>
      <c r="S160">
        <f>HYPERLINK("https://klasma.github.io/Logging_2361/artfynd/A 33421-2021 artfynd.xlsx", "A 33421-2021")</f>
        <v/>
      </c>
      <c r="T160">
        <f>HYPERLINK("https://klasma.github.io/Logging_2361/kartor/A 33421-2021 karta.png", "A 33421-2021")</f>
        <v/>
      </c>
      <c r="V160">
        <f>HYPERLINK("https://klasma.github.io/Logging_2361/klagomål/A 33421-2021 FSC-klagomål.docx", "A 33421-2021")</f>
        <v/>
      </c>
      <c r="W160">
        <f>HYPERLINK("https://klasma.github.io/Logging_2361/klagomålsmail/A 33421-2021 FSC-klagomål mail.docx", "A 33421-2021")</f>
        <v/>
      </c>
      <c r="X160">
        <f>HYPERLINK("https://klasma.github.io/Logging_2361/tillsyn/A 33421-2021 tillsynsbegäran.docx", "A 33421-2021")</f>
        <v/>
      </c>
      <c r="Y160">
        <f>HYPERLINK("https://klasma.github.io/Logging_2361/tillsynsmail/A 33421-2021 tillsynsbegäran mail.docx", "A 33421-2021")</f>
        <v/>
      </c>
      <c r="Z160">
        <f>HYPERLINK("https://klasma.github.io/Logging_2361/fåglar/A 33421-2021 prioriterade fågelarter.docx", "A 33421-2021")</f>
        <v/>
      </c>
    </row>
    <row r="161" ht="15" customHeight="1">
      <c r="A161" t="inlineStr">
        <is>
          <t>A 48065-2021</t>
        </is>
      </c>
      <c r="B161" s="1" t="n">
        <v>44449</v>
      </c>
      <c r="C161" s="1" t="n">
        <v>45743</v>
      </c>
      <c r="D161" t="inlineStr">
        <is>
          <t>JÄMTLANDS LÄN</t>
        </is>
      </c>
      <c r="E161" t="inlineStr">
        <is>
          <t>HÄRJEDALEN</t>
        </is>
      </c>
      <c r="G161" t="n">
        <v>24.8</v>
      </c>
      <c r="H161" t="n">
        <v>0</v>
      </c>
      <c r="I161" t="n">
        <v>0</v>
      </c>
      <c r="J161" t="n">
        <v>2</v>
      </c>
      <c r="K161" t="n">
        <v>0</v>
      </c>
      <c r="L161" t="n">
        <v>0</v>
      </c>
      <c r="M161" t="n">
        <v>0</v>
      </c>
      <c r="N161" t="n">
        <v>0</v>
      </c>
      <c r="O161" t="n">
        <v>2</v>
      </c>
      <c r="P161" t="n">
        <v>0</v>
      </c>
      <c r="Q161" t="n">
        <v>2</v>
      </c>
      <c r="R161" s="2" t="inlineStr">
        <is>
          <t>Garnlav
Vitplätt</t>
        </is>
      </c>
      <c r="S161">
        <f>HYPERLINK("https://klasma.github.io/Logging_2361/artfynd/A 48065-2021 artfynd.xlsx", "A 48065-2021")</f>
        <v/>
      </c>
      <c r="T161">
        <f>HYPERLINK("https://klasma.github.io/Logging_2361/kartor/A 48065-2021 karta.png", "A 48065-2021")</f>
        <v/>
      </c>
      <c r="V161">
        <f>HYPERLINK("https://klasma.github.io/Logging_2361/klagomål/A 48065-2021 FSC-klagomål.docx", "A 48065-2021")</f>
        <v/>
      </c>
      <c r="W161">
        <f>HYPERLINK("https://klasma.github.io/Logging_2361/klagomålsmail/A 48065-2021 FSC-klagomål mail.docx", "A 48065-2021")</f>
        <v/>
      </c>
      <c r="X161">
        <f>HYPERLINK("https://klasma.github.io/Logging_2361/tillsyn/A 48065-2021 tillsynsbegäran.docx", "A 48065-2021")</f>
        <v/>
      </c>
      <c r="Y161">
        <f>HYPERLINK("https://klasma.github.io/Logging_2361/tillsynsmail/A 48065-2021 tillsynsbegäran mail.docx", "A 48065-2021")</f>
        <v/>
      </c>
    </row>
    <row r="162" ht="15" customHeight="1">
      <c r="A162" t="inlineStr">
        <is>
          <t>A 55240-2021</t>
        </is>
      </c>
      <c r="B162" s="1" t="n">
        <v>44475</v>
      </c>
      <c r="C162" s="1" t="n">
        <v>45743</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55228-2021</t>
        </is>
      </c>
      <c r="B163" s="1" t="n">
        <v>44475</v>
      </c>
      <c r="C163" s="1" t="n">
        <v>45743</v>
      </c>
      <c r="D163" t="inlineStr">
        <is>
          <t>JÄMTLANDS LÄN</t>
        </is>
      </c>
      <c r="E163" t="inlineStr">
        <is>
          <t>HÄRJEDALEN</t>
        </is>
      </c>
      <c r="G163" t="n">
        <v>1.7</v>
      </c>
      <c r="H163" t="n">
        <v>1</v>
      </c>
      <c r="I163" t="n">
        <v>0</v>
      </c>
      <c r="J163" t="n">
        <v>2</v>
      </c>
      <c r="K163" t="n">
        <v>0</v>
      </c>
      <c r="L163" t="n">
        <v>0</v>
      </c>
      <c r="M163" t="n">
        <v>0</v>
      </c>
      <c r="N163" t="n">
        <v>0</v>
      </c>
      <c r="O163" t="n">
        <v>2</v>
      </c>
      <c r="P163" t="n">
        <v>0</v>
      </c>
      <c r="Q163" t="n">
        <v>2</v>
      </c>
      <c r="R163" s="2" t="inlineStr">
        <is>
          <t>Varglav
Vedflamlav</t>
        </is>
      </c>
      <c r="S163">
        <f>HYPERLINK("https://klasma.github.io/Logging_2361/artfynd/A 55228-2021 artfynd.xlsx", "A 55228-2021")</f>
        <v/>
      </c>
      <c r="T163">
        <f>HYPERLINK("https://klasma.github.io/Logging_2361/kartor/A 55228-2021 karta.png", "A 55228-2021")</f>
        <v/>
      </c>
      <c r="V163">
        <f>HYPERLINK("https://klasma.github.io/Logging_2361/klagomål/A 55228-2021 FSC-klagomål.docx", "A 55228-2021")</f>
        <v/>
      </c>
      <c r="W163">
        <f>HYPERLINK("https://klasma.github.io/Logging_2361/klagomålsmail/A 55228-2021 FSC-klagomål mail.docx", "A 55228-2021")</f>
        <v/>
      </c>
      <c r="X163">
        <f>HYPERLINK("https://klasma.github.io/Logging_2361/tillsyn/A 55228-2021 tillsynsbegäran.docx", "A 55228-2021")</f>
        <v/>
      </c>
      <c r="Y163">
        <f>HYPERLINK("https://klasma.github.io/Logging_2361/tillsynsmail/A 55228-2021 tillsynsbegäran mail.docx", "A 55228-2021")</f>
        <v/>
      </c>
    </row>
    <row r="164" ht="15" customHeight="1">
      <c r="A164" t="inlineStr">
        <is>
          <t>A 55392-2021</t>
        </is>
      </c>
      <c r="B164" s="1" t="n">
        <v>44475</v>
      </c>
      <c r="C164" s="1" t="n">
        <v>45743</v>
      </c>
      <c r="D164" t="inlineStr">
        <is>
          <t>JÄMTLANDS LÄN</t>
        </is>
      </c>
      <c r="E164" t="inlineStr">
        <is>
          <t>HÄRJEDALEN</t>
        </is>
      </c>
      <c r="G164" t="n">
        <v>0.8</v>
      </c>
      <c r="H164" t="n">
        <v>0</v>
      </c>
      <c r="I164" t="n">
        <v>0</v>
      </c>
      <c r="J164" t="n">
        <v>2</v>
      </c>
      <c r="K164" t="n">
        <v>0</v>
      </c>
      <c r="L164" t="n">
        <v>0</v>
      </c>
      <c r="M164" t="n">
        <v>0</v>
      </c>
      <c r="N164" t="n">
        <v>0</v>
      </c>
      <c r="O164" t="n">
        <v>2</v>
      </c>
      <c r="P164" t="n">
        <v>0</v>
      </c>
      <c r="Q164" t="n">
        <v>2</v>
      </c>
      <c r="R164" s="2" t="inlineStr">
        <is>
          <t>Ladlav
Vedflamlav</t>
        </is>
      </c>
      <c r="S164">
        <f>HYPERLINK("https://klasma.github.io/Logging_2361/artfynd/A 55392-2021 artfynd.xlsx", "A 55392-2021")</f>
        <v/>
      </c>
      <c r="T164">
        <f>HYPERLINK("https://klasma.github.io/Logging_2361/kartor/A 55392-2021 karta.png", "A 55392-2021")</f>
        <v/>
      </c>
      <c r="V164">
        <f>HYPERLINK("https://klasma.github.io/Logging_2361/klagomål/A 55392-2021 FSC-klagomål.docx", "A 55392-2021")</f>
        <v/>
      </c>
      <c r="W164">
        <f>HYPERLINK("https://klasma.github.io/Logging_2361/klagomålsmail/A 55392-2021 FSC-klagomål mail.docx", "A 55392-2021")</f>
        <v/>
      </c>
      <c r="X164">
        <f>HYPERLINK("https://klasma.github.io/Logging_2361/tillsyn/A 55392-2021 tillsynsbegäran.docx", "A 55392-2021")</f>
        <v/>
      </c>
      <c r="Y164">
        <f>HYPERLINK("https://klasma.github.io/Logging_2361/tillsynsmail/A 55392-2021 tillsynsbegäran mail.docx", "A 55392-2021")</f>
        <v/>
      </c>
    </row>
    <row r="165" ht="15" customHeight="1">
      <c r="A165" t="inlineStr">
        <is>
          <t>A 17082-2022</t>
        </is>
      </c>
      <c r="B165" s="1" t="n">
        <v>44677</v>
      </c>
      <c r="C165" s="1" t="n">
        <v>45743</v>
      </c>
      <c r="D165" t="inlineStr">
        <is>
          <t>JÄMTLANDS LÄN</t>
        </is>
      </c>
      <c r="E165" t="inlineStr">
        <is>
          <t>HÄRJEDALEN</t>
        </is>
      </c>
      <c r="F165" t="inlineStr">
        <is>
          <t>Holmen skog AB</t>
        </is>
      </c>
      <c r="G165" t="n">
        <v>18.1</v>
      </c>
      <c r="H165" t="n">
        <v>0</v>
      </c>
      <c r="I165" t="n">
        <v>0</v>
      </c>
      <c r="J165" t="n">
        <v>2</v>
      </c>
      <c r="K165" t="n">
        <v>0</v>
      </c>
      <c r="L165" t="n">
        <v>0</v>
      </c>
      <c r="M165" t="n">
        <v>0</v>
      </c>
      <c r="N165" t="n">
        <v>0</v>
      </c>
      <c r="O165" t="n">
        <v>2</v>
      </c>
      <c r="P165" t="n">
        <v>0</v>
      </c>
      <c r="Q165" t="n">
        <v>2</v>
      </c>
      <c r="R165" s="2" t="inlineStr">
        <is>
          <t>Motaggsvamp
Orange taggsvamp</t>
        </is>
      </c>
      <c r="S165">
        <f>HYPERLINK("https://klasma.github.io/Logging_2361/artfynd/A 17082-2022 artfynd.xlsx", "A 17082-2022")</f>
        <v/>
      </c>
      <c r="T165">
        <f>HYPERLINK("https://klasma.github.io/Logging_2361/kartor/A 17082-2022 karta.png", "A 17082-2022")</f>
        <v/>
      </c>
      <c r="V165">
        <f>HYPERLINK("https://klasma.github.io/Logging_2361/klagomål/A 17082-2022 FSC-klagomål.docx", "A 17082-2022")</f>
        <v/>
      </c>
      <c r="W165">
        <f>HYPERLINK("https://klasma.github.io/Logging_2361/klagomålsmail/A 17082-2022 FSC-klagomål mail.docx", "A 17082-2022")</f>
        <v/>
      </c>
      <c r="X165">
        <f>HYPERLINK("https://klasma.github.io/Logging_2361/tillsyn/A 17082-2022 tillsynsbegäran.docx", "A 17082-2022")</f>
        <v/>
      </c>
      <c r="Y165">
        <f>HYPERLINK("https://klasma.github.io/Logging_2361/tillsynsmail/A 17082-2022 tillsynsbegäran mail.docx", "A 17082-2022")</f>
        <v/>
      </c>
    </row>
    <row r="166" ht="15" customHeight="1">
      <c r="A166" t="inlineStr">
        <is>
          <t>A 22464-2022</t>
        </is>
      </c>
      <c r="B166" s="1" t="n">
        <v>44713</v>
      </c>
      <c r="C166" s="1" t="n">
        <v>45743</v>
      </c>
      <c r="D166" t="inlineStr">
        <is>
          <t>JÄMTLANDS LÄN</t>
        </is>
      </c>
      <c r="E166" t="inlineStr">
        <is>
          <t>HÄRJEDALEN</t>
        </is>
      </c>
      <c r="F166" t="inlineStr">
        <is>
          <t>Sveaskog</t>
        </is>
      </c>
      <c r="G166" t="n">
        <v>4.3</v>
      </c>
      <c r="H166" t="n">
        <v>0</v>
      </c>
      <c r="I166" t="n">
        <v>1</v>
      </c>
      <c r="J166" t="n">
        <v>1</v>
      </c>
      <c r="K166" t="n">
        <v>0</v>
      </c>
      <c r="L166" t="n">
        <v>0</v>
      </c>
      <c r="M166" t="n">
        <v>0</v>
      </c>
      <c r="N166" t="n">
        <v>0</v>
      </c>
      <c r="O166" t="n">
        <v>1</v>
      </c>
      <c r="P166" t="n">
        <v>0</v>
      </c>
      <c r="Q166" t="n">
        <v>2</v>
      </c>
      <c r="R166" s="2" t="inlineStr">
        <is>
          <t>Lunglav
Dropptaggsvamp</t>
        </is>
      </c>
      <c r="S166">
        <f>HYPERLINK("https://klasma.github.io/Logging_2361/artfynd/A 22464-2022 artfynd.xlsx", "A 22464-2022")</f>
        <v/>
      </c>
      <c r="T166">
        <f>HYPERLINK("https://klasma.github.io/Logging_2361/kartor/A 22464-2022 karta.png", "A 22464-2022")</f>
        <v/>
      </c>
      <c r="U166">
        <f>HYPERLINK("https://klasma.github.io/Logging_2361/knärot/A 22464-2022 karta knärot.png", "A 22464-2022")</f>
        <v/>
      </c>
      <c r="V166">
        <f>HYPERLINK("https://klasma.github.io/Logging_2361/klagomål/A 22464-2022 FSC-klagomål.docx", "A 22464-2022")</f>
        <v/>
      </c>
      <c r="W166">
        <f>HYPERLINK("https://klasma.github.io/Logging_2361/klagomålsmail/A 22464-2022 FSC-klagomål mail.docx", "A 22464-2022")</f>
        <v/>
      </c>
      <c r="X166">
        <f>HYPERLINK("https://klasma.github.io/Logging_2361/tillsyn/A 22464-2022 tillsynsbegäran.docx", "A 22464-2022")</f>
        <v/>
      </c>
      <c r="Y166">
        <f>HYPERLINK("https://klasma.github.io/Logging_2361/tillsynsmail/A 22464-2022 tillsynsbegäran mail.docx", "A 22464-2022")</f>
        <v/>
      </c>
    </row>
    <row r="167" ht="15" customHeight="1">
      <c r="A167" t="inlineStr">
        <is>
          <t>A 47348-2022</t>
        </is>
      </c>
      <c r="B167" s="1" t="n">
        <v>44853</v>
      </c>
      <c r="C167" s="1" t="n">
        <v>45743</v>
      </c>
      <c r="D167" t="inlineStr">
        <is>
          <t>JÄMTLANDS LÄN</t>
        </is>
      </c>
      <c r="E167" t="inlineStr">
        <is>
          <t>HÄRJEDALEN</t>
        </is>
      </c>
      <c r="G167" t="n">
        <v>2</v>
      </c>
      <c r="H167" t="n">
        <v>1</v>
      </c>
      <c r="I167" t="n">
        <v>0</v>
      </c>
      <c r="J167" t="n">
        <v>1</v>
      </c>
      <c r="K167" t="n">
        <v>1</v>
      </c>
      <c r="L167" t="n">
        <v>0</v>
      </c>
      <c r="M167" t="n">
        <v>0</v>
      </c>
      <c r="N167" t="n">
        <v>0</v>
      </c>
      <c r="O167" t="n">
        <v>2</v>
      </c>
      <c r="P167" t="n">
        <v>1</v>
      </c>
      <c r="Q167" t="n">
        <v>2</v>
      </c>
      <c r="R167" s="2" t="inlineStr">
        <is>
          <t>Knärot
Lunglav</t>
        </is>
      </c>
      <c r="S167">
        <f>HYPERLINK("https://klasma.github.io/Logging_2361/artfynd/A 47348-2022 artfynd.xlsx", "A 47348-2022")</f>
        <v/>
      </c>
      <c r="T167">
        <f>HYPERLINK("https://klasma.github.io/Logging_2361/kartor/A 47348-2022 karta.png", "A 47348-2022")</f>
        <v/>
      </c>
      <c r="U167">
        <f>HYPERLINK("https://klasma.github.io/Logging_2361/knärot/A 47348-2022 karta knärot.png", "A 47348-2022")</f>
        <v/>
      </c>
      <c r="V167">
        <f>HYPERLINK("https://klasma.github.io/Logging_2361/klagomål/A 47348-2022 FSC-klagomål.docx", "A 47348-2022")</f>
        <v/>
      </c>
      <c r="W167">
        <f>HYPERLINK("https://klasma.github.io/Logging_2361/klagomålsmail/A 47348-2022 FSC-klagomål mail.docx", "A 47348-2022")</f>
        <v/>
      </c>
      <c r="X167">
        <f>HYPERLINK("https://klasma.github.io/Logging_2361/tillsyn/A 47348-2022 tillsynsbegäran.docx", "A 47348-2022")</f>
        <v/>
      </c>
      <c r="Y167">
        <f>HYPERLINK("https://klasma.github.io/Logging_2361/tillsynsmail/A 47348-2022 tillsynsbegäran mail.docx", "A 47348-2022")</f>
        <v/>
      </c>
    </row>
    <row r="168" ht="15" customHeight="1">
      <c r="A168" t="inlineStr">
        <is>
          <t>A 50438-2022</t>
        </is>
      </c>
      <c r="B168" s="1" t="n">
        <v>44866</v>
      </c>
      <c r="C168" s="1" t="n">
        <v>45743</v>
      </c>
      <c r="D168" t="inlineStr">
        <is>
          <t>JÄMTLANDS LÄN</t>
        </is>
      </c>
      <c r="E168" t="inlineStr">
        <is>
          <t>HÄRJEDALEN</t>
        </is>
      </c>
      <c r="F168" t="inlineStr">
        <is>
          <t>Bergvik skog väst AB</t>
        </is>
      </c>
      <c r="G168" t="n">
        <v>4.6</v>
      </c>
      <c r="H168" t="n">
        <v>1</v>
      </c>
      <c r="I168" t="n">
        <v>0</v>
      </c>
      <c r="J168" t="n">
        <v>1</v>
      </c>
      <c r="K168" t="n">
        <v>1</v>
      </c>
      <c r="L168" t="n">
        <v>0</v>
      </c>
      <c r="M168" t="n">
        <v>0</v>
      </c>
      <c r="N168" t="n">
        <v>0</v>
      </c>
      <c r="O168" t="n">
        <v>2</v>
      </c>
      <c r="P168" t="n">
        <v>1</v>
      </c>
      <c r="Q168" t="n">
        <v>2</v>
      </c>
      <c r="R168" s="2" t="inlineStr">
        <is>
          <t>Knärot
Skrovellav</t>
        </is>
      </c>
      <c r="S168">
        <f>HYPERLINK("https://klasma.github.io/Logging_2361/artfynd/A 50438-2022 artfynd.xlsx", "A 50438-2022")</f>
        <v/>
      </c>
      <c r="T168">
        <f>HYPERLINK("https://klasma.github.io/Logging_2361/kartor/A 50438-2022 karta.png", "A 50438-2022")</f>
        <v/>
      </c>
      <c r="U168">
        <f>HYPERLINK("https://klasma.github.io/Logging_2361/knärot/A 50438-2022 karta knärot.png", "A 50438-2022")</f>
        <v/>
      </c>
      <c r="V168">
        <f>HYPERLINK("https://klasma.github.io/Logging_2361/klagomål/A 50438-2022 FSC-klagomål.docx", "A 50438-2022")</f>
        <v/>
      </c>
      <c r="W168">
        <f>HYPERLINK("https://klasma.github.io/Logging_2361/klagomålsmail/A 50438-2022 FSC-klagomål mail.docx", "A 50438-2022")</f>
        <v/>
      </c>
      <c r="X168">
        <f>HYPERLINK("https://klasma.github.io/Logging_2361/tillsyn/A 50438-2022 tillsynsbegäran.docx", "A 50438-2022")</f>
        <v/>
      </c>
      <c r="Y168">
        <f>HYPERLINK("https://klasma.github.io/Logging_2361/tillsynsmail/A 50438-2022 tillsynsbegäran mail.docx", "A 50438-2022")</f>
        <v/>
      </c>
    </row>
    <row r="169" ht="15" customHeight="1">
      <c r="A169" t="inlineStr">
        <is>
          <t>A 52453-2022</t>
        </is>
      </c>
      <c r="B169" s="1" t="n">
        <v>44874</v>
      </c>
      <c r="C169" s="1" t="n">
        <v>45743</v>
      </c>
      <c r="D169" t="inlineStr">
        <is>
          <t>JÄMTLANDS LÄN</t>
        </is>
      </c>
      <c r="E169" t="inlineStr">
        <is>
          <t>HÄRJEDALEN</t>
        </is>
      </c>
      <c r="F169" t="inlineStr">
        <is>
          <t>Bergvik skog väst AB</t>
        </is>
      </c>
      <c r="G169" t="n">
        <v>14.9</v>
      </c>
      <c r="H169" t="n">
        <v>0</v>
      </c>
      <c r="I169" t="n">
        <v>0</v>
      </c>
      <c r="J169" t="n">
        <v>2</v>
      </c>
      <c r="K169" t="n">
        <v>0</v>
      </c>
      <c r="L169" t="n">
        <v>0</v>
      </c>
      <c r="M169" t="n">
        <v>0</v>
      </c>
      <c r="N169" t="n">
        <v>0</v>
      </c>
      <c r="O169" t="n">
        <v>2</v>
      </c>
      <c r="P169" t="n">
        <v>0</v>
      </c>
      <c r="Q169" t="n">
        <v>2</v>
      </c>
      <c r="R169" s="2" t="inlineStr">
        <is>
          <t>Knottrig blåslav
Mörk kolflarnlav</t>
        </is>
      </c>
      <c r="S169">
        <f>HYPERLINK("https://klasma.github.io/Logging_2361/artfynd/A 52453-2022 artfynd.xlsx", "A 52453-2022")</f>
        <v/>
      </c>
      <c r="T169">
        <f>HYPERLINK("https://klasma.github.io/Logging_2361/kartor/A 52453-2022 karta.png", "A 52453-2022")</f>
        <v/>
      </c>
      <c r="V169">
        <f>HYPERLINK("https://klasma.github.io/Logging_2361/klagomål/A 52453-2022 FSC-klagomål.docx", "A 52453-2022")</f>
        <v/>
      </c>
      <c r="W169">
        <f>HYPERLINK("https://klasma.github.io/Logging_2361/klagomålsmail/A 52453-2022 FSC-klagomål mail.docx", "A 52453-2022")</f>
        <v/>
      </c>
      <c r="X169">
        <f>HYPERLINK("https://klasma.github.io/Logging_2361/tillsyn/A 52453-2022 tillsynsbegäran.docx", "A 52453-2022")</f>
        <v/>
      </c>
      <c r="Y169">
        <f>HYPERLINK("https://klasma.github.io/Logging_2361/tillsynsmail/A 52453-2022 tillsynsbegäran mail.docx", "A 52453-2022")</f>
        <v/>
      </c>
    </row>
    <row r="170" ht="15" customHeight="1">
      <c r="A170" t="inlineStr">
        <is>
          <t>A 4372-2023</t>
        </is>
      </c>
      <c r="B170" s="1" t="n">
        <v>44955</v>
      </c>
      <c r="C170" s="1" t="n">
        <v>45743</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10344-2023</t>
        </is>
      </c>
      <c r="B171" s="1" t="n">
        <v>44987</v>
      </c>
      <c r="C171" s="1" t="n">
        <v>45743</v>
      </c>
      <c r="D171" t="inlineStr">
        <is>
          <t>JÄMTLANDS LÄN</t>
        </is>
      </c>
      <c r="E171" t="inlineStr">
        <is>
          <t>HÄRJEDALEN</t>
        </is>
      </c>
      <c r="F171" t="inlineStr">
        <is>
          <t>Holmen skog AB</t>
        </is>
      </c>
      <c r="G171" t="n">
        <v>7.2</v>
      </c>
      <c r="H171" t="n">
        <v>0</v>
      </c>
      <c r="I171" t="n">
        <v>0</v>
      </c>
      <c r="J171" t="n">
        <v>2</v>
      </c>
      <c r="K171" t="n">
        <v>0</v>
      </c>
      <c r="L171" t="n">
        <v>0</v>
      </c>
      <c r="M171" t="n">
        <v>0</v>
      </c>
      <c r="N171" t="n">
        <v>0</v>
      </c>
      <c r="O171" t="n">
        <v>2</v>
      </c>
      <c r="P171" t="n">
        <v>0</v>
      </c>
      <c r="Q171" t="n">
        <v>2</v>
      </c>
      <c r="R171" s="2" t="inlineStr">
        <is>
          <t>Lunglav
Skrovellav</t>
        </is>
      </c>
      <c r="S171">
        <f>HYPERLINK("https://klasma.github.io/Logging_2361/artfynd/A 10344-2023 artfynd.xlsx", "A 10344-2023")</f>
        <v/>
      </c>
      <c r="T171">
        <f>HYPERLINK("https://klasma.github.io/Logging_2361/kartor/A 10344-2023 karta.png", "A 10344-2023")</f>
        <v/>
      </c>
      <c r="U171">
        <f>HYPERLINK("https://klasma.github.io/Logging_2361/knärot/A 10344-2023 karta knärot.png", "A 10344-2023")</f>
        <v/>
      </c>
      <c r="V171">
        <f>HYPERLINK("https://klasma.github.io/Logging_2361/klagomål/A 10344-2023 FSC-klagomål.docx", "A 10344-2023")</f>
        <v/>
      </c>
      <c r="W171">
        <f>HYPERLINK("https://klasma.github.io/Logging_2361/klagomålsmail/A 10344-2023 FSC-klagomål mail.docx", "A 10344-2023")</f>
        <v/>
      </c>
      <c r="X171">
        <f>HYPERLINK("https://klasma.github.io/Logging_2361/tillsyn/A 10344-2023 tillsynsbegäran.docx", "A 10344-2023")</f>
        <v/>
      </c>
      <c r="Y171">
        <f>HYPERLINK("https://klasma.github.io/Logging_2361/tillsynsmail/A 10344-2023 tillsynsbegäran mail.docx", "A 10344-2023")</f>
        <v/>
      </c>
    </row>
    <row r="172" ht="15" customHeight="1">
      <c r="A172" t="inlineStr">
        <is>
          <t>A 25742-2023</t>
        </is>
      </c>
      <c r="B172" s="1" t="n">
        <v>45090</v>
      </c>
      <c r="C172" s="1" t="n">
        <v>45743</v>
      </c>
      <c r="D172" t="inlineStr">
        <is>
          <t>JÄMTLANDS LÄN</t>
        </is>
      </c>
      <c r="E172" t="inlineStr">
        <is>
          <t>HÄRJEDALEN</t>
        </is>
      </c>
      <c r="F172" t="inlineStr">
        <is>
          <t>Bergvik skog väst AB</t>
        </is>
      </c>
      <c r="G172" t="n">
        <v>55</v>
      </c>
      <c r="H172" t="n">
        <v>0</v>
      </c>
      <c r="I172" t="n">
        <v>0</v>
      </c>
      <c r="J172" t="n">
        <v>2</v>
      </c>
      <c r="K172" t="n">
        <v>0</v>
      </c>
      <c r="L172" t="n">
        <v>0</v>
      </c>
      <c r="M172" t="n">
        <v>0</v>
      </c>
      <c r="N172" t="n">
        <v>0</v>
      </c>
      <c r="O172" t="n">
        <v>2</v>
      </c>
      <c r="P172" t="n">
        <v>0</v>
      </c>
      <c r="Q172" t="n">
        <v>2</v>
      </c>
      <c r="R172" s="2" t="inlineStr">
        <is>
          <t>Dvärgbägarlav
Mörk kolflarnlav</t>
        </is>
      </c>
      <c r="S172">
        <f>HYPERLINK("https://klasma.github.io/Logging_2361/artfynd/A 25742-2023 artfynd.xlsx", "A 25742-2023")</f>
        <v/>
      </c>
      <c r="T172">
        <f>HYPERLINK("https://klasma.github.io/Logging_2361/kartor/A 25742-2023 karta.png", "A 25742-2023")</f>
        <v/>
      </c>
      <c r="V172">
        <f>HYPERLINK("https://klasma.github.io/Logging_2361/klagomål/A 25742-2023 FSC-klagomål.docx", "A 25742-2023")</f>
        <v/>
      </c>
      <c r="W172">
        <f>HYPERLINK("https://klasma.github.io/Logging_2361/klagomålsmail/A 25742-2023 FSC-klagomål mail.docx", "A 25742-2023")</f>
        <v/>
      </c>
      <c r="X172">
        <f>HYPERLINK("https://klasma.github.io/Logging_2361/tillsyn/A 25742-2023 tillsynsbegäran.docx", "A 25742-2023")</f>
        <v/>
      </c>
      <c r="Y172">
        <f>HYPERLINK("https://klasma.github.io/Logging_2361/tillsynsmail/A 25742-2023 tillsynsbegäran mail.docx", "A 25742-2023")</f>
        <v/>
      </c>
    </row>
    <row r="173" ht="15" customHeight="1">
      <c r="A173" t="inlineStr">
        <is>
          <t>A 36750-2023</t>
        </is>
      </c>
      <c r="B173" s="1" t="n">
        <v>45153</v>
      </c>
      <c r="C173" s="1" t="n">
        <v>45743</v>
      </c>
      <c r="D173" t="inlineStr">
        <is>
          <t>JÄMTLANDS LÄN</t>
        </is>
      </c>
      <c r="E173" t="inlineStr">
        <is>
          <t>HÄRJEDALEN</t>
        </is>
      </c>
      <c r="G173" t="n">
        <v>8.199999999999999</v>
      </c>
      <c r="H173" t="n">
        <v>1</v>
      </c>
      <c r="I173" t="n">
        <v>0</v>
      </c>
      <c r="J173" t="n">
        <v>2</v>
      </c>
      <c r="K173" t="n">
        <v>0</v>
      </c>
      <c r="L173" t="n">
        <v>0</v>
      </c>
      <c r="M173" t="n">
        <v>0</v>
      </c>
      <c r="N173" t="n">
        <v>0</v>
      </c>
      <c r="O173" t="n">
        <v>2</v>
      </c>
      <c r="P173" t="n">
        <v>0</v>
      </c>
      <c r="Q173" t="n">
        <v>2</v>
      </c>
      <c r="R173" s="2" t="inlineStr">
        <is>
          <t>Järpe
Lunglav</t>
        </is>
      </c>
      <c r="S173">
        <f>HYPERLINK("https://klasma.github.io/Logging_2361/artfynd/A 36750-2023 artfynd.xlsx", "A 36750-2023")</f>
        <v/>
      </c>
      <c r="T173">
        <f>HYPERLINK("https://klasma.github.io/Logging_2361/kartor/A 36750-2023 karta.png", "A 36750-2023")</f>
        <v/>
      </c>
      <c r="V173">
        <f>HYPERLINK("https://klasma.github.io/Logging_2361/klagomål/A 36750-2023 FSC-klagomål.docx", "A 36750-2023")</f>
        <v/>
      </c>
      <c r="W173">
        <f>HYPERLINK("https://klasma.github.io/Logging_2361/klagomålsmail/A 36750-2023 FSC-klagomål mail.docx", "A 36750-2023")</f>
        <v/>
      </c>
      <c r="X173">
        <f>HYPERLINK("https://klasma.github.io/Logging_2361/tillsyn/A 36750-2023 tillsynsbegäran.docx", "A 36750-2023")</f>
        <v/>
      </c>
      <c r="Y173">
        <f>HYPERLINK("https://klasma.github.io/Logging_2361/tillsynsmail/A 36750-2023 tillsynsbegäran mail.docx", "A 36750-2023")</f>
        <v/>
      </c>
      <c r="Z173">
        <f>HYPERLINK("https://klasma.github.io/Logging_2361/fåglar/A 36750-2023 prioriterade fågelarter.docx", "A 36750-2023")</f>
        <v/>
      </c>
    </row>
    <row r="174" ht="15" customHeight="1">
      <c r="A174" t="inlineStr">
        <is>
          <t>A 40015-2023</t>
        </is>
      </c>
      <c r="B174" s="1" t="n">
        <v>45168</v>
      </c>
      <c r="C174" s="1" t="n">
        <v>45743</v>
      </c>
      <c r="D174" t="inlineStr">
        <is>
          <t>JÄMTLANDS LÄN</t>
        </is>
      </c>
      <c r="E174" t="inlineStr">
        <is>
          <t>HÄRJEDALEN</t>
        </is>
      </c>
      <c r="G174" t="n">
        <v>21.9</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40015-2023 artfynd.xlsx", "A 40015-2023")</f>
        <v/>
      </c>
      <c r="T174">
        <f>HYPERLINK("https://klasma.github.io/Logging_2361/kartor/A 40015-2023 karta.png", "A 40015-2023")</f>
        <v/>
      </c>
      <c r="V174">
        <f>HYPERLINK("https://klasma.github.io/Logging_2361/klagomål/A 40015-2023 FSC-klagomål.docx", "A 40015-2023")</f>
        <v/>
      </c>
      <c r="W174">
        <f>HYPERLINK("https://klasma.github.io/Logging_2361/klagomålsmail/A 40015-2023 FSC-klagomål mail.docx", "A 40015-2023")</f>
        <v/>
      </c>
      <c r="X174">
        <f>HYPERLINK("https://klasma.github.io/Logging_2361/tillsyn/A 40015-2023 tillsynsbegäran.docx", "A 40015-2023")</f>
        <v/>
      </c>
      <c r="Y174">
        <f>HYPERLINK("https://klasma.github.io/Logging_2361/tillsynsmail/A 40015-2023 tillsynsbegäran mail.docx", "A 40015-2023")</f>
        <v/>
      </c>
    </row>
    <row r="175" ht="15" customHeight="1">
      <c r="A175" t="inlineStr">
        <is>
          <t>A 45191-2023</t>
        </is>
      </c>
      <c r="B175" s="1" t="n">
        <v>45191</v>
      </c>
      <c r="C175" s="1" t="n">
        <v>45743</v>
      </c>
      <c r="D175" t="inlineStr">
        <is>
          <t>JÄMTLANDS LÄN</t>
        </is>
      </c>
      <c r="E175" t="inlineStr">
        <is>
          <t>HÄRJEDALEN</t>
        </is>
      </c>
      <c r="F175" t="inlineStr">
        <is>
          <t>Sveaskog</t>
        </is>
      </c>
      <c r="G175" t="n">
        <v>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45191-2023 artfynd.xlsx", "A 45191-2023")</f>
        <v/>
      </c>
      <c r="T175">
        <f>HYPERLINK("https://klasma.github.io/Logging_2361/kartor/A 45191-2023 karta.png", "A 45191-2023")</f>
        <v/>
      </c>
      <c r="V175">
        <f>HYPERLINK("https://klasma.github.io/Logging_2361/klagomål/A 45191-2023 FSC-klagomål.docx", "A 45191-2023")</f>
        <v/>
      </c>
      <c r="W175">
        <f>HYPERLINK("https://klasma.github.io/Logging_2361/klagomålsmail/A 45191-2023 FSC-klagomål mail.docx", "A 45191-2023")</f>
        <v/>
      </c>
      <c r="X175">
        <f>HYPERLINK("https://klasma.github.io/Logging_2361/tillsyn/A 45191-2023 tillsynsbegäran.docx", "A 45191-2023")</f>
        <v/>
      </c>
      <c r="Y175">
        <f>HYPERLINK("https://klasma.github.io/Logging_2361/tillsynsmail/A 45191-2023 tillsynsbegäran mail.docx", "A 45191-2023")</f>
        <v/>
      </c>
    </row>
    <row r="176" ht="15" customHeight="1">
      <c r="A176" t="inlineStr">
        <is>
          <t>A 22836-2024</t>
        </is>
      </c>
      <c r="B176" s="1" t="n">
        <v>45448</v>
      </c>
      <c r="C176" s="1" t="n">
        <v>45743</v>
      </c>
      <c r="D176" t="inlineStr">
        <is>
          <t>JÄMTLANDS LÄN</t>
        </is>
      </c>
      <c r="E176" t="inlineStr">
        <is>
          <t>HÄRJEDALEN</t>
        </is>
      </c>
      <c r="F176" t="inlineStr">
        <is>
          <t>Holmen skog AB</t>
        </is>
      </c>
      <c r="G176" t="n">
        <v>3.5</v>
      </c>
      <c r="H176" t="n">
        <v>0</v>
      </c>
      <c r="I176" t="n">
        <v>1</v>
      </c>
      <c r="J176" t="n">
        <v>1</v>
      </c>
      <c r="K176" t="n">
        <v>0</v>
      </c>
      <c r="L176" t="n">
        <v>0</v>
      </c>
      <c r="M176" t="n">
        <v>0</v>
      </c>
      <c r="N176" t="n">
        <v>0</v>
      </c>
      <c r="O176" t="n">
        <v>1</v>
      </c>
      <c r="P176" t="n">
        <v>0</v>
      </c>
      <c r="Q176" t="n">
        <v>2</v>
      </c>
      <c r="R176" s="2" t="inlineStr">
        <is>
          <t>Vedflamlav
Dropptaggsvamp</t>
        </is>
      </c>
      <c r="S176">
        <f>HYPERLINK("https://klasma.github.io/Logging_2361/artfynd/A 22836-2024 artfynd.xlsx", "A 22836-2024")</f>
        <v/>
      </c>
      <c r="T176">
        <f>HYPERLINK("https://klasma.github.io/Logging_2361/kartor/A 22836-2024 karta.png", "A 22836-2024")</f>
        <v/>
      </c>
      <c r="V176">
        <f>HYPERLINK("https://klasma.github.io/Logging_2361/klagomål/A 22836-2024 FSC-klagomål.docx", "A 22836-2024")</f>
        <v/>
      </c>
      <c r="W176">
        <f>HYPERLINK("https://klasma.github.io/Logging_2361/klagomålsmail/A 22836-2024 FSC-klagomål mail.docx", "A 22836-2024")</f>
        <v/>
      </c>
      <c r="X176">
        <f>HYPERLINK("https://klasma.github.io/Logging_2361/tillsyn/A 22836-2024 tillsynsbegäran.docx", "A 22836-2024")</f>
        <v/>
      </c>
      <c r="Y176">
        <f>HYPERLINK("https://klasma.github.io/Logging_2361/tillsynsmail/A 22836-2024 tillsynsbegäran mail.docx", "A 22836-2024")</f>
        <v/>
      </c>
    </row>
    <row r="177" ht="15" customHeight="1">
      <c r="A177" t="inlineStr">
        <is>
          <t>A 27179-2024</t>
        </is>
      </c>
      <c r="B177" s="1" t="n">
        <v>45471</v>
      </c>
      <c r="C177" s="1" t="n">
        <v>45743</v>
      </c>
      <c r="D177" t="inlineStr">
        <is>
          <t>JÄMTLANDS LÄN</t>
        </is>
      </c>
      <c r="E177" t="inlineStr">
        <is>
          <t>HÄRJEDALEN</t>
        </is>
      </c>
      <c r="G177" t="n">
        <v>3.1</v>
      </c>
      <c r="H177" t="n">
        <v>0</v>
      </c>
      <c r="I177" t="n">
        <v>1</v>
      </c>
      <c r="J177" t="n">
        <v>1</v>
      </c>
      <c r="K177" t="n">
        <v>0</v>
      </c>
      <c r="L177" t="n">
        <v>0</v>
      </c>
      <c r="M177" t="n">
        <v>0</v>
      </c>
      <c r="N177" t="n">
        <v>0</v>
      </c>
      <c r="O177" t="n">
        <v>1</v>
      </c>
      <c r="P177" t="n">
        <v>0</v>
      </c>
      <c r="Q177" t="n">
        <v>2</v>
      </c>
      <c r="R177" s="2" t="inlineStr">
        <is>
          <t>Garnlav
Korallblylav</t>
        </is>
      </c>
      <c r="S177">
        <f>HYPERLINK("https://klasma.github.io/Logging_2361/artfynd/A 27179-2024 artfynd.xlsx", "A 27179-2024")</f>
        <v/>
      </c>
      <c r="T177">
        <f>HYPERLINK("https://klasma.github.io/Logging_2361/kartor/A 27179-2024 karta.png", "A 27179-2024")</f>
        <v/>
      </c>
      <c r="V177">
        <f>HYPERLINK("https://klasma.github.io/Logging_2361/klagomål/A 27179-2024 FSC-klagomål.docx", "A 27179-2024")</f>
        <v/>
      </c>
      <c r="W177">
        <f>HYPERLINK("https://klasma.github.io/Logging_2361/klagomålsmail/A 27179-2024 FSC-klagomål mail.docx", "A 27179-2024")</f>
        <v/>
      </c>
      <c r="X177">
        <f>HYPERLINK("https://klasma.github.io/Logging_2361/tillsyn/A 27179-2024 tillsynsbegäran.docx", "A 27179-2024")</f>
        <v/>
      </c>
      <c r="Y177">
        <f>HYPERLINK("https://klasma.github.io/Logging_2361/tillsynsmail/A 27179-2024 tillsynsbegäran mail.docx", "A 27179-2024")</f>
        <v/>
      </c>
    </row>
    <row r="178" ht="15" customHeight="1">
      <c r="A178" t="inlineStr">
        <is>
          <t>A 31892-2024</t>
        </is>
      </c>
      <c r="B178" s="1" t="n">
        <v>45509</v>
      </c>
      <c r="C178" s="1" t="n">
        <v>45743</v>
      </c>
      <c r="D178" t="inlineStr">
        <is>
          <t>JÄMTLANDS LÄN</t>
        </is>
      </c>
      <c r="E178" t="inlineStr">
        <is>
          <t>HÄRJEDALEN</t>
        </is>
      </c>
      <c r="F178" t="inlineStr">
        <is>
          <t>SCA</t>
        </is>
      </c>
      <c r="G178" t="n">
        <v>5.2</v>
      </c>
      <c r="H178" t="n">
        <v>1</v>
      </c>
      <c r="I178" t="n">
        <v>1</v>
      </c>
      <c r="J178" t="n">
        <v>0</v>
      </c>
      <c r="K178" t="n">
        <v>0</v>
      </c>
      <c r="L178" t="n">
        <v>0</v>
      </c>
      <c r="M178" t="n">
        <v>0</v>
      </c>
      <c r="N178" t="n">
        <v>0</v>
      </c>
      <c r="O178" t="n">
        <v>0</v>
      </c>
      <c r="P178" t="n">
        <v>0</v>
      </c>
      <c r="Q178" t="n">
        <v>2</v>
      </c>
      <c r="R178" s="2" t="inlineStr">
        <is>
          <t>Bollvitmossa
Fläcknycklar</t>
        </is>
      </c>
      <c r="S178">
        <f>HYPERLINK("https://klasma.github.io/Logging_2361/artfynd/A 31892-2024 artfynd.xlsx", "A 31892-2024")</f>
        <v/>
      </c>
      <c r="T178">
        <f>HYPERLINK("https://klasma.github.io/Logging_2361/kartor/A 31892-2024 karta.png", "A 31892-2024")</f>
        <v/>
      </c>
      <c r="V178">
        <f>HYPERLINK("https://klasma.github.io/Logging_2361/klagomål/A 31892-2024 FSC-klagomål.docx", "A 31892-2024")</f>
        <v/>
      </c>
      <c r="W178">
        <f>HYPERLINK("https://klasma.github.io/Logging_2361/klagomålsmail/A 31892-2024 FSC-klagomål mail.docx", "A 31892-2024")</f>
        <v/>
      </c>
      <c r="X178">
        <f>HYPERLINK("https://klasma.github.io/Logging_2361/tillsyn/A 31892-2024 tillsynsbegäran.docx", "A 31892-2024")</f>
        <v/>
      </c>
      <c r="Y178">
        <f>HYPERLINK("https://klasma.github.io/Logging_2361/tillsynsmail/A 31892-2024 tillsynsbegäran mail.docx", "A 31892-2024")</f>
        <v/>
      </c>
    </row>
    <row r="179" ht="15" customHeight="1">
      <c r="A179" t="inlineStr">
        <is>
          <t>A 36051-2024</t>
        </is>
      </c>
      <c r="B179" s="1" t="n">
        <v>45533</v>
      </c>
      <c r="C179" s="1" t="n">
        <v>45743</v>
      </c>
      <c r="D179" t="inlineStr">
        <is>
          <t>JÄMTLANDS LÄN</t>
        </is>
      </c>
      <c r="E179" t="inlineStr">
        <is>
          <t>HÄRJEDALEN</t>
        </is>
      </c>
      <c r="F179" t="inlineStr">
        <is>
          <t>Sveaskog</t>
        </is>
      </c>
      <c r="G179" t="n">
        <v>2.3</v>
      </c>
      <c r="H179" t="n">
        <v>0</v>
      </c>
      <c r="I179" t="n">
        <v>1</v>
      </c>
      <c r="J179" t="n">
        <v>1</v>
      </c>
      <c r="K179" t="n">
        <v>0</v>
      </c>
      <c r="L179" t="n">
        <v>0</v>
      </c>
      <c r="M179" t="n">
        <v>0</v>
      </c>
      <c r="N179" t="n">
        <v>0</v>
      </c>
      <c r="O179" t="n">
        <v>1</v>
      </c>
      <c r="P179" t="n">
        <v>0</v>
      </c>
      <c r="Q179" t="n">
        <v>2</v>
      </c>
      <c r="R179" s="2" t="inlineStr">
        <is>
          <t>Blå taggsvamp
Dropptaggsvamp</t>
        </is>
      </c>
      <c r="S179">
        <f>HYPERLINK("https://klasma.github.io/Logging_2361/artfynd/A 36051-2024 artfynd.xlsx", "A 36051-2024")</f>
        <v/>
      </c>
      <c r="T179">
        <f>HYPERLINK("https://klasma.github.io/Logging_2361/kartor/A 36051-2024 karta.png", "A 36051-2024")</f>
        <v/>
      </c>
      <c r="V179">
        <f>HYPERLINK("https://klasma.github.io/Logging_2361/klagomål/A 36051-2024 FSC-klagomål.docx", "A 36051-2024")</f>
        <v/>
      </c>
      <c r="W179">
        <f>HYPERLINK("https://klasma.github.io/Logging_2361/klagomålsmail/A 36051-2024 FSC-klagomål mail.docx", "A 36051-2024")</f>
        <v/>
      </c>
      <c r="X179">
        <f>HYPERLINK("https://klasma.github.io/Logging_2361/tillsyn/A 36051-2024 tillsynsbegäran.docx", "A 36051-2024")</f>
        <v/>
      </c>
      <c r="Y179">
        <f>HYPERLINK("https://klasma.github.io/Logging_2361/tillsynsmail/A 36051-2024 tillsynsbegäran mail.docx", "A 36051-2024")</f>
        <v/>
      </c>
    </row>
    <row r="180" ht="15" customHeight="1">
      <c r="A180" t="inlineStr">
        <is>
          <t>A 36924-2024</t>
        </is>
      </c>
      <c r="B180" s="1" t="n">
        <v>45538</v>
      </c>
      <c r="C180" s="1" t="n">
        <v>45743</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36924-2024 artfynd.xlsx", "A 36924-2024")</f>
        <v/>
      </c>
      <c r="T180">
        <f>HYPERLINK("https://klasma.github.io/Logging_2361/kartor/A 36924-2024 karta.png", "A 36924-2024")</f>
        <v/>
      </c>
      <c r="V180">
        <f>HYPERLINK("https://klasma.github.io/Logging_2361/klagomål/A 36924-2024 FSC-klagomål.docx", "A 36924-2024")</f>
        <v/>
      </c>
      <c r="W180">
        <f>HYPERLINK("https://klasma.github.io/Logging_2361/klagomålsmail/A 36924-2024 FSC-klagomål mail.docx", "A 36924-2024")</f>
        <v/>
      </c>
      <c r="X180">
        <f>HYPERLINK("https://klasma.github.io/Logging_2361/tillsyn/A 36924-2024 tillsynsbegäran.docx", "A 36924-2024")</f>
        <v/>
      </c>
      <c r="Y180">
        <f>HYPERLINK("https://klasma.github.io/Logging_2361/tillsynsmail/A 36924-2024 tillsynsbegäran mail.docx", "A 36924-2024")</f>
        <v/>
      </c>
    </row>
    <row r="181" ht="15" customHeight="1">
      <c r="A181" t="inlineStr">
        <is>
          <t>A 39718-2024</t>
        </is>
      </c>
      <c r="B181" s="1" t="n">
        <v>45552</v>
      </c>
      <c r="C181" s="1" t="n">
        <v>45743</v>
      </c>
      <c r="D181" t="inlineStr">
        <is>
          <t>JÄMTLANDS LÄN</t>
        </is>
      </c>
      <c r="E181" t="inlineStr">
        <is>
          <t>HÄRJEDALEN</t>
        </is>
      </c>
      <c r="G181" t="n">
        <v>9.4</v>
      </c>
      <c r="H181" t="n">
        <v>0</v>
      </c>
      <c r="I181" t="n">
        <v>0</v>
      </c>
      <c r="J181" t="n">
        <v>1</v>
      </c>
      <c r="K181" t="n">
        <v>1</v>
      </c>
      <c r="L181" t="n">
        <v>0</v>
      </c>
      <c r="M181" t="n">
        <v>0</v>
      </c>
      <c r="N181" t="n">
        <v>0</v>
      </c>
      <c r="O181" t="n">
        <v>2</v>
      </c>
      <c r="P181" t="n">
        <v>1</v>
      </c>
      <c r="Q181" t="n">
        <v>2</v>
      </c>
      <c r="R181" s="2" t="inlineStr">
        <is>
          <t>Gräddporing
Slåtterfibbla</t>
        </is>
      </c>
      <c r="S181">
        <f>HYPERLINK("https://klasma.github.io/Logging_2361/artfynd/A 39718-2024 artfynd.xlsx", "A 39718-2024")</f>
        <v/>
      </c>
      <c r="T181">
        <f>HYPERLINK("https://klasma.github.io/Logging_2361/kartor/A 39718-2024 karta.png", "A 39718-2024")</f>
        <v/>
      </c>
      <c r="U181">
        <f>HYPERLINK("https://klasma.github.io/Logging_2361/knärot/A 39718-2024 karta knärot.png", "A 39718-2024")</f>
        <v/>
      </c>
      <c r="V181">
        <f>HYPERLINK("https://klasma.github.io/Logging_2361/klagomål/A 39718-2024 FSC-klagomål.docx", "A 39718-2024")</f>
        <v/>
      </c>
      <c r="W181">
        <f>HYPERLINK("https://klasma.github.io/Logging_2361/klagomålsmail/A 39718-2024 FSC-klagomål mail.docx", "A 39718-2024")</f>
        <v/>
      </c>
      <c r="X181">
        <f>HYPERLINK("https://klasma.github.io/Logging_2361/tillsyn/A 39718-2024 tillsynsbegäran.docx", "A 39718-2024")</f>
        <v/>
      </c>
      <c r="Y181">
        <f>HYPERLINK("https://klasma.github.io/Logging_2361/tillsynsmail/A 39718-2024 tillsynsbegäran mail.docx", "A 39718-2024")</f>
        <v/>
      </c>
    </row>
    <row r="182" ht="15" customHeight="1">
      <c r="A182" t="inlineStr">
        <is>
          <t>A 44824-2024</t>
        </is>
      </c>
      <c r="B182" s="1" t="n">
        <v>45574</v>
      </c>
      <c r="C182" s="1" t="n">
        <v>45743</v>
      </c>
      <c r="D182" t="inlineStr">
        <is>
          <t>JÄMTLANDS LÄN</t>
        </is>
      </c>
      <c r="E182" t="inlineStr">
        <is>
          <t>HÄRJEDALEN</t>
        </is>
      </c>
      <c r="F182" t="inlineStr">
        <is>
          <t>Bergvik skog väst AB</t>
        </is>
      </c>
      <c r="G182" t="n">
        <v>29.4</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HYPERLINK("https://klasma.github.io/Logging_2361/artfynd/A 44824-2024 artfynd.xlsx", "A 44824-2024")</f>
        <v/>
      </c>
      <c r="T182">
        <f>HYPERLINK("https://klasma.github.io/Logging_2361/kartor/A 44824-2024 karta.png", "A 44824-2024")</f>
        <v/>
      </c>
      <c r="V182">
        <f>HYPERLINK("https://klasma.github.io/Logging_2361/klagomål/A 44824-2024 FSC-klagomål.docx", "A 44824-2024")</f>
        <v/>
      </c>
      <c r="W182">
        <f>HYPERLINK("https://klasma.github.io/Logging_2361/klagomålsmail/A 44824-2024 FSC-klagomål mail.docx", "A 44824-2024")</f>
        <v/>
      </c>
      <c r="X182">
        <f>HYPERLINK("https://klasma.github.io/Logging_2361/tillsyn/A 44824-2024 tillsynsbegäran.docx", "A 44824-2024")</f>
        <v/>
      </c>
      <c r="Y182">
        <f>HYPERLINK("https://klasma.github.io/Logging_2361/tillsynsmail/A 44824-2024 tillsynsbegäran mail.docx", "A 44824-2024")</f>
        <v/>
      </c>
      <c r="Z182">
        <f>HYPERLINK("https://klasma.github.io/Logging_2361/fåglar/A 44824-2024 prioriterade fågelarter.docx", "A 44824-2024")</f>
        <v/>
      </c>
    </row>
    <row r="183" ht="15" customHeight="1">
      <c r="A183" t="inlineStr">
        <is>
          <t>A 49329-2024</t>
        </is>
      </c>
      <c r="B183" s="1" t="n">
        <v>45595</v>
      </c>
      <c r="C183" s="1" t="n">
        <v>45743</v>
      </c>
      <c r="D183" t="inlineStr">
        <is>
          <t>JÄMTLANDS LÄN</t>
        </is>
      </c>
      <c r="E183" t="inlineStr">
        <is>
          <t>HÄRJEDALEN</t>
        </is>
      </c>
      <c r="F183" t="inlineStr">
        <is>
          <t>Bergvik skog väst AB</t>
        </is>
      </c>
      <c r="G183" t="n">
        <v>6.1</v>
      </c>
      <c r="H183" t="n">
        <v>0</v>
      </c>
      <c r="I183" t="n">
        <v>0</v>
      </c>
      <c r="J183" t="n">
        <v>2</v>
      </c>
      <c r="K183" t="n">
        <v>0</v>
      </c>
      <c r="L183" t="n">
        <v>0</v>
      </c>
      <c r="M183" t="n">
        <v>0</v>
      </c>
      <c r="N183" t="n">
        <v>0</v>
      </c>
      <c r="O183" t="n">
        <v>2</v>
      </c>
      <c r="P183" t="n">
        <v>0</v>
      </c>
      <c r="Q183" t="n">
        <v>2</v>
      </c>
      <c r="R183" s="2" t="inlineStr">
        <is>
          <t>Dvärgbägarlav
Vedflamlav</t>
        </is>
      </c>
      <c r="S183">
        <f>HYPERLINK("https://klasma.github.io/Logging_2361/artfynd/A 49329-2024 artfynd.xlsx", "A 49329-2024")</f>
        <v/>
      </c>
      <c r="T183">
        <f>HYPERLINK("https://klasma.github.io/Logging_2361/kartor/A 49329-2024 karta.png", "A 49329-2024")</f>
        <v/>
      </c>
      <c r="V183">
        <f>HYPERLINK("https://klasma.github.io/Logging_2361/klagomål/A 49329-2024 FSC-klagomål.docx", "A 49329-2024")</f>
        <v/>
      </c>
      <c r="W183">
        <f>HYPERLINK("https://klasma.github.io/Logging_2361/klagomålsmail/A 49329-2024 FSC-klagomål mail.docx", "A 49329-2024")</f>
        <v/>
      </c>
      <c r="X183">
        <f>HYPERLINK("https://klasma.github.io/Logging_2361/tillsyn/A 49329-2024 tillsynsbegäran.docx", "A 49329-2024")</f>
        <v/>
      </c>
      <c r="Y183">
        <f>HYPERLINK("https://klasma.github.io/Logging_2361/tillsynsmail/A 49329-2024 tillsynsbegäran mail.docx", "A 49329-2024")</f>
        <v/>
      </c>
    </row>
    <row r="184" ht="15" customHeight="1">
      <c r="A184" t="inlineStr">
        <is>
          <t>A 49482-2024</t>
        </is>
      </c>
      <c r="B184" s="1" t="n">
        <v>45596</v>
      </c>
      <c r="C184" s="1" t="n">
        <v>45743</v>
      </c>
      <c r="D184" t="inlineStr">
        <is>
          <t>JÄMTLANDS LÄN</t>
        </is>
      </c>
      <c r="E184" t="inlineStr">
        <is>
          <t>HÄRJEDALEN</t>
        </is>
      </c>
      <c r="F184" t="inlineStr">
        <is>
          <t>Kommuner</t>
        </is>
      </c>
      <c r="G184" t="n">
        <v>12.8</v>
      </c>
      <c r="H184" t="n">
        <v>0</v>
      </c>
      <c r="I184" t="n">
        <v>1</v>
      </c>
      <c r="J184" t="n">
        <v>1</v>
      </c>
      <c r="K184" t="n">
        <v>0</v>
      </c>
      <c r="L184" t="n">
        <v>0</v>
      </c>
      <c r="M184" t="n">
        <v>0</v>
      </c>
      <c r="N184" t="n">
        <v>0</v>
      </c>
      <c r="O184" t="n">
        <v>1</v>
      </c>
      <c r="P184" t="n">
        <v>0</v>
      </c>
      <c r="Q184" t="n">
        <v>2</v>
      </c>
      <c r="R184" s="2" t="inlineStr">
        <is>
          <t>Motaggsvamp
Skarp dropptaggsvamp</t>
        </is>
      </c>
      <c r="S184">
        <f>HYPERLINK("https://klasma.github.io/Logging_2361/artfynd/A 49482-2024 artfynd.xlsx", "A 49482-2024")</f>
        <v/>
      </c>
      <c r="T184">
        <f>HYPERLINK("https://klasma.github.io/Logging_2361/kartor/A 49482-2024 karta.png", "A 49482-2024")</f>
        <v/>
      </c>
      <c r="V184">
        <f>HYPERLINK("https://klasma.github.io/Logging_2361/klagomål/A 49482-2024 FSC-klagomål.docx", "A 49482-2024")</f>
        <v/>
      </c>
      <c r="W184">
        <f>HYPERLINK("https://klasma.github.io/Logging_2361/klagomålsmail/A 49482-2024 FSC-klagomål mail.docx", "A 49482-2024")</f>
        <v/>
      </c>
      <c r="X184">
        <f>HYPERLINK("https://klasma.github.io/Logging_2361/tillsyn/A 49482-2024 tillsynsbegäran.docx", "A 49482-2024")</f>
        <v/>
      </c>
      <c r="Y184">
        <f>HYPERLINK("https://klasma.github.io/Logging_2361/tillsynsmail/A 49482-2024 tillsynsbegäran mail.docx", "A 49482-2024")</f>
        <v/>
      </c>
    </row>
    <row r="185" ht="15" customHeight="1">
      <c r="A185" t="inlineStr">
        <is>
          <t>A 55298-2024</t>
        </is>
      </c>
      <c r="B185" s="1" t="n">
        <v>45621</v>
      </c>
      <c r="C185" s="1" t="n">
        <v>45743</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55298-2024 artfynd.xlsx", "A 55298-2024")</f>
        <v/>
      </c>
      <c r="T185">
        <f>HYPERLINK("https://klasma.github.io/Logging_2361/kartor/A 55298-2024 karta.png", "A 55298-2024")</f>
        <v/>
      </c>
      <c r="U185">
        <f>HYPERLINK("https://klasma.github.io/Logging_2361/knärot/A 55298-2024 karta knärot.png", "A 55298-2024")</f>
        <v/>
      </c>
      <c r="V185">
        <f>HYPERLINK("https://klasma.github.io/Logging_2361/klagomål/A 55298-2024 FSC-klagomål.docx", "A 55298-2024")</f>
        <v/>
      </c>
      <c r="W185">
        <f>HYPERLINK("https://klasma.github.io/Logging_2361/klagomålsmail/A 55298-2024 FSC-klagomål mail.docx", "A 55298-2024")</f>
        <v/>
      </c>
      <c r="X185">
        <f>HYPERLINK("https://klasma.github.io/Logging_2361/tillsyn/A 55298-2024 tillsynsbegäran.docx", "A 55298-2024")</f>
        <v/>
      </c>
      <c r="Y185">
        <f>HYPERLINK("https://klasma.github.io/Logging_2361/tillsynsmail/A 55298-2024 tillsynsbegäran mail.docx", "A 55298-2024")</f>
        <v/>
      </c>
    </row>
    <row r="186" ht="15" customHeight="1">
      <c r="A186" t="inlineStr">
        <is>
          <t>A 60750-2024</t>
        </is>
      </c>
      <c r="B186" s="1" t="n">
        <v>45644</v>
      </c>
      <c r="C186" s="1" t="n">
        <v>45743</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60750-2024 artfynd.xlsx", "A 60750-2024")</f>
        <v/>
      </c>
      <c r="T186">
        <f>HYPERLINK("https://klasma.github.io/Logging_2361/kartor/A 60750-2024 karta.png", "A 60750-2024")</f>
        <v/>
      </c>
      <c r="U186">
        <f>HYPERLINK("https://klasma.github.io/Logging_2361/knärot/A 60750-2024 karta knärot.png", "A 60750-2024")</f>
        <v/>
      </c>
      <c r="V186">
        <f>HYPERLINK("https://klasma.github.io/Logging_2361/klagomål/A 60750-2024 FSC-klagomål.docx", "A 60750-2024")</f>
        <v/>
      </c>
      <c r="W186">
        <f>HYPERLINK("https://klasma.github.io/Logging_2361/klagomålsmail/A 60750-2024 FSC-klagomål mail.docx", "A 60750-2024")</f>
        <v/>
      </c>
      <c r="X186">
        <f>HYPERLINK("https://klasma.github.io/Logging_2361/tillsyn/A 60750-2024 tillsynsbegäran.docx", "A 60750-2024")</f>
        <v/>
      </c>
      <c r="Y186">
        <f>HYPERLINK("https://klasma.github.io/Logging_2361/tillsynsmail/A 60750-2024 tillsynsbegäran mail.docx", "A 60750-2024")</f>
        <v/>
      </c>
    </row>
    <row r="187" ht="15" customHeight="1">
      <c r="A187" t="inlineStr">
        <is>
          <t>A 5781-2025</t>
        </is>
      </c>
      <c r="B187" s="1" t="n">
        <v>45694</v>
      </c>
      <c r="C187" s="1" t="n">
        <v>45743</v>
      </c>
      <c r="D187" t="inlineStr">
        <is>
          <t>JÄMTLANDS LÄN</t>
        </is>
      </c>
      <c r="E187" t="inlineStr">
        <is>
          <t>HÄRJEDALEN</t>
        </is>
      </c>
      <c r="G187" t="n">
        <v>10.1</v>
      </c>
      <c r="H187" t="n">
        <v>0</v>
      </c>
      <c r="I187" t="n">
        <v>0</v>
      </c>
      <c r="J187" t="n">
        <v>2</v>
      </c>
      <c r="K187" t="n">
        <v>0</v>
      </c>
      <c r="L187" t="n">
        <v>0</v>
      </c>
      <c r="M187" t="n">
        <v>0</v>
      </c>
      <c r="N187" t="n">
        <v>0</v>
      </c>
      <c r="O187" t="n">
        <v>2</v>
      </c>
      <c r="P187" t="n">
        <v>0</v>
      </c>
      <c r="Q187" t="n">
        <v>2</v>
      </c>
      <c r="R187" s="2" t="inlineStr">
        <is>
          <t>Garnlav
Harticka</t>
        </is>
      </c>
      <c r="S187">
        <f>HYPERLINK("https://klasma.github.io/Logging_2361/artfynd/A 5781-2025 artfynd.xlsx", "A 5781-2025")</f>
        <v/>
      </c>
      <c r="T187">
        <f>HYPERLINK("https://klasma.github.io/Logging_2361/kartor/A 5781-2025 karta.png", "A 5781-2025")</f>
        <v/>
      </c>
      <c r="V187">
        <f>HYPERLINK("https://klasma.github.io/Logging_2361/klagomål/A 5781-2025 FSC-klagomål.docx", "A 5781-2025")</f>
        <v/>
      </c>
      <c r="W187">
        <f>HYPERLINK("https://klasma.github.io/Logging_2361/klagomålsmail/A 5781-2025 FSC-klagomål mail.docx", "A 5781-2025")</f>
        <v/>
      </c>
      <c r="X187">
        <f>HYPERLINK("https://klasma.github.io/Logging_2361/tillsyn/A 5781-2025 tillsynsbegäran.docx", "A 5781-2025")</f>
        <v/>
      </c>
      <c r="Y187">
        <f>HYPERLINK("https://klasma.github.io/Logging_2361/tillsynsmail/A 5781-2025 tillsynsbegäran mail.docx", "A 5781-2025")</f>
        <v/>
      </c>
    </row>
    <row r="188" ht="15" customHeight="1">
      <c r="A188" t="inlineStr">
        <is>
          <t>A 45781-2019</t>
        </is>
      </c>
      <c r="B188" s="1" t="n">
        <v>43717</v>
      </c>
      <c r="C188" s="1" t="n">
        <v>45743</v>
      </c>
      <c r="D188" t="inlineStr">
        <is>
          <t>JÄMTLANDS LÄN</t>
        </is>
      </c>
      <c r="E188" t="inlineStr">
        <is>
          <t>HÄRJEDALEN</t>
        </is>
      </c>
      <c r="F188" t="inlineStr">
        <is>
          <t>Holmen skog AB</t>
        </is>
      </c>
      <c r="G188" t="n">
        <v>13.8</v>
      </c>
      <c r="H188" t="n">
        <v>0</v>
      </c>
      <c r="I188" t="n">
        <v>0</v>
      </c>
      <c r="J188" t="n">
        <v>1</v>
      </c>
      <c r="K188" t="n">
        <v>0</v>
      </c>
      <c r="L188" t="n">
        <v>0</v>
      </c>
      <c r="M188" t="n">
        <v>0</v>
      </c>
      <c r="N188" t="n">
        <v>0</v>
      </c>
      <c r="O188" t="n">
        <v>1</v>
      </c>
      <c r="P188" t="n">
        <v>0</v>
      </c>
      <c r="Q188" t="n">
        <v>1</v>
      </c>
      <c r="R188" s="2" t="inlineStr">
        <is>
          <t>Kolflarnlav</t>
        </is>
      </c>
      <c r="S188">
        <f>HYPERLINK("https://klasma.github.io/Logging_2361/artfynd/A 45781-2019 artfynd.xlsx", "A 45781-2019")</f>
        <v/>
      </c>
      <c r="T188">
        <f>HYPERLINK("https://klasma.github.io/Logging_2361/kartor/A 45781-2019 karta.png", "A 45781-2019")</f>
        <v/>
      </c>
      <c r="V188">
        <f>HYPERLINK("https://klasma.github.io/Logging_2361/klagomål/A 45781-2019 FSC-klagomål.docx", "A 45781-2019")</f>
        <v/>
      </c>
      <c r="W188">
        <f>HYPERLINK("https://klasma.github.io/Logging_2361/klagomålsmail/A 45781-2019 FSC-klagomål mail.docx", "A 45781-2019")</f>
        <v/>
      </c>
      <c r="X188">
        <f>HYPERLINK("https://klasma.github.io/Logging_2361/tillsyn/A 45781-2019 tillsynsbegäran.docx", "A 45781-2019")</f>
        <v/>
      </c>
      <c r="Y188">
        <f>HYPERLINK("https://klasma.github.io/Logging_2361/tillsynsmail/A 45781-2019 tillsynsbegäran mail.docx", "A 45781-2019")</f>
        <v/>
      </c>
    </row>
    <row r="189" ht="15" customHeight="1">
      <c r="A189" t="inlineStr">
        <is>
          <t>A 24898-2020</t>
        </is>
      </c>
      <c r="B189" s="1" t="n">
        <v>43979</v>
      </c>
      <c r="C189" s="1" t="n">
        <v>45743</v>
      </c>
      <c r="D189" t="inlineStr">
        <is>
          <t>JÄMTLANDS LÄN</t>
        </is>
      </c>
      <c r="E189" t="inlineStr">
        <is>
          <t>HÄRJEDALEN</t>
        </is>
      </c>
      <c r="F189" t="inlineStr">
        <is>
          <t>Sveaskog</t>
        </is>
      </c>
      <c r="G189" t="n">
        <v>2.9</v>
      </c>
      <c r="H189" t="n">
        <v>0</v>
      </c>
      <c r="I189" t="n">
        <v>0</v>
      </c>
      <c r="J189" t="n">
        <v>1</v>
      </c>
      <c r="K189" t="n">
        <v>0</v>
      </c>
      <c r="L189" t="n">
        <v>0</v>
      </c>
      <c r="M189" t="n">
        <v>0</v>
      </c>
      <c r="N189" t="n">
        <v>0</v>
      </c>
      <c r="O189" t="n">
        <v>1</v>
      </c>
      <c r="P189" t="n">
        <v>0</v>
      </c>
      <c r="Q189" t="n">
        <v>1</v>
      </c>
      <c r="R189" s="2" t="inlineStr">
        <is>
          <t>Brunklöver</t>
        </is>
      </c>
      <c r="S189">
        <f>HYPERLINK("https://klasma.github.io/Logging_2361/artfynd/A 24898-2020 artfynd.xlsx", "A 24898-2020")</f>
        <v/>
      </c>
      <c r="T189">
        <f>HYPERLINK("https://klasma.github.io/Logging_2361/kartor/A 24898-2020 karta.png", "A 24898-2020")</f>
        <v/>
      </c>
      <c r="V189">
        <f>HYPERLINK("https://klasma.github.io/Logging_2361/klagomål/A 24898-2020 FSC-klagomål.docx", "A 24898-2020")</f>
        <v/>
      </c>
      <c r="W189">
        <f>HYPERLINK("https://klasma.github.io/Logging_2361/klagomålsmail/A 24898-2020 FSC-klagomål mail.docx", "A 24898-2020")</f>
        <v/>
      </c>
      <c r="X189">
        <f>HYPERLINK("https://klasma.github.io/Logging_2361/tillsyn/A 24898-2020 tillsynsbegäran.docx", "A 24898-2020")</f>
        <v/>
      </c>
      <c r="Y189">
        <f>HYPERLINK("https://klasma.github.io/Logging_2361/tillsynsmail/A 24898-2020 tillsynsbegäran mail.docx", "A 24898-2020")</f>
        <v/>
      </c>
    </row>
    <row r="190" ht="15" customHeight="1">
      <c r="A190" t="inlineStr">
        <is>
          <t>A 36954-2020</t>
        </is>
      </c>
      <c r="B190" s="1" t="n">
        <v>44053</v>
      </c>
      <c r="C190" s="1" t="n">
        <v>45743</v>
      </c>
      <c r="D190" t="inlineStr">
        <is>
          <t>JÄMTLANDS LÄN</t>
        </is>
      </c>
      <c r="E190" t="inlineStr">
        <is>
          <t>HÄRJEDALEN</t>
        </is>
      </c>
      <c r="F190" t="inlineStr">
        <is>
          <t>SCA</t>
        </is>
      </c>
      <c r="G190" t="n">
        <v>38.7</v>
      </c>
      <c r="H190" t="n">
        <v>0</v>
      </c>
      <c r="I190" t="n">
        <v>0</v>
      </c>
      <c r="J190" t="n">
        <v>1</v>
      </c>
      <c r="K190" t="n">
        <v>0</v>
      </c>
      <c r="L190" t="n">
        <v>0</v>
      </c>
      <c r="M190" t="n">
        <v>0</v>
      </c>
      <c r="N190" t="n">
        <v>0</v>
      </c>
      <c r="O190" t="n">
        <v>1</v>
      </c>
      <c r="P190" t="n">
        <v>0</v>
      </c>
      <c r="Q190" t="n">
        <v>1</v>
      </c>
      <c r="R190" s="2" t="inlineStr">
        <is>
          <t>Reliktbock</t>
        </is>
      </c>
      <c r="S190">
        <f>HYPERLINK("https://klasma.github.io/Logging_2361/artfynd/A 36954-2020 artfynd.xlsx", "A 36954-2020")</f>
        <v/>
      </c>
      <c r="T190">
        <f>HYPERLINK("https://klasma.github.io/Logging_2361/kartor/A 36954-2020 karta.png", "A 36954-2020")</f>
        <v/>
      </c>
      <c r="V190">
        <f>HYPERLINK("https://klasma.github.io/Logging_2361/klagomål/A 36954-2020 FSC-klagomål.docx", "A 36954-2020")</f>
        <v/>
      </c>
      <c r="W190">
        <f>HYPERLINK("https://klasma.github.io/Logging_2361/klagomålsmail/A 36954-2020 FSC-klagomål mail.docx", "A 36954-2020")</f>
        <v/>
      </c>
      <c r="X190">
        <f>HYPERLINK("https://klasma.github.io/Logging_2361/tillsyn/A 36954-2020 tillsynsbegäran.docx", "A 36954-2020")</f>
        <v/>
      </c>
      <c r="Y190">
        <f>HYPERLINK("https://klasma.github.io/Logging_2361/tillsynsmail/A 36954-2020 tillsynsbegäran mail.docx", "A 36954-2020")</f>
        <v/>
      </c>
    </row>
    <row r="191" ht="15" customHeight="1">
      <c r="A191" t="inlineStr">
        <is>
          <t>A 47685-2020</t>
        </is>
      </c>
      <c r="B191" s="1" t="n">
        <v>44096</v>
      </c>
      <c r="C191" s="1" t="n">
        <v>45743</v>
      </c>
      <c r="D191" t="inlineStr">
        <is>
          <t>JÄMTLANDS LÄN</t>
        </is>
      </c>
      <c r="E191" t="inlineStr">
        <is>
          <t>HÄRJEDALEN</t>
        </is>
      </c>
      <c r="F191" t="inlineStr">
        <is>
          <t>Sveaskog</t>
        </is>
      </c>
      <c r="G191" t="n">
        <v>2.3</v>
      </c>
      <c r="H191" t="n">
        <v>0</v>
      </c>
      <c r="I191" t="n">
        <v>0</v>
      </c>
      <c r="J191" t="n">
        <v>1</v>
      </c>
      <c r="K191" t="n">
        <v>0</v>
      </c>
      <c r="L191" t="n">
        <v>0</v>
      </c>
      <c r="M191" t="n">
        <v>0</v>
      </c>
      <c r="N191" t="n">
        <v>0</v>
      </c>
      <c r="O191" t="n">
        <v>1</v>
      </c>
      <c r="P191" t="n">
        <v>0</v>
      </c>
      <c r="Q191" t="n">
        <v>1</v>
      </c>
      <c r="R191" s="2" t="inlineStr">
        <is>
          <t>Lunglav</t>
        </is>
      </c>
      <c r="S191">
        <f>HYPERLINK("https://klasma.github.io/Logging_2361/artfynd/A 47685-2020 artfynd.xlsx", "A 47685-2020")</f>
        <v/>
      </c>
      <c r="T191">
        <f>HYPERLINK("https://klasma.github.io/Logging_2361/kartor/A 47685-2020 karta.png", "A 47685-2020")</f>
        <v/>
      </c>
      <c r="V191">
        <f>HYPERLINK("https://klasma.github.io/Logging_2361/klagomål/A 47685-2020 FSC-klagomål.docx", "A 47685-2020")</f>
        <v/>
      </c>
      <c r="W191">
        <f>HYPERLINK("https://klasma.github.io/Logging_2361/klagomålsmail/A 47685-2020 FSC-klagomål mail.docx", "A 47685-2020")</f>
        <v/>
      </c>
      <c r="X191">
        <f>HYPERLINK("https://klasma.github.io/Logging_2361/tillsyn/A 47685-2020 tillsynsbegäran.docx", "A 47685-2020")</f>
        <v/>
      </c>
      <c r="Y191">
        <f>HYPERLINK("https://klasma.github.io/Logging_2361/tillsynsmail/A 47685-2020 tillsynsbegäran mail.docx", "A 47685-2020")</f>
        <v/>
      </c>
    </row>
    <row r="192" ht="15" customHeight="1">
      <c r="A192" t="inlineStr">
        <is>
          <t>A 49246-2020</t>
        </is>
      </c>
      <c r="B192" s="1" t="n">
        <v>44105</v>
      </c>
      <c r="C192" s="1" t="n">
        <v>45743</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Granticka</t>
        </is>
      </c>
      <c r="S192">
        <f>HYPERLINK("https://klasma.github.io/Logging_2361/artfynd/A 49246-2020 artfynd.xlsx", "A 49246-2020")</f>
        <v/>
      </c>
      <c r="T192">
        <f>HYPERLINK("https://klasma.github.io/Logging_2361/kartor/A 49246-2020 karta.png", "A 49246-2020")</f>
        <v/>
      </c>
      <c r="V192">
        <f>HYPERLINK("https://klasma.github.io/Logging_2361/klagomål/A 49246-2020 FSC-klagomål.docx", "A 49246-2020")</f>
        <v/>
      </c>
      <c r="W192">
        <f>HYPERLINK("https://klasma.github.io/Logging_2361/klagomålsmail/A 49246-2020 FSC-klagomål mail.docx", "A 49246-2020")</f>
        <v/>
      </c>
      <c r="X192">
        <f>HYPERLINK("https://klasma.github.io/Logging_2361/tillsyn/A 49246-2020 tillsynsbegäran.docx", "A 49246-2020")</f>
        <v/>
      </c>
      <c r="Y192">
        <f>HYPERLINK("https://klasma.github.io/Logging_2361/tillsynsmail/A 49246-2020 tillsynsbegäran mail.docx", "A 49246-2020")</f>
        <v/>
      </c>
    </row>
    <row r="193" ht="15" customHeight="1">
      <c r="A193" t="inlineStr">
        <is>
          <t>A 51387-2020</t>
        </is>
      </c>
      <c r="B193" s="1" t="n">
        <v>44113</v>
      </c>
      <c r="C193" s="1" t="n">
        <v>45743</v>
      </c>
      <c r="D193" t="inlineStr">
        <is>
          <t>JÄMTLANDS LÄN</t>
        </is>
      </c>
      <c r="E193" t="inlineStr">
        <is>
          <t>HÄRJEDALEN</t>
        </is>
      </c>
      <c r="G193" t="n">
        <v>1</v>
      </c>
      <c r="H193" t="n">
        <v>0</v>
      </c>
      <c r="I193" t="n">
        <v>0</v>
      </c>
      <c r="J193" t="n">
        <v>0</v>
      </c>
      <c r="K193" t="n">
        <v>1</v>
      </c>
      <c r="L193" t="n">
        <v>0</v>
      </c>
      <c r="M193" t="n">
        <v>0</v>
      </c>
      <c r="N193" t="n">
        <v>0</v>
      </c>
      <c r="O193" t="n">
        <v>1</v>
      </c>
      <c r="P193" t="n">
        <v>1</v>
      </c>
      <c r="Q193" t="n">
        <v>1</v>
      </c>
      <c r="R193" s="2" t="inlineStr">
        <is>
          <t>Goliatmusseron</t>
        </is>
      </c>
      <c r="S193">
        <f>HYPERLINK("https://klasma.github.io/Logging_2361/artfynd/A 51387-2020 artfynd.xlsx", "A 51387-2020")</f>
        <v/>
      </c>
      <c r="T193">
        <f>HYPERLINK("https://klasma.github.io/Logging_2361/kartor/A 51387-2020 karta.png", "A 51387-2020")</f>
        <v/>
      </c>
      <c r="V193">
        <f>HYPERLINK("https://klasma.github.io/Logging_2361/klagomål/A 51387-2020 FSC-klagomål.docx", "A 51387-2020")</f>
        <v/>
      </c>
      <c r="W193">
        <f>HYPERLINK("https://klasma.github.io/Logging_2361/klagomålsmail/A 51387-2020 FSC-klagomål mail.docx", "A 51387-2020")</f>
        <v/>
      </c>
      <c r="X193">
        <f>HYPERLINK("https://klasma.github.io/Logging_2361/tillsyn/A 51387-2020 tillsynsbegäran.docx", "A 51387-2020")</f>
        <v/>
      </c>
      <c r="Y193">
        <f>HYPERLINK("https://klasma.github.io/Logging_2361/tillsynsmail/A 51387-2020 tillsynsbegäran mail.docx", "A 51387-2020")</f>
        <v/>
      </c>
    </row>
    <row r="194" ht="15" customHeight="1">
      <c r="A194" t="inlineStr">
        <is>
          <t>A 21572-2021</t>
        </is>
      </c>
      <c r="B194" s="1" t="n">
        <v>44321</v>
      </c>
      <c r="C194" s="1" t="n">
        <v>45743</v>
      </c>
      <c r="D194" t="inlineStr">
        <is>
          <t>JÄMTLANDS LÄN</t>
        </is>
      </c>
      <c r="E194" t="inlineStr">
        <is>
          <t>HÄRJEDALEN</t>
        </is>
      </c>
      <c r="F194" t="inlineStr">
        <is>
          <t>Holmen skog AB</t>
        </is>
      </c>
      <c r="G194" t="n">
        <v>29</v>
      </c>
      <c r="H194" t="n">
        <v>0</v>
      </c>
      <c r="I194" t="n">
        <v>0</v>
      </c>
      <c r="J194" t="n">
        <v>1</v>
      </c>
      <c r="K194" t="n">
        <v>0</v>
      </c>
      <c r="L194" t="n">
        <v>0</v>
      </c>
      <c r="M194" t="n">
        <v>0</v>
      </c>
      <c r="N194" t="n">
        <v>0</v>
      </c>
      <c r="O194" t="n">
        <v>1</v>
      </c>
      <c r="P194" t="n">
        <v>0</v>
      </c>
      <c r="Q194" t="n">
        <v>1</v>
      </c>
      <c r="R194" s="2" t="inlineStr">
        <is>
          <t>Skrovlig taggsvamp</t>
        </is>
      </c>
      <c r="S194">
        <f>HYPERLINK("https://klasma.github.io/Logging_2361/artfynd/A 21572-2021 artfynd.xlsx", "A 21572-2021")</f>
        <v/>
      </c>
      <c r="T194">
        <f>HYPERLINK("https://klasma.github.io/Logging_2361/kartor/A 21572-2021 karta.png", "A 21572-2021")</f>
        <v/>
      </c>
      <c r="V194">
        <f>HYPERLINK("https://klasma.github.io/Logging_2361/klagomål/A 21572-2021 FSC-klagomål.docx", "A 21572-2021")</f>
        <v/>
      </c>
      <c r="W194">
        <f>HYPERLINK("https://klasma.github.io/Logging_2361/klagomålsmail/A 21572-2021 FSC-klagomål mail.docx", "A 21572-2021")</f>
        <v/>
      </c>
      <c r="X194">
        <f>HYPERLINK("https://klasma.github.io/Logging_2361/tillsyn/A 21572-2021 tillsynsbegäran.docx", "A 21572-2021")</f>
        <v/>
      </c>
      <c r="Y194">
        <f>HYPERLINK("https://klasma.github.io/Logging_2361/tillsynsmail/A 21572-2021 tillsynsbegäran mail.docx", "A 21572-2021")</f>
        <v/>
      </c>
    </row>
    <row r="195" ht="15" customHeight="1">
      <c r="A195" t="inlineStr">
        <is>
          <t>A 55223-2021</t>
        </is>
      </c>
      <c r="B195" s="1" t="n">
        <v>44475</v>
      </c>
      <c r="C195" s="1" t="n">
        <v>45743</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55222-2021</t>
        </is>
      </c>
      <c r="B196" s="1" t="n">
        <v>44475</v>
      </c>
      <c r="C196" s="1" t="n">
        <v>45743</v>
      </c>
      <c r="D196" t="inlineStr">
        <is>
          <t>JÄMTLANDS LÄN</t>
        </is>
      </c>
      <c r="E196" t="inlineStr">
        <is>
          <t>HÄRJEDALEN</t>
        </is>
      </c>
      <c r="G196" t="n">
        <v>1.1</v>
      </c>
      <c r="H196" t="n">
        <v>1</v>
      </c>
      <c r="I196" t="n">
        <v>0</v>
      </c>
      <c r="J196" t="n">
        <v>1</v>
      </c>
      <c r="K196" t="n">
        <v>0</v>
      </c>
      <c r="L196" t="n">
        <v>0</v>
      </c>
      <c r="M196" t="n">
        <v>0</v>
      </c>
      <c r="N196" t="n">
        <v>0</v>
      </c>
      <c r="O196" t="n">
        <v>1</v>
      </c>
      <c r="P196" t="n">
        <v>0</v>
      </c>
      <c r="Q196" t="n">
        <v>1</v>
      </c>
      <c r="R196" s="2" t="inlineStr">
        <is>
          <t>Varglav</t>
        </is>
      </c>
      <c r="S196">
        <f>HYPERLINK("https://klasma.github.io/Logging_2361/artfynd/A 55222-2021 artfynd.xlsx", "A 55222-2021")</f>
        <v/>
      </c>
      <c r="T196">
        <f>HYPERLINK("https://klasma.github.io/Logging_2361/kartor/A 55222-2021 karta.png", "A 55222-2021")</f>
        <v/>
      </c>
      <c r="V196">
        <f>HYPERLINK("https://klasma.github.io/Logging_2361/klagomål/A 55222-2021 FSC-klagomål.docx", "A 55222-2021")</f>
        <v/>
      </c>
      <c r="W196">
        <f>HYPERLINK("https://klasma.github.io/Logging_2361/klagomålsmail/A 55222-2021 FSC-klagomål mail.docx", "A 55222-2021")</f>
        <v/>
      </c>
      <c r="X196">
        <f>HYPERLINK("https://klasma.github.io/Logging_2361/tillsyn/A 55222-2021 tillsynsbegäran.docx", "A 55222-2021")</f>
        <v/>
      </c>
      <c r="Y196">
        <f>HYPERLINK("https://klasma.github.io/Logging_2361/tillsynsmail/A 55222-2021 tillsynsbegäran mail.docx", "A 55222-2021")</f>
        <v/>
      </c>
    </row>
    <row r="197" ht="15" customHeight="1">
      <c r="A197" t="inlineStr">
        <is>
          <t>A 55221-2021</t>
        </is>
      </c>
      <c r="B197" s="1" t="n">
        <v>44475</v>
      </c>
      <c r="C197" s="1" t="n">
        <v>45743</v>
      </c>
      <c r="D197" t="inlineStr">
        <is>
          <t>JÄMTLANDS LÄN</t>
        </is>
      </c>
      <c r="E197" t="inlineStr">
        <is>
          <t>HÄRJEDALEN</t>
        </is>
      </c>
      <c r="G197" t="n">
        <v>0.2</v>
      </c>
      <c r="H197" t="n">
        <v>1</v>
      </c>
      <c r="I197" t="n">
        <v>0</v>
      </c>
      <c r="J197" t="n">
        <v>1</v>
      </c>
      <c r="K197" t="n">
        <v>0</v>
      </c>
      <c r="L197" t="n">
        <v>0</v>
      </c>
      <c r="M197" t="n">
        <v>0</v>
      </c>
      <c r="N197" t="n">
        <v>0</v>
      </c>
      <c r="O197" t="n">
        <v>1</v>
      </c>
      <c r="P197" t="n">
        <v>0</v>
      </c>
      <c r="Q197" t="n">
        <v>1</v>
      </c>
      <c r="R197" s="2" t="inlineStr">
        <is>
          <t>Varglav</t>
        </is>
      </c>
      <c r="S197">
        <f>HYPERLINK("https://klasma.github.io/Logging_2361/artfynd/A 55221-2021 artfynd.xlsx", "A 55221-2021")</f>
        <v/>
      </c>
      <c r="T197">
        <f>HYPERLINK("https://klasma.github.io/Logging_2361/kartor/A 55221-2021 karta.png", "A 55221-2021")</f>
        <v/>
      </c>
      <c r="V197">
        <f>HYPERLINK("https://klasma.github.io/Logging_2361/klagomål/A 55221-2021 FSC-klagomål.docx", "A 55221-2021")</f>
        <v/>
      </c>
      <c r="W197">
        <f>HYPERLINK("https://klasma.github.io/Logging_2361/klagomålsmail/A 55221-2021 FSC-klagomål mail.docx", "A 55221-2021")</f>
        <v/>
      </c>
      <c r="X197">
        <f>HYPERLINK("https://klasma.github.io/Logging_2361/tillsyn/A 55221-2021 tillsynsbegäran.docx", "A 55221-2021")</f>
        <v/>
      </c>
      <c r="Y197">
        <f>HYPERLINK("https://klasma.github.io/Logging_2361/tillsynsmail/A 55221-2021 tillsynsbegäran mail.docx", "A 55221-2021")</f>
        <v/>
      </c>
    </row>
    <row r="198" ht="15" customHeight="1">
      <c r="A198" t="inlineStr">
        <is>
          <t>A 55245-2021</t>
        </is>
      </c>
      <c r="B198" s="1" t="n">
        <v>44475</v>
      </c>
      <c r="C198" s="1" t="n">
        <v>45743</v>
      </c>
      <c r="D198" t="inlineStr">
        <is>
          <t>JÄMTLANDS LÄN</t>
        </is>
      </c>
      <c r="E198" t="inlineStr">
        <is>
          <t>HÄRJEDALEN</t>
        </is>
      </c>
      <c r="G198" t="n">
        <v>5.1</v>
      </c>
      <c r="H198" t="n">
        <v>0</v>
      </c>
      <c r="I198" t="n">
        <v>0</v>
      </c>
      <c r="J198" t="n">
        <v>1</v>
      </c>
      <c r="K198" t="n">
        <v>0</v>
      </c>
      <c r="L198" t="n">
        <v>0</v>
      </c>
      <c r="M198" t="n">
        <v>0</v>
      </c>
      <c r="N198" t="n">
        <v>0</v>
      </c>
      <c r="O198" t="n">
        <v>1</v>
      </c>
      <c r="P198" t="n">
        <v>0</v>
      </c>
      <c r="Q198" t="n">
        <v>1</v>
      </c>
      <c r="R198" s="2" t="inlineStr">
        <is>
          <t>Blanksvart spiklav</t>
        </is>
      </c>
      <c r="S198">
        <f>HYPERLINK("https://klasma.github.io/Logging_2361/artfynd/A 55245-2021 artfynd.xlsx", "A 55245-2021")</f>
        <v/>
      </c>
      <c r="T198">
        <f>HYPERLINK("https://klasma.github.io/Logging_2361/kartor/A 55245-2021 karta.png", "A 55245-2021")</f>
        <v/>
      </c>
      <c r="V198">
        <f>HYPERLINK("https://klasma.github.io/Logging_2361/klagomål/A 55245-2021 FSC-klagomål.docx", "A 55245-2021")</f>
        <v/>
      </c>
      <c r="W198">
        <f>HYPERLINK("https://klasma.github.io/Logging_2361/klagomålsmail/A 55245-2021 FSC-klagomål mail.docx", "A 55245-2021")</f>
        <v/>
      </c>
      <c r="X198">
        <f>HYPERLINK("https://klasma.github.io/Logging_2361/tillsyn/A 55245-2021 tillsynsbegäran.docx", "A 55245-2021")</f>
        <v/>
      </c>
      <c r="Y198">
        <f>HYPERLINK("https://klasma.github.io/Logging_2361/tillsynsmail/A 55245-2021 tillsynsbegäran mail.docx", "A 55245-2021")</f>
        <v/>
      </c>
    </row>
    <row r="199" ht="15" customHeight="1">
      <c r="A199" t="inlineStr">
        <is>
          <t>A 13982-2022</t>
        </is>
      </c>
      <c r="B199" s="1" t="n">
        <v>44650</v>
      </c>
      <c r="C199" s="1" t="n">
        <v>45743</v>
      </c>
      <c r="D199" t="inlineStr">
        <is>
          <t>JÄMTLANDS LÄN</t>
        </is>
      </c>
      <c r="E199" t="inlineStr">
        <is>
          <t>HÄRJEDALEN</t>
        </is>
      </c>
      <c r="F199" t="inlineStr">
        <is>
          <t>Holmen skog AB</t>
        </is>
      </c>
      <c r="G199" t="n">
        <v>4.4</v>
      </c>
      <c r="H199" t="n">
        <v>0</v>
      </c>
      <c r="I199" t="n">
        <v>0</v>
      </c>
      <c r="J199" t="n">
        <v>1</v>
      </c>
      <c r="K199" t="n">
        <v>0</v>
      </c>
      <c r="L199" t="n">
        <v>0</v>
      </c>
      <c r="M199" t="n">
        <v>0</v>
      </c>
      <c r="N199" t="n">
        <v>0</v>
      </c>
      <c r="O199" t="n">
        <v>1</v>
      </c>
      <c r="P199" t="n">
        <v>0</v>
      </c>
      <c r="Q199" t="n">
        <v>1</v>
      </c>
      <c r="R199" s="2" t="inlineStr">
        <is>
          <t>Garnlav</t>
        </is>
      </c>
      <c r="S199">
        <f>HYPERLINK("https://klasma.github.io/Logging_2361/artfynd/A 13982-2022 artfynd.xlsx", "A 13982-2022")</f>
        <v/>
      </c>
      <c r="T199">
        <f>HYPERLINK("https://klasma.github.io/Logging_2361/kartor/A 13982-2022 karta.png", "A 13982-2022")</f>
        <v/>
      </c>
      <c r="V199">
        <f>HYPERLINK("https://klasma.github.io/Logging_2361/klagomål/A 13982-2022 FSC-klagomål.docx", "A 13982-2022")</f>
        <v/>
      </c>
      <c r="W199">
        <f>HYPERLINK("https://klasma.github.io/Logging_2361/klagomålsmail/A 13982-2022 FSC-klagomål mail.docx", "A 13982-2022")</f>
        <v/>
      </c>
      <c r="X199">
        <f>HYPERLINK("https://klasma.github.io/Logging_2361/tillsyn/A 13982-2022 tillsynsbegäran.docx", "A 13982-2022")</f>
        <v/>
      </c>
      <c r="Y199">
        <f>HYPERLINK("https://klasma.github.io/Logging_2361/tillsynsmail/A 13982-2022 tillsynsbegäran mail.docx", "A 13982-2022")</f>
        <v/>
      </c>
    </row>
    <row r="200" ht="15" customHeight="1">
      <c r="A200" t="inlineStr">
        <is>
          <t>A 15360-2022</t>
        </is>
      </c>
      <c r="B200" s="1" t="n">
        <v>44659</v>
      </c>
      <c r="C200" s="1" t="n">
        <v>45743</v>
      </c>
      <c r="D200" t="inlineStr">
        <is>
          <t>JÄMTLANDS LÄN</t>
        </is>
      </c>
      <c r="E200" t="inlineStr">
        <is>
          <t>HÄRJEDALEN</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15360-2022 artfynd.xlsx", "A 15360-2022")</f>
        <v/>
      </c>
      <c r="T200">
        <f>HYPERLINK("https://klasma.github.io/Logging_2361/kartor/A 15360-2022 karta.png", "A 15360-2022")</f>
        <v/>
      </c>
      <c r="V200">
        <f>HYPERLINK("https://klasma.github.io/Logging_2361/klagomål/A 15360-2022 FSC-klagomål.docx", "A 15360-2022")</f>
        <v/>
      </c>
      <c r="W200">
        <f>HYPERLINK("https://klasma.github.io/Logging_2361/klagomålsmail/A 15360-2022 FSC-klagomål mail.docx", "A 15360-2022")</f>
        <v/>
      </c>
      <c r="X200">
        <f>HYPERLINK("https://klasma.github.io/Logging_2361/tillsyn/A 15360-2022 tillsynsbegäran.docx", "A 15360-2022")</f>
        <v/>
      </c>
      <c r="Y200">
        <f>HYPERLINK("https://klasma.github.io/Logging_2361/tillsynsmail/A 15360-2022 tillsynsbegäran mail.docx", "A 15360-2022")</f>
        <v/>
      </c>
    </row>
    <row r="201" ht="15" customHeight="1">
      <c r="A201" t="inlineStr">
        <is>
          <t>A 31061-2022</t>
        </is>
      </c>
      <c r="B201" s="1" t="n">
        <v>44769</v>
      </c>
      <c r="C201" s="1" t="n">
        <v>45743</v>
      </c>
      <c r="D201" t="inlineStr">
        <is>
          <t>JÄMTLANDS LÄN</t>
        </is>
      </c>
      <c r="E201" t="inlineStr">
        <is>
          <t>HÄRJEDALEN</t>
        </is>
      </c>
      <c r="F201" t="inlineStr">
        <is>
          <t>Bergvik skog väst AB</t>
        </is>
      </c>
      <c r="G201" t="n">
        <v>15.8</v>
      </c>
      <c r="H201" t="n">
        <v>0</v>
      </c>
      <c r="I201" t="n">
        <v>0</v>
      </c>
      <c r="J201" t="n">
        <v>1</v>
      </c>
      <c r="K201" t="n">
        <v>0</v>
      </c>
      <c r="L201" t="n">
        <v>0</v>
      </c>
      <c r="M201" t="n">
        <v>0</v>
      </c>
      <c r="N201" t="n">
        <v>0</v>
      </c>
      <c r="O201" t="n">
        <v>1</v>
      </c>
      <c r="P201" t="n">
        <v>0</v>
      </c>
      <c r="Q201" t="n">
        <v>1</v>
      </c>
      <c r="R201" s="2" t="inlineStr">
        <is>
          <t>Lunglav</t>
        </is>
      </c>
      <c r="S201">
        <f>HYPERLINK("https://klasma.github.io/Logging_2361/artfynd/A 31061-2022 artfynd.xlsx", "A 31061-2022")</f>
        <v/>
      </c>
      <c r="T201">
        <f>HYPERLINK("https://klasma.github.io/Logging_2361/kartor/A 31061-2022 karta.png", "A 31061-2022")</f>
        <v/>
      </c>
      <c r="V201">
        <f>HYPERLINK("https://klasma.github.io/Logging_2361/klagomål/A 31061-2022 FSC-klagomål.docx", "A 31061-2022")</f>
        <v/>
      </c>
      <c r="W201">
        <f>HYPERLINK("https://klasma.github.io/Logging_2361/klagomålsmail/A 31061-2022 FSC-klagomål mail.docx", "A 31061-2022")</f>
        <v/>
      </c>
      <c r="X201">
        <f>HYPERLINK("https://klasma.github.io/Logging_2361/tillsyn/A 31061-2022 tillsynsbegäran.docx", "A 31061-2022")</f>
        <v/>
      </c>
      <c r="Y201">
        <f>HYPERLINK("https://klasma.github.io/Logging_2361/tillsynsmail/A 31061-2022 tillsynsbegäran mail.docx", "A 31061-2022")</f>
        <v/>
      </c>
    </row>
    <row r="202" ht="15" customHeight="1">
      <c r="A202" t="inlineStr">
        <is>
          <t>A 42214-2022</t>
        </is>
      </c>
      <c r="B202" s="1" t="n">
        <v>44830</v>
      </c>
      <c r="C202" s="1" t="n">
        <v>45743</v>
      </c>
      <c r="D202" t="inlineStr">
        <is>
          <t>JÄMTLANDS LÄN</t>
        </is>
      </c>
      <c r="E202" t="inlineStr">
        <is>
          <t>HÄRJEDALEN</t>
        </is>
      </c>
      <c r="F202" t="inlineStr">
        <is>
          <t>Sveaskog</t>
        </is>
      </c>
      <c r="G202" t="n">
        <v>8.800000000000001</v>
      </c>
      <c r="H202" t="n">
        <v>0</v>
      </c>
      <c r="I202" t="n">
        <v>0</v>
      </c>
      <c r="J202" t="n">
        <v>0</v>
      </c>
      <c r="K202" t="n">
        <v>1</v>
      </c>
      <c r="L202" t="n">
        <v>0</v>
      </c>
      <c r="M202" t="n">
        <v>0</v>
      </c>
      <c r="N202" t="n">
        <v>0</v>
      </c>
      <c r="O202" t="n">
        <v>1</v>
      </c>
      <c r="P202" t="n">
        <v>1</v>
      </c>
      <c r="Q202" t="n">
        <v>1</v>
      </c>
      <c r="R202" s="2" t="inlineStr">
        <is>
          <t>Rynkskinn</t>
        </is>
      </c>
      <c r="S202">
        <f>HYPERLINK("https://klasma.github.io/Logging_2361/artfynd/A 42214-2022 artfynd.xlsx", "A 42214-2022")</f>
        <v/>
      </c>
      <c r="T202">
        <f>HYPERLINK("https://klasma.github.io/Logging_2361/kartor/A 42214-2022 karta.png", "A 42214-2022")</f>
        <v/>
      </c>
      <c r="V202">
        <f>HYPERLINK("https://klasma.github.io/Logging_2361/klagomål/A 42214-2022 FSC-klagomål.docx", "A 42214-2022")</f>
        <v/>
      </c>
      <c r="W202">
        <f>HYPERLINK("https://klasma.github.io/Logging_2361/klagomålsmail/A 42214-2022 FSC-klagomål mail.docx", "A 42214-2022")</f>
        <v/>
      </c>
      <c r="X202">
        <f>HYPERLINK("https://klasma.github.io/Logging_2361/tillsyn/A 42214-2022 tillsynsbegäran.docx", "A 42214-2022")</f>
        <v/>
      </c>
      <c r="Y202">
        <f>HYPERLINK("https://klasma.github.io/Logging_2361/tillsynsmail/A 42214-2022 tillsynsbegäran mail.docx", "A 42214-2022")</f>
        <v/>
      </c>
    </row>
    <row r="203" ht="15" customHeight="1">
      <c r="A203" t="inlineStr">
        <is>
          <t>A 52328-2022</t>
        </is>
      </c>
      <c r="B203" s="1" t="n">
        <v>44873</v>
      </c>
      <c r="C203" s="1" t="n">
        <v>45743</v>
      </c>
      <c r="D203" t="inlineStr">
        <is>
          <t>JÄMTLANDS LÄN</t>
        </is>
      </c>
      <c r="E203" t="inlineStr">
        <is>
          <t>HÄRJEDALEN</t>
        </is>
      </c>
      <c r="G203" t="n">
        <v>30.5</v>
      </c>
      <c r="H203" t="n">
        <v>0</v>
      </c>
      <c r="I203" t="n">
        <v>0</v>
      </c>
      <c r="J203" t="n">
        <v>1</v>
      </c>
      <c r="K203" t="n">
        <v>0</v>
      </c>
      <c r="L203" t="n">
        <v>0</v>
      </c>
      <c r="M203" t="n">
        <v>0</v>
      </c>
      <c r="N203" t="n">
        <v>0</v>
      </c>
      <c r="O203" t="n">
        <v>1</v>
      </c>
      <c r="P203" t="n">
        <v>0</v>
      </c>
      <c r="Q203" t="n">
        <v>1</v>
      </c>
      <c r="R203" s="2" t="inlineStr">
        <is>
          <t>Stjärntagging</t>
        </is>
      </c>
      <c r="S203">
        <f>HYPERLINK("https://klasma.github.io/Logging_2361/artfynd/A 52328-2022 artfynd.xlsx", "A 52328-2022")</f>
        <v/>
      </c>
      <c r="T203">
        <f>HYPERLINK("https://klasma.github.io/Logging_2361/kartor/A 52328-2022 karta.png", "A 52328-2022")</f>
        <v/>
      </c>
      <c r="V203">
        <f>HYPERLINK("https://klasma.github.io/Logging_2361/klagomål/A 52328-2022 FSC-klagomål.docx", "A 52328-2022")</f>
        <v/>
      </c>
      <c r="W203">
        <f>HYPERLINK("https://klasma.github.io/Logging_2361/klagomålsmail/A 52328-2022 FSC-klagomål mail.docx", "A 52328-2022")</f>
        <v/>
      </c>
      <c r="X203">
        <f>HYPERLINK("https://klasma.github.io/Logging_2361/tillsyn/A 52328-2022 tillsynsbegäran.docx", "A 52328-2022")</f>
        <v/>
      </c>
      <c r="Y203">
        <f>HYPERLINK("https://klasma.github.io/Logging_2361/tillsynsmail/A 52328-2022 tillsynsbegäran mail.docx", "A 52328-2022")</f>
        <v/>
      </c>
    </row>
    <row r="204" ht="15" customHeight="1">
      <c r="A204" t="inlineStr">
        <is>
          <t>A 56084-2022</t>
        </is>
      </c>
      <c r="B204" s="1" t="n">
        <v>44886</v>
      </c>
      <c r="C204" s="1" t="n">
        <v>45743</v>
      </c>
      <c r="D204" t="inlineStr">
        <is>
          <t>JÄMTLANDS LÄN</t>
        </is>
      </c>
      <c r="E204" t="inlineStr">
        <is>
          <t>HÄRJEDALEN</t>
        </is>
      </c>
      <c r="F204" t="inlineStr">
        <is>
          <t>Övriga statliga verk och myndigheter</t>
        </is>
      </c>
      <c r="G204" t="n">
        <v>18.6</v>
      </c>
      <c r="H204" t="n">
        <v>0</v>
      </c>
      <c r="I204" t="n">
        <v>0</v>
      </c>
      <c r="J204" t="n">
        <v>1</v>
      </c>
      <c r="K204" t="n">
        <v>0</v>
      </c>
      <c r="L204" t="n">
        <v>0</v>
      </c>
      <c r="M204" t="n">
        <v>0</v>
      </c>
      <c r="N204" t="n">
        <v>0</v>
      </c>
      <c r="O204" t="n">
        <v>1</v>
      </c>
      <c r="P204" t="n">
        <v>0</v>
      </c>
      <c r="Q204" t="n">
        <v>1</v>
      </c>
      <c r="R204" s="2" t="inlineStr">
        <is>
          <t>Dvärgbägarlav</t>
        </is>
      </c>
      <c r="S204">
        <f>HYPERLINK("https://klasma.github.io/Logging_2361/artfynd/A 56084-2022 artfynd.xlsx", "A 56084-2022")</f>
        <v/>
      </c>
      <c r="T204">
        <f>HYPERLINK("https://klasma.github.io/Logging_2361/kartor/A 56084-2022 karta.png", "A 56084-2022")</f>
        <v/>
      </c>
      <c r="V204">
        <f>HYPERLINK("https://klasma.github.io/Logging_2361/klagomål/A 56084-2022 FSC-klagomål.docx", "A 56084-2022")</f>
        <v/>
      </c>
      <c r="W204">
        <f>HYPERLINK("https://klasma.github.io/Logging_2361/klagomålsmail/A 56084-2022 FSC-klagomål mail.docx", "A 56084-2022")</f>
        <v/>
      </c>
      <c r="X204">
        <f>HYPERLINK("https://klasma.github.io/Logging_2361/tillsyn/A 56084-2022 tillsynsbegäran.docx", "A 56084-2022")</f>
        <v/>
      </c>
      <c r="Y204">
        <f>HYPERLINK("https://klasma.github.io/Logging_2361/tillsynsmail/A 56084-2022 tillsynsbegäran mail.docx", "A 56084-2022")</f>
        <v/>
      </c>
    </row>
    <row r="205" ht="15" customHeight="1">
      <c r="A205" t="inlineStr">
        <is>
          <t>A 184-2023</t>
        </is>
      </c>
      <c r="B205" s="1" t="n">
        <v>44928</v>
      </c>
      <c r="C205" s="1" t="n">
        <v>45743</v>
      </c>
      <c r="D205" t="inlineStr">
        <is>
          <t>JÄMTLANDS LÄN</t>
        </is>
      </c>
      <c r="E205" t="inlineStr">
        <is>
          <t>HÄRJEDALEN</t>
        </is>
      </c>
      <c r="F205" t="inlineStr">
        <is>
          <t>Holmen skog AB</t>
        </is>
      </c>
      <c r="G205" t="n">
        <v>7.8</v>
      </c>
      <c r="H205" t="n">
        <v>1</v>
      </c>
      <c r="I205" t="n">
        <v>1</v>
      </c>
      <c r="J205" t="n">
        <v>0</v>
      </c>
      <c r="K205" t="n">
        <v>0</v>
      </c>
      <c r="L205" t="n">
        <v>0</v>
      </c>
      <c r="M205" t="n">
        <v>0</v>
      </c>
      <c r="N205" t="n">
        <v>0</v>
      </c>
      <c r="O205" t="n">
        <v>0</v>
      </c>
      <c r="P205" t="n">
        <v>0</v>
      </c>
      <c r="Q205" t="n">
        <v>1</v>
      </c>
      <c r="R205" s="2" t="inlineStr">
        <is>
          <t>Spindelblomster</t>
        </is>
      </c>
      <c r="S205">
        <f>HYPERLINK("https://klasma.github.io/Logging_2361/artfynd/A 184-2023 artfynd.xlsx", "A 184-2023")</f>
        <v/>
      </c>
      <c r="T205">
        <f>HYPERLINK("https://klasma.github.io/Logging_2361/kartor/A 184-2023 karta.png", "A 184-2023")</f>
        <v/>
      </c>
      <c r="U205">
        <f>HYPERLINK("https://klasma.github.io/Logging_2361/knärot/A 184-2023 karta knärot.png", "A 184-2023")</f>
        <v/>
      </c>
      <c r="V205">
        <f>HYPERLINK("https://klasma.github.io/Logging_2361/klagomål/A 184-2023 FSC-klagomål.docx", "A 184-2023")</f>
        <v/>
      </c>
      <c r="W205">
        <f>HYPERLINK("https://klasma.github.io/Logging_2361/klagomålsmail/A 184-2023 FSC-klagomål mail.docx", "A 184-2023")</f>
        <v/>
      </c>
      <c r="X205">
        <f>HYPERLINK("https://klasma.github.io/Logging_2361/tillsyn/A 184-2023 tillsynsbegäran.docx", "A 184-2023")</f>
        <v/>
      </c>
      <c r="Y205">
        <f>HYPERLINK("https://klasma.github.io/Logging_2361/tillsynsmail/A 184-2023 tillsynsbegäran mail.docx", "A 184-2023")</f>
        <v/>
      </c>
    </row>
    <row r="206" ht="15" customHeight="1">
      <c r="A206" t="inlineStr">
        <is>
          <t>A 30330-2023</t>
        </is>
      </c>
      <c r="B206" s="1" t="n">
        <v>45111</v>
      </c>
      <c r="C206" s="1" t="n">
        <v>45743</v>
      </c>
      <c r="D206" t="inlineStr">
        <is>
          <t>JÄMTLANDS LÄN</t>
        </is>
      </c>
      <c r="E206" t="inlineStr">
        <is>
          <t>HÄRJEDALEN</t>
        </is>
      </c>
      <c r="F206" t="inlineStr">
        <is>
          <t>Bergvik skog väst AB</t>
        </is>
      </c>
      <c r="G206" t="n">
        <v>7.7</v>
      </c>
      <c r="H206" t="n">
        <v>1</v>
      </c>
      <c r="I206" t="n">
        <v>0</v>
      </c>
      <c r="J206" t="n">
        <v>0</v>
      </c>
      <c r="K206" t="n">
        <v>0</v>
      </c>
      <c r="L206" t="n">
        <v>1</v>
      </c>
      <c r="M206" t="n">
        <v>0</v>
      </c>
      <c r="N206" t="n">
        <v>0</v>
      </c>
      <c r="O206" t="n">
        <v>1</v>
      </c>
      <c r="P206" t="n">
        <v>1</v>
      </c>
      <c r="Q206" t="n">
        <v>1</v>
      </c>
      <c r="R206" s="2" t="inlineStr">
        <is>
          <t>Mosippa</t>
        </is>
      </c>
      <c r="S206">
        <f>HYPERLINK("https://klasma.github.io/Logging_2361/artfynd/A 30330-2023 artfynd.xlsx", "A 30330-2023")</f>
        <v/>
      </c>
      <c r="T206">
        <f>HYPERLINK("https://klasma.github.io/Logging_2361/kartor/A 30330-2023 karta.png", "A 30330-2023")</f>
        <v/>
      </c>
      <c r="V206">
        <f>HYPERLINK("https://klasma.github.io/Logging_2361/klagomål/A 30330-2023 FSC-klagomål.docx", "A 30330-2023")</f>
        <v/>
      </c>
      <c r="W206">
        <f>HYPERLINK("https://klasma.github.io/Logging_2361/klagomålsmail/A 30330-2023 FSC-klagomål mail.docx", "A 30330-2023")</f>
        <v/>
      </c>
      <c r="X206">
        <f>HYPERLINK("https://klasma.github.io/Logging_2361/tillsyn/A 30330-2023 tillsynsbegäran.docx", "A 30330-2023")</f>
        <v/>
      </c>
      <c r="Y206">
        <f>HYPERLINK("https://klasma.github.io/Logging_2361/tillsynsmail/A 30330-2023 tillsynsbegäran mail.docx", "A 30330-2023")</f>
        <v/>
      </c>
    </row>
    <row r="207" ht="15" customHeight="1">
      <c r="A207" t="inlineStr">
        <is>
          <t>A 39524-2023</t>
        </is>
      </c>
      <c r="B207" s="1" t="n">
        <v>45167</v>
      </c>
      <c r="C207" s="1" t="n">
        <v>45743</v>
      </c>
      <c r="D207" t="inlineStr">
        <is>
          <t>JÄMTLANDS LÄN</t>
        </is>
      </c>
      <c r="E207" t="inlineStr">
        <is>
          <t>HÄRJEDALEN</t>
        </is>
      </c>
      <c r="F207" t="inlineStr">
        <is>
          <t>Bergvik skog väst AB</t>
        </is>
      </c>
      <c r="G207" t="n">
        <v>4.1</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39524-2023 artfynd.xlsx", "A 39524-2023")</f>
        <v/>
      </c>
      <c r="T207">
        <f>HYPERLINK("https://klasma.github.io/Logging_2361/kartor/A 39524-2023 karta.png", "A 39524-2023")</f>
        <v/>
      </c>
      <c r="V207">
        <f>HYPERLINK("https://klasma.github.io/Logging_2361/klagomål/A 39524-2023 FSC-klagomål.docx", "A 39524-2023")</f>
        <v/>
      </c>
      <c r="W207">
        <f>HYPERLINK("https://klasma.github.io/Logging_2361/klagomålsmail/A 39524-2023 FSC-klagomål mail.docx", "A 39524-2023")</f>
        <v/>
      </c>
      <c r="X207">
        <f>HYPERLINK("https://klasma.github.io/Logging_2361/tillsyn/A 39524-2023 tillsynsbegäran.docx", "A 39524-2023")</f>
        <v/>
      </c>
      <c r="Y207">
        <f>HYPERLINK("https://klasma.github.io/Logging_2361/tillsynsmail/A 39524-2023 tillsynsbegäran mail.docx", "A 39524-2023")</f>
        <v/>
      </c>
      <c r="Z207">
        <f>HYPERLINK("https://klasma.github.io/Logging_2361/fåglar/A 39524-2023 prioriterade fågelarter.docx", "A 39524-2023")</f>
        <v/>
      </c>
    </row>
    <row r="208" ht="15" customHeight="1">
      <c r="A208" t="inlineStr">
        <is>
          <t>A 50470-2023</t>
        </is>
      </c>
      <c r="B208" s="1" t="n">
        <v>45216</v>
      </c>
      <c r="C208" s="1" t="n">
        <v>45743</v>
      </c>
      <c r="D208" t="inlineStr">
        <is>
          <t>JÄMTLANDS LÄN</t>
        </is>
      </c>
      <c r="E208" t="inlineStr">
        <is>
          <t>HÄRJEDALEN</t>
        </is>
      </c>
      <c r="F208" t="inlineStr">
        <is>
          <t>Sveaskog</t>
        </is>
      </c>
      <c r="G208" t="n">
        <v>3.5</v>
      </c>
      <c r="H208" t="n">
        <v>0</v>
      </c>
      <c r="I208" t="n">
        <v>0</v>
      </c>
      <c r="J208" t="n">
        <v>0</v>
      </c>
      <c r="K208" t="n">
        <v>1</v>
      </c>
      <c r="L208" t="n">
        <v>0</v>
      </c>
      <c r="M208" t="n">
        <v>0</v>
      </c>
      <c r="N208" t="n">
        <v>0</v>
      </c>
      <c r="O208" t="n">
        <v>1</v>
      </c>
      <c r="P208" t="n">
        <v>1</v>
      </c>
      <c r="Q208" t="n">
        <v>1</v>
      </c>
      <c r="R208" s="2" t="inlineStr">
        <is>
          <t>Gräddporing</t>
        </is>
      </c>
      <c r="S208">
        <f>HYPERLINK("https://klasma.github.io/Logging_2361/artfynd/A 50470-2023 artfynd.xlsx", "A 50470-2023")</f>
        <v/>
      </c>
      <c r="T208">
        <f>HYPERLINK("https://klasma.github.io/Logging_2361/kartor/A 50470-2023 karta.png", "A 50470-2023")</f>
        <v/>
      </c>
      <c r="V208">
        <f>HYPERLINK("https://klasma.github.io/Logging_2361/klagomål/A 50470-2023 FSC-klagomål.docx", "A 50470-2023")</f>
        <v/>
      </c>
      <c r="W208">
        <f>HYPERLINK("https://klasma.github.io/Logging_2361/klagomålsmail/A 50470-2023 FSC-klagomål mail.docx", "A 50470-2023")</f>
        <v/>
      </c>
      <c r="X208">
        <f>HYPERLINK("https://klasma.github.io/Logging_2361/tillsyn/A 50470-2023 tillsynsbegäran.docx", "A 50470-2023")</f>
        <v/>
      </c>
      <c r="Y208">
        <f>HYPERLINK("https://klasma.github.io/Logging_2361/tillsynsmail/A 50470-2023 tillsynsbegäran mail.docx", "A 50470-2023")</f>
        <v/>
      </c>
    </row>
    <row r="209" ht="15" customHeight="1">
      <c r="A209" t="inlineStr">
        <is>
          <t>A 51414-2023</t>
        </is>
      </c>
      <c r="B209" s="1" t="n">
        <v>45219</v>
      </c>
      <c r="C209" s="1" t="n">
        <v>45743</v>
      </c>
      <c r="D209" t="inlineStr">
        <is>
          <t>JÄMTLANDS LÄN</t>
        </is>
      </c>
      <c r="E209" t="inlineStr">
        <is>
          <t>HÄRJEDALEN</t>
        </is>
      </c>
      <c r="F209" t="inlineStr">
        <is>
          <t>Sveaskog</t>
        </is>
      </c>
      <c r="G209" t="n">
        <v>3.9</v>
      </c>
      <c r="H209" t="n">
        <v>0</v>
      </c>
      <c r="I209" t="n">
        <v>0</v>
      </c>
      <c r="J209" t="n">
        <v>1</v>
      </c>
      <c r="K209" t="n">
        <v>0</v>
      </c>
      <c r="L209" t="n">
        <v>0</v>
      </c>
      <c r="M209" t="n">
        <v>0</v>
      </c>
      <c r="N209" t="n">
        <v>0</v>
      </c>
      <c r="O209" t="n">
        <v>1</v>
      </c>
      <c r="P209" t="n">
        <v>0</v>
      </c>
      <c r="Q209" t="n">
        <v>1</v>
      </c>
      <c r="R209" s="2" t="inlineStr">
        <is>
          <t>Lunglav</t>
        </is>
      </c>
      <c r="S209">
        <f>HYPERLINK("https://klasma.github.io/Logging_2361/artfynd/A 51414-2023 artfynd.xlsx", "A 51414-2023")</f>
        <v/>
      </c>
      <c r="T209">
        <f>HYPERLINK("https://klasma.github.io/Logging_2361/kartor/A 51414-2023 karta.png", "A 51414-2023")</f>
        <v/>
      </c>
      <c r="V209">
        <f>HYPERLINK("https://klasma.github.io/Logging_2361/klagomål/A 51414-2023 FSC-klagomål.docx", "A 51414-2023")</f>
        <v/>
      </c>
      <c r="W209">
        <f>HYPERLINK("https://klasma.github.io/Logging_2361/klagomålsmail/A 51414-2023 FSC-klagomål mail.docx", "A 51414-2023")</f>
        <v/>
      </c>
      <c r="X209">
        <f>HYPERLINK("https://klasma.github.io/Logging_2361/tillsyn/A 51414-2023 tillsynsbegäran.docx", "A 51414-2023")</f>
        <v/>
      </c>
      <c r="Y209">
        <f>HYPERLINK("https://klasma.github.io/Logging_2361/tillsynsmail/A 51414-2023 tillsynsbegäran mail.docx", "A 51414-2023")</f>
        <v/>
      </c>
    </row>
    <row r="210" ht="15" customHeight="1">
      <c r="A210" t="inlineStr">
        <is>
          <t>A 62539-2023</t>
        </is>
      </c>
      <c r="B210" s="1" t="n">
        <v>45268</v>
      </c>
      <c r="C210" s="1" t="n">
        <v>45743</v>
      </c>
      <c r="D210" t="inlineStr">
        <is>
          <t>JÄMTLANDS LÄN</t>
        </is>
      </c>
      <c r="E210" t="inlineStr">
        <is>
          <t>HÄRJEDALEN</t>
        </is>
      </c>
      <c r="G210" t="n">
        <v>7.6</v>
      </c>
      <c r="H210" t="n">
        <v>1</v>
      </c>
      <c r="I210" t="n">
        <v>0</v>
      </c>
      <c r="J210" t="n">
        <v>1</v>
      </c>
      <c r="K210" t="n">
        <v>0</v>
      </c>
      <c r="L210" t="n">
        <v>0</v>
      </c>
      <c r="M210" t="n">
        <v>0</v>
      </c>
      <c r="N210" t="n">
        <v>0</v>
      </c>
      <c r="O210" t="n">
        <v>1</v>
      </c>
      <c r="P210" t="n">
        <v>0</v>
      </c>
      <c r="Q210" t="n">
        <v>1</v>
      </c>
      <c r="R210" s="2" t="inlineStr">
        <is>
          <t>Talltita</t>
        </is>
      </c>
      <c r="S210">
        <f>HYPERLINK("https://klasma.github.io/Logging_2361/artfynd/A 62539-2023 artfynd.xlsx", "A 62539-2023")</f>
        <v/>
      </c>
      <c r="T210">
        <f>HYPERLINK("https://klasma.github.io/Logging_2361/kartor/A 62539-2023 karta.png", "A 62539-2023")</f>
        <v/>
      </c>
      <c r="V210">
        <f>HYPERLINK("https://klasma.github.io/Logging_2361/klagomål/A 62539-2023 FSC-klagomål.docx", "A 62539-2023")</f>
        <v/>
      </c>
      <c r="W210">
        <f>HYPERLINK("https://klasma.github.io/Logging_2361/klagomålsmail/A 62539-2023 FSC-klagomål mail.docx", "A 62539-2023")</f>
        <v/>
      </c>
      <c r="X210">
        <f>HYPERLINK("https://klasma.github.io/Logging_2361/tillsyn/A 62539-2023 tillsynsbegäran.docx", "A 62539-2023")</f>
        <v/>
      </c>
      <c r="Y210">
        <f>HYPERLINK("https://klasma.github.io/Logging_2361/tillsynsmail/A 62539-2023 tillsynsbegäran mail.docx", "A 62539-2023")</f>
        <v/>
      </c>
      <c r="Z210">
        <f>HYPERLINK("https://klasma.github.io/Logging_2361/fåglar/A 62539-2023 prioriterade fågelarter.docx", "A 62539-2023")</f>
        <v/>
      </c>
    </row>
    <row r="211" ht="15" customHeight="1">
      <c r="A211" t="inlineStr">
        <is>
          <t>A 63659-2023</t>
        </is>
      </c>
      <c r="B211" s="1" t="n">
        <v>45275</v>
      </c>
      <c r="C211" s="1" t="n">
        <v>45743</v>
      </c>
      <c r="D211" t="inlineStr">
        <is>
          <t>JÄMTLANDS LÄN</t>
        </is>
      </c>
      <c r="E211" t="inlineStr">
        <is>
          <t>HÄRJEDALEN</t>
        </is>
      </c>
      <c r="G211" t="n">
        <v>11.7</v>
      </c>
      <c r="H211" t="n">
        <v>0</v>
      </c>
      <c r="I211" t="n">
        <v>0</v>
      </c>
      <c r="J211" t="n">
        <v>1</v>
      </c>
      <c r="K211" t="n">
        <v>0</v>
      </c>
      <c r="L211" t="n">
        <v>0</v>
      </c>
      <c r="M211" t="n">
        <v>0</v>
      </c>
      <c r="N211" t="n">
        <v>0</v>
      </c>
      <c r="O211" t="n">
        <v>1</v>
      </c>
      <c r="P211" t="n">
        <v>0</v>
      </c>
      <c r="Q211" t="n">
        <v>1</v>
      </c>
      <c r="R211" s="2" t="inlineStr">
        <is>
          <t>Lunglav</t>
        </is>
      </c>
      <c r="S211">
        <f>HYPERLINK("https://klasma.github.io/Logging_2361/artfynd/A 63659-2023 artfynd.xlsx", "A 63659-2023")</f>
        <v/>
      </c>
      <c r="T211">
        <f>HYPERLINK("https://klasma.github.io/Logging_2361/kartor/A 63659-2023 karta.png", "A 63659-2023")</f>
        <v/>
      </c>
      <c r="V211">
        <f>HYPERLINK("https://klasma.github.io/Logging_2361/klagomål/A 63659-2023 FSC-klagomål.docx", "A 63659-2023")</f>
        <v/>
      </c>
      <c r="W211">
        <f>HYPERLINK("https://klasma.github.io/Logging_2361/klagomålsmail/A 63659-2023 FSC-klagomål mail.docx", "A 63659-2023")</f>
        <v/>
      </c>
      <c r="X211">
        <f>HYPERLINK("https://klasma.github.io/Logging_2361/tillsyn/A 63659-2023 tillsynsbegäran.docx", "A 63659-2023")</f>
        <v/>
      </c>
      <c r="Y211">
        <f>HYPERLINK("https://klasma.github.io/Logging_2361/tillsynsmail/A 63659-2023 tillsynsbegäran mail.docx", "A 63659-2023")</f>
        <v/>
      </c>
    </row>
    <row r="212" ht="15" customHeight="1">
      <c r="A212" t="inlineStr">
        <is>
          <t>A 3593-2024</t>
        </is>
      </c>
      <c r="B212" s="1" t="n">
        <v>45320</v>
      </c>
      <c r="C212" s="1" t="n">
        <v>45743</v>
      </c>
      <c r="D212" t="inlineStr">
        <is>
          <t>JÄMTLANDS LÄN</t>
        </is>
      </c>
      <c r="E212" t="inlineStr">
        <is>
          <t>HÄRJEDALEN</t>
        </is>
      </c>
      <c r="G212" t="n">
        <v>15.1</v>
      </c>
      <c r="H212" t="n">
        <v>0</v>
      </c>
      <c r="I212" t="n">
        <v>0</v>
      </c>
      <c r="J212" t="n">
        <v>1</v>
      </c>
      <c r="K212" t="n">
        <v>0</v>
      </c>
      <c r="L212" t="n">
        <v>0</v>
      </c>
      <c r="M212" t="n">
        <v>0</v>
      </c>
      <c r="N212" t="n">
        <v>0</v>
      </c>
      <c r="O212" t="n">
        <v>1</v>
      </c>
      <c r="P212" t="n">
        <v>0</v>
      </c>
      <c r="Q212" t="n">
        <v>1</v>
      </c>
      <c r="R212" s="2" t="inlineStr">
        <is>
          <t>Nordtagging</t>
        </is>
      </c>
      <c r="S212">
        <f>HYPERLINK("https://klasma.github.io/Logging_2361/artfynd/A 3593-2024 artfynd.xlsx", "A 3593-2024")</f>
        <v/>
      </c>
      <c r="T212">
        <f>HYPERLINK("https://klasma.github.io/Logging_2361/kartor/A 3593-2024 karta.png", "A 3593-2024")</f>
        <v/>
      </c>
      <c r="V212">
        <f>HYPERLINK("https://klasma.github.io/Logging_2361/klagomål/A 3593-2024 FSC-klagomål.docx", "A 3593-2024")</f>
        <v/>
      </c>
      <c r="W212">
        <f>HYPERLINK("https://klasma.github.io/Logging_2361/klagomålsmail/A 3593-2024 FSC-klagomål mail.docx", "A 3593-2024")</f>
        <v/>
      </c>
      <c r="X212">
        <f>HYPERLINK("https://klasma.github.io/Logging_2361/tillsyn/A 3593-2024 tillsynsbegäran.docx", "A 3593-2024")</f>
        <v/>
      </c>
      <c r="Y212">
        <f>HYPERLINK("https://klasma.github.io/Logging_2361/tillsynsmail/A 3593-2024 tillsynsbegäran mail.docx", "A 3593-2024")</f>
        <v/>
      </c>
    </row>
    <row r="213" ht="15" customHeight="1">
      <c r="A213" t="inlineStr">
        <is>
          <t>A 7327-2024</t>
        </is>
      </c>
      <c r="B213" s="1" t="n">
        <v>45345</v>
      </c>
      <c r="C213" s="1" t="n">
        <v>45743</v>
      </c>
      <c r="D213" t="inlineStr">
        <is>
          <t>JÄMTLANDS LÄN</t>
        </is>
      </c>
      <c r="E213" t="inlineStr">
        <is>
          <t>HÄRJEDALEN</t>
        </is>
      </c>
      <c r="F213" t="inlineStr">
        <is>
          <t>Sveaskog</t>
        </is>
      </c>
      <c r="G213" t="n">
        <v>0.3</v>
      </c>
      <c r="H213" t="n">
        <v>0</v>
      </c>
      <c r="I213" t="n">
        <v>0</v>
      </c>
      <c r="J213" t="n">
        <v>1</v>
      </c>
      <c r="K213" t="n">
        <v>0</v>
      </c>
      <c r="L213" t="n">
        <v>0</v>
      </c>
      <c r="M213" t="n">
        <v>0</v>
      </c>
      <c r="N213" t="n">
        <v>0</v>
      </c>
      <c r="O213" t="n">
        <v>1</v>
      </c>
      <c r="P213" t="n">
        <v>0</v>
      </c>
      <c r="Q213" t="n">
        <v>1</v>
      </c>
      <c r="R213" s="2" t="inlineStr">
        <is>
          <t>Kolflarnlav</t>
        </is>
      </c>
      <c r="S213">
        <f>HYPERLINK("https://klasma.github.io/Logging_2361/artfynd/A 7327-2024 artfynd.xlsx", "A 7327-2024")</f>
        <v/>
      </c>
      <c r="T213">
        <f>HYPERLINK("https://klasma.github.io/Logging_2361/kartor/A 7327-2024 karta.png", "A 7327-2024")</f>
        <v/>
      </c>
      <c r="V213">
        <f>HYPERLINK("https://klasma.github.io/Logging_2361/klagomål/A 7327-2024 FSC-klagomål.docx", "A 7327-2024")</f>
        <v/>
      </c>
      <c r="W213">
        <f>HYPERLINK("https://klasma.github.io/Logging_2361/klagomålsmail/A 7327-2024 FSC-klagomål mail.docx", "A 7327-2024")</f>
        <v/>
      </c>
      <c r="X213">
        <f>HYPERLINK("https://klasma.github.io/Logging_2361/tillsyn/A 7327-2024 tillsynsbegäran.docx", "A 7327-2024")</f>
        <v/>
      </c>
      <c r="Y213">
        <f>HYPERLINK("https://klasma.github.io/Logging_2361/tillsynsmail/A 7327-2024 tillsynsbegäran mail.docx", "A 7327-2024")</f>
        <v/>
      </c>
    </row>
    <row r="214" ht="15" customHeight="1">
      <c r="A214" t="inlineStr">
        <is>
          <t>A 16471-2024</t>
        </is>
      </c>
      <c r="B214" s="1" t="n">
        <v>45408</v>
      </c>
      <c r="C214" s="1" t="n">
        <v>45743</v>
      </c>
      <c r="D214" t="inlineStr">
        <is>
          <t>JÄMTLANDS LÄN</t>
        </is>
      </c>
      <c r="E214" t="inlineStr">
        <is>
          <t>HÄRJEDALEN</t>
        </is>
      </c>
      <c r="G214" t="n">
        <v>31.7</v>
      </c>
      <c r="H214" t="n">
        <v>0</v>
      </c>
      <c r="I214" t="n">
        <v>0</v>
      </c>
      <c r="J214" t="n">
        <v>0</v>
      </c>
      <c r="K214" t="n">
        <v>0</v>
      </c>
      <c r="L214" t="n">
        <v>0</v>
      </c>
      <c r="M214" t="n">
        <v>1</v>
      </c>
      <c r="N214" t="n">
        <v>0</v>
      </c>
      <c r="O214" t="n">
        <v>1</v>
      </c>
      <c r="P214" t="n">
        <v>1</v>
      </c>
      <c r="Q214" t="n">
        <v>1</v>
      </c>
      <c r="R214" s="2" t="inlineStr">
        <is>
          <t>Limbergsfibbla</t>
        </is>
      </c>
      <c r="S214">
        <f>HYPERLINK("https://klasma.github.io/Logging_2361/artfynd/A 16471-2024 artfynd.xlsx", "A 16471-2024")</f>
        <v/>
      </c>
      <c r="T214">
        <f>HYPERLINK("https://klasma.github.io/Logging_2361/kartor/A 16471-2024 karta.png", "A 16471-2024")</f>
        <v/>
      </c>
      <c r="V214">
        <f>HYPERLINK("https://klasma.github.io/Logging_2361/klagomål/A 16471-2024 FSC-klagomål.docx", "A 16471-2024")</f>
        <v/>
      </c>
      <c r="W214">
        <f>HYPERLINK("https://klasma.github.io/Logging_2361/klagomålsmail/A 16471-2024 FSC-klagomål mail.docx", "A 16471-2024")</f>
        <v/>
      </c>
      <c r="X214">
        <f>HYPERLINK("https://klasma.github.io/Logging_2361/tillsyn/A 16471-2024 tillsynsbegäran.docx", "A 16471-2024")</f>
        <v/>
      </c>
      <c r="Y214">
        <f>HYPERLINK("https://klasma.github.io/Logging_2361/tillsynsmail/A 16471-2024 tillsynsbegäran mail.docx", "A 16471-2024")</f>
        <v/>
      </c>
    </row>
    <row r="215" ht="15" customHeight="1">
      <c r="A215" t="inlineStr">
        <is>
          <t>A 23680-2024</t>
        </is>
      </c>
      <c r="B215" s="1" t="n">
        <v>45454</v>
      </c>
      <c r="C215" s="1" t="n">
        <v>45743</v>
      </c>
      <c r="D215" t="inlineStr">
        <is>
          <t>JÄMTLANDS LÄN</t>
        </is>
      </c>
      <c r="E215" t="inlineStr">
        <is>
          <t>HÄRJEDALEN</t>
        </is>
      </c>
      <c r="G215" t="n">
        <v>3.9</v>
      </c>
      <c r="H215" t="n">
        <v>0</v>
      </c>
      <c r="I215" t="n">
        <v>1</v>
      </c>
      <c r="J215" t="n">
        <v>0</v>
      </c>
      <c r="K215" t="n">
        <v>0</v>
      </c>
      <c r="L215" t="n">
        <v>0</v>
      </c>
      <c r="M215" t="n">
        <v>0</v>
      </c>
      <c r="N215" t="n">
        <v>0</v>
      </c>
      <c r="O215" t="n">
        <v>0</v>
      </c>
      <c r="P215" t="n">
        <v>0</v>
      </c>
      <c r="Q215" t="n">
        <v>1</v>
      </c>
      <c r="R215" s="2" t="inlineStr">
        <is>
          <t>Ögonpyrola</t>
        </is>
      </c>
      <c r="S215">
        <f>HYPERLINK("https://klasma.github.io/Logging_2361/artfynd/A 23680-2024 artfynd.xlsx", "A 23680-2024")</f>
        <v/>
      </c>
      <c r="T215">
        <f>HYPERLINK("https://klasma.github.io/Logging_2361/kartor/A 23680-2024 karta.png", "A 23680-2024")</f>
        <v/>
      </c>
      <c r="V215">
        <f>HYPERLINK("https://klasma.github.io/Logging_2361/klagomål/A 23680-2024 FSC-klagomål.docx", "A 23680-2024")</f>
        <v/>
      </c>
      <c r="W215">
        <f>HYPERLINK("https://klasma.github.io/Logging_2361/klagomålsmail/A 23680-2024 FSC-klagomål mail.docx", "A 23680-2024")</f>
        <v/>
      </c>
      <c r="X215">
        <f>HYPERLINK("https://klasma.github.io/Logging_2361/tillsyn/A 23680-2024 tillsynsbegäran.docx", "A 23680-2024")</f>
        <v/>
      </c>
      <c r="Y215">
        <f>HYPERLINK("https://klasma.github.io/Logging_2361/tillsynsmail/A 23680-2024 tillsynsbegäran mail.docx", "A 23680-2024")</f>
        <v/>
      </c>
    </row>
    <row r="216" ht="15" customHeight="1">
      <c r="A216" t="inlineStr">
        <is>
          <t>A 24254-2024</t>
        </is>
      </c>
      <c r="B216" s="1" t="n">
        <v>45457</v>
      </c>
      <c r="C216" s="1" t="n">
        <v>45743</v>
      </c>
      <c r="D216" t="inlineStr">
        <is>
          <t>JÄMTLANDS LÄN</t>
        </is>
      </c>
      <c r="E216" t="inlineStr">
        <is>
          <t>HÄRJEDALEN</t>
        </is>
      </c>
      <c r="F216" t="inlineStr">
        <is>
          <t>Sveaskog</t>
        </is>
      </c>
      <c r="G216" t="n">
        <v>6</v>
      </c>
      <c r="H216" t="n">
        <v>0</v>
      </c>
      <c r="I216" t="n">
        <v>0</v>
      </c>
      <c r="J216" t="n">
        <v>1</v>
      </c>
      <c r="K216" t="n">
        <v>0</v>
      </c>
      <c r="L216" t="n">
        <v>0</v>
      </c>
      <c r="M216" t="n">
        <v>0</v>
      </c>
      <c r="N216" t="n">
        <v>0</v>
      </c>
      <c r="O216" t="n">
        <v>1</v>
      </c>
      <c r="P216" t="n">
        <v>0</v>
      </c>
      <c r="Q216" t="n">
        <v>1</v>
      </c>
      <c r="R216" s="2" t="inlineStr">
        <is>
          <t>Kolflarnlav</t>
        </is>
      </c>
      <c r="S216">
        <f>HYPERLINK("https://klasma.github.io/Logging_2361/artfynd/A 24254-2024 artfynd.xlsx", "A 24254-2024")</f>
        <v/>
      </c>
      <c r="T216">
        <f>HYPERLINK("https://klasma.github.io/Logging_2361/kartor/A 24254-2024 karta.png", "A 24254-2024")</f>
        <v/>
      </c>
      <c r="V216">
        <f>HYPERLINK("https://klasma.github.io/Logging_2361/klagomål/A 24254-2024 FSC-klagomål.docx", "A 24254-2024")</f>
        <v/>
      </c>
      <c r="W216">
        <f>HYPERLINK("https://klasma.github.io/Logging_2361/klagomålsmail/A 24254-2024 FSC-klagomål mail.docx", "A 24254-2024")</f>
        <v/>
      </c>
      <c r="X216">
        <f>HYPERLINK("https://klasma.github.io/Logging_2361/tillsyn/A 24254-2024 tillsynsbegäran.docx", "A 24254-2024")</f>
        <v/>
      </c>
      <c r="Y216">
        <f>HYPERLINK("https://klasma.github.io/Logging_2361/tillsynsmail/A 24254-2024 tillsynsbegäran mail.docx", "A 24254-2024")</f>
        <v/>
      </c>
    </row>
    <row r="217" ht="15" customHeight="1">
      <c r="A217" t="inlineStr">
        <is>
          <t>A 24249-2024</t>
        </is>
      </c>
      <c r="B217" s="1" t="n">
        <v>45457</v>
      </c>
      <c r="C217" s="1" t="n">
        <v>45743</v>
      </c>
      <c r="D217" t="inlineStr">
        <is>
          <t>JÄMTLANDS LÄN</t>
        </is>
      </c>
      <c r="E217" t="inlineStr">
        <is>
          <t>HÄRJEDALEN</t>
        </is>
      </c>
      <c r="F217" t="inlineStr">
        <is>
          <t>Sveaskog</t>
        </is>
      </c>
      <c r="G217" t="n">
        <v>15.1</v>
      </c>
      <c r="H217" t="n">
        <v>0</v>
      </c>
      <c r="I217" t="n">
        <v>0</v>
      </c>
      <c r="J217" t="n">
        <v>1</v>
      </c>
      <c r="K217" t="n">
        <v>0</v>
      </c>
      <c r="L217" t="n">
        <v>0</v>
      </c>
      <c r="M217" t="n">
        <v>0</v>
      </c>
      <c r="N217" t="n">
        <v>0</v>
      </c>
      <c r="O217" t="n">
        <v>1</v>
      </c>
      <c r="P217" t="n">
        <v>0</v>
      </c>
      <c r="Q217" t="n">
        <v>1</v>
      </c>
      <c r="R217" s="2" t="inlineStr">
        <is>
          <t>Garnlav</t>
        </is>
      </c>
      <c r="S217">
        <f>HYPERLINK("https://klasma.github.io/Logging_2361/artfynd/A 24249-2024 artfynd.xlsx", "A 24249-2024")</f>
        <v/>
      </c>
      <c r="T217">
        <f>HYPERLINK("https://klasma.github.io/Logging_2361/kartor/A 24249-2024 karta.png", "A 24249-2024")</f>
        <v/>
      </c>
      <c r="V217">
        <f>HYPERLINK("https://klasma.github.io/Logging_2361/klagomål/A 24249-2024 FSC-klagomål.docx", "A 24249-2024")</f>
        <v/>
      </c>
      <c r="W217">
        <f>HYPERLINK("https://klasma.github.io/Logging_2361/klagomålsmail/A 24249-2024 FSC-klagomål mail.docx", "A 24249-2024")</f>
        <v/>
      </c>
      <c r="X217">
        <f>HYPERLINK("https://klasma.github.io/Logging_2361/tillsyn/A 24249-2024 tillsynsbegäran.docx", "A 24249-2024")</f>
        <v/>
      </c>
      <c r="Y217">
        <f>HYPERLINK("https://klasma.github.io/Logging_2361/tillsynsmail/A 24249-2024 tillsynsbegäran mail.docx", "A 24249-2024")</f>
        <v/>
      </c>
    </row>
    <row r="218" ht="15" customHeight="1">
      <c r="A218" t="inlineStr">
        <is>
          <t>A 24251-2024</t>
        </is>
      </c>
      <c r="B218" s="1" t="n">
        <v>45457</v>
      </c>
      <c r="C218" s="1" t="n">
        <v>45743</v>
      </c>
      <c r="D218" t="inlineStr">
        <is>
          <t>JÄMTLANDS LÄN</t>
        </is>
      </c>
      <c r="E218" t="inlineStr">
        <is>
          <t>HÄRJEDALEN</t>
        </is>
      </c>
      <c r="F218" t="inlineStr">
        <is>
          <t>Sveaskog</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HYPERLINK("https://klasma.github.io/Logging_2361/artfynd/A 24251-2024 artfynd.xlsx", "A 24251-2024")</f>
        <v/>
      </c>
      <c r="T218">
        <f>HYPERLINK("https://klasma.github.io/Logging_2361/kartor/A 24251-2024 karta.png", "A 24251-2024")</f>
        <v/>
      </c>
      <c r="V218">
        <f>HYPERLINK("https://klasma.github.io/Logging_2361/klagomål/A 24251-2024 FSC-klagomål.docx", "A 24251-2024")</f>
        <v/>
      </c>
      <c r="W218">
        <f>HYPERLINK("https://klasma.github.io/Logging_2361/klagomålsmail/A 24251-2024 FSC-klagomål mail.docx", "A 24251-2024")</f>
        <v/>
      </c>
      <c r="X218">
        <f>HYPERLINK("https://klasma.github.io/Logging_2361/tillsyn/A 24251-2024 tillsynsbegäran.docx", "A 24251-2024")</f>
        <v/>
      </c>
      <c r="Y218">
        <f>HYPERLINK("https://klasma.github.io/Logging_2361/tillsynsmail/A 24251-2024 tillsynsbegäran mail.docx", "A 24251-2024")</f>
        <v/>
      </c>
    </row>
    <row r="219" ht="15" customHeight="1">
      <c r="A219" t="inlineStr">
        <is>
          <t>A 25942-2024</t>
        </is>
      </c>
      <c r="B219" s="1" t="n">
        <v>45467</v>
      </c>
      <c r="C219" s="1" t="n">
        <v>45743</v>
      </c>
      <c r="D219" t="inlineStr">
        <is>
          <t>JÄMTLANDS LÄN</t>
        </is>
      </c>
      <c r="E219" t="inlineStr">
        <is>
          <t>HÄRJEDALEN</t>
        </is>
      </c>
      <c r="F219" t="inlineStr">
        <is>
          <t>Sveaskog</t>
        </is>
      </c>
      <c r="G219" t="n">
        <v>6.4</v>
      </c>
      <c r="H219" t="n">
        <v>0</v>
      </c>
      <c r="I219" t="n">
        <v>0</v>
      </c>
      <c r="J219" t="n">
        <v>1</v>
      </c>
      <c r="K219" t="n">
        <v>0</v>
      </c>
      <c r="L219" t="n">
        <v>0</v>
      </c>
      <c r="M219" t="n">
        <v>0</v>
      </c>
      <c r="N219" t="n">
        <v>0</v>
      </c>
      <c r="O219" t="n">
        <v>1</v>
      </c>
      <c r="P219" t="n">
        <v>0</v>
      </c>
      <c r="Q219" t="n">
        <v>1</v>
      </c>
      <c r="R219" s="2" t="inlineStr">
        <is>
          <t>Lunglav</t>
        </is>
      </c>
      <c r="S219">
        <f>HYPERLINK("https://klasma.github.io/Logging_2361/artfynd/A 25942-2024 artfynd.xlsx", "A 25942-2024")</f>
        <v/>
      </c>
      <c r="T219">
        <f>HYPERLINK("https://klasma.github.io/Logging_2361/kartor/A 25942-2024 karta.png", "A 25942-2024")</f>
        <v/>
      </c>
      <c r="V219">
        <f>HYPERLINK("https://klasma.github.io/Logging_2361/klagomål/A 25942-2024 FSC-klagomål.docx", "A 25942-2024")</f>
        <v/>
      </c>
      <c r="W219">
        <f>HYPERLINK("https://klasma.github.io/Logging_2361/klagomålsmail/A 25942-2024 FSC-klagomål mail.docx", "A 25942-2024")</f>
        <v/>
      </c>
      <c r="X219">
        <f>HYPERLINK("https://klasma.github.io/Logging_2361/tillsyn/A 25942-2024 tillsynsbegäran.docx", "A 25942-2024")</f>
        <v/>
      </c>
      <c r="Y219">
        <f>HYPERLINK("https://klasma.github.io/Logging_2361/tillsynsmail/A 25942-2024 tillsynsbegäran mail.docx", "A 25942-2024")</f>
        <v/>
      </c>
    </row>
    <row r="220" ht="15" customHeight="1">
      <c r="A220" t="inlineStr">
        <is>
          <t>A 28629-2024</t>
        </is>
      </c>
      <c r="B220" s="1" t="n">
        <v>45478</v>
      </c>
      <c r="C220" s="1" t="n">
        <v>45743</v>
      </c>
      <c r="D220" t="inlineStr">
        <is>
          <t>JÄMTLANDS LÄN</t>
        </is>
      </c>
      <c r="E220" t="inlineStr">
        <is>
          <t>HÄRJEDALEN</t>
        </is>
      </c>
      <c r="G220" t="n">
        <v>8.699999999999999</v>
      </c>
      <c r="H220" t="n">
        <v>1</v>
      </c>
      <c r="I220" t="n">
        <v>0</v>
      </c>
      <c r="J220" t="n">
        <v>0</v>
      </c>
      <c r="K220" t="n">
        <v>0</v>
      </c>
      <c r="L220" t="n">
        <v>1</v>
      </c>
      <c r="M220" t="n">
        <v>0</v>
      </c>
      <c r="N220" t="n">
        <v>0</v>
      </c>
      <c r="O220" t="n">
        <v>1</v>
      </c>
      <c r="P220" t="n">
        <v>1</v>
      </c>
      <c r="Q220" t="n">
        <v>1</v>
      </c>
      <c r="R220" s="2" t="inlineStr">
        <is>
          <t>Mosippa</t>
        </is>
      </c>
      <c r="S220">
        <f>HYPERLINK("https://klasma.github.io/Logging_2361/artfynd/A 28629-2024 artfynd.xlsx", "A 28629-2024")</f>
        <v/>
      </c>
      <c r="T220">
        <f>HYPERLINK("https://klasma.github.io/Logging_2361/kartor/A 28629-2024 karta.png", "A 28629-2024")</f>
        <v/>
      </c>
      <c r="V220">
        <f>HYPERLINK("https://klasma.github.io/Logging_2361/klagomål/A 28629-2024 FSC-klagomål.docx", "A 28629-2024")</f>
        <v/>
      </c>
      <c r="W220">
        <f>HYPERLINK("https://klasma.github.io/Logging_2361/klagomålsmail/A 28629-2024 FSC-klagomål mail.docx", "A 28629-2024")</f>
        <v/>
      </c>
      <c r="X220">
        <f>HYPERLINK("https://klasma.github.io/Logging_2361/tillsyn/A 28629-2024 tillsynsbegäran.docx", "A 28629-2024")</f>
        <v/>
      </c>
      <c r="Y220">
        <f>HYPERLINK("https://klasma.github.io/Logging_2361/tillsynsmail/A 28629-2024 tillsynsbegäran mail.docx", "A 28629-2024")</f>
        <v/>
      </c>
    </row>
    <row r="221" ht="15" customHeight="1">
      <c r="A221" t="inlineStr">
        <is>
          <t>A 31607-2024</t>
        </is>
      </c>
      <c r="B221" s="1" t="n">
        <v>45506</v>
      </c>
      <c r="C221" s="1" t="n">
        <v>45743</v>
      </c>
      <c r="D221" t="inlineStr">
        <is>
          <t>JÄMTLANDS LÄN</t>
        </is>
      </c>
      <c r="E221" t="inlineStr">
        <is>
          <t>HÄRJEDALEN</t>
        </is>
      </c>
      <c r="F221" t="inlineStr">
        <is>
          <t>Sveaskog</t>
        </is>
      </c>
      <c r="G221" t="n">
        <v>9.1</v>
      </c>
      <c r="H221" t="n">
        <v>0</v>
      </c>
      <c r="I221" t="n">
        <v>1</v>
      </c>
      <c r="J221" t="n">
        <v>0</v>
      </c>
      <c r="K221" t="n">
        <v>0</v>
      </c>
      <c r="L221" t="n">
        <v>0</v>
      </c>
      <c r="M221" t="n">
        <v>0</v>
      </c>
      <c r="N221" t="n">
        <v>0</v>
      </c>
      <c r="O221" t="n">
        <v>0</v>
      </c>
      <c r="P221" t="n">
        <v>0</v>
      </c>
      <c r="Q221" t="n">
        <v>1</v>
      </c>
      <c r="R221" s="2" t="inlineStr">
        <is>
          <t>Dropptaggsvamp</t>
        </is>
      </c>
      <c r="S221">
        <f>HYPERLINK("https://klasma.github.io/Logging_2361/artfynd/A 31607-2024 artfynd.xlsx", "A 31607-2024")</f>
        <v/>
      </c>
      <c r="T221">
        <f>HYPERLINK("https://klasma.github.io/Logging_2361/kartor/A 31607-2024 karta.png", "A 31607-2024")</f>
        <v/>
      </c>
      <c r="V221">
        <f>HYPERLINK("https://klasma.github.io/Logging_2361/klagomål/A 31607-2024 FSC-klagomål.docx", "A 31607-2024")</f>
        <v/>
      </c>
      <c r="W221">
        <f>HYPERLINK("https://klasma.github.io/Logging_2361/klagomålsmail/A 31607-2024 FSC-klagomål mail.docx", "A 31607-2024")</f>
        <v/>
      </c>
      <c r="X221">
        <f>HYPERLINK("https://klasma.github.io/Logging_2361/tillsyn/A 31607-2024 tillsynsbegäran.docx", "A 31607-2024")</f>
        <v/>
      </c>
      <c r="Y221">
        <f>HYPERLINK("https://klasma.github.io/Logging_2361/tillsynsmail/A 31607-2024 tillsynsbegäran mail.docx", "A 31607-2024")</f>
        <v/>
      </c>
    </row>
    <row r="222" ht="15" customHeight="1">
      <c r="A222" t="inlineStr">
        <is>
          <t>A 31583-2024</t>
        </is>
      </c>
      <c r="B222" s="1" t="n">
        <v>45506</v>
      </c>
      <c r="C222" s="1" t="n">
        <v>45743</v>
      </c>
      <c r="D222" t="inlineStr">
        <is>
          <t>JÄMTLANDS LÄN</t>
        </is>
      </c>
      <c r="E222" t="inlineStr">
        <is>
          <t>HÄRJEDALEN</t>
        </is>
      </c>
      <c r="G222" t="n">
        <v>9.199999999999999</v>
      </c>
      <c r="H222" t="n">
        <v>0</v>
      </c>
      <c r="I222" t="n">
        <v>0</v>
      </c>
      <c r="J222" t="n">
        <v>1</v>
      </c>
      <c r="K222" t="n">
        <v>0</v>
      </c>
      <c r="L222" t="n">
        <v>0</v>
      </c>
      <c r="M222" t="n">
        <v>0</v>
      </c>
      <c r="N222" t="n">
        <v>0</v>
      </c>
      <c r="O222" t="n">
        <v>1</v>
      </c>
      <c r="P222" t="n">
        <v>0</v>
      </c>
      <c r="Q222" t="n">
        <v>1</v>
      </c>
      <c r="R222" s="2" t="inlineStr">
        <is>
          <t>Igelkott</t>
        </is>
      </c>
      <c r="S222">
        <f>HYPERLINK("https://klasma.github.io/Logging_2361/artfynd/A 31583-2024 artfynd.xlsx", "A 31583-2024")</f>
        <v/>
      </c>
      <c r="T222">
        <f>HYPERLINK("https://klasma.github.io/Logging_2361/kartor/A 31583-2024 karta.png", "A 31583-2024")</f>
        <v/>
      </c>
      <c r="V222">
        <f>HYPERLINK("https://klasma.github.io/Logging_2361/klagomål/A 31583-2024 FSC-klagomål.docx", "A 31583-2024")</f>
        <v/>
      </c>
      <c r="W222">
        <f>HYPERLINK("https://klasma.github.io/Logging_2361/klagomålsmail/A 31583-2024 FSC-klagomål mail.docx", "A 31583-2024")</f>
        <v/>
      </c>
      <c r="X222">
        <f>HYPERLINK("https://klasma.github.io/Logging_2361/tillsyn/A 31583-2024 tillsynsbegäran.docx", "A 31583-2024")</f>
        <v/>
      </c>
      <c r="Y222">
        <f>HYPERLINK("https://klasma.github.io/Logging_2361/tillsynsmail/A 31583-2024 tillsynsbegäran mail.docx", "A 31583-2024")</f>
        <v/>
      </c>
    </row>
    <row r="223" ht="15" customHeight="1">
      <c r="A223" t="inlineStr">
        <is>
          <t>A 37451-2024</t>
        </is>
      </c>
      <c r="B223" s="1" t="n">
        <v>45540</v>
      </c>
      <c r="C223" s="1" t="n">
        <v>45743</v>
      </c>
      <c r="D223" t="inlineStr">
        <is>
          <t>JÄMTLANDS LÄN</t>
        </is>
      </c>
      <c r="E223" t="inlineStr">
        <is>
          <t>HÄRJEDALEN</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HYPERLINK("https://klasma.github.io/Logging_2361/artfynd/A 37451-2024 artfynd.xlsx", "A 37451-2024")</f>
        <v/>
      </c>
      <c r="T223">
        <f>HYPERLINK("https://klasma.github.io/Logging_2361/kartor/A 37451-2024 karta.png", "A 37451-2024")</f>
        <v/>
      </c>
      <c r="V223">
        <f>HYPERLINK("https://klasma.github.io/Logging_2361/klagomål/A 37451-2024 FSC-klagomål.docx", "A 37451-2024")</f>
        <v/>
      </c>
      <c r="W223">
        <f>HYPERLINK("https://klasma.github.io/Logging_2361/klagomålsmail/A 37451-2024 FSC-klagomål mail.docx", "A 37451-2024")</f>
        <v/>
      </c>
      <c r="X223">
        <f>HYPERLINK("https://klasma.github.io/Logging_2361/tillsyn/A 37451-2024 tillsynsbegäran.docx", "A 37451-2024")</f>
        <v/>
      </c>
      <c r="Y223">
        <f>HYPERLINK("https://klasma.github.io/Logging_2361/tillsynsmail/A 37451-2024 tillsynsbegäran mail.docx", "A 37451-2024")</f>
        <v/>
      </c>
    </row>
    <row r="224" ht="15" customHeight="1">
      <c r="A224" t="inlineStr">
        <is>
          <t>A 38285-2024</t>
        </is>
      </c>
      <c r="B224" s="1" t="n">
        <v>45545</v>
      </c>
      <c r="C224" s="1" t="n">
        <v>45743</v>
      </c>
      <c r="D224" t="inlineStr">
        <is>
          <t>JÄMTLANDS LÄN</t>
        </is>
      </c>
      <c r="E224" t="inlineStr">
        <is>
          <t>HÄRJEDALEN</t>
        </is>
      </c>
      <c r="F224" t="inlineStr">
        <is>
          <t>Sveaskog</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HYPERLINK("https://klasma.github.io/Logging_2361/artfynd/A 38285-2024 artfynd.xlsx", "A 38285-2024")</f>
        <v/>
      </c>
      <c r="T224">
        <f>HYPERLINK("https://klasma.github.io/Logging_2361/kartor/A 38285-2024 karta.png", "A 38285-2024")</f>
        <v/>
      </c>
      <c r="V224">
        <f>HYPERLINK("https://klasma.github.io/Logging_2361/klagomål/A 38285-2024 FSC-klagomål.docx", "A 38285-2024")</f>
        <v/>
      </c>
      <c r="W224">
        <f>HYPERLINK("https://klasma.github.io/Logging_2361/klagomålsmail/A 38285-2024 FSC-klagomål mail.docx", "A 38285-2024")</f>
        <v/>
      </c>
      <c r="X224">
        <f>HYPERLINK("https://klasma.github.io/Logging_2361/tillsyn/A 38285-2024 tillsynsbegäran.docx", "A 38285-2024")</f>
        <v/>
      </c>
      <c r="Y224">
        <f>HYPERLINK("https://klasma.github.io/Logging_2361/tillsynsmail/A 38285-2024 tillsynsbegäran mail.docx", "A 38285-2024")</f>
        <v/>
      </c>
    </row>
    <row r="225" ht="15" customHeight="1">
      <c r="A225" t="inlineStr">
        <is>
          <t>A 43744-2024</t>
        </is>
      </c>
      <c r="B225" s="1" t="n">
        <v>45569</v>
      </c>
      <c r="C225" s="1" t="n">
        <v>45743</v>
      </c>
      <c r="D225" t="inlineStr">
        <is>
          <t>JÄMTLANDS LÄN</t>
        </is>
      </c>
      <c r="E225" t="inlineStr">
        <is>
          <t>HÄRJEDALEN</t>
        </is>
      </c>
      <c r="G225" t="n">
        <v>15.8</v>
      </c>
      <c r="H225" t="n">
        <v>1</v>
      </c>
      <c r="I225" t="n">
        <v>0</v>
      </c>
      <c r="J225" t="n">
        <v>1</v>
      </c>
      <c r="K225" t="n">
        <v>0</v>
      </c>
      <c r="L225" t="n">
        <v>0</v>
      </c>
      <c r="M225" t="n">
        <v>0</v>
      </c>
      <c r="N225" t="n">
        <v>0</v>
      </c>
      <c r="O225" t="n">
        <v>1</v>
      </c>
      <c r="P225" t="n">
        <v>0</v>
      </c>
      <c r="Q225" t="n">
        <v>1</v>
      </c>
      <c r="R225" s="2" t="inlineStr">
        <is>
          <t>Skogsfru</t>
        </is>
      </c>
      <c r="S225">
        <f>HYPERLINK("https://klasma.github.io/Logging_2361/artfynd/A 43744-2024 artfynd.xlsx", "A 43744-2024")</f>
        <v/>
      </c>
      <c r="T225">
        <f>HYPERLINK("https://klasma.github.io/Logging_2361/kartor/A 43744-2024 karta.png", "A 43744-2024")</f>
        <v/>
      </c>
      <c r="V225">
        <f>HYPERLINK("https://klasma.github.io/Logging_2361/klagomål/A 43744-2024 FSC-klagomål.docx", "A 43744-2024")</f>
        <v/>
      </c>
      <c r="W225">
        <f>HYPERLINK("https://klasma.github.io/Logging_2361/klagomålsmail/A 43744-2024 FSC-klagomål mail.docx", "A 43744-2024")</f>
        <v/>
      </c>
      <c r="X225">
        <f>HYPERLINK("https://klasma.github.io/Logging_2361/tillsyn/A 43744-2024 tillsynsbegäran.docx", "A 43744-2024")</f>
        <v/>
      </c>
      <c r="Y225">
        <f>HYPERLINK("https://klasma.github.io/Logging_2361/tillsynsmail/A 43744-2024 tillsynsbegäran mail.docx", "A 43744-2024")</f>
        <v/>
      </c>
    </row>
    <row r="226" ht="15" customHeight="1">
      <c r="A226" t="inlineStr">
        <is>
          <t>A 51234-2024</t>
        </is>
      </c>
      <c r="B226" s="1" t="n">
        <v>45603</v>
      </c>
      <c r="C226" s="1" t="n">
        <v>45743</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54520-2024</t>
        </is>
      </c>
      <c r="B227" s="1" t="n">
        <v>45617</v>
      </c>
      <c r="C227" s="1" t="n">
        <v>45743</v>
      </c>
      <c r="D227" t="inlineStr">
        <is>
          <t>JÄMTLANDS LÄN</t>
        </is>
      </c>
      <c r="E227" t="inlineStr">
        <is>
          <t>HÄRJEDALEN</t>
        </is>
      </c>
      <c r="F227" t="inlineStr">
        <is>
          <t>Holmen skog AB</t>
        </is>
      </c>
      <c r="G227" t="n">
        <v>4.6</v>
      </c>
      <c r="H227" t="n">
        <v>1</v>
      </c>
      <c r="I227" t="n">
        <v>0</v>
      </c>
      <c r="J227" t="n">
        <v>1</v>
      </c>
      <c r="K227" t="n">
        <v>0</v>
      </c>
      <c r="L227" t="n">
        <v>0</v>
      </c>
      <c r="M227" t="n">
        <v>0</v>
      </c>
      <c r="N227" t="n">
        <v>0</v>
      </c>
      <c r="O227" t="n">
        <v>1</v>
      </c>
      <c r="P227" t="n">
        <v>0</v>
      </c>
      <c r="Q227" t="n">
        <v>1</v>
      </c>
      <c r="R227" s="2" t="inlineStr">
        <is>
          <t>Talltita</t>
        </is>
      </c>
      <c r="S227">
        <f>HYPERLINK("https://klasma.github.io/Logging_2361/artfynd/A 54520-2024 artfynd.xlsx", "A 54520-2024")</f>
        <v/>
      </c>
      <c r="T227">
        <f>HYPERLINK("https://klasma.github.io/Logging_2361/kartor/A 54520-2024 karta.png", "A 54520-2024")</f>
        <v/>
      </c>
      <c r="V227">
        <f>HYPERLINK("https://klasma.github.io/Logging_2361/klagomål/A 54520-2024 FSC-klagomål.docx", "A 54520-2024")</f>
        <v/>
      </c>
      <c r="W227">
        <f>HYPERLINK("https://klasma.github.io/Logging_2361/klagomålsmail/A 54520-2024 FSC-klagomål mail.docx", "A 54520-2024")</f>
        <v/>
      </c>
      <c r="X227">
        <f>HYPERLINK("https://klasma.github.io/Logging_2361/tillsyn/A 54520-2024 tillsynsbegäran.docx", "A 54520-2024")</f>
        <v/>
      </c>
      <c r="Y227">
        <f>HYPERLINK("https://klasma.github.io/Logging_2361/tillsynsmail/A 54520-2024 tillsynsbegäran mail.docx", "A 54520-2024")</f>
        <v/>
      </c>
      <c r="Z227">
        <f>HYPERLINK("https://klasma.github.io/Logging_2361/fåglar/A 54520-2024 prioriterade fågelarter.docx", "A 54520-2024")</f>
        <v/>
      </c>
    </row>
    <row r="228" ht="15" customHeight="1">
      <c r="A228" t="inlineStr">
        <is>
          <t>A 55135-2024</t>
        </is>
      </c>
      <c r="B228" s="1" t="n">
        <v>45621</v>
      </c>
      <c r="C228" s="1" t="n">
        <v>45743</v>
      </c>
      <c r="D228" t="inlineStr">
        <is>
          <t>JÄMTLANDS LÄN</t>
        </is>
      </c>
      <c r="E228" t="inlineStr">
        <is>
          <t>HÄRJEDALEN</t>
        </is>
      </c>
      <c r="F228" t="inlineStr">
        <is>
          <t>Sveaskog</t>
        </is>
      </c>
      <c r="G228" t="n">
        <v>12.6</v>
      </c>
      <c r="H228" t="n">
        <v>0</v>
      </c>
      <c r="I228" t="n">
        <v>1</v>
      </c>
      <c r="J228" t="n">
        <v>0</v>
      </c>
      <c r="K228" t="n">
        <v>0</v>
      </c>
      <c r="L228" t="n">
        <v>0</v>
      </c>
      <c r="M228" t="n">
        <v>0</v>
      </c>
      <c r="N228" t="n">
        <v>0</v>
      </c>
      <c r="O228" t="n">
        <v>0</v>
      </c>
      <c r="P228" t="n">
        <v>0</v>
      </c>
      <c r="Q228" t="n">
        <v>1</v>
      </c>
      <c r="R228" s="2" t="inlineStr">
        <is>
          <t>Skarp dropptaggsvamp</t>
        </is>
      </c>
      <c r="S228">
        <f>HYPERLINK("https://klasma.github.io/Logging_2361/artfynd/A 55135-2024 artfynd.xlsx", "A 55135-2024")</f>
        <v/>
      </c>
      <c r="T228">
        <f>HYPERLINK("https://klasma.github.io/Logging_2361/kartor/A 55135-2024 karta.png", "A 55135-2024")</f>
        <v/>
      </c>
      <c r="V228">
        <f>HYPERLINK("https://klasma.github.io/Logging_2361/klagomål/A 55135-2024 FSC-klagomål.docx", "A 55135-2024")</f>
        <v/>
      </c>
      <c r="W228">
        <f>HYPERLINK("https://klasma.github.io/Logging_2361/klagomålsmail/A 55135-2024 FSC-klagomål mail.docx", "A 55135-2024")</f>
        <v/>
      </c>
      <c r="X228">
        <f>HYPERLINK("https://klasma.github.io/Logging_2361/tillsyn/A 55135-2024 tillsynsbegäran.docx", "A 55135-2024")</f>
        <v/>
      </c>
      <c r="Y228">
        <f>HYPERLINK("https://klasma.github.io/Logging_2361/tillsynsmail/A 55135-2024 tillsynsbegäran mail.docx", "A 55135-2024")</f>
        <v/>
      </c>
    </row>
    <row r="229" ht="15" customHeight="1">
      <c r="A229" t="inlineStr">
        <is>
          <t>A 55214-2024</t>
        </is>
      </c>
      <c r="B229" s="1" t="n">
        <v>45621</v>
      </c>
      <c r="C229" s="1" t="n">
        <v>45743</v>
      </c>
      <c r="D229" t="inlineStr">
        <is>
          <t>JÄMTLANDS LÄN</t>
        </is>
      </c>
      <c r="E229" t="inlineStr">
        <is>
          <t>HÄRJEDALEN</t>
        </is>
      </c>
      <c r="F229" t="inlineStr">
        <is>
          <t>Sveaskog</t>
        </is>
      </c>
      <c r="G229" t="n">
        <v>1.1</v>
      </c>
      <c r="H229" t="n">
        <v>0</v>
      </c>
      <c r="I229" t="n">
        <v>0</v>
      </c>
      <c r="J229" t="n">
        <v>1</v>
      </c>
      <c r="K229" t="n">
        <v>0</v>
      </c>
      <c r="L229" t="n">
        <v>0</v>
      </c>
      <c r="M229" t="n">
        <v>0</v>
      </c>
      <c r="N229" t="n">
        <v>0</v>
      </c>
      <c r="O229" t="n">
        <v>1</v>
      </c>
      <c r="P229" t="n">
        <v>0</v>
      </c>
      <c r="Q229" t="n">
        <v>1</v>
      </c>
      <c r="R229" s="2" t="inlineStr">
        <is>
          <t>Kolflarnlav</t>
        </is>
      </c>
      <c r="S229">
        <f>HYPERLINK("https://klasma.github.io/Logging_2361/artfynd/A 55214-2024 artfynd.xlsx", "A 55214-2024")</f>
        <v/>
      </c>
      <c r="T229">
        <f>HYPERLINK("https://klasma.github.io/Logging_2361/kartor/A 55214-2024 karta.png", "A 55214-2024")</f>
        <v/>
      </c>
      <c r="V229">
        <f>HYPERLINK("https://klasma.github.io/Logging_2361/klagomål/A 55214-2024 FSC-klagomål.docx", "A 55214-2024")</f>
        <v/>
      </c>
      <c r="W229">
        <f>HYPERLINK("https://klasma.github.io/Logging_2361/klagomålsmail/A 55214-2024 FSC-klagomål mail.docx", "A 55214-2024")</f>
        <v/>
      </c>
      <c r="X229">
        <f>HYPERLINK("https://klasma.github.io/Logging_2361/tillsyn/A 55214-2024 tillsynsbegäran.docx", "A 55214-2024")</f>
        <v/>
      </c>
      <c r="Y229">
        <f>HYPERLINK("https://klasma.github.io/Logging_2361/tillsynsmail/A 55214-2024 tillsynsbegäran mail.docx", "A 55214-2024")</f>
        <v/>
      </c>
    </row>
    <row r="230" ht="15" customHeight="1">
      <c r="A230" t="inlineStr">
        <is>
          <t>A 59367-2024</t>
        </is>
      </c>
      <c r="B230" s="1" t="n">
        <v>45638</v>
      </c>
      <c r="C230" s="1" t="n">
        <v>45743</v>
      </c>
      <c r="D230" t="inlineStr">
        <is>
          <t>JÄMTLANDS LÄN</t>
        </is>
      </c>
      <c r="E230" t="inlineStr">
        <is>
          <t>HÄRJEDALEN</t>
        </is>
      </c>
      <c r="F230" t="inlineStr">
        <is>
          <t>Holmen skog AB</t>
        </is>
      </c>
      <c r="G230" t="n">
        <v>5.9</v>
      </c>
      <c r="H230" t="n">
        <v>0</v>
      </c>
      <c r="I230" t="n">
        <v>0</v>
      </c>
      <c r="J230" t="n">
        <v>1</v>
      </c>
      <c r="K230" t="n">
        <v>0</v>
      </c>
      <c r="L230" t="n">
        <v>0</v>
      </c>
      <c r="M230" t="n">
        <v>0</v>
      </c>
      <c r="N230" t="n">
        <v>0</v>
      </c>
      <c r="O230" t="n">
        <v>1</v>
      </c>
      <c r="P230" t="n">
        <v>0</v>
      </c>
      <c r="Q230" t="n">
        <v>1</v>
      </c>
      <c r="R230" s="2" t="inlineStr">
        <is>
          <t>Vedflamlav</t>
        </is>
      </c>
      <c r="S230">
        <f>HYPERLINK("https://klasma.github.io/Logging_2361/artfynd/A 59367-2024 artfynd.xlsx", "A 59367-2024")</f>
        <v/>
      </c>
      <c r="T230">
        <f>HYPERLINK("https://klasma.github.io/Logging_2361/kartor/A 59367-2024 karta.png", "A 59367-2024")</f>
        <v/>
      </c>
      <c r="V230">
        <f>HYPERLINK("https://klasma.github.io/Logging_2361/klagomål/A 59367-2024 FSC-klagomål.docx", "A 59367-2024")</f>
        <v/>
      </c>
      <c r="W230">
        <f>HYPERLINK("https://klasma.github.io/Logging_2361/klagomålsmail/A 59367-2024 FSC-klagomål mail.docx", "A 59367-2024")</f>
        <v/>
      </c>
      <c r="X230">
        <f>HYPERLINK("https://klasma.github.io/Logging_2361/tillsyn/A 59367-2024 tillsynsbegäran.docx", "A 59367-2024")</f>
        <v/>
      </c>
      <c r="Y230">
        <f>HYPERLINK("https://klasma.github.io/Logging_2361/tillsynsmail/A 59367-2024 tillsynsbegäran mail.docx", "A 59367-2024")</f>
        <v/>
      </c>
    </row>
    <row r="231" ht="15" customHeight="1">
      <c r="A231" t="inlineStr">
        <is>
          <t>A 2041-2025</t>
        </is>
      </c>
      <c r="B231" s="1" t="n">
        <v>45672</v>
      </c>
      <c r="C231" s="1" t="n">
        <v>45743</v>
      </c>
      <c r="D231" t="inlineStr">
        <is>
          <t>JÄMTLANDS LÄN</t>
        </is>
      </c>
      <c r="E231" t="inlineStr">
        <is>
          <t>HÄRJEDALEN</t>
        </is>
      </c>
      <c r="G231" t="n">
        <v>10</v>
      </c>
      <c r="H231" t="n">
        <v>0</v>
      </c>
      <c r="I231" t="n">
        <v>0</v>
      </c>
      <c r="J231" t="n">
        <v>1</v>
      </c>
      <c r="K231" t="n">
        <v>0</v>
      </c>
      <c r="L231" t="n">
        <v>0</v>
      </c>
      <c r="M231" t="n">
        <v>0</v>
      </c>
      <c r="N231" t="n">
        <v>0</v>
      </c>
      <c r="O231" t="n">
        <v>1</v>
      </c>
      <c r="P231" t="n">
        <v>0</v>
      </c>
      <c r="Q231" t="n">
        <v>1</v>
      </c>
      <c r="R231" s="2" t="inlineStr">
        <is>
          <t>Gränsticka</t>
        </is>
      </c>
      <c r="S231">
        <f>HYPERLINK("https://klasma.github.io/Logging_2361/artfynd/A 2041-2025 artfynd.xlsx", "A 2041-2025")</f>
        <v/>
      </c>
      <c r="T231">
        <f>HYPERLINK("https://klasma.github.io/Logging_2361/kartor/A 2041-2025 karta.png", "A 2041-2025")</f>
        <v/>
      </c>
      <c r="V231">
        <f>HYPERLINK("https://klasma.github.io/Logging_2361/klagomål/A 2041-2025 FSC-klagomål.docx", "A 2041-2025")</f>
        <v/>
      </c>
      <c r="W231">
        <f>HYPERLINK("https://klasma.github.io/Logging_2361/klagomålsmail/A 2041-2025 FSC-klagomål mail.docx", "A 2041-2025")</f>
        <v/>
      </c>
      <c r="X231">
        <f>HYPERLINK("https://klasma.github.io/Logging_2361/tillsyn/A 2041-2025 tillsynsbegäran.docx", "A 2041-2025")</f>
        <v/>
      </c>
      <c r="Y231">
        <f>HYPERLINK("https://klasma.github.io/Logging_2361/tillsynsmail/A 2041-2025 tillsynsbegäran mail.docx", "A 2041-2025")</f>
        <v/>
      </c>
    </row>
    <row r="232" ht="15" customHeight="1">
      <c r="A232" t="inlineStr">
        <is>
          <t>A 9233-2025</t>
        </is>
      </c>
      <c r="B232" s="1" t="n">
        <v>45714</v>
      </c>
      <c r="C232" s="1" t="n">
        <v>45743</v>
      </c>
      <c r="D232" t="inlineStr">
        <is>
          <t>JÄMTLANDS LÄN</t>
        </is>
      </c>
      <c r="E232" t="inlineStr">
        <is>
          <t>HÄRJEDALEN</t>
        </is>
      </c>
      <c r="F232" t="inlineStr">
        <is>
          <t>SCA</t>
        </is>
      </c>
      <c r="G232" t="n">
        <v>16.8</v>
      </c>
      <c r="H232" t="n">
        <v>1</v>
      </c>
      <c r="I232" t="n">
        <v>0</v>
      </c>
      <c r="J232" t="n">
        <v>1</v>
      </c>
      <c r="K232" t="n">
        <v>0</v>
      </c>
      <c r="L232" t="n">
        <v>0</v>
      </c>
      <c r="M232" t="n">
        <v>0</v>
      </c>
      <c r="N232" t="n">
        <v>0</v>
      </c>
      <c r="O232" t="n">
        <v>1</v>
      </c>
      <c r="P232" t="n">
        <v>0</v>
      </c>
      <c r="Q232" t="n">
        <v>1</v>
      </c>
      <c r="R232" s="2" t="inlineStr">
        <is>
          <t>Järpe</t>
        </is>
      </c>
      <c r="S232">
        <f>HYPERLINK("https://klasma.github.io/Logging_2361/artfynd/A 9233-2025 artfynd.xlsx", "A 9233-2025")</f>
        <v/>
      </c>
      <c r="T232">
        <f>HYPERLINK("https://klasma.github.io/Logging_2361/kartor/A 9233-2025 karta.png", "A 9233-2025")</f>
        <v/>
      </c>
      <c r="V232">
        <f>HYPERLINK("https://klasma.github.io/Logging_2361/klagomål/A 9233-2025 FSC-klagomål.docx", "A 9233-2025")</f>
        <v/>
      </c>
      <c r="W232">
        <f>HYPERLINK("https://klasma.github.io/Logging_2361/klagomålsmail/A 9233-2025 FSC-klagomål mail.docx", "A 9233-2025")</f>
        <v/>
      </c>
      <c r="X232">
        <f>HYPERLINK("https://klasma.github.io/Logging_2361/tillsyn/A 9233-2025 tillsynsbegäran.docx", "A 9233-2025")</f>
        <v/>
      </c>
      <c r="Y232">
        <f>HYPERLINK("https://klasma.github.io/Logging_2361/tillsynsmail/A 9233-2025 tillsynsbegäran mail.docx", "A 9233-2025")</f>
        <v/>
      </c>
      <c r="Z232">
        <f>HYPERLINK("https://klasma.github.io/Logging_2361/fåglar/A 9233-2025 prioriterade fågelarter.docx", "A 9233-2025")</f>
        <v/>
      </c>
    </row>
    <row r="233" ht="15" customHeight="1">
      <c r="A233" t="inlineStr">
        <is>
          <t>A 12274-2025</t>
        </is>
      </c>
      <c r="B233" s="1" t="n">
        <v>45729</v>
      </c>
      <c r="C233" s="1" t="n">
        <v>45743</v>
      </c>
      <c r="D233" t="inlineStr">
        <is>
          <t>JÄMTLANDS LÄN</t>
        </is>
      </c>
      <c r="E233" t="inlineStr">
        <is>
          <t>HÄRJEDALEN</t>
        </is>
      </c>
      <c r="F233" t="inlineStr">
        <is>
          <t>Holmen skog AB</t>
        </is>
      </c>
      <c r="G233" t="n">
        <v>1</v>
      </c>
      <c r="H233" t="n">
        <v>0</v>
      </c>
      <c r="I233" t="n">
        <v>0</v>
      </c>
      <c r="J233" t="n">
        <v>1</v>
      </c>
      <c r="K233" t="n">
        <v>0</v>
      </c>
      <c r="L233" t="n">
        <v>0</v>
      </c>
      <c r="M233" t="n">
        <v>0</v>
      </c>
      <c r="N233" t="n">
        <v>0</v>
      </c>
      <c r="O233" t="n">
        <v>1</v>
      </c>
      <c r="P233" t="n">
        <v>0</v>
      </c>
      <c r="Q233" t="n">
        <v>1</v>
      </c>
      <c r="R233" s="2" t="inlineStr">
        <is>
          <t>Garnlav</t>
        </is>
      </c>
      <c r="S233">
        <f>HYPERLINK("https://klasma.github.io/Logging_2361/artfynd/A 12274-2025 artfynd.xlsx", "A 12274-2025")</f>
        <v/>
      </c>
      <c r="T233">
        <f>HYPERLINK("https://klasma.github.io/Logging_2361/kartor/A 12274-2025 karta.png", "A 12274-2025")</f>
        <v/>
      </c>
      <c r="V233">
        <f>HYPERLINK("https://klasma.github.io/Logging_2361/klagomål/A 12274-2025 FSC-klagomål.docx", "A 12274-2025")</f>
        <v/>
      </c>
      <c r="W233">
        <f>HYPERLINK("https://klasma.github.io/Logging_2361/klagomålsmail/A 12274-2025 FSC-klagomål mail.docx", "A 12274-2025")</f>
        <v/>
      </c>
      <c r="X233">
        <f>HYPERLINK("https://klasma.github.io/Logging_2361/tillsyn/A 12274-2025 tillsynsbegäran.docx", "A 12274-2025")</f>
        <v/>
      </c>
      <c r="Y233">
        <f>HYPERLINK("https://klasma.github.io/Logging_2361/tillsynsmail/A 12274-2025 tillsynsbegäran mail.docx", "A 12274-2025")</f>
        <v/>
      </c>
    </row>
    <row r="234" ht="15" customHeight="1">
      <c r="A234" t="inlineStr">
        <is>
          <t>A 17811-2019</t>
        </is>
      </c>
      <c r="B234" s="1" t="n">
        <v>43556</v>
      </c>
      <c r="C234" s="1" t="n">
        <v>45743</v>
      </c>
      <c r="D234" t="inlineStr">
        <is>
          <t>JÄMTLANDS LÄN</t>
        </is>
      </c>
      <c r="E234" t="inlineStr">
        <is>
          <t>HÄRJEDALEN</t>
        </is>
      </c>
      <c r="G234" t="n">
        <v>10.3</v>
      </c>
      <c r="H234" t="n">
        <v>0</v>
      </c>
      <c r="I234" t="n">
        <v>0</v>
      </c>
      <c r="J234" t="n">
        <v>0</v>
      </c>
      <c r="K234" t="n">
        <v>0</v>
      </c>
      <c r="L234" t="n">
        <v>0</v>
      </c>
      <c r="M234" t="n">
        <v>0</v>
      </c>
      <c r="N234" t="n">
        <v>0</v>
      </c>
      <c r="O234" t="n">
        <v>0</v>
      </c>
      <c r="P234" t="n">
        <v>0</v>
      </c>
      <c r="Q234" t="n">
        <v>0</v>
      </c>
      <c r="R234" s="2" t="inlineStr"/>
    </row>
    <row r="235" ht="15" customHeight="1">
      <c r="A235" t="inlineStr">
        <is>
          <t>A 17986-2019</t>
        </is>
      </c>
      <c r="B235" s="1" t="n">
        <v>43557</v>
      </c>
      <c r="C235" s="1" t="n">
        <v>45743</v>
      </c>
      <c r="D235" t="inlineStr">
        <is>
          <t>JÄMTLANDS LÄN</t>
        </is>
      </c>
      <c r="E235" t="inlineStr">
        <is>
          <t>HÄRJEDALEN</t>
        </is>
      </c>
      <c r="F235" t="inlineStr">
        <is>
          <t>Kyrkan</t>
        </is>
      </c>
      <c r="G235" t="n">
        <v>17.5</v>
      </c>
      <c r="H235" t="n">
        <v>0</v>
      </c>
      <c r="I235" t="n">
        <v>0</v>
      </c>
      <c r="J235" t="n">
        <v>0</v>
      </c>
      <c r="K235" t="n">
        <v>0</v>
      </c>
      <c r="L235" t="n">
        <v>0</v>
      </c>
      <c r="M235" t="n">
        <v>0</v>
      </c>
      <c r="N235" t="n">
        <v>0</v>
      </c>
      <c r="O235" t="n">
        <v>0</v>
      </c>
      <c r="P235" t="n">
        <v>0</v>
      </c>
      <c r="Q235" t="n">
        <v>0</v>
      </c>
      <c r="R235" s="2" t="inlineStr"/>
    </row>
    <row r="236" ht="15" customHeight="1">
      <c r="A236" t="inlineStr">
        <is>
          <t>A 17917-2019</t>
        </is>
      </c>
      <c r="B236" s="1" t="n">
        <v>43557</v>
      </c>
      <c r="C236" s="1" t="n">
        <v>45743</v>
      </c>
      <c r="D236" t="inlineStr">
        <is>
          <t>JÄMTLANDS LÄN</t>
        </is>
      </c>
      <c r="E236" t="inlineStr">
        <is>
          <t>HÄRJEDALEN</t>
        </is>
      </c>
      <c r="F236" t="inlineStr">
        <is>
          <t>Bergvik skog väst AB</t>
        </is>
      </c>
      <c r="G236" t="n">
        <v>166.3</v>
      </c>
      <c r="H236" t="n">
        <v>0</v>
      </c>
      <c r="I236" t="n">
        <v>0</v>
      </c>
      <c r="J236" t="n">
        <v>0</v>
      </c>
      <c r="K236" t="n">
        <v>0</v>
      </c>
      <c r="L236" t="n">
        <v>0</v>
      </c>
      <c r="M236" t="n">
        <v>0</v>
      </c>
      <c r="N236" t="n">
        <v>0</v>
      </c>
      <c r="O236" t="n">
        <v>0</v>
      </c>
      <c r="P236" t="n">
        <v>0</v>
      </c>
      <c r="Q236" t="n">
        <v>0</v>
      </c>
      <c r="R236" s="2" t="inlineStr"/>
    </row>
    <row r="237" ht="15" customHeight="1">
      <c r="A237" t="inlineStr">
        <is>
          <t>A 18539-2019</t>
        </is>
      </c>
      <c r="B237" s="1" t="n">
        <v>43559</v>
      </c>
      <c r="C237" s="1" t="n">
        <v>45743</v>
      </c>
      <c r="D237" t="inlineStr">
        <is>
          <t>JÄMTLANDS LÄN</t>
        </is>
      </c>
      <c r="E237" t="inlineStr">
        <is>
          <t>HÄRJEDALEN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18648-2019</t>
        </is>
      </c>
      <c r="B238" s="1" t="n">
        <v>43560</v>
      </c>
      <c r="C238" s="1" t="n">
        <v>45743</v>
      </c>
      <c r="D238" t="inlineStr">
        <is>
          <t>JÄMTLANDS LÄN</t>
        </is>
      </c>
      <c r="E238" t="inlineStr">
        <is>
          <t>HÄRJEDALEN</t>
        </is>
      </c>
      <c r="G238" t="n">
        <v>5.5</v>
      </c>
      <c r="H238" t="n">
        <v>0</v>
      </c>
      <c r="I238" t="n">
        <v>0</v>
      </c>
      <c r="J238" t="n">
        <v>0</v>
      </c>
      <c r="K238" t="n">
        <v>0</v>
      </c>
      <c r="L238" t="n">
        <v>0</v>
      </c>
      <c r="M238" t="n">
        <v>0</v>
      </c>
      <c r="N238" t="n">
        <v>0</v>
      </c>
      <c r="O238" t="n">
        <v>0</v>
      </c>
      <c r="P238" t="n">
        <v>0</v>
      </c>
      <c r="Q238" t="n">
        <v>0</v>
      </c>
      <c r="R238" s="2" t="inlineStr"/>
    </row>
    <row r="239" ht="15" customHeight="1">
      <c r="A239" t="inlineStr">
        <is>
          <t>A 19114-2019</t>
        </is>
      </c>
      <c r="B239" s="1" t="n">
        <v>43563</v>
      </c>
      <c r="C239" s="1" t="n">
        <v>45743</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20063-2019</t>
        </is>
      </c>
      <c r="B240" s="1" t="n">
        <v>43567</v>
      </c>
      <c r="C240" s="1" t="n">
        <v>45743</v>
      </c>
      <c r="D240" t="inlineStr">
        <is>
          <t>JÄMTLANDS LÄN</t>
        </is>
      </c>
      <c r="E240" t="inlineStr">
        <is>
          <t>HÄRJEDALEN</t>
        </is>
      </c>
      <c r="F240" t="inlineStr">
        <is>
          <t>Bergvik skog väst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19864-2019</t>
        </is>
      </c>
      <c r="B241" s="1" t="n">
        <v>43567</v>
      </c>
      <c r="C241" s="1" t="n">
        <v>45743</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20403-2019</t>
        </is>
      </c>
      <c r="B242" s="1" t="n">
        <v>43571</v>
      </c>
      <c r="C242" s="1" t="n">
        <v>45743</v>
      </c>
      <c r="D242" t="inlineStr">
        <is>
          <t>JÄMTLANDS LÄN</t>
        </is>
      </c>
      <c r="E242" t="inlineStr">
        <is>
          <t>HÄRJEDALEN</t>
        </is>
      </c>
      <c r="F242" t="inlineStr">
        <is>
          <t>Bergvik skog väst AB</t>
        </is>
      </c>
      <c r="G242" t="n">
        <v>7.8</v>
      </c>
      <c r="H242" t="n">
        <v>0</v>
      </c>
      <c r="I242" t="n">
        <v>0</v>
      </c>
      <c r="J242" t="n">
        <v>0</v>
      </c>
      <c r="K242" t="n">
        <v>0</v>
      </c>
      <c r="L242" t="n">
        <v>0</v>
      </c>
      <c r="M242" t="n">
        <v>0</v>
      </c>
      <c r="N242" t="n">
        <v>0</v>
      </c>
      <c r="O242" t="n">
        <v>0</v>
      </c>
      <c r="P242" t="n">
        <v>0</v>
      </c>
      <c r="Q242" t="n">
        <v>0</v>
      </c>
      <c r="R242" s="2" t="inlineStr"/>
    </row>
    <row r="243" ht="15" customHeight="1">
      <c r="A243" t="inlineStr">
        <is>
          <t>A 20373-2019</t>
        </is>
      </c>
      <c r="B243" s="1" t="n">
        <v>43571</v>
      </c>
      <c r="C243" s="1" t="n">
        <v>45743</v>
      </c>
      <c r="D243" t="inlineStr">
        <is>
          <t>JÄMTLANDS LÄN</t>
        </is>
      </c>
      <c r="E243" t="inlineStr">
        <is>
          <t>HÄRJEDALEN</t>
        </is>
      </c>
      <c r="G243" t="n">
        <v>0.8</v>
      </c>
      <c r="H243" t="n">
        <v>0</v>
      </c>
      <c r="I243" t="n">
        <v>0</v>
      </c>
      <c r="J243" t="n">
        <v>0</v>
      </c>
      <c r="K243" t="n">
        <v>0</v>
      </c>
      <c r="L243" t="n">
        <v>0</v>
      </c>
      <c r="M243" t="n">
        <v>0</v>
      </c>
      <c r="N243" t="n">
        <v>0</v>
      </c>
      <c r="O243" t="n">
        <v>0</v>
      </c>
      <c r="P243" t="n">
        <v>0</v>
      </c>
      <c r="Q243" t="n">
        <v>0</v>
      </c>
      <c r="R243" s="2" t="inlineStr"/>
    </row>
    <row r="244" ht="15" customHeight="1">
      <c r="A244" t="inlineStr">
        <is>
          <t>A 20851-2019</t>
        </is>
      </c>
      <c r="B244" s="1" t="n">
        <v>43577</v>
      </c>
      <c r="C244" s="1" t="n">
        <v>45743</v>
      </c>
      <c r="D244" t="inlineStr">
        <is>
          <t>JÄMTLANDS LÄN</t>
        </is>
      </c>
      <c r="E244" t="inlineStr">
        <is>
          <t>HÄRJEDALEN</t>
        </is>
      </c>
      <c r="F244" t="inlineStr">
        <is>
          <t>Övriga Aktiebolag</t>
        </is>
      </c>
      <c r="G244" t="n">
        <v>7.5</v>
      </c>
      <c r="H244" t="n">
        <v>0</v>
      </c>
      <c r="I244" t="n">
        <v>0</v>
      </c>
      <c r="J244" t="n">
        <v>0</v>
      </c>
      <c r="K244" t="n">
        <v>0</v>
      </c>
      <c r="L244" t="n">
        <v>0</v>
      </c>
      <c r="M244" t="n">
        <v>0</v>
      </c>
      <c r="N244" t="n">
        <v>0</v>
      </c>
      <c r="O244" t="n">
        <v>0</v>
      </c>
      <c r="P244" t="n">
        <v>0</v>
      </c>
      <c r="Q244" t="n">
        <v>0</v>
      </c>
      <c r="R244" s="2" t="inlineStr"/>
    </row>
    <row r="245" ht="15" customHeight="1">
      <c r="A245" t="inlineStr">
        <is>
          <t>A 21040-2019</t>
        </is>
      </c>
      <c r="B245" s="1" t="n">
        <v>43578</v>
      </c>
      <c r="C245" s="1" t="n">
        <v>45743</v>
      </c>
      <c r="D245" t="inlineStr">
        <is>
          <t>JÄMTLANDS LÄN</t>
        </is>
      </c>
      <c r="E245" t="inlineStr">
        <is>
          <t>HÄRJEDALEN</t>
        </is>
      </c>
      <c r="G245" t="n">
        <v>0.8</v>
      </c>
      <c r="H245" t="n">
        <v>0</v>
      </c>
      <c r="I245" t="n">
        <v>0</v>
      </c>
      <c r="J245" t="n">
        <v>0</v>
      </c>
      <c r="K245" t="n">
        <v>0</v>
      </c>
      <c r="L245" t="n">
        <v>0</v>
      </c>
      <c r="M245" t="n">
        <v>0</v>
      </c>
      <c r="N245" t="n">
        <v>0</v>
      </c>
      <c r="O245" t="n">
        <v>0</v>
      </c>
      <c r="P245" t="n">
        <v>0</v>
      </c>
      <c r="Q245" t="n">
        <v>0</v>
      </c>
      <c r="R245" s="2" t="inlineStr"/>
    </row>
    <row r="246" ht="15" customHeight="1">
      <c r="A246" t="inlineStr">
        <is>
          <t>A 21189-2019</t>
        </is>
      </c>
      <c r="B246" s="1" t="n">
        <v>43579</v>
      </c>
      <c r="C246" s="1" t="n">
        <v>45743</v>
      </c>
      <c r="D246" t="inlineStr">
        <is>
          <t>JÄMTLANDS LÄN</t>
        </is>
      </c>
      <c r="E246" t="inlineStr">
        <is>
          <t>HÄRJEDALEN</t>
        </is>
      </c>
      <c r="G246" t="n">
        <v>2.3</v>
      </c>
      <c r="H246" t="n">
        <v>0</v>
      </c>
      <c r="I246" t="n">
        <v>0</v>
      </c>
      <c r="J246" t="n">
        <v>0</v>
      </c>
      <c r="K246" t="n">
        <v>0</v>
      </c>
      <c r="L246" t="n">
        <v>0</v>
      </c>
      <c r="M246" t="n">
        <v>0</v>
      </c>
      <c r="N246" t="n">
        <v>0</v>
      </c>
      <c r="O246" t="n">
        <v>0</v>
      </c>
      <c r="P246" t="n">
        <v>0</v>
      </c>
      <c r="Q246" t="n">
        <v>0</v>
      </c>
      <c r="R246" s="2" t="inlineStr"/>
    </row>
    <row r="247" ht="15" customHeight="1">
      <c r="A247" t="inlineStr">
        <is>
          <t>A 22622-2019</t>
        </is>
      </c>
      <c r="B247" s="1" t="n">
        <v>43588</v>
      </c>
      <c r="C247" s="1" t="n">
        <v>45743</v>
      </c>
      <c r="D247" t="inlineStr">
        <is>
          <t>JÄMTLANDS LÄN</t>
        </is>
      </c>
      <c r="E247" t="inlineStr">
        <is>
          <t>HÄRJEDALEN</t>
        </is>
      </c>
      <c r="G247" t="n">
        <v>1.5</v>
      </c>
      <c r="H247" t="n">
        <v>0</v>
      </c>
      <c r="I247" t="n">
        <v>0</v>
      </c>
      <c r="J247" t="n">
        <v>0</v>
      </c>
      <c r="K247" t="n">
        <v>0</v>
      </c>
      <c r="L247" t="n">
        <v>0</v>
      </c>
      <c r="M247" t="n">
        <v>0</v>
      </c>
      <c r="N247" t="n">
        <v>0</v>
      </c>
      <c r="O247" t="n">
        <v>0</v>
      </c>
      <c r="P247" t="n">
        <v>0</v>
      </c>
      <c r="Q247" t="n">
        <v>0</v>
      </c>
      <c r="R247" s="2" t="inlineStr"/>
    </row>
    <row r="248" ht="15" customHeight="1">
      <c r="A248" t="inlineStr">
        <is>
          <t>A 24030-2019</t>
        </is>
      </c>
      <c r="B248" s="1" t="n">
        <v>43598</v>
      </c>
      <c r="C248" s="1" t="n">
        <v>45743</v>
      </c>
      <c r="D248" t="inlineStr">
        <is>
          <t>JÄMTLANDS LÄN</t>
        </is>
      </c>
      <c r="E248" t="inlineStr">
        <is>
          <t>HÄRJEDALEN</t>
        </is>
      </c>
      <c r="F248" t="inlineStr">
        <is>
          <t>Sveaskog</t>
        </is>
      </c>
      <c r="G248" t="n">
        <v>39.9</v>
      </c>
      <c r="H248" t="n">
        <v>0</v>
      </c>
      <c r="I248" t="n">
        <v>0</v>
      </c>
      <c r="J248" t="n">
        <v>0</v>
      </c>
      <c r="K248" t="n">
        <v>0</v>
      </c>
      <c r="L248" t="n">
        <v>0</v>
      </c>
      <c r="M248" t="n">
        <v>0</v>
      </c>
      <c r="N248" t="n">
        <v>0</v>
      </c>
      <c r="O248" t="n">
        <v>0</v>
      </c>
      <c r="P248" t="n">
        <v>0</v>
      </c>
      <c r="Q248" t="n">
        <v>0</v>
      </c>
      <c r="R248" s="2" t="inlineStr"/>
    </row>
    <row r="249" ht="15" customHeight="1">
      <c r="A249" t="inlineStr">
        <is>
          <t>A 24760-2019</t>
        </is>
      </c>
      <c r="B249" s="1" t="n">
        <v>43601</v>
      </c>
      <c r="C249" s="1" t="n">
        <v>45743</v>
      </c>
      <c r="D249" t="inlineStr">
        <is>
          <t>JÄMTLANDS LÄN</t>
        </is>
      </c>
      <c r="E249" t="inlineStr">
        <is>
          <t>HÄRJEDALEN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25309-2019</t>
        </is>
      </c>
      <c r="B250" s="1" t="n">
        <v>43605</v>
      </c>
      <c r="C250" s="1" t="n">
        <v>45743</v>
      </c>
      <c r="D250" t="inlineStr">
        <is>
          <t>JÄMTLANDS LÄN</t>
        </is>
      </c>
      <c r="E250" t="inlineStr">
        <is>
          <t>HÄRJEDALEN</t>
        </is>
      </c>
      <c r="G250" t="n">
        <v>0.1</v>
      </c>
      <c r="H250" t="n">
        <v>0</v>
      </c>
      <c r="I250" t="n">
        <v>0</v>
      </c>
      <c r="J250" t="n">
        <v>0</v>
      </c>
      <c r="K250" t="n">
        <v>0</v>
      </c>
      <c r="L250" t="n">
        <v>0</v>
      </c>
      <c r="M250" t="n">
        <v>0</v>
      </c>
      <c r="N250" t="n">
        <v>0</v>
      </c>
      <c r="O250" t="n">
        <v>0</v>
      </c>
      <c r="P250" t="n">
        <v>0</v>
      </c>
      <c r="Q250" t="n">
        <v>0</v>
      </c>
      <c r="R250" s="2" t="inlineStr"/>
    </row>
    <row r="251" ht="15" customHeight="1">
      <c r="A251" t="inlineStr">
        <is>
          <t>A 25470-2019</t>
        </is>
      </c>
      <c r="B251" s="1" t="n">
        <v>43606</v>
      </c>
      <c r="C251" s="1" t="n">
        <v>45743</v>
      </c>
      <c r="D251" t="inlineStr">
        <is>
          <t>JÄMTLANDS LÄN</t>
        </is>
      </c>
      <c r="E251" t="inlineStr">
        <is>
          <t>HÄRJEDALEN</t>
        </is>
      </c>
      <c r="G251" t="n">
        <v>36.8</v>
      </c>
      <c r="H251" t="n">
        <v>0</v>
      </c>
      <c r="I251" t="n">
        <v>0</v>
      </c>
      <c r="J251" t="n">
        <v>0</v>
      </c>
      <c r="K251" t="n">
        <v>0</v>
      </c>
      <c r="L251" t="n">
        <v>0</v>
      </c>
      <c r="M251" t="n">
        <v>0</v>
      </c>
      <c r="N251" t="n">
        <v>0</v>
      </c>
      <c r="O251" t="n">
        <v>0</v>
      </c>
      <c r="P251" t="n">
        <v>0</v>
      </c>
      <c r="Q251" t="n">
        <v>0</v>
      </c>
      <c r="R251" s="2" t="inlineStr"/>
    </row>
    <row r="252" ht="15" customHeight="1">
      <c r="A252" t="inlineStr">
        <is>
          <t>A 26166-2019</t>
        </is>
      </c>
      <c r="B252" s="1" t="n">
        <v>43609</v>
      </c>
      <c r="C252" s="1" t="n">
        <v>45743</v>
      </c>
      <c r="D252" t="inlineStr">
        <is>
          <t>JÄMTLANDS LÄN</t>
        </is>
      </c>
      <c r="E252" t="inlineStr">
        <is>
          <t>HÄRJEDALEN</t>
        </is>
      </c>
      <c r="G252" t="n">
        <v>85.2</v>
      </c>
      <c r="H252" t="n">
        <v>0</v>
      </c>
      <c r="I252" t="n">
        <v>0</v>
      </c>
      <c r="J252" t="n">
        <v>0</v>
      </c>
      <c r="K252" t="n">
        <v>0</v>
      </c>
      <c r="L252" t="n">
        <v>0</v>
      </c>
      <c r="M252" t="n">
        <v>0</v>
      </c>
      <c r="N252" t="n">
        <v>0</v>
      </c>
      <c r="O252" t="n">
        <v>0</v>
      </c>
      <c r="P252" t="n">
        <v>0</v>
      </c>
      <c r="Q252" t="n">
        <v>0</v>
      </c>
      <c r="R252" s="2" t="inlineStr"/>
    </row>
    <row r="253" ht="15" customHeight="1">
      <c r="A253" t="inlineStr">
        <is>
          <t>A 26310-2019</t>
        </is>
      </c>
      <c r="B253" s="1" t="n">
        <v>43612</v>
      </c>
      <c r="C253" s="1" t="n">
        <v>45743</v>
      </c>
      <c r="D253" t="inlineStr">
        <is>
          <t>JÄMTLANDS LÄN</t>
        </is>
      </c>
      <c r="E253" t="inlineStr">
        <is>
          <t>HÄRJEDALEN</t>
        </is>
      </c>
      <c r="F253" t="inlineStr">
        <is>
          <t>Holmen skog AB</t>
        </is>
      </c>
      <c r="G253" t="n">
        <v>15</v>
      </c>
      <c r="H253" t="n">
        <v>0</v>
      </c>
      <c r="I253" t="n">
        <v>0</v>
      </c>
      <c r="J253" t="n">
        <v>0</v>
      </c>
      <c r="K253" t="n">
        <v>0</v>
      </c>
      <c r="L253" t="n">
        <v>0</v>
      </c>
      <c r="M253" t="n">
        <v>0</v>
      </c>
      <c r="N253" t="n">
        <v>0</v>
      </c>
      <c r="O253" t="n">
        <v>0</v>
      </c>
      <c r="P253" t="n">
        <v>0</v>
      </c>
      <c r="Q253" t="n">
        <v>0</v>
      </c>
      <c r="R253" s="2" t="inlineStr"/>
    </row>
    <row r="254" ht="15" customHeight="1">
      <c r="A254" t="inlineStr">
        <is>
          <t>A 26423-2019</t>
        </is>
      </c>
      <c r="B254" s="1" t="n">
        <v>43612</v>
      </c>
      <c r="C254" s="1" t="n">
        <v>45743</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27683-2019</t>
        </is>
      </c>
      <c r="B255" s="1" t="n">
        <v>43619</v>
      </c>
      <c r="C255" s="1" t="n">
        <v>45743</v>
      </c>
      <c r="D255" t="inlineStr">
        <is>
          <t>JÄMTLANDS LÄN</t>
        </is>
      </c>
      <c r="E255" t="inlineStr">
        <is>
          <t>HÄRJEDALEN</t>
        </is>
      </c>
      <c r="G255" t="n">
        <v>5.4</v>
      </c>
      <c r="H255" t="n">
        <v>0</v>
      </c>
      <c r="I255" t="n">
        <v>0</v>
      </c>
      <c r="J255" t="n">
        <v>0</v>
      </c>
      <c r="K255" t="n">
        <v>0</v>
      </c>
      <c r="L255" t="n">
        <v>0</v>
      </c>
      <c r="M255" t="n">
        <v>0</v>
      </c>
      <c r="N255" t="n">
        <v>0</v>
      </c>
      <c r="O255" t="n">
        <v>0</v>
      </c>
      <c r="P255" t="n">
        <v>0</v>
      </c>
      <c r="Q255" t="n">
        <v>0</v>
      </c>
      <c r="R255" s="2" t="inlineStr"/>
    </row>
    <row r="256" ht="15" customHeight="1">
      <c r="A256" t="inlineStr">
        <is>
          <t>A 27903-2019</t>
        </is>
      </c>
      <c r="B256" s="1" t="n">
        <v>43620</v>
      </c>
      <c r="C256" s="1" t="n">
        <v>45743</v>
      </c>
      <c r="D256" t="inlineStr">
        <is>
          <t>JÄMTLANDS LÄN</t>
        </is>
      </c>
      <c r="E256" t="inlineStr">
        <is>
          <t>HÄRJEDALEN</t>
        </is>
      </c>
      <c r="G256" t="n">
        <v>22</v>
      </c>
      <c r="H256" t="n">
        <v>0</v>
      </c>
      <c r="I256" t="n">
        <v>0</v>
      </c>
      <c r="J256" t="n">
        <v>0</v>
      </c>
      <c r="K256" t="n">
        <v>0</v>
      </c>
      <c r="L256" t="n">
        <v>0</v>
      </c>
      <c r="M256" t="n">
        <v>0</v>
      </c>
      <c r="N256" t="n">
        <v>0</v>
      </c>
      <c r="O256" t="n">
        <v>0</v>
      </c>
      <c r="P256" t="n">
        <v>0</v>
      </c>
      <c r="Q256" t="n">
        <v>0</v>
      </c>
      <c r="R256" s="2" t="inlineStr"/>
    </row>
    <row r="257" ht="15" customHeight="1">
      <c r="A257" t="inlineStr">
        <is>
          <t>A 28312-2019</t>
        </is>
      </c>
      <c r="B257" s="1" t="n">
        <v>43623</v>
      </c>
      <c r="C257" s="1" t="n">
        <v>45743</v>
      </c>
      <c r="D257" t="inlineStr">
        <is>
          <t>JÄMTLANDS LÄN</t>
        </is>
      </c>
      <c r="E257" t="inlineStr">
        <is>
          <t>HÄRJEDALEN</t>
        </is>
      </c>
      <c r="G257" t="n">
        <v>6.5</v>
      </c>
      <c r="H257" t="n">
        <v>0</v>
      </c>
      <c r="I257" t="n">
        <v>0</v>
      </c>
      <c r="J257" t="n">
        <v>0</v>
      </c>
      <c r="K257" t="n">
        <v>0</v>
      </c>
      <c r="L257" t="n">
        <v>0</v>
      </c>
      <c r="M257" t="n">
        <v>0</v>
      </c>
      <c r="N257" t="n">
        <v>0</v>
      </c>
      <c r="O257" t="n">
        <v>0</v>
      </c>
      <c r="P257" t="n">
        <v>0</v>
      </c>
      <c r="Q257" t="n">
        <v>0</v>
      </c>
      <c r="R257" s="2" t="inlineStr"/>
    </row>
    <row r="258" ht="15" customHeight="1">
      <c r="A258" t="inlineStr">
        <is>
          <t>A 28326-2019</t>
        </is>
      </c>
      <c r="B258" s="1" t="n">
        <v>43623</v>
      </c>
      <c r="C258" s="1" t="n">
        <v>45743</v>
      </c>
      <c r="D258" t="inlineStr">
        <is>
          <t>JÄMTLANDS LÄN</t>
        </is>
      </c>
      <c r="E258" t="inlineStr">
        <is>
          <t>HÄRJEDALEN</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28513-2019</t>
        </is>
      </c>
      <c r="B259" s="1" t="n">
        <v>43626</v>
      </c>
      <c r="C259" s="1" t="n">
        <v>45743</v>
      </c>
      <c r="D259" t="inlineStr">
        <is>
          <t>JÄMTLANDS LÄN</t>
        </is>
      </c>
      <c r="E259" t="inlineStr">
        <is>
          <t>HÄRJEDALEN</t>
        </is>
      </c>
      <c r="G259" t="n">
        <v>0.9</v>
      </c>
      <c r="H259" t="n">
        <v>0</v>
      </c>
      <c r="I259" t="n">
        <v>0</v>
      </c>
      <c r="J259" t="n">
        <v>0</v>
      </c>
      <c r="K259" t="n">
        <v>0</v>
      </c>
      <c r="L259" t="n">
        <v>0</v>
      </c>
      <c r="M259" t="n">
        <v>0</v>
      </c>
      <c r="N259" t="n">
        <v>0</v>
      </c>
      <c r="O259" t="n">
        <v>0</v>
      </c>
      <c r="P259" t="n">
        <v>0</v>
      </c>
      <c r="Q259" t="n">
        <v>0</v>
      </c>
      <c r="R259" s="2" t="inlineStr"/>
    </row>
    <row r="260" ht="15" customHeight="1">
      <c r="A260" t="inlineStr">
        <is>
          <t>A 29263-2019</t>
        </is>
      </c>
      <c r="B260" s="1" t="n">
        <v>43629</v>
      </c>
      <c r="C260" s="1" t="n">
        <v>45743</v>
      </c>
      <c r="D260" t="inlineStr">
        <is>
          <t>JÄMTLANDS LÄN</t>
        </is>
      </c>
      <c r="E260" t="inlineStr">
        <is>
          <t>HÄRJEDALEN</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29822-2019</t>
        </is>
      </c>
      <c r="B261" s="1" t="n">
        <v>43633</v>
      </c>
      <c r="C261" s="1" t="n">
        <v>45743</v>
      </c>
      <c r="D261" t="inlineStr">
        <is>
          <t>JÄMTLANDS LÄN</t>
        </is>
      </c>
      <c r="E261" t="inlineStr">
        <is>
          <t>HÄRJEDALEN</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34618-2019</t>
        </is>
      </c>
      <c r="B262" s="1" t="n">
        <v>43647</v>
      </c>
      <c r="C262" s="1" t="n">
        <v>45743</v>
      </c>
      <c r="D262" t="inlineStr">
        <is>
          <t>JÄMTLANDS LÄN</t>
        </is>
      </c>
      <c r="E262" t="inlineStr">
        <is>
          <t>HÄRJEDALEN</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32878-2019</t>
        </is>
      </c>
      <c r="B263" s="1" t="n">
        <v>43648</v>
      </c>
      <c r="C263" s="1" t="n">
        <v>45743</v>
      </c>
      <c r="D263" t="inlineStr">
        <is>
          <t>JÄMTLANDS LÄN</t>
        </is>
      </c>
      <c r="E263" t="inlineStr">
        <is>
          <t>HÄRJEDALEN</t>
        </is>
      </c>
      <c r="F263" t="inlineStr">
        <is>
          <t>Övriga Aktiebolag</t>
        </is>
      </c>
      <c r="G263" t="n">
        <v>91.8</v>
      </c>
      <c r="H263" t="n">
        <v>0</v>
      </c>
      <c r="I263" t="n">
        <v>0</v>
      </c>
      <c r="J263" t="n">
        <v>0</v>
      </c>
      <c r="K263" t="n">
        <v>0</v>
      </c>
      <c r="L263" t="n">
        <v>0</v>
      </c>
      <c r="M263" t="n">
        <v>0</v>
      </c>
      <c r="N263" t="n">
        <v>0</v>
      </c>
      <c r="O263" t="n">
        <v>0</v>
      </c>
      <c r="P263" t="n">
        <v>0</v>
      </c>
      <c r="Q263" t="n">
        <v>0</v>
      </c>
      <c r="R263" s="2" t="inlineStr"/>
    </row>
    <row r="264" ht="15" customHeight="1">
      <c r="A264" t="inlineStr">
        <is>
          <t>A 33496-2019</t>
        </is>
      </c>
      <c r="B264" s="1" t="n">
        <v>43651</v>
      </c>
      <c r="C264" s="1" t="n">
        <v>45743</v>
      </c>
      <c r="D264" t="inlineStr">
        <is>
          <t>JÄMTLANDS LÄN</t>
        </is>
      </c>
      <c r="E264" t="inlineStr">
        <is>
          <t>HÄRJEDALEN</t>
        </is>
      </c>
      <c r="G264" t="n">
        <v>3.6</v>
      </c>
      <c r="H264" t="n">
        <v>0</v>
      </c>
      <c r="I264" t="n">
        <v>0</v>
      </c>
      <c r="J264" t="n">
        <v>0</v>
      </c>
      <c r="K264" t="n">
        <v>0</v>
      </c>
      <c r="L264" t="n">
        <v>0</v>
      </c>
      <c r="M264" t="n">
        <v>0</v>
      </c>
      <c r="N264" t="n">
        <v>0</v>
      </c>
      <c r="O264" t="n">
        <v>0</v>
      </c>
      <c r="P264" t="n">
        <v>0</v>
      </c>
      <c r="Q264" t="n">
        <v>0</v>
      </c>
      <c r="R264" s="2" t="inlineStr"/>
    </row>
    <row r="265" ht="15" customHeight="1">
      <c r="A265" t="inlineStr">
        <is>
          <t>A 33497-2019</t>
        </is>
      </c>
      <c r="B265" s="1" t="n">
        <v>43651</v>
      </c>
      <c r="C265" s="1" t="n">
        <v>45743</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34688-2019</t>
        </is>
      </c>
      <c r="B266" s="1" t="n">
        <v>43657</v>
      </c>
      <c r="C266" s="1" t="n">
        <v>45743</v>
      </c>
      <c r="D266" t="inlineStr">
        <is>
          <t>JÄMTLANDS LÄN</t>
        </is>
      </c>
      <c r="E266" t="inlineStr">
        <is>
          <t>HÄRJEDALEN</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34805-2019</t>
        </is>
      </c>
      <c r="B267" s="1" t="n">
        <v>43658</v>
      </c>
      <c r="C267" s="1" t="n">
        <v>45743</v>
      </c>
      <c r="D267" t="inlineStr">
        <is>
          <t>JÄMTLANDS LÄN</t>
        </is>
      </c>
      <c r="E267" t="inlineStr">
        <is>
          <t>HÄRJEDALEN</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35160-2019</t>
        </is>
      </c>
      <c r="B268" s="1" t="n">
        <v>43661</v>
      </c>
      <c r="C268" s="1" t="n">
        <v>45743</v>
      </c>
      <c r="D268" t="inlineStr">
        <is>
          <t>JÄMTLANDS LÄN</t>
        </is>
      </c>
      <c r="E268" t="inlineStr">
        <is>
          <t>HÄRJEDALEN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36343-2019</t>
        </is>
      </c>
      <c r="B269" s="1" t="n">
        <v>43662</v>
      </c>
      <c r="C269" s="1" t="n">
        <v>45743</v>
      </c>
      <c r="D269" t="inlineStr">
        <is>
          <t>JÄMTLANDS LÄN</t>
        </is>
      </c>
      <c r="E269" t="inlineStr">
        <is>
          <t>HÄRJEDALEN</t>
        </is>
      </c>
      <c r="G269" t="n">
        <v>8</v>
      </c>
      <c r="H269" t="n">
        <v>0</v>
      </c>
      <c r="I269" t="n">
        <v>0</v>
      </c>
      <c r="J269" t="n">
        <v>0</v>
      </c>
      <c r="K269" t="n">
        <v>0</v>
      </c>
      <c r="L269" t="n">
        <v>0</v>
      </c>
      <c r="M269" t="n">
        <v>0</v>
      </c>
      <c r="N269" t="n">
        <v>0</v>
      </c>
      <c r="O269" t="n">
        <v>0</v>
      </c>
      <c r="P269" t="n">
        <v>0</v>
      </c>
      <c r="Q269" t="n">
        <v>0</v>
      </c>
      <c r="R269" s="2" t="inlineStr"/>
    </row>
    <row r="270" ht="15" customHeight="1">
      <c r="A270" t="inlineStr">
        <is>
          <t>A 38283-2019</t>
        </is>
      </c>
      <c r="B270" s="1" t="n">
        <v>43684</v>
      </c>
      <c r="C270" s="1" t="n">
        <v>45743</v>
      </c>
      <c r="D270" t="inlineStr">
        <is>
          <t>JÄMTLANDS LÄN</t>
        </is>
      </c>
      <c r="E270" t="inlineStr">
        <is>
          <t>HÄRJEDALEN</t>
        </is>
      </c>
      <c r="F270" t="inlineStr">
        <is>
          <t>Bergvik skog väst AB</t>
        </is>
      </c>
      <c r="G270" t="n">
        <v>29.5</v>
      </c>
      <c r="H270" t="n">
        <v>0</v>
      </c>
      <c r="I270" t="n">
        <v>0</v>
      </c>
      <c r="J270" t="n">
        <v>0</v>
      </c>
      <c r="K270" t="n">
        <v>0</v>
      </c>
      <c r="L270" t="n">
        <v>0</v>
      </c>
      <c r="M270" t="n">
        <v>0</v>
      </c>
      <c r="N270" t="n">
        <v>0</v>
      </c>
      <c r="O270" t="n">
        <v>0</v>
      </c>
      <c r="P270" t="n">
        <v>0</v>
      </c>
      <c r="Q270" t="n">
        <v>0</v>
      </c>
      <c r="R270" s="2" t="inlineStr"/>
    </row>
    <row r="271" ht="15" customHeight="1">
      <c r="A271" t="inlineStr">
        <is>
          <t>A 38859-2019</t>
        </is>
      </c>
      <c r="B271" s="1" t="n">
        <v>43689</v>
      </c>
      <c r="C271" s="1" t="n">
        <v>45743</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38884-2019</t>
        </is>
      </c>
      <c r="B272" s="1" t="n">
        <v>43689</v>
      </c>
      <c r="C272" s="1" t="n">
        <v>45743</v>
      </c>
      <c r="D272" t="inlineStr">
        <is>
          <t>JÄMTLANDS LÄN</t>
        </is>
      </c>
      <c r="E272" t="inlineStr">
        <is>
          <t>HÄRJEDALEN</t>
        </is>
      </c>
      <c r="G272" t="n">
        <v>2.5</v>
      </c>
      <c r="H272" t="n">
        <v>0</v>
      </c>
      <c r="I272" t="n">
        <v>0</v>
      </c>
      <c r="J272" t="n">
        <v>0</v>
      </c>
      <c r="K272" t="n">
        <v>0</v>
      </c>
      <c r="L272" t="n">
        <v>0</v>
      </c>
      <c r="M272" t="n">
        <v>0</v>
      </c>
      <c r="N272" t="n">
        <v>0</v>
      </c>
      <c r="O272" t="n">
        <v>0</v>
      </c>
      <c r="P272" t="n">
        <v>0</v>
      </c>
      <c r="Q272" t="n">
        <v>0</v>
      </c>
      <c r="R272" s="2" t="inlineStr"/>
    </row>
    <row r="273" ht="15" customHeight="1">
      <c r="A273" t="inlineStr">
        <is>
          <t>A 40244-2019</t>
        </is>
      </c>
      <c r="B273" s="1" t="n">
        <v>43694</v>
      </c>
      <c r="C273" s="1" t="n">
        <v>45743</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42123-2019</t>
        </is>
      </c>
      <c r="B274" s="1" t="n">
        <v>43703</v>
      </c>
      <c r="C274" s="1" t="n">
        <v>45743</v>
      </c>
      <c r="D274" t="inlineStr">
        <is>
          <t>JÄMTLANDS LÄN</t>
        </is>
      </c>
      <c r="E274" t="inlineStr">
        <is>
          <t>HÄRJEDALEN</t>
        </is>
      </c>
      <c r="G274" t="n">
        <v>1.8</v>
      </c>
      <c r="H274" t="n">
        <v>0</v>
      </c>
      <c r="I274" t="n">
        <v>0</v>
      </c>
      <c r="J274" t="n">
        <v>0</v>
      </c>
      <c r="K274" t="n">
        <v>0</v>
      </c>
      <c r="L274" t="n">
        <v>0</v>
      </c>
      <c r="M274" t="n">
        <v>0</v>
      </c>
      <c r="N274" t="n">
        <v>0</v>
      </c>
      <c r="O274" t="n">
        <v>0</v>
      </c>
      <c r="P274" t="n">
        <v>0</v>
      </c>
      <c r="Q274" t="n">
        <v>0</v>
      </c>
      <c r="R274" s="2" t="inlineStr"/>
    </row>
    <row r="275" ht="15" customHeight="1">
      <c r="A275" t="inlineStr">
        <is>
          <t>A 43103-2019</t>
        </is>
      </c>
      <c r="B275" s="1" t="n">
        <v>43705</v>
      </c>
      <c r="C275" s="1" t="n">
        <v>45743</v>
      </c>
      <c r="D275" t="inlineStr">
        <is>
          <t>JÄMTLANDS LÄN</t>
        </is>
      </c>
      <c r="E275" t="inlineStr">
        <is>
          <t>HÄRJEDALEN</t>
        </is>
      </c>
      <c r="G275" t="n">
        <v>38.6</v>
      </c>
      <c r="H275" t="n">
        <v>0</v>
      </c>
      <c r="I275" t="n">
        <v>0</v>
      </c>
      <c r="J275" t="n">
        <v>0</v>
      </c>
      <c r="K275" t="n">
        <v>0</v>
      </c>
      <c r="L275" t="n">
        <v>0</v>
      </c>
      <c r="M275" t="n">
        <v>0</v>
      </c>
      <c r="N275" t="n">
        <v>0</v>
      </c>
      <c r="O275" t="n">
        <v>0</v>
      </c>
      <c r="P275" t="n">
        <v>0</v>
      </c>
      <c r="Q275" t="n">
        <v>0</v>
      </c>
      <c r="R275" s="2" t="inlineStr"/>
    </row>
    <row r="276" ht="15" customHeight="1">
      <c r="A276" t="inlineStr">
        <is>
          <t>A 43142-2019</t>
        </is>
      </c>
      <c r="B276" s="1" t="n">
        <v>43705</v>
      </c>
      <c r="C276" s="1" t="n">
        <v>45743</v>
      </c>
      <c r="D276" t="inlineStr">
        <is>
          <t>JÄMTLANDS LÄN</t>
        </is>
      </c>
      <c r="E276" t="inlineStr">
        <is>
          <t>HÄRJEDALEN</t>
        </is>
      </c>
      <c r="G276" t="n">
        <v>3.2</v>
      </c>
      <c r="H276" t="n">
        <v>0</v>
      </c>
      <c r="I276" t="n">
        <v>0</v>
      </c>
      <c r="J276" t="n">
        <v>0</v>
      </c>
      <c r="K276" t="n">
        <v>0</v>
      </c>
      <c r="L276" t="n">
        <v>0</v>
      </c>
      <c r="M276" t="n">
        <v>0</v>
      </c>
      <c r="N276" t="n">
        <v>0</v>
      </c>
      <c r="O276" t="n">
        <v>0</v>
      </c>
      <c r="P276" t="n">
        <v>0</v>
      </c>
      <c r="Q276" t="n">
        <v>0</v>
      </c>
      <c r="R276" s="2" t="inlineStr"/>
    </row>
    <row r="277" ht="15" customHeight="1">
      <c r="A277" t="inlineStr">
        <is>
          <t>A 43649-2019</t>
        </is>
      </c>
      <c r="B277" s="1" t="n">
        <v>43707</v>
      </c>
      <c r="C277" s="1" t="n">
        <v>45743</v>
      </c>
      <c r="D277" t="inlineStr">
        <is>
          <t>JÄMTLANDS LÄN</t>
        </is>
      </c>
      <c r="E277" t="inlineStr">
        <is>
          <t>HÄRJEDALEN</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43896-2019</t>
        </is>
      </c>
      <c r="B278" s="1" t="n">
        <v>43707</v>
      </c>
      <c r="C278" s="1" t="n">
        <v>45743</v>
      </c>
      <c r="D278" t="inlineStr">
        <is>
          <t>JÄMTLANDS LÄN</t>
        </is>
      </c>
      <c r="E278" t="inlineStr">
        <is>
          <t>HÄRJEDALEN</t>
        </is>
      </c>
      <c r="F278" t="inlineStr">
        <is>
          <t>Sveaskog</t>
        </is>
      </c>
      <c r="G278" t="n">
        <v>4.2</v>
      </c>
      <c r="H278" t="n">
        <v>0</v>
      </c>
      <c r="I278" t="n">
        <v>0</v>
      </c>
      <c r="J278" t="n">
        <v>0</v>
      </c>
      <c r="K278" t="n">
        <v>0</v>
      </c>
      <c r="L278" t="n">
        <v>0</v>
      </c>
      <c r="M278" t="n">
        <v>0</v>
      </c>
      <c r="N278" t="n">
        <v>0</v>
      </c>
      <c r="O278" t="n">
        <v>0</v>
      </c>
      <c r="P278" t="n">
        <v>0</v>
      </c>
      <c r="Q278" t="n">
        <v>0</v>
      </c>
      <c r="R278" s="2" t="inlineStr"/>
    </row>
    <row r="279" ht="15" customHeight="1">
      <c r="A279" t="inlineStr">
        <is>
          <t>A 45167-2019</t>
        </is>
      </c>
      <c r="B279" s="1" t="n">
        <v>43713</v>
      </c>
      <c r="C279" s="1" t="n">
        <v>45743</v>
      </c>
      <c r="D279" t="inlineStr">
        <is>
          <t>JÄMTLANDS LÄN</t>
        </is>
      </c>
      <c r="E279" t="inlineStr">
        <is>
          <t>HÄRJEDALEN</t>
        </is>
      </c>
      <c r="F279" t="inlineStr">
        <is>
          <t>Holmen skog AB</t>
        </is>
      </c>
      <c r="G279" t="n">
        <v>15.9</v>
      </c>
      <c r="H279" t="n">
        <v>0</v>
      </c>
      <c r="I279" t="n">
        <v>0</v>
      </c>
      <c r="J279" t="n">
        <v>0</v>
      </c>
      <c r="K279" t="n">
        <v>0</v>
      </c>
      <c r="L279" t="n">
        <v>0</v>
      </c>
      <c r="M279" t="n">
        <v>0</v>
      </c>
      <c r="N279" t="n">
        <v>0</v>
      </c>
      <c r="O279" t="n">
        <v>0</v>
      </c>
      <c r="P279" t="n">
        <v>0</v>
      </c>
      <c r="Q279" t="n">
        <v>0</v>
      </c>
      <c r="R279" s="2" t="inlineStr"/>
    </row>
    <row r="280" ht="15" customHeight="1">
      <c r="A280" t="inlineStr">
        <is>
          <t>A 44939-2019</t>
        </is>
      </c>
      <c r="B280" s="1" t="n">
        <v>43713</v>
      </c>
      <c r="C280" s="1" t="n">
        <v>45743</v>
      </c>
      <c r="D280" t="inlineStr">
        <is>
          <t>JÄMTLANDS LÄN</t>
        </is>
      </c>
      <c r="E280" t="inlineStr">
        <is>
          <t>HÄRJEDALEN</t>
        </is>
      </c>
      <c r="G280" t="n">
        <v>1.2</v>
      </c>
      <c r="H280" t="n">
        <v>0</v>
      </c>
      <c r="I280" t="n">
        <v>0</v>
      </c>
      <c r="J280" t="n">
        <v>0</v>
      </c>
      <c r="K280" t="n">
        <v>0</v>
      </c>
      <c r="L280" t="n">
        <v>0</v>
      </c>
      <c r="M280" t="n">
        <v>0</v>
      </c>
      <c r="N280" t="n">
        <v>0</v>
      </c>
      <c r="O280" t="n">
        <v>0</v>
      </c>
      <c r="P280" t="n">
        <v>0</v>
      </c>
      <c r="Q280" t="n">
        <v>0</v>
      </c>
      <c r="R280" s="2" t="inlineStr"/>
    </row>
    <row r="281" ht="15" customHeight="1">
      <c r="A281" t="inlineStr">
        <is>
          <t>A 45858-2019</t>
        </is>
      </c>
      <c r="B281" s="1" t="n">
        <v>43717</v>
      </c>
      <c r="C281" s="1" t="n">
        <v>45743</v>
      </c>
      <c r="D281" t="inlineStr">
        <is>
          <t>JÄMTLANDS LÄN</t>
        </is>
      </c>
      <c r="E281" t="inlineStr">
        <is>
          <t>HÄRJEDALEN</t>
        </is>
      </c>
      <c r="F281" t="inlineStr">
        <is>
          <t>Holmen skog AB</t>
        </is>
      </c>
      <c r="G281" t="n">
        <v>3.9</v>
      </c>
      <c r="H281" t="n">
        <v>0</v>
      </c>
      <c r="I281" t="n">
        <v>0</v>
      </c>
      <c r="J281" t="n">
        <v>0</v>
      </c>
      <c r="K281" t="n">
        <v>0</v>
      </c>
      <c r="L281" t="n">
        <v>0</v>
      </c>
      <c r="M281" t="n">
        <v>0</v>
      </c>
      <c r="N281" t="n">
        <v>0</v>
      </c>
      <c r="O281" t="n">
        <v>0</v>
      </c>
      <c r="P281" t="n">
        <v>0</v>
      </c>
      <c r="Q281" t="n">
        <v>0</v>
      </c>
      <c r="R281" s="2" t="inlineStr"/>
    </row>
    <row r="282" ht="15" customHeight="1">
      <c r="A282" t="inlineStr">
        <is>
          <t>A 46156-2019</t>
        </is>
      </c>
      <c r="B282" s="1" t="n">
        <v>43718</v>
      </c>
      <c r="C282" s="1" t="n">
        <v>45743</v>
      </c>
      <c r="D282" t="inlineStr">
        <is>
          <t>JÄMTLANDS LÄN</t>
        </is>
      </c>
      <c r="E282" t="inlineStr">
        <is>
          <t>HÄRJEDALEN</t>
        </is>
      </c>
      <c r="G282" t="n">
        <v>3.9</v>
      </c>
      <c r="H282" t="n">
        <v>0</v>
      </c>
      <c r="I282" t="n">
        <v>0</v>
      </c>
      <c r="J282" t="n">
        <v>0</v>
      </c>
      <c r="K282" t="n">
        <v>0</v>
      </c>
      <c r="L282" t="n">
        <v>0</v>
      </c>
      <c r="M282" t="n">
        <v>0</v>
      </c>
      <c r="N282" t="n">
        <v>0</v>
      </c>
      <c r="O282" t="n">
        <v>0</v>
      </c>
      <c r="P282" t="n">
        <v>0</v>
      </c>
      <c r="Q282" t="n">
        <v>0</v>
      </c>
      <c r="R282" s="2" t="inlineStr"/>
    </row>
    <row r="283" ht="15" customHeight="1">
      <c r="A283" t="inlineStr">
        <is>
          <t>A 46133-2019</t>
        </is>
      </c>
      <c r="B283" s="1" t="n">
        <v>43718</v>
      </c>
      <c r="C283" s="1" t="n">
        <v>45743</v>
      </c>
      <c r="D283" t="inlineStr">
        <is>
          <t>JÄMTLANDS LÄN</t>
        </is>
      </c>
      <c r="E283" t="inlineStr">
        <is>
          <t>HÄRJEDALEN</t>
        </is>
      </c>
      <c r="G283" t="n">
        <v>17.6</v>
      </c>
      <c r="H283" t="n">
        <v>0</v>
      </c>
      <c r="I283" t="n">
        <v>0</v>
      </c>
      <c r="J283" t="n">
        <v>0</v>
      </c>
      <c r="K283" t="n">
        <v>0</v>
      </c>
      <c r="L283" t="n">
        <v>0</v>
      </c>
      <c r="M283" t="n">
        <v>0</v>
      </c>
      <c r="N283" t="n">
        <v>0</v>
      </c>
      <c r="O283" t="n">
        <v>0</v>
      </c>
      <c r="P283" t="n">
        <v>0</v>
      </c>
      <c r="Q283" t="n">
        <v>0</v>
      </c>
      <c r="R283" s="2" t="inlineStr"/>
    </row>
    <row r="284" ht="15" customHeight="1">
      <c r="A284" t="inlineStr">
        <is>
          <t>A 46163-2019</t>
        </is>
      </c>
      <c r="B284" s="1" t="n">
        <v>43718</v>
      </c>
      <c r="C284" s="1" t="n">
        <v>45743</v>
      </c>
      <c r="D284" t="inlineStr">
        <is>
          <t>JÄMTLANDS LÄN</t>
        </is>
      </c>
      <c r="E284" t="inlineStr">
        <is>
          <t>HÄRJEDALEN</t>
        </is>
      </c>
      <c r="G284" t="n">
        <v>28.9</v>
      </c>
      <c r="H284" t="n">
        <v>0</v>
      </c>
      <c r="I284" t="n">
        <v>0</v>
      </c>
      <c r="J284" t="n">
        <v>0</v>
      </c>
      <c r="K284" t="n">
        <v>0</v>
      </c>
      <c r="L284" t="n">
        <v>0</v>
      </c>
      <c r="M284" t="n">
        <v>0</v>
      </c>
      <c r="N284" t="n">
        <v>0</v>
      </c>
      <c r="O284" t="n">
        <v>0</v>
      </c>
      <c r="P284" t="n">
        <v>0</v>
      </c>
      <c r="Q284" t="n">
        <v>0</v>
      </c>
      <c r="R284" s="2" t="inlineStr"/>
    </row>
    <row r="285" ht="15" customHeight="1">
      <c r="A285" t="inlineStr">
        <is>
          <t>A 47004-2019</t>
        </is>
      </c>
      <c r="B285" s="1" t="n">
        <v>43720</v>
      </c>
      <c r="C285" s="1" t="n">
        <v>45743</v>
      </c>
      <c r="D285" t="inlineStr">
        <is>
          <t>JÄMTLANDS LÄN</t>
        </is>
      </c>
      <c r="E285" t="inlineStr">
        <is>
          <t>HÄRJEDALEN</t>
        </is>
      </c>
      <c r="F285" t="inlineStr">
        <is>
          <t>Bergvik skog väst AB</t>
        </is>
      </c>
      <c r="G285" t="n">
        <v>13.7</v>
      </c>
      <c r="H285" t="n">
        <v>0</v>
      </c>
      <c r="I285" t="n">
        <v>0</v>
      </c>
      <c r="J285" t="n">
        <v>0</v>
      </c>
      <c r="K285" t="n">
        <v>0</v>
      </c>
      <c r="L285" t="n">
        <v>0</v>
      </c>
      <c r="M285" t="n">
        <v>0</v>
      </c>
      <c r="N285" t="n">
        <v>0</v>
      </c>
      <c r="O285" t="n">
        <v>0</v>
      </c>
      <c r="P285" t="n">
        <v>0</v>
      </c>
      <c r="Q285" t="n">
        <v>0</v>
      </c>
      <c r="R285" s="2" t="inlineStr"/>
    </row>
    <row r="286" ht="15" customHeight="1">
      <c r="A286" t="inlineStr">
        <is>
          <t>A 49328-2019</t>
        </is>
      </c>
      <c r="B286" s="1" t="n">
        <v>43731</v>
      </c>
      <c r="C286" s="1" t="n">
        <v>45743</v>
      </c>
      <c r="D286" t="inlineStr">
        <is>
          <t>JÄMTLANDS LÄN</t>
        </is>
      </c>
      <c r="E286" t="inlineStr">
        <is>
          <t>HÄRJEDALEN</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49336-2019</t>
        </is>
      </c>
      <c r="B287" s="1" t="n">
        <v>43731</v>
      </c>
      <c r="C287" s="1" t="n">
        <v>45743</v>
      </c>
      <c r="D287" t="inlineStr">
        <is>
          <t>JÄMTLANDS LÄN</t>
        </is>
      </c>
      <c r="E287" t="inlineStr">
        <is>
          <t>HÄRJEDALEN</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50310-2019</t>
        </is>
      </c>
      <c r="B288" s="1" t="n">
        <v>43735</v>
      </c>
      <c r="C288" s="1" t="n">
        <v>45743</v>
      </c>
      <c r="D288" t="inlineStr">
        <is>
          <t>JÄMTLANDS LÄN</t>
        </is>
      </c>
      <c r="E288" t="inlineStr">
        <is>
          <t>HÄRJEDALEN</t>
        </is>
      </c>
      <c r="G288" t="n">
        <v>9.1</v>
      </c>
      <c r="H288" t="n">
        <v>0</v>
      </c>
      <c r="I288" t="n">
        <v>0</v>
      </c>
      <c r="J288" t="n">
        <v>0</v>
      </c>
      <c r="K288" t="n">
        <v>0</v>
      </c>
      <c r="L288" t="n">
        <v>0</v>
      </c>
      <c r="M288" t="n">
        <v>0</v>
      </c>
      <c r="N288" t="n">
        <v>0</v>
      </c>
      <c r="O288" t="n">
        <v>0</v>
      </c>
      <c r="P288" t="n">
        <v>0</v>
      </c>
      <c r="Q288" t="n">
        <v>0</v>
      </c>
      <c r="R288" s="2" t="inlineStr"/>
    </row>
    <row r="289" ht="15" customHeight="1">
      <c r="A289" t="inlineStr">
        <is>
          <t>A 50411-2019</t>
        </is>
      </c>
      <c r="B289" s="1" t="n">
        <v>43735</v>
      </c>
      <c r="C289" s="1" t="n">
        <v>45743</v>
      </c>
      <c r="D289" t="inlineStr">
        <is>
          <t>JÄMTLANDS LÄN</t>
        </is>
      </c>
      <c r="E289" t="inlineStr">
        <is>
          <t>HÄRJEDALEN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50519-2019</t>
        </is>
      </c>
      <c r="B290" s="1" t="n">
        <v>43735</v>
      </c>
      <c r="C290" s="1" t="n">
        <v>45743</v>
      </c>
      <c r="D290" t="inlineStr">
        <is>
          <t>JÄMTLANDS LÄN</t>
        </is>
      </c>
      <c r="E290" t="inlineStr">
        <is>
          <t>HÄRJEDALEN</t>
        </is>
      </c>
      <c r="G290" t="n">
        <v>4.2</v>
      </c>
      <c r="H290" t="n">
        <v>0</v>
      </c>
      <c r="I290" t="n">
        <v>0</v>
      </c>
      <c r="J290" t="n">
        <v>0</v>
      </c>
      <c r="K290" t="n">
        <v>0</v>
      </c>
      <c r="L290" t="n">
        <v>0</v>
      </c>
      <c r="M290" t="n">
        <v>0</v>
      </c>
      <c r="N290" t="n">
        <v>0</v>
      </c>
      <c r="O290" t="n">
        <v>0</v>
      </c>
      <c r="P290" t="n">
        <v>0</v>
      </c>
      <c r="Q290" t="n">
        <v>0</v>
      </c>
      <c r="R290" s="2" t="inlineStr"/>
    </row>
    <row r="291" ht="15" customHeight="1">
      <c r="A291" t="inlineStr">
        <is>
          <t>A 50624-2019</t>
        </is>
      </c>
      <c r="B291" s="1" t="n">
        <v>43736</v>
      </c>
      <c r="C291" s="1" t="n">
        <v>45743</v>
      </c>
      <c r="D291" t="inlineStr">
        <is>
          <t>JÄMTLANDS LÄN</t>
        </is>
      </c>
      <c r="E291" t="inlineStr">
        <is>
          <t>HÄRJEDALEN</t>
        </is>
      </c>
      <c r="G291" t="n">
        <v>2.4</v>
      </c>
      <c r="H291" t="n">
        <v>0</v>
      </c>
      <c r="I291" t="n">
        <v>0</v>
      </c>
      <c r="J291" t="n">
        <v>0</v>
      </c>
      <c r="K291" t="n">
        <v>0</v>
      </c>
      <c r="L291" t="n">
        <v>0</v>
      </c>
      <c r="M291" t="n">
        <v>0</v>
      </c>
      <c r="N291" t="n">
        <v>0</v>
      </c>
      <c r="O291" t="n">
        <v>0</v>
      </c>
      <c r="P291" t="n">
        <v>0</v>
      </c>
      <c r="Q291" t="n">
        <v>0</v>
      </c>
      <c r="R291" s="2" t="inlineStr"/>
    </row>
    <row r="292" ht="15" customHeight="1">
      <c r="A292" t="inlineStr">
        <is>
          <t>A 51108-2019</t>
        </is>
      </c>
      <c r="B292" s="1" t="n">
        <v>43739</v>
      </c>
      <c r="C292" s="1" t="n">
        <v>45743</v>
      </c>
      <c r="D292" t="inlineStr">
        <is>
          <t>JÄMTLANDS LÄN</t>
        </is>
      </c>
      <c r="E292" t="inlineStr">
        <is>
          <t>HÄRJEDALEN</t>
        </is>
      </c>
      <c r="G292" t="n">
        <v>4.2</v>
      </c>
      <c r="H292" t="n">
        <v>0</v>
      </c>
      <c r="I292" t="n">
        <v>0</v>
      </c>
      <c r="J292" t="n">
        <v>0</v>
      </c>
      <c r="K292" t="n">
        <v>0</v>
      </c>
      <c r="L292" t="n">
        <v>0</v>
      </c>
      <c r="M292" t="n">
        <v>0</v>
      </c>
      <c r="N292" t="n">
        <v>0</v>
      </c>
      <c r="O292" t="n">
        <v>0</v>
      </c>
      <c r="P292" t="n">
        <v>0</v>
      </c>
      <c r="Q292" t="n">
        <v>0</v>
      </c>
      <c r="R292" s="2" t="inlineStr"/>
    </row>
    <row r="293" ht="15" customHeight="1">
      <c r="A293" t="inlineStr">
        <is>
          <t>A 51118-2019</t>
        </is>
      </c>
      <c r="B293" s="1" t="n">
        <v>43739</v>
      </c>
      <c r="C293" s="1" t="n">
        <v>45743</v>
      </c>
      <c r="D293" t="inlineStr">
        <is>
          <t>JÄMTLANDS LÄN</t>
        </is>
      </c>
      <c r="E293" t="inlineStr">
        <is>
          <t>HÄRJEDALEN</t>
        </is>
      </c>
      <c r="G293" t="n">
        <v>12.5</v>
      </c>
      <c r="H293" t="n">
        <v>0</v>
      </c>
      <c r="I293" t="n">
        <v>0</v>
      </c>
      <c r="J293" t="n">
        <v>0</v>
      </c>
      <c r="K293" t="n">
        <v>0</v>
      </c>
      <c r="L293" t="n">
        <v>0</v>
      </c>
      <c r="M293" t="n">
        <v>0</v>
      </c>
      <c r="N293" t="n">
        <v>0</v>
      </c>
      <c r="O293" t="n">
        <v>0</v>
      </c>
      <c r="P293" t="n">
        <v>0</v>
      </c>
      <c r="Q293" t="n">
        <v>0</v>
      </c>
      <c r="R293" s="2" t="inlineStr"/>
    </row>
    <row r="294" ht="15" customHeight="1">
      <c r="A294" t="inlineStr">
        <is>
          <t>A 51123-2019</t>
        </is>
      </c>
      <c r="B294" s="1" t="n">
        <v>43739</v>
      </c>
      <c r="C294" s="1" t="n">
        <v>45743</v>
      </c>
      <c r="D294" t="inlineStr">
        <is>
          <t>JÄMTLANDS LÄN</t>
        </is>
      </c>
      <c r="E294" t="inlineStr">
        <is>
          <t>HÄRJEDALEN</t>
        </is>
      </c>
      <c r="G294" t="n">
        <v>1.6</v>
      </c>
      <c r="H294" t="n">
        <v>0</v>
      </c>
      <c r="I294" t="n">
        <v>0</v>
      </c>
      <c r="J294" t="n">
        <v>0</v>
      </c>
      <c r="K294" t="n">
        <v>0</v>
      </c>
      <c r="L294" t="n">
        <v>0</v>
      </c>
      <c r="M294" t="n">
        <v>0</v>
      </c>
      <c r="N294" t="n">
        <v>0</v>
      </c>
      <c r="O294" t="n">
        <v>0</v>
      </c>
      <c r="P294" t="n">
        <v>0</v>
      </c>
      <c r="Q294" t="n">
        <v>0</v>
      </c>
      <c r="R294" s="2" t="inlineStr"/>
    </row>
    <row r="295" ht="15" customHeight="1">
      <c r="A295" t="inlineStr">
        <is>
          <t>A 51105-2019</t>
        </is>
      </c>
      <c r="B295" s="1" t="n">
        <v>43739</v>
      </c>
      <c r="C295" s="1" t="n">
        <v>45743</v>
      </c>
      <c r="D295" t="inlineStr">
        <is>
          <t>JÄMTLANDS LÄN</t>
        </is>
      </c>
      <c r="E295" t="inlineStr">
        <is>
          <t>HÄRJEDALEN</t>
        </is>
      </c>
      <c r="G295" t="n">
        <v>2</v>
      </c>
      <c r="H295" t="n">
        <v>0</v>
      </c>
      <c r="I295" t="n">
        <v>0</v>
      </c>
      <c r="J295" t="n">
        <v>0</v>
      </c>
      <c r="K295" t="n">
        <v>0</v>
      </c>
      <c r="L295" t="n">
        <v>0</v>
      </c>
      <c r="M295" t="n">
        <v>0</v>
      </c>
      <c r="N295" t="n">
        <v>0</v>
      </c>
      <c r="O295" t="n">
        <v>0</v>
      </c>
      <c r="P295" t="n">
        <v>0</v>
      </c>
      <c r="Q295" t="n">
        <v>0</v>
      </c>
      <c r="R295" s="2" t="inlineStr"/>
    </row>
    <row r="296" ht="15" customHeight="1">
      <c r="A296" t="inlineStr">
        <is>
          <t>A 51111-2019</t>
        </is>
      </c>
      <c r="B296" s="1" t="n">
        <v>43739</v>
      </c>
      <c r="C296" s="1" t="n">
        <v>45743</v>
      </c>
      <c r="D296" t="inlineStr">
        <is>
          <t>JÄMTLANDS LÄN</t>
        </is>
      </c>
      <c r="E296" t="inlineStr">
        <is>
          <t>HÄRJEDALEN</t>
        </is>
      </c>
      <c r="G296" t="n">
        <v>3.7</v>
      </c>
      <c r="H296" t="n">
        <v>0</v>
      </c>
      <c r="I296" t="n">
        <v>0</v>
      </c>
      <c r="J296" t="n">
        <v>0</v>
      </c>
      <c r="K296" t="n">
        <v>0</v>
      </c>
      <c r="L296" t="n">
        <v>0</v>
      </c>
      <c r="M296" t="n">
        <v>0</v>
      </c>
      <c r="N296" t="n">
        <v>0</v>
      </c>
      <c r="O296" t="n">
        <v>0</v>
      </c>
      <c r="P296" t="n">
        <v>0</v>
      </c>
      <c r="Q296" t="n">
        <v>0</v>
      </c>
      <c r="R296" s="2" t="inlineStr"/>
    </row>
    <row r="297" ht="15" customHeight="1">
      <c r="A297" t="inlineStr">
        <is>
          <t>A 52304-2019</t>
        </is>
      </c>
      <c r="B297" s="1" t="n">
        <v>43745</v>
      </c>
      <c r="C297" s="1" t="n">
        <v>45743</v>
      </c>
      <c r="D297" t="inlineStr">
        <is>
          <t>JÄMTLANDS LÄN</t>
        </is>
      </c>
      <c r="E297" t="inlineStr">
        <is>
          <t>HÄRJEDALEN</t>
        </is>
      </c>
      <c r="G297" t="n">
        <v>4.8</v>
      </c>
      <c r="H297" t="n">
        <v>0</v>
      </c>
      <c r="I297" t="n">
        <v>0</v>
      </c>
      <c r="J297" t="n">
        <v>0</v>
      </c>
      <c r="K297" t="n">
        <v>0</v>
      </c>
      <c r="L297" t="n">
        <v>0</v>
      </c>
      <c r="M297" t="n">
        <v>0</v>
      </c>
      <c r="N297" t="n">
        <v>0</v>
      </c>
      <c r="O297" t="n">
        <v>0</v>
      </c>
      <c r="P297" t="n">
        <v>0</v>
      </c>
      <c r="Q297" t="n">
        <v>0</v>
      </c>
      <c r="R297" s="2" t="inlineStr"/>
    </row>
    <row r="298" ht="15" customHeight="1">
      <c r="A298" t="inlineStr">
        <is>
          <t>A 52709-2019</t>
        </is>
      </c>
      <c r="B298" s="1" t="n">
        <v>43746</v>
      </c>
      <c r="C298" s="1" t="n">
        <v>45743</v>
      </c>
      <c r="D298" t="inlineStr">
        <is>
          <t>JÄMTLANDS LÄN</t>
        </is>
      </c>
      <c r="E298" t="inlineStr">
        <is>
          <t>HÄRJEDALEN</t>
        </is>
      </c>
      <c r="G298" t="n">
        <v>10.6</v>
      </c>
      <c r="H298" t="n">
        <v>0</v>
      </c>
      <c r="I298" t="n">
        <v>0</v>
      </c>
      <c r="J298" t="n">
        <v>0</v>
      </c>
      <c r="K298" t="n">
        <v>0</v>
      </c>
      <c r="L298" t="n">
        <v>0</v>
      </c>
      <c r="M298" t="n">
        <v>0</v>
      </c>
      <c r="N298" t="n">
        <v>0</v>
      </c>
      <c r="O298" t="n">
        <v>0</v>
      </c>
      <c r="P298" t="n">
        <v>0</v>
      </c>
      <c r="Q298" t="n">
        <v>0</v>
      </c>
      <c r="R298" s="2" t="inlineStr"/>
    </row>
    <row r="299" ht="15" customHeight="1">
      <c r="A299" t="inlineStr">
        <is>
          <t>A 52992-2019</t>
        </is>
      </c>
      <c r="B299" s="1" t="n">
        <v>43747</v>
      </c>
      <c r="C299" s="1" t="n">
        <v>45743</v>
      </c>
      <c r="D299" t="inlineStr">
        <is>
          <t>JÄMTLANDS LÄN</t>
        </is>
      </c>
      <c r="E299" t="inlineStr">
        <is>
          <t>HÄRJEDALEN</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52991-2019</t>
        </is>
      </c>
      <c r="B300" s="1" t="n">
        <v>43747</v>
      </c>
      <c r="C300" s="1" t="n">
        <v>45743</v>
      </c>
      <c r="D300" t="inlineStr">
        <is>
          <t>JÄMTLANDS LÄN</t>
        </is>
      </c>
      <c r="E300" t="inlineStr">
        <is>
          <t>HÄRJEDALEN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53418-2019</t>
        </is>
      </c>
      <c r="B301" s="1" t="n">
        <v>43748</v>
      </c>
      <c r="C301" s="1" t="n">
        <v>45743</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53952-2019</t>
        </is>
      </c>
      <c r="B302" s="1" t="n">
        <v>43752</v>
      </c>
      <c r="C302" s="1" t="n">
        <v>45743</v>
      </c>
      <c r="D302" t="inlineStr">
        <is>
          <t>JÄMTLANDS LÄN</t>
        </is>
      </c>
      <c r="E302" t="inlineStr">
        <is>
          <t>HÄRJEDALEN</t>
        </is>
      </c>
      <c r="G302" t="n">
        <v>8.6</v>
      </c>
      <c r="H302" t="n">
        <v>0</v>
      </c>
      <c r="I302" t="n">
        <v>0</v>
      </c>
      <c r="J302" t="n">
        <v>0</v>
      </c>
      <c r="K302" t="n">
        <v>0</v>
      </c>
      <c r="L302" t="n">
        <v>0</v>
      </c>
      <c r="M302" t="n">
        <v>0</v>
      </c>
      <c r="N302" t="n">
        <v>0</v>
      </c>
      <c r="O302" t="n">
        <v>0</v>
      </c>
      <c r="P302" t="n">
        <v>0</v>
      </c>
      <c r="Q302" t="n">
        <v>0</v>
      </c>
      <c r="R302" s="2" t="inlineStr"/>
    </row>
    <row r="303" ht="15" customHeight="1">
      <c r="A303" t="inlineStr">
        <is>
          <t>A 53962-2019</t>
        </is>
      </c>
      <c r="B303" s="1" t="n">
        <v>43752</v>
      </c>
      <c r="C303" s="1" t="n">
        <v>45743</v>
      </c>
      <c r="D303" t="inlineStr">
        <is>
          <t>JÄMTLANDS LÄN</t>
        </is>
      </c>
      <c r="E303" t="inlineStr">
        <is>
          <t>HÄRJEDALEN</t>
        </is>
      </c>
      <c r="G303" t="n">
        <v>19.4</v>
      </c>
      <c r="H303" t="n">
        <v>0</v>
      </c>
      <c r="I303" t="n">
        <v>0</v>
      </c>
      <c r="J303" t="n">
        <v>0</v>
      </c>
      <c r="K303" t="n">
        <v>0</v>
      </c>
      <c r="L303" t="n">
        <v>0</v>
      </c>
      <c r="M303" t="n">
        <v>0</v>
      </c>
      <c r="N303" t="n">
        <v>0</v>
      </c>
      <c r="O303" t="n">
        <v>0</v>
      </c>
      <c r="P303" t="n">
        <v>0</v>
      </c>
      <c r="Q303" t="n">
        <v>0</v>
      </c>
      <c r="R303" s="2" t="inlineStr"/>
    </row>
    <row r="304" ht="15" customHeight="1">
      <c r="A304" t="inlineStr">
        <is>
          <t>A 54905-2019</t>
        </is>
      </c>
      <c r="B304" s="1" t="n">
        <v>43755</v>
      </c>
      <c r="C304" s="1" t="n">
        <v>45743</v>
      </c>
      <c r="D304" t="inlineStr">
        <is>
          <t>JÄMTLANDS LÄN</t>
        </is>
      </c>
      <c r="E304" t="inlineStr">
        <is>
          <t>HÄRJEDALEN</t>
        </is>
      </c>
      <c r="G304" t="n">
        <v>2</v>
      </c>
      <c r="H304" t="n">
        <v>0</v>
      </c>
      <c r="I304" t="n">
        <v>0</v>
      </c>
      <c r="J304" t="n">
        <v>0</v>
      </c>
      <c r="K304" t="n">
        <v>0</v>
      </c>
      <c r="L304" t="n">
        <v>0</v>
      </c>
      <c r="M304" t="n">
        <v>0</v>
      </c>
      <c r="N304" t="n">
        <v>0</v>
      </c>
      <c r="O304" t="n">
        <v>0</v>
      </c>
      <c r="P304" t="n">
        <v>0</v>
      </c>
      <c r="Q304" t="n">
        <v>0</v>
      </c>
      <c r="R304" s="2" t="inlineStr"/>
    </row>
    <row r="305" ht="15" customHeight="1">
      <c r="A305" t="inlineStr">
        <is>
          <t>A 55197-2019</t>
        </is>
      </c>
      <c r="B305" s="1" t="n">
        <v>43756</v>
      </c>
      <c r="C305" s="1" t="n">
        <v>45743</v>
      </c>
      <c r="D305" t="inlineStr">
        <is>
          <t>JÄMTLANDS LÄN</t>
        </is>
      </c>
      <c r="E305" t="inlineStr">
        <is>
          <t>HÄRJEDALEN</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55241-2019</t>
        </is>
      </c>
      <c r="B306" s="1" t="n">
        <v>43756</v>
      </c>
      <c r="C306" s="1" t="n">
        <v>45743</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55193-2019</t>
        </is>
      </c>
      <c r="B307" s="1" t="n">
        <v>43756</v>
      </c>
      <c r="C307" s="1" t="n">
        <v>45743</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55238-2019</t>
        </is>
      </c>
      <c r="B308" s="1" t="n">
        <v>43756</v>
      </c>
      <c r="C308" s="1" t="n">
        <v>45743</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55801-2019</t>
        </is>
      </c>
      <c r="B309" s="1" t="n">
        <v>43759</v>
      </c>
      <c r="C309" s="1" t="n">
        <v>45743</v>
      </c>
      <c r="D309" t="inlineStr">
        <is>
          <t>JÄMTLANDS LÄN</t>
        </is>
      </c>
      <c r="E309" t="inlineStr">
        <is>
          <t>HÄRJEDALEN</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55554-2019</t>
        </is>
      </c>
      <c r="B310" s="1" t="n">
        <v>43759</v>
      </c>
      <c r="C310" s="1" t="n">
        <v>45743</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57281-2019</t>
        </is>
      </c>
      <c r="B311" s="1" t="n">
        <v>43759</v>
      </c>
      <c r="C311" s="1" t="n">
        <v>45743</v>
      </c>
      <c r="D311" t="inlineStr">
        <is>
          <t>JÄMTLANDS LÄN</t>
        </is>
      </c>
      <c r="E311" t="inlineStr">
        <is>
          <t>HÄRJEDALEN</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55578-2019</t>
        </is>
      </c>
      <c r="B312" s="1" t="n">
        <v>43760</v>
      </c>
      <c r="C312" s="1" t="n">
        <v>45743</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55607-2019</t>
        </is>
      </c>
      <c r="B313" s="1" t="n">
        <v>43760</v>
      </c>
      <c r="C313" s="1" t="n">
        <v>45743</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56217-2019</t>
        </is>
      </c>
      <c r="B314" s="1" t="n">
        <v>43762</v>
      </c>
      <c r="C314" s="1" t="n">
        <v>45743</v>
      </c>
      <c r="D314" t="inlineStr">
        <is>
          <t>JÄMTLANDS LÄN</t>
        </is>
      </c>
      <c r="E314" t="inlineStr">
        <is>
          <t>HÄRJEDALEN</t>
        </is>
      </c>
      <c r="G314" t="n">
        <v>43.2</v>
      </c>
      <c r="H314" t="n">
        <v>0</v>
      </c>
      <c r="I314" t="n">
        <v>0</v>
      </c>
      <c r="J314" t="n">
        <v>0</v>
      </c>
      <c r="K314" t="n">
        <v>0</v>
      </c>
      <c r="L314" t="n">
        <v>0</v>
      </c>
      <c r="M314" t="n">
        <v>0</v>
      </c>
      <c r="N314" t="n">
        <v>0</v>
      </c>
      <c r="O314" t="n">
        <v>0</v>
      </c>
      <c r="P314" t="n">
        <v>0</v>
      </c>
      <c r="Q314" t="n">
        <v>0</v>
      </c>
      <c r="R314" s="2" t="inlineStr"/>
    </row>
    <row r="315" ht="15" customHeight="1">
      <c r="A315" t="inlineStr">
        <is>
          <t>A 58175-2019</t>
        </is>
      </c>
      <c r="B315" s="1" t="n">
        <v>43769</v>
      </c>
      <c r="C315" s="1" t="n">
        <v>45743</v>
      </c>
      <c r="D315" t="inlineStr">
        <is>
          <t>JÄMTLANDS LÄN</t>
        </is>
      </c>
      <c r="E315" t="inlineStr">
        <is>
          <t>HÄRJEDALEN</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59347-2019</t>
        </is>
      </c>
      <c r="B316" s="1" t="n">
        <v>43770</v>
      </c>
      <c r="C316" s="1" t="n">
        <v>45743</v>
      </c>
      <c r="D316" t="inlineStr">
        <is>
          <t>JÄMTLANDS LÄN</t>
        </is>
      </c>
      <c r="E316" t="inlineStr">
        <is>
          <t>HÄRJEDALEN</t>
        </is>
      </c>
      <c r="G316" t="n">
        <v>2.3</v>
      </c>
      <c r="H316" t="n">
        <v>0</v>
      </c>
      <c r="I316" t="n">
        <v>0</v>
      </c>
      <c r="J316" t="n">
        <v>0</v>
      </c>
      <c r="K316" t="n">
        <v>0</v>
      </c>
      <c r="L316" t="n">
        <v>0</v>
      </c>
      <c r="M316" t="n">
        <v>0</v>
      </c>
      <c r="N316" t="n">
        <v>0</v>
      </c>
      <c r="O316" t="n">
        <v>0</v>
      </c>
      <c r="P316" t="n">
        <v>0</v>
      </c>
      <c r="Q316" t="n">
        <v>0</v>
      </c>
      <c r="R316" s="2" t="inlineStr"/>
    </row>
    <row r="317" ht="15" customHeight="1">
      <c r="A317" t="inlineStr">
        <is>
          <t>A 58742-2019</t>
        </is>
      </c>
      <c r="B317" s="1" t="n">
        <v>43773</v>
      </c>
      <c r="C317" s="1" t="n">
        <v>45743</v>
      </c>
      <c r="D317" t="inlineStr">
        <is>
          <t>JÄMTLANDS LÄN</t>
        </is>
      </c>
      <c r="E317" t="inlineStr">
        <is>
          <t>HÄRJEDALEN</t>
        </is>
      </c>
      <c r="G317" t="n">
        <v>4</v>
      </c>
      <c r="H317" t="n">
        <v>0</v>
      </c>
      <c r="I317" t="n">
        <v>0</v>
      </c>
      <c r="J317" t="n">
        <v>0</v>
      </c>
      <c r="K317" t="n">
        <v>0</v>
      </c>
      <c r="L317" t="n">
        <v>0</v>
      </c>
      <c r="M317" t="n">
        <v>0</v>
      </c>
      <c r="N317" t="n">
        <v>0</v>
      </c>
      <c r="O317" t="n">
        <v>0</v>
      </c>
      <c r="P317" t="n">
        <v>0</v>
      </c>
      <c r="Q317" t="n">
        <v>0</v>
      </c>
      <c r="R317" s="2" t="inlineStr"/>
    </row>
    <row r="318" ht="15" customHeight="1">
      <c r="A318" t="inlineStr">
        <is>
          <t>A 59984-2019</t>
        </is>
      </c>
      <c r="B318" s="1" t="n">
        <v>43775</v>
      </c>
      <c r="C318" s="1" t="n">
        <v>45743</v>
      </c>
      <c r="D318" t="inlineStr">
        <is>
          <t>JÄMTLANDS LÄN</t>
        </is>
      </c>
      <c r="E318" t="inlineStr">
        <is>
          <t>HÄRJEDALEN</t>
        </is>
      </c>
      <c r="G318" t="n">
        <v>20.4</v>
      </c>
      <c r="H318" t="n">
        <v>0</v>
      </c>
      <c r="I318" t="n">
        <v>0</v>
      </c>
      <c r="J318" t="n">
        <v>0</v>
      </c>
      <c r="K318" t="n">
        <v>0</v>
      </c>
      <c r="L318" t="n">
        <v>0</v>
      </c>
      <c r="M318" t="n">
        <v>0</v>
      </c>
      <c r="N318" t="n">
        <v>0</v>
      </c>
      <c r="O318" t="n">
        <v>0</v>
      </c>
      <c r="P318" t="n">
        <v>0</v>
      </c>
      <c r="Q318" t="n">
        <v>0</v>
      </c>
      <c r="R318" s="2" t="inlineStr"/>
    </row>
    <row r="319" ht="15" customHeight="1">
      <c r="A319" t="inlineStr">
        <is>
          <t>A 59733-2019</t>
        </is>
      </c>
      <c r="B319" s="1" t="n">
        <v>43776</v>
      </c>
      <c r="C319" s="1" t="n">
        <v>45743</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62342-2019</t>
        </is>
      </c>
      <c r="B320" s="1" t="n">
        <v>43782</v>
      </c>
      <c r="C320" s="1" t="n">
        <v>45743</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60919-2019</t>
        </is>
      </c>
      <c r="B321" s="1" t="n">
        <v>43782</v>
      </c>
      <c r="C321" s="1" t="n">
        <v>45743</v>
      </c>
      <c r="D321" t="inlineStr">
        <is>
          <t>JÄMTLANDS LÄN</t>
        </is>
      </c>
      <c r="E321" t="inlineStr">
        <is>
          <t>HÄRJEDALEN</t>
        </is>
      </c>
      <c r="G321" t="n">
        <v>6.4</v>
      </c>
      <c r="H321" t="n">
        <v>0</v>
      </c>
      <c r="I321" t="n">
        <v>0</v>
      </c>
      <c r="J321" t="n">
        <v>0</v>
      </c>
      <c r="K321" t="n">
        <v>0</v>
      </c>
      <c r="L321" t="n">
        <v>0</v>
      </c>
      <c r="M321" t="n">
        <v>0</v>
      </c>
      <c r="N321" t="n">
        <v>0</v>
      </c>
      <c r="O321" t="n">
        <v>0</v>
      </c>
      <c r="P321" t="n">
        <v>0</v>
      </c>
      <c r="Q321" t="n">
        <v>0</v>
      </c>
      <c r="R321" s="2" t="inlineStr"/>
    </row>
    <row r="322" ht="15" customHeight="1">
      <c r="A322" t="inlineStr">
        <is>
          <t>A 62115-2019</t>
        </is>
      </c>
      <c r="B322" s="1" t="n">
        <v>43787</v>
      </c>
      <c r="C322" s="1" t="n">
        <v>45743</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62451-2019</t>
        </is>
      </c>
      <c r="B323" s="1" t="n">
        <v>43788</v>
      </c>
      <c r="C323" s="1" t="n">
        <v>45743</v>
      </c>
      <c r="D323" t="inlineStr">
        <is>
          <t>JÄMTLANDS LÄN</t>
        </is>
      </c>
      <c r="E323" t="inlineStr">
        <is>
          <t>HÄRJEDALEN</t>
        </is>
      </c>
      <c r="F323" t="inlineStr">
        <is>
          <t>Bergvik skog väst AB</t>
        </is>
      </c>
      <c r="G323" t="n">
        <v>22.2</v>
      </c>
      <c r="H323" t="n">
        <v>0</v>
      </c>
      <c r="I323" t="n">
        <v>0</v>
      </c>
      <c r="J323" t="n">
        <v>0</v>
      </c>
      <c r="K323" t="n">
        <v>0</v>
      </c>
      <c r="L323" t="n">
        <v>0</v>
      </c>
      <c r="M323" t="n">
        <v>0</v>
      </c>
      <c r="N323" t="n">
        <v>0</v>
      </c>
      <c r="O323" t="n">
        <v>0</v>
      </c>
      <c r="P323" t="n">
        <v>0</v>
      </c>
      <c r="Q323" t="n">
        <v>0</v>
      </c>
      <c r="R323" s="2" t="inlineStr"/>
    </row>
    <row r="324" ht="15" customHeight="1">
      <c r="A324" t="inlineStr">
        <is>
          <t>A 62971-2019</t>
        </is>
      </c>
      <c r="B324" s="1" t="n">
        <v>43790</v>
      </c>
      <c r="C324" s="1" t="n">
        <v>45743</v>
      </c>
      <c r="D324" t="inlineStr">
        <is>
          <t>JÄMTLANDS LÄN</t>
        </is>
      </c>
      <c r="E324" t="inlineStr">
        <is>
          <t>HÄRJEDALEN</t>
        </is>
      </c>
      <c r="F324" t="inlineStr">
        <is>
          <t>Bergvik skog väst AB</t>
        </is>
      </c>
      <c r="G324" t="n">
        <v>18.2</v>
      </c>
      <c r="H324" t="n">
        <v>0</v>
      </c>
      <c r="I324" t="n">
        <v>0</v>
      </c>
      <c r="J324" t="n">
        <v>0</v>
      </c>
      <c r="K324" t="n">
        <v>0</v>
      </c>
      <c r="L324" t="n">
        <v>0</v>
      </c>
      <c r="M324" t="n">
        <v>0</v>
      </c>
      <c r="N324" t="n">
        <v>0</v>
      </c>
      <c r="O324" t="n">
        <v>0</v>
      </c>
      <c r="P324" t="n">
        <v>0</v>
      </c>
      <c r="Q324" t="n">
        <v>0</v>
      </c>
      <c r="R324" s="2" t="inlineStr"/>
    </row>
    <row r="325" ht="15" customHeight="1">
      <c r="A325" t="inlineStr">
        <is>
          <t>A 64417-2019</t>
        </is>
      </c>
      <c r="B325" s="1" t="n">
        <v>43794</v>
      </c>
      <c r="C325" s="1" t="n">
        <v>45743</v>
      </c>
      <c r="D325" t="inlineStr">
        <is>
          <t>JÄMTLANDS LÄN</t>
        </is>
      </c>
      <c r="E325" t="inlineStr">
        <is>
          <t>HÄRJEDALEN</t>
        </is>
      </c>
      <c r="G325" t="n">
        <v>6.9</v>
      </c>
      <c r="H325" t="n">
        <v>0</v>
      </c>
      <c r="I325" t="n">
        <v>0</v>
      </c>
      <c r="J325" t="n">
        <v>0</v>
      </c>
      <c r="K325" t="n">
        <v>0</v>
      </c>
      <c r="L325" t="n">
        <v>0</v>
      </c>
      <c r="M325" t="n">
        <v>0</v>
      </c>
      <c r="N325" t="n">
        <v>0</v>
      </c>
      <c r="O325" t="n">
        <v>0</v>
      </c>
      <c r="P325" t="n">
        <v>0</v>
      </c>
      <c r="Q325" t="n">
        <v>0</v>
      </c>
      <c r="R325" s="2" t="inlineStr"/>
    </row>
    <row r="326" ht="15" customHeight="1">
      <c r="A326" t="inlineStr">
        <is>
          <t>A 64229-2019</t>
        </is>
      </c>
      <c r="B326" s="1" t="n">
        <v>43797</v>
      </c>
      <c r="C326" s="1" t="n">
        <v>45743</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64689-2019</t>
        </is>
      </c>
      <c r="B327" s="1" t="n">
        <v>43798</v>
      </c>
      <c r="C327" s="1" t="n">
        <v>45743</v>
      </c>
      <c r="D327" t="inlineStr">
        <is>
          <t>JÄMTLANDS LÄN</t>
        </is>
      </c>
      <c r="E327" t="inlineStr">
        <is>
          <t>HÄRJEDALEN</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65759-2019</t>
        </is>
      </c>
      <c r="B328" s="1" t="n">
        <v>43804</v>
      </c>
      <c r="C328" s="1" t="n">
        <v>45743</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66255-2019</t>
        </is>
      </c>
      <c r="B329" s="1" t="n">
        <v>43808</v>
      </c>
      <c r="C329" s="1" t="n">
        <v>45743</v>
      </c>
      <c r="D329" t="inlineStr">
        <is>
          <t>JÄMTLANDS LÄN</t>
        </is>
      </c>
      <c r="E329" t="inlineStr">
        <is>
          <t>HÄRJEDALEN</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66735-2019</t>
        </is>
      </c>
      <c r="B330" s="1" t="n">
        <v>43810</v>
      </c>
      <c r="C330" s="1" t="n">
        <v>45743</v>
      </c>
      <c r="D330" t="inlineStr">
        <is>
          <t>JÄMTLANDS LÄN</t>
        </is>
      </c>
      <c r="E330" t="inlineStr">
        <is>
          <t>HÄRJEDALEN</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67619-2019</t>
        </is>
      </c>
      <c r="B331" s="1" t="n">
        <v>43815</v>
      </c>
      <c r="C331" s="1" t="n">
        <v>45743</v>
      </c>
      <c r="D331" t="inlineStr">
        <is>
          <t>JÄMTLANDS LÄN</t>
        </is>
      </c>
      <c r="E331" t="inlineStr">
        <is>
          <t>HÄRJEDALEN</t>
        </is>
      </c>
      <c r="F331" t="inlineStr">
        <is>
          <t>Holmen skog AB</t>
        </is>
      </c>
      <c r="G331" t="n">
        <v>6.4</v>
      </c>
      <c r="H331" t="n">
        <v>0</v>
      </c>
      <c r="I331" t="n">
        <v>0</v>
      </c>
      <c r="J331" t="n">
        <v>0</v>
      </c>
      <c r="K331" t="n">
        <v>0</v>
      </c>
      <c r="L331" t="n">
        <v>0</v>
      </c>
      <c r="M331" t="n">
        <v>0</v>
      </c>
      <c r="N331" t="n">
        <v>0</v>
      </c>
      <c r="O331" t="n">
        <v>0</v>
      </c>
      <c r="P331" t="n">
        <v>0</v>
      </c>
      <c r="Q331" t="n">
        <v>0</v>
      </c>
      <c r="R331" s="2" t="inlineStr"/>
    </row>
    <row r="332" ht="15" customHeight="1">
      <c r="A332" t="inlineStr">
        <is>
          <t>A 67693-2019</t>
        </is>
      </c>
      <c r="B332" s="1" t="n">
        <v>43815</v>
      </c>
      <c r="C332" s="1" t="n">
        <v>45743</v>
      </c>
      <c r="D332" t="inlineStr">
        <is>
          <t>JÄMTLANDS LÄN</t>
        </is>
      </c>
      <c r="E332" t="inlineStr">
        <is>
          <t>HÄRJEDALEN</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67500-2019</t>
        </is>
      </c>
      <c r="B333" s="1" t="n">
        <v>43815</v>
      </c>
      <c r="C333" s="1" t="n">
        <v>45743</v>
      </c>
      <c r="D333" t="inlineStr">
        <is>
          <t>JÄMTLANDS LÄN</t>
        </is>
      </c>
      <c r="E333" t="inlineStr">
        <is>
          <t>HÄRJEDALEN</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67695-2019</t>
        </is>
      </c>
      <c r="B334" s="1" t="n">
        <v>43815</v>
      </c>
      <c r="C334" s="1" t="n">
        <v>45743</v>
      </c>
      <c r="D334" t="inlineStr">
        <is>
          <t>JÄMTLANDS LÄN</t>
        </is>
      </c>
      <c r="E334" t="inlineStr">
        <is>
          <t>HÄRJEDALEN</t>
        </is>
      </c>
      <c r="F334" t="inlineStr">
        <is>
          <t>Holmen skog AB</t>
        </is>
      </c>
      <c r="G334" t="n">
        <v>0.9</v>
      </c>
      <c r="H334" t="n">
        <v>0</v>
      </c>
      <c r="I334" t="n">
        <v>0</v>
      </c>
      <c r="J334" t="n">
        <v>0</v>
      </c>
      <c r="K334" t="n">
        <v>0</v>
      </c>
      <c r="L334" t="n">
        <v>0</v>
      </c>
      <c r="M334" t="n">
        <v>0</v>
      </c>
      <c r="N334" t="n">
        <v>0</v>
      </c>
      <c r="O334" t="n">
        <v>0</v>
      </c>
      <c r="P334" t="n">
        <v>0</v>
      </c>
      <c r="Q334" t="n">
        <v>0</v>
      </c>
      <c r="R334" s="2" t="inlineStr"/>
    </row>
    <row r="335" ht="15" customHeight="1">
      <c r="A335" t="inlineStr">
        <is>
          <t>A 67757-2019</t>
        </is>
      </c>
      <c r="B335" s="1" t="n">
        <v>43815</v>
      </c>
      <c r="C335" s="1" t="n">
        <v>45743</v>
      </c>
      <c r="D335" t="inlineStr">
        <is>
          <t>JÄMTLANDS LÄN</t>
        </is>
      </c>
      <c r="E335" t="inlineStr">
        <is>
          <t>HÄRJEDALEN</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67688-2019</t>
        </is>
      </c>
      <c r="B336" s="1" t="n">
        <v>43815</v>
      </c>
      <c r="C336" s="1" t="n">
        <v>45743</v>
      </c>
      <c r="D336" t="inlineStr">
        <is>
          <t>JÄMTLANDS LÄN</t>
        </is>
      </c>
      <c r="E336" t="inlineStr">
        <is>
          <t>HÄRJEDALEN</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67738-2019</t>
        </is>
      </c>
      <c r="B337" s="1" t="n">
        <v>43815</v>
      </c>
      <c r="C337" s="1" t="n">
        <v>45743</v>
      </c>
      <c r="D337" t="inlineStr">
        <is>
          <t>JÄMTLANDS LÄN</t>
        </is>
      </c>
      <c r="E337" t="inlineStr">
        <is>
          <t>HÄRJEDALEN</t>
        </is>
      </c>
      <c r="F337" t="inlineStr">
        <is>
          <t>Holmen skog AB</t>
        </is>
      </c>
      <c r="G337" t="n">
        <v>15.9</v>
      </c>
      <c r="H337" t="n">
        <v>0</v>
      </c>
      <c r="I337" t="n">
        <v>0</v>
      </c>
      <c r="J337" t="n">
        <v>0</v>
      </c>
      <c r="K337" t="n">
        <v>0</v>
      </c>
      <c r="L337" t="n">
        <v>0</v>
      </c>
      <c r="M337" t="n">
        <v>0</v>
      </c>
      <c r="N337" t="n">
        <v>0</v>
      </c>
      <c r="O337" t="n">
        <v>0</v>
      </c>
      <c r="P337" t="n">
        <v>0</v>
      </c>
      <c r="Q337" t="n">
        <v>0</v>
      </c>
      <c r="R337" s="2" t="inlineStr"/>
    </row>
    <row r="338" ht="15" customHeight="1">
      <c r="A338" t="inlineStr">
        <is>
          <t>A 67506-2019</t>
        </is>
      </c>
      <c r="B338" s="1" t="n">
        <v>43815</v>
      </c>
      <c r="C338" s="1" t="n">
        <v>45743</v>
      </c>
      <c r="D338" t="inlineStr">
        <is>
          <t>JÄMTLANDS LÄN</t>
        </is>
      </c>
      <c r="E338" t="inlineStr">
        <is>
          <t>HÄRJEDALEN</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67692-2019</t>
        </is>
      </c>
      <c r="B339" s="1" t="n">
        <v>43815</v>
      </c>
      <c r="C339" s="1" t="n">
        <v>45743</v>
      </c>
      <c r="D339" t="inlineStr">
        <is>
          <t>JÄMTLANDS LÄN</t>
        </is>
      </c>
      <c r="E339" t="inlineStr">
        <is>
          <t>HÄRJEDALEN</t>
        </is>
      </c>
      <c r="F339" t="inlineStr">
        <is>
          <t>Holmen skog AB</t>
        </is>
      </c>
      <c r="G339" t="n">
        <v>12.9</v>
      </c>
      <c r="H339" t="n">
        <v>0</v>
      </c>
      <c r="I339" t="n">
        <v>0</v>
      </c>
      <c r="J339" t="n">
        <v>0</v>
      </c>
      <c r="K339" t="n">
        <v>0</v>
      </c>
      <c r="L339" t="n">
        <v>0</v>
      </c>
      <c r="M339" t="n">
        <v>0</v>
      </c>
      <c r="N339" t="n">
        <v>0</v>
      </c>
      <c r="O339" t="n">
        <v>0</v>
      </c>
      <c r="P339" t="n">
        <v>0</v>
      </c>
      <c r="Q339" t="n">
        <v>0</v>
      </c>
      <c r="R339" s="2" t="inlineStr"/>
    </row>
    <row r="340" ht="15" customHeight="1">
      <c r="A340" t="inlineStr">
        <is>
          <t>A 67733-2019</t>
        </is>
      </c>
      <c r="B340" s="1" t="n">
        <v>43815</v>
      </c>
      <c r="C340" s="1" t="n">
        <v>45743</v>
      </c>
      <c r="D340" t="inlineStr">
        <is>
          <t>JÄMTLANDS LÄN</t>
        </is>
      </c>
      <c r="E340" t="inlineStr">
        <is>
          <t>HÄRJEDALEN</t>
        </is>
      </c>
      <c r="F340" t="inlineStr">
        <is>
          <t>Holmen skog AB</t>
        </is>
      </c>
      <c r="G340" t="n">
        <v>15.5</v>
      </c>
      <c r="H340" t="n">
        <v>0</v>
      </c>
      <c r="I340" t="n">
        <v>0</v>
      </c>
      <c r="J340" t="n">
        <v>0</v>
      </c>
      <c r="K340" t="n">
        <v>0</v>
      </c>
      <c r="L340" t="n">
        <v>0</v>
      </c>
      <c r="M340" t="n">
        <v>0</v>
      </c>
      <c r="N340" t="n">
        <v>0</v>
      </c>
      <c r="O340" t="n">
        <v>0</v>
      </c>
      <c r="P340" t="n">
        <v>0</v>
      </c>
      <c r="Q340" t="n">
        <v>0</v>
      </c>
      <c r="R340" s="2" t="inlineStr"/>
    </row>
    <row r="341" ht="15" customHeight="1">
      <c r="A341" t="inlineStr">
        <is>
          <t>A 67593-2019</t>
        </is>
      </c>
      <c r="B341" s="1" t="n">
        <v>43815</v>
      </c>
      <c r="C341" s="1" t="n">
        <v>45743</v>
      </c>
      <c r="D341" t="inlineStr">
        <is>
          <t>JÄMTLANDS LÄN</t>
        </is>
      </c>
      <c r="E341" t="inlineStr">
        <is>
          <t>HÄRJEDALEN</t>
        </is>
      </c>
      <c r="F341" t="inlineStr">
        <is>
          <t>Holmen skog AB</t>
        </is>
      </c>
      <c r="G341" t="n">
        <v>7.9</v>
      </c>
      <c r="H341" t="n">
        <v>0</v>
      </c>
      <c r="I341" t="n">
        <v>0</v>
      </c>
      <c r="J341" t="n">
        <v>0</v>
      </c>
      <c r="K341" t="n">
        <v>0</v>
      </c>
      <c r="L341" t="n">
        <v>0</v>
      </c>
      <c r="M341" t="n">
        <v>0</v>
      </c>
      <c r="N341" t="n">
        <v>0</v>
      </c>
      <c r="O341" t="n">
        <v>0</v>
      </c>
      <c r="P341" t="n">
        <v>0</v>
      </c>
      <c r="Q341" t="n">
        <v>0</v>
      </c>
      <c r="R341" s="2" t="inlineStr"/>
    </row>
    <row r="342" ht="15" customHeight="1">
      <c r="A342" t="inlineStr">
        <is>
          <t>A 67535-2019</t>
        </is>
      </c>
      <c r="B342" s="1" t="n">
        <v>43815</v>
      </c>
      <c r="C342" s="1" t="n">
        <v>45743</v>
      </c>
      <c r="D342" t="inlineStr">
        <is>
          <t>JÄMTLANDS LÄN</t>
        </is>
      </c>
      <c r="E342" t="inlineStr">
        <is>
          <t>HÄRJEDALEN</t>
        </is>
      </c>
      <c r="F342" t="inlineStr">
        <is>
          <t>Holmen skog AB</t>
        </is>
      </c>
      <c r="G342" t="n">
        <v>34.3</v>
      </c>
      <c r="H342" t="n">
        <v>0</v>
      </c>
      <c r="I342" t="n">
        <v>0</v>
      </c>
      <c r="J342" t="n">
        <v>0</v>
      </c>
      <c r="K342" t="n">
        <v>0</v>
      </c>
      <c r="L342" t="n">
        <v>0</v>
      </c>
      <c r="M342" t="n">
        <v>0</v>
      </c>
      <c r="N342" t="n">
        <v>0</v>
      </c>
      <c r="O342" t="n">
        <v>0</v>
      </c>
      <c r="P342" t="n">
        <v>0</v>
      </c>
      <c r="Q342" t="n">
        <v>0</v>
      </c>
      <c r="R342" s="2" t="inlineStr"/>
    </row>
    <row r="343" ht="15" customHeight="1">
      <c r="A343" t="inlineStr">
        <is>
          <t>A 67972-2019</t>
        </is>
      </c>
      <c r="B343" s="1" t="n">
        <v>43816</v>
      </c>
      <c r="C343" s="1" t="n">
        <v>45743</v>
      </c>
      <c r="D343" t="inlineStr">
        <is>
          <t>JÄMTLANDS LÄN</t>
        </is>
      </c>
      <c r="E343" t="inlineStr">
        <is>
          <t>HÄRJEDALEN</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642-2020</t>
        </is>
      </c>
      <c r="B344" s="1" t="n">
        <v>43817</v>
      </c>
      <c r="C344" s="1" t="n">
        <v>45743</v>
      </c>
      <c r="D344" t="inlineStr">
        <is>
          <t>JÄMTLANDS LÄN</t>
        </is>
      </c>
      <c r="E344" t="inlineStr">
        <is>
          <t>HÄRJEDALEN</t>
        </is>
      </c>
      <c r="G344" t="n">
        <v>15.5</v>
      </c>
      <c r="H344" t="n">
        <v>0</v>
      </c>
      <c r="I344" t="n">
        <v>0</v>
      </c>
      <c r="J344" t="n">
        <v>0</v>
      </c>
      <c r="K344" t="n">
        <v>0</v>
      </c>
      <c r="L344" t="n">
        <v>0</v>
      </c>
      <c r="M344" t="n">
        <v>0</v>
      </c>
      <c r="N344" t="n">
        <v>0</v>
      </c>
      <c r="O344" t="n">
        <v>0</v>
      </c>
      <c r="P344" t="n">
        <v>0</v>
      </c>
      <c r="Q344" t="n">
        <v>0</v>
      </c>
      <c r="R344" s="2" t="inlineStr"/>
    </row>
    <row r="345" ht="15" customHeight="1">
      <c r="A345" t="inlineStr">
        <is>
          <t>A 159-2020</t>
        </is>
      </c>
      <c r="B345" s="1" t="n">
        <v>43833</v>
      </c>
      <c r="C345" s="1" t="n">
        <v>45743</v>
      </c>
      <c r="D345" t="inlineStr">
        <is>
          <t>JÄMTLANDS LÄN</t>
        </is>
      </c>
      <c r="E345" t="inlineStr">
        <is>
          <t>HÄRJEDALEN</t>
        </is>
      </c>
      <c r="G345" t="n">
        <v>1.4</v>
      </c>
      <c r="H345" t="n">
        <v>0</v>
      </c>
      <c r="I345" t="n">
        <v>0</v>
      </c>
      <c r="J345" t="n">
        <v>0</v>
      </c>
      <c r="K345" t="n">
        <v>0</v>
      </c>
      <c r="L345" t="n">
        <v>0</v>
      </c>
      <c r="M345" t="n">
        <v>0</v>
      </c>
      <c r="N345" t="n">
        <v>0</v>
      </c>
      <c r="O345" t="n">
        <v>0</v>
      </c>
      <c r="P345" t="n">
        <v>0</v>
      </c>
      <c r="Q345" t="n">
        <v>0</v>
      </c>
      <c r="R345" s="2" t="inlineStr"/>
    </row>
    <row r="346" ht="15" customHeight="1">
      <c r="A346" t="inlineStr">
        <is>
          <t>A 2320-2020</t>
        </is>
      </c>
      <c r="B346" s="1" t="n">
        <v>43846</v>
      </c>
      <c r="C346" s="1" t="n">
        <v>45743</v>
      </c>
      <c r="D346" t="inlineStr">
        <is>
          <t>JÄMTLANDS LÄN</t>
        </is>
      </c>
      <c r="E346" t="inlineStr">
        <is>
          <t>HÄRJEDALEN</t>
        </is>
      </c>
      <c r="F346" t="inlineStr">
        <is>
          <t>Bergvik skog väst AB</t>
        </is>
      </c>
      <c r="G346" t="n">
        <v>3.3</v>
      </c>
      <c r="H346" t="n">
        <v>0</v>
      </c>
      <c r="I346" t="n">
        <v>0</v>
      </c>
      <c r="J346" t="n">
        <v>0</v>
      </c>
      <c r="K346" t="n">
        <v>0</v>
      </c>
      <c r="L346" t="n">
        <v>0</v>
      </c>
      <c r="M346" t="n">
        <v>0</v>
      </c>
      <c r="N346" t="n">
        <v>0</v>
      </c>
      <c r="O346" t="n">
        <v>0</v>
      </c>
      <c r="P346" t="n">
        <v>0</v>
      </c>
      <c r="Q346" t="n">
        <v>0</v>
      </c>
      <c r="R346" s="2" t="inlineStr"/>
    </row>
    <row r="347" ht="15" customHeight="1">
      <c r="A347" t="inlineStr">
        <is>
          <t>A 4663-2020</t>
        </is>
      </c>
      <c r="B347" s="1" t="n">
        <v>43858</v>
      </c>
      <c r="C347" s="1" t="n">
        <v>45743</v>
      </c>
      <c r="D347" t="inlineStr">
        <is>
          <t>JÄMTLANDS LÄN</t>
        </is>
      </c>
      <c r="E347" t="inlineStr">
        <is>
          <t>HÄRJEDALEN</t>
        </is>
      </c>
      <c r="G347" t="n">
        <v>10.2</v>
      </c>
      <c r="H347" t="n">
        <v>0</v>
      </c>
      <c r="I347" t="n">
        <v>0</v>
      </c>
      <c r="J347" t="n">
        <v>0</v>
      </c>
      <c r="K347" t="n">
        <v>0</v>
      </c>
      <c r="L347" t="n">
        <v>0</v>
      </c>
      <c r="M347" t="n">
        <v>0</v>
      </c>
      <c r="N347" t="n">
        <v>0</v>
      </c>
      <c r="O347" t="n">
        <v>0</v>
      </c>
      <c r="P347" t="n">
        <v>0</v>
      </c>
      <c r="Q347" t="n">
        <v>0</v>
      </c>
      <c r="R347" s="2" t="inlineStr"/>
    </row>
    <row r="348" ht="15" customHeight="1">
      <c r="A348" t="inlineStr">
        <is>
          <t>A 6719-2020</t>
        </is>
      </c>
      <c r="B348" s="1" t="n">
        <v>43866</v>
      </c>
      <c r="C348" s="1" t="n">
        <v>45743</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6715-2020</t>
        </is>
      </c>
      <c r="B349" s="1" t="n">
        <v>43866</v>
      </c>
      <c r="C349" s="1" t="n">
        <v>45743</v>
      </c>
      <c r="D349" t="inlineStr">
        <is>
          <t>JÄMTLANDS LÄN</t>
        </is>
      </c>
      <c r="E349" t="inlineStr">
        <is>
          <t>HÄRJEDALEN</t>
        </is>
      </c>
      <c r="G349" t="n">
        <v>7.5</v>
      </c>
      <c r="H349" t="n">
        <v>0</v>
      </c>
      <c r="I349" t="n">
        <v>0</v>
      </c>
      <c r="J349" t="n">
        <v>0</v>
      </c>
      <c r="K349" t="n">
        <v>0</v>
      </c>
      <c r="L349" t="n">
        <v>0</v>
      </c>
      <c r="M349" t="n">
        <v>0</v>
      </c>
      <c r="N349" t="n">
        <v>0</v>
      </c>
      <c r="O349" t="n">
        <v>0</v>
      </c>
      <c r="P349" t="n">
        <v>0</v>
      </c>
      <c r="Q349" t="n">
        <v>0</v>
      </c>
      <c r="R349" s="2" t="inlineStr"/>
    </row>
    <row r="350" ht="15" customHeight="1">
      <c r="A350" t="inlineStr">
        <is>
          <t>A 6675-2020</t>
        </is>
      </c>
      <c r="B350" s="1" t="n">
        <v>43866</v>
      </c>
      <c r="C350" s="1" t="n">
        <v>45743</v>
      </c>
      <c r="D350" t="inlineStr">
        <is>
          <t>JÄMTLANDS LÄN</t>
        </is>
      </c>
      <c r="E350" t="inlineStr">
        <is>
          <t>HÄRJEDALEN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6584-2020</t>
        </is>
      </c>
      <c r="B351" s="1" t="n">
        <v>43867</v>
      </c>
      <c r="C351" s="1" t="n">
        <v>45743</v>
      </c>
      <c r="D351" t="inlineStr">
        <is>
          <t>JÄMTLANDS LÄN</t>
        </is>
      </c>
      <c r="E351" t="inlineStr">
        <is>
          <t>HÄRJEDALEN</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6903-2020</t>
        </is>
      </c>
      <c r="B352" s="1" t="n">
        <v>43867</v>
      </c>
      <c r="C352" s="1" t="n">
        <v>45743</v>
      </c>
      <c r="D352" t="inlineStr">
        <is>
          <t>JÄMTLANDS LÄN</t>
        </is>
      </c>
      <c r="E352" t="inlineStr">
        <is>
          <t>HÄRJEDALEN</t>
        </is>
      </c>
      <c r="G352" t="n">
        <v>10.5</v>
      </c>
      <c r="H352" t="n">
        <v>0</v>
      </c>
      <c r="I352" t="n">
        <v>0</v>
      </c>
      <c r="J352" t="n">
        <v>0</v>
      </c>
      <c r="K352" t="n">
        <v>0</v>
      </c>
      <c r="L352" t="n">
        <v>0</v>
      </c>
      <c r="M352" t="n">
        <v>0</v>
      </c>
      <c r="N352" t="n">
        <v>0</v>
      </c>
      <c r="O352" t="n">
        <v>0</v>
      </c>
      <c r="P352" t="n">
        <v>0</v>
      </c>
      <c r="Q352" t="n">
        <v>0</v>
      </c>
      <c r="R352" s="2" t="inlineStr"/>
    </row>
    <row r="353" ht="15" customHeight="1">
      <c r="A353" t="inlineStr">
        <is>
          <t>A 7184-2020</t>
        </is>
      </c>
      <c r="B353" s="1" t="n">
        <v>43871</v>
      </c>
      <c r="C353" s="1" t="n">
        <v>45743</v>
      </c>
      <c r="D353" t="inlineStr">
        <is>
          <t>JÄMTLANDS LÄN</t>
        </is>
      </c>
      <c r="E353" t="inlineStr">
        <is>
          <t>HÄRJEDALEN</t>
        </is>
      </c>
      <c r="G353" t="n">
        <v>41.4</v>
      </c>
      <c r="H353" t="n">
        <v>0</v>
      </c>
      <c r="I353" t="n">
        <v>0</v>
      </c>
      <c r="J353" t="n">
        <v>0</v>
      </c>
      <c r="K353" t="n">
        <v>0</v>
      </c>
      <c r="L353" t="n">
        <v>0</v>
      </c>
      <c r="M353" t="n">
        <v>0</v>
      </c>
      <c r="N353" t="n">
        <v>0</v>
      </c>
      <c r="O353" t="n">
        <v>0</v>
      </c>
      <c r="P353" t="n">
        <v>0</v>
      </c>
      <c r="Q353" t="n">
        <v>0</v>
      </c>
      <c r="R353" s="2" t="inlineStr"/>
    </row>
    <row r="354" ht="15" customHeight="1">
      <c r="A354" t="inlineStr">
        <is>
          <t>A 8111-2020</t>
        </is>
      </c>
      <c r="B354" s="1" t="n">
        <v>43874</v>
      </c>
      <c r="C354" s="1" t="n">
        <v>45743</v>
      </c>
      <c r="D354" t="inlineStr">
        <is>
          <t>JÄMTLANDS LÄN</t>
        </is>
      </c>
      <c r="E354" t="inlineStr">
        <is>
          <t>HÄRJEDALEN</t>
        </is>
      </c>
      <c r="G354" t="n">
        <v>15.4</v>
      </c>
      <c r="H354" t="n">
        <v>0</v>
      </c>
      <c r="I354" t="n">
        <v>0</v>
      </c>
      <c r="J354" t="n">
        <v>0</v>
      </c>
      <c r="K354" t="n">
        <v>0</v>
      </c>
      <c r="L354" t="n">
        <v>0</v>
      </c>
      <c r="M354" t="n">
        <v>0</v>
      </c>
      <c r="N354" t="n">
        <v>0</v>
      </c>
      <c r="O354" t="n">
        <v>0</v>
      </c>
      <c r="P354" t="n">
        <v>0</v>
      </c>
      <c r="Q354" t="n">
        <v>0</v>
      </c>
      <c r="R354" s="2" t="inlineStr"/>
    </row>
    <row r="355" ht="15" customHeight="1">
      <c r="A355" t="inlineStr">
        <is>
          <t>A 8762-2020</t>
        </is>
      </c>
      <c r="B355" s="1" t="n">
        <v>43875</v>
      </c>
      <c r="C355" s="1" t="n">
        <v>45743</v>
      </c>
      <c r="D355" t="inlineStr">
        <is>
          <t>JÄMTLANDS LÄN</t>
        </is>
      </c>
      <c r="E355" t="inlineStr">
        <is>
          <t>HÄRJEDALEN</t>
        </is>
      </c>
      <c r="G355" t="n">
        <v>11</v>
      </c>
      <c r="H355" t="n">
        <v>0</v>
      </c>
      <c r="I355" t="n">
        <v>0</v>
      </c>
      <c r="J355" t="n">
        <v>0</v>
      </c>
      <c r="K355" t="n">
        <v>0</v>
      </c>
      <c r="L355" t="n">
        <v>0</v>
      </c>
      <c r="M355" t="n">
        <v>0</v>
      </c>
      <c r="N355" t="n">
        <v>0</v>
      </c>
      <c r="O355" t="n">
        <v>0</v>
      </c>
      <c r="P355" t="n">
        <v>0</v>
      </c>
      <c r="Q355" t="n">
        <v>0</v>
      </c>
      <c r="R355" s="2" t="inlineStr"/>
    </row>
    <row r="356" ht="15" customHeight="1">
      <c r="A356" t="inlineStr">
        <is>
          <t>A 8908-2020</t>
        </is>
      </c>
      <c r="B356" s="1" t="n">
        <v>43878</v>
      </c>
      <c r="C356" s="1" t="n">
        <v>45743</v>
      </c>
      <c r="D356" t="inlineStr">
        <is>
          <t>JÄMTLANDS LÄN</t>
        </is>
      </c>
      <c r="E356" t="inlineStr">
        <is>
          <t>HÄRJEDALEN</t>
        </is>
      </c>
      <c r="G356" t="n">
        <v>18.1</v>
      </c>
      <c r="H356" t="n">
        <v>0</v>
      </c>
      <c r="I356" t="n">
        <v>0</v>
      </c>
      <c r="J356" t="n">
        <v>0</v>
      </c>
      <c r="K356" t="n">
        <v>0</v>
      </c>
      <c r="L356" t="n">
        <v>0</v>
      </c>
      <c r="M356" t="n">
        <v>0</v>
      </c>
      <c r="N356" t="n">
        <v>0</v>
      </c>
      <c r="O356" t="n">
        <v>0</v>
      </c>
      <c r="P356" t="n">
        <v>0</v>
      </c>
      <c r="Q356" t="n">
        <v>0</v>
      </c>
      <c r="R356" s="2" t="inlineStr"/>
    </row>
    <row r="357" ht="15" customHeight="1">
      <c r="A357" t="inlineStr">
        <is>
          <t>A 9034-2020</t>
        </is>
      </c>
      <c r="B357" s="1" t="n">
        <v>43879</v>
      </c>
      <c r="C357" s="1" t="n">
        <v>45743</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9591-2020</t>
        </is>
      </c>
      <c r="B358" s="1" t="n">
        <v>43881</v>
      </c>
      <c r="C358" s="1" t="n">
        <v>45743</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11731-2020</t>
        </is>
      </c>
      <c r="B359" s="1" t="n">
        <v>43894</v>
      </c>
      <c r="C359" s="1" t="n">
        <v>45743</v>
      </c>
      <c r="D359" t="inlineStr">
        <is>
          <t>JÄMTLANDS LÄN</t>
        </is>
      </c>
      <c r="E359" t="inlineStr">
        <is>
          <t>HÄRJEDALEN</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11816-2020</t>
        </is>
      </c>
      <c r="B360" s="1" t="n">
        <v>43894</v>
      </c>
      <c r="C360" s="1" t="n">
        <v>45743</v>
      </c>
      <c r="D360" t="inlineStr">
        <is>
          <t>JÄMTLANDS LÄN</t>
        </is>
      </c>
      <c r="E360" t="inlineStr">
        <is>
          <t>HÄRJEDALEN</t>
        </is>
      </c>
      <c r="F360" t="inlineStr">
        <is>
          <t>Holmen skog AB</t>
        </is>
      </c>
      <c r="G360" t="n">
        <v>20.4</v>
      </c>
      <c r="H360" t="n">
        <v>0</v>
      </c>
      <c r="I360" t="n">
        <v>0</v>
      </c>
      <c r="J360" t="n">
        <v>0</v>
      </c>
      <c r="K360" t="n">
        <v>0</v>
      </c>
      <c r="L360" t="n">
        <v>0</v>
      </c>
      <c r="M360" t="n">
        <v>0</v>
      </c>
      <c r="N360" t="n">
        <v>0</v>
      </c>
      <c r="O360" t="n">
        <v>0</v>
      </c>
      <c r="P360" t="n">
        <v>0</v>
      </c>
      <c r="Q360" t="n">
        <v>0</v>
      </c>
      <c r="R360" s="2" t="inlineStr"/>
    </row>
    <row r="361" ht="15" customHeight="1">
      <c r="A361" t="inlineStr">
        <is>
          <t>A 11818-2020</t>
        </is>
      </c>
      <c r="B361" s="1" t="n">
        <v>43894</v>
      </c>
      <c r="C361" s="1" t="n">
        <v>45743</v>
      </c>
      <c r="D361" t="inlineStr">
        <is>
          <t>JÄMTLANDS LÄN</t>
        </is>
      </c>
      <c r="E361" t="inlineStr">
        <is>
          <t>HÄRJEDALEN</t>
        </is>
      </c>
      <c r="F361" t="inlineStr">
        <is>
          <t>Holmen skog AB</t>
        </is>
      </c>
      <c r="G361" t="n">
        <v>6</v>
      </c>
      <c r="H361" t="n">
        <v>0</v>
      </c>
      <c r="I361" t="n">
        <v>0</v>
      </c>
      <c r="J361" t="n">
        <v>0</v>
      </c>
      <c r="K361" t="n">
        <v>0</v>
      </c>
      <c r="L361" t="n">
        <v>0</v>
      </c>
      <c r="M361" t="n">
        <v>0</v>
      </c>
      <c r="N361" t="n">
        <v>0</v>
      </c>
      <c r="O361" t="n">
        <v>0</v>
      </c>
      <c r="P361" t="n">
        <v>0</v>
      </c>
      <c r="Q361" t="n">
        <v>0</v>
      </c>
      <c r="R361" s="2" t="inlineStr"/>
    </row>
    <row r="362" ht="15" customHeight="1">
      <c r="A362" t="inlineStr">
        <is>
          <t>A 11885-2020</t>
        </is>
      </c>
      <c r="B362" s="1" t="n">
        <v>43894</v>
      </c>
      <c r="C362" s="1" t="n">
        <v>45743</v>
      </c>
      <c r="D362" t="inlineStr">
        <is>
          <t>JÄMTLANDS LÄN</t>
        </is>
      </c>
      <c r="E362" t="inlineStr">
        <is>
          <t>HÄRJEDALEN</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11828-2020</t>
        </is>
      </c>
      <c r="B363" s="1" t="n">
        <v>43894</v>
      </c>
      <c r="C363" s="1" t="n">
        <v>45743</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11905-2020</t>
        </is>
      </c>
      <c r="B364" s="1" t="n">
        <v>43894</v>
      </c>
      <c r="C364" s="1" t="n">
        <v>45743</v>
      </c>
      <c r="D364" t="inlineStr">
        <is>
          <t>JÄMTLANDS LÄN</t>
        </is>
      </c>
      <c r="E364" t="inlineStr">
        <is>
          <t>HÄRJEDALEN</t>
        </is>
      </c>
      <c r="F364" t="inlineStr">
        <is>
          <t>Holmen skog AB</t>
        </is>
      </c>
      <c r="G364" t="n">
        <v>10.3</v>
      </c>
      <c r="H364" t="n">
        <v>0</v>
      </c>
      <c r="I364" t="n">
        <v>0</v>
      </c>
      <c r="J364" t="n">
        <v>0</v>
      </c>
      <c r="K364" t="n">
        <v>0</v>
      </c>
      <c r="L364" t="n">
        <v>0</v>
      </c>
      <c r="M364" t="n">
        <v>0</v>
      </c>
      <c r="N364" t="n">
        <v>0</v>
      </c>
      <c r="O364" t="n">
        <v>0</v>
      </c>
      <c r="P364" t="n">
        <v>0</v>
      </c>
      <c r="Q364" t="n">
        <v>0</v>
      </c>
      <c r="R364" s="2" t="inlineStr"/>
    </row>
    <row r="365" ht="15" customHeight="1">
      <c r="A365" t="inlineStr">
        <is>
          <t>A 13604-2020</t>
        </is>
      </c>
      <c r="B365" s="1" t="n">
        <v>43895</v>
      </c>
      <c r="C365" s="1" t="n">
        <v>45743</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12398-2020</t>
        </is>
      </c>
      <c r="B366" s="1" t="n">
        <v>43896</v>
      </c>
      <c r="C366" s="1" t="n">
        <v>45743</v>
      </c>
      <c r="D366" t="inlineStr">
        <is>
          <t>JÄMTLANDS LÄN</t>
        </is>
      </c>
      <c r="E366" t="inlineStr">
        <is>
          <t>HÄRJEDALEN</t>
        </is>
      </c>
      <c r="G366" t="n">
        <v>12.3</v>
      </c>
      <c r="H366" t="n">
        <v>0</v>
      </c>
      <c r="I366" t="n">
        <v>0</v>
      </c>
      <c r="J366" t="n">
        <v>0</v>
      </c>
      <c r="K366" t="n">
        <v>0</v>
      </c>
      <c r="L366" t="n">
        <v>0</v>
      </c>
      <c r="M366" t="n">
        <v>0</v>
      </c>
      <c r="N366" t="n">
        <v>0</v>
      </c>
      <c r="O366" t="n">
        <v>0</v>
      </c>
      <c r="P366" t="n">
        <v>0</v>
      </c>
      <c r="Q366" t="n">
        <v>0</v>
      </c>
      <c r="R366" s="2" t="inlineStr"/>
    </row>
    <row r="367" ht="15" customHeight="1">
      <c r="A367" t="inlineStr">
        <is>
          <t>A 12410-2020</t>
        </is>
      </c>
      <c r="B367" s="1" t="n">
        <v>43896</v>
      </c>
      <c r="C367" s="1" t="n">
        <v>45743</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13588-2020</t>
        </is>
      </c>
      <c r="B368" s="1" t="n">
        <v>43896</v>
      </c>
      <c r="C368" s="1" t="n">
        <v>45743</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12898-2020</t>
        </is>
      </c>
      <c r="B369" s="1" t="n">
        <v>43900</v>
      </c>
      <c r="C369" s="1" t="n">
        <v>45743</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15020-2020</t>
        </is>
      </c>
      <c r="B370" s="1" t="n">
        <v>43907</v>
      </c>
      <c r="C370" s="1" t="n">
        <v>45743</v>
      </c>
      <c r="D370" t="inlineStr">
        <is>
          <t>JÄMTLANDS LÄN</t>
        </is>
      </c>
      <c r="E370" t="inlineStr">
        <is>
          <t>HÄRJEDALEN</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15576-2020</t>
        </is>
      </c>
      <c r="B371" s="1" t="n">
        <v>43914</v>
      </c>
      <c r="C371" s="1" t="n">
        <v>45743</v>
      </c>
      <c r="D371" t="inlineStr">
        <is>
          <t>JÄMTLANDS LÄN</t>
        </is>
      </c>
      <c r="E371" t="inlineStr">
        <is>
          <t>HÄRJEDALEN</t>
        </is>
      </c>
      <c r="F371" t="inlineStr">
        <is>
          <t>Kyrkan</t>
        </is>
      </c>
      <c r="G371" t="n">
        <v>8.1</v>
      </c>
      <c r="H371" t="n">
        <v>0</v>
      </c>
      <c r="I371" t="n">
        <v>0</v>
      </c>
      <c r="J371" t="n">
        <v>0</v>
      </c>
      <c r="K371" t="n">
        <v>0</v>
      </c>
      <c r="L371" t="n">
        <v>0</v>
      </c>
      <c r="M371" t="n">
        <v>0</v>
      </c>
      <c r="N371" t="n">
        <v>0</v>
      </c>
      <c r="O371" t="n">
        <v>0</v>
      </c>
      <c r="P371" t="n">
        <v>0</v>
      </c>
      <c r="Q371" t="n">
        <v>0</v>
      </c>
      <c r="R371" s="2" t="inlineStr"/>
    </row>
    <row r="372" ht="15" customHeight="1">
      <c r="A372" t="inlineStr">
        <is>
          <t>A 17515-2020</t>
        </is>
      </c>
      <c r="B372" s="1" t="n">
        <v>43920</v>
      </c>
      <c r="C372" s="1" t="n">
        <v>45743</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17024-2020</t>
        </is>
      </c>
      <c r="B373" s="1" t="n">
        <v>43921</v>
      </c>
      <c r="C373" s="1" t="n">
        <v>45743</v>
      </c>
      <c r="D373" t="inlineStr">
        <is>
          <t>JÄMTLANDS LÄN</t>
        </is>
      </c>
      <c r="E373" t="inlineStr">
        <is>
          <t>HÄRJEDALEN</t>
        </is>
      </c>
      <c r="G373" t="n">
        <v>0.8</v>
      </c>
      <c r="H373" t="n">
        <v>0</v>
      </c>
      <c r="I373" t="n">
        <v>0</v>
      </c>
      <c r="J373" t="n">
        <v>0</v>
      </c>
      <c r="K373" t="n">
        <v>0</v>
      </c>
      <c r="L373" t="n">
        <v>0</v>
      </c>
      <c r="M373" t="n">
        <v>0</v>
      </c>
      <c r="N373" t="n">
        <v>0</v>
      </c>
      <c r="O373" t="n">
        <v>0</v>
      </c>
      <c r="P373" t="n">
        <v>0</v>
      </c>
      <c r="Q373" t="n">
        <v>0</v>
      </c>
      <c r="R373" s="2" t="inlineStr"/>
    </row>
    <row r="374" ht="15" customHeight="1">
      <c r="A374" t="inlineStr">
        <is>
          <t>A 17676-2020</t>
        </is>
      </c>
      <c r="B374" s="1" t="n">
        <v>43924</v>
      </c>
      <c r="C374" s="1" t="n">
        <v>45743</v>
      </c>
      <c r="D374" t="inlineStr">
        <is>
          <t>JÄMTLANDS LÄN</t>
        </is>
      </c>
      <c r="E374" t="inlineStr">
        <is>
          <t>HÄRJEDALEN</t>
        </is>
      </c>
      <c r="G374" t="n">
        <v>1</v>
      </c>
      <c r="H374" t="n">
        <v>0</v>
      </c>
      <c r="I374" t="n">
        <v>0</v>
      </c>
      <c r="J374" t="n">
        <v>0</v>
      </c>
      <c r="K374" t="n">
        <v>0</v>
      </c>
      <c r="L374" t="n">
        <v>0</v>
      </c>
      <c r="M374" t="n">
        <v>0</v>
      </c>
      <c r="N374" t="n">
        <v>0</v>
      </c>
      <c r="O374" t="n">
        <v>0</v>
      </c>
      <c r="P374" t="n">
        <v>0</v>
      </c>
      <c r="Q374" t="n">
        <v>0</v>
      </c>
      <c r="R374" s="2" t="inlineStr"/>
    </row>
    <row r="375" ht="15" customHeight="1">
      <c r="A375" t="inlineStr">
        <is>
          <t>A 18038-2020</t>
        </is>
      </c>
      <c r="B375" s="1" t="n">
        <v>43927</v>
      </c>
      <c r="C375" s="1" t="n">
        <v>45743</v>
      </c>
      <c r="D375" t="inlineStr">
        <is>
          <t>JÄMTLANDS LÄN</t>
        </is>
      </c>
      <c r="E375" t="inlineStr">
        <is>
          <t>HÄRJEDALEN</t>
        </is>
      </c>
      <c r="G375" t="n">
        <v>13.5</v>
      </c>
      <c r="H375" t="n">
        <v>0</v>
      </c>
      <c r="I375" t="n">
        <v>0</v>
      </c>
      <c r="J375" t="n">
        <v>0</v>
      </c>
      <c r="K375" t="n">
        <v>0</v>
      </c>
      <c r="L375" t="n">
        <v>0</v>
      </c>
      <c r="M375" t="n">
        <v>0</v>
      </c>
      <c r="N375" t="n">
        <v>0</v>
      </c>
      <c r="O375" t="n">
        <v>0</v>
      </c>
      <c r="P375" t="n">
        <v>0</v>
      </c>
      <c r="Q375" t="n">
        <v>0</v>
      </c>
      <c r="R375" s="2" t="inlineStr"/>
    </row>
    <row r="376" ht="15" customHeight="1">
      <c r="A376" t="inlineStr">
        <is>
          <t>A 18761-2020</t>
        </is>
      </c>
      <c r="B376" s="1" t="n">
        <v>43930</v>
      </c>
      <c r="C376" s="1" t="n">
        <v>45743</v>
      </c>
      <c r="D376" t="inlineStr">
        <is>
          <t>JÄMTLANDS LÄN</t>
        </is>
      </c>
      <c r="E376" t="inlineStr">
        <is>
          <t>HÄRJEDALEN</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18760-2020</t>
        </is>
      </c>
      <c r="B377" s="1" t="n">
        <v>43930</v>
      </c>
      <c r="C377" s="1" t="n">
        <v>45743</v>
      </c>
      <c r="D377" t="inlineStr">
        <is>
          <t>JÄMTLANDS LÄN</t>
        </is>
      </c>
      <c r="E377" t="inlineStr">
        <is>
          <t>HÄRJEDALEN</t>
        </is>
      </c>
      <c r="F377" t="inlineStr">
        <is>
          <t>Sveaskog</t>
        </is>
      </c>
      <c r="G377" t="n">
        <v>16.1</v>
      </c>
      <c r="H377" t="n">
        <v>0</v>
      </c>
      <c r="I377" t="n">
        <v>0</v>
      </c>
      <c r="J377" t="n">
        <v>0</v>
      </c>
      <c r="K377" t="n">
        <v>0</v>
      </c>
      <c r="L377" t="n">
        <v>0</v>
      </c>
      <c r="M377" t="n">
        <v>0</v>
      </c>
      <c r="N377" t="n">
        <v>0</v>
      </c>
      <c r="O377" t="n">
        <v>0</v>
      </c>
      <c r="P377" t="n">
        <v>0</v>
      </c>
      <c r="Q377" t="n">
        <v>0</v>
      </c>
      <c r="R377" s="2" t="inlineStr"/>
    </row>
    <row r="378" ht="15" customHeight="1">
      <c r="A378" t="inlineStr">
        <is>
          <t>A 18759-2020</t>
        </is>
      </c>
      <c r="B378" s="1" t="n">
        <v>43930</v>
      </c>
      <c r="C378" s="1" t="n">
        <v>45743</v>
      </c>
      <c r="D378" t="inlineStr">
        <is>
          <t>JÄMTLANDS LÄN</t>
        </is>
      </c>
      <c r="E378" t="inlineStr">
        <is>
          <t>HÄRJEDALEN</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18877-2020</t>
        </is>
      </c>
      <c r="B379" s="1" t="n">
        <v>43935</v>
      </c>
      <c r="C379" s="1" t="n">
        <v>45743</v>
      </c>
      <c r="D379" t="inlineStr">
        <is>
          <t>JÄMTLANDS LÄN</t>
        </is>
      </c>
      <c r="E379" t="inlineStr">
        <is>
          <t>HÄRJEDALEN</t>
        </is>
      </c>
      <c r="G379" t="n">
        <v>7</v>
      </c>
      <c r="H379" t="n">
        <v>0</v>
      </c>
      <c r="I379" t="n">
        <v>0</v>
      </c>
      <c r="J379" t="n">
        <v>0</v>
      </c>
      <c r="K379" t="n">
        <v>0</v>
      </c>
      <c r="L379" t="n">
        <v>0</v>
      </c>
      <c r="M379" t="n">
        <v>0</v>
      </c>
      <c r="N379" t="n">
        <v>0</v>
      </c>
      <c r="O379" t="n">
        <v>0</v>
      </c>
      <c r="P379" t="n">
        <v>0</v>
      </c>
      <c r="Q379" t="n">
        <v>0</v>
      </c>
      <c r="R379" s="2" t="inlineStr"/>
    </row>
    <row r="380" ht="15" customHeight="1">
      <c r="A380" t="inlineStr">
        <is>
          <t>A 18879-2020</t>
        </is>
      </c>
      <c r="B380" s="1" t="n">
        <v>43935</v>
      </c>
      <c r="C380" s="1" t="n">
        <v>45743</v>
      </c>
      <c r="D380" t="inlineStr">
        <is>
          <t>JÄMTLANDS LÄN</t>
        </is>
      </c>
      <c r="E380" t="inlineStr">
        <is>
          <t>HÄRJEDALEN</t>
        </is>
      </c>
      <c r="G380" t="n">
        <v>5.5</v>
      </c>
      <c r="H380" t="n">
        <v>0</v>
      </c>
      <c r="I380" t="n">
        <v>0</v>
      </c>
      <c r="J380" t="n">
        <v>0</v>
      </c>
      <c r="K380" t="n">
        <v>0</v>
      </c>
      <c r="L380" t="n">
        <v>0</v>
      </c>
      <c r="M380" t="n">
        <v>0</v>
      </c>
      <c r="N380" t="n">
        <v>0</v>
      </c>
      <c r="O380" t="n">
        <v>0</v>
      </c>
      <c r="P380" t="n">
        <v>0</v>
      </c>
      <c r="Q380" t="n">
        <v>0</v>
      </c>
      <c r="R380" s="2" t="inlineStr"/>
    </row>
    <row r="381" ht="15" customHeight="1">
      <c r="A381" t="inlineStr">
        <is>
          <t>A 19304-2020</t>
        </is>
      </c>
      <c r="B381" s="1" t="n">
        <v>43937</v>
      </c>
      <c r="C381" s="1" t="n">
        <v>45743</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19506-2020</t>
        </is>
      </c>
      <c r="B382" s="1" t="n">
        <v>43938</v>
      </c>
      <c r="C382" s="1" t="n">
        <v>45743</v>
      </c>
      <c r="D382" t="inlineStr">
        <is>
          <t>JÄMTLANDS LÄN</t>
        </is>
      </c>
      <c r="E382" t="inlineStr">
        <is>
          <t>HÄRJEDALEN</t>
        </is>
      </c>
      <c r="F382" t="inlineStr">
        <is>
          <t>Sveaskog</t>
        </is>
      </c>
      <c r="G382" t="n">
        <v>6.8</v>
      </c>
      <c r="H382" t="n">
        <v>0</v>
      </c>
      <c r="I382" t="n">
        <v>0</v>
      </c>
      <c r="J382" t="n">
        <v>0</v>
      </c>
      <c r="K382" t="n">
        <v>0</v>
      </c>
      <c r="L382" t="n">
        <v>0</v>
      </c>
      <c r="M382" t="n">
        <v>0</v>
      </c>
      <c r="N382" t="n">
        <v>0</v>
      </c>
      <c r="O382" t="n">
        <v>0</v>
      </c>
      <c r="P382" t="n">
        <v>0</v>
      </c>
      <c r="Q382" t="n">
        <v>0</v>
      </c>
      <c r="R382" s="2" t="inlineStr"/>
    </row>
    <row r="383" ht="15" customHeight="1">
      <c r="A383" t="inlineStr">
        <is>
          <t>A 20781-2020</t>
        </is>
      </c>
      <c r="B383" s="1" t="n">
        <v>43949</v>
      </c>
      <c r="C383" s="1" t="n">
        <v>45743</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21537-2020</t>
        </is>
      </c>
      <c r="B384" s="1" t="n">
        <v>43956</v>
      </c>
      <c r="C384" s="1" t="n">
        <v>45743</v>
      </c>
      <c r="D384" t="inlineStr">
        <is>
          <t>JÄMTLANDS LÄN</t>
        </is>
      </c>
      <c r="E384" t="inlineStr">
        <is>
          <t>HÄRJEDALEN</t>
        </is>
      </c>
      <c r="G384" t="n">
        <v>4.3</v>
      </c>
      <c r="H384" t="n">
        <v>0</v>
      </c>
      <c r="I384" t="n">
        <v>0</v>
      </c>
      <c r="J384" t="n">
        <v>0</v>
      </c>
      <c r="K384" t="n">
        <v>0</v>
      </c>
      <c r="L384" t="n">
        <v>0</v>
      </c>
      <c r="M384" t="n">
        <v>0</v>
      </c>
      <c r="N384" t="n">
        <v>0</v>
      </c>
      <c r="O384" t="n">
        <v>0</v>
      </c>
      <c r="P384" t="n">
        <v>0</v>
      </c>
      <c r="Q384" t="n">
        <v>0</v>
      </c>
      <c r="R384" s="2" t="inlineStr"/>
    </row>
    <row r="385" ht="15" customHeight="1">
      <c r="A385" t="inlineStr">
        <is>
          <t>A 23082-2020</t>
        </is>
      </c>
      <c r="B385" s="1" t="n">
        <v>43964</v>
      </c>
      <c r="C385" s="1" t="n">
        <v>45743</v>
      </c>
      <c r="D385" t="inlineStr">
        <is>
          <t>JÄMTLANDS LÄN</t>
        </is>
      </c>
      <c r="E385" t="inlineStr">
        <is>
          <t>HÄRJEDALEN</t>
        </is>
      </c>
      <c r="G385" t="n">
        <v>2.1</v>
      </c>
      <c r="H385" t="n">
        <v>0</v>
      </c>
      <c r="I385" t="n">
        <v>0</v>
      </c>
      <c r="J385" t="n">
        <v>0</v>
      </c>
      <c r="K385" t="n">
        <v>0</v>
      </c>
      <c r="L385" t="n">
        <v>0</v>
      </c>
      <c r="M385" t="n">
        <v>0</v>
      </c>
      <c r="N385" t="n">
        <v>0</v>
      </c>
      <c r="O385" t="n">
        <v>0</v>
      </c>
      <c r="P385" t="n">
        <v>0</v>
      </c>
      <c r="Q385" t="n">
        <v>0</v>
      </c>
      <c r="R385" s="2" t="inlineStr"/>
    </row>
    <row r="386" ht="15" customHeight="1">
      <c r="A386" t="inlineStr">
        <is>
          <t>A 23310-2020</t>
        </is>
      </c>
      <c r="B386" s="1" t="n">
        <v>43966</v>
      </c>
      <c r="C386" s="1" t="n">
        <v>45743</v>
      </c>
      <c r="D386" t="inlineStr">
        <is>
          <t>JÄMTLANDS LÄN</t>
        </is>
      </c>
      <c r="E386" t="inlineStr">
        <is>
          <t>HÄRJEDALEN</t>
        </is>
      </c>
      <c r="G386" t="n">
        <v>1.6</v>
      </c>
      <c r="H386" t="n">
        <v>0</v>
      </c>
      <c r="I386" t="n">
        <v>0</v>
      </c>
      <c r="J386" t="n">
        <v>0</v>
      </c>
      <c r="K386" t="n">
        <v>0</v>
      </c>
      <c r="L386" t="n">
        <v>0</v>
      </c>
      <c r="M386" t="n">
        <v>0</v>
      </c>
      <c r="N386" t="n">
        <v>0</v>
      </c>
      <c r="O386" t="n">
        <v>0</v>
      </c>
      <c r="P386" t="n">
        <v>0</v>
      </c>
      <c r="Q386" t="n">
        <v>0</v>
      </c>
      <c r="R386" s="2" t="inlineStr"/>
    </row>
    <row r="387" ht="15" customHeight="1">
      <c r="A387" t="inlineStr">
        <is>
          <t>A 23174-2020</t>
        </is>
      </c>
      <c r="B387" s="1" t="n">
        <v>43966</v>
      </c>
      <c r="C387" s="1" t="n">
        <v>45743</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23560-2020</t>
        </is>
      </c>
      <c r="B388" s="1" t="n">
        <v>43969</v>
      </c>
      <c r="C388" s="1" t="n">
        <v>45743</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24077-2020</t>
        </is>
      </c>
      <c r="B389" s="1" t="n">
        <v>43972</v>
      </c>
      <c r="C389" s="1" t="n">
        <v>45743</v>
      </c>
      <c r="D389" t="inlineStr">
        <is>
          <t>JÄMTLANDS LÄN</t>
        </is>
      </c>
      <c r="E389" t="inlineStr">
        <is>
          <t>HÄRJEDALEN</t>
        </is>
      </c>
      <c r="F389" t="inlineStr">
        <is>
          <t>Sveaskog</t>
        </is>
      </c>
      <c r="G389" t="n">
        <v>9.6</v>
      </c>
      <c r="H389" t="n">
        <v>0</v>
      </c>
      <c r="I389" t="n">
        <v>0</v>
      </c>
      <c r="J389" t="n">
        <v>0</v>
      </c>
      <c r="K389" t="n">
        <v>0</v>
      </c>
      <c r="L389" t="n">
        <v>0</v>
      </c>
      <c r="M389" t="n">
        <v>0</v>
      </c>
      <c r="N389" t="n">
        <v>0</v>
      </c>
      <c r="O389" t="n">
        <v>0</v>
      </c>
      <c r="P389" t="n">
        <v>0</v>
      </c>
      <c r="Q389" t="n">
        <v>0</v>
      </c>
      <c r="R389" s="2" t="inlineStr"/>
    </row>
    <row r="390" ht="15" customHeight="1">
      <c r="A390" t="inlineStr">
        <is>
          <t>A 24127-2020</t>
        </is>
      </c>
      <c r="B390" s="1" t="n">
        <v>43973</v>
      </c>
      <c r="C390" s="1" t="n">
        <v>45743</v>
      </c>
      <c r="D390" t="inlineStr">
        <is>
          <t>JÄMTLANDS LÄN</t>
        </is>
      </c>
      <c r="E390" t="inlineStr">
        <is>
          <t>HÄRJEDALEN</t>
        </is>
      </c>
      <c r="G390" t="n">
        <v>4.6</v>
      </c>
      <c r="H390" t="n">
        <v>0</v>
      </c>
      <c r="I390" t="n">
        <v>0</v>
      </c>
      <c r="J390" t="n">
        <v>0</v>
      </c>
      <c r="K390" t="n">
        <v>0</v>
      </c>
      <c r="L390" t="n">
        <v>0</v>
      </c>
      <c r="M390" t="n">
        <v>0</v>
      </c>
      <c r="N390" t="n">
        <v>0</v>
      </c>
      <c r="O390" t="n">
        <v>0</v>
      </c>
      <c r="P390" t="n">
        <v>0</v>
      </c>
      <c r="Q390" t="n">
        <v>0</v>
      </c>
      <c r="R390" s="2" t="inlineStr"/>
    </row>
    <row r="391" ht="15" customHeight="1">
      <c r="A391" t="inlineStr">
        <is>
          <t>A 25240-2020</t>
        </is>
      </c>
      <c r="B391" s="1" t="n">
        <v>43980</v>
      </c>
      <c r="C391" s="1" t="n">
        <v>45743</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25341-2020</t>
        </is>
      </c>
      <c r="B392" s="1" t="n">
        <v>43980</v>
      </c>
      <c r="C392" s="1" t="n">
        <v>45743</v>
      </c>
      <c r="D392" t="inlineStr">
        <is>
          <t>JÄMTLANDS LÄN</t>
        </is>
      </c>
      <c r="E392" t="inlineStr">
        <is>
          <t>HÄRJEDALEN</t>
        </is>
      </c>
      <c r="G392" t="n">
        <v>2</v>
      </c>
      <c r="H392" t="n">
        <v>0</v>
      </c>
      <c r="I392" t="n">
        <v>0</v>
      </c>
      <c r="J392" t="n">
        <v>0</v>
      </c>
      <c r="K392" t="n">
        <v>0</v>
      </c>
      <c r="L392" t="n">
        <v>0</v>
      </c>
      <c r="M392" t="n">
        <v>0</v>
      </c>
      <c r="N392" t="n">
        <v>0</v>
      </c>
      <c r="O392" t="n">
        <v>0</v>
      </c>
      <c r="P392" t="n">
        <v>0</v>
      </c>
      <c r="Q392" t="n">
        <v>0</v>
      </c>
      <c r="R392" s="2" t="inlineStr"/>
    </row>
    <row r="393" ht="15" customHeight="1">
      <c r="A393" t="inlineStr">
        <is>
          <t>A 25232-2020</t>
        </is>
      </c>
      <c r="B393" s="1" t="n">
        <v>43980</v>
      </c>
      <c r="C393" s="1" t="n">
        <v>45743</v>
      </c>
      <c r="D393" t="inlineStr">
        <is>
          <t>JÄMTLANDS LÄN</t>
        </is>
      </c>
      <c r="E393" t="inlineStr">
        <is>
          <t>HÄRJEDALEN</t>
        </is>
      </c>
      <c r="G393" t="n">
        <v>14.9</v>
      </c>
      <c r="H393" t="n">
        <v>0</v>
      </c>
      <c r="I393" t="n">
        <v>0</v>
      </c>
      <c r="J393" t="n">
        <v>0</v>
      </c>
      <c r="K393" t="n">
        <v>0</v>
      </c>
      <c r="L393" t="n">
        <v>0</v>
      </c>
      <c r="M393" t="n">
        <v>0</v>
      </c>
      <c r="N393" t="n">
        <v>0</v>
      </c>
      <c r="O393" t="n">
        <v>0</v>
      </c>
      <c r="P393" t="n">
        <v>0</v>
      </c>
      <c r="Q393" t="n">
        <v>0</v>
      </c>
      <c r="R393" s="2" t="inlineStr"/>
    </row>
    <row r="394" ht="15" customHeight="1">
      <c r="A394" t="inlineStr">
        <is>
          <t>A 25238-2020</t>
        </is>
      </c>
      <c r="B394" s="1" t="n">
        <v>43980</v>
      </c>
      <c r="C394" s="1" t="n">
        <v>45743</v>
      </c>
      <c r="D394" t="inlineStr">
        <is>
          <t>JÄMTLANDS LÄN</t>
        </is>
      </c>
      <c r="E394" t="inlineStr">
        <is>
          <t>HÄRJEDALEN</t>
        </is>
      </c>
      <c r="G394" t="n">
        <v>2.6</v>
      </c>
      <c r="H394" t="n">
        <v>0</v>
      </c>
      <c r="I394" t="n">
        <v>0</v>
      </c>
      <c r="J394" t="n">
        <v>0</v>
      </c>
      <c r="K394" t="n">
        <v>0</v>
      </c>
      <c r="L394" t="n">
        <v>0</v>
      </c>
      <c r="M394" t="n">
        <v>0</v>
      </c>
      <c r="N394" t="n">
        <v>0</v>
      </c>
      <c r="O394" t="n">
        <v>0</v>
      </c>
      <c r="P394" t="n">
        <v>0</v>
      </c>
      <c r="Q394" t="n">
        <v>0</v>
      </c>
      <c r="R394" s="2" t="inlineStr"/>
    </row>
    <row r="395" ht="15" customHeight="1">
      <c r="A395" t="inlineStr">
        <is>
          <t>A 25236-2020</t>
        </is>
      </c>
      <c r="B395" s="1" t="n">
        <v>43980</v>
      </c>
      <c r="C395" s="1" t="n">
        <v>45743</v>
      </c>
      <c r="D395" t="inlineStr">
        <is>
          <t>JÄMTLANDS LÄN</t>
        </is>
      </c>
      <c r="E395" t="inlineStr">
        <is>
          <t>HÄRJEDALEN</t>
        </is>
      </c>
      <c r="G395" t="n">
        <v>2.2</v>
      </c>
      <c r="H395" t="n">
        <v>0</v>
      </c>
      <c r="I395" t="n">
        <v>0</v>
      </c>
      <c r="J395" t="n">
        <v>0</v>
      </c>
      <c r="K395" t="n">
        <v>0</v>
      </c>
      <c r="L395" t="n">
        <v>0</v>
      </c>
      <c r="M395" t="n">
        <v>0</v>
      </c>
      <c r="N395" t="n">
        <v>0</v>
      </c>
      <c r="O395" t="n">
        <v>0</v>
      </c>
      <c r="P395" t="n">
        <v>0</v>
      </c>
      <c r="Q395" t="n">
        <v>0</v>
      </c>
      <c r="R395" s="2" t="inlineStr"/>
    </row>
    <row r="396" ht="15" customHeight="1">
      <c r="A396" t="inlineStr">
        <is>
          <t>A 25779-2020</t>
        </is>
      </c>
      <c r="B396" s="1" t="n">
        <v>43984</v>
      </c>
      <c r="C396" s="1" t="n">
        <v>45743</v>
      </c>
      <c r="D396" t="inlineStr">
        <is>
          <t>JÄMTLANDS LÄN</t>
        </is>
      </c>
      <c r="E396" t="inlineStr">
        <is>
          <t>HÄRJEDALEN</t>
        </is>
      </c>
      <c r="G396" t="n">
        <v>22.2</v>
      </c>
      <c r="H396" t="n">
        <v>0</v>
      </c>
      <c r="I396" t="n">
        <v>0</v>
      </c>
      <c r="J396" t="n">
        <v>0</v>
      </c>
      <c r="K396" t="n">
        <v>0</v>
      </c>
      <c r="L396" t="n">
        <v>0</v>
      </c>
      <c r="M396" t="n">
        <v>0</v>
      </c>
      <c r="N396" t="n">
        <v>0</v>
      </c>
      <c r="O396" t="n">
        <v>0</v>
      </c>
      <c r="P396" t="n">
        <v>0</v>
      </c>
      <c r="Q396" t="n">
        <v>0</v>
      </c>
      <c r="R396" s="2" t="inlineStr"/>
    </row>
    <row r="397" ht="15" customHeight="1">
      <c r="A397" t="inlineStr">
        <is>
          <t>A 26056-2020</t>
        </is>
      </c>
      <c r="B397" s="1" t="n">
        <v>43984</v>
      </c>
      <c r="C397" s="1" t="n">
        <v>45743</v>
      </c>
      <c r="D397" t="inlineStr">
        <is>
          <t>JÄMTLANDS LÄN</t>
        </is>
      </c>
      <c r="E397" t="inlineStr">
        <is>
          <t>HÄRJEDALEN</t>
        </is>
      </c>
      <c r="G397" t="n">
        <v>53.1</v>
      </c>
      <c r="H397" t="n">
        <v>0</v>
      </c>
      <c r="I397" t="n">
        <v>0</v>
      </c>
      <c r="J397" t="n">
        <v>0</v>
      </c>
      <c r="K397" t="n">
        <v>0</v>
      </c>
      <c r="L397" t="n">
        <v>0</v>
      </c>
      <c r="M397" t="n">
        <v>0</v>
      </c>
      <c r="N397" t="n">
        <v>0</v>
      </c>
      <c r="O397" t="n">
        <v>0</v>
      </c>
      <c r="P397" t="n">
        <v>0</v>
      </c>
      <c r="Q397" t="n">
        <v>0</v>
      </c>
      <c r="R397" s="2" t="inlineStr"/>
    </row>
    <row r="398" ht="15" customHeight="1">
      <c r="A398" t="inlineStr">
        <is>
          <t>A 27854-2020</t>
        </is>
      </c>
      <c r="B398" s="1" t="n">
        <v>43994</v>
      </c>
      <c r="C398" s="1" t="n">
        <v>45743</v>
      </c>
      <c r="D398" t="inlineStr">
        <is>
          <t>JÄMTLANDS LÄN</t>
        </is>
      </c>
      <c r="E398" t="inlineStr">
        <is>
          <t>HÄRJEDALEN</t>
        </is>
      </c>
      <c r="F398" t="inlineStr">
        <is>
          <t>Sveaskog</t>
        </is>
      </c>
      <c r="G398" t="n">
        <v>7.1</v>
      </c>
      <c r="H398" t="n">
        <v>0</v>
      </c>
      <c r="I398" t="n">
        <v>0</v>
      </c>
      <c r="J398" t="n">
        <v>0</v>
      </c>
      <c r="K398" t="n">
        <v>0</v>
      </c>
      <c r="L398" t="n">
        <v>0</v>
      </c>
      <c r="M398" t="n">
        <v>0</v>
      </c>
      <c r="N398" t="n">
        <v>0</v>
      </c>
      <c r="O398" t="n">
        <v>0</v>
      </c>
      <c r="P398" t="n">
        <v>0</v>
      </c>
      <c r="Q398" t="n">
        <v>0</v>
      </c>
      <c r="R398" s="2" t="inlineStr"/>
    </row>
    <row r="399" ht="15" customHeight="1">
      <c r="A399" t="inlineStr">
        <is>
          <t>A 28543-2020</t>
        </is>
      </c>
      <c r="B399" s="1" t="n">
        <v>43999</v>
      </c>
      <c r="C399" s="1" t="n">
        <v>45743</v>
      </c>
      <c r="D399" t="inlineStr">
        <is>
          <t>JÄMTLANDS LÄN</t>
        </is>
      </c>
      <c r="E399" t="inlineStr">
        <is>
          <t>HÄRJEDALEN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29158-2020</t>
        </is>
      </c>
      <c r="B400" s="1" t="n">
        <v>44004</v>
      </c>
      <c r="C400" s="1" t="n">
        <v>45743</v>
      </c>
      <c r="D400" t="inlineStr">
        <is>
          <t>JÄMTLANDS LÄN</t>
        </is>
      </c>
      <c r="E400" t="inlineStr">
        <is>
          <t>HÄRJEDALEN</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29154-2020</t>
        </is>
      </c>
      <c r="B401" s="1" t="n">
        <v>44004</v>
      </c>
      <c r="C401" s="1" t="n">
        <v>45743</v>
      </c>
      <c r="D401" t="inlineStr">
        <is>
          <t>JÄMTLANDS LÄN</t>
        </is>
      </c>
      <c r="E401" t="inlineStr">
        <is>
          <t>HÄRJEDALEN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30963-2020</t>
        </is>
      </c>
      <c r="B402" s="1" t="n">
        <v>44011</v>
      </c>
      <c r="C402" s="1" t="n">
        <v>45743</v>
      </c>
      <c r="D402" t="inlineStr">
        <is>
          <t>JÄMTLANDS LÄN</t>
        </is>
      </c>
      <c r="E402" t="inlineStr">
        <is>
          <t>HÄRJEDALEN</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30936-2020</t>
        </is>
      </c>
      <c r="B403" s="1" t="n">
        <v>44011</v>
      </c>
      <c r="C403" s="1" t="n">
        <v>45743</v>
      </c>
      <c r="D403" t="inlineStr">
        <is>
          <t>JÄMTLANDS LÄN</t>
        </is>
      </c>
      <c r="E403" t="inlineStr">
        <is>
          <t>HÄRJEDALEN</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30940-2020</t>
        </is>
      </c>
      <c r="B404" s="1" t="n">
        <v>44011</v>
      </c>
      <c r="C404" s="1" t="n">
        <v>45743</v>
      </c>
      <c r="D404" t="inlineStr">
        <is>
          <t>JÄMTLANDS LÄN</t>
        </is>
      </c>
      <c r="E404" t="inlineStr">
        <is>
          <t>HÄRJEDALEN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31264-2020</t>
        </is>
      </c>
      <c r="B405" s="1" t="n">
        <v>44012</v>
      </c>
      <c r="C405" s="1" t="n">
        <v>45743</v>
      </c>
      <c r="D405" t="inlineStr">
        <is>
          <t>JÄMTLANDS LÄN</t>
        </is>
      </c>
      <c r="E405" t="inlineStr">
        <is>
          <t>HÄRJEDALEN</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31872-2020</t>
        </is>
      </c>
      <c r="B406" s="1" t="n">
        <v>44014</v>
      </c>
      <c r="C406" s="1" t="n">
        <v>45743</v>
      </c>
      <c r="D406" t="inlineStr">
        <is>
          <t>JÄMTLANDS LÄN</t>
        </is>
      </c>
      <c r="E406" t="inlineStr">
        <is>
          <t>HÄRJEDALEN</t>
        </is>
      </c>
      <c r="G406" t="n">
        <v>21.4</v>
      </c>
      <c r="H406" t="n">
        <v>0</v>
      </c>
      <c r="I406" t="n">
        <v>0</v>
      </c>
      <c r="J406" t="n">
        <v>0</v>
      </c>
      <c r="K406" t="n">
        <v>0</v>
      </c>
      <c r="L406" t="n">
        <v>0</v>
      </c>
      <c r="M406" t="n">
        <v>0</v>
      </c>
      <c r="N406" t="n">
        <v>0</v>
      </c>
      <c r="O406" t="n">
        <v>0</v>
      </c>
      <c r="P406" t="n">
        <v>0</v>
      </c>
      <c r="Q406" t="n">
        <v>0</v>
      </c>
      <c r="R406" s="2" t="inlineStr"/>
    </row>
    <row r="407" ht="15" customHeight="1">
      <c r="A407" t="inlineStr">
        <is>
          <t>A 31920-2020</t>
        </is>
      </c>
      <c r="B407" s="1" t="n">
        <v>44014</v>
      </c>
      <c r="C407" s="1" t="n">
        <v>45743</v>
      </c>
      <c r="D407" t="inlineStr">
        <is>
          <t>JÄMTLANDS LÄN</t>
        </is>
      </c>
      <c r="E407" t="inlineStr">
        <is>
          <t>HÄRJEDALEN</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33020-2020</t>
        </is>
      </c>
      <c r="B408" s="1" t="n">
        <v>44021</v>
      </c>
      <c r="C408" s="1" t="n">
        <v>45743</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33812-2020</t>
        </is>
      </c>
      <c r="B409" s="1" t="n">
        <v>44025</v>
      </c>
      <c r="C409" s="1" t="n">
        <v>45743</v>
      </c>
      <c r="D409" t="inlineStr">
        <is>
          <t>JÄMTLANDS LÄN</t>
        </is>
      </c>
      <c r="E409" t="inlineStr">
        <is>
          <t>HÄRJEDALEN</t>
        </is>
      </c>
      <c r="G409" t="n">
        <v>3.2</v>
      </c>
      <c r="H409" t="n">
        <v>0</v>
      </c>
      <c r="I409" t="n">
        <v>0</v>
      </c>
      <c r="J409" t="n">
        <v>0</v>
      </c>
      <c r="K409" t="n">
        <v>0</v>
      </c>
      <c r="L409" t="n">
        <v>0</v>
      </c>
      <c r="M409" t="n">
        <v>0</v>
      </c>
      <c r="N409" t="n">
        <v>0</v>
      </c>
      <c r="O409" t="n">
        <v>0</v>
      </c>
      <c r="P409" t="n">
        <v>0</v>
      </c>
      <c r="Q409" t="n">
        <v>0</v>
      </c>
      <c r="R409" s="2" t="inlineStr"/>
    </row>
    <row r="410" ht="15" customHeight="1">
      <c r="A410" t="inlineStr">
        <is>
          <t>A 33513-2020</t>
        </is>
      </c>
      <c r="B410" s="1" t="n">
        <v>44025</v>
      </c>
      <c r="C410" s="1" t="n">
        <v>45743</v>
      </c>
      <c r="D410" t="inlineStr">
        <is>
          <t>JÄMTLANDS LÄN</t>
        </is>
      </c>
      <c r="E410" t="inlineStr">
        <is>
          <t>HÄRJEDALEN</t>
        </is>
      </c>
      <c r="G410" t="n">
        <v>3.5</v>
      </c>
      <c r="H410" t="n">
        <v>0</v>
      </c>
      <c r="I410" t="n">
        <v>0</v>
      </c>
      <c r="J410" t="n">
        <v>0</v>
      </c>
      <c r="K410" t="n">
        <v>0</v>
      </c>
      <c r="L410" t="n">
        <v>0</v>
      </c>
      <c r="M410" t="n">
        <v>0</v>
      </c>
      <c r="N410" t="n">
        <v>0</v>
      </c>
      <c r="O410" t="n">
        <v>0</v>
      </c>
      <c r="P410" t="n">
        <v>0</v>
      </c>
      <c r="Q410" t="n">
        <v>0</v>
      </c>
      <c r="R410" s="2" t="inlineStr"/>
    </row>
    <row r="411" ht="15" customHeight="1">
      <c r="A411" t="inlineStr">
        <is>
          <t>A 33701-2020</t>
        </is>
      </c>
      <c r="B411" s="1" t="n">
        <v>44026</v>
      </c>
      <c r="C411" s="1" t="n">
        <v>45743</v>
      </c>
      <c r="D411" t="inlineStr">
        <is>
          <t>JÄMTLANDS LÄN</t>
        </is>
      </c>
      <c r="E411" t="inlineStr">
        <is>
          <t>HÄRJEDALEN</t>
        </is>
      </c>
      <c r="F411" t="inlineStr">
        <is>
          <t>Bergvik skog väst AB</t>
        </is>
      </c>
      <c r="G411" t="n">
        <v>7.2</v>
      </c>
      <c r="H411" t="n">
        <v>0</v>
      </c>
      <c r="I411" t="n">
        <v>0</v>
      </c>
      <c r="J411" t="n">
        <v>0</v>
      </c>
      <c r="K411" t="n">
        <v>0</v>
      </c>
      <c r="L411" t="n">
        <v>0</v>
      </c>
      <c r="M411" t="n">
        <v>0</v>
      </c>
      <c r="N411" t="n">
        <v>0</v>
      </c>
      <c r="O411" t="n">
        <v>0</v>
      </c>
      <c r="P411" t="n">
        <v>0</v>
      </c>
      <c r="Q411" t="n">
        <v>0</v>
      </c>
      <c r="R411" s="2" t="inlineStr"/>
    </row>
    <row r="412" ht="15" customHeight="1">
      <c r="A412" t="inlineStr">
        <is>
          <t>A 33942-2020</t>
        </is>
      </c>
      <c r="B412" s="1" t="n">
        <v>44028</v>
      </c>
      <c r="C412" s="1" t="n">
        <v>45743</v>
      </c>
      <c r="D412" t="inlineStr">
        <is>
          <t>JÄMTLANDS LÄN</t>
        </is>
      </c>
      <c r="E412" t="inlineStr">
        <is>
          <t>HÄRJEDALEN</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34894-2020</t>
        </is>
      </c>
      <c r="B413" s="1" t="n">
        <v>44036</v>
      </c>
      <c r="C413" s="1" t="n">
        <v>45743</v>
      </c>
      <c r="D413" t="inlineStr">
        <is>
          <t>JÄMTLANDS LÄN</t>
        </is>
      </c>
      <c r="E413" t="inlineStr">
        <is>
          <t>HÄRJEDALEN</t>
        </is>
      </c>
      <c r="G413" t="n">
        <v>4</v>
      </c>
      <c r="H413" t="n">
        <v>0</v>
      </c>
      <c r="I413" t="n">
        <v>0</v>
      </c>
      <c r="J413" t="n">
        <v>0</v>
      </c>
      <c r="K413" t="n">
        <v>0</v>
      </c>
      <c r="L413" t="n">
        <v>0</v>
      </c>
      <c r="M413" t="n">
        <v>0</v>
      </c>
      <c r="N413" t="n">
        <v>0</v>
      </c>
      <c r="O413" t="n">
        <v>0</v>
      </c>
      <c r="P413" t="n">
        <v>0</v>
      </c>
      <c r="Q413" t="n">
        <v>0</v>
      </c>
      <c r="R413" s="2" t="inlineStr"/>
    </row>
    <row r="414" ht="15" customHeight="1">
      <c r="A414" t="inlineStr">
        <is>
          <t>A 34900-2020</t>
        </is>
      </c>
      <c r="B414" s="1" t="n">
        <v>44036</v>
      </c>
      <c r="C414" s="1" t="n">
        <v>45743</v>
      </c>
      <c r="D414" t="inlineStr">
        <is>
          <t>JÄMTLANDS LÄN</t>
        </is>
      </c>
      <c r="E414" t="inlineStr">
        <is>
          <t>HÄRJEDALEN</t>
        </is>
      </c>
      <c r="G414" t="n">
        <v>13.1</v>
      </c>
      <c r="H414" t="n">
        <v>0</v>
      </c>
      <c r="I414" t="n">
        <v>0</v>
      </c>
      <c r="J414" t="n">
        <v>0</v>
      </c>
      <c r="K414" t="n">
        <v>0</v>
      </c>
      <c r="L414" t="n">
        <v>0</v>
      </c>
      <c r="M414" t="n">
        <v>0</v>
      </c>
      <c r="N414" t="n">
        <v>0</v>
      </c>
      <c r="O414" t="n">
        <v>0</v>
      </c>
      <c r="P414" t="n">
        <v>0</v>
      </c>
      <c r="Q414" t="n">
        <v>0</v>
      </c>
      <c r="R414" s="2" t="inlineStr"/>
    </row>
    <row r="415" ht="15" customHeight="1">
      <c r="A415" t="inlineStr">
        <is>
          <t>A 34975-2020</t>
        </is>
      </c>
      <c r="B415" s="1" t="n">
        <v>44039</v>
      </c>
      <c r="C415" s="1" t="n">
        <v>45743</v>
      </c>
      <c r="D415" t="inlineStr">
        <is>
          <t>JÄMTLANDS LÄN</t>
        </is>
      </c>
      <c r="E415" t="inlineStr">
        <is>
          <t>HÄRJEDALEN</t>
        </is>
      </c>
      <c r="G415" t="n">
        <v>1.8</v>
      </c>
      <c r="H415" t="n">
        <v>0</v>
      </c>
      <c r="I415" t="n">
        <v>0</v>
      </c>
      <c r="J415" t="n">
        <v>0</v>
      </c>
      <c r="K415" t="n">
        <v>0</v>
      </c>
      <c r="L415" t="n">
        <v>0</v>
      </c>
      <c r="M415" t="n">
        <v>0</v>
      </c>
      <c r="N415" t="n">
        <v>0</v>
      </c>
      <c r="O415" t="n">
        <v>0</v>
      </c>
      <c r="P415" t="n">
        <v>0</v>
      </c>
      <c r="Q415" t="n">
        <v>0</v>
      </c>
      <c r="R415" s="2" t="inlineStr"/>
    </row>
    <row r="416" ht="15" customHeight="1">
      <c r="A416" t="inlineStr">
        <is>
          <t>A 34963-2020</t>
        </is>
      </c>
      <c r="B416" s="1" t="n">
        <v>44039</v>
      </c>
      <c r="C416" s="1" t="n">
        <v>45743</v>
      </c>
      <c r="D416" t="inlineStr">
        <is>
          <t>JÄMTLANDS LÄN</t>
        </is>
      </c>
      <c r="E416" t="inlineStr">
        <is>
          <t>HÄRJEDALEN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35160-2020</t>
        </is>
      </c>
      <c r="B417" s="1" t="n">
        <v>44040</v>
      </c>
      <c r="C417" s="1" t="n">
        <v>45743</v>
      </c>
      <c r="D417" t="inlineStr">
        <is>
          <t>JÄMTLANDS LÄN</t>
        </is>
      </c>
      <c r="E417" t="inlineStr">
        <is>
          <t>HÄRJEDALEN</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45743</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45743</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45743</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45743</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45743</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45743</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45743</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45743</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45743</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45743</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45743</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45743</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45743</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45743</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45743</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45743</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45743</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45743</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45743</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45743</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45743</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45743</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45743</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45743</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45743</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45743</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45743</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45743</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45743</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45743</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45743</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45743</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45743</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45743</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45743</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45743</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45743</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45743</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45743</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45743</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45743</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45743</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45743</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45743</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45743</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45743</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45743</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45743</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45743</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45743</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45743</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45743</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45743</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45743</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45743</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45743</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45743</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45743</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45743</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45743</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45743</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45743</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45743</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45743</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45743</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45743</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45743</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45743</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45743</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45743</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45743</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45743</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45743</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45743</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45743</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45743</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45743</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45743</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45743</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45743</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45743</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45743</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45743</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45743</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45743</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45743</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45743</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45743</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45743</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45743</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45743</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45743</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45743</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45743</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45743</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45743</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45743</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45743</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45743</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45743</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45743</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45743</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45743</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45743</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45743</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45743</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45743</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45743</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45743</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45743</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45743</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45743</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45743</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45743</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45743</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45743</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45743</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45743</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45743</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45743</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45743</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45743</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45743</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45743</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45743</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45743</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45743</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45743</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45743</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45743</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45743</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45743</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45743</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45743</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45743</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45743</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45743</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45743</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45743</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45743</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45743</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45743</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45743</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45743</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45743</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45743</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45743</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45743</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45743</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45743</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45743</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45743</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45743</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45743</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45743</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45743</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45743</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45743</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45743</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45743</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45743</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45743</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45743</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45743</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45743</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45743</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45743</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45743</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45743</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45743</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45743</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45743</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45743</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45743</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45743</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45743</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45743</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45743</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45743</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45743</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45743</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45743</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45743</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45743</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45743</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45743</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45743</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45743</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45743</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45743</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45743</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45743</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45743</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45743</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45743</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45743</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45743</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45743</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45743</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45743</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45743</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45743</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45743</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45743</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45743</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45743</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45743</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45743</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45743</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45743</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45743</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45743</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45743</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45743</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45743</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45743</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45743</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45743</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45743</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45743</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45743</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45743</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45743</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45743</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45743</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45743</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45743</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45743</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45743</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45743</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45743</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45743</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45743</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45743</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45743</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45743</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45743</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45743</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45743</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45743</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45743</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45743</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45743</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45743</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45743</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45743</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45743</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45743</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45743</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45743</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45743</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45743</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45743</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45743</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45743</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45743</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45743</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45743</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45743</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45743</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45743</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45743</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45743</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45743</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45743</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45743</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45743</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45743</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45743</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45743</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45743</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45743</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45743</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45743</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45743</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45743</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45743</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45743</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45743</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45743</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45743</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45743</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45743</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45743</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45743</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45743</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45743</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45743</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45743</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45743</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45743</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45743</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45743</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45743</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45743</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45743</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45743</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45743</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45743</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45743</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45743</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45743</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45743</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45743</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45743</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45743</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45743</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45743</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45743</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45743</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45743</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45743</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45743</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45743</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45743</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45743</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45743</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45743</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45743</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45743</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45743</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45743</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45743</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45743</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45743</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45743</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45743</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45743</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45743</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45743</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45743</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45743</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45743</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45743</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45743</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45743</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45743</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45743</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45743</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45743</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45743</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45743</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45743</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45743</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45743</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45743</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45743</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45743</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45743</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45743</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45743</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45743</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45743</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45743</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45743</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45743</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45743</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45743</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45743</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45743</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45743</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45743</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45743</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45743</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45743</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45743</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45743</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45743</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45743</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45743</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45743</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45743</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45743</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45743</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45743</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45743</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45743</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45743</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45743</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45743</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45743</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45743</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45743</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45743</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45743</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45743</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45743</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45743</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45743</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45743</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45743</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45743</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45743</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45743</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45743</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45743</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45743</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45743</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45743</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45743</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45743</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45743</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45743</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45743</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45743</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45743</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45743</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45743</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45743</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45743</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45743</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45743</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45743</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45743</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45743</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45743</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45743</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45743</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45743</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45743</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45743</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45743</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45743</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45743</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45743</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45743</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45743</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45743</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45743</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45743</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45743</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45743</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45743</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45743</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45743</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45743</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45743</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45743</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45743</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45743</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45743</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45743</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45743</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45743</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45743</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45743</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45743</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45743</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45743</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45743</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45743</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45743</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45743</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45743</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45743</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45743</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45743</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45743</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45743</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45743</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45743</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45743</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45743</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45743</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45743</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45743</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45743</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45743</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45743</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45743</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45743</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45743</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45743</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45743</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45743</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45743</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45743</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45743</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45743</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45743</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45743</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45743</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45743</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45743</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45743</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45743</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45743</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45743</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45743</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45743</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45743</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45743</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45743</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45743</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45743</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45743</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45743</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45743</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45743</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45743</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45743</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45743</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45743</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45743</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45743</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45743</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45743</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45743</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45743</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45743</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45743</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45743</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45743</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45743</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45743</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45743</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45743</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45743</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45743</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45743</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45743</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45743</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45743</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45743</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45743</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45743</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45743</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45743</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45743</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45743</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45743</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45743</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45743</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45743</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45743</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45743</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45743</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45743</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45743</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45743</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45743</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45743</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45743</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45743</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45743</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45743</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45743</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45743</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45743</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45743</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45743</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45743</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45743</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45743</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45743</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45743</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45743</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45743</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45743</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45743</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45743</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45743</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45743</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45743</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45743</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45743</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45743</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45743</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45743</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45743</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45743</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45743</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45743</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45743</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45743</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45743</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45743</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45743</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45743</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45743</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45743</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45743</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45743</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45743</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45743</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45743</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45743</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45743</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45743</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45743</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45743</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45743</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45743</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45743</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45743</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45743</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45743</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45743</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45743</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45743</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45743</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45743</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45743</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45743</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45743</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45743</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45743</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45743</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45743</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45743</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45743</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45743</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45743</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45743</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45743</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45743</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45743</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45743</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45743</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45743</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45743</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45743</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45743</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45743</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45743</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45743</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45743</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45743</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45743</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45743</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45743</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45743</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45743</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45743</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45743</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45743</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45743</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45743</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45743</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45743</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45743</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45743</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45743</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45743</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45743</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45743</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45743</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45743</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45743</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45743</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45743</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45743</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45743</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45743</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45743</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45743</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45743</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45743</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45743</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45743</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45743</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45743</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45743</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45743</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45743</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45743</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45743</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45743</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45743</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45743</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45743</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45743</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45743</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45743</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45743</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45743</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45743</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45743</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45743</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45743</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45743</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45743</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45743</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45743</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45743</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45743</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45743</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45743</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45743</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45743</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45743</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45743</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45743</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45743</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45743</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45743</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45743</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45743</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45743</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45743</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45743</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45743</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45743</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45743</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45743</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45743</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45743</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45743</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45743</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45743</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45743</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45743</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45743</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45743</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45743</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45743</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45743</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45743</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45743</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45743</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45743</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45743</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45743</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45743</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45743</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45743</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45743</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45743</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45743</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45743</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45743</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45743</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45743</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45743</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45743</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45743</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45743</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45743</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45743</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45743</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45743</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45743</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45743</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45743</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45743</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45743</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45743</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45743</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45743</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45743</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45743</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45743</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45743</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45743</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45743</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45743</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45743</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45743</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45743</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45743</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45743</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45743</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45743</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45743</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45743</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45743</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45743</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45743</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45743</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45743</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45743</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45743</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45743</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45743</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45743</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45743</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45743</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45743</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45743</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45743</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45743</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45743</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45743</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45743</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45743</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45743</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45743</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45743</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45743</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45743</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45743</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45743</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45743</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45743</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45743</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45743</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45743</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45743</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45743</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45743</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45743</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45743</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45743</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45743</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45743</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45743</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45743</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45743</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45743</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45743</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45743</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45743</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45743</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45743</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45743</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45743</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45743</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45743</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45743</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45743</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45743</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45743</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45743</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45743</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45743</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45743</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45743</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45743</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45743</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45743</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45743</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45743</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45743</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45743</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45743</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45743</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45743</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45743</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45743</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45743</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45743</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45743</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45743</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45743</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45743</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45743</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45743</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45743</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45743</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45743</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45743</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45743</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45743</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45743</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45743</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45743</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45743</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45743</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45743</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45743</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45743</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45743</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45743</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45743</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45743</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45743</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45743</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45743</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45743</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45743</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45743</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45743</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45743</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45743</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45743</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45743</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45743</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45743</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45743</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45743</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45743</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45743</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45743</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45743</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45743</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45743</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45743</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45743</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45743</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45743</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45743</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45743</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45743</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45743</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45743</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45743</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45743</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45743</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45743</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45743</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45743</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45743</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45743</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45743</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45743</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45743</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45743</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45743</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45743</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45743</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45743</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45743</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45743</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45743</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45743</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45743</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45743</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45743</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45743</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45743</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45743</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45743</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45743</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45743</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45743</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45743</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45743</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45743</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45743</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45743</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45743</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45743</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45743</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45743</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45743</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45743</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45743</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45743</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45743</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45743</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45743</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45743</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45743</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45743</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45743</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45743</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45743</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45743</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45743</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45743</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45743</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45743</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45743</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45743</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45743</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45743</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45743</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45743</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45743</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45743</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45743</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45743</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45743</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45743</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45743</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45743</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45743</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45743</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45743</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45743</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45743</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45743</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45743</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45743</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45743</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45743</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45743</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45743</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45743</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45743</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45743</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45743</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45743</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45743</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45743</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45743</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45743</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45743</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45743</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45743</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45743</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45743</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45743</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45743</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45743</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45743</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45743</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45743</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45743</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45743</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45743</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45743</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45743</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45743</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45743</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45743</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45743</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45743</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45743</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45743</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45743</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45743</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45743</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45743</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45743</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45743</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45743</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45743</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45743</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45743</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45743</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45743</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45743</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45743</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45743</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45743</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45743</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45743</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45743</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45743</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45743</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45743</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45743</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45743</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45743</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45743</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45743</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45743</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45743</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45743</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45743</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45743</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45743</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45743</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45743</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45743</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45743</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45743</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45743</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45743</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45743</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45743</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45743</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45743</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45743</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45743</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45743</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45743</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45743</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45743</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45743</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45743</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45743</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45743</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45743</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45743</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45743</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45743</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45743</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45743</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45743</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45743</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45743</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45743</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45743</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45743</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45743</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45743</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45743</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45743</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45743</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45743</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45743</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45743</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45743</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45743</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45743</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45743</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45743</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45743</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45743</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45743</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45743</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45743</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45743</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45743</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45743</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45743</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45743</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45743</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45743</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45743</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45743</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45743</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45743</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45743</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45743</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45743</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45743</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45743</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45743</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45743</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45743</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45743</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45743</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45743</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45743</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45743</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45743</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45743</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45743</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45743</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45743</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45743</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45743</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45743</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45743</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45743</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45743</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45743</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45743</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45743</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45743</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45743</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45743</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45743</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45743</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45743</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45743</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45743</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45743</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45743</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45743</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45743</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45743</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45743</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45743</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45743</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45743</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45743</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45743</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45743</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45743</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45743</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45743</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45743</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45743</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45743</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45743</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45743</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45743</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45743</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45743</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45743</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45743</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45743</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45743</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45743</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45743</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45743</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45743</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45743</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45743</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45743</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45743</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45743</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45743</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45743</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45743</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45743</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45743</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45743</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45743</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45743</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45743</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45743</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45743</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45743</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45743</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45743</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45743</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45743</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45743</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45743</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45743</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45743</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45743</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45743</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45743</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45743</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45743</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45743</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45743</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45743</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45743</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45743</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45743</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45743</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45743</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45743</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45743</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45743</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45743</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45743</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45743</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45743</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45743</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45743</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45743</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45743</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45743</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45743</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45743</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45743</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45743</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45743</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45743</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45743</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45743</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45743</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45743</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45743</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45743</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45743</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45743</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45743</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45743</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45743</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45743</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45743</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45743</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45743</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45743</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45743</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45743</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45743</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45743</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45743</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45743</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45743</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45743</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45743</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45743</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45743</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45743</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45743</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45743</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45743</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45743</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45743</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45743</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45743</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45743</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45743</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45743</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45743</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45743</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45743</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45743</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45743</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45743</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45743</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45743</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45743</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45743</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45743</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45743</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45743</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45743</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45743</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45743</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45743</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45743</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45743</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45743</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45743</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45743</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45743</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45743</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45743</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45743</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45743</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45743</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45743</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45743</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45743</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45743</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45743</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45743</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45743</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45743</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45743</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45743</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45743</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45743</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45743</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45743</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45743</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45743</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45743</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45743</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45743</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45743</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45743</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45743</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45743</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45743</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45743</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45743</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45743</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45743</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45743</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45743</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45743</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45743</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45743</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45743</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45743</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45743</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45743</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45743</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45743</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45743</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45743</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45743</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45743</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45743</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45743</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45743</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45743</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45743</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45743</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45743</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45743</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45743</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45743</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45743</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45743</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45743</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45743</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45743</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45743</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45743</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45743</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45743</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45743</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45743</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45743</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45743</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45743</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45743</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45743</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45743</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45743</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45743</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45743</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45743</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45743</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45743</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45743</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45743</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45743</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45743</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45743</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45743</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45743</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45743</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45743</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45743</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45743</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45743</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45743</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45743</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45743</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45743</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45743</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45743</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45743</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45743</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45743</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45743</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45743</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45743</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45743</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45743</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45743</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45743</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45743</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45743</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45743</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45743</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45743</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45743</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45743</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45743</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45743</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45743</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45743</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45743</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45743</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45743</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45743</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45743</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45743</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45743</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45743</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9980-2025</t>
        </is>
      </c>
      <c r="B1834" s="1" t="n">
        <v>45719</v>
      </c>
      <c r="C1834" s="1" t="n">
        <v>45743</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10004-2025</t>
        </is>
      </c>
      <c r="B1835" s="1" t="n">
        <v>45719</v>
      </c>
      <c r="C1835" s="1" t="n">
        <v>45743</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10024-2025</t>
        </is>
      </c>
      <c r="B1836" s="1" t="n">
        <v>45719</v>
      </c>
      <c r="C1836" s="1" t="n">
        <v>45743</v>
      </c>
      <c r="D1836" t="inlineStr">
        <is>
          <t>JÄMTLANDS LÄN</t>
        </is>
      </c>
      <c r="E1836" t="inlineStr">
        <is>
          <t>HÄRJEDALEN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45743</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45743</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45743</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45743</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11555-2025</t>
        </is>
      </c>
      <c r="B1841" s="1" t="n">
        <v>45727</v>
      </c>
      <c r="C1841" s="1" t="n">
        <v>45743</v>
      </c>
      <c r="D1841" t="inlineStr">
        <is>
          <t>JÄMTLANDS LÄN</t>
        </is>
      </c>
      <c r="E1841" t="inlineStr">
        <is>
          <t>HÄRJEDALEN</t>
        </is>
      </c>
      <c r="F1841" t="inlineStr">
        <is>
          <t>Bergvik skog väst AB</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11761-2025</t>
        </is>
      </c>
      <c r="B1842" s="1" t="n">
        <v>45727</v>
      </c>
      <c r="C1842" s="1" t="n">
        <v>45743</v>
      </c>
      <c r="D1842" t="inlineStr">
        <is>
          <t>JÄMTLANDS LÄN</t>
        </is>
      </c>
      <c r="E1842" t="inlineStr">
        <is>
          <t>HÄRJEDALEN</t>
        </is>
      </c>
      <c r="F1842" t="inlineStr">
        <is>
          <t>Kommuner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11772-2025</t>
        </is>
      </c>
      <c r="B1843" s="1" t="n">
        <v>45727</v>
      </c>
      <c r="C1843" s="1" t="n">
        <v>45743</v>
      </c>
      <c r="D1843" t="inlineStr">
        <is>
          <t>JÄMTLANDS LÄN</t>
        </is>
      </c>
      <c r="E1843" t="inlineStr">
        <is>
          <t>HÄRJEDALEN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11877-2025</t>
        </is>
      </c>
      <c r="B1844" s="1" t="n">
        <v>45728</v>
      </c>
      <c r="C1844" s="1" t="n">
        <v>45743</v>
      </c>
      <c r="D1844" t="inlineStr">
        <is>
          <t>JÄMTLANDS LÄN</t>
        </is>
      </c>
      <c r="E1844" t="inlineStr">
        <is>
          <t>HÄRJEDALEN</t>
        </is>
      </c>
      <c r="F1844" t="inlineStr">
        <is>
          <t>Bergvik skog väst AB</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11917-2025</t>
        </is>
      </c>
      <c r="B1845" s="1" t="n">
        <v>45728</v>
      </c>
      <c r="C1845" s="1" t="n">
        <v>45743</v>
      </c>
      <c r="D1845" t="inlineStr">
        <is>
          <t>JÄMTLANDS LÄN</t>
        </is>
      </c>
      <c r="E1845" t="inlineStr">
        <is>
          <t>HÄRJEDALEN</t>
        </is>
      </c>
      <c r="F1845" t="inlineStr">
        <is>
          <t>Kommuner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11973-2025</t>
        </is>
      </c>
      <c r="B1846" s="1" t="n">
        <v>45728</v>
      </c>
      <c r="C1846" s="1" t="n">
        <v>45743</v>
      </c>
      <c r="D1846" t="inlineStr">
        <is>
          <t>JÄMTLANDS LÄN</t>
        </is>
      </c>
      <c r="E1846" t="inlineStr">
        <is>
          <t>HÄRJEDALEN</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11997-2025</t>
        </is>
      </c>
      <c r="B1847" s="1" t="n">
        <v>45728</v>
      </c>
      <c r="C1847" s="1" t="n">
        <v>45743</v>
      </c>
      <c r="D1847" t="inlineStr">
        <is>
          <t>JÄMTLANDS LÄN</t>
        </is>
      </c>
      <c r="E1847" t="inlineStr">
        <is>
          <t>HÄRJEDALEN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12017-2025</t>
        </is>
      </c>
      <c r="B1848" s="1" t="n">
        <v>45728</v>
      </c>
      <c r="C1848" s="1" t="n">
        <v>45743</v>
      </c>
      <c r="D1848" t="inlineStr">
        <is>
          <t>JÄMTLANDS LÄN</t>
        </is>
      </c>
      <c r="E1848" t="inlineStr">
        <is>
          <t>HÄRJEDALEN</t>
        </is>
      </c>
      <c r="G1848" t="n">
        <v>35.4</v>
      </c>
      <c r="H1848" t="n">
        <v>0</v>
      </c>
      <c r="I1848" t="n">
        <v>0</v>
      </c>
      <c r="J1848" t="n">
        <v>0</v>
      </c>
      <c r="K1848" t="n">
        <v>0</v>
      </c>
      <c r="L1848" t="n">
        <v>0</v>
      </c>
      <c r="M1848" t="n">
        <v>0</v>
      </c>
      <c r="N1848" t="n">
        <v>0</v>
      </c>
      <c r="O1848" t="n">
        <v>0</v>
      </c>
      <c r="P1848" t="n">
        <v>0</v>
      </c>
      <c r="Q1848" t="n">
        <v>0</v>
      </c>
      <c r="R1848" s="2" t="inlineStr"/>
    </row>
    <row r="1849" ht="15" customHeight="1">
      <c r="A1849" t="inlineStr">
        <is>
          <t>A 12219-2025</t>
        </is>
      </c>
      <c r="B1849" s="1" t="n">
        <v>45729</v>
      </c>
      <c r="C1849" s="1" t="n">
        <v>45743</v>
      </c>
      <c r="D1849" t="inlineStr">
        <is>
          <t>JÄMTLANDS LÄN</t>
        </is>
      </c>
      <c r="E1849" t="inlineStr">
        <is>
          <t>HÄRJEDALEN</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12279-2025</t>
        </is>
      </c>
      <c r="B1850" s="1" t="n">
        <v>45729</v>
      </c>
      <c r="C1850" s="1" t="n">
        <v>45743</v>
      </c>
      <c r="D1850" t="inlineStr">
        <is>
          <t>JÄMTLANDS LÄN</t>
        </is>
      </c>
      <c r="E1850" t="inlineStr">
        <is>
          <t>HÄRJEDALEN</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45743</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12449-2025</t>
        </is>
      </c>
      <c r="B1852" s="1" t="n">
        <v>45730</v>
      </c>
      <c r="C1852" s="1" t="n">
        <v>45743</v>
      </c>
      <c r="D1852" t="inlineStr">
        <is>
          <t>JÄMTLANDS LÄN</t>
        </is>
      </c>
      <c r="E1852" t="inlineStr">
        <is>
          <t>HÄRJEDALEN</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12450-2025</t>
        </is>
      </c>
      <c r="B1853" s="1" t="n">
        <v>45730</v>
      </c>
      <c r="C1853" s="1" t="n">
        <v>45743</v>
      </c>
      <c r="D1853" t="inlineStr">
        <is>
          <t>JÄMTLANDS LÄN</t>
        </is>
      </c>
      <c r="E1853" t="inlineStr">
        <is>
          <t>HÄRJEDALEN</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45743</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12642-2025</t>
        </is>
      </c>
      <c r="B1855" s="1" t="n">
        <v>45733</v>
      </c>
      <c r="C1855" s="1" t="n">
        <v>45743</v>
      </c>
      <c r="D1855" t="inlineStr">
        <is>
          <t>JÄMTLANDS LÄN</t>
        </is>
      </c>
      <c r="E1855" t="inlineStr">
        <is>
          <t>HÄRJEDALEN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12677-2025</t>
        </is>
      </c>
      <c r="B1856" s="1" t="n">
        <v>45733</v>
      </c>
      <c r="C1856" s="1" t="n">
        <v>45743</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12643-2025</t>
        </is>
      </c>
      <c r="B1857" s="1" t="n">
        <v>45733</v>
      </c>
      <c r="C1857" s="1" t="n">
        <v>45743</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12864-2025</t>
        </is>
      </c>
      <c r="B1858" s="1" t="n">
        <v>45733</v>
      </c>
      <c r="C1858" s="1" t="n">
        <v>45743</v>
      </c>
      <c r="D1858" t="inlineStr">
        <is>
          <t>JÄMTLANDS LÄN</t>
        </is>
      </c>
      <c r="E1858" t="inlineStr">
        <is>
          <t>HÄRJEDALEN</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12747-2025</t>
        </is>
      </c>
      <c r="B1859" s="1" t="n">
        <v>45733</v>
      </c>
      <c r="C1859" s="1" t="n">
        <v>45743</v>
      </c>
      <c r="D1859" t="inlineStr">
        <is>
          <t>JÄMTLANDS LÄN</t>
        </is>
      </c>
      <c r="E1859" t="inlineStr">
        <is>
          <t>HÄRJEDALEN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12781-2025</t>
        </is>
      </c>
      <c r="B1860" s="1" t="n">
        <v>45733</v>
      </c>
      <c r="C1860" s="1" t="n">
        <v>45743</v>
      </c>
      <c r="D1860" t="inlineStr">
        <is>
          <t>JÄMTLANDS LÄN</t>
        </is>
      </c>
      <c r="E1860" t="inlineStr">
        <is>
          <t>HÄRJEDALEN</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45743</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13328-2025</t>
        </is>
      </c>
      <c r="B1862" s="1" t="n">
        <v>45735</v>
      </c>
      <c r="C1862" s="1" t="n">
        <v>45743</v>
      </c>
      <c r="D1862" t="inlineStr">
        <is>
          <t>JÄMTLANDS LÄN</t>
        </is>
      </c>
      <c r="E1862" t="inlineStr">
        <is>
          <t>HÄRJEDALEN</t>
        </is>
      </c>
      <c r="G1862" t="n">
        <v>30.8</v>
      </c>
      <c r="H1862" t="n">
        <v>0</v>
      </c>
      <c r="I1862" t="n">
        <v>0</v>
      </c>
      <c r="J1862" t="n">
        <v>0</v>
      </c>
      <c r="K1862" t="n">
        <v>0</v>
      </c>
      <c r="L1862" t="n">
        <v>0</v>
      </c>
      <c r="M1862" t="n">
        <v>0</v>
      </c>
      <c r="N1862" t="n">
        <v>0</v>
      </c>
      <c r="O1862" t="n">
        <v>0</v>
      </c>
      <c r="P1862" t="n">
        <v>0</v>
      </c>
      <c r="Q1862" t="n">
        <v>0</v>
      </c>
      <c r="R1862" s="2" t="inlineStr"/>
    </row>
    <row r="1863" ht="15" customHeight="1">
      <c r="A1863" t="inlineStr">
        <is>
          <t>A 13726-2025</t>
        </is>
      </c>
      <c r="B1863" s="1" t="n">
        <v>45737</v>
      </c>
      <c r="C1863" s="1" t="n">
        <v>45743</v>
      </c>
      <c r="D1863" t="inlineStr">
        <is>
          <t>JÄMTLANDS LÄN</t>
        </is>
      </c>
      <c r="E1863" t="inlineStr">
        <is>
          <t>HÄRJEDALEN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13723-2025</t>
        </is>
      </c>
      <c r="B1864" s="1" t="n">
        <v>45737</v>
      </c>
      <c r="C1864" s="1" t="n">
        <v>45743</v>
      </c>
      <c r="D1864" t="inlineStr">
        <is>
          <t>JÄMTLANDS LÄN</t>
        </is>
      </c>
      <c r="E1864" t="inlineStr">
        <is>
          <t>HÄRJEDALEN</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13784-2025</t>
        </is>
      </c>
      <c r="B1865" s="1" t="n">
        <v>45737</v>
      </c>
      <c r="C1865" s="1" t="n">
        <v>45743</v>
      </c>
      <c r="D1865" t="inlineStr">
        <is>
          <t>JÄMTLANDS LÄN</t>
        </is>
      </c>
      <c r="E1865" t="inlineStr">
        <is>
          <t>HÄRJEDALEN</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13775-2025</t>
        </is>
      </c>
      <c r="B1866" s="1" t="n">
        <v>45737</v>
      </c>
      <c r="C1866" s="1" t="n">
        <v>45743</v>
      </c>
      <c r="D1866" t="inlineStr">
        <is>
          <t>JÄMTLANDS LÄN</t>
        </is>
      </c>
      <c r="E1866" t="inlineStr">
        <is>
          <t>HÄRJEDALEN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13781-2025</t>
        </is>
      </c>
      <c r="B1867" s="1" t="n">
        <v>45737</v>
      </c>
      <c r="C1867" s="1" t="n">
        <v>45743</v>
      </c>
      <c r="D1867" t="inlineStr">
        <is>
          <t>JÄMTLANDS LÄN</t>
        </is>
      </c>
      <c r="E1867" t="inlineStr">
        <is>
          <t>HÄRJEDALEN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13790-2025</t>
        </is>
      </c>
      <c r="B1868" s="1" t="n">
        <v>45737</v>
      </c>
      <c r="C1868" s="1" t="n">
        <v>45743</v>
      </c>
      <c r="D1868" t="inlineStr">
        <is>
          <t>JÄMTLANDS LÄN</t>
        </is>
      </c>
      <c r="E1868" t="inlineStr">
        <is>
          <t>HÄRJEDALEN</t>
        </is>
      </c>
      <c r="F1868" t="inlineStr">
        <is>
          <t>Övriga Aktiebolag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13778-2025</t>
        </is>
      </c>
      <c r="B1869" s="1" t="n">
        <v>45737</v>
      </c>
      <c r="C1869" s="1" t="n">
        <v>45743</v>
      </c>
      <c r="D1869" t="inlineStr">
        <is>
          <t>JÄMTLANDS LÄN</t>
        </is>
      </c>
      <c r="E1869" t="inlineStr">
        <is>
          <t>HÄRJEDALEN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13783-2025</t>
        </is>
      </c>
      <c r="B1870" s="1" t="n">
        <v>45737</v>
      </c>
      <c r="C1870" s="1" t="n">
        <v>45743</v>
      </c>
      <c r="D1870" t="inlineStr">
        <is>
          <t>JÄMTLANDS LÄN</t>
        </is>
      </c>
      <c r="E1870" t="inlineStr">
        <is>
          <t>HÄRJEDALEN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13787-2025</t>
        </is>
      </c>
      <c r="B1871" s="1" t="n">
        <v>45737</v>
      </c>
      <c r="C1871" s="1" t="n">
        <v>45743</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14039-2025</t>
        </is>
      </c>
      <c r="B1872" s="1" t="n">
        <v>45740</v>
      </c>
      <c r="C1872" s="1" t="n">
        <v>45743</v>
      </c>
      <c r="D1872" t="inlineStr">
        <is>
          <t>JÄMTLANDS LÄN</t>
        </is>
      </c>
      <c r="E1872" t="inlineStr">
        <is>
          <t>HÄRJEDALEN</t>
        </is>
      </c>
      <c r="F1872" t="inlineStr">
        <is>
          <t>Holmen skog AB</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14204-2025</t>
        </is>
      </c>
      <c r="B1873" s="1" t="n">
        <v>45740</v>
      </c>
      <c r="C1873" s="1" t="n">
        <v>45743</v>
      </c>
      <c r="D1873" t="inlineStr">
        <is>
          <t>JÄMTLANDS LÄN</t>
        </is>
      </c>
      <c r="E1873" t="inlineStr">
        <is>
          <t>HÄRJEDALEN</t>
        </is>
      </c>
      <c r="F1873" t="inlineStr">
        <is>
          <t>Övriga Aktiebolag</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14095-2025</t>
        </is>
      </c>
      <c r="B1874" s="1" t="n">
        <v>45740</v>
      </c>
      <c r="C1874" s="1" t="n">
        <v>45743</v>
      </c>
      <c r="D1874" t="inlineStr">
        <is>
          <t>JÄMTLANDS LÄN</t>
        </is>
      </c>
      <c r="E1874" t="inlineStr">
        <is>
          <t>HÄRJEDALEN</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14363-2025</t>
        </is>
      </c>
      <c r="B1875" s="1" t="n">
        <v>45741</v>
      </c>
      <c r="C1875" s="1" t="n">
        <v>45743</v>
      </c>
      <c r="D1875" t="inlineStr">
        <is>
          <t>JÄMTLANDS LÄN</t>
        </is>
      </c>
      <c r="E1875" t="inlineStr">
        <is>
          <t>HÄRJEDALEN</t>
        </is>
      </c>
      <c r="G1875" t="n">
        <v>32.8</v>
      </c>
      <c r="H1875" t="n">
        <v>0</v>
      </c>
      <c r="I1875" t="n">
        <v>0</v>
      </c>
      <c r="J1875" t="n">
        <v>0</v>
      </c>
      <c r="K1875" t="n">
        <v>0</v>
      </c>
      <c r="L1875" t="n">
        <v>0</v>
      </c>
      <c r="M1875" t="n">
        <v>0</v>
      </c>
      <c r="N1875" t="n">
        <v>0</v>
      </c>
      <c r="O1875" t="n">
        <v>0</v>
      </c>
      <c r="P1875" t="n">
        <v>0</v>
      </c>
      <c r="Q1875" t="n">
        <v>0</v>
      </c>
      <c r="R1875" s="2" t="inlineStr"/>
    </row>
    <row r="1876" ht="15" customHeight="1">
      <c r="A1876" t="inlineStr">
        <is>
          <t>A 14368-2025</t>
        </is>
      </c>
      <c r="B1876" s="1" t="n">
        <v>45741</v>
      </c>
      <c r="C1876" s="1" t="n">
        <v>45743</v>
      </c>
      <c r="D1876" t="inlineStr">
        <is>
          <t>JÄMTLANDS LÄN</t>
        </is>
      </c>
      <c r="E1876" t="inlineStr">
        <is>
          <t>HÄRJEDALEN</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14401-2025</t>
        </is>
      </c>
      <c r="B1877" s="1" t="n">
        <v>45741</v>
      </c>
      <c r="C1877" s="1" t="n">
        <v>45743</v>
      </c>
      <c r="D1877" t="inlineStr">
        <is>
          <t>JÄMTLANDS LÄN</t>
        </is>
      </c>
      <c r="E1877" t="inlineStr">
        <is>
          <t>HÄRJEDALEN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14566-2025</t>
        </is>
      </c>
      <c r="B1878" s="1" t="n">
        <v>45741</v>
      </c>
      <c r="C1878" s="1" t="n">
        <v>45743</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row r="1879">
      <c r="A1879" t="inlineStr">
        <is>
          <t>A 14632-2025</t>
        </is>
      </c>
      <c r="B1879" s="1" t="n">
        <v>45742</v>
      </c>
      <c r="C1879" s="1" t="n">
        <v>45743</v>
      </c>
      <c r="D1879" t="inlineStr">
        <is>
          <t>JÄMTLANDS LÄN</t>
        </is>
      </c>
      <c r="E1879" t="inlineStr">
        <is>
          <t>HÄRJEDALEN</t>
        </is>
      </c>
      <c r="F1879" t="inlineStr">
        <is>
          <t>SCA</t>
        </is>
      </c>
      <c r="G1879" t="n">
        <v>2.4</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2025-03-27T18:19:28Z</dcterms:created>
  <dcterms:modified xmlns:dcterms="http://purl.org/dc/terms/" xmlns:xsi="http://www.w3.org/2001/XMLSchema-instance" xsi:type="dcterms:W3CDTF">2025-03-27T18:19:30Z</dcterms:modified>
</cp:coreProperties>
</file>