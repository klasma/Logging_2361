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45796</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45796</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45796</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45796</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45796</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45796</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45796</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45796</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45796</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45796</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45796</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45796</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45796</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45796</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45796</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45796</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45796</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45796</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45796</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45796</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45796</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45796</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45796</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45796</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45796</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45796</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45796</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45796</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45796</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45796</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45796</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45796</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45796</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45796</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45796</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45796</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45796</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45796</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45796</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45796</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45796</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45796</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45796</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45796</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45796</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45796</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45796</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45796</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45796</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45796</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45796</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45796</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45796</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45796</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45796</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45796</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45796</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45796</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45796</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45796</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45796</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45796</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45796</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45796</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45796</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45796</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45796</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45796</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45796</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45796</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45796</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45796</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45796</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45796</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45796</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45796</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45796</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45796</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45796</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45796</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45796</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45796</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45796</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45796</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45796</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45796</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45796</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45796</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45796</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45796</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45796</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45796</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45796</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45796</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45796</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45796</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45796</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45796</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45796</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45796</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45796</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45796</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45796</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45796</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45796</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45796</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45796</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45796</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45796</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45796</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45796</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45796</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45796</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45796</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45796</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45796</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45796</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45796</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45796</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45796</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45796</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45796</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45796</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45796</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45796</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45796</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45796</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45796</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45796</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45796</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45796</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45796</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45796</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45796</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45796</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45796</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45796</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45796</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45796</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45796</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45796</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45796</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45796</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45796</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45796</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45796</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45796</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45796</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45796</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45796</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45796</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45796</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45796</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45796</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45796</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45796</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45796</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45796</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45796</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45796</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45796</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45796</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45796</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45796</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45796</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45796</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45796</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45796</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45796</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45796</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45796</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45796</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45796</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45796</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45796</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17368-2023</t>
        </is>
      </c>
      <c r="B181" s="1" t="n">
        <v>45035</v>
      </c>
      <c r="C181" s="1" t="n">
        <v>45796</v>
      </c>
      <c r="D181" t="inlineStr">
        <is>
          <t>JÄMTLANDS LÄN</t>
        </is>
      </c>
      <c r="E181" t="inlineStr">
        <is>
          <t>HÄRJEDALEN</t>
        </is>
      </c>
      <c r="F181" t="inlineStr">
        <is>
          <t>Kyrkan</t>
        </is>
      </c>
      <c r="G181" t="n">
        <v>1.3</v>
      </c>
      <c r="H181" t="n">
        <v>1</v>
      </c>
      <c r="I181" t="n">
        <v>0</v>
      </c>
      <c r="J181" t="n">
        <v>1</v>
      </c>
      <c r="K181" t="n">
        <v>1</v>
      </c>
      <c r="L181" t="n">
        <v>0</v>
      </c>
      <c r="M181" t="n">
        <v>0</v>
      </c>
      <c r="N181" t="n">
        <v>0</v>
      </c>
      <c r="O181" t="n">
        <v>2</v>
      </c>
      <c r="P181" t="n">
        <v>1</v>
      </c>
      <c r="Q181" t="n">
        <v>2</v>
      </c>
      <c r="R181" s="2" t="inlineStr">
        <is>
          <t>Knärot
Mörk kolflarnlav</t>
        </is>
      </c>
      <c r="S181">
        <f>HYPERLINK("https://klasma.github.io/Logging_2361/artfynd/A 17368-2023 artfynd.xlsx", "A 17368-2023")</f>
        <v/>
      </c>
      <c r="T181">
        <f>HYPERLINK("https://klasma.github.io/Logging_2361/kartor/A 17368-2023 karta.png", "A 17368-2023")</f>
        <v/>
      </c>
      <c r="U181">
        <f>HYPERLINK("https://klasma.github.io/Logging_2361/knärot/A 17368-2023 karta knärot.png", "A 17368-2023")</f>
        <v/>
      </c>
      <c r="V181">
        <f>HYPERLINK("https://klasma.github.io/Logging_2361/klagomål/A 17368-2023 FSC-klagomål.docx", "A 17368-2023")</f>
        <v/>
      </c>
      <c r="W181">
        <f>HYPERLINK("https://klasma.github.io/Logging_2361/klagomålsmail/A 17368-2023 FSC-klagomål mail.docx", "A 17368-2023")</f>
        <v/>
      </c>
      <c r="X181">
        <f>HYPERLINK("https://klasma.github.io/Logging_2361/tillsyn/A 17368-2023 tillsynsbegäran.docx", "A 17368-2023")</f>
        <v/>
      </c>
      <c r="Y181">
        <f>HYPERLINK("https://klasma.github.io/Logging_2361/tillsynsmail/A 17368-2023 tillsynsbegäran mail.docx", "A 17368-2023")</f>
        <v/>
      </c>
    </row>
    <row r="182" ht="15" customHeight="1">
      <c r="A182" t="inlineStr">
        <is>
          <t>A 25742-2023</t>
        </is>
      </c>
      <c r="B182" s="1" t="n">
        <v>45090</v>
      </c>
      <c r="C182" s="1" t="n">
        <v>45796</v>
      </c>
      <c r="D182" t="inlineStr">
        <is>
          <t>JÄMTLANDS LÄN</t>
        </is>
      </c>
      <c r="E182" t="inlineStr">
        <is>
          <t>HÄRJEDALEN</t>
        </is>
      </c>
      <c r="F182" t="inlineStr">
        <is>
          <t>Bergvik skog väst AB</t>
        </is>
      </c>
      <c r="G182" t="n">
        <v>55</v>
      </c>
      <c r="H182" t="n">
        <v>0</v>
      </c>
      <c r="I182" t="n">
        <v>0</v>
      </c>
      <c r="J182" t="n">
        <v>2</v>
      </c>
      <c r="K182" t="n">
        <v>0</v>
      </c>
      <c r="L182" t="n">
        <v>0</v>
      </c>
      <c r="M182" t="n">
        <v>0</v>
      </c>
      <c r="N182" t="n">
        <v>0</v>
      </c>
      <c r="O182" t="n">
        <v>2</v>
      </c>
      <c r="P182" t="n">
        <v>0</v>
      </c>
      <c r="Q182" t="n">
        <v>2</v>
      </c>
      <c r="R182" s="2" t="inlineStr">
        <is>
          <t>Dvärgbägarlav
Mörk kolflarnlav</t>
        </is>
      </c>
      <c r="S182">
        <f>HYPERLINK("https://klasma.github.io/Logging_2361/artfynd/A 25742-2023 artfynd.xlsx", "A 25742-2023")</f>
        <v/>
      </c>
      <c r="T182">
        <f>HYPERLINK("https://klasma.github.io/Logging_2361/kartor/A 25742-2023 karta.png", "A 25742-2023")</f>
        <v/>
      </c>
      <c r="V182">
        <f>HYPERLINK("https://klasma.github.io/Logging_2361/klagomål/A 25742-2023 FSC-klagomål.docx", "A 25742-2023")</f>
        <v/>
      </c>
      <c r="W182">
        <f>HYPERLINK("https://klasma.github.io/Logging_2361/klagomålsmail/A 25742-2023 FSC-klagomål mail.docx", "A 25742-2023")</f>
        <v/>
      </c>
      <c r="X182">
        <f>HYPERLINK("https://klasma.github.io/Logging_2361/tillsyn/A 25742-2023 tillsynsbegäran.docx", "A 25742-2023")</f>
        <v/>
      </c>
      <c r="Y182">
        <f>HYPERLINK("https://klasma.github.io/Logging_2361/tillsynsmail/A 25742-2023 tillsynsbegäran mail.docx", "A 25742-2023")</f>
        <v/>
      </c>
    </row>
    <row r="183" ht="15" customHeight="1">
      <c r="A183" t="inlineStr">
        <is>
          <t>A 36750-2023</t>
        </is>
      </c>
      <c r="B183" s="1" t="n">
        <v>45153</v>
      </c>
      <c r="C183" s="1" t="n">
        <v>45796</v>
      </c>
      <c r="D183" t="inlineStr">
        <is>
          <t>JÄMTLANDS LÄN</t>
        </is>
      </c>
      <c r="E183" t="inlineStr">
        <is>
          <t>HÄRJEDALEN</t>
        </is>
      </c>
      <c r="G183" t="n">
        <v>8.199999999999999</v>
      </c>
      <c r="H183" t="n">
        <v>1</v>
      </c>
      <c r="I183" t="n">
        <v>0</v>
      </c>
      <c r="J183" t="n">
        <v>2</v>
      </c>
      <c r="K183" t="n">
        <v>0</v>
      </c>
      <c r="L183" t="n">
        <v>0</v>
      </c>
      <c r="M183" t="n">
        <v>0</v>
      </c>
      <c r="N183" t="n">
        <v>0</v>
      </c>
      <c r="O183" t="n">
        <v>2</v>
      </c>
      <c r="P183" t="n">
        <v>0</v>
      </c>
      <c r="Q183" t="n">
        <v>2</v>
      </c>
      <c r="R183" s="2" t="inlineStr">
        <is>
          <t>Järpe
Lunglav</t>
        </is>
      </c>
      <c r="S183">
        <f>HYPERLINK("https://klasma.github.io/Logging_2361/artfynd/A 36750-2023 artfynd.xlsx", "A 36750-2023")</f>
        <v/>
      </c>
      <c r="T183">
        <f>HYPERLINK("https://klasma.github.io/Logging_2361/kartor/A 36750-2023 karta.png", "A 36750-2023")</f>
        <v/>
      </c>
      <c r="V183">
        <f>HYPERLINK("https://klasma.github.io/Logging_2361/klagomål/A 36750-2023 FSC-klagomål.docx", "A 36750-2023")</f>
        <v/>
      </c>
      <c r="W183">
        <f>HYPERLINK("https://klasma.github.io/Logging_2361/klagomålsmail/A 36750-2023 FSC-klagomål mail.docx", "A 36750-2023")</f>
        <v/>
      </c>
      <c r="X183">
        <f>HYPERLINK("https://klasma.github.io/Logging_2361/tillsyn/A 36750-2023 tillsynsbegäran.docx", "A 36750-2023")</f>
        <v/>
      </c>
      <c r="Y183">
        <f>HYPERLINK("https://klasma.github.io/Logging_2361/tillsynsmail/A 36750-2023 tillsynsbegäran mail.docx", "A 36750-2023")</f>
        <v/>
      </c>
      <c r="Z183">
        <f>HYPERLINK("https://klasma.github.io/Logging_2361/fåglar/A 36750-2023 prioriterade fågelarter.docx", "A 36750-2023")</f>
        <v/>
      </c>
    </row>
    <row r="184" ht="15" customHeight="1">
      <c r="A184" t="inlineStr">
        <is>
          <t>A 40015-2023</t>
        </is>
      </c>
      <c r="B184" s="1" t="n">
        <v>45168</v>
      </c>
      <c r="C184" s="1" t="n">
        <v>45796</v>
      </c>
      <c r="D184" t="inlineStr">
        <is>
          <t>JÄMTLANDS LÄN</t>
        </is>
      </c>
      <c r="E184" t="inlineStr">
        <is>
          <t>HÄRJEDALEN</t>
        </is>
      </c>
      <c r="G184" t="n">
        <v>21.9</v>
      </c>
      <c r="H184" t="n">
        <v>0</v>
      </c>
      <c r="I184" t="n">
        <v>1</v>
      </c>
      <c r="J184" t="n">
        <v>1</v>
      </c>
      <c r="K184" t="n">
        <v>0</v>
      </c>
      <c r="L184" t="n">
        <v>0</v>
      </c>
      <c r="M184" t="n">
        <v>0</v>
      </c>
      <c r="N184" t="n">
        <v>0</v>
      </c>
      <c r="O184" t="n">
        <v>1</v>
      </c>
      <c r="P184" t="n">
        <v>0</v>
      </c>
      <c r="Q184" t="n">
        <v>2</v>
      </c>
      <c r="R184" s="2" t="inlineStr">
        <is>
          <t>Blå taggsvamp
Dropptaggsvamp</t>
        </is>
      </c>
      <c r="S184">
        <f>HYPERLINK("https://klasma.github.io/Logging_2361/artfynd/A 40015-2023 artfynd.xlsx", "A 40015-2023")</f>
        <v/>
      </c>
      <c r="T184">
        <f>HYPERLINK("https://klasma.github.io/Logging_2361/kartor/A 40015-2023 karta.png", "A 40015-2023")</f>
        <v/>
      </c>
      <c r="V184">
        <f>HYPERLINK("https://klasma.github.io/Logging_2361/klagomål/A 40015-2023 FSC-klagomål.docx", "A 40015-2023")</f>
        <v/>
      </c>
      <c r="W184">
        <f>HYPERLINK("https://klasma.github.io/Logging_2361/klagomålsmail/A 40015-2023 FSC-klagomål mail.docx", "A 40015-2023")</f>
        <v/>
      </c>
      <c r="X184">
        <f>HYPERLINK("https://klasma.github.io/Logging_2361/tillsyn/A 40015-2023 tillsynsbegäran.docx", "A 40015-2023")</f>
        <v/>
      </c>
      <c r="Y184">
        <f>HYPERLINK("https://klasma.github.io/Logging_2361/tillsynsmail/A 40015-2023 tillsynsbegäran mail.docx", "A 40015-2023")</f>
        <v/>
      </c>
    </row>
    <row r="185" ht="15" customHeight="1">
      <c r="A185" t="inlineStr">
        <is>
          <t>A 45191-2023</t>
        </is>
      </c>
      <c r="B185" s="1" t="n">
        <v>45191</v>
      </c>
      <c r="C185" s="1" t="n">
        <v>45796</v>
      </c>
      <c r="D185" t="inlineStr">
        <is>
          <t>JÄMTLANDS LÄN</t>
        </is>
      </c>
      <c r="E185" t="inlineStr">
        <is>
          <t>HÄRJEDALEN</t>
        </is>
      </c>
      <c r="F185" t="inlineStr">
        <is>
          <t>Sveaskog</t>
        </is>
      </c>
      <c r="G185" t="n">
        <v>2.4</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HYPERLINK("https://klasma.github.io/Logging_2361/artfynd/A 45191-2023 artfynd.xlsx", "A 45191-2023")</f>
        <v/>
      </c>
      <c r="T185">
        <f>HYPERLINK("https://klasma.github.io/Logging_2361/kartor/A 45191-2023 karta.png", "A 45191-2023")</f>
        <v/>
      </c>
      <c r="V185">
        <f>HYPERLINK("https://klasma.github.io/Logging_2361/klagomål/A 45191-2023 FSC-klagomål.docx", "A 45191-2023")</f>
        <v/>
      </c>
      <c r="W185">
        <f>HYPERLINK("https://klasma.github.io/Logging_2361/klagomålsmail/A 45191-2023 FSC-klagomål mail.docx", "A 45191-2023")</f>
        <v/>
      </c>
      <c r="X185">
        <f>HYPERLINK("https://klasma.github.io/Logging_2361/tillsyn/A 45191-2023 tillsynsbegäran.docx", "A 45191-2023")</f>
        <v/>
      </c>
      <c r="Y185">
        <f>HYPERLINK("https://klasma.github.io/Logging_2361/tillsynsmail/A 45191-2023 tillsynsbegäran mail.docx", "A 45191-2023")</f>
        <v/>
      </c>
    </row>
    <row r="186" ht="15" customHeight="1">
      <c r="A186" t="inlineStr">
        <is>
          <t>A 22836-2024</t>
        </is>
      </c>
      <c r="B186" s="1" t="n">
        <v>45448</v>
      </c>
      <c r="C186" s="1" t="n">
        <v>45796</v>
      </c>
      <c r="D186" t="inlineStr">
        <is>
          <t>JÄMTLANDS LÄN</t>
        </is>
      </c>
      <c r="E186" t="inlineStr">
        <is>
          <t>HÄRJEDALEN</t>
        </is>
      </c>
      <c r="F186" t="inlineStr">
        <is>
          <t>Holmen skog AB</t>
        </is>
      </c>
      <c r="G186" t="n">
        <v>3.5</v>
      </c>
      <c r="H186" t="n">
        <v>0</v>
      </c>
      <c r="I186" t="n">
        <v>1</v>
      </c>
      <c r="J186" t="n">
        <v>1</v>
      </c>
      <c r="K186" t="n">
        <v>0</v>
      </c>
      <c r="L186" t="n">
        <v>0</v>
      </c>
      <c r="M186" t="n">
        <v>0</v>
      </c>
      <c r="N186" t="n">
        <v>0</v>
      </c>
      <c r="O186" t="n">
        <v>1</v>
      </c>
      <c r="P186" t="n">
        <v>0</v>
      </c>
      <c r="Q186" t="n">
        <v>2</v>
      </c>
      <c r="R186" s="2" t="inlineStr">
        <is>
          <t>Vedflamlav
Dropptaggsvamp</t>
        </is>
      </c>
      <c r="S186">
        <f>HYPERLINK("https://klasma.github.io/Logging_2361/artfynd/A 22836-2024 artfynd.xlsx", "A 22836-2024")</f>
        <v/>
      </c>
      <c r="T186">
        <f>HYPERLINK("https://klasma.github.io/Logging_2361/kartor/A 22836-2024 karta.png", "A 22836-2024")</f>
        <v/>
      </c>
      <c r="V186">
        <f>HYPERLINK("https://klasma.github.io/Logging_2361/klagomål/A 22836-2024 FSC-klagomål.docx", "A 22836-2024")</f>
        <v/>
      </c>
      <c r="W186">
        <f>HYPERLINK("https://klasma.github.io/Logging_2361/klagomålsmail/A 22836-2024 FSC-klagomål mail.docx", "A 22836-2024")</f>
        <v/>
      </c>
      <c r="X186">
        <f>HYPERLINK("https://klasma.github.io/Logging_2361/tillsyn/A 22836-2024 tillsynsbegäran.docx", "A 22836-2024")</f>
        <v/>
      </c>
      <c r="Y186">
        <f>HYPERLINK("https://klasma.github.io/Logging_2361/tillsynsmail/A 22836-2024 tillsynsbegäran mail.docx", "A 22836-2024")</f>
        <v/>
      </c>
    </row>
    <row r="187" ht="15" customHeight="1">
      <c r="A187" t="inlineStr">
        <is>
          <t>A 27179-2024</t>
        </is>
      </c>
      <c r="B187" s="1" t="n">
        <v>45471</v>
      </c>
      <c r="C187" s="1" t="n">
        <v>45796</v>
      </c>
      <c r="D187" t="inlineStr">
        <is>
          <t>JÄMTLANDS LÄN</t>
        </is>
      </c>
      <c r="E187" t="inlineStr">
        <is>
          <t>HÄRJEDALEN</t>
        </is>
      </c>
      <c r="G187" t="n">
        <v>3.1</v>
      </c>
      <c r="H187" t="n">
        <v>0</v>
      </c>
      <c r="I187" t="n">
        <v>1</v>
      </c>
      <c r="J187" t="n">
        <v>1</v>
      </c>
      <c r="K187" t="n">
        <v>0</v>
      </c>
      <c r="L187" t="n">
        <v>0</v>
      </c>
      <c r="M187" t="n">
        <v>0</v>
      </c>
      <c r="N187" t="n">
        <v>0</v>
      </c>
      <c r="O187" t="n">
        <v>1</v>
      </c>
      <c r="P187" t="n">
        <v>0</v>
      </c>
      <c r="Q187" t="n">
        <v>2</v>
      </c>
      <c r="R187" s="2" t="inlineStr">
        <is>
          <t>Garnlav
Korallblylav</t>
        </is>
      </c>
      <c r="S187">
        <f>HYPERLINK("https://klasma.github.io/Logging_2361/artfynd/A 27179-2024 artfynd.xlsx", "A 27179-2024")</f>
        <v/>
      </c>
      <c r="T187">
        <f>HYPERLINK("https://klasma.github.io/Logging_2361/kartor/A 27179-2024 karta.png", "A 27179-2024")</f>
        <v/>
      </c>
      <c r="V187">
        <f>HYPERLINK("https://klasma.github.io/Logging_2361/klagomål/A 27179-2024 FSC-klagomål.docx", "A 27179-2024")</f>
        <v/>
      </c>
      <c r="W187">
        <f>HYPERLINK("https://klasma.github.io/Logging_2361/klagomålsmail/A 27179-2024 FSC-klagomål mail.docx", "A 27179-2024")</f>
        <v/>
      </c>
      <c r="X187">
        <f>HYPERLINK("https://klasma.github.io/Logging_2361/tillsyn/A 27179-2024 tillsynsbegäran.docx", "A 27179-2024")</f>
        <v/>
      </c>
      <c r="Y187">
        <f>HYPERLINK("https://klasma.github.io/Logging_2361/tillsynsmail/A 27179-2024 tillsynsbegäran mail.docx", "A 27179-2024")</f>
        <v/>
      </c>
    </row>
    <row r="188" ht="15" customHeight="1">
      <c r="A188" t="inlineStr">
        <is>
          <t>A 31892-2024</t>
        </is>
      </c>
      <c r="B188" s="1" t="n">
        <v>45509</v>
      </c>
      <c r="C188" s="1" t="n">
        <v>45796</v>
      </c>
      <c r="D188" t="inlineStr">
        <is>
          <t>JÄMTLANDS LÄN</t>
        </is>
      </c>
      <c r="E188" t="inlineStr">
        <is>
          <t>HÄRJEDALEN</t>
        </is>
      </c>
      <c r="F188" t="inlineStr">
        <is>
          <t>SCA</t>
        </is>
      </c>
      <c r="G188" t="n">
        <v>5.2</v>
      </c>
      <c r="H188" t="n">
        <v>1</v>
      </c>
      <c r="I188" t="n">
        <v>1</v>
      </c>
      <c r="J188" t="n">
        <v>0</v>
      </c>
      <c r="K188" t="n">
        <v>0</v>
      </c>
      <c r="L188" t="n">
        <v>0</v>
      </c>
      <c r="M188" t="n">
        <v>0</v>
      </c>
      <c r="N188" t="n">
        <v>0</v>
      </c>
      <c r="O188" t="n">
        <v>0</v>
      </c>
      <c r="P188" t="n">
        <v>0</v>
      </c>
      <c r="Q188" t="n">
        <v>2</v>
      </c>
      <c r="R188" s="2" t="inlineStr">
        <is>
          <t>Bollvitmossa
Fläcknycklar</t>
        </is>
      </c>
      <c r="S188">
        <f>HYPERLINK("https://klasma.github.io/Logging_2361/artfynd/A 31892-2024 artfynd.xlsx", "A 31892-2024")</f>
        <v/>
      </c>
      <c r="T188">
        <f>HYPERLINK("https://klasma.github.io/Logging_2361/kartor/A 31892-2024 karta.png", "A 31892-2024")</f>
        <v/>
      </c>
      <c r="V188">
        <f>HYPERLINK("https://klasma.github.io/Logging_2361/klagomål/A 31892-2024 FSC-klagomål.docx", "A 31892-2024")</f>
        <v/>
      </c>
      <c r="W188">
        <f>HYPERLINK("https://klasma.github.io/Logging_2361/klagomålsmail/A 31892-2024 FSC-klagomål mail.docx", "A 31892-2024")</f>
        <v/>
      </c>
      <c r="X188">
        <f>HYPERLINK("https://klasma.github.io/Logging_2361/tillsyn/A 31892-2024 tillsynsbegäran.docx", "A 31892-2024")</f>
        <v/>
      </c>
      <c r="Y188">
        <f>HYPERLINK("https://klasma.github.io/Logging_2361/tillsynsmail/A 31892-2024 tillsynsbegäran mail.docx", "A 31892-2024")</f>
        <v/>
      </c>
    </row>
    <row r="189" ht="15" customHeight="1">
      <c r="A189" t="inlineStr">
        <is>
          <t>A 36051-2024</t>
        </is>
      </c>
      <c r="B189" s="1" t="n">
        <v>45533</v>
      </c>
      <c r="C189" s="1" t="n">
        <v>45796</v>
      </c>
      <c r="D189" t="inlineStr">
        <is>
          <t>JÄMTLANDS LÄN</t>
        </is>
      </c>
      <c r="E189" t="inlineStr">
        <is>
          <t>HÄRJEDALEN</t>
        </is>
      </c>
      <c r="F189" t="inlineStr">
        <is>
          <t>Sveaskog</t>
        </is>
      </c>
      <c r="G189" t="n">
        <v>2.3</v>
      </c>
      <c r="H189" t="n">
        <v>0</v>
      </c>
      <c r="I189" t="n">
        <v>1</v>
      </c>
      <c r="J189" t="n">
        <v>1</v>
      </c>
      <c r="K189" t="n">
        <v>0</v>
      </c>
      <c r="L189" t="n">
        <v>0</v>
      </c>
      <c r="M189" t="n">
        <v>0</v>
      </c>
      <c r="N189" t="n">
        <v>0</v>
      </c>
      <c r="O189" t="n">
        <v>1</v>
      </c>
      <c r="P189" t="n">
        <v>0</v>
      </c>
      <c r="Q189" t="n">
        <v>2</v>
      </c>
      <c r="R189" s="2" t="inlineStr">
        <is>
          <t>Blå taggsvamp
Dropptaggsvamp</t>
        </is>
      </c>
      <c r="S189">
        <f>HYPERLINK("https://klasma.github.io/Logging_2361/artfynd/A 36051-2024 artfynd.xlsx", "A 36051-2024")</f>
        <v/>
      </c>
      <c r="T189">
        <f>HYPERLINK("https://klasma.github.io/Logging_2361/kartor/A 36051-2024 karta.png", "A 36051-2024")</f>
        <v/>
      </c>
      <c r="V189">
        <f>HYPERLINK("https://klasma.github.io/Logging_2361/klagomål/A 36051-2024 FSC-klagomål.docx", "A 36051-2024")</f>
        <v/>
      </c>
      <c r="W189">
        <f>HYPERLINK("https://klasma.github.io/Logging_2361/klagomålsmail/A 36051-2024 FSC-klagomål mail.docx", "A 36051-2024")</f>
        <v/>
      </c>
      <c r="X189">
        <f>HYPERLINK("https://klasma.github.io/Logging_2361/tillsyn/A 36051-2024 tillsynsbegäran.docx", "A 36051-2024")</f>
        <v/>
      </c>
      <c r="Y189">
        <f>HYPERLINK("https://klasma.github.io/Logging_2361/tillsynsmail/A 36051-2024 tillsynsbegäran mail.docx", "A 36051-2024")</f>
        <v/>
      </c>
    </row>
    <row r="190" ht="15" customHeight="1">
      <c r="A190" t="inlineStr">
        <is>
          <t>A 36924-2024</t>
        </is>
      </c>
      <c r="B190" s="1" t="n">
        <v>45538</v>
      </c>
      <c r="C190" s="1" t="n">
        <v>45796</v>
      </c>
      <c r="D190" t="inlineStr">
        <is>
          <t>JÄMTLANDS LÄN</t>
        </is>
      </c>
      <c r="E190" t="inlineStr">
        <is>
          <t>HÄRJEDALEN</t>
        </is>
      </c>
      <c r="F190" t="inlineStr">
        <is>
          <t>Holmen skog AB</t>
        </is>
      </c>
      <c r="G190" t="n">
        <v>4.3</v>
      </c>
      <c r="H190" t="n">
        <v>1</v>
      </c>
      <c r="I190" t="n">
        <v>1</v>
      </c>
      <c r="J190" t="n">
        <v>0</v>
      </c>
      <c r="K190" t="n">
        <v>0</v>
      </c>
      <c r="L190" t="n">
        <v>0</v>
      </c>
      <c r="M190" t="n">
        <v>0</v>
      </c>
      <c r="N190" t="n">
        <v>0</v>
      </c>
      <c r="O190" t="n">
        <v>0</v>
      </c>
      <c r="P190" t="n">
        <v>0</v>
      </c>
      <c r="Q190" t="n">
        <v>2</v>
      </c>
      <c r="R190" s="2" t="inlineStr">
        <is>
          <t>Dvärgtufs
Nattviol</t>
        </is>
      </c>
      <c r="S190">
        <f>HYPERLINK("https://klasma.github.io/Logging_2361/artfynd/A 36924-2024 artfynd.xlsx", "A 36924-2024")</f>
        <v/>
      </c>
      <c r="T190">
        <f>HYPERLINK("https://klasma.github.io/Logging_2361/kartor/A 36924-2024 karta.png", "A 36924-2024")</f>
        <v/>
      </c>
      <c r="V190">
        <f>HYPERLINK("https://klasma.github.io/Logging_2361/klagomål/A 36924-2024 FSC-klagomål.docx", "A 36924-2024")</f>
        <v/>
      </c>
      <c r="W190">
        <f>HYPERLINK("https://klasma.github.io/Logging_2361/klagomålsmail/A 36924-2024 FSC-klagomål mail.docx", "A 36924-2024")</f>
        <v/>
      </c>
      <c r="X190">
        <f>HYPERLINK("https://klasma.github.io/Logging_2361/tillsyn/A 36924-2024 tillsynsbegäran.docx", "A 36924-2024")</f>
        <v/>
      </c>
      <c r="Y190">
        <f>HYPERLINK("https://klasma.github.io/Logging_2361/tillsynsmail/A 36924-2024 tillsynsbegäran mail.docx", "A 36924-2024")</f>
        <v/>
      </c>
    </row>
    <row r="191" ht="15" customHeight="1">
      <c r="A191" t="inlineStr">
        <is>
          <t>A 39718-2024</t>
        </is>
      </c>
      <c r="B191" s="1" t="n">
        <v>45552</v>
      </c>
      <c r="C191" s="1" t="n">
        <v>45796</v>
      </c>
      <c r="D191" t="inlineStr">
        <is>
          <t>JÄMTLANDS LÄN</t>
        </is>
      </c>
      <c r="E191" t="inlineStr">
        <is>
          <t>HÄRJEDALEN</t>
        </is>
      </c>
      <c r="G191" t="n">
        <v>9.4</v>
      </c>
      <c r="H191" t="n">
        <v>0</v>
      </c>
      <c r="I191" t="n">
        <v>0</v>
      </c>
      <c r="J191" t="n">
        <v>1</v>
      </c>
      <c r="K191" t="n">
        <v>1</v>
      </c>
      <c r="L191" t="n">
        <v>0</v>
      </c>
      <c r="M191" t="n">
        <v>0</v>
      </c>
      <c r="N191" t="n">
        <v>0</v>
      </c>
      <c r="O191" t="n">
        <v>2</v>
      </c>
      <c r="P191" t="n">
        <v>1</v>
      </c>
      <c r="Q191" t="n">
        <v>2</v>
      </c>
      <c r="R191" s="2" t="inlineStr">
        <is>
          <t>Gräddporing
Slåtterfibbla</t>
        </is>
      </c>
      <c r="S191">
        <f>HYPERLINK("https://klasma.github.io/Logging_2361/artfynd/A 39718-2024 artfynd.xlsx", "A 39718-2024")</f>
        <v/>
      </c>
      <c r="T191">
        <f>HYPERLINK("https://klasma.github.io/Logging_2361/kartor/A 39718-2024 karta.png", "A 39718-2024")</f>
        <v/>
      </c>
      <c r="U191">
        <f>HYPERLINK("https://klasma.github.io/Logging_2361/knärot/A 39718-2024 karta knärot.png", "A 39718-2024")</f>
        <v/>
      </c>
      <c r="V191">
        <f>HYPERLINK("https://klasma.github.io/Logging_2361/klagomål/A 39718-2024 FSC-klagomål.docx", "A 39718-2024")</f>
        <v/>
      </c>
      <c r="W191">
        <f>HYPERLINK("https://klasma.github.io/Logging_2361/klagomålsmail/A 39718-2024 FSC-klagomål mail.docx", "A 39718-2024")</f>
        <v/>
      </c>
      <c r="X191">
        <f>HYPERLINK("https://klasma.github.io/Logging_2361/tillsyn/A 39718-2024 tillsynsbegäran.docx", "A 39718-2024")</f>
        <v/>
      </c>
      <c r="Y191">
        <f>HYPERLINK("https://klasma.github.io/Logging_2361/tillsynsmail/A 39718-2024 tillsynsbegäran mail.docx", "A 39718-2024")</f>
        <v/>
      </c>
    </row>
    <row r="192" ht="15" customHeight="1">
      <c r="A192" t="inlineStr">
        <is>
          <t>A 44824-2024</t>
        </is>
      </c>
      <c r="B192" s="1" t="n">
        <v>45574</v>
      </c>
      <c r="C192" s="1" t="n">
        <v>45796</v>
      </c>
      <c r="D192" t="inlineStr">
        <is>
          <t>JÄMTLANDS LÄN</t>
        </is>
      </c>
      <c r="E192" t="inlineStr">
        <is>
          <t>HÄRJEDALEN</t>
        </is>
      </c>
      <c r="F192" t="inlineStr">
        <is>
          <t>Bergvik skog väst AB</t>
        </is>
      </c>
      <c r="G192" t="n">
        <v>29.4</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HYPERLINK("https://klasma.github.io/Logging_2361/artfynd/A 44824-2024 artfynd.xlsx", "A 44824-2024")</f>
        <v/>
      </c>
      <c r="T192">
        <f>HYPERLINK("https://klasma.github.io/Logging_2361/kartor/A 44824-2024 karta.png", "A 44824-2024")</f>
        <v/>
      </c>
      <c r="V192">
        <f>HYPERLINK("https://klasma.github.io/Logging_2361/klagomål/A 44824-2024 FSC-klagomål.docx", "A 44824-2024")</f>
        <v/>
      </c>
      <c r="W192">
        <f>HYPERLINK("https://klasma.github.io/Logging_2361/klagomålsmail/A 44824-2024 FSC-klagomål mail.docx", "A 44824-2024")</f>
        <v/>
      </c>
      <c r="X192">
        <f>HYPERLINK("https://klasma.github.io/Logging_2361/tillsyn/A 44824-2024 tillsynsbegäran.docx", "A 44824-2024")</f>
        <v/>
      </c>
      <c r="Y192">
        <f>HYPERLINK("https://klasma.github.io/Logging_2361/tillsynsmail/A 44824-2024 tillsynsbegäran mail.docx", "A 44824-2024")</f>
        <v/>
      </c>
      <c r="Z192">
        <f>HYPERLINK("https://klasma.github.io/Logging_2361/fåglar/A 44824-2024 prioriterade fågelarter.docx", "A 44824-2024")</f>
        <v/>
      </c>
    </row>
    <row r="193" ht="15" customHeight="1">
      <c r="A193" t="inlineStr">
        <is>
          <t>A 49329-2024</t>
        </is>
      </c>
      <c r="B193" s="1" t="n">
        <v>45595</v>
      </c>
      <c r="C193" s="1" t="n">
        <v>45796</v>
      </c>
      <c r="D193" t="inlineStr">
        <is>
          <t>JÄMTLANDS LÄN</t>
        </is>
      </c>
      <c r="E193" t="inlineStr">
        <is>
          <t>HÄRJEDALEN</t>
        </is>
      </c>
      <c r="F193" t="inlineStr">
        <is>
          <t>Bergvik skog väst AB</t>
        </is>
      </c>
      <c r="G193" t="n">
        <v>6.1</v>
      </c>
      <c r="H193" t="n">
        <v>0</v>
      </c>
      <c r="I193" t="n">
        <v>0</v>
      </c>
      <c r="J193" t="n">
        <v>2</v>
      </c>
      <c r="K193" t="n">
        <v>0</v>
      </c>
      <c r="L193" t="n">
        <v>0</v>
      </c>
      <c r="M193" t="n">
        <v>0</v>
      </c>
      <c r="N193" t="n">
        <v>0</v>
      </c>
      <c r="O193" t="n">
        <v>2</v>
      </c>
      <c r="P193" t="n">
        <v>0</v>
      </c>
      <c r="Q193" t="n">
        <v>2</v>
      </c>
      <c r="R193" s="2" t="inlineStr">
        <is>
          <t>Dvärgbägarlav
Vedflamlav</t>
        </is>
      </c>
      <c r="S193">
        <f>HYPERLINK("https://klasma.github.io/Logging_2361/artfynd/A 49329-2024 artfynd.xlsx", "A 49329-2024")</f>
        <v/>
      </c>
      <c r="T193">
        <f>HYPERLINK("https://klasma.github.io/Logging_2361/kartor/A 49329-2024 karta.png", "A 49329-2024")</f>
        <v/>
      </c>
      <c r="V193">
        <f>HYPERLINK("https://klasma.github.io/Logging_2361/klagomål/A 49329-2024 FSC-klagomål.docx", "A 49329-2024")</f>
        <v/>
      </c>
      <c r="W193">
        <f>HYPERLINK("https://klasma.github.io/Logging_2361/klagomålsmail/A 49329-2024 FSC-klagomål mail.docx", "A 49329-2024")</f>
        <v/>
      </c>
      <c r="X193">
        <f>HYPERLINK("https://klasma.github.io/Logging_2361/tillsyn/A 49329-2024 tillsynsbegäran.docx", "A 49329-2024")</f>
        <v/>
      </c>
      <c r="Y193">
        <f>HYPERLINK("https://klasma.github.io/Logging_2361/tillsynsmail/A 49329-2024 tillsynsbegäran mail.docx", "A 49329-2024")</f>
        <v/>
      </c>
    </row>
    <row r="194" ht="15" customHeight="1">
      <c r="A194" t="inlineStr">
        <is>
          <t>A 49482-2024</t>
        </is>
      </c>
      <c r="B194" s="1" t="n">
        <v>45596</v>
      </c>
      <c r="C194" s="1" t="n">
        <v>45796</v>
      </c>
      <c r="D194" t="inlineStr">
        <is>
          <t>JÄMTLANDS LÄN</t>
        </is>
      </c>
      <c r="E194" t="inlineStr">
        <is>
          <t>HÄRJEDALEN</t>
        </is>
      </c>
      <c r="F194" t="inlineStr">
        <is>
          <t>Kommuner</t>
        </is>
      </c>
      <c r="G194" t="n">
        <v>12.8</v>
      </c>
      <c r="H194" t="n">
        <v>0</v>
      </c>
      <c r="I194" t="n">
        <v>1</v>
      </c>
      <c r="J194" t="n">
        <v>1</v>
      </c>
      <c r="K194" t="n">
        <v>0</v>
      </c>
      <c r="L194" t="n">
        <v>0</v>
      </c>
      <c r="M194" t="n">
        <v>0</v>
      </c>
      <c r="N194" t="n">
        <v>0</v>
      </c>
      <c r="O194" t="n">
        <v>1</v>
      </c>
      <c r="P194" t="n">
        <v>0</v>
      </c>
      <c r="Q194" t="n">
        <v>2</v>
      </c>
      <c r="R194" s="2" t="inlineStr">
        <is>
          <t>Motaggsvamp
Skarp dropptaggsvamp</t>
        </is>
      </c>
      <c r="S194">
        <f>HYPERLINK("https://klasma.github.io/Logging_2361/artfynd/A 49482-2024 artfynd.xlsx", "A 49482-2024")</f>
        <v/>
      </c>
      <c r="T194">
        <f>HYPERLINK("https://klasma.github.io/Logging_2361/kartor/A 49482-2024 karta.png", "A 49482-2024")</f>
        <v/>
      </c>
      <c r="V194">
        <f>HYPERLINK("https://klasma.github.io/Logging_2361/klagomål/A 49482-2024 FSC-klagomål.docx", "A 49482-2024")</f>
        <v/>
      </c>
      <c r="W194">
        <f>HYPERLINK("https://klasma.github.io/Logging_2361/klagomålsmail/A 49482-2024 FSC-klagomål mail.docx", "A 49482-2024")</f>
        <v/>
      </c>
      <c r="X194">
        <f>HYPERLINK("https://klasma.github.io/Logging_2361/tillsyn/A 49482-2024 tillsynsbegäran.docx", "A 49482-2024")</f>
        <v/>
      </c>
      <c r="Y194">
        <f>HYPERLINK("https://klasma.github.io/Logging_2361/tillsynsmail/A 49482-2024 tillsynsbegäran mail.docx", "A 49482-2024")</f>
        <v/>
      </c>
    </row>
    <row r="195" ht="15" customHeight="1">
      <c r="A195" t="inlineStr">
        <is>
          <t>A 55298-2024</t>
        </is>
      </c>
      <c r="B195" s="1" t="n">
        <v>45621</v>
      </c>
      <c r="C195" s="1" t="n">
        <v>45796</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55298-2024 artfynd.xlsx", "A 55298-2024")</f>
        <v/>
      </c>
      <c r="T195">
        <f>HYPERLINK("https://klasma.github.io/Logging_2361/kartor/A 55298-2024 karta.png", "A 55298-2024")</f>
        <v/>
      </c>
      <c r="U195">
        <f>HYPERLINK("https://klasma.github.io/Logging_2361/knärot/A 55298-2024 karta knärot.png", "A 55298-2024")</f>
        <v/>
      </c>
      <c r="V195">
        <f>HYPERLINK("https://klasma.github.io/Logging_2361/klagomål/A 55298-2024 FSC-klagomål.docx", "A 55298-2024")</f>
        <v/>
      </c>
      <c r="W195">
        <f>HYPERLINK("https://klasma.github.io/Logging_2361/klagomålsmail/A 55298-2024 FSC-klagomål mail.docx", "A 55298-2024")</f>
        <v/>
      </c>
      <c r="X195">
        <f>HYPERLINK("https://klasma.github.io/Logging_2361/tillsyn/A 55298-2024 tillsynsbegäran.docx", "A 55298-2024")</f>
        <v/>
      </c>
      <c r="Y195">
        <f>HYPERLINK("https://klasma.github.io/Logging_2361/tillsynsmail/A 55298-2024 tillsynsbegäran mail.docx", "A 55298-2024")</f>
        <v/>
      </c>
    </row>
    <row r="196" ht="15" customHeight="1">
      <c r="A196" t="inlineStr">
        <is>
          <t>A 60750-2024</t>
        </is>
      </c>
      <c r="B196" s="1" t="n">
        <v>45644</v>
      </c>
      <c r="C196" s="1" t="n">
        <v>45796</v>
      </c>
      <c r="D196" t="inlineStr">
        <is>
          <t>JÄMTLANDS LÄN</t>
        </is>
      </c>
      <c r="E196" t="inlineStr">
        <is>
          <t>HÄRJEDALEN</t>
        </is>
      </c>
      <c r="F196" t="inlineStr">
        <is>
          <t>Sveaskog</t>
        </is>
      </c>
      <c r="G196" t="n">
        <v>1.6</v>
      </c>
      <c r="H196" t="n">
        <v>1</v>
      </c>
      <c r="I196" t="n">
        <v>0</v>
      </c>
      <c r="J196" t="n">
        <v>1</v>
      </c>
      <c r="K196" t="n">
        <v>1</v>
      </c>
      <c r="L196" t="n">
        <v>0</v>
      </c>
      <c r="M196" t="n">
        <v>0</v>
      </c>
      <c r="N196" t="n">
        <v>0</v>
      </c>
      <c r="O196" t="n">
        <v>2</v>
      </c>
      <c r="P196" t="n">
        <v>1</v>
      </c>
      <c r="Q196" t="n">
        <v>2</v>
      </c>
      <c r="R196" s="2" t="inlineStr">
        <is>
          <t>Knärot
Kolflarnlav</t>
        </is>
      </c>
      <c r="S196">
        <f>HYPERLINK("https://klasma.github.io/Logging_2361/artfynd/A 60750-2024 artfynd.xlsx", "A 60750-2024")</f>
        <v/>
      </c>
      <c r="T196">
        <f>HYPERLINK("https://klasma.github.io/Logging_2361/kartor/A 60750-2024 karta.png", "A 60750-2024")</f>
        <v/>
      </c>
      <c r="U196">
        <f>HYPERLINK("https://klasma.github.io/Logging_2361/knärot/A 60750-2024 karta knärot.png", "A 60750-2024")</f>
        <v/>
      </c>
      <c r="V196">
        <f>HYPERLINK("https://klasma.github.io/Logging_2361/klagomål/A 60750-2024 FSC-klagomål.docx", "A 60750-2024")</f>
        <v/>
      </c>
      <c r="W196">
        <f>HYPERLINK("https://klasma.github.io/Logging_2361/klagomålsmail/A 60750-2024 FSC-klagomål mail.docx", "A 60750-2024")</f>
        <v/>
      </c>
      <c r="X196">
        <f>HYPERLINK("https://klasma.github.io/Logging_2361/tillsyn/A 60750-2024 tillsynsbegäran.docx", "A 60750-2024")</f>
        <v/>
      </c>
      <c r="Y196">
        <f>HYPERLINK("https://klasma.github.io/Logging_2361/tillsynsmail/A 60750-2024 tillsynsbegäran mail.docx", "A 60750-2024")</f>
        <v/>
      </c>
    </row>
    <row r="197" ht="15" customHeight="1">
      <c r="A197" t="inlineStr">
        <is>
          <t>A 5781-2025</t>
        </is>
      </c>
      <c r="B197" s="1" t="n">
        <v>45694</v>
      </c>
      <c r="C197" s="1" t="n">
        <v>45796</v>
      </c>
      <c r="D197" t="inlineStr">
        <is>
          <t>JÄMTLANDS LÄN</t>
        </is>
      </c>
      <c r="E197" t="inlineStr">
        <is>
          <t>HÄRJEDALEN</t>
        </is>
      </c>
      <c r="G197" t="n">
        <v>10.1</v>
      </c>
      <c r="H197" t="n">
        <v>0</v>
      </c>
      <c r="I197" t="n">
        <v>0</v>
      </c>
      <c r="J197" t="n">
        <v>2</v>
      </c>
      <c r="K197" t="n">
        <v>0</v>
      </c>
      <c r="L197" t="n">
        <v>0</v>
      </c>
      <c r="M197" t="n">
        <v>0</v>
      </c>
      <c r="N197" t="n">
        <v>0</v>
      </c>
      <c r="O197" t="n">
        <v>2</v>
      </c>
      <c r="P197" t="n">
        <v>0</v>
      </c>
      <c r="Q197" t="n">
        <v>2</v>
      </c>
      <c r="R197" s="2" t="inlineStr">
        <is>
          <t>Garnlav
Harticka</t>
        </is>
      </c>
      <c r="S197">
        <f>HYPERLINK("https://klasma.github.io/Logging_2361/artfynd/A 5781-2025 artfynd.xlsx", "A 5781-2025")</f>
        <v/>
      </c>
      <c r="T197">
        <f>HYPERLINK("https://klasma.github.io/Logging_2361/kartor/A 5781-2025 karta.png", "A 5781-2025")</f>
        <v/>
      </c>
      <c r="V197">
        <f>HYPERLINK("https://klasma.github.io/Logging_2361/klagomål/A 5781-2025 FSC-klagomål.docx", "A 5781-2025")</f>
        <v/>
      </c>
      <c r="W197">
        <f>HYPERLINK("https://klasma.github.io/Logging_2361/klagomålsmail/A 5781-2025 FSC-klagomål mail.docx", "A 5781-2025")</f>
        <v/>
      </c>
      <c r="X197">
        <f>HYPERLINK("https://klasma.github.io/Logging_2361/tillsyn/A 5781-2025 tillsynsbegäran.docx", "A 5781-2025")</f>
        <v/>
      </c>
      <c r="Y197">
        <f>HYPERLINK("https://klasma.github.io/Logging_2361/tillsynsmail/A 5781-2025 tillsynsbegäran mail.docx", "A 5781-2025")</f>
        <v/>
      </c>
    </row>
    <row r="198" ht="15" customHeight="1">
      <c r="A198" t="inlineStr">
        <is>
          <t>A 20132-2025</t>
        </is>
      </c>
      <c r="B198" s="1" t="n">
        <v>45772</v>
      </c>
      <c r="C198" s="1" t="n">
        <v>45796</v>
      </c>
      <c r="D198" t="inlineStr">
        <is>
          <t>JÄMTLANDS LÄN</t>
        </is>
      </c>
      <c r="E198" t="inlineStr">
        <is>
          <t>HÄRJEDALEN</t>
        </is>
      </c>
      <c r="F198" t="inlineStr">
        <is>
          <t>SCA</t>
        </is>
      </c>
      <c r="G198" t="n">
        <v>5.9</v>
      </c>
      <c r="H198" t="n">
        <v>0</v>
      </c>
      <c r="I198" t="n">
        <v>0</v>
      </c>
      <c r="J198" t="n">
        <v>2</v>
      </c>
      <c r="K198" t="n">
        <v>0</v>
      </c>
      <c r="L198" t="n">
        <v>0</v>
      </c>
      <c r="M198" t="n">
        <v>0</v>
      </c>
      <c r="N198" t="n">
        <v>0</v>
      </c>
      <c r="O198" t="n">
        <v>2</v>
      </c>
      <c r="P198" t="n">
        <v>0</v>
      </c>
      <c r="Q198" t="n">
        <v>2</v>
      </c>
      <c r="R198" s="2" t="inlineStr">
        <is>
          <t>Dofttaggsvamp
Orange taggsvamp</t>
        </is>
      </c>
      <c r="S198">
        <f>HYPERLINK("https://klasma.github.io/Logging_232361/artfynd/A 20132-2025 artfynd.xlsx", "A 20132-2025")</f>
        <v/>
      </c>
      <c r="T198">
        <f>HYPERLINK("https://klasma.github.io/Logging_232361/kartor/A 20132-2025 karta.png", "A 20132-2025")</f>
        <v/>
      </c>
      <c r="V198">
        <f>HYPERLINK("https://klasma.github.io/Logging_232361/klagomål/A 20132-2025 FSC-klagomål.docx", "A 20132-2025")</f>
        <v/>
      </c>
      <c r="W198">
        <f>HYPERLINK("https://klasma.github.io/Logging_232361/klagomålsmail/A 20132-2025 FSC-klagomål mail.docx", "A 20132-2025")</f>
        <v/>
      </c>
      <c r="X198">
        <f>HYPERLINK("https://klasma.github.io/Logging_232361/tillsyn/A 20132-2025 tillsynsbegäran.docx", "A 20132-2025")</f>
        <v/>
      </c>
      <c r="Y198">
        <f>HYPERLINK("https://klasma.github.io/Logging_232361/tillsynsmail/A 20132-2025 tillsynsbegäran mail.docx", "A 20132-2025")</f>
        <v/>
      </c>
    </row>
    <row r="199" ht="15" customHeight="1">
      <c r="A199" t="inlineStr">
        <is>
          <t>A 20035-2025</t>
        </is>
      </c>
      <c r="B199" s="1" t="n">
        <v>45772</v>
      </c>
      <c r="C199" s="1" t="n">
        <v>45796</v>
      </c>
      <c r="D199" t="inlineStr">
        <is>
          <t>JÄMTLANDS LÄN</t>
        </is>
      </c>
      <c r="E199" t="inlineStr">
        <is>
          <t>HÄRJEDALEN</t>
        </is>
      </c>
      <c r="F199" t="inlineStr">
        <is>
          <t>Sveaskog</t>
        </is>
      </c>
      <c r="G199" t="n">
        <v>11.7</v>
      </c>
      <c r="H199" t="n">
        <v>1</v>
      </c>
      <c r="I199" t="n">
        <v>0</v>
      </c>
      <c r="J199" t="n">
        <v>2</v>
      </c>
      <c r="K199" t="n">
        <v>0</v>
      </c>
      <c r="L199" t="n">
        <v>0</v>
      </c>
      <c r="M199" t="n">
        <v>0</v>
      </c>
      <c r="N199" t="n">
        <v>0</v>
      </c>
      <c r="O199" t="n">
        <v>2</v>
      </c>
      <c r="P199" t="n">
        <v>0</v>
      </c>
      <c r="Q199" t="n">
        <v>2</v>
      </c>
      <c r="R199" s="2" t="inlineStr">
        <is>
          <t>Lunglav
Talltita</t>
        </is>
      </c>
      <c r="S199">
        <f>HYPERLINK("https://klasma.github.io/Logging_232361/artfynd/A 20035-2025 artfynd.xlsx", "A 20035-2025")</f>
        <v/>
      </c>
      <c r="T199">
        <f>HYPERLINK("https://klasma.github.io/Logging_232361/kartor/A 20035-2025 karta.png", "A 20035-2025")</f>
        <v/>
      </c>
      <c r="V199">
        <f>HYPERLINK("https://klasma.github.io/Logging_232361/klagomål/A 20035-2025 FSC-klagomål.docx", "A 20035-2025")</f>
        <v/>
      </c>
      <c r="W199">
        <f>HYPERLINK("https://klasma.github.io/Logging_232361/klagomålsmail/A 20035-2025 FSC-klagomål mail.docx", "A 20035-2025")</f>
        <v/>
      </c>
      <c r="X199">
        <f>HYPERLINK("https://klasma.github.io/Logging_232361/tillsyn/A 20035-2025 tillsynsbegäran.docx", "A 20035-2025")</f>
        <v/>
      </c>
      <c r="Y199">
        <f>HYPERLINK("https://klasma.github.io/Logging_232361/tillsynsmail/A 20035-2025 tillsynsbegäran mail.docx", "A 20035-2025")</f>
        <v/>
      </c>
      <c r="Z199">
        <f>HYPERLINK("https://klasma.github.io/Logging_232361/fåglar/A 20035-2025 prioriterade fågelarter.docx", "A 20035-2025")</f>
        <v/>
      </c>
    </row>
    <row r="200" ht="15" customHeight="1">
      <c r="A200" t="inlineStr">
        <is>
          <t>A 22513-2025</t>
        </is>
      </c>
      <c r="B200" s="1" t="n">
        <v>45786</v>
      </c>
      <c r="C200" s="1" t="n">
        <v>45796</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22513-2025 artfynd.xlsx", "A 22513-2025")</f>
        <v/>
      </c>
      <c r="T200">
        <f>HYPERLINK("https://klasma.github.io/Logging_232361/kartor/A 22513-2025 karta.png", "A 22513-2025")</f>
        <v/>
      </c>
      <c r="V200">
        <f>HYPERLINK("https://klasma.github.io/Logging_232361/klagomål/A 22513-2025 FSC-klagomål.docx", "A 22513-2025")</f>
        <v/>
      </c>
      <c r="W200">
        <f>HYPERLINK("https://klasma.github.io/Logging_232361/klagomålsmail/A 22513-2025 FSC-klagomål mail.docx", "A 22513-2025")</f>
        <v/>
      </c>
      <c r="X200">
        <f>HYPERLINK("https://klasma.github.io/Logging_232361/tillsyn/A 22513-2025 tillsynsbegäran.docx", "A 22513-2025")</f>
        <v/>
      </c>
      <c r="Y200">
        <f>HYPERLINK("https://klasma.github.io/Logging_232361/tillsynsmail/A 22513-2025 tillsynsbegäran mail.docx", "A 22513-2025")</f>
        <v/>
      </c>
    </row>
    <row r="201" ht="15" customHeight="1">
      <c r="A201" t="inlineStr">
        <is>
          <t>A 22501-2025</t>
        </is>
      </c>
      <c r="B201" s="1" t="n">
        <v>45786</v>
      </c>
      <c r="C201" s="1" t="n">
        <v>45796</v>
      </c>
      <c r="D201" t="inlineStr">
        <is>
          <t>JÄMTLANDS LÄN</t>
        </is>
      </c>
      <c r="E201" t="inlineStr">
        <is>
          <t>HÄRJEDALEN</t>
        </is>
      </c>
      <c r="F201" t="inlineStr">
        <is>
          <t>Sveaskog</t>
        </is>
      </c>
      <c r="G201" t="n">
        <v>10.7</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HYPERLINK("https://klasma.github.io/Logging_232361/artfynd/A 22501-2025 artfynd.xlsx", "A 22501-2025")</f>
        <v/>
      </c>
      <c r="T201">
        <f>HYPERLINK("https://klasma.github.io/Logging_232361/kartor/A 22501-2025 karta.png", "A 22501-2025")</f>
        <v/>
      </c>
      <c r="V201">
        <f>HYPERLINK("https://klasma.github.io/Logging_232361/klagomål/A 22501-2025 FSC-klagomål.docx", "A 22501-2025")</f>
        <v/>
      </c>
      <c r="W201">
        <f>HYPERLINK("https://klasma.github.io/Logging_232361/klagomålsmail/A 22501-2025 FSC-klagomål mail.docx", "A 22501-2025")</f>
        <v/>
      </c>
      <c r="X201">
        <f>HYPERLINK("https://klasma.github.io/Logging_232361/tillsyn/A 22501-2025 tillsynsbegäran.docx", "A 22501-2025")</f>
        <v/>
      </c>
      <c r="Y201">
        <f>HYPERLINK("https://klasma.github.io/Logging_232361/tillsynsmail/A 22501-2025 tillsynsbegäran mail.docx", "A 22501-2025")</f>
        <v/>
      </c>
    </row>
    <row r="202" ht="15" customHeight="1">
      <c r="A202" t="inlineStr">
        <is>
          <t>A 22508-2025</t>
        </is>
      </c>
      <c r="B202" s="1" t="n">
        <v>45786</v>
      </c>
      <c r="C202" s="1" t="n">
        <v>45796</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22508-2025 artfynd.xlsx", "A 22508-2025")</f>
        <v/>
      </c>
      <c r="T202">
        <f>HYPERLINK("https://klasma.github.io/Logging_232361/kartor/A 22508-2025 karta.png", "A 22508-2025")</f>
        <v/>
      </c>
      <c r="V202">
        <f>HYPERLINK("https://klasma.github.io/Logging_232361/klagomål/A 22508-2025 FSC-klagomål.docx", "A 22508-2025")</f>
        <v/>
      </c>
      <c r="W202">
        <f>HYPERLINK("https://klasma.github.io/Logging_232361/klagomålsmail/A 22508-2025 FSC-klagomål mail.docx", "A 22508-2025")</f>
        <v/>
      </c>
      <c r="X202">
        <f>HYPERLINK("https://klasma.github.io/Logging_232361/tillsyn/A 22508-2025 tillsynsbegäran.docx", "A 22508-2025")</f>
        <v/>
      </c>
      <c r="Y202">
        <f>HYPERLINK("https://klasma.github.io/Logging_232361/tillsynsmail/A 22508-2025 tillsynsbegäran mail.docx", "A 22508-2025")</f>
        <v/>
      </c>
    </row>
    <row r="203" ht="15" customHeight="1">
      <c r="A203" t="inlineStr">
        <is>
          <t>A 22494-2025</t>
        </is>
      </c>
      <c r="B203" s="1" t="n">
        <v>45786</v>
      </c>
      <c r="C203" s="1" t="n">
        <v>45796</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22494-2025 artfynd.xlsx", "A 22494-2025")</f>
        <v/>
      </c>
      <c r="T203">
        <f>HYPERLINK("https://klasma.github.io/Logging_232361/kartor/A 22494-2025 karta.png", "A 22494-2025")</f>
        <v/>
      </c>
      <c r="V203">
        <f>HYPERLINK("https://klasma.github.io/Logging_232361/klagomål/A 22494-2025 FSC-klagomål.docx", "A 22494-2025")</f>
        <v/>
      </c>
      <c r="W203">
        <f>HYPERLINK("https://klasma.github.io/Logging_232361/klagomålsmail/A 22494-2025 FSC-klagomål mail.docx", "A 22494-2025")</f>
        <v/>
      </c>
      <c r="X203">
        <f>HYPERLINK("https://klasma.github.io/Logging_232361/tillsyn/A 22494-2025 tillsynsbegäran.docx", "A 22494-2025")</f>
        <v/>
      </c>
      <c r="Y203">
        <f>HYPERLINK("https://klasma.github.io/Logging_232361/tillsynsmail/A 22494-2025 tillsynsbegäran mail.docx", "A 22494-2025")</f>
        <v/>
      </c>
    </row>
    <row r="204" ht="15" customHeight="1">
      <c r="A204" t="inlineStr">
        <is>
          <t>A 22511-2025</t>
        </is>
      </c>
      <c r="B204" s="1" t="n">
        <v>45786</v>
      </c>
      <c r="C204" s="1" t="n">
        <v>45796</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22511-2025 artfynd.xlsx", "A 22511-2025")</f>
        <v/>
      </c>
      <c r="T204">
        <f>HYPERLINK("https://klasma.github.io/Logging_232361/kartor/A 22511-2025 karta.png", "A 22511-2025")</f>
        <v/>
      </c>
      <c r="V204">
        <f>HYPERLINK("https://klasma.github.io/Logging_232361/klagomål/A 22511-2025 FSC-klagomål.docx", "A 22511-2025")</f>
        <v/>
      </c>
      <c r="W204">
        <f>HYPERLINK("https://klasma.github.io/Logging_232361/klagomålsmail/A 22511-2025 FSC-klagomål mail.docx", "A 22511-2025")</f>
        <v/>
      </c>
      <c r="X204">
        <f>HYPERLINK("https://klasma.github.io/Logging_232361/tillsyn/A 22511-2025 tillsynsbegäran.docx", "A 22511-2025")</f>
        <v/>
      </c>
      <c r="Y204">
        <f>HYPERLINK("https://klasma.github.io/Logging_232361/tillsynsmail/A 22511-2025 tillsynsbegäran mail.docx", "A 22511-2025")</f>
        <v/>
      </c>
    </row>
    <row r="205" ht="15" customHeight="1">
      <c r="A205" t="inlineStr">
        <is>
          <t>A 22512-2025</t>
        </is>
      </c>
      <c r="B205" s="1" t="n">
        <v>45786</v>
      </c>
      <c r="C205" s="1" t="n">
        <v>45796</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22512-2025 artfynd.xlsx", "A 22512-2025")</f>
        <v/>
      </c>
      <c r="T205">
        <f>HYPERLINK("https://klasma.github.io/Logging_232361/kartor/A 22512-2025 karta.png", "A 22512-2025")</f>
        <v/>
      </c>
      <c r="V205">
        <f>HYPERLINK("https://klasma.github.io/Logging_232361/klagomål/A 22512-2025 FSC-klagomål.docx", "A 22512-2025")</f>
        <v/>
      </c>
      <c r="W205">
        <f>HYPERLINK("https://klasma.github.io/Logging_232361/klagomålsmail/A 22512-2025 FSC-klagomål mail.docx", "A 22512-2025")</f>
        <v/>
      </c>
      <c r="X205">
        <f>HYPERLINK("https://klasma.github.io/Logging_232361/tillsyn/A 22512-2025 tillsynsbegäran.docx", "A 22512-2025")</f>
        <v/>
      </c>
      <c r="Y205">
        <f>HYPERLINK("https://klasma.github.io/Logging_232361/tillsynsmail/A 22512-2025 tillsynsbegäran mail.docx", "A 22512-2025")</f>
        <v/>
      </c>
    </row>
    <row r="206" ht="15" customHeight="1">
      <c r="A206" t="inlineStr">
        <is>
          <t>A 45781-2019</t>
        </is>
      </c>
      <c r="B206" s="1" t="n">
        <v>43717</v>
      </c>
      <c r="C206" s="1" t="n">
        <v>45796</v>
      </c>
      <c r="D206" t="inlineStr">
        <is>
          <t>JÄMTLANDS LÄN</t>
        </is>
      </c>
      <c r="E206" t="inlineStr">
        <is>
          <t>HÄRJEDALEN</t>
        </is>
      </c>
      <c r="F206" t="inlineStr">
        <is>
          <t>Holmen skog AB</t>
        </is>
      </c>
      <c r="G206" t="n">
        <v>13.8</v>
      </c>
      <c r="H206" t="n">
        <v>0</v>
      </c>
      <c r="I206" t="n">
        <v>0</v>
      </c>
      <c r="J206" t="n">
        <v>1</v>
      </c>
      <c r="K206" t="n">
        <v>0</v>
      </c>
      <c r="L206" t="n">
        <v>0</v>
      </c>
      <c r="M206" t="n">
        <v>0</v>
      </c>
      <c r="N206" t="n">
        <v>0</v>
      </c>
      <c r="O206" t="n">
        <v>1</v>
      </c>
      <c r="P206" t="n">
        <v>0</v>
      </c>
      <c r="Q206" t="n">
        <v>1</v>
      </c>
      <c r="R206" s="2" t="inlineStr">
        <is>
          <t>Kolflarnlav</t>
        </is>
      </c>
      <c r="S206">
        <f>HYPERLINK("https://klasma.github.io/Logging_2361/artfynd/A 45781-2019 artfynd.xlsx", "A 45781-2019")</f>
        <v/>
      </c>
      <c r="T206">
        <f>HYPERLINK("https://klasma.github.io/Logging_2361/kartor/A 45781-2019 karta.png", "A 45781-2019")</f>
        <v/>
      </c>
      <c r="V206">
        <f>HYPERLINK("https://klasma.github.io/Logging_2361/klagomål/A 45781-2019 FSC-klagomål.docx", "A 45781-2019")</f>
        <v/>
      </c>
      <c r="W206">
        <f>HYPERLINK("https://klasma.github.io/Logging_2361/klagomålsmail/A 45781-2019 FSC-klagomål mail.docx", "A 45781-2019")</f>
        <v/>
      </c>
      <c r="X206">
        <f>HYPERLINK("https://klasma.github.io/Logging_2361/tillsyn/A 45781-2019 tillsynsbegäran.docx", "A 45781-2019")</f>
        <v/>
      </c>
      <c r="Y206">
        <f>HYPERLINK("https://klasma.github.io/Logging_2361/tillsynsmail/A 45781-2019 tillsynsbegäran mail.docx", "A 45781-2019")</f>
        <v/>
      </c>
    </row>
    <row r="207" ht="15" customHeight="1">
      <c r="A207" t="inlineStr">
        <is>
          <t>A 24898-2020</t>
        </is>
      </c>
      <c r="B207" s="1" t="n">
        <v>43979</v>
      </c>
      <c r="C207" s="1" t="n">
        <v>45796</v>
      </c>
      <c r="D207" t="inlineStr">
        <is>
          <t>JÄMTLANDS LÄN</t>
        </is>
      </c>
      <c r="E207" t="inlineStr">
        <is>
          <t>HÄRJEDALEN</t>
        </is>
      </c>
      <c r="F207" t="inlineStr">
        <is>
          <t>Sveaskog</t>
        </is>
      </c>
      <c r="G207" t="n">
        <v>2.9</v>
      </c>
      <c r="H207" t="n">
        <v>0</v>
      </c>
      <c r="I207" t="n">
        <v>0</v>
      </c>
      <c r="J207" t="n">
        <v>1</v>
      </c>
      <c r="K207" t="n">
        <v>0</v>
      </c>
      <c r="L207" t="n">
        <v>0</v>
      </c>
      <c r="M207" t="n">
        <v>0</v>
      </c>
      <c r="N207" t="n">
        <v>0</v>
      </c>
      <c r="O207" t="n">
        <v>1</v>
      </c>
      <c r="P207" t="n">
        <v>0</v>
      </c>
      <c r="Q207" t="n">
        <v>1</v>
      </c>
      <c r="R207" s="2" t="inlineStr">
        <is>
          <t>Brunklöver</t>
        </is>
      </c>
      <c r="S207">
        <f>HYPERLINK("https://klasma.github.io/Logging_2361/artfynd/A 24898-2020 artfynd.xlsx", "A 24898-2020")</f>
        <v/>
      </c>
      <c r="T207">
        <f>HYPERLINK("https://klasma.github.io/Logging_2361/kartor/A 24898-2020 karta.png", "A 24898-2020")</f>
        <v/>
      </c>
      <c r="V207">
        <f>HYPERLINK("https://klasma.github.io/Logging_2361/klagomål/A 24898-2020 FSC-klagomål.docx", "A 24898-2020")</f>
        <v/>
      </c>
      <c r="W207">
        <f>HYPERLINK("https://klasma.github.io/Logging_2361/klagomålsmail/A 24898-2020 FSC-klagomål mail.docx", "A 24898-2020")</f>
        <v/>
      </c>
      <c r="X207">
        <f>HYPERLINK("https://klasma.github.io/Logging_2361/tillsyn/A 24898-2020 tillsynsbegäran.docx", "A 24898-2020")</f>
        <v/>
      </c>
      <c r="Y207">
        <f>HYPERLINK("https://klasma.github.io/Logging_2361/tillsynsmail/A 24898-2020 tillsynsbegäran mail.docx", "A 24898-2020")</f>
        <v/>
      </c>
    </row>
    <row r="208" ht="15" customHeight="1">
      <c r="A208" t="inlineStr">
        <is>
          <t>A 47685-2020</t>
        </is>
      </c>
      <c r="B208" s="1" t="n">
        <v>44096</v>
      </c>
      <c r="C208" s="1" t="n">
        <v>45796</v>
      </c>
      <c r="D208" t="inlineStr">
        <is>
          <t>JÄMTLANDS LÄN</t>
        </is>
      </c>
      <c r="E208" t="inlineStr">
        <is>
          <t>HÄRJEDALEN</t>
        </is>
      </c>
      <c r="F208" t="inlineStr">
        <is>
          <t>Sveaskog</t>
        </is>
      </c>
      <c r="G208" t="n">
        <v>2.3</v>
      </c>
      <c r="H208" t="n">
        <v>0</v>
      </c>
      <c r="I208" t="n">
        <v>0</v>
      </c>
      <c r="J208" t="n">
        <v>1</v>
      </c>
      <c r="K208" t="n">
        <v>0</v>
      </c>
      <c r="L208" t="n">
        <v>0</v>
      </c>
      <c r="M208" t="n">
        <v>0</v>
      </c>
      <c r="N208" t="n">
        <v>0</v>
      </c>
      <c r="O208" t="n">
        <v>1</v>
      </c>
      <c r="P208" t="n">
        <v>0</v>
      </c>
      <c r="Q208" t="n">
        <v>1</v>
      </c>
      <c r="R208" s="2" t="inlineStr">
        <is>
          <t>Lunglav</t>
        </is>
      </c>
      <c r="S208">
        <f>HYPERLINK("https://klasma.github.io/Logging_2361/artfynd/A 47685-2020 artfynd.xlsx", "A 47685-2020")</f>
        <v/>
      </c>
      <c r="T208">
        <f>HYPERLINK("https://klasma.github.io/Logging_2361/kartor/A 47685-2020 karta.png", "A 47685-2020")</f>
        <v/>
      </c>
      <c r="V208">
        <f>HYPERLINK("https://klasma.github.io/Logging_2361/klagomål/A 47685-2020 FSC-klagomål.docx", "A 47685-2020")</f>
        <v/>
      </c>
      <c r="W208">
        <f>HYPERLINK("https://klasma.github.io/Logging_2361/klagomålsmail/A 47685-2020 FSC-klagomål mail.docx", "A 47685-2020")</f>
        <v/>
      </c>
      <c r="X208">
        <f>HYPERLINK("https://klasma.github.io/Logging_2361/tillsyn/A 47685-2020 tillsynsbegäran.docx", "A 47685-2020")</f>
        <v/>
      </c>
      <c r="Y208">
        <f>HYPERLINK("https://klasma.github.io/Logging_2361/tillsynsmail/A 47685-2020 tillsynsbegäran mail.docx", "A 47685-2020")</f>
        <v/>
      </c>
    </row>
    <row r="209" ht="15" customHeight="1">
      <c r="A209" t="inlineStr">
        <is>
          <t>A 49246-2020</t>
        </is>
      </c>
      <c r="B209" s="1" t="n">
        <v>44105</v>
      </c>
      <c r="C209" s="1" t="n">
        <v>45796</v>
      </c>
      <c r="D209" t="inlineStr">
        <is>
          <t>JÄMTLANDS LÄN</t>
        </is>
      </c>
      <c r="E209" t="inlineStr">
        <is>
          <t>HÄRJEDALEN</t>
        </is>
      </c>
      <c r="G209" t="n">
        <v>3.7</v>
      </c>
      <c r="H209" t="n">
        <v>0</v>
      </c>
      <c r="I209" t="n">
        <v>0</v>
      </c>
      <c r="J209" t="n">
        <v>1</v>
      </c>
      <c r="K209" t="n">
        <v>0</v>
      </c>
      <c r="L209" t="n">
        <v>0</v>
      </c>
      <c r="M209" t="n">
        <v>0</v>
      </c>
      <c r="N209" t="n">
        <v>0</v>
      </c>
      <c r="O209" t="n">
        <v>1</v>
      </c>
      <c r="P209" t="n">
        <v>0</v>
      </c>
      <c r="Q209" t="n">
        <v>1</v>
      </c>
      <c r="R209" s="2" t="inlineStr">
        <is>
          <t>Granticka</t>
        </is>
      </c>
      <c r="S209">
        <f>HYPERLINK("https://klasma.github.io/Logging_2361/artfynd/A 49246-2020 artfynd.xlsx", "A 49246-2020")</f>
        <v/>
      </c>
      <c r="T209">
        <f>HYPERLINK("https://klasma.github.io/Logging_2361/kartor/A 49246-2020 karta.png", "A 49246-2020")</f>
        <v/>
      </c>
      <c r="V209">
        <f>HYPERLINK("https://klasma.github.io/Logging_2361/klagomål/A 49246-2020 FSC-klagomål.docx", "A 49246-2020")</f>
        <v/>
      </c>
      <c r="W209">
        <f>HYPERLINK("https://klasma.github.io/Logging_2361/klagomålsmail/A 49246-2020 FSC-klagomål mail.docx", "A 49246-2020")</f>
        <v/>
      </c>
      <c r="X209">
        <f>HYPERLINK("https://klasma.github.io/Logging_2361/tillsyn/A 49246-2020 tillsynsbegäran.docx", "A 49246-2020")</f>
        <v/>
      </c>
      <c r="Y209">
        <f>HYPERLINK("https://klasma.github.io/Logging_2361/tillsynsmail/A 49246-2020 tillsynsbegäran mail.docx", "A 49246-2020")</f>
        <v/>
      </c>
    </row>
    <row r="210" ht="15" customHeight="1">
      <c r="A210" t="inlineStr">
        <is>
          <t>A 51387-2020</t>
        </is>
      </c>
      <c r="B210" s="1" t="n">
        <v>44113</v>
      </c>
      <c r="C210" s="1" t="n">
        <v>45796</v>
      </c>
      <c r="D210" t="inlineStr">
        <is>
          <t>JÄMTLANDS LÄN</t>
        </is>
      </c>
      <c r="E210" t="inlineStr">
        <is>
          <t>HÄRJEDALEN</t>
        </is>
      </c>
      <c r="G210" t="n">
        <v>1</v>
      </c>
      <c r="H210" t="n">
        <v>0</v>
      </c>
      <c r="I210" t="n">
        <v>0</v>
      </c>
      <c r="J210" t="n">
        <v>0</v>
      </c>
      <c r="K210" t="n">
        <v>1</v>
      </c>
      <c r="L210" t="n">
        <v>0</v>
      </c>
      <c r="M210" t="n">
        <v>0</v>
      </c>
      <c r="N210" t="n">
        <v>0</v>
      </c>
      <c r="O210" t="n">
        <v>1</v>
      </c>
      <c r="P210" t="n">
        <v>1</v>
      </c>
      <c r="Q210" t="n">
        <v>1</v>
      </c>
      <c r="R210" s="2" t="inlineStr">
        <is>
          <t>Goliatmusseron</t>
        </is>
      </c>
      <c r="S210">
        <f>HYPERLINK("https://klasma.github.io/Logging_2361/artfynd/A 51387-2020 artfynd.xlsx", "A 51387-2020")</f>
        <v/>
      </c>
      <c r="T210">
        <f>HYPERLINK("https://klasma.github.io/Logging_2361/kartor/A 51387-2020 karta.png", "A 51387-2020")</f>
        <v/>
      </c>
      <c r="V210">
        <f>HYPERLINK("https://klasma.github.io/Logging_2361/klagomål/A 51387-2020 FSC-klagomål.docx", "A 51387-2020")</f>
        <v/>
      </c>
      <c r="W210">
        <f>HYPERLINK("https://klasma.github.io/Logging_2361/klagomålsmail/A 51387-2020 FSC-klagomål mail.docx", "A 51387-2020")</f>
        <v/>
      </c>
      <c r="X210">
        <f>HYPERLINK("https://klasma.github.io/Logging_2361/tillsyn/A 51387-2020 tillsynsbegäran.docx", "A 51387-2020")</f>
        <v/>
      </c>
      <c r="Y210">
        <f>HYPERLINK("https://klasma.github.io/Logging_2361/tillsynsmail/A 51387-2020 tillsynsbegäran mail.docx", "A 51387-2020")</f>
        <v/>
      </c>
    </row>
    <row r="211" ht="15" customHeight="1">
      <c r="A211" t="inlineStr">
        <is>
          <t>A 21572-2021</t>
        </is>
      </c>
      <c r="B211" s="1" t="n">
        <v>44321</v>
      </c>
      <c r="C211" s="1" t="n">
        <v>45796</v>
      </c>
      <c r="D211" t="inlineStr">
        <is>
          <t>JÄMTLANDS LÄN</t>
        </is>
      </c>
      <c r="E211" t="inlineStr">
        <is>
          <t>HÄRJEDALEN</t>
        </is>
      </c>
      <c r="F211" t="inlineStr">
        <is>
          <t>Holmen skog AB</t>
        </is>
      </c>
      <c r="G211" t="n">
        <v>29</v>
      </c>
      <c r="H211" t="n">
        <v>0</v>
      </c>
      <c r="I211" t="n">
        <v>0</v>
      </c>
      <c r="J211" t="n">
        <v>1</v>
      </c>
      <c r="K211" t="n">
        <v>0</v>
      </c>
      <c r="L211" t="n">
        <v>0</v>
      </c>
      <c r="M211" t="n">
        <v>0</v>
      </c>
      <c r="N211" t="n">
        <v>0</v>
      </c>
      <c r="O211" t="n">
        <v>1</v>
      </c>
      <c r="P211" t="n">
        <v>0</v>
      </c>
      <c r="Q211" t="n">
        <v>1</v>
      </c>
      <c r="R211" s="2" t="inlineStr">
        <is>
          <t>Skrovlig taggsvamp</t>
        </is>
      </c>
      <c r="S211">
        <f>HYPERLINK("https://klasma.github.io/Logging_2361/artfynd/A 21572-2021 artfynd.xlsx", "A 21572-2021")</f>
        <v/>
      </c>
      <c r="T211">
        <f>HYPERLINK("https://klasma.github.io/Logging_2361/kartor/A 21572-2021 karta.png", "A 21572-2021")</f>
        <v/>
      </c>
      <c r="V211">
        <f>HYPERLINK("https://klasma.github.io/Logging_2361/klagomål/A 21572-2021 FSC-klagomål.docx", "A 21572-2021")</f>
        <v/>
      </c>
      <c r="W211">
        <f>HYPERLINK("https://klasma.github.io/Logging_2361/klagomålsmail/A 21572-2021 FSC-klagomål mail.docx", "A 21572-2021")</f>
        <v/>
      </c>
      <c r="X211">
        <f>HYPERLINK("https://klasma.github.io/Logging_2361/tillsyn/A 21572-2021 tillsynsbegäran.docx", "A 21572-2021")</f>
        <v/>
      </c>
      <c r="Y211">
        <f>HYPERLINK("https://klasma.github.io/Logging_2361/tillsynsmail/A 21572-2021 tillsynsbegäran mail.docx", "A 21572-2021")</f>
        <v/>
      </c>
    </row>
    <row r="212" ht="15" customHeight="1">
      <c r="A212" t="inlineStr">
        <is>
          <t>A 55223-2021</t>
        </is>
      </c>
      <c r="B212" s="1" t="n">
        <v>44475</v>
      </c>
      <c r="C212" s="1" t="n">
        <v>45796</v>
      </c>
      <c r="D212" t="inlineStr">
        <is>
          <t>JÄMTLANDS LÄN</t>
        </is>
      </c>
      <c r="E212" t="inlineStr">
        <is>
          <t>HÄRJEDALEN</t>
        </is>
      </c>
      <c r="G212" t="n">
        <v>18.2</v>
      </c>
      <c r="H212" t="n">
        <v>1</v>
      </c>
      <c r="I212" t="n">
        <v>0</v>
      </c>
      <c r="J212" t="n">
        <v>1</v>
      </c>
      <c r="K212" t="n">
        <v>0</v>
      </c>
      <c r="L212" t="n">
        <v>0</v>
      </c>
      <c r="M212" t="n">
        <v>0</v>
      </c>
      <c r="N212" t="n">
        <v>0</v>
      </c>
      <c r="O212" t="n">
        <v>1</v>
      </c>
      <c r="P212" t="n">
        <v>0</v>
      </c>
      <c r="Q212" t="n">
        <v>1</v>
      </c>
      <c r="R212" s="2" t="inlineStr">
        <is>
          <t>Varglav</t>
        </is>
      </c>
      <c r="S212">
        <f>HYPERLINK("https://klasma.github.io/Logging_2361/artfynd/A 55223-2021 artfynd.xlsx", "A 55223-2021")</f>
        <v/>
      </c>
      <c r="T212">
        <f>HYPERLINK("https://klasma.github.io/Logging_2361/kartor/A 55223-2021 karta.png", "A 55223-2021")</f>
        <v/>
      </c>
      <c r="V212">
        <f>HYPERLINK("https://klasma.github.io/Logging_2361/klagomål/A 55223-2021 FSC-klagomål.docx", "A 55223-2021")</f>
        <v/>
      </c>
      <c r="W212">
        <f>HYPERLINK("https://klasma.github.io/Logging_2361/klagomålsmail/A 55223-2021 FSC-klagomål mail.docx", "A 55223-2021")</f>
        <v/>
      </c>
      <c r="X212">
        <f>HYPERLINK("https://klasma.github.io/Logging_2361/tillsyn/A 55223-2021 tillsynsbegäran.docx", "A 55223-2021")</f>
        <v/>
      </c>
      <c r="Y212">
        <f>HYPERLINK("https://klasma.github.io/Logging_2361/tillsynsmail/A 55223-2021 tillsynsbegäran mail.docx", "A 55223-2021")</f>
        <v/>
      </c>
    </row>
    <row r="213" ht="15" customHeight="1">
      <c r="A213" t="inlineStr">
        <is>
          <t>A 55222-2021</t>
        </is>
      </c>
      <c r="B213" s="1" t="n">
        <v>44475</v>
      </c>
      <c r="C213" s="1" t="n">
        <v>45796</v>
      </c>
      <c r="D213" t="inlineStr">
        <is>
          <t>JÄMTLANDS LÄN</t>
        </is>
      </c>
      <c r="E213" t="inlineStr">
        <is>
          <t>HÄRJEDALEN</t>
        </is>
      </c>
      <c r="G213" t="n">
        <v>1.1</v>
      </c>
      <c r="H213" t="n">
        <v>1</v>
      </c>
      <c r="I213" t="n">
        <v>0</v>
      </c>
      <c r="J213" t="n">
        <v>1</v>
      </c>
      <c r="K213" t="n">
        <v>0</v>
      </c>
      <c r="L213" t="n">
        <v>0</v>
      </c>
      <c r="M213" t="n">
        <v>0</v>
      </c>
      <c r="N213" t="n">
        <v>0</v>
      </c>
      <c r="O213" t="n">
        <v>1</v>
      </c>
      <c r="P213" t="n">
        <v>0</v>
      </c>
      <c r="Q213" t="n">
        <v>1</v>
      </c>
      <c r="R213" s="2" t="inlineStr">
        <is>
          <t>Varglav</t>
        </is>
      </c>
      <c r="S213">
        <f>HYPERLINK("https://klasma.github.io/Logging_2361/artfynd/A 55222-2021 artfynd.xlsx", "A 55222-2021")</f>
        <v/>
      </c>
      <c r="T213">
        <f>HYPERLINK("https://klasma.github.io/Logging_2361/kartor/A 55222-2021 karta.png", "A 55222-2021")</f>
        <v/>
      </c>
      <c r="V213">
        <f>HYPERLINK("https://klasma.github.io/Logging_2361/klagomål/A 55222-2021 FSC-klagomål.docx", "A 55222-2021")</f>
        <v/>
      </c>
      <c r="W213">
        <f>HYPERLINK("https://klasma.github.io/Logging_2361/klagomålsmail/A 55222-2021 FSC-klagomål mail.docx", "A 55222-2021")</f>
        <v/>
      </c>
      <c r="X213">
        <f>HYPERLINK("https://klasma.github.io/Logging_2361/tillsyn/A 55222-2021 tillsynsbegäran.docx", "A 55222-2021")</f>
        <v/>
      </c>
      <c r="Y213">
        <f>HYPERLINK("https://klasma.github.io/Logging_2361/tillsynsmail/A 55222-2021 tillsynsbegäran mail.docx", "A 55222-2021")</f>
        <v/>
      </c>
    </row>
    <row r="214" ht="15" customHeight="1">
      <c r="A214" t="inlineStr">
        <is>
          <t>A 55221-2021</t>
        </is>
      </c>
      <c r="B214" s="1" t="n">
        <v>44475</v>
      </c>
      <c r="C214" s="1" t="n">
        <v>45796</v>
      </c>
      <c r="D214" t="inlineStr">
        <is>
          <t>JÄMTLANDS LÄN</t>
        </is>
      </c>
      <c r="E214" t="inlineStr">
        <is>
          <t>HÄRJEDALEN</t>
        </is>
      </c>
      <c r="G214" t="n">
        <v>0.2</v>
      </c>
      <c r="H214" t="n">
        <v>1</v>
      </c>
      <c r="I214" t="n">
        <v>0</v>
      </c>
      <c r="J214" t="n">
        <v>1</v>
      </c>
      <c r="K214" t="n">
        <v>0</v>
      </c>
      <c r="L214" t="n">
        <v>0</v>
      </c>
      <c r="M214" t="n">
        <v>0</v>
      </c>
      <c r="N214" t="n">
        <v>0</v>
      </c>
      <c r="O214" t="n">
        <v>1</v>
      </c>
      <c r="P214" t="n">
        <v>0</v>
      </c>
      <c r="Q214" t="n">
        <v>1</v>
      </c>
      <c r="R214" s="2" t="inlineStr">
        <is>
          <t>Varglav</t>
        </is>
      </c>
      <c r="S214">
        <f>HYPERLINK("https://klasma.github.io/Logging_2361/artfynd/A 55221-2021 artfynd.xlsx", "A 55221-2021")</f>
        <v/>
      </c>
      <c r="T214">
        <f>HYPERLINK("https://klasma.github.io/Logging_2361/kartor/A 55221-2021 karta.png", "A 55221-2021")</f>
        <v/>
      </c>
      <c r="V214">
        <f>HYPERLINK("https://klasma.github.io/Logging_2361/klagomål/A 55221-2021 FSC-klagomål.docx", "A 55221-2021")</f>
        <v/>
      </c>
      <c r="W214">
        <f>HYPERLINK("https://klasma.github.io/Logging_2361/klagomålsmail/A 55221-2021 FSC-klagomål mail.docx", "A 55221-2021")</f>
        <v/>
      </c>
      <c r="X214">
        <f>HYPERLINK("https://klasma.github.io/Logging_2361/tillsyn/A 55221-2021 tillsynsbegäran.docx", "A 55221-2021")</f>
        <v/>
      </c>
      <c r="Y214">
        <f>HYPERLINK("https://klasma.github.io/Logging_2361/tillsynsmail/A 55221-2021 tillsynsbegäran mail.docx", "A 55221-2021")</f>
        <v/>
      </c>
    </row>
    <row r="215" ht="15" customHeight="1">
      <c r="A215" t="inlineStr">
        <is>
          <t>A 55245-2021</t>
        </is>
      </c>
      <c r="B215" s="1" t="n">
        <v>44475</v>
      </c>
      <c r="C215" s="1" t="n">
        <v>45796</v>
      </c>
      <c r="D215" t="inlineStr">
        <is>
          <t>JÄMTLANDS LÄN</t>
        </is>
      </c>
      <c r="E215" t="inlineStr">
        <is>
          <t>HÄRJEDALEN</t>
        </is>
      </c>
      <c r="G215" t="n">
        <v>5.1</v>
      </c>
      <c r="H215" t="n">
        <v>0</v>
      </c>
      <c r="I215" t="n">
        <v>0</v>
      </c>
      <c r="J215" t="n">
        <v>1</v>
      </c>
      <c r="K215" t="n">
        <v>0</v>
      </c>
      <c r="L215" t="n">
        <v>0</v>
      </c>
      <c r="M215" t="n">
        <v>0</v>
      </c>
      <c r="N215" t="n">
        <v>0</v>
      </c>
      <c r="O215" t="n">
        <v>1</v>
      </c>
      <c r="P215" t="n">
        <v>0</v>
      </c>
      <c r="Q215" t="n">
        <v>1</v>
      </c>
      <c r="R215" s="2" t="inlineStr">
        <is>
          <t>Blanksvart spiklav</t>
        </is>
      </c>
      <c r="S215">
        <f>HYPERLINK("https://klasma.github.io/Logging_2361/artfynd/A 55245-2021 artfynd.xlsx", "A 55245-2021")</f>
        <v/>
      </c>
      <c r="T215">
        <f>HYPERLINK("https://klasma.github.io/Logging_2361/kartor/A 55245-2021 karta.png", "A 55245-2021")</f>
        <v/>
      </c>
      <c r="V215">
        <f>HYPERLINK("https://klasma.github.io/Logging_2361/klagomål/A 55245-2021 FSC-klagomål.docx", "A 55245-2021")</f>
        <v/>
      </c>
      <c r="W215">
        <f>HYPERLINK("https://klasma.github.io/Logging_2361/klagomålsmail/A 55245-2021 FSC-klagomål mail.docx", "A 55245-2021")</f>
        <v/>
      </c>
      <c r="X215">
        <f>HYPERLINK("https://klasma.github.io/Logging_2361/tillsyn/A 55245-2021 tillsynsbegäran.docx", "A 55245-2021")</f>
        <v/>
      </c>
      <c r="Y215">
        <f>HYPERLINK("https://klasma.github.io/Logging_2361/tillsynsmail/A 55245-2021 tillsynsbegäran mail.docx", "A 55245-2021")</f>
        <v/>
      </c>
    </row>
    <row r="216" ht="15" customHeight="1">
      <c r="A216" t="inlineStr">
        <is>
          <t>A 13982-2022</t>
        </is>
      </c>
      <c r="B216" s="1" t="n">
        <v>44650</v>
      </c>
      <c r="C216" s="1" t="n">
        <v>45796</v>
      </c>
      <c r="D216" t="inlineStr">
        <is>
          <t>JÄMTLANDS LÄN</t>
        </is>
      </c>
      <c r="E216" t="inlineStr">
        <is>
          <t>HÄRJEDALEN</t>
        </is>
      </c>
      <c r="F216" t="inlineStr">
        <is>
          <t>Holmen skog AB</t>
        </is>
      </c>
      <c r="G216" t="n">
        <v>4.4</v>
      </c>
      <c r="H216" t="n">
        <v>0</v>
      </c>
      <c r="I216" t="n">
        <v>0</v>
      </c>
      <c r="J216" t="n">
        <v>1</v>
      </c>
      <c r="K216" t="n">
        <v>0</v>
      </c>
      <c r="L216" t="n">
        <v>0</v>
      </c>
      <c r="M216" t="n">
        <v>0</v>
      </c>
      <c r="N216" t="n">
        <v>0</v>
      </c>
      <c r="O216" t="n">
        <v>1</v>
      </c>
      <c r="P216" t="n">
        <v>0</v>
      </c>
      <c r="Q216" t="n">
        <v>1</v>
      </c>
      <c r="R216" s="2" t="inlineStr">
        <is>
          <t>Garnlav</t>
        </is>
      </c>
      <c r="S216">
        <f>HYPERLINK("https://klasma.github.io/Logging_2361/artfynd/A 13982-2022 artfynd.xlsx", "A 13982-2022")</f>
        <v/>
      </c>
      <c r="T216">
        <f>HYPERLINK("https://klasma.github.io/Logging_2361/kartor/A 13982-2022 karta.png", "A 13982-2022")</f>
        <v/>
      </c>
      <c r="V216">
        <f>HYPERLINK("https://klasma.github.io/Logging_2361/klagomål/A 13982-2022 FSC-klagomål.docx", "A 13982-2022")</f>
        <v/>
      </c>
      <c r="W216">
        <f>HYPERLINK("https://klasma.github.io/Logging_2361/klagomålsmail/A 13982-2022 FSC-klagomål mail.docx", "A 13982-2022")</f>
        <v/>
      </c>
      <c r="X216">
        <f>HYPERLINK("https://klasma.github.io/Logging_2361/tillsyn/A 13982-2022 tillsynsbegäran.docx", "A 13982-2022")</f>
        <v/>
      </c>
      <c r="Y216">
        <f>HYPERLINK("https://klasma.github.io/Logging_2361/tillsynsmail/A 13982-2022 tillsynsbegäran mail.docx", "A 13982-2022")</f>
        <v/>
      </c>
    </row>
    <row r="217" ht="15" customHeight="1">
      <c r="A217" t="inlineStr">
        <is>
          <t>A 15360-2022</t>
        </is>
      </c>
      <c r="B217" s="1" t="n">
        <v>44659</v>
      </c>
      <c r="C217" s="1" t="n">
        <v>45796</v>
      </c>
      <c r="D217" t="inlineStr">
        <is>
          <t>JÄMTLANDS LÄN</t>
        </is>
      </c>
      <c r="E217" t="inlineStr">
        <is>
          <t>HÄRJEDALEN</t>
        </is>
      </c>
      <c r="G217" t="n">
        <v>7.7</v>
      </c>
      <c r="H217" t="n">
        <v>1</v>
      </c>
      <c r="I217" t="n">
        <v>0</v>
      </c>
      <c r="J217" t="n">
        <v>0</v>
      </c>
      <c r="K217" t="n">
        <v>0</v>
      </c>
      <c r="L217" t="n">
        <v>1</v>
      </c>
      <c r="M217" t="n">
        <v>0</v>
      </c>
      <c r="N217" t="n">
        <v>0</v>
      </c>
      <c r="O217" t="n">
        <v>1</v>
      </c>
      <c r="P217" t="n">
        <v>1</v>
      </c>
      <c r="Q217" t="n">
        <v>1</v>
      </c>
      <c r="R217" s="2" t="inlineStr">
        <is>
          <t>Mosippa</t>
        </is>
      </c>
      <c r="S217">
        <f>HYPERLINK("https://klasma.github.io/Logging_2361/artfynd/A 15360-2022 artfynd.xlsx", "A 15360-2022")</f>
        <v/>
      </c>
      <c r="T217">
        <f>HYPERLINK("https://klasma.github.io/Logging_2361/kartor/A 15360-2022 karta.png", "A 15360-2022")</f>
        <v/>
      </c>
      <c r="V217">
        <f>HYPERLINK("https://klasma.github.io/Logging_2361/klagomål/A 15360-2022 FSC-klagomål.docx", "A 15360-2022")</f>
        <v/>
      </c>
      <c r="W217">
        <f>HYPERLINK("https://klasma.github.io/Logging_2361/klagomålsmail/A 15360-2022 FSC-klagomål mail.docx", "A 15360-2022")</f>
        <v/>
      </c>
      <c r="X217">
        <f>HYPERLINK("https://klasma.github.io/Logging_2361/tillsyn/A 15360-2022 tillsynsbegäran.docx", "A 15360-2022")</f>
        <v/>
      </c>
      <c r="Y217">
        <f>HYPERLINK("https://klasma.github.io/Logging_2361/tillsynsmail/A 15360-2022 tillsynsbegäran mail.docx", "A 15360-2022")</f>
        <v/>
      </c>
    </row>
    <row r="218" ht="15" customHeight="1">
      <c r="A218" t="inlineStr">
        <is>
          <t>A 31061-2022</t>
        </is>
      </c>
      <c r="B218" s="1" t="n">
        <v>44769</v>
      </c>
      <c r="C218" s="1" t="n">
        <v>45796</v>
      </c>
      <c r="D218" t="inlineStr">
        <is>
          <t>JÄMTLANDS LÄN</t>
        </is>
      </c>
      <c r="E218" t="inlineStr">
        <is>
          <t>HÄRJEDALEN</t>
        </is>
      </c>
      <c r="F218" t="inlineStr">
        <is>
          <t>Bergvik skog väst AB</t>
        </is>
      </c>
      <c r="G218" t="n">
        <v>15.8</v>
      </c>
      <c r="H218" t="n">
        <v>0</v>
      </c>
      <c r="I218" t="n">
        <v>0</v>
      </c>
      <c r="J218" t="n">
        <v>1</v>
      </c>
      <c r="K218" t="n">
        <v>0</v>
      </c>
      <c r="L218" t="n">
        <v>0</v>
      </c>
      <c r="M218" t="n">
        <v>0</v>
      </c>
      <c r="N218" t="n">
        <v>0</v>
      </c>
      <c r="O218" t="n">
        <v>1</v>
      </c>
      <c r="P218" t="n">
        <v>0</v>
      </c>
      <c r="Q218" t="n">
        <v>1</v>
      </c>
      <c r="R218" s="2" t="inlineStr">
        <is>
          <t>Lunglav</t>
        </is>
      </c>
      <c r="S218">
        <f>HYPERLINK("https://klasma.github.io/Logging_2361/artfynd/A 31061-2022 artfynd.xlsx", "A 31061-2022")</f>
        <v/>
      </c>
      <c r="T218">
        <f>HYPERLINK("https://klasma.github.io/Logging_2361/kartor/A 31061-2022 karta.png", "A 31061-2022")</f>
        <v/>
      </c>
      <c r="V218">
        <f>HYPERLINK("https://klasma.github.io/Logging_2361/klagomål/A 31061-2022 FSC-klagomål.docx", "A 31061-2022")</f>
        <v/>
      </c>
      <c r="W218">
        <f>HYPERLINK("https://klasma.github.io/Logging_2361/klagomålsmail/A 31061-2022 FSC-klagomål mail.docx", "A 31061-2022")</f>
        <v/>
      </c>
      <c r="X218">
        <f>HYPERLINK("https://klasma.github.io/Logging_2361/tillsyn/A 31061-2022 tillsynsbegäran.docx", "A 31061-2022")</f>
        <v/>
      </c>
      <c r="Y218">
        <f>HYPERLINK("https://klasma.github.io/Logging_2361/tillsynsmail/A 31061-2022 tillsynsbegäran mail.docx", "A 31061-2022")</f>
        <v/>
      </c>
    </row>
    <row r="219" ht="15" customHeight="1">
      <c r="A219" t="inlineStr">
        <is>
          <t>A 42214-2022</t>
        </is>
      </c>
      <c r="B219" s="1" t="n">
        <v>44830</v>
      </c>
      <c r="C219" s="1" t="n">
        <v>45796</v>
      </c>
      <c r="D219" t="inlineStr">
        <is>
          <t>JÄMTLANDS LÄN</t>
        </is>
      </c>
      <c r="E219" t="inlineStr">
        <is>
          <t>HÄRJEDALEN</t>
        </is>
      </c>
      <c r="F219" t="inlineStr">
        <is>
          <t>Sveaskog</t>
        </is>
      </c>
      <c r="G219" t="n">
        <v>8.800000000000001</v>
      </c>
      <c r="H219" t="n">
        <v>0</v>
      </c>
      <c r="I219" t="n">
        <v>0</v>
      </c>
      <c r="J219" t="n">
        <v>0</v>
      </c>
      <c r="K219" t="n">
        <v>1</v>
      </c>
      <c r="L219" t="n">
        <v>0</v>
      </c>
      <c r="M219" t="n">
        <v>0</v>
      </c>
      <c r="N219" t="n">
        <v>0</v>
      </c>
      <c r="O219" t="n">
        <v>1</v>
      </c>
      <c r="P219" t="n">
        <v>1</v>
      </c>
      <c r="Q219" t="n">
        <v>1</v>
      </c>
      <c r="R219" s="2" t="inlineStr">
        <is>
          <t>Rynkskinn</t>
        </is>
      </c>
      <c r="S219">
        <f>HYPERLINK("https://klasma.github.io/Logging_2361/artfynd/A 42214-2022 artfynd.xlsx", "A 42214-2022")</f>
        <v/>
      </c>
      <c r="T219">
        <f>HYPERLINK("https://klasma.github.io/Logging_2361/kartor/A 42214-2022 karta.png", "A 42214-2022")</f>
        <v/>
      </c>
      <c r="V219">
        <f>HYPERLINK("https://klasma.github.io/Logging_2361/klagomål/A 42214-2022 FSC-klagomål.docx", "A 42214-2022")</f>
        <v/>
      </c>
      <c r="W219">
        <f>HYPERLINK("https://klasma.github.io/Logging_2361/klagomålsmail/A 42214-2022 FSC-klagomål mail.docx", "A 42214-2022")</f>
        <v/>
      </c>
      <c r="X219">
        <f>HYPERLINK("https://klasma.github.io/Logging_2361/tillsyn/A 42214-2022 tillsynsbegäran.docx", "A 42214-2022")</f>
        <v/>
      </c>
      <c r="Y219">
        <f>HYPERLINK("https://klasma.github.io/Logging_2361/tillsynsmail/A 42214-2022 tillsynsbegäran mail.docx", "A 42214-2022")</f>
        <v/>
      </c>
    </row>
    <row r="220" ht="15" customHeight="1">
      <c r="A220" t="inlineStr">
        <is>
          <t>A 52328-2022</t>
        </is>
      </c>
      <c r="B220" s="1" t="n">
        <v>44873</v>
      </c>
      <c r="C220" s="1" t="n">
        <v>45796</v>
      </c>
      <c r="D220" t="inlineStr">
        <is>
          <t>JÄMTLANDS LÄN</t>
        </is>
      </c>
      <c r="E220" t="inlineStr">
        <is>
          <t>HÄRJEDALEN</t>
        </is>
      </c>
      <c r="G220" t="n">
        <v>30.5</v>
      </c>
      <c r="H220" t="n">
        <v>0</v>
      </c>
      <c r="I220" t="n">
        <v>0</v>
      </c>
      <c r="J220" t="n">
        <v>1</v>
      </c>
      <c r="K220" t="n">
        <v>0</v>
      </c>
      <c r="L220" t="n">
        <v>0</v>
      </c>
      <c r="M220" t="n">
        <v>0</v>
      </c>
      <c r="N220" t="n">
        <v>0</v>
      </c>
      <c r="O220" t="n">
        <v>1</v>
      </c>
      <c r="P220" t="n">
        <v>0</v>
      </c>
      <c r="Q220" t="n">
        <v>1</v>
      </c>
      <c r="R220" s="2" t="inlineStr">
        <is>
          <t>Stjärntagging</t>
        </is>
      </c>
      <c r="S220">
        <f>HYPERLINK("https://klasma.github.io/Logging_2361/artfynd/A 52328-2022 artfynd.xlsx", "A 52328-2022")</f>
        <v/>
      </c>
      <c r="T220">
        <f>HYPERLINK("https://klasma.github.io/Logging_2361/kartor/A 52328-2022 karta.png", "A 52328-2022")</f>
        <v/>
      </c>
      <c r="V220">
        <f>HYPERLINK("https://klasma.github.io/Logging_2361/klagomål/A 52328-2022 FSC-klagomål.docx", "A 52328-2022")</f>
        <v/>
      </c>
      <c r="W220">
        <f>HYPERLINK("https://klasma.github.io/Logging_2361/klagomålsmail/A 52328-2022 FSC-klagomål mail.docx", "A 52328-2022")</f>
        <v/>
      </c>
      <c r="X220">
        <f>HYPERLINK("https://klasma.github.io/Logging_2361/tillsyn/A 52328-2022 tillsynsbegäran.docx", "A 52328-2022")</f>
        <v/>
      </c>
      <c r="Y220">
        <f>HYPERLINK("https://klasma.github.io/Logging_2361/tillsynsmail/A 52328-2022 tillsynsbegäran mail.docx", "A 52328-2022")</f>
        <v/>
      </c>
    </row>
    <row r="221" ht="15" customHeight="1">
      <c r="A221" t="inlineStr">
        <is>
          <t>A 56084-2022</t>
        </is>
      </c>
      <c r="B221" s="1" t="n">
        <v>44886</v>
      </c>
      <c r="C221" s="1" t="n">
        <v>45796</v>
      </c>
      <c r="D221" t="inlineStr">
        <is>
          <t>JÄMTLANDS LÄN</t>
        </is>
      </c>
      <c r="E221" t="inlineStr">
        <is>
          <t>HÄRJEDALEN</t>
        </is>
      </c>
      <c r="F221" t="inlineStr">
        <is>
          <t>Övriga statliga verk och myndigheter</t>
        </is>
      </c>
      <c r="G221" t="n">
        <v>18.6</v>
      </c>
      <c r="H221" t="n">
        <v>0</v>
      </c>
      <c r="I221" t="n">
        <v>0</v>
      </c>
      <c r="J221" t="n">
        <v>1</v>
      </c>
      <c r="K221" t="n">
        <v>0</v>
      </c>
      <c r="L221" t="n">
        <v>0</v>
      </c>
      <c r="M221" t="n">
        <v>0</v>
      </c>
      <c r="N221" t="n">
        <v>0</v>
      </c>
      <c r="O221" t="n">
        <v>1</v>
      </c>
      <c r="P221" t="n">
        <v>0</v>
      </c>
      <c r="Q221" t="n">
        <v>1</v>
      </c>
      <c r="R221" s="2" t="inlineStr">
        <is>
          <t>Dvärgbägarlav</t>
        </is>
      </c>
      <c r="S221">
        <f>HYPERLINK("https://klasma.github.io/Logging_2361/artfynd/A 56084-2022 artfynd.xlsx", "A 56084-2022")</f>
        <v/>
      </c>
      <c r="T221">
        <f>HYPERLINK("https://klasma.github.io/Logging_2361/kartor/A 56084-2022 karta.png", "A 56084-2022")</f>
        <v/>
      </c>
      <c r="V221">
        <f>HYPERLINK("https://klasma.github.io/Logging_2361/klagomål/A 56084-2022 FSC-klagomål.docx", "A 56084-2022")</f>
        <v/>
      </c>
      <c r="W221">
        <f>HYPERLINK("https://klasma.github.io/Logging_2361/klagomålsmail/A 56084-2022 FSC-klagomål mail.docx", "A 56084-2022")</f>
        <v/>
      </c>
      <c r="X221">
        <f>HYPERLINK("https://klasma.github.io/Logging_2361/tillsyn/A 56084-2022 tillsynsbegäran.docx", "A 56084-2022")</f>
        <v/>
      </c>
      <c r="Y221">
        <f>HYPERLINK("https://klasma.github.io/Logging_2361/tillsynsmail/A 56084-2022 tillsynsbegäran mail.docx", "A 56084-2022")</f>
        <v/>
      </c>
    </row>
    <row r="222" ht="15" customHeight="1">
      <c r="A222" t="inlineStr">
        <is>
          <t>A 184-2023</t>
        </is>
      </c>
      <c r="B222" s="1" t="n">
        <v>44928</v>
      </c>
      <c r="C222" s="1" t="n">
        <v>45796</v>
      </c>
      <c r="D222" t="inlineStr">
        <is>
          <t>JÄMTLANDS LÄN</t>
        </is>
      </c>
      <c r="E222" t="inlineStr">
        <is>
          <t>HÄRJEDALEN</t>
        </is>
      </c>
      <c r="F222" t="inlineStr">
        <is>
          <t>Holmen skog AB</t>
        </is>
      </c>
      <c r="G222" t="n">
        <v>7.8</v>
      </c>
      <c r="H222" t="n">
        <v>1</v>
      </c>
      <c r="I222" t="n">
        <v>1</v>
      </c>
      <c r="J222" t="n">
        <v>0</v>
      </c>
      <c r="K222" t="n">
        <v>0</v>
      </c>
      <c r="L222" t="n">
        <v>0</v>
      </c>
      <c r="M222" t="n">
        <v>0</v>
      </c>
      <c r="N222" t="n">
        <v>0</v>
      </c>
      <c r="O222" t="n">
        <v>0</v>
      </c>
      <c r="P222" t="n">
        <v>0</v>
      </c>
      <c r="Q222" t="n">
        <v>1</v>
      </c>
      <c r="R222" s="2" t="inlineStr">
        <is>
          <t>Spindelblomster</t>
        </is>
      </c>
      <c r="S222">
        <f>HYPERLINK("https://klasma.github.io/Logging_2361/artfynd/A 184-2023 artfynd.xlsx", "A 184-2023")</f>
        <v/>
      </c>
      <c r="T222">
        <f>HYPERLINK("https://klasma.github.io/Logging_2361/kartor/A 184-2023 karta.png", "A 184-2023")</f>
        <v/>
      </c>
      <c r="U222">
        <f>HYPERLINK("https://klasma.github.io/Logging_2361/knärot/A 184-2023 karta knärot.png", "A 184-2023")</f>
        <v/>
      </c>
      <c r="V222">
        <f>HYPERLINK("https://klasma.github.io/Logging_2361/klagomål/A 184-2023 FSC-klagomål.docx", "A 184-2023")</f>
        <v/>
      </c>
      <c r="W222">
        <f>HYPERLINK("https://klasma.github.io/Logging_2361/klagomålsmail/A 184-2023 FSC-klagomål mail.docx", "A 184-2023")</f>
        <v/>
      </c>
      <c r="X222">
        <f>HYPERLINK("https://klasma.github.io/Logging_2361/tillsyn/A 184-2023 tillsynsbegäran.docx", "A 184-2023")</f>
        <v/>
      </c>
      <c r="Y222">
        <f>HYPERLINK("https://klasma.github.io/Logging_2361/tillsynsmail/A 184-2023 tillsynsbegäran mail.docx", "A 184-2023")</f>
        <v/>
      </c>
    </row>
    <row r="223" ht="15" customHeight="1">
      <c r="A223" t="inlineStr">
        <is>
          <t>A 30330-2023</t>
        </is>
      </c>
      <c r="B223" s="1" t="n">
        <v>45111</v>
      </c>
      <c r="C223" s="1" t="n">
        <v>45796</v>
      </c>
      <c r="D223" t="inlineStr">
        <is>
          <t>JÄMTLANDS LÄN</t>
        </is>
      </c>
      <c r="E223" t="inlineStr">
        <is>
          <t>HÄRJEDALEN</t>
        </is>
      </c>
      <c r="F223" t="inlineStr">
        <is>
          <t>Bergvik skog väst AB</t>
        </is>
      </c>
      <c r="G223" t="n">
        <v>7.7</v>
      </c>
      <c r="H223" t="n">
        <v>1</v>
      </c>
      <c r="I223" t="n">
        <v>0</v>
      </c>
      <c r="J223" t="n">
        <v>0</v>
      </c>
      <c r="K223" t="n">
        <v>0</v>
      </c>
      <c r="L223" t="n">
        <v>1</v>
      </c>
      <c r="M223" t="n">
        <v>0</v>
      </c>
      <c r="N223" t="n">
        <v>0</v>
      </c>
      <c r="O223" t="n">
        <v>1</v>
      </c>
      <c r="P223" t="n">
        <v>1</v>
      </c>
      <c r="Q223" t="n">
        <v>1</v>
      </c>
      <c r="R223" s="2" t="inlineStr">
        <is>
          <t>Mosippa</t>
        </is>
      </c>
      <c r="S223">
        <f>HYPERLINK("https://klasma.github.io/Logging_2361/artfynd/A 30330-2023 artfynd.xlsx", "A 30330-2023")</f>
        <v/>
      </c>
      <c r="T223">
        <f>HYPERLINK("https://klasma.github.io/Logging_2361/kartor/A 30330-2023 karta.png", "A 30330-2023")</f>
        <v/>
      </c>
      <c r="V223">
        <f>HYPERLINK("https://klasma.github.io/Logging_2361/klagomål/A 30330-2023 FSC-klagomål.docx", "A 30330-2023")</f>
        <v/>
      </c>
      <c r="W223">
        <f>HYPERLINK("https://klasma.github.io/Logging_2361/klagomålsmail/A 30330-2023 FSC-klagomål mail.docx", "A 30330-2023")</f>
        <v/>
      </c>
      <c r="X223">
        <f>HYPERLINK("https://klasma.github.io/Logging_2361/tillsyn/A 30330-2023 tillsynsbegäran.docx", "A 30330-2023")</f>
        <v/>
      </c>
      <c r="Y223">
        <f>HYPERLINK("https://klasma.github.io/Logging_2361/tillsynsmail/A 30330-2023 tillsynsbegäran mail.docx", "A 30330-2023")</f>
        <v/>
      </c>
    </row>
    <row r="224" ht="15" customHeight="1">
      <c r="A224" t="inlineStr">
        <is>
          <t>A 39524-2023</t>
        </is>
      </c>
      <c r="B224" s="1" t="n">
        <v>45167</v>
      </c>
      <c r="C224" s="1" t="n">
        <v>45796</v>
      </c>
      <c r="D224" t="inlineStr">
        <is>
          <t>JÄMTLANDS LÄN</t>
        </is>
      </c>
      <c r="E224" t="inlineStr">
        <is>
          <t>HÄRJEDALEN</t>
        </is>
      </c>
      <c r="F224" t="inlineStr">
        <is>
          <t>Bergvik skog väst AB</t>
        </is>
      </c>
      <c r="G224" t="n">
        <v>4.1</v>
      </c>
      <c r="H224" t="n">
        <v>1</v>
      </c>
      <c r="I224" t="n">
        <v>0</v>
      </c>
      <c r="J224" t="n">
        <v>1</v>
      </c>
      <c r="K224" t="n">
        <v>0</v>
      </c>
      <c r="L224" t="n">
        <v>0</v>
      </c>
      <c r="M224" t="n">
        <v>0</v>
      </c>
      <c r="N224" t="n">
        <v>0</v>
      </c>
      <c r="O224" t="n">
        <v>1</v>
      </c>
      <c r="P224" t="n">
        <v>0</v>
      </c>
      <c r="Q224" t="n">
        <v>1</v>
      </c>
      <c r="R224" s="2" t="inlineStr">
        <is>
          <t>Tretåig hackspett</t>
        </is>
      </c>
      <c r="S224">
        <f>HYPERLINK("https://klasma.github.io/Logging_2361/artfynd/A 39524-2023 artfynd.xlsx", "A 39524-2023")</f>
        <v/>
      </c>
      <c r="T224">
        <f>HYPERLINK("https://klasma.github.io/Logging_2361/kartor/A 39524-2023 karta.png", "A 39524-2023")</f>
        <v/>
      </c>
      <c r="V224">
        <f>HYPERLINK("https://klasma.github.io/Logging_2361/klagomål/A 39524-2023 FSC-klagomål.docx", "A 39524-2023")</f>
        <v/>
      </c>
      <c r="W224">
        <f>HYPERLINK("https://klasma.github.io/Logging_2361/klagomålsmail/A 39524-2023 FSC-klagomål mail.docx", "A 39524-2023")</f>
        <v/>
      </c>
      <c r="X224">
        <f>HYPERLINK("https://klasma.github.io/Logging_2361/tillsyn/A 39524-2023 tillsynsbegäran.docx", "A 39524-2023")</f>
        <v/>
      </c>
      <c r="Y224">
        <f>HYPERLINK("https://klasma.github.io/Logging_2361/tillsynsmail/A 39524-2023 tillsynsbegäran mail.docx", "A 39524-2023")</f>
        <v/>
      </c>
      <c r="Z224">
        <f>HYPERLINK("https://klasma.github.io/Logging_2361/fåglar/A 39524-2023 prioriterade fågelarter.docx", "A 39524-2023")</f>
        <v/>
      </c>
    </row>
    <row r="225" ht="15" customHeight="1">
      <c r="A225" t="inlineStr">
        <is>
          <t>A 50470-2023</t>
        </is>
      </c>
      <c r="B225" s="1" t="n">
        <v>45216</v>
      </c>
      <c r="C225" s="1" t="n">
        <v>45796</v>
      </c>
      <c r="D225" t="inlineStr">
        <is>
          <t>JÄMTLANDS LÄN</t>
        </is>
      </c>
      <c r="E225" t="inlineStr">
        <is>
          <t>HÄRJEDALEN</t>
        </is>
      </c>
      <c r="F225" t="inlineStr">
        <is>
          <t>Sveaskog</t>
        </is>
      </c>
      <c r="G225" t="n">
        <v>3.5</v>
      </c>
      <c r="H225" t="n">
        <v>0</v>
      </c>
      <c r="I225" t="n">
        <v>0</v>
      </c>
      <c r="J225" t="n">
        <v>0</v>
      </c>
      <c r="K225" t="n">
        <v>1</v>
      </c>
      <c r="L225" t="n">
        <v>0</v>
      </c>
      <c r="M225" t="n">
        <v>0</v>
      </c>
      <c r="N225" t="n">
        <v>0</v>
      </c>
      <c r="O225" t="n">
        <v>1</v>
      </c>
      <c r="P225" t="n">
        <v>1</v>
      </c>
      <c r="Q225" t="n">
        <v>1</v>
      </c>
      <c r="R225" s="2" t="inlineStr">
        <is>
          <t>Gräddporing</t>
        </is>
      </c>
      <c r="S225">
        <f>HYPERLINK("https://klasma.github.io/Logging_2361/artfynd/A 50470-2023 artfynd.xlsx", "A 50470-2023")</f>
        <v/>
      </c>
      <c r="T225">
        <f>HYPERLINK("https://klasma.github.io/Logging_2361/kartor/A 50470-2023 karta.png", "A 50470-2023")</f>
        <v/>
      </c>
      <c r="V225">
        <f>HYPERLINK("https://klasma.github.io/Logging_2361/klagomål/A 50470-2023 FSC-klagomål.docx", "A 50470-2023")</f>
        <v/>
      </c>
      <c r="W225">
        <f>HYPERLINK("https://klasma.github.io/Logging_2361/klagomålsmail/A 50470-2023 FSC-klagomål mail.docx", "A 50470-2023")</f>
        <v/>
      </c>
      <c r="X225">
        <f>HYPERLINK("https://klasma.github.io/Logging_2361/tillsyn/A 50470-2023 tillsynsbegäran.docx", "A 50470-2023")</f>
        <v/>
      </c>
      <c r="Y225">
        <f>HYPERLINK("https://klasma.github.io/Logging_2361/tillsynsmail/A 50470-2023 tillsynsbegäran mail.docx", "A 50470-2023")</f>
        <v/>
      </c>
    </row>
    <row r="226" ht="15" customHeight="1">
      <c r="A226" t="inlineStr">
        <is>
          <t>A 51414-2023</t>
        </is>
      </c>
      <c r="B226" s="1" t="n">
        <v>45219</v>
      </c>
      <c r="C226" s="1" t="n">
        <v>45796</v>
      </c>
      <c r="D226" t="inlineStr">
        <is>
          <t>JÄMTLANDS LÄN</t>
        </is>
      </c>
      <c r="E226" t="inlineStr">
        <is>
          <t>HÄRJEDALEN</t>
        </is>
      </c>
      <c r="F226" t="inlineStr">
        <is>
          <t>Sveaskog</t>
        </is>
      </c>
      <c r="G226" t="n">
        <v>3.9</v>
      </c>
      <c r="H226" t="n">
        <v>0</v>
      </c>
      <c r="I226" t="n">
        <v>0</v>
      </c>
      <c r="J226" t="n">
        <v>1</v>
      </c>
      <c r="K226" t="n">
        <v>0</v>
      </c>
      <c r="L226" t="n">
        <v>0</v>
      </c>
      <c r="M226" t="n">
        <v>0</v>
      </c>
      <c r="N226" t="n">
        <v>0</v>
      </c>
      <c r="O226" t="n">
        <v>1</v>
      </c>
      <c r="P226" t="n">
        <v>0</v>
      </c>
      <c r="Q226" t="n">
        <v>1</v>
      </c>
      <c r="R226" s="2" t="inlineStr">
        <is>
          <t>Lunglav</t>
        </is>
      </c>
      <c r="S226">
        <f>HYPERLINK("https://klasma.github.io/Logging_2361/artfynd/A 51414-2023 artfynd.xlsx", "A 51414-2023")</f>
        <v/>
      </c>
      <c r="T226">
        <f>HYPERLINK("https://klasma.github.io/Logging_2361/kartor/A 51414-2023 karta.png", "A 51414-2023")</f>
        <v/>
      </c>
      <c r="V226">
        <f>HYPERLINK("https://klasma.github.io/Logging_2361/klagomål/A 51414-2023 FSC-klagomål.docx", "A 51414-2023")</f>
        <v/>
      </c>
      <c r="W226">
        <f>HYPERLINK("https://klasma.github.io/Logging_2361/klagomålsmail/A 51414-2023 FSC-klagomål mail.docx", "A 51414-2023")</f>
        <v/>
      </c>
      <c r="X226">
        <f>HYPERLINK("https://klasma.github.io/Logging_2361/tillsyn/A 51414-2023 tillsynsbegäran.docx", "A 51414-2023")</f>
        <v/>
      </c>
      <c r="Y226">
        <f>HYPERLINK("https://klasma.github.io/Logging_2361/tillsynsmail/A 51414-2023 tillsynsbegäran mail.docx", "A 51414-2023")</f>
        <v/>
      </c>
    </row>
    <row r="227" ht="15" customHeight="1">
      <c r="A227" t="inlineStr">
        <is>
          <t>A 62539-2023</t>
        </is>
      </c>
      <c r="B227" s="1" t="n">
        <v>45268</v>
      </c>
      <c r="C227" s="1" t="n">
        <v>45796</v>
      </c>
      <c r="D227" t="inlineStr">
        <is>
          <t>JÄMTLANDS LÄN</t>
        </is>
      </c>
      <c r="E227" t="inlineStr">
        <is>
          <t>HÄRJEDALEN</t>
        </is>
      </c>
      <c r="G227" t="n">
        <v>7.6</v>
      </c>
      <c r="H227" t="n">
        <v>1</v>
      </c>
      <c r="I227" t="n">
        <v>0</v>
      </c>
      <c r="J227" t="n">
        <v>1</v>
      </c>
      <c r="K227" t="n">
        <v>0</v>
      </c>
      <c r="L227" t="n">
        <v>0</v>
      </c>
      <c r="M227" t="n">
        <v>0</v>
      </c>
      <c r="N227" t="n">
        <v>0</v>
      </c>
      <c r="O227" t="n">
        <v>1</v>
      </c>
      <c r="P227" t="n">
        <v>0</v>
      </c>
      <c r="Q227" t="n">
        <v>1</v>
      </c>
      <c r="R227" s="2" t="inlineStr">
        <is>
          <t>Talltita</t>
        </is>
      </c>
      <c r="S227">
        <f>HYPERLINK("https://klasma.github.io/Logging_2361/artfynd/A 62539-2023 artfynd.xlsx", "A 62539-2023")</f>
        <v/>
      </c>
      <c r="T227">
        <f>HYPERLINK("https://klasma.github.io/Logging_2361/kartor/A 62539-2023 karta.png", "A 62539-2023")</f>
        <v/>
      </c>
      <c r="V227">
        <f>HYPERLINK("https://klasma.github.io/Logging_2361/klagomål/A 62539-2023 FSC-klagomål.docx", "A 62539-2023")</f>
        <v/>
      </c>
      <c r="W227">
        <f>HYPERLINK("https://klasma.github.io/Logging_2361/klagomålsmail/A 62539-2023 FSC-klagomål mail.docx", "A 62539-2023")</f>
        <v/>
      </c>
      <c r="X227">
        <f>HYPERLINK("https://klasma.github.io/Logging_2361/tillsyn/A 62539-2023 tillsynsbegäran.docx", "A 62539-2023")</f>
        <v/>
      </c>
      <c r="Y227">
        <f>HYPERLINK("https://klasma.github.io/Logging_2361/tillsynsmail/A 62539-2023 tillsynsbegäran mail.docx", "A 62539-2023")</f>
        <v/>
      </c>
      <c r="Z227">
        <f>HYPERLINK("https://klasma.github.io/Logging_2361/fåglar/A 62539-2023 prioriterade fågelarter.docx", "A 62539-2023")</f>
        <v/>
      </c>
    </row>
    <row r="228" ht="15" customHeight="1">
      <c r="A228" t="inlineStr">
        <is>
          <t>A 63659-2023</t>
        </is>
      </c>
      <c r="B228" s="1" t="n">
        <v>45275</v>
      </c>
      <c r="C228" s="1" t="n">
        <v>45796</v>
      </c>
      <c r="D228" t="inlineStr">
        <is>
          <t>JÄMTLANDS LÄN</t>
        </is>
      </c>
      <c r="E228" t="inlineStr">
        <is>
          <t>HÄRJEDALEN</t>
        </is>
      </c>
      <c r="G228" t="n">
        <v>11.7</v>
      </c>
      <c r="H228" t="n">
        <v>0</v>
      </c>
      <c r="I228" t="n">
        <v>0</v>
      </c>
      <c r="J228" t="n">
        <v>1</v>
      </c>
      <c r="K228" t="n">
        <v>0</v>
      </c>
      <c r="L228" t="n">
        <v>0</v>
      </c>
      <c r="M228" t="n">
        <v>0</v>
      </c>
      <c r="N228" t="n">
        <v>0</v>
      </c>
      <c r="O228" t="n">
        <v>1</v>
      </c>
      <c r="P228" t="n">
        <v>0</v>
      </c>
      <c r="Q228" t="n">
        <v>1</v>
      </c>
      <c r="R228" s="2" t="inlineStr">
        <is>
          <t>Lunglav</t>
        </is>
      </c>
      <c r="S228">
        <f>HYPERLINK("https://klasma.github.io/Logging_2361/artfynd/A 63659-2023 artfynd.xlsx", "A 63659-2023")</f>
        <v/>
      </c>
      <c r="T228">
        <f>HYPERLINK("https://klasma.github.io/Logging_2361/kartor/A 63659-2023 karta.png", "A 63659-2023")</f>
        <v/>
      </c>
      <c r="V228">
        <f>HYPERLINK("https://klasma.github.io/Logging_2361/klagomål/A 63659-2023 FSC-klagomål.docx", "A 63659-2023")</f>
        <v/>
      </c>
      <c r="W228">
        <f>HYPERLINK("https://klasma.github.io/Logging_2361/klagomålsmail/A 63659-2023 FSC-klagomål mail.docx", "A 63659-2023")</f>
        <v/>
      </c>
      <c r="X228">
        <f>HYPERLINK("https://klasma.github.io/Logging_2361/tillsyn/A 63659-2023 tillsynsbegäran.docx", "A 63659-2023")</f>
        <v/>
      </c>
      <c r="Y228">
        <f>HYPERLINK("https://klasma.github.io/Logging_2361/tillsynsmail/A 63659-2023 tillsynsbegäran mail.docx", "A 63659-2023")</f>
        <v/>
      </c>
    </row>
    <row r="229" ht="15" customHeight="1">
      <c r="A229" t="inlineStr">
        <is>
          <t>A 2066-2024</t>
        </is>
      </c>
      <c r="B229" s="1" t="n">
        <v>45308</v>
      </c>
      <c r="C229" s="1" t="n">
        <v>45796</v>
      </c>
      <c r="D229" t="inlineStr">
        <is>
          <t>JÄMTLANDS LÄN</t>
        </is>
      </c>
      <c r="E229" t="inlineStr">
        <is>
          <t>HÄRJEDALEN</t>
        </is>
      </c>
      <c r="G229" t="n">
        <v>23.2</v>
      </c>
      <c r="H229" t="n">
        <v>1</v>
      </c>
      <c r="I229" t="n">
        <v>0</v>
      </c>
      <c r="J229" t="n">
        <v>1</v>
      </c>
      <c r="K229" t="n">
        <v>0</v>
      </c>
      <c r="L229" t="n">
        <v>0</v>
      </c>
      <c r="M229" t="n">
        <v>0</v>
      </c>
      <c r="N229" t="n">
        <v>0</v>
      </c>
      <c r="O229" t="n">
        <v>1</v>
      </c>
      <c r="P229" t="n">
        <v>0</v>
      </c>
      <c r="Q229" t="n">
        <v>1</v>
      </c>
      <c r="R229" s="2" t="inlineStr">
        <is>
          <t>Spillkråka</t>
        </is>
      </c>
      <c r="S229">
        <f>HYPERLINK("https://klasma.github.io/Logging_2361/artfynd/A 2066-2024 artfynd.xlsx", "A 2066-2024")</f>
        <v/>
      </c>
      <c r="T229">
        <f>HYPERLINK("https://klasma.github.io/Logging_2361/kartor/A 2066-2024 karta.png", "A 2066-2024")</f>
        <v/>
      </c>
      <c r="V229">
        <f>HYPERLINK("https://klasma.github.io/Logging_2361/klagomål/A 2066-2024 FSC-klagomål.docx", "A 2066-2024")</f>
        <v/>
      </c>
      <c r="W229">
        <f>HYPERLINK("https://klasma.github.io/Logging_2361/klagomålsmail/A 2066-2024 FSC-klagomål mail.docx", "A 2066-2024")</f>
        <v/>
      </c>
      <c r="X229">
        <f>HYPERLINK("https://klasma.github.io/Logging_2361/tillsyn/A 2066-2024 tillsynsbegäran.docx", "A 2066-2024")</f>
        <v/>
      </c>
      <c r="Y229">
        <f>HYPERLINK("https://klasma.github.io/Logging_2361/tillsynsmail/A 2066-2024 tillsynsbegäran mail.docx", "A 2066-2024")</f>
        <v/>
      </c>
      <c r="Z229">
        <f>HYPERLINK("https://klasma.github.io/Logging_2361/fåglar/A 2066-2024 prioriterade fågelarter.docx", "A 2066-2024")</f>
        <v/>
      </c>
    </row>
    <row r="230" ht="15" customHeight="1">
      <c r="A230" t="inlineStr">
        <is>
          <t>A 3593-2024</t>
        </is>
      </c>
      <c r="B230" s="1" t="n">
        <v>45320</v>
      </c>
      <c r="C230" s="1" t="n">
        <v>45796</v>
      </c>
      <c r="D230" t="inlineStr">
        <is>
          <t>JÄMTLANDS LÄN</t>
        </is>
      </c>
      <c r="E230" t="inlineStr">
        <is>
          <t>HÄRJEDALEN</t>
        </is>
      </c>
      <c r="G230" t="n">
        <v>15.1</v>
      </c>
      <c r="H230" t="n">
        <v>0</v>
      </c>
      <c r="I230" t="n">
        <v>0</v>
      </c>
      <c r="J230" t="n">
        <v>1</v>
      </c>
      <c r="K230" t="n">
        <v>0</v>
      </c>
      <c r="L230" t="n">
        <v>0</v>
      </c>
      <c r="M230" t="n">
        <v>0</v>
      </c>
      <c r="N230" t="n">
        <v>0</v>
      </c>
      <c r="O230" t="n">
        <v>1</v>
      </c>
      <c r="P230" t="n">
        <v>0</v>
      </c>
      <c r="Q230" t="n">
        <v>1</v>
      </c>
      <c r="R230" s="2" t="inlineStr">
        <is>
          <t>Nordtagging</t>
        </is>
      </c>
      <c r="S230">
        <f>HYPERLINK("https://klasma.github.io/Logging_2361/artfynd/A 3593-2024 artfynd.xlsx", "A 3593-2024")</f>
        <v/>
      </c>
      <c r="T230">
        <f>HYPERLINK("https://klasma.github.io/Logging_2361/kartor/A 3593-2024 karta.png", "A 3593-2024")</f>
        <v/>
      </c>
      <c r="V230">
        <f>HYPERLINK("https://klasma.github.io/Logging_2361/klagomål/A 3593-2024 FSC-klagomål.docx", "A 3593-2024")</f>
        <v/>
      </c>
      <c r="W230">
        <f>HYPERLINK("https://klasma.github.io/Logging_2361/klagomålsmail/A 3593-2024 FSC-klagomål mail.docx", "A 3593-2024")</f>
        <v/>
      </c>
      <c r="X230">
        <f>HYPERLINK("https://klasma.github.io/Logging_2361/tillsyn/A 3593-2024 tillsynsbegäran.docx", "A 3593-2024")</f>
        <v/>
      </c>
      <c r="Y230">
        <f>HYPERLINK("https://klasma.github.io/Logging_2361/tillsynsmail/A 3593-2024 tillsynsbegäran mail.docx", "A 3593-2024")</f>
        <v/>
      </c>
    </row>
    <row r="231" ht="15" customHeight="1">
      <c r="A231" t="inlineStr">
        <is>
          <t>A 7327-2024</t>
        </is>
      </c>
      <c r="B231" s="1" t="n">
        <v>45345</v>
      </c>
      <c r="C231" s="1" t="n">
        <v>45796</v>
      </c>
      <c r="D231" t="inlineStr">
        <is>
          <t>JÄMTLANDS LÄN</t>
        </is>
      </c>
      <c r="E231" t="inlineStr">
        <is>
          <t>HÄRJEDALEN</t>
        </is>
      </c>
      <c r="F231" t="inlineStr">
        <is>
          <t>Sveaskog</t>
        </is>
      </c>
      <c r="G231" t="n">
        <v>0.3</v>
      </c>
      <c r="H231" t="n">
        <v>0</v>
      </c>
      <c r="I231" t="n">
        <v>0</v>
      </c>
      <c r="J231" t="n">
        <v>1</v>
      </c>
      <c r="K231" t="n">
        <v>0</v>
      </c>
      <c r="L231" t="n">
        <v>0</v>
      </c>
      <c r="M231" t="n">
        <v>0</v>
      </c>
      <c r="N231" t="n">
        <v>0</v>
      </c>
      <c r="O231" t="n">
        <v>1</v>
      </c>
      <c r="P231" t="n">
        <v>0</v>
      </c>
      <c r="Q231" t="n">
        <v>1</v>
      </c>
      <c r="R231" s="2" t="inlineStr">
        <is>
          <t>Kolflarnlav</t>
        </is>
      </c>
      <c r="S231">
        <f>HYPERLINK("https://klasma.github.io/Logging_2361/artfynd/A 7327-2024 artfynd.xlsx", "A 7327-2024")</f>
        <v/>
      </c>
      <c r="T231">
        <f>HYPERLINK("https://klasma.github.io/Logging_2361/kartor/A 7327-2024 karta.png", "A 7327-2024")</f>
        <v/>
      </c>
      <c r="V231">
        <f>HYPERLINK("https://klasma.github.io/Logging_2361/klagomål/A 7327-2024 FSC-klagomål.docx", "A 7327-2024")</f>
        <v/>
      </c>
      <c r="W231">
        <f>HYPERLINK("https://klasma.github.io/Logging_2361/klagomålsmail/A 7327-2024 FSC-klagomål mail.docx", "A 7327-2024")</f>
        <v/>
      </c>
      <c r="X231">
        <f>HYPERLINK("https://klasma.github.io/Logging_2361/tillsyn/A 7327-2024 tillsynsbegäran.docx", "A 7327-2024")</f>
        <v/>
      </c>
      <c r="Y231">
        <f>HYPERLINK("https://klasma.github.io/Logging_2361/tillsynsmail/A 7327-2024 tillsynsbegäran mail.docx", "A 7327-2024")</f>
        <v/>
      </c>
    </row>
    <row r="232" ht="15" customHeight="1">
      <c r="A232" t="inlineStr">
        <is>
          <t>A 16471-2024</t>
        </is>
      </c>
      <c r="B232" s="1" t="n">
        <v>45408</v>
      </c>
      <c r="C232" s="1" t="n">
        <v>45796</v>
      </c>
      <c r="D232" t="inlineStr">
        <is>
          <t>JÄMTLANDS LÄN</t>
        </is>
      </c>
      <c r="E232" t="inlineStr">
        <is>
          <t>HÄRJEDALEN</t>
        </is>
      </c>
      <c r="G232" t="n">
        <v>31.7</v>
      </c>
      <c r="H232" t="n">
        <v>0</v>
      </c>
      <c r="I232" t="n">
        <v>0</v>
      </c>
      <c r="J232" t="n">
        <v>0</v>
      </c>
      <c r="K232" t="n">
        <v>0</v>
      </c>
      <c r="L232" t="n">
        <v>0</v>
      </c>
      <c r="M232" t="n">
        <v>1</v>
      </c>
      <c r="N232" t="n">
        <v>0</v>
      </c>
      <c r="O232" t="n">
        <v>1</v>
      </c>
      <c r="P232" t="n">
        <v>1</v>
      </c>
      <c r="Q232" t="n">
        <v>1</v>
      </c>
      <c r="R232" s="2" t="inlineStr">
        <is>
          <t>Limbergsfibbla</t>
        </is>
      </c>
      <c r="S232">
        <f>HYPERLINK("https://klasma.github.io/Logging_2361/artfynd/A 16471-2024 artfynd.xlsx", "A 16471-2024")</f>
        <v/>
      </c>
      <c r="T232">
        <f>HYPERLINK("https://klasma.github.io/Logging_2361/kartor/A 16471-2024 karta.png", "A 16471-2024")</f>
        <v/>
      </c>
      <c r="V232">
        <f>HYPERLINK("https://klasma.github.io/Logging_2361/klagomål/A 16471-2024 FSC-klagomål.docx", "A 16471-2024")</f>
        <v/>
      </c>
      <c r="W232">
        <f>HYPERLINK("https://klasma.github.io/Logging_2361/klagomålsmail/A 16471-2024 FSC-klagomål mail.docx", "A 16471-2024")</f>
        <v/>
      </c>
      <c r="X232">
        <f>HYPERLINK("https://klasma.github.io/Logging_2361/tillsyn/A 16471-2024 tillsynsbegäran.docx", "A 16471-2024")</f>
        <v/>
      </c>
      <c r="Y232">
        <f>HYPERLINK("https://klasma.github.io/Logging_2361/tillsynsmail/A 16471-2024 tillsynsbegäran mail.docx", "A 16471-2024")</f>
        <v/>
      </c>
    </row>
    <row r="233" ht="15" customHeight="1">
      <c r="A233" t="inlineStr">
        <is>
          <t>A 23680-2024</t>
        </is>
      </c>
      <c r="B233" s="1" t="n">
        <v>45454</v>
      </c>
      <c r="C233" s="1" t="n">
        <v>45796</v>
      </c>
      <c r="D233" t="inlineStr">
        <is>
          <t>JÄMTLANDS LÄN</t>
        </is>
      </c>
      <c r="E233" t="inlineStr">
        <is>
          <t>HÄRJEDALEN</t>
        </is>
      </c>
      <c r="G233" t="n">
        <v>3.9</v>
      </c>
      <c r="H233" t="n">
        <v>0</v>
      </c>
      <c r="I233" t="n">
        <v>1</v>
      </c>
      <c r="J233" t="n">
        <v>0</v>
      </c>
      <c r="K233" t="n">
        <v>0</v>
      </c>
      <c r="L233" t="n">
        <v>0</v>
      </c>
      <c r="M233" t="n">
        <v>0</v>
      </c>
      <c r="N233" t="n">
        <v>0</v>
      </c>
      <c r="O233" t="n">
        <v>0</v>
      </c>
      <c r="P233" t="n">
        <v>0</v>
      </c>
      <c r="Q233" t="n">
        <v>1</v>
      </c>
      <c r="R233" s="2" t="inlineStr">
        <is>
          <t>Ögonpyrola</t>
        </is>
      </c>
      <c r="S233">
        <f>HYPERLINK("https://klasma.github.io/Logging_2361/artfynd/A 23680-2024 artfynd.xlsx", "A 23680-2024")</f>
        <v/>
      </c>
      <c r="T233">
        <f>HYPERLINK("https://klasma.github.io/Logging_2361/kartor/A 23680-2024 karta.png", "A 23680-2024")</f>
        <v/>
      </c>
      <c r="V233">
        <f>HYPERLINK("https://klasma.github.io/Logging_2361/klagomål/A 23680-2024 FSC-klagomål.docx", "A 23680-2024")</f>
        <v/>
      </c>
      <c r="W233">
        <f>HYPERLINK("https://klasma.github.io/Logging_2361/klagomålsmail/A 23680-2024 FSC-klagomål mail.docx", "A 23680-2024")</f>
        <v/>
      </c>
      <c r="X233">
        <f>HYPERLINK("https://klasma.github.io/Logging_2361/tillsyn/A 23680-2024 tillsynsbegäran.docx", "A 23680-2024")</f>
        <v/>
      </c>
      <c r="Y233">
        <f>HYPERLINK("https://klasma.github.io/Logging_2361/tillsynsmail/A 23680-2024 tillsynsbegäran mail.docx", "A 23680-2024")</f>
        <v/>
      </c>
    </row>
    <row r="234" ht="15" customHeight="1">
      <c r="A234" t="inlineStr">
        <is>
          <t>A 24254-2024</t>
        </is>
      </c>
      <c r="B234" s="1" t="n">
        <v>45457</v>
      </c>
      <c r="C234" s="1" t="n">
        <v>45796</v>
      </c>
      <c r="D234" t="inlineStr">
        <is>
          <t>JÄMTLANDS LÄN</t>
        </is>
      </c>
      <c r="E234" t="inlineStr">
        <is>
          <t>HÄRJEDALEN</t>
        </is>
      </c>
      <c r="F234" t="inlineStr">
        <is>
          <t>Sveaskog</t>
        </is>
      </c>
      <c r="G234" t="n">
        <v>6</v>
      </c>
      <c r="H234" t="n">
        <v>0</v>
      </c>
      <c r="I234" t="n">
        <v>0</v>
      </c>
      <c r="J234" t="n">
        <v>1</v>
      </c>
      <c r="K234" t="n">
        <v>0</v>
      </c>
      <c r="L234" t="n">
        <v>0</v>
      </c>
      <c r="M234" t="n">
        <v>0</v>
      </c>
      <c r="N234" t="n">
        <v>0</v>
      </c>
      <c r="O234" t="n">
        <v>1</v>
      </c>
      <c r="P234" t="n">
        <v>0</v>
      </c>
      <c r="Q234" t="n">
        <v>1</v>
      </c>
      <c r="R234" s="2" t="inlineStr">
        <is>
          <t>Kolflarnlav</t>
        </is>
      </c>
      <c r="S234">
        <f>HYPERLINK("https://klasma.github.io/Logging_2361/artfynd/A 24254-2024 artfynd.xlsx", "A 24254-2024")</f>
        <v/>
      </c>
      <c r="T234">
        <f>HYPERLINK("https://klasma.github.io/Logging_2361/kartor/A 24254-2024 karta.png", "A 24254-2024")</f>
        <v/>
      </c>
      <c r="V234">
        <f>HYPERLINK("https://klasma.github.io/Logging_2361/klagomål/A 24254-2024 FSC-klagomål.docx", "A 24254-2024")</f>
        <v/>
      </c>
      <c r="W234">
        <f>HYPERLINK("https://klasma.github.io/Logging_2361/klagomålsmail/A 24254-2024 FSC-klagomål mail.docx", "A 24254-2024")</f>
        <v/>
      </c>
      <c r="X234">
        <f>HYPERLINK("https://klasma.github.io/Logging_2361/tillsyn/A 24254-2024 tillsynsbegäran.docx", "A 24254-2024")</f>
        <v/>
      </c>
      <c r="Y234">
        <f>HYPERLINK("https://klasma.github.io/Logging_2361/tillsynsmail/A 24254-2024 tillsynsbegäran mail.docx", "A 24254-2024")</f>
        <v/>
      </c>
    </row>
    <row r="235" ht="15" customHeight="1">
      <c r="A235" t="inlineStr">
        <is>
          <t>A 24251-2024</t>
        </is>
      </c>
      <c r="B235" s="1" t="n">
        <v>45457</v>
      </c>
      <c r="C235" s="1" t="n">
        <v>45796</v>
      </c>
      <c r="D235" t="inlineStr">
        <is>
          <t>JÄMTLANDS LÄN</t>
        </is>
      </c>
      <c r="E235" t="inlineStr">
        <is>
          <t>HÄRJEDALEN</t>
        </is>
      </c>
      <c r="F235" t="inlineStr">
        <is>
          <t>Sveaskog</t>
        </is>
      </c>
      <c r="G235" t="n">
        <v>4.7</v>
      </c>
      <c r="H235" t="n">
        <v>0</v>
      </c>
      <c r="I235" t="n">
        <v>0</v>
      </c>
      <c r="J235" t="n">
        <v>1</v>
      </c>
      <c r="K235" t="n">
        <v>0</v>
      </c>
      <c r="L235" t="n">
        <v>0</v>
      </c>
      <c r="M235" t="n">
        <v>0</v>
      </c>
      <c r="N235" t="n">
        <v>0</v>
      </c>
      <c r="O235" t="n">
        <v>1</v>
      </c>
      <c r="P235" t="n">
        <v>0</v>
      </c>
      <c r="Q235" t="n">
        <v>1</v>
      </c>
      <c r="R235" s="2" t="inlineStr">
        <is>
          <t>Garnlav</t>
        </is>
      </c>
      <c r="S235">
        <f>HYPERLINK("https://klasma.github.io/Logging_2361/artfynd/A 24251-2024 artfynd.xlsx", "A 24251-2024")</f>
        <v/>
      </c>
      <c r="T235">
        <f>HYPERLINK("https://klasma.github.io/Logging_2361/kartor/A 24251-2024 karta.png", "A 24251-2024")</f>
        <v/>
      </c>
      <c r="V235">
        <f>HYPERLINK("https://klasma.github.io/Logging_2361/klagomål/A 24251-2024 FSC-klagomål.docx", "A 24251-2024")</f>
        <v/>
      </c>
      <c r="W235">
        <f>HYPERLINK("https://klasma.github.io/Logging_2361/klagomålsmail/A 24251-2024 FSC-klagomål mail.docx", "A 24251-2024")</f>
        <v/>
      </c>
      <c r="X235">
        <f>HYPERLINK("https://klasma.github.io/Logging_2361/tillsyn/A 24251-2024 tillsynsbegäran.docx", "A 24251-2024")</f>
        <v/>
      </c>
      <c r="Y235">
        <f>HYPERLINK("https://klasma.github.io/Logging_2361/tillsynsmail/A 24251-2024 tillsynsbegäran mail.docx", "A 24251-2024")</f>
        <v/>
      </c>
    </row>
    <row r="236" ht="15" customHeight="1">
      <c r="A236" t="inlineStr">
        <is>
          <t>A 25942-2024</t>
        </is>
      </c>
      <c r="B236" s="1" t="n">
        <v>45467</v>
      </c>
      <c r="C236" s="1" t="n">
        <v>45796</v>
      </c>
      <c r="D236" t="inlineStr">
        <is>
          <t>JÄMTLANDS LÄN</t>
        </is>
      </c>
      <c r="E236" t="inlineStr">
        <is>
          <t>HÄRJEDALEN</t>
        </is>
      </c>
      <c r="F236" t="inlineStr">
        <is>
          <t>Sveaskog</t>
        </is>
      </c>
      <c r="G236" t="n">
        <v>6.4</v>
      </c>
      <c r="H236" t="n">
        <v>0</v>
      </c>
      <c r="I236" t="n">
        <v>0</v>
      </c>
      <c r="J236" t="n">
        <v>1</v>
      </c>
      <c r="K236" t="n">
        <v>0</v>
      </c>
      <c r="L236" t="n">
        <v>0</v>
      </c>
      <c r="M236" t="n">
        <v>0</v>
      </c>
      <c r="N236" t="n">
        <v>0</v>
      </c>
      <c r="O236" t="n">
        <v>1</v>
      </c>
      <c r="P236" t="n">
        <v>0</v>
      </c>
      <c r="Q236" t="n">
        <v>1</v>
      </c>
      <c r="R236" s="2" t="inlineStr">
        <is>
          <t>Lunglav</t>
        </is>
      </c>
      <c r="S236">
        <f>HYPERLINK("https://klasma.github.io/Logging_2361/artfynd/A 25942-2024 artfynd.xlsx", "A 25942-2024")</f>
        <v/>
      </c>
      <c r="T236">
        <f>HYPERLINK("https://klasma.github.io/Logging_2361/kartor/A 25942-2024 karta.png", "A 25942-2024")</f>
        <v/>
      </c>
      <c r="V236">
        <f>HYPERLINK("https://klasma.github.io/Logging_2361/klagomål/A 25942-2024 FSC-klagomål.docx", "A 25942-2024")</f>
        <v/>
      </c>
      <c r="W236">
        <f>HYPERLINK("https://klasma.github.io/Logging_2361/klagomålsmail/A 25942-2024 FSC-klagomål mail.docx", "A 25942-2024")</f>
        <v/>
      </c>
      <c r="X236">
        <f>HYPERLINK("https://klasma.github.io/Logging_2361/tillsyn/A 25942-2024 tillsynsbegäran.docx", "A 25942-2024")</f>
        <v/>
      </c>
      <c r="Y236">
        <f>HYPERLINK("https://klasma.github.io/Logging_2361/tillsynsmail/A 25942-2024 tillsynsbegäran mail.docx", "A 25942-2024")</f>
        <v/>
      </c>
    </row>
    <row r="237" ht="15" customHeight="1">
      <c r="A237" t="inlineStr">
        <is>
          <t>A 28629-2024</t>
        </is>
      </c>
      <c r="B237" s="1" t="n">
        <v>45478</v>
      </c>
      <c r="C237" s="1" t="n">
        <v>45796</v>
      </c>
      <c r="D237" t="inlineStr">
        <is>
          <t>JÄMTLANDS LÄN</t>
        </is>
      </c>
      <c r="E237" t="inlineStr">
        <is>
          <t>HÄRJEDALEN</t>
        </is>
      </c>
      <c r="G237" t="n">
        <v>8.699999999999999</v>
      </c>
      <c r="H237" t="n">
        <v>1</v>
      </c>
      <c r="I237" t="n">
        <v>0</v>
      </c>
      <c r="J237" t="n">
        <v>0</v>
      </c>
      <c r="K237" t="n">
        <v>0</v>
      </c>
      <c r="L237" t="n">
        <v>1</v>
      </c>
      <c r="M237" t="n">
        <v>0</v>
      </c>
      <c r="N237" t="n">
        <v>0</v>
      </c>
      <c r="O237" t="n">
        <v>1</v>
      </c>
      <c r="P237" t="n">
        <v>1</v>
      </c>
      <c r="Q237" t="n">
        <v>1</v>
      </c>
      <c r="R237" s="2" t="inlineStr">
        <is>
          <t>Mosippa</t>
        </is>
      </c>
      <c r="S237">
        <f>HYPERLINK("https://klasma.github.io/Logging_2361/artfynd/A 28629-2024 artfynd.xlsx", "A 28629-2024")</f>
        <v/>
      </c>
      <c r="T237">
        <f>HYPERLINK("https://klasma.github.io/Logging_2361/kartor/A 28629-2024 karta.png", "A 28629-2024")</f>
        <v/>
      </c>
      <c r="V237">
        <f>HYPERLINK("https://klasma.github.io/Logging_2361/klagomål/A 28629-2024 FSC-klagomål.docx", "A 28629-2024")</f>
        <v/>
      </c>
      <c r="W237">
        <f>HYPERLINK("https://klasma.github.io/Logging_2361/klagomålsmail/A 28629-2024 FSC-klagomål mail.docx", "A 28629-2024")</f>
        <v/>
      </c>
      <c r="X237">
        <f>HYPERLINK("https://klasma.github.io/Logging_2361/tillsyn/A 28629-2024 tillsynsbegäran.docx", "A 28629-2024")</f>
        <v/>
      </c>
      <c r="Y237">
        <f>HYPERLINK("https://klasma.github.io/Logging_2361/tillsynsmail/A 28629-2024 tillsynsbegäran mail.docx", "A 28629-2024")</f>
        <v/>
      </c>
    </row>
    <row r="238" ht="15" customHeight="1">
      <c r="A238" t="inlineStr">
        <is>
          <t>A 31607-2024</t>
        </is>
      </c>
      <c r="B238" s="1" t="n">
        <v>45506</v>
      </c>
      <c r="C238" s="1" t="n">
        <v>45796</v>
      </c>
      <c r="D238" t="inlineStr">
        <is>
          <t>JÄMTLANDS LÄN</t>
        </is>
      </c>
      <c r="E238" t="inlineStr">
        <is>
          <t>HÄRJEDALEN</t>
        </is>
      </c>
      <c r="F238" t="inlineStr">
        <is>
          <t>Sveaskog</t>
        </is>
      </c>
      <c r="G238" t="n">
        <v>9.1</v>
      </c>
      <c r="H238" t="n">
        <v>0</v>
      </c>
      <c r="I238" t="n">
        <v>1</v>
      </c>
      <c r="J238" t="n">
        <v>0</v>
      </c>
      <c r="K238" t="n">
        <v>0</v>
      </c>
      <c r="L238" t="n">
        <v>0</v>
      </c>
      <c r="M238" t="n">
        <v>0</v>
      </c>
      <c r="N238" t="n">
        <v>0</v>
      </c>
      <c r="O238" t="n">
        <v>0</v>
      </c>
      <c r="P238" t="n">
        <v>0</v>
      </c>
      <c r="Q238" t="n">
        <v>1</v>
      </c>
      <c r="R238" s="2" t="inlineStr">
        <is>
          <t>Dropptaggsvamp</t>
        </is>
      </c>
      <c r="S238">
        <f>HYPERLINK("https://klasma.github.io/Logging_2361/artfynd/A 31607-2024 artfynd.xlsx", "A 31607-2024")</f>
        <v/>
      </c>
      <c r="T238">
        <f>HYPERLINK("https://klasma.github.io/Logging_2361/kartor/A 31607-2024 karta.png", "A 31607-2024")</f>
        <v/>
      </c>
      <c r="V238">
        <f>HYPERLINK("https://klasma.github.io/Logging_2361/klagomål/A 31607-2024 FSC-klagomål.docx", "A 31607-2024")</f>
        <v/>
      </c>
      <c r="W238">
        <f>HYPERLINK("https://klasma.github.io/Logging_2361/klagomålsmail/A 31607-2024 FSC-klagomål mail.docx", "A 31607-2024")</f>
        <v/>
      </c>
      <c r="X238">
        <f>HYPERLINK("https://klasma.github.io/Logging_2361/tillsyn/A 31607-2024 tillsynsbegäran.docx", "A 31607-2024")</f>
        <v/>
      </c>
      <c r="Y238">
        <f>HYPERLINK("https://klasma.github.io/Logging_2361/tillsynsmail/A 31607-2024 tillsynsbegäran mail.docx", "A 31607-2024")</f>
        <v/>
      </c>
    </row>
    <row r="239" ht="15" customHeight="1">
      <c r="A239" t="inlineStr">
        <is>
          <t>A 37451-2024</t>
        </is>
      </c>
      <c r="B239" s="1" t="n">
        <v>45540</v>
      </c>
      <c r="C239" s="1" t="n">
        <v>45796</v>
      </c>
      <c r="D239" t="inlineStr">
        <is>
          <t>JÄMTLANDS LÄN</t>
        </is>
      </c>
      <c r="E239" t="inlineStr">
        <is>
          <t>HÄRJEDALEN</t>
        </is>
      </c>
      <c r="F239" t="inlineStr">
        <is>
          <t>Sveaskog</t>
        </is>
      </c>
      <c r="G239" t="n">
        <v>4.3</v>
      </c>
      <c r="H239" t="n">
        <v>0</v>
      </c>
      <c r="I239" t="n">
        <v>0</v>
      </c>
      <c r="J239" t="n">
        <v>1</v>
      </c>
      <c r="K239" t="n">
        <v>0</v>
      </c>
      <c r="L239" t="n">
        <v>0</v>
      </c>
      <c r="M239" t="n">
        <v>0</v>
      </c>
      <c r="N239" t="n">
        <v>0</v>
      </c>
      <c r="O239" t="n">
        <v>1</v>
      </c>
      <c r="P239" t="n">
        <v>0</v>
      </c>
      <c r="Q239" t="n">
        <v>1</v>
      </c>
      <c r="R239" s="2" t="inlineStr">
        <is>
          <t>Lunglav</t>
        </is>
      </c>
      <c r="S239">
        <f>HYPERLINK("https://klasma.github.io/Logging_2361/artfynd/A 37451-2024 artfynd.xlsx", "A 37451-2024")</f>
        <v/>
      </c>
      <c r="T239">
        <f>HYPERLINK("https://klasma.github.io/Logging_2361/kartor/A 37451-2024 karta.png", "A 37451-2024")</f>
        <v/>
      </c>
      <c r="V239">
        <f>HYPERLINK("https://klasma.github.io/Logging_2361/klagomål/A 37451-2024 FSC-klagomål.docx", "A 37451-2024")</f>
        <v/>
      </c>
      <c r="W239">
        <f>HYPERLINK("https://klasma.github.io/Logging_2361/klagomålsmail/A 37451-2024 FSC-klagomål mail.docx", "A 37451-2024")</f>
        <v/>
      </c>
      <c r="X239">
        <f>HYPERLINK("https://klasma.github.io/Logging_2361/tillsyn/A 37451-2024 tillsynsbegäran.docx", "A 37451-2024")</f>
        <v/>
      </c>
      <c r="Y239">
        <f>HYPERLINK("https://klasma.github.io/Logging_2361/tillsynsmail/A 37451-2024 tillsynsbegäran mail.docx", "A 37451-2024")</f>
        <v/>
      </c>
    </row>
    <row r="240" ht="15" customHeight="1">
      <c r="A240" t="inlineStr">
        <is>
          <t>A 38285-2024</t>
        </is>
      </c>
      <c r="B240" s="1" t="n">
        <v>45545</v>
      </c>
      <c r="C240" s="1" t="n">
        <v>45796</v>
      </c>
      <c r="D240" t="inlineStr">
        <is>
          <t>JÄMTLANDS LÄN</t>
        </is>
      </c>
      <c r="E240" t="inlineStr">
        <is>
          <t>HÄRJEDALEN</t>
        </is>
      </c>
      <c r="F240" t="inlineStr">
        <is>
          <t>Sveaskog</t>
        </is>
      </c>
      <c r="G240" t="n">
        <v>4.9</v>
      </c>
      <c r="H240" t="n">
        <v>0</v>
      </c>
      <c r="I240" t="n">
        <v>0</v>
      </c>
      <c r="J240" t="n">
        <v>1</v>
      </c>
      <c r="K240" t="n">
        <v>0</v>
      </c>
      <c r="L240" t="n">
        <v>0</v>
      </c>
      <c r="M240" t="n">
        <v>0</v>
      </c>
      <c r="N240" t="n">
        <v>0</v>
      </c>
      <c r="O240" t="n">
        <v>1</v>
      </c>
      <c r="P240" t="n">
        <v>0</v>
      </c>
      <c r="Q240" t="n">
        <v>1</v>
      </c>
      <c r="R240" s="2" t="inlineStr">
        <is>
          <t>Lunglav</t>
        </is>
      </c>
      <c r="S240">
        <f>HYPERLINK("https://klasma.github.io/Logging_2361/artfynd/A 38285-2024 artfynd.xlsx", "A 38285-2024")</f>
        <v/>
      </c>
      <c r="T240">
        <f>HYPERLINK("https://klasma.github.io/Logging_2361/kartor/A 38285-2024 karta.png", "A 38285-2024")</f>
        <v/>
      </c>
      <c r="V240">
        <f>HYPERLINK("https://klasma.github.io/Logging_2361/klagomål/A 38285-2024 FSC-klagomål.docx", "A 38285-2024")</f>
        <v/>
      </c>
      <c r="W240">
        <f>HYPERLINK("https://klasma.github.io/Logging_2361/klagomålsmail/A 38285-2024 FSC-klagomål mail.docx", "A 38285-2024")</f>
        <v/>
      </c>
      <c r="X240">
        <f>HYPERLINK("https://klasma.github.io/Logging_2361/tillsyn/A 38285-2024 tillsynsbegäran.docx", "A 38285-2024")</f>
        <v/>
      </c>
      <c r="Y240">
        <f>HYPERLINK("https://klasma.github.io/Logging_2361/tillsynsmail/A 38285-2024 tillsynsbegäran mail.docx", "A 38285-2024")</f>
        <v/>
      </c>
    </row>
    <row r="241" ht="15" customHeight="1">
      <c r="A241" t="inlineStr">
        <is>
          <t>A 43744-2024</t>
        </is>
      </c>
      <c r="B241" s="1" t="n">
        <v>45569</v>
      </c>
      <c r="C241" s="1" t="n">
        <v>45796</v>
      </c>
      <c r="D241" t="inlineStr">
        <is>
          <t>JÄMTLANDS LÄN</t>
        </is>
      </c>
      <c r="E241" t="inlineStr">
        <is>
          <t>HÄRJEDALEN</t>
        </is>
      </c>
      <c r="G241" t="n">
        <v>15.8</v>
      </c>
      <c r="H241" t="n">
        <v>1</v>
      </c>
      <c r="I241" t="n">
        <v>0</v>
      </c>
      <c r="J241" t="n">
        <v>1</v>
      </c>
      <c r="K241" t="n">
        <v>0</v>
      </c>
      <c r="L241" t="n">
        <v>0</v>
      </c>
      <c r="M241" t="n">
        <v>0</v>
      </c>
      <c r="N241" t="n">
        <v>0</v>
      </c>
      <c r="O241" t="n">
        <v>1</v>
      </c>
      <c r="P241" t="n">
        <v>0</v>
      </c>
      <c r="Q241" t="n">
        <v>1</v>
      </c>
      <c r="R241" s="2" t="inlineStr">
        <is>
          <t>Skogsfru</t>
        </is>
      </c>
      <c r="S241">
        <f>HYPERLINK("https://klasma.github.io/Logging_2361/artfynd/A 43744-2024 artfynd.xlsx", "A 43744-2024")</f>
        <v/>
      </c>
      <c r="T241">
        <f>HYPERLINK("https://klasma.github.io/Logging_2361/kartor/A 43744-2024 karta.png", "A 43744-2024")</f>
        <v/>
      </c>
      <c r="V241">
        <f>HYPERLINK("https://klasma.github.io/Logging_2361/klagomål/A 43744-2024 FSC-klagomål.docx", "A 43744-2024")</f>
        <v/>
      </c>
      <c r="W241">
        <f>HYPERLINK("https://klasma.github.io/Logging_2361/klagomålsmail/A 43744-2024 FSC-klagomål mail.docx", "A 43744-2024")</f>
        <v/>
      </c>
      <c r="X241">
        <f>HYPERLINK("https://klasma.github.io/Logging_2361/tillsyn/A 43744-2024 tillsynsbegäran.docx", "A 43744-2024")</f>
        <v/>
      </c>
      <c r="Y241">
        <f>HYPERLINK("https://klasma.github.io/Logging_2361/tillsynsmail/A 43744-2024 tillsynsbegäran mail.docx", "A 43744-2024")</f>
        <v/>
      </c>
    </row>
    <row r="242" ht="15" customHeight="1">
      <c r="A242" t="inlineStr">
        <is>
          <t>A 44222-2024</t>
        </is>
      </c>
      <c r="B242" s="1" t="n">
        <v>45573</v>
      </c>
      <c r="C242" s="1" t="n">
        <v>45796</v>
      </c>
      <c r="D242" t="inlineStr">
        <is>
          <t>JÄMTLANDS LÄN</t>
        </is>
      </c>
      <c r="E242" t="inlineStr">
        <is>
          <t>HÄRJEDALEN</t>
        </is>
      </c>
      <c r="G242" t="n">
        <v>15.3</v>
      </c>
      <c r="H242" t="n">
        <v>1</v>
      </c>
      <c r="I242" t="n">
        <v>0</v>
      </c>
      <c r="J242" t="n">
        <v>0</v>
      </c>
      <c r="K242" t="n">
        <v>1</v>
      </c>
      <c r="L242" t="n">
        <v>0</v>
      </c>
      <c r="M242" t="n">
        <v>0</v>
      </c>
      <c r="N242" t="n">
        <v>0</v>
      </c>
      <c r="O242" t="n">
        <v>1</v>
      </c>
      <c r="P242" t="n">
        <v>1</v>
      </c>
      <c r="Q242" t="n">
        <v>1</v>
      </c>
      <c r="R242" s="2" t="inlineStr">
        <is>
          <t>Knärot</t>
        </is>
      </c>
      <c r="S242">
        <f>HYPERLINK("https://klasma.github.io/Logging_2361/artfynd/A 44222-2024 artfynd.xlsx", "A 44222-2024")</f>
        <v/>
      </c>
      <c r="T242">
        <f>HYPERLINK("https://klasma.github.io/Logging_2361/kartor/A 44222-2024 karta.png", "A 44222-2024")</f>
        <v/>
      </c>
      <c r="U242">
        <f>HYPERLINK("https://klasma.github.io/Logging_2361/knärot/A 44222-2024 karta knärot.png", "A 44222-2024")</f>
        <v/>
      </c>
      <c r="V242">
        <f>HYPERLINK("https://klasma.github.io/Logging_2361/klagomål/A 44222-2024 FSC-klagomål.docx", "A 44222-2024")</f>
        <v/>
      </c>
      <c r="W242">
        <f>HYPERLINK("https://klasma.github.io/Logging_2361/klagomålsmail/A 44222-2024 FSC-klagomål mail.docx", "A 44222-2024")</f>
        <v/>
      </c>
      <c r="X242">
        <f>HYPERLINK("https://klasma.github.io/Logging_2361/tillsyn/A 44222-2024 tillsynsbegäran.docx", "A 44222-2024")</f>
        <v/>
      </c>
      <c r="Y242">
        <f>HYPERLINK("https://klasma.github.io/Logging_2361/tillsynsmail/A 44222-2024 tillsynsbegäran mail.docx", "A 44222-2024")</f>
        <v/>
      </c>
    </row>
    <row r="243" ht="15" customHeight="1">
      <c r="A243" t="inlineStr">
        <is>
          <t>A 51234-2024</t>
        </is>
      </c>
      <c r="B243" s="1" t="n">
        <v>45603</v>
      </c>
      <c r="C243" s="1" t="n">
        <v>45796</v>
      </c>
      <c r="D243" t="inlineStr">
        <is>
          <t>JÄMTLANDS LÄN</t>
        </is>
      </c>
      <c r="E243" t="inlineStr">
        <is>
          <t>HÄRJEDALEN</t>
        </is>
      </c>
      <c r="F243" t="inlineStr">
        <is>
          <t>Holmen skog AB</t>
        </is>
      </c>
      <c r="G243" t="n">
        <v>2.6</v>
      </c>
      <c r="H243" t="n">
        <v>0</v>
      </c>
      <c r="I243" t="n">
        <v>0</v>
      </c>
      <c r="J243" t="n">
        <v>1</v>
      </c>
      <c r="K243" t="n">
        <v>0</v>
      </c>
      <c r="L243" t="n">
        <v>0</v>
      </c>
      <c r="M243" t="n">
        <v>0</v>
      </c>
      <c r="N243" t="n">
        <v>0</v>
      </c>
      <c r="O243" t="n">
        <v>1</v>
      </c>
      <c r="P243" t="n">
        <v>0</v>
      </c>
      <c r="Q243" t="n">
        <v>1</v>
      </c>
      <c r="R243" s="2" t="inlineStr">
        <is>
          <t>Blågrå svartspik</t>
        </is>
      </c>
      <c r="S243">
        <f>HYPERLINK("https://klasma.github.io/Logging_2361/artfynd/A 51234-2024 artfynd.xlsx", "A 51234-2024")</f>
        <v/>
      </c>
      <c r="T243">
        <f>HYPERLINK("https://klasma.github.io/Logging_2361/kartor/A 51234-2024 karta.png", "A 51234-2024")</f>
        <v/>
      </c>
      <c r="V243">
        <f>HYPERLINK("https://klasma.github.io/Logging_2361/klagomål/A 51234-2024 FSC-klagomål.docx", "A 51234-2024")</f>
        <v/>
      </c>
      <c r="W243">
        <f>HYPERLINK("https://klasma.github.io/Logging_2361/klagomålsmail/A 51234-2024 FSC-klagomål mail.docx", "A 51234-2024")</f>
        <v/>
      </c>
      <c r="X243">
        <f>HYPERLINK("https://klasma.github.io/Logging_2361/tillsyn/A 51234-2024 tillsynsbegäran.docx", "A 51234-2024")</f>
        <v/>
      </c>
      <c r="Y243">
        <f>HYPERLINK("https://klasma.github.io/Logging_2361/tillsynsmail/A 51234-2024 tillsynsbegäran mail.docx", "A 51234-2024")</f>
        <v/>
      </c>
    </row>
    <row r="244" ht="15" customHeight="1">
      <c r="A244" t="inlineStr">
        <is>
          <t>A 54520-2024</t>
        </is>
      </c>
      <c r="B244" s="1" t="n">
        <v>45617</v>
      </c>
      <c r="C244" s="1" t="n">
        <v>45796</v>
      </c>
      <c r="D244" t="inlineStr">
        <is>
          <t>JÄMTLANDS LÄN</t>
        </is>
      </c>
      <c r="E244" t="inlineStr">
        <is>
          <t>HÄRJEDALEN</t>
        </is>
      </c>
      <c r="F244" t="inlineStr">
        <is>
          <t>Holmen skog AB</t>
        </is>
      </c>
      <c r="G244" t="n">
        <v>4.6</v>
      </c>
      <c r="H244" t="n">
        <v>1</v>
      </c>
      <c r="I244" t="n">
        <v>0</v>
      </c>
      <c r="J244" t="n">
        <v>1</v>
      </c>
      <c r="K244" t="n">
        <v>0</v>
      </c>
      <c r="L244" t="n">
        <v>0</v>
      </c>
      <c r="M244" t="n">
        <v>0</v>
      </c>
      <c r="N244" t="n">
        <v>0</v>
      </c>
      <c r="O244" t="n">
        <v>1</v>
      </c>
      <c r="P244" t="n">
        <v>0</v>
      </c>
      <c r="Q244" t="n">
        <v>1</v>
      </c>
      <c r="R244" s="2" t="inlineStr">
        <is>
          <t>Talltita</t>
        </is>
      </c>
      <c r="S244">
        <f>HYPERLINK("https://klasma.github.io/Logging_2361/artfynd/A 54520-2024 artfynd.xlsx", "A 54520-2024")</f>
        <v/>
      </c>
      <c r="T244">
        <f>HYPERLINK("https://klasma.github.io/Logging_2361/kartor/A 54520-2024 karta.png", "A 54520-2024")</f>
        <v/>
      </c>
      <c r="V244">
        <f>HYPERLINK("https://klasma.github.io/Logging_2361/klagomål/A 54520-2024 FSC-klagomål.docx", "A 54520-2024")</f>
        <v/>
      </c>
      <c r="W244">
        <f>HYPERLINK("https://klasma.github.io/Logging_2361/klagomålsmail/A 54520-2024 FSC-klagomål mail.docx", "A 54520-2024")</f>
        <v/>
      </c>
      <c r="X244">
        <f>HYPERLINK("https://klasma.github.io/Logging_2361/tillsyn/A 54520-2024 tillsynsbegäran.docx", "A 54520-2024")</f>
        <v/>
      </c>
      <c r="Y244">
        <f>HYPERLINK("https://klasma.github.io/Logging_2361/tillsynsmail/A 54520-2024 tillsynsbegäran mail.docx", "A 54520-2024")</f>
        <v/>
      </c>
      <c r="Z244">
        <f>HYPERLINK("https://klasma.github.io/Logging_2361/fåglar/A 54520-2024 prioriterade fågelarter.docx", "A 54520-2024")</f>
        <v/>
      </c>
    </row>
    <row r="245" ht="15" customHeight="1">
      <c r="A245" t="inlineStr">
        <is>
          <t>A 55135-2024</t>
        </is>
      </c>
      <c r="B245" s="1" t="n">
        <v>45621</v>
      </c>
      <c r="C245" s="1" t="n">
        <v>45796</v>
      </c>
      <c r="D245" t="inlineStr">
        <is>
          <t>JÄMTLANDS LÄN</t>
        </is>
      </c>
      <c r="E245" t="inlineStr">
        <is>
          <t>HÄRJEDALEN</t>
        </is>
      </c>
      <c r="F245" t="inlineStr">
        <is>
          <t>Sveaskog</t>
        </is>
      </c>
      <c r="G245" t="n">
        <v>12.6</v>
      </c>
      <c r="H245" t="n">
        <v>0</v>
      </c>
      <c r="I245" t="n">
        <v>1</v>
      </c>
      <c r="J245" t="n">
        <v>0</v>
      </c>
      <c r="K245" t="n">
        <v>0</v>
      </c>
      <c r="L245" t="n">
        <v>0</v>
      </c>
      <c r="M245" t="n">
        <v>0</v>
      </c>
      <c r="N245" t="n">
        <v>0</v>
      </c>
      <c r="O245" t="n">
        <v>0</v>
      </c>
      <c r="P245" t="n">
        <v>0</v>
      </c>
      <c r="Q245" t="n">
        <v>1</v>
      </c>
      <c r="R245" s="2" t="inlineStr">
        <is>
          <t>Skarp dropptaggsvamp</t>
        </is>
      </c>
      <c r="S245">
        <f>HYPERLINK("https://klasma.github.io/Logging_2361/artfynd/A 55135-2024 artfynd.xlsx", "A 55135-2024")</f>
        <v/>
      </c>
      <c r="T245">
        <f>HYPERLINK("https://klasma.github.io/Logging_2361/kartor/A 55135-2024 karta.png", "A 55135-2024")</f>
        <v/>
      </c>
      <c r="V245">
        <f>HYPERLINK("https://klasma.github.io/Logging_2361/klagomål/A 55135-2024 FSC-klagomål.docx", "A 55135-2024")</f>
        <v/>
      </c>
      <c r="W245">
        <f>HYPERLINK("https://klasma.github.io/Logging_2361/klagomålsmail/A 55135-2024 FSC-klagomål mail.docx", "A 55135-2024")</f>
        <v/>
      </c>
      <c r="X245">
        <f>HYPERLINK("https://klasma.github.io/Logging_2361/tillsyn/A 55135-2024 tillsynsbegäran.docx", "A 55135-2024")</f>
        <v/>
      </c>
      <c r="Y245">
        <f>HYPERLINK("https://klasma.github.io/Logging_2361/tillsynsmail/A 55135-2024 tillsynsbegäran mail.docx", "A 55135-2024")</f>
        <v/>
      </c>
    </row>
    <row r="246" ht="15" customHeight="1">
      <c r="A246" t="inlineStr">
        <is>
          <t>A 55214-2024</t>
        </is>
      </c>
      <c r="B246" s="1" t="n">
        <v>45621</v>
      </c>
      <c r="C246" s="1" t="n">
        <v>45796</v>
      </c>
      <c r="D246" t="inlineStr">
        <is>
          <t>JÄMTLANDS LÄN</t>
        </is>
      </c>
      <c r="E246" t="inlineStr">
        <is>
          <t>HÄRJEDALEN</t>
        </is>
      </c>
      <c r="F246" t="inlineStr">
        <is>
          <t>Sveaskog</t>
        </is>
      </c>
      <c r="G246" t="n">
        <v>1.1</v>
      </c>
      <c r="H246" t="n">
        <v>0</v>
      </c>
      <c r="I246" t="n">
        <v>0</v>
      </c>
      <c r="J246" t="n">
        <v>1</v>
      </c>
      <c r="K246" t="n">
        <v>0</v>
      </c>
      <c r="L246" t="n">
        <v>0</v>
      </c>
      <c r="M246" t="n">
        <v>0</v>
      </c>
      <c r="N246" t="n">
        <v>0</v>
      </c>
      <c r="O246" t="n">
        <v>1</v>
      </c>
      <c r="P246" t="n">
        <v>0</v>
      </c>
      <c r="Q246" t="n">
        <v>1</v>
      </c>
      <c r="R246" s="2" t="inlineStr">
        <is>
          <t>Kolflarnlav</t>
        </is>
      </c>
      <c r="S246">
        <f>HYPERLINK("https://klasma.github.io/Logging_2361/artfynd/A 55214-2024 artfynd.xlsx", "A 55214-2024")</f>
        <v/>
      </c>
      <c r="T246">
        <f>HYPERLINK("https://klasma.github.io/Logging_2361/kartor/A 55214-2024 karta.png", "A 55214-2024")</f>
        <v/>
      </c>
      <c r="V246">
        <f>HYPERLINK("https://klasma.github.io/Logging_2361/klagomål/A 55214-2024 FSC-klagomål.docx", "A 55214-2024")</f>
        <v/>
      </c>
      <c r="W246">
        <f>HYPERLINK("https://klasma.github.io/Logging_2361/klagomålsmail/A 55214-2024 FSC-klagomål mail.docx", "A 55214-2024")</f>
        <v/>
      </c>
      <c r="X246">
        <f>HYPERLINK("https://klasma.github.io/Logging_2361/tillsyn/A 55214-2024 tillsynsbegäran.docx", "A 55214-2024")</f>
        <v/>
      </c>
      <c r="Y246">
        <f>HYPERLINK("https://klasma.github.io/Logging_2361/tillsynsmail/A 55214-2024 tillsynsbegäran mail.docx", "A 55214-2024")</f>
        <v/>
      </c>
    </row>
    <row r="247" ht="15" customHeight="1">
      <c r="A247" t="inlineStr">
        <is>
          <t>A 59367-2024</t>
        </is>
      </c>
      <c r="B247" s="1" t="n">
        <v>45638</v>
      </c>
      <c r="C247" s="1" t="n">
        <v>45796</v>
      </c>
      <c r="D247" t="inlineStr">
        <is>
          <t>JÄMTLANDS LÄN</t>
        </is>
      </c>
      <c r="E247" t="inlineStr">
        <is>
          <t>HÄRJEDALEN</t>
        </is>
      </c>
      <c r="F247" t="inlineStr">
        <is>
          <t>Holmen skog AB</t>
        </is>
      </c>
      <c r="G247" t="n">
        <v>5.9</v>
      </c>
      <c r="H247" t="n">
        <v>0</v>
      </c>
      <c r="I247" t="n">
        <v>0</v>
      </c>
      <c r="J247" t="n">
        <v>1</v>
      </c>
      <c r="K247" t="n">
        <v>0</v>
      </c>
      <c r="L247" t="n">
        <v>0</v>
      </c>
      <c r="M247" t="n">
        <v>0</v>
      </c>
      <c r="N247" t="n">
        <v>0</v>
      </c>
      <c r="O247" t="n">
        <v>1</v>
      </c>
      <c r="P247" t="n">
        <v>0</v>
      </c>
      <c r="Q247" t="n">
        <v>1</v>
      </c>
      <c r="R247" s="2" t="inlineStr">
        <is>
          <t>Vedflamlav</t>
        </is>
      </c>
      <c r="S247">
        <f>HYPERLINK("https://klasma.github.io/Logging_2361/artfynd/A 59367-2024 artfynd.xlsx", "A 59367-2024")</f>
        <v/>
      </c>
      <c r="T247">
        <f>HYPERLINK("https://klasma.github.io/Logging_2361/kartor/A 59367-2024 karta.png", "A 59367-2024")</f>
        <v/>
      </c>
      <c r="V247">
        <f>HYPERLINK("https://klasma.github.io/Logging_2361/klagomål/A 59367-2024 FSC-klagomål.docx", "A 59367-2024")</f>
        <v/>
      </c>
      <c r="W247">
        <f>HYPERLINK("https://klasma.github.io/Logging_2361/klagomålsmail/A 59367-2024 FSC-klagomål mail.docx", "A 59367-2024")</f>
        <v/>
      </c>
      <c r="X247">
        <f>HYPERLINK("https://klasma.github.io/Logging_2361/tillsyn/A 59367-2024 tillsynsbegäran.docx", "A 59367-2024")</f>
        <v/>
      </c>
      <c r="Y247">
        <f>HYPERLINK("https://klasma.github.io/Logging_2361/tillsynsmail/A 59367-2024 tillsynsbegäran mail.docx", "A 59367-2024")</f>
        <v/>
      </c>
    </row>
    <row r="248" ht="15" customHeight="1">
      <c r="A248" t="inlineStr">
        <is>
          <t>A 2041-2025</t>
        </is>
      </c>
      <c r="B248" s="1" t="n">
        <v>45672</v>
      </c>
      <c r="C248" s="1" t="n">
        <v>45796</v>
      </c>
      <c r="D248" t="inlineStr">
        <is>
          <t>JÄMTLANDS LÄN</t>
        </is>
      </c>
      <c r="E248" t="inlineStr">
        <is>
          <t>HÄRJEDALEN</t>
        </is>
      </c>
      <c r="G248" t="n">
        <v>10</v>
      </c>
      <c r="H248" t="n">
        <v>0</v>
      </c>
      <c r="I248" t="n">
        <v>0</v>
      </c>
      <c r="J248" t="n">
        <v>1</v>
      </c>
      <c r="K248" t="n">
        <v>0</v>
      </c>
      <c r="L248" t="n">
        <v>0</v>
      </c>
      <c r="M248" t="n">
        <v>0</v>
      </c>
      <c r="N248" t="n">
        <v>0</v>
      </c>
      <c r="O248" t="n">
        <v>1</v>
      </c>
      <c r="P248" t="n">
        <v>0</v>
      </c>
      <c r="Q248" t="n">
        <v>1</v>
      </c>
      <c r="R248" s="2" t="inlineStr">
        <is>
          <t>Gränsticka</t>
        </is>
      </c>
      <c r="S248">
        <f>HYPERLINK("https://klasma.github.io/Logging_2361/artfynd/A 2041-2025 artfynd.xlsx", "A 2041-2025")</f>
        <v/>
      </c>
      <c r="T248">
        <f>HYPERLINK("https://klasma.github.io/Logging_2361/kartor/A 2041-2025 karta.png", "A 2041-2025")</f>
        <v/>
      </c>
      <c r="V248">
        <f>HYPERLINK("https://klasma.github.io/Logging_2361/klagomål/A 2041-2025 FSC-klagomål.docx", "A 2041-2025")</f>
        <v/>
      </c>
      <c r="W248">
        <f>HYPERLINK("https://klasma.github.io/Logging_2361/klagomålsmail/A 2041-2025 FSC-klagomål mail.docx", "A 2041-2025")</f>
        <v/>
      </c>
      <c r="X248">
        <f>HYPERLINK("https://klasma.github.io/Logging_2361/tillsyn/A 2041-2025 tillsynsbegäran.docx", "A 2041-2025")</f>
        <v/>
      </c>
      <c r="Y248">
        <f>HYPERLINK("https://klasma.github.io/Logging_2361/tillsynsmail/A 2041-2025 tillsynsbegäran mail.docx", "A 2041-2025")</f>
        <v/>
      </c>
    </row>
    <row r="249" ht="15" customHeight="1">
      <c r="A249" t="inlineStr">
        <is>
          <t>A 9233-2025</t>
        </is>
      </c>
      <c r="B249" s="1" t="n">
        <v>45714</v>
      </c>
      <c r="C249" s="1" t="n">
        <v>45796</v>
      </c>
      <c r="D249" t="inlineStr">
        <is>
          <t>JÄMTLANDS LÄN</t>
        </is>
      </c>
      <c r="E249" t="inlineStr">
        <is>
          <t>HÄRJEDALEN</t>
        </is>
      </c>
      <c r="F249" t="inlineStr">
        <is>
          <t>SCA</t>
        </is>
      </c>
      <c r="G249" t="n">
        <v>16.8</v>
      </c>
      <c r="H249" t="n">
        <v>1</v>
      </c>
      <c r="I249" t="n">
        <v>0</v>
      </c>
      <c r="J249" t="n">
        <v>1</v>
      </c>
      <c r="K249" t="n">
        <v>0</v>
      </c>
      <c r="L249" t="n">
        <v>0</v>
      </c>
      <c r="M249" t="n">
        <v>0</v>
      </c>
      <c r="N249" t="n">
        <v>0</v>
      </c>
      <c r="O249" t="n">
        <v>1</v>
      </c>
      <c r="P249" t="n">
        <v>0</v>
      </c>
      <c r="Q249" t="n">
        <v>1</v>
      </c>
      <c r="R249" s="2" t="inlineStr">
        <is>
          <t>Järpe</t>
        </is>
      </c>
      <c r="S249">
        <f>HYPERLINK("https://klasma.github.io/Logging_2361/artfynd/A 9233-2025 artfynd.xlsx", "A 9233-2025")</f>
        <v/>
      </c>
      <c r="T249">
        <f>HYPERLINK("https://klasma.github.io/Logging_2361/kartor/A 9233-2025 karta.png", "A 9233-2025")</f>
        <v/>
      </c>
      <c r="V249">
        <f>HYPERLINK("https://klasma.github.io/Logging_2361/klagomål/A 9233-2025 FSC-klagomål.docx", "A 9233-2025")</f>
        <v/>
      </c>
      <c r="W249">
        <f>HYPERLINK("https://klasma.github.io/Logging_2361/klagomålsmail/A 9233-2025 FSC-klagomål mail.docx", "A 9233-2025")</f>
        <v/>
      </c>
      <c r="X249">
        <f>HYPERLINK("https://klasma.github.io/Logging_2361/tillsyn/A 9233-2025 tillsynsbegäran.docx", "A 9233-2025")</f>
        <v/>
      </c>
      <c r="Y249">
        <f>HYPERLINK("https://klasma.github.io/Logging_2361/tillsynsmail/A 9233-2025 tillsynsbegäran mail.docx", "A 9233-2025")</f>
        <v/>
      </c>
      <c r="Z249">
        <f>HYPERLINK("https://klasma.github.io/Logging_2361/fåglar/A 9233-2025 prioriterade fågelarter.docx", "A 9233-2025")</f>
        <v/>
      </c>
    </row>
    <row r="250" ht="15" customHeight="1">
      <c r="A250" t="inlineStr">
        <is>
          <t>A 12274-2025</t>
        </is>
      </c>
      <c r="B250" s="1" t="n">
        <v>45729</v>
      </c>
      <c r="C250" s="1" t="n">
        <v>45796</v>
      </c>
      <c r="D250" t="inlineStr">
        <is>
          <t>JÄMTLANDS LÄN</t>
        </is>
      </c>
      <c r="E250" t="inlineStr">
        <is>
          <t>HÄRJEDALEN</t>
        </is>
      </c>
      <c r="F250" t="inlineStr">
        <is>
          <t>Holmen skog AB</t>
        </is>
      </c>
      <c r="G250" t="n">
        <v>1</v>
      </c>
      <c r="H250" t="n">
        <v>0</v>
      </c>
      <c r="I250" t="n">
        <v>0</v>
      </c>
      <c r="J250" t="n">
        <v>1</v>
      </c>
      <c r="K250" t="n">
        <v>0</v>
      </c>
      <c r="L250" t="n">
        <v>0</v>
      </c>
      <c r="M250" t="n">
        <v>0</v>
      </c>
      <c r="N250" t="n">
        <v>0</v>
      </c>
      <c r="O250" t="n">
        <v>1</v>
      </c>
      <c r="P250" t="n">
        <v>0</v>
      </c>
      <c r="Q250" t="n">
        <v>1</v>
      </c>
      <c r="R250" s="2" t="inlineStr">
        <is>
          <t>Garnlav</t>
        </is>
      </c>
      <c r="S250">
        <f>HYPERLINK("https://klasma.github.io/Logging_232361/artfynd/A 12274-2025 artfynd.xlsx", "A 12274-2025")</f>
        <v/>
      </c>
      <c r="T250">
        <f>HYPERLINK("https://klasma.github.io/Logging_232361/kartor/A 12274-2025 karta.png", "A 12274-2025")</f>
        <v/>
      </c>
      <c r="V250">
        <f>HYPERLINK("https://klasma.github.io/Logging_232361/klagomål/A 12274-2025 FSC-klagomål.docx", "A 12274-2025")</f>
        <v/>
      </c>
      <c r="W250">
        <f>HYPERLINK("https://klasma.github.io/Logging_232361/klagomålsmail/A 12274-2025 FSC-klagomål mail.docx", "A 12274-2025")</f>
        <v/>
      </c>
      <c r="X250">
        <f>HYPERLINK("https://klasma.github.io/Logging_232361/tillsyn/A 12274-2025 tillsynsbegäran.docx", "A 12274-2025")</f>
        <v/>
      </c>
      <c r="Y250">
        <f>HYPERLINK("https://klasma.github.io/Logging_232361/tillsynsmail/A 12274-2025 tillsynsbegäran mail.docx", "A 12274-2025")</f>
        <v/>
      </c>
    </row>
    <row r="251" ht="15" customHeight="1">
      <c r="A251" t="inlineStr">
        <is>
          <t>A 17902-2025</t>
        </is>
      </c>
      <c r="B251" s="1" t="n">
        <v>45758</v>
      </c>
      <c r="C251" s="1" t="n">
        <v>45796</v>
      </c>
      <c r="D251" t="inlineStr">
        <is>
          <t>JÄMTLANDS LÄN</t>
        </is>
      </c>
      <c r="E251" t="inlineStr">
        <is>
          <t>HÄRJEDALEN</t>
        </is>
      </c>
      <c r="G251" t="n">
        <v>2.4</v>
      </c>
      <c r="H251" t="n">
        <v>0</v>
      </c>
      <c r="I251" t="n">
        <v>0</v>
      </c>
      <c r="J251" t="n">
        <v>1</v>
      </c>
      <c r="K251" t="n">
        <v>0</v>
      </c>
      <c r="L251" t="n">
        <v>0</v>
      </c>
      <c r="M251" t="n">
        <v>0</v>
      </c>
      <c r="N251" t="n">
        <v>0</v>
      </c>
      <c r="O251" t="n">
        <v>1</v>
      </c>
      <c r="P251" t="n">
        <v>0</v>
      </c>
      <c r="Q251" t="n">
        <v>1</v>
      </c>
      <c r="R251" s="2" t="inlineStr">
        <is>
          <t>Motaggsvamp</t>
        </is>
      </c>
      <c r="S251">
        <f>HYPERLINK("https://klasma.github.io/Logging_232361/artfynd/A 17902-2025 artfynd.xlsx", "A 17902-2025")</f>
        <v/>
      </c>
      <c r="T251">
        <f>HYPERLINK("https://klasma.github.io/Logging_232361/kartor/A 17902-2025 karta.png", "A 17902-2025")</f>
        <v/>
      </c>
      <c r="V251">
        <f>HYPERLINK("https://klasma.github.io/Logging_232361/klagomål/A 17902-2025 FSC-klagomål.docx", "A 17902-2025")</f>
        <v/>
      </c>
      <c r="W251">
        <f>HYPERLINK("https://klasma.github.io/Logging_232361/klagomålsmail/A 17902-2025 FSC-klagomål mail.docx", "A 17902-2025")</f>
        <v/>
      </c>
      <c r="X251">
        <f>HYPERLINK("https://klasma.github.io/Logging_232361/tillsyn/A 17902-2025 tillsynsbegäran.docx", "A 17902-2025")</f>
        <v/>
      </c>
      <c r="Y251">
        <f>HYPERLINK("https://klasma.github.io/Logging_232361/tillsynsmail/A 17902-2025 tillsynsbegäran mail.docx", "A 17902-2025")</f>
        <v/>
      </c>
    </row>
    <row r="252" ht="15" customHeight="1">
      <c r="A252" t="inlineStr">
        <is>
          <t>A 17811-2019</t>
        </is>
      </c>
      <c r="B252" s="1" t="n">
        <v>43556</v>
      </c>
      <c r="C252" s="1" t="n">
        <v>45796</v>
      </c>
      <c r="D252" t="inlineStr">
        <is>
          <t>JÄMTLANDS LÄN</t>
        </is>
      </c>
      <c r="E252" t="inlineStr">
        <is>
          <t>HÄRJEDALEN</t>
        </is>
      </c>
      <c r="G252" t="n">
        <v>10.3</v>
      </c>
      <c r="H252" t="n">
        <v>0</v>
      </c>
      <c r="I252" t="n">
        <v>0</v>
      </c>
      <c r="J252" t="n">
        <v>0</v>
      </c>
      <c r="K252" t="n">
        <v>0</v>
      </c>
      <c r="L252" t="n">
        <v>0</v>
      </c>
      <c r="M252" t="n">
        <v>0</v>
      </c>
      <c r="N252" t="n">
        <v>0</v>
      </c>
      <c r="O252" t="n">
        <v>0</v>
      </c>
      <c r="P252" t="n">
        <v>0</v>
      </c>
      <c r="Q252" t="n">
        <v>0</v>
      </c>
      <c r="R252" s="2" t="inlineStr"/>
    </row>
    <row r="253" ht="15" customHeight="1">
      <c r="A253" t="inlineStr">
        <is>
          <t>A 17986-2019</t>
        </is>
      </c>
      <c r="B253" s="1" t="n">
        <v>43557</v>
      </c>
      <c r="C253" s="1" t="n">
        <v>45796</v>
      </c>
      <c r="D253" t="inlineStr">
        <is>
          <t>JÄMTLANDS LÄN</t>
        </is>
      </c>
      <c r="E253" t="inlineStr">
        <is>
          <t>HÄRJEDALEN</t>
        </is>
      </c>
      <c r="F253" t="inlineStr">
        <is>
          <t>Kyrkan</t>
        </is>
      </c>
      <c r="G253" t="n">
        <v>17.5</v>
      </c>
      <c r="H253" t="n">
        <v>0</v>
      </c>
      <c r="I253" t="n">
        <v>0</v>
      </c>
      <c r="J253" t="n">
        <v>0</v>
      </c>
      <c r="K253" t="n">
        <v>0</v>
      </c>
      <c r="L253" t="n">
        <v>0</v>
      </c>
      <c r="M253" t="n">
        <v>0</v>
      </c>
      <c r="N253" t="n">
        <v>0</v>
      </c>
      <c r="O253" t="n">
        <v>0</v>
      </c>
      <c r="P253" t="n">
        <v>0</v>
      </c>
      <c r="Q253" t="n">
        <v>0</v>
      </c>
      <c r="R253" s="2" t="inlineStr"/>
    </row>
    <row r="254" ht="15" customHeight="1">
      <c r="A254" t="inlineStr">
        <is>
          <t>A 17917-2019</t>
        </is>
      </c>
      <c r="B254" s="1" t="n">
        <v>43557</v>
      </c>
      <c r="C254" s="1" t="n">
        <v>45796</v>
      </c>
      <c r="D254" t="inlineStr">
        <is>
          <t>JÄMTLANDS LÄN</t>
        </is>
      </c>
      <c r="E254" t="inlineStr">
        <is>
          <t>HÄRJEDALEN</t>
        </is>
      </c>
      <c r="F254" t="inlineStr">
        <is>
          <t>Bergvik skog väst AB</t>
        </is>
      </c>
      <c r="G254" t="n">
        <v>166.3</v>
      </c>
      <c r="H254" t="n">
        <v>0</v>
      </c>
      <c r="I254" t="n">
        <v>0</v>
      </c>
      <c r="J254" t="n">
        <v>0</v>
      </c>
      <c r="K254" t="n">
        <v>0</v>
      </c>
      <c r="L254" t="n">
        <v>0</v>
      </c>
      <c r="M254" t="n">
        <v>0</v>
      </c>
      <c r="N254" t="n">
        <v>0</v>
      </c>
      <c r="O254" t="n">
        <v>0</v>
      </c>
      <c r="P254" t="n">
        <v>0</v>
      </c>
      <c r="Q254" t="n">
        <v>0</v>
      </c>
      <c r="R254" s="2" t="inlineStr"/>
    </row>
    <row r="255" ht="15" customHeight="1">
      <c r="A255" t="inlineStr">
        <is>
          <t>A 18539-2019</t>
        </is>
      </c>
      <c r="B255" s="1" t="n">
        <v>43559</v>
      </c>
      <c r="C255" s="1" t="n">
        <v>45796</v>
      </c>
      <c r="D255" t="inlineStr">
        <is>
          <t>JÄMTLANDS LÄN</t>
        </is>
      </c>
      <c r="E255" t="inlineStr">
        <is>
          <t>HÄRJEDALEN</t>
        </is>
      </c>
      <c r="G255" t="n">
        <v>1.7</v>
      </c>
      <c r="H255" t="n">
        <v>0</v>
      </c>
      <c r="I255" t="n">
        <v>0</v>
      </c>
      <c r="J255" t="n">
        <v>0</v>
      </c>
      <c r="K255" t="n">
        <v>0</v>
      </c>
      <c r="L255" t="n">
        <v>0</v>
      </c>
      <c r="M255" t="n">
        <v>0</v>
      </c>
      <c r="N255" t="n">
        <v>0</v>
      </c>
      <c r="O255" t="n">
        <v>0</v>
      </c>
      <c r="P255" t="n">
        <v>0</v>
      </c>
      <c r="Q255" t="n">
        <v>0</v>
      </c>
      <c r="R255" s="2" t="inlineStr"/>
    </row>
    <row r="256" ht="15" customHeight="1">
      <c r="A256" t="inlineStr">
        <is>
          <t>A 18648-2019</t>
        </is>
      </c>
      <c r="B256" s="1" t="n">
        <v>43560</v>
      </c>
      <c r="C256" s="1" t="n">
        <v>45796</v>
      </c>
      <c r="D256" t="inlineStr">
        <is>
          <t>JÄMTLANDS LÄN</t>
        </is>
      </c>
      <c r="E256" t="inlineStr">
        <is>
          <t>HÄRJEDALEN</t>
        </is>
      </c>
      <c r="G256" t="n">
        <v>5.5</v>
      </c>
      <c r="H256" t="n">
        <v>0</v>
      </c>
      <c r="I256" t="n">
        <v>0</v>
      </c>
      <c r="J256" t="n">
        <v>0</v>
      </c>
      <c r="K256" t="n">
        <v>0</v>
      </c>
      <c r="L256" t="n">
        <v>0</v>
      </c>
      <c r="M256" t="n">
        <v>0</v>
      </c>
      <c r="N256" t="n">
        <v>0</v>
      </c>
      <c r="O256" t="n">
        <v>0</v>
      </c>
      <c r="P256" t="n">
        <v>0</v>
      </c>
      <c r="Q256" t="n">
        <v>0</v>
      </c>
      <c r="R256" s="2" t="inlineStr"/>
    </row>
    <row r="257" ht="15" customHeight="1">
      <c r="A257" t="inlineStr">
        <is>
          <t>A 19114-2019</t>
        </is>
      </c>
      <c r="B257" s="1" t="n">
        <v>43563</v>
      </c>
      <c r="C257" s="1" t="n">
        <v>45796</v>
      </c>
      <c r="D257" t="inlineStr">
        <is>
          <t>JÄMTLANDS LÄN</t>
        </is>
      </c>
      <c r="E257" t="inlineStr">
        <is>
          <t>HÄRJEDALEN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20063-2019</t>
        </is>
      </c>
      <c r="B258" s="1" t="n">
        <v>43567</v>
      </c>
      <c r="C258" s="1" t="n">
        <v>45796</v>
      </c>
      <c r="D258" t="inlineStr">
        <is>
          <t>JÄMTLANDS LÄN</t>
        </is>
      </c>
      <c r="E258" t="inlineStr">
        <is>
          <t>HÄRJEDALEN</t>
        </is>
      </c>
      <c r="F258" t="inlineStr">
        <is>
          <t>Bergvik skog väst AB</t>
        </is>
      </c>
      <c r="G258" t="n">
        <v>0.6</v>
      </c>
      <c r="H258" t="n">
        <v>0</v>
      </c>
      <c r="I258" t="n">
        <v>0</v>
      </c>
      <c r="J258" t="n">
        <v>0</v>
      </c>
      <c r="K258" t="n">
        <v>0</v>
      </c>
      <c r="L258" t="n">
        <v>0</v>
      </c>
      <c r="M258" t="n">
        <v>0</v>
      </c>
      <c r="N258" t="n">
        <v>0</v>
      </c>
      <c r="O258" t="n">
        <v>0</v>
      </c>
      <c r="P258" t="n">
        <v>0</v>
      </c>
      <c r="Q258" t="n">
        <v>0</v>
      </c>
      <c r="R258" s="2" t="inlineStr"/>
    </row>
    <row r="259" ht="15" customHeight="1">
      <c r="A259" t="inlineStr">
        <is>
          <t>A 19864-2019</t>
        </is>
      </c>
      <c r="B259" s="1" t="n">
        <v>43567</v>
      </c>
      <c r="C259" s="1" t="n">
        <v>45796</v>
      </c>
      <c r="D259" t="inlineStr">
        <is>
          <t>JÄMTLANDS LÄN</t>
        </is>
      </c>
      <c r="E259" t="inlineStr">
        <is>
          <t>HÄRJEDALEN</t>
        </is>
      </c>
      <c r="G259" t="n">
        <v>2.6</v>
      </c>
      <c r="H259" t="n">
        <v>0</v>
      </c>
      <c r="I259" t="n">
        <v>0</v>
      </c>
      <c r="J259" t="n">
        <v>0</v>
      </c>
      <c r="K259" t="n">
        <v>0</v>
      </c>
      <c r="L259" t="n">
        <v>0</v>
      </c>
      <c r="M259" t="n">
        <v>0</v>
      </c>
      <c r="N259" t="n">
        <v>0</v>
      </c>
      <c r="O259" t="n">
        <v>0</v>
      </c>
      <c r="P259" t="n">
        <v>0</v>
      </c>
      <c r="Q259" t="n">
        <v>0</v>
      </c>
      <c r="R259" s="2" t="inlineStr"/>
    </row>
    <row r="260" ht="15" customHeight="1">
      <c r="A260" t="inlineStr">
        <is>
          <t>A 20403-2019</t>
        </is>
      </c>
      <c r="B260" s="1" t="n">
        <v>43571</v>
      </c>
      <c r="C260" s="1" t="n">
        <v>45796</v>
      </c>
      <c r="D260" t="inlineStr">
        <is>
          <t>JÄMTLANDS LÄN</t>
        </is>
      </c>
      <c r="E260" t="inlineStr">
        <is>
          <t>HÄRJEDALEN</t>
        </is>
      </c>
      <c r="F260" t="inlineStr">
        <is>
          <t>Bergvik skog väst AB</t>
        </is>
      </c>
      <c r="G260" t="n">
        <v>7.8</v>
      </c>
      <c r="H260" t="n">
        <v>0</v>
      </c>
      <c r="I260" t="n">
        <v>0</v>
      </c>
      <c r="J260" t="n">
        <v>0</v>
      </c>
      <c r="K260" t="n">
        <v>0</v>
      </c>
      <c r="L260" t="n">
        <v>0</v>
      </c>
      <c r="M260" t="n">
        <v>0</v>
      </c>
      <c r="N260" t="n">
        <v>0</v>
      </c>
      <c r="O260" t="n">
        <v>0</v>
      </c>
      <c r="P260" t="n">
        <v>0</v>
      </c>
      <c r="Q260" t="n">
        <v>0</v>
      </c>
      <c r="R260" s="2" t="inlineStr"/>
    </row>
    <row r="261" ht="15" customHeight="1">
      <c r="A261" t="inlineStr">
        <is>
          <t>A 20373-2019</t>
        </is>
      </c>
      <c r="B261" s="1" t="n">
        <v>43571</v>
      </c>
      <c r="C261" s="1" t="n">
        <v>45796</v>
      </c>
      <c r="D261" t="inlineStr">
        <is>
          <t>JÄMTLANDS LÄN</t>
        </is>
      </c>
      <c r="E261" t="inlineStr">
        <is>
          <t>HÄRJEDALEN</t>
        </is>
      </c>
      <c r="G261" t="n">
        <v>0.8</v>
      </c>
      <c r="H261" t="n">
        <v>0</v>
      </c>
      <c r="I261" t="n">
        <v>0</v>
      </c>
      <c r="J261" t="n">
        <v>0</v>
      </c>
      <c r="K261" t="n">
        <v>0</v>
      </c>
      <c r="L261" t="n">
        <v>0</v>
      </c>
      <c r="M261" t="n">
        <v>0</v>
      </c>
      <c r="N261" t="n">
        <v>0</v>
      </c>
      <c r="O261" t="n">
        <v>0</v>
      </c>
      <c r="P261" t="n">
        <v>0</v>
      </c>
      <c r="Q261" t="n">
        <v>0</v>
      </c>
      <c r="R261" s="2" t="inlineStr"/>
    </row>
    <row r="262" ht="15" customHeight="1">
      <c r="A262" t="inlineStr">
        <is>
          <t>A 20851-2019</t>
        </is>
      </c>
      <c r="B262" s="1" t="n">
        <v>43577</v>
      </c>
      <c r="C262" s="1" t="n">
        <v>45796</v>
      </c>
      <c r="D262" t="inlineStr">
        <is>
          <t>JÄMTLANDS LÄN</t>
        </is>
      </c>
      <c r="E262" t="inlineStr">
        <is>
          <t>HÄRJEDALEN</t>
        </is>
      </c>
      <c r="F262" t="inlineStr">
        <is>
          <t>Övriga Aktiebolag</t>
        </is>
      </c>
      <c r="G262" t="n">
        <v>7.5</v>
      </c>
      <c r="H262" t="n">
        <v>0</v>
      </c>
      <c r="I262" t="n">
        <v>0</v>
      </c>
      <c r="J262" t="n">
        <v>0</v>
      </c>
      <c r="K262" t="n">
        <v>0</v>
      </c>
      <c r="L262" t="n">
        <v>0</v>
      </c>
      <c r="M262" t="n">
        <v>0</v>
      </c>
      <c r="N262" t="n">
        <v>0</v>
      </c>
      <c r="O262" t="n">
        <v>0</v>
      </c>
      <c r="P262" t="n">
        <v>0</v>
      </c>
      <c r="Q262" t="n">
        <v>0</v>
      </c>
      <c r="R262" s="2" t="inlineStr"/>
    </row>
    <row r="263" ht="15" customHeight="1">
      <c r="A263" t="inlineStr">
        <is>
          <t>A 21040-2019</t>
        </is>
      </c>
      <c r="B263" s="1" t="n">
        <v>43578</v>
      </c>
      <c r="C263" s="1" t="n">
        <v>45796</v>
      </c>
      <c r="D263" t="inlineStr">
        <is>
          <t>JÄMTLANDS LÄN</t>
        </is>
      </c>
      <c r="E263" t="inlineStr">
        <is>
          <t>HÄRJEDALEN</t>
        </is>
      </c>
      <c r="G263" t="n">
        <v>0.8</v>
      </c>
      <c r="H263" t="n">
        <v>0</v>
      </c>
      <c r="I263" t="n">
        <v>0</v>
      </c>
      <c r="J263" t="n">
        <v>0</v>
      </c>
      <c r="K263" t="n">
        <v>0</v>
      </c>
      <c r="L263" t="n">
        <v>0</v>
      </c>
      <c r="M263" t="n">
        <v>0</v>
      </c>
      <c r="N263" t="n">
        <v>0</v>
      </c>
      <c r="O263" t="n">
        <v>0</v>
      </c>
      <c r="P263" t="n">
        <v>0</v>
      </c>
      <c r="Q263" t="n">
        <v>0</v>
      </c>
      <c r="R263" s="2" t="inlineStr"/>
    </row>
    <row r="264" ht="15" customHeight="1">
      <c r="A264" t="inlineStr">
        <is>
          <t>A 21189-2019</t>
        </is>
      </c>
      <c r="B264" s="1" t="n">
        <v>43579</v>
      </c>
      <c r="C264" s="1" t="n">
        <v>45796</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22622-2019</t>
        </is>
      </c>
      <c r="B265" s="1" t="n">
        <v>43588</v>
      </c>
      <c r="C265" s="1" t="n">
        <v>45796</v>
      </c>
      <c r="D265" t="inlineStr">
        <is>
          <t>JÄMTLANDS LÄN</t>
        </is>
      </c>
      <c r="E265" t="inlineStr">
        <is>
          <t>HÄRJEDALEN</t>
        </is>
      </c>
      <c r="G265" t="n">
        <v>1.5</v>
      </c>
      <c r="H265" t="n">
        <v>0</v>
      </c>
      <c r="I265" t="n">
        <v>0</v>
      </c>
      <c r="J265" t="n">
        <v>0</v>
      </c>
      <c r="K265" t="n">
        <v>0</v>
      </c>
      <c r="L265" t="n">
        <v>0</v>
      </c>
      <c r="M265" t="n">
        <v>0</v>
      </c>
      <c r="N265" t="n">
        <v>0</v>
      </c>
      <c r="O265" t="n">
        <v>0</v>
      </c>
      <c r="P265" t="n">
        <v>0</v>
      </c>
      <c r="Q265" t="n">
        <v>0</v>
      </c>
      <c r="R265" s="2" t="inlineStr"/>
    </row>
    <row r="266" ht="15" customHeight="1">
      <c r="A266" t="inlineStr">
        <is>
          <t>A 24030-2019</t>
        </is>
      </c>
      <c r="B266" s="1" t="n">
        <v>43598</v>
      </c>
      <c r="C266" s="1" t="n">
        <v>45796</v>
      </c>
      <c r="D266" t="inlineStr">
        <is>
          <t>JÄMTLANDS LÄN</t>
        </is>
      </c>
      <c r="E266" t="inlineStr">
        <is>
          <t>HÄRJEDALEN</t>
        </is>
      </c>
      <c r="F266" t="inlineStr">
        <is>
          <t>Sveaskog</t>
        </is>
      </c>
      <c r="G266" t="n">
        <v>39.9</v>
      </c>
      <c r="H266" t="n">
        <v>0</v>
      </c>
      <c r="I266" t="n">
        <v>0</v>
      </c>
      <c r="J266" t="n">
        <v>0</v>
      </c>
      <c r="K266" t="n">
        <v>0</v>
      </c>
      <c r="L266" t="n">
        <v>0</v>
      </c>
      <c r="M266" t="n">
        <v>0</v>
      </c>
      <c r="N266" t="n">
        <v>0</v>
      </c>
      <c r="O266" t="n">
        <v>0</v>
      </c>
      <c r="P266" t="n">
        <v>0</v>
      </c>
      <c r="Q266" t="n">
        <v>0</v>
      </c>
      <c r="R266" s="2" t="inlineStr"/>
    </row>
    <row r="267" ht="15" customHeight="1">
      <c r="A267" t="inlineStr">
        <is>
          <t>A 24760-2019</t>
        </is>
      </c>
      <c r="B267" s="1" t="n">
        <v>43601</v>
      </c>
      <c r="C267" s="1" t="n">
        <v>45796</v>
      </c>
      <c r="D267" t="inlineStr">
        <is>
          <t>JÄMTLANDS LÄN</t>
        </is>
      </c>
      <c r="E267" t="inlineStr">
        <is>
          <t>HÄRJEDALEN</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25309-2019</t>
        </is>
      </c>
      <c r="B268" s="1" t="n">
        <v>43605</v>
      </c>
      <c r="C268" s="1" t="n">
        <v>45796</v>
      </c>
      <c r="D268" t="inlineStr">
        <is>
          <t>JÄMTLANDS LÄN</t>
        </is>
      </c>
      <c r="E268" t="inlineStr">
        <is>
          <t>HÄRJEDALEN</t>
        </is>
      </c>
      <c r="G268" t="n">
        <v>0.1</v>
      </c>
      <c r="H268" t="n">
        <v>0</v>
      </c>
      <c r="I268" t="n">
        <v>0</v>
      </c>
      <c r="J268" t="n">
        <v>0</v>
      </c>
      <c r="K268" t="n">
        <v>0</v>
      </c>
      <c r="L268" t="n">
        <v>0</v>
      </c>
      <c r="M268" t="n">
        <v>0</v>
      </c>
      <c r="N268" t="n">
        <v>0</v>
      </c>
      <c r="O268" t="n">
        <v>0</v>
      </c>
      <c r="P268" t="n">
        <v>0</v>
      </c>
      <c r="Q268" t="n">
        <v>0</v>
      </c>
      <c r="R268" s="2" t="inlineStr"/>
    </row>
    <row r="269" ht="15" customHeight="1">
      <c r="A269" t="inlineStr">
        <is>
          <t>A 25470-2019</t>
        </is>
      </c>
      <c r="B269" s="1" t="n">
        <v>43606</v>
      </c>
      <c r="C269" s="1" t="n">
        <v>45796</v>
      </c>
      <c r="D269" t="inlineStr">
        <is>
          <t>JÄMTLANDS LÄN</t>
        </is>
      </c>
      <c r="E269" t="inlineStr">
        <is>
          <t>HÄRJEDALEN</t>
        </is>
      </c>
      <c r="G269" t="n">
        <v>36.8</v>
      </c>
      <c r="H269" t="n">
        <v>0</v>
      </c>
      <c r="I269" t="n">
        <v>0</v>
      </c>
      <c r="J269" t="n">
        <v>0</v>
      </c>
      <c r="K269" t="n">
        <v>0</v>
      </c>
      <c r="L269" t="n">
        <v>0</v>
      </c>
      <c r="M269" t="n">
        <v>0</v>
      </c>
      <c r="N269" t="n">
        <v>0</v>
      </c>
      <c r="O269" t="n">
        <v>0</v>
      </c>
      <c r="P269" t="n">
        <v>0</v>
      </c>
      <c r="Q269" t="n">
        <v>0</v>
      </c>
      <c r="R269" s="2" t="inlineStr"/>
    </row>
    <row r="270" ht="15" customHeight="1">
      <c r="A270" t="inlineStr">
        <is>
          <t>A 26166-2019</t>
        </is>
      </c>
      <c r="B270" s="1" t="n">
        <v>43609</v>
      </c>
      <c r="C270" s="1" t="n">
        <v>45796</v>
      </c>
      <c r="D270" t="inlineStr">
        <is>
          <t>JÄMTLANDS LÄN</t>
        </is>
      </c>
      <c r="E270" t="inlineStr">
        <is>
          <t>HÄRJEDALEN</t>
        </is>
      </c>
      <c r="G270" t="n">
        <v>85.2</v>
      </c>
      <c r="H270" t="n">
        <v>0</v>
      </c>
      <c r="I270" t="n">
        <v>0</v>
      </c>
      <c r="J270" t="n">
        <v>0</v>
      </c>
      <c r="K270" t="n">
        <v>0</v>
      </c>
      <c r="L270" t="n">
        <v>0</v>
      </c>
      <c r="M270" t="n">
        <v>0</v>
      </c>
      <c r="N270" t="n">
        <v>0</v>
      </c>
      <c r="O270" t="n">
        <v>0</v>
      </c>
      <c r="P270" t="n">
        <v>0</v>
      </c>
      <c r="Q270" t="n">
        <v>0</v>
      </c>
      <c r="R270" s="2" t="inlineStr"/>
    </row>
    <row r="271" ht="15" customHeight="1">
      <c r="A271" t="inlineStr">
        <is>
          <t>A 26310-2019</t>
        </is>
      </c>
      <c r="B271" s="1" t="n">
        <v>43612</v>
      </c>
      <c r="C271" s="1" t="n">
        <v>45796</v>
      </c>
      <c r="D271" t="inlineStr">
        <is>
          <t>JÄMTLANDS LÄN</t>
        </is>
      </c>
      <c r="E271" t="inlineStr">
        <is>
          <t>HÄRJEDALEN</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26423-2019</t>
        </is>
      </c>
      <c r="B272" s="1" t="n">
        <v>43612</v>
      </c>
      <c r="C272" s="1" t="n">
        <v>45796</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27683-2019</t>
        </is>
      </c>
      <c r="B273" s="1" t="n">
        <v>43619</v>
      </c>
      <c r="C273" s="1" t="n">
        <v>45796</v>
      </c>
      <c r="D273" t="inlineStr">
        <is>
          <t>JÄMTLANDS LÄN</t>
        </is>
      </c>
      <c r="E273" t="inlineStr">
        <is>
          <t>HÄRJEDALEN</t>
        </is>
      </c>
      <c r="G273" t="n">
        <v>5.4</v>
      </c>
      <c r="H273" t="n">
        <v>0</v>
      </c>
      <c r="I273" t="n">
        <v>0</v>
      </c>
      <c r="J273" t="n">
        <v>0</v>
      </c>
      <c r="K273" t="n">
        <v>0</v>
      </c>
      <c r="L273" t="n">
        <v>0</v>
      </c>
      <c r="M273" t="n">
        <v>0</v>
      </c>
      <c r="N273" t="n">
        <v>0</v>
      </c>
      <c r="O273" t="n">
        <v>0</v>
      </c>
      <c r="P273" t="n">
        <v>0</v>
      </c>
      <c r="Q273" t="n">
        <v>0</v>
      </c>
      <c r="R273" s="2" t="inlineStr"/>
    </row>
    <row r="274" ht="15" customHeight="1">
      <c r="A274" t="inlineStr">
        <is>
          <t>A 27903-2019</t>
        </is>
      </c>
      <c r="B274" s="1" t="n">
        <v>43620</v>
      </c>
      <c r="C274" s="1" t="n">
        <v>45796</v>
      </c>
      <c r="D274" t="inlineStr">
        <is>
          <t>JÄMTLANDS LÄN</t>
        </is>
      </c>
      <c r="E274" t="inlineStr">
        <is>
          <t>HÄRJEDALEN</t>
        </is>
      </c>
      <c r="G274" t="n">
        <v>22</v>
      </c>
      <c r="H274" t="n">
        <v>0</v>
      </c>
      <c r="I274" t="n">
        <v>0</v>
      </c>
      <c r="J274" t="n">
        <v>0</v>
      </c>
      <c r="K274" t="n">
        <v>0</v>
      </c>
      <c r="L274" t="n">
        <v>0</v>
      </c>
      <c r="M274" t="n">
        <v>0</v>
      </c>
      <c r="N274" t="n">
        <v>0</v>
      </c>
      <c r="O274" t="n">
        <v>0</v>
      </c>
      <c r="P274" t="n">
        <v>0</v>
      </c>
      <c r="Q274" t="n">
        <v>0</v>
      </c>
      <c r="R274" s="2" t="inlineStr"/>
    </row>
    <row r="275" ht="15" customHeight="1">
      <c r="A275" t="inlineStr">
        <is>
          <t>A 28312-2019</t>
        </is>
      </c>
      <c r="B275" s="1" t="n">
        <v>43623</v>
      </c>
      <c r="C275" s="1" t="n">
        <v>45796</v>
      </c>
      <c r="D275" t="inlineStr">
        <is>
          <t>JÄMTLANDS LÄN</t>
        </is>
      </c>
      <c r="E275" t="inlineStr">
        <is>
          <t>HÄRJEDALEN</t>
        </is>
      </c>
      <c r="G275" t="n">
        <v>6.5</v>
      </c>
      <c r="H275" t="n">
        <v>0</v>
      </c>
      <c r="I275" t="n">
        <v>0</v>
      </c>
      <c r="J275" t="n">
        <v>0</v>
      </c>
      <c r="K275" t="n">
        <v>0</v>
      </c>
      <c r="L275" t="n">
        <v>0</v>
      </c>
      <c r="M275" t="n">
        <v>0</v>
      </c>
      <c r="N275" t="n">
        <v>0</v>
      </c>
      <c r="O275" t="n">
        <v>0</v>
      </c>
      <c r="P275" t="n">
        <v>0</v>
      </c>
      <c r="Q275" t="n">
        <v>0</v>
      </c>
      <c r="R275" s="2" t="inlineStr"/>
    </row>
    <row r="276" ht="15" customHeight="1">
      <c r="A276" t="inlineStr">
        <is>
          <t>A 28326-2019</t>
        </is>
      </c>
      <c r="B276" s="1" t="n">
        <v>43623</v>
      </c>
      <c r="C276" s="1" t="n">
        <v>45796</v>
      </c>
      <c r="D276" t="inlineStr">
        <is>
          <t>JÄMTLANDS LÄN</t>
        </is>
      </c>
      <c r="E276" t="inlineStr">
        <is>
          <t>HÄRJEDALEN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28513-2019</t>
        </is>
      </c>
      <c r="B277" s="1" t="n">
        <v>43626</v>
      </c>
      <c r="C277" s="1" t="n">
        <v>45796</v>
      </c>
      <c r="D277" t="inlineStr">
        <is>
          <t>JÄMTLANDS LÄN</t>
        </is>
      </c>
      <c r="E277" t="inlineStr">
        <is>
          <t>HÄRJEDALEN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29263-2019</t>
        </is>
      </c>
      <c r="B278" s="1" t="n">
        <v>43629</v>
      </c>
      <c r="C278" s="1" t="n">
        <v>45796</v>
      </c>
      <c r="D278" t="inlineStr">
        <is>
          <t>JÄMTLANDS LÄN</t>
        </is>
      </c>
      <c r="E278" t="inlineStr">
        <is>
          <t>HÄRJEDALEN</t>
        </is>
      </c>
      <c r="F278" t="inlineStr">
        <is>
          <t>Holmen skog AB</t>
        </is>
      </c>
      <c r="G278" t="n">
        <v>0.7</v>
      </c>
      <c r="H278" t="n">
        <v>0</v>
      </c>
      <c r="I278" t="n">
        <v>0</v>
      </c>
      <c r="J278" t="n">
        <v>0</v>
      </c>
      <c r="K278" t="n">
        <v>0</v>
      </c>
      <c r="L278" t="n">
        <v>0</v>
      </c>
      <c r="M278" t="n">
        <v>0</v>
      </c>
      <c r="N278" t="n">
        <v>0</v>
      </c>
      <c r="O278" t="n">
        <v>0</v>
      </c>
      <c r="P278" t="n">
        <v>0</v>
      </c>
      <c r="Q278" t="n">
        <v>0</v>
      </c>
      <c r="R278" s="2" t="inlineStr"/>
    </row>
    <row r="279" ht="15" customHeight="1">
      <c r="A279" t="inlineStr">
        <is>
          <t>A 29822-2019</t>
        </is>
      </c>
      <c r="B279" s="1" t="n">
        <v>43633</v>
      </c>
      <c r="C279" s="1" t="n">
        <v>45796</v>
      </c>
      <c r="D279" t="inlineStr">
        <is>
          <t>JÄMTLANDS LÄN</t>
        </is>
      </c>
      <c r="E279" t="inlineStr">
        <is>
          <t>HÄRJEDALEN</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34618-2019</t>
        </is>
      </c>
      <c r="B280" s="1" t="n">
        <v>43647</v>
      </c>
      <c r="C280" s="1" t="n">
        <v>45796</v>
      </c>
      <c r="D280" t="inlineStr">
        <is>
          <t>JÄMTLANDS LÄN</t>
        </is>
      </c>
      <c r="E280" t="inlineStr">
        <is>
          <t>HÄRJEDALEN</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32878-2019</t>
        </is>
      </c>
      <c r="B281" s="1" t="n">
        <v>43648</v>
      </c>
      <c r="C281" s="1" t="n">
        <v>45796</v>
      </c>
      <c r="D281" t="inlineStr">
        <is>
          <t>JÄMTLANDS LÄN</t>
        </is>
      </c>
      <c r="E281" t="inlineStr">
        <is>
          <t>HÄRJEDALEN</t>
        </is>
      </c>
      <c r="F281" t="inlineStr">
        <is>
          <t>Övriga Aktiebolag</t>
        </is>
      </c>
      <c r="G281" t="n">
        <v>91.8</v>
      </c>
      <c r="H281" t="n">
        <v>0</v>
      </c>
      <c r="I281" t="n">
        <v>0</v>
      </c>
      <c r="J281" t="n">
        <v>0</v>
      </c>
      <c r="K281" t="n">
        <v>0</v>
      </c>
      <c r="L281" t="n">
        <v>0</v>
      </c>
      <c r="M281" t="n">
        <v>0</v>
      </c>
      <c r="N281" t="n">
        <v>0</v>
      </c>
      <c r="O281" t="n">
        <v>0</v>
      </c>
      <c r="P281" t="n">
        <v>0</v>
      </c>
      <c r="Q281" t="n">
        <v>0</v>
      </c>
      <c r="R281" s="2" t="inlineStr"/>
    </row>
    <row r="282" ht="15" customHeight="1">
      <c r="A282" t="inlineStr">
        <is>
          <t>A 33496-2019</t>
        </is>
      </c>
      <c r="B282" s="1" t="n">
        <v>43651</v>
      </c>
      <c r="C282" s="1" t="n">
        <v>45796</v>
      </c>
      <c r="D282" t="inlineStr">
        <is>
          <t>JÄMTLANDS LÄN</t>
        </is>
      </c>
      <c r="E282" t="inlineStr">
        <is>
          <t>HÄRJEDALEN</t>
        </is>
      </c>
      <c r="G282" t="n">
        <v>3.6</v>
      </c>
      <c r="H282" t="n">
        <v>0</v>
      </c>
      <c r="I282" t="n">
        <v>0</v>
      </c>
      <c r="J282" t="n">
        <v>0</v>
      </c>
      <c r="K282" t="n">
        <v>0</v>
      </c>
      <c r="L282" t="n">
        <v>0</v>
      </c>
      <c r="M282" t="n">
        <v>0</v>
      </c>
      <c r="N282" t="n">
        <v>0</v>
      </c>
      <c r="O282" t="n">
        <v>0</v>
      </c>
      <c r="P282" t="n">
        <v>0</v>
      </c>
      <c r="Q282" t="n">
        <v>0</v>
      </c>
      <c r="R282" s="2" t="inlineStr"/>
    </row>
    <row r="283" ht="15" customHeight="1">
      <c r="A283" t="inlineStr">
        <is>
          <t>A 33497-2019</t>
        </is>
      </c>
      <c r="B283" s="1" t="n">
        <v>43651</v>
      </c>
      <c r="C283" s="1" t="n">
        <v>45796</v>
      </c>
      <c r="D283" t="inlineStr">
        <is>
          <t>JÄMTLANDS LÄN</t>
        </is>
      </c>
      <c r="E283" t="inlineStr">
        <is>
          <t>HÄRJEDALEN</t>
        </is>
      </c>
      <c r="G283" t="n">
        <v>1.9</v>
      </c>
      <c r="H283" t="n">
        <v>0</v>
      </c>
      <c r="I283" t="n">
        <v>0</v>
      </c>
      <c r="J283" t="n">
        <v>0</v>
      </c>
      <c r="K283" t="n">
        <v>0</v>
      </c>
      <c r="L283" t="n">
        <v>0</v>
      </c>
      <c r="M283" t="n">
        <v>0</v>
      </c>
      <c r="N283" t="n">
        <v>0</v>
      </c>
      <c r="O283" t="n">
        <v>0</v>
      </c>
      <c r="P283" t="n">
        <v>0</v>
      </c>
      <c r="Q283" t="n">
        <v>0</v>
      </c>
      <c r="R283" s="2" t="inlineStr"/>
    </row>
    <row r="284" ht="15" customHeight="1">
      <c r="A284" t="inlineStr">
        <is>
          <t>A 34688-2019</t>
        </is>
      </c>
      <c r="B284" s="1" t="n">
        <v>43657</v>
      </c>
      <c r="C284" s="1" t="n">
        <v>45796</v>
      </c>
      <c r="D284" t="inlineStr">
        <is>
          <t>JÄMTLANDS LÄN</t>
        </is>
      </c>
      <c r="E284" t="inlineStr">
        <is>
          <t>HÄRJEDALEN</t>
        </is>
      </c>
      <c r="F284" t="inlineStr">
        <is>
          <t>Bergvik skog väst AB</t>
        </is>
      </c>
      <c r="G284" t="n">
        <v>2.3</v>
      </c>
      <c r="H284" t="n">
        <v>0</v>
      </c>
      <c r="I284" t="n">
        <v>0</v>
      </c>
      <c r="J284" t="n">
        <v>0</v>
      </c>
      <c r="K284" t="n">
        <v>0</v>
      </c>
      <c r="L284" t="n">
        <v>0</v>
      </c>
      <c r="M284" t="n">
        <v>0</v>
      </c>
      <c r="N284" t="n">
        <v>0</v>
      </c>
      <c r="O284" t="n">
        <v>0</v>
      </c>
      <c r="P284" t="n">
        <v>0</v>
      </c>
      <c r="Q284" t="n">
        <v>0</v>
      </c>
      <c r="R284" s="2" t="inlineStr"/>
    </row>
    <row r="285" ht="15" customHeight="1">
      <c r="A285" t="inlineStr">
        <is>
          <t>A 34805-2019</t>
        </is>
      </c>
      <c r="B285" s="1" t="n">
        <v>43658</v>
      </c>
      <c r="C285" s="1" t="n">
        <v>45796</v>
      </c>
      <c r="D285" t="inlineStr">
        <is>
          <t>JÄMTLANDS LÄN</t>
        </is>
      </c>
      <c r="E285" t="inlineStr">
        <is>
          <t>HÄRJEDALEN</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35160-2019</t>
        </is>
      </c>
      <c r="B286" s="1" t="n">
        <v>43661</v>
      </c>
      <c r="C286" s="1" t="n">
        <v>45796</v>
      </c>
      <c r="D286" t="inlineStr">
        <is>
          <t>JÄMTLANDS LÄN</t>
        </is>
      </c>
      <c r="E286" t="inlineStr">
        <is>
          <t>HÄRJEDALEN</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36343-2019</t>
        </is>
      </c>
      <c r="B287" s="1" t="n">
        <v>43662</v>
      </c>
      <c r="C287" s="1" t="n">
        <v>45796</v>
      </c>
      <c r="D287" t="inlineStr">
        <is>
          <t>JÄMTLANDS LÄN</t>
        </is>
      </c>
      <c r="E287" t="inlineStr">
        <is>
          <t>HÄRJEDALEN</t>
        </is>
      </c>
      <c r="G287" t="n">
        <v>8</v>
      </c>
      <c r="H287" t="n">
        <v>0</v>
      </c>
      <c r="I287" t="n">
        <v>0</v>
      </c>
      <c r="J287" t="n">
        <v>0</v>
      </c>
      <c r="K287" t="n">
        <v>0</v>
      </c>
      <c r="L287" t="n">
        <v>0</v>
      </c>
      <c r="M287" t="n">
        <v>0</v>
      </c>
      <c r="N287" t="n">
        <v>0</v>
      </c>
      <c r="O287" t="n">
        <v>0</v>
      </c>
      <c r="P287" t="n">
        <v>0</v>
      </c>
      <c r="Q287" t="n">
        <v>0</v>
      </c>
      <c r="R287" s="2" t="inlineStr"/>
    </row>
    <row r="288" ht="15" customHeight="1">
      <c r="A288" t="inlineStr">
        <is>
          <t>A 38283-2019</t>
        </is>
      </c>
      <c r="B288" s="1" t="n">
        <v>43684</v>
      </c>
      <c r="C288" s="1" t="n">
        <v>45796</v>
      </c>
      <c r="D288" t="inlineStr">
        <is>
          <t>JÄMTLANDS LÄN</t>
        </is>
      </c>
      <c r="E288" t="inlineStr">
        <is>
          <t>HÄRJEDALEN</t>
        </is>
      </c>
      <c r="F288" t="inlineStr">
        <is>
          <t>Bergvik skog väst AB</t>
        </is>
      </c>
      <c r="G288" t="n">
        <v>29.5</v>
      </c>
      <c r="H288" t="n">
        <v>0</v>
      </c>
      <c r="I288" t="n">
        <v>0</v>
      </c>
      <c r="J288" t="n">
        <v>0</v>
      </c>
      <c r="K288" t="n">
        <v>0</v>
      </c>
      <c r="L288" t="n">
        <v>0</v>
      </c>
      <c r="M288" t="n">
        <v>0</v>
      </c>
      <c r="N288" t="n">
        <v>0</v>
      </c>
      <c r="O288" t="n">
        <v>0</v>
      </c>
      <c r="P288" t="n">
        <v>0</v>
      </c>
      <c r="Q288" t="n">
        <v>0</v>
      </c>
      <c r="R288" s="2" t="inlineStr"/>
    </row>
    <row r="289" ht="15" customHeight="1">
      <c r="A289" t="inlineStr">
        <is>
          <t>A 38859-2019</t>
        </is>
      </c>
      <c r="B289" s="1" t="n">
        <v>43689</v>
      </c>
      <c r="C289" s="1" t="n">
        <v>45796</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38884-2019</t>
        </is>
      </c>
      <c r="B290" s="1" t="n">
        <v>43689</v>
      </c>
      <c r="C290" s="1" t="n">
        <v>45796</v>
      </c>
      <c r="D290" t="inlineStr">
        <is>
          <t>JÄMTLANDS LÄN</t>
        </is>
      </c>
      <c r="E290" t="inlineStr">
        <is>
          <t>HÄRJEDALEN</t>
        </is>
      </c>
      <c r="G290" t="n">
        <v>2.5</v>
      </c>
      <c r="H290" t="n">
        <v>0</v>
      </c>
      <c r="I290" t="n">
        <v>0</v>
      </c>
      <c r="J290" t="n">
        <v>0</v>
      </c>
      <c r="K290" t="n">
        <v>0</v>
      </c>
      <c r="L290" t="n">
        <v>0</v>
      </c>
      <c r="M290" t="n">
        <v>0</v>
      </c>
      <c r="N290" t="n">
        <v>0</v>
      </c>
      <c r="O290" t="n">
        <v>0</v>
      </c>
      <c r="P290" t="n">
        <v>0</v>
      </c>
      <c r="Q290" t="n">
        <v>0</v>
      </c>
      <c r="R290" s="2" t="inlineStr"/>
    </row>
    <row r="291" ht="15" customHeight="1">
      <c r="A291" t="inlineStr">
        <is>
          <t>A 40244-2019</t>
        </is>
      </c>
      <c r="B291" s="1" t="n">
        <v>43694</v>
      </c>
      <c r="C291" s="1" t="n">
        <v>45796</v>
      </c>
      <c r="D291" t="inlineStr">
        <is>
          <t>JÄMTLANDS LÄN</t>
        </is>
      </c>
      <c r="E291" t="inlineStr">
        <is>
          <t>HÄRJEDALEN</t>
        </is>
      </c>
      <c r="G291" t="n">
        <v>0.2</v>
      </c>
      <c r="H291" t="n">
        <v>0</v>
      </c>
      <c r="I291" t="n">
        <v>0</v>
      </c>
      <c r="J291" t="n">
        <v>0</v>
      </c>
      <c r="K291" t="n">
        <v>0</v>
      </c>
      <c r="L291" t="n">
        <v>0</v>
      </c>
      <c r="M291" t="n">
        <v>0</v>
      </c>
      <c r="N291" t="n">
        <v>0</v>
      </c>
      <c r="O291" t="n">
        <v>0</v>
      </c>
      <c r="P291" t="n">
        <v>0</v>
      </c>
      <c r="Q291" t="n">
        <v>0</v>
      </c>
      <c r="R291" s="2" t="inlineStr"/>
    </row>
    <row r="292" ht="15" customHeight="1">
      <c r="A292" t="inlineStr">
        <is>
          <t>A 42123-2019</t>
        </is>
      </c>
      <c r="B292" s="1" t="n">
        <v>43703</v>
      </c>
      <c r="C292" s="1" t="n">
        <v>45796</v>
      </c>
      <c r="D292" t="inlineStr">
        <is>
          <t>JÄMTLANDS LÄN</t>
        </is>
      </c>
      <c r="E292" t="inlineStr">
        <is>
          <t>HÄRJEDALEN</t>
        </is>
      </c>
      <c r="G292" t="n">
        <v>1.8</v>
      </c>
      <c r="H292" t="n">
        <v>0</v>
      </c>
      <c r="I292" t="n">
        <v>0</v>
      </c>
      <c r="J292" t="n">
        <v>0</v>
      </c>
      <c r="K292" t="n">
        <v>0</v>
      </c>
      <c r="L292" t="n">
        <v>0</v>
      </c>
      <c r="M292" t="n">
        <v>0</v>
      </c>
      <c r="N292" t="n">
        <v>0</v>
      </c>
      <c r="O292" t="n">
        <v>0</v>
      </c>
      <c r="P292" t="n">
        <v>0</v>
      </c>
      <c r="Q292" t="n">
        <v>0</v>
      </c>
      <c r="R292" s="2" t="inlineStr"/>
    </row>
    <row r="293" ht="15" customHeight="1">
      <c r="A293" t="inlineStr">
        <is>
          <t>A 43103-2019</t>
        </is>
      </c>
      <c r="B293" s="1" t="n">
        <v>43705</v>
      </c>
      <c r="C293" s="1" t="n">
        <v>45796</v>
      </c>
      <c r="D293" t="inlineStr">
        <is>
          <t>JÄMTLANDS LÄN</t>
        </is>
      </c>
      <c r="E293" t="inlineStr">
        <is>
          <t>HÄRJEDALEN</t>
        </is>
      </c>
      <c r="G293" t="n">
        <v>38.6</v>
      </c>
      <c r="H293" t="n">
        <v>0</v>
      </c>
      <c r="I293" t="n">
        <v>0</v>
      </c>
      <c r="J293" t="n">
        <v>0</v>
      </c>
      <c r="K293" t="n">
        <v>0</v>
      </c>
      <c r="L293" t="n">
        <v>0</v>
      </c>
      <c r="M293" t="n">
        <v>0</v>
      </c>
      <c r="N293" t="n">
        <v>0</v>
      </c>
      <c r="O293" t="n">
        <v>0</v>
      </c>
      <c r="P293" t="n">
        <v>0</v>
      </c>
      <c r="Q293" t="n">
        <v>0</v>
      </c>
      <c r="R293" s="2" t="inlineStr"/>
    </row>
    <row r="294" ht="15" customHeight="1">
      <c r="A294" t="inlineStr">
        <is>
          <t>A 43142-2019</t>
        </is>
      </c>
      <c r="B294" s="1" t="n">
        <v>43705</v>
      </c>
      <c r="C294" s="1" t="n">
        <v>45796</v>
      </c>
      <c r="D294" t="inlineStr">
        <is>
          <t>JÄMTLANDS LÄN</t>
        </is>
      </c>
      <c r="E294" t="inlineStr">
        <is>
          <t>HÄRJEDALEN</t>
        </is>
      </c>
      <c r="G294" t="n">
        <v>3.2</v>
      </c>
      <c r="H294" t="n">
        <v>0</v>
      </c>
      <c r="I294" t="n">
        <v>0</v>
      </c>
      <c r="J294" t="n">
        <v>0</v>
      </c>
      <c r="K294" t="n">
        <v>0</v>
      </c>
      <c r="L294" t="n">
        <v>0</v>
      </c>
      <c r="M294" t="n">
        <v>0</v>
      </c>
      <c r="N294" t="n">
        <v>0</v>
      </c>
      <c r="O294" t="n">
        <v>0</v>
      </c>
      <c r="P294" t="n">
        <v>0</v>
      </c>
      <c r="Q294" t="n">
        <v>0</v>
      </c>
      <c r="R294" s="2" t="inlineStr"/>
    </row>
    <row r="295" ht="15" customHeight="1">
      <c r="A295" t="inlineStr">
        <is>
          <t>A 43649-2019</t>
        </is>
      </c>
      <c r="B295" s="1" t="n">
        <v>43707</v>
      </c>
      <c r="C295" s="1" t="n">
        <v>45796</v>
      </c>
      <c r="D295" t="inlineStr">
        <is>
          <t>JÄMTLANDS LÄN</t>
        </is>
      </c>
      <c r="E295" t="inlineStr">
        <is>
          <t>HÄRJEDALEN</t>
        </is>
      </c>
      <c r="F295" t="inlineStr">
        <is>
          <t>Sveaskog</t>
        </is>
      </c>
      <c r="G295" t="n">
        <v>6.7</v>
      </c>
      <c r="H295" t="n">
        <v>0</v>
      </c>
      <c r="I295" t="n">
        <v>0</v>
      </c>
      <c r="J295" t="n">
        <v>0</v>
      </c>
      <c r="K295" t="n">
        <v>0</v>
      </c>
      <c r="L295" t="n">
        <v>0</v>
      </c>
      <c r="M295" t="n">
        <v>0</v>
      </c>
      <c r="N295" t="n">
        <v>0</v>
      </c>
      <c r="O295" t="n">
        <v>0</v>
      </c>
      <c r="P295" t="n">
        <v>0</v>
      </c>
      <c r="Q295" t="n">
        <v>0</v>
      </c>
      <c r="R295" s="2" t="inlineStr"/>
    </row>
    <row r="296" ht="15" customHeight="1">
      <c r="A296" t="inlineStr">
        <is>
          <t>A 43896-2019</t>
        </is>
      </c>
      <c r="B296" s="1" t="n">
        <v>43707</v>
      </c>
      <c r="C296" s="1" t="n">
        <v>45796</v>
      </c>
      <c r="D296" t="inlineStr">
        <is>
          <t>JÄMTLANDS LÄN</t>
        </is>
      </c>
      <c r="E296" t="inlineStr">
        <is>
          <t>HÄRJEDALEN</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45167-2019</t>
        </is>
      </c>
      <c r="B297" s="1" t="n">
        <v>43713</v>
      </c>
      <c r="C297" s="1" t="n">
        <v>45796</v>
      </c>
      <c r="D297" t="inlineStr">
        <is>
          <t>JÄMTLANDS LÄN</t>
        </is>
      </c>
      <c r="E297" t="inlineStr">
        <is>
          <t>HÄRJEDALEN</t>
        </is>
      </c>
      <c r="F297" t="inlineStr">
        <is>
          <t>Holmen skog AB</t>
        </is>
      </c>
      <c r="G297" t="n">
        <v>15.9</v>
      </c>
      <c r="H297" t="n">
        <v>0</v>
      </c>
      <c r="I297" t="n">
        <v>0</v>
      </c>
      <c r="J297" t="n">
        <v>0</v>
      </c>
      <c r="K297" t="n">
        <v>0</v>
      </c>
      <c r="L297" t="n">
        <v>0</v>
      </c>
      <c r="M297" t="n">
        <v>0</v>
      </c>
      <c r="N297" t="n">
        <v>0</v>
      </c>
      <c r="O297" t="n">
        <v>0</v>
      </c>
      <c r="P297" t="n">
        <v>0</v>
      </c>
      <c r="Q297" t="n">
        <v>0</v>
      </c>
      <c r="R297" s="2" t="inlineStr"/>
    </row>
    <row r="298" ht="15" customHeight="1">
      <c r="A298" t="inlineStr">
        <is>
          <t>A 44939-2019</t>
        </is>
      </c>
      <c r="B298" s="1" t="n">
        <v>43713</v>
      </c>
      <c r="C298" s="1" t="n">
        <v>45796</v>
      </c>
      <c r="D298" t="inlineStr">
        <is>
          <t>JÄMTLANDS LÄN</t>
        </is>
      </c>
      <c r="E298" t="inlineStr">
        <is>
          <t>HÄRJEDALEN</t>
        </is>
      </c>
      <c r="G298" t="n">
        <v>1.2</v>
      </c>
      <c r="H298" t="n">
        <v>0</v>
      </c>
      <c r="I298" t="n">
        <v>0</v>
      </c>
      <c r="J298" t="n">
        <v>0</v>
      </c>
      <c r="K298" t="n">
        <v>0</v>
      </c>
      <c r="L298" t="n">
        <v>0</v>
      </c>
      <c r="M298" t="n">
        <v>0</v>
      </c>
      <c r="N298" t="n">
        <v>0</v>
      </c>
      <c r="O298" t="n">
        <v>0</v>
      </c>
      <c r="P298" t="n">
        <v>0</v>
      </c>
      <c r="Q298" t="n">
        <v>0</v>
      </c>
      <c r="R298" s="2" t="inlineStr"/>
    </row>
    <row r="299" ht="15" customHeight="1">
      <c r="A299" t="inlineStr">
        <is>
          <t>A 45858-2019</t>
        </is>
      </c>
      <c r="B299" s="1" t="n">
        <v>43717</v>
      </c>
      <c r="C299" s="1" t="n">
        <v>45796</v>
      </c>
      <c r="D299" t="inlineStr">
        <is>
          <t>JÄMTLANDS LÄN</t>
        </is>
      </c>
      <c r="E299" t="inlineStr">
        <is>
          <t>HÄRJEDALEN</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46156-2019</t>
        </is>
      </c>
      <c r="B300" s="1" t="n">
        <v>43718</v>
      </c>
      <c r="C300" s="1" t="n">
        <v>45796</v>
      </c>
      <c r="D300" t="inlineStr">
        <is>
          <t>JÄMTLANDS LÄN</t>
        </is>
      </c>
      <c r="E300" t="inlineStr">
        <is>
          <t>HÄRJEDALEN</t>
        </is>
      </c>
      <c r="G300" t="n">
        <v>3.9</v>
      </c>
      <c r="H300" t="n">
        <v>0</v>
      </c>
      <c r="I300" t="n">
        <v>0</v>
      </c>
      <c r="J300" t="n">
        <v>0</v>
      </c>
      <c r="K300" t="n">
        <v>0</v>
      </c>
      <c r="L300" t="n">
        <v>0</v>
      </c>
      <c r="M300" t="n">
        <v>0</v>
      </c>
      <c r="N300" t="n">
        <v>0</v>
      </c>
      <c r="O300" t="n">
        <v>0</v>
      </c>
      <c r="P300" t="n">
        <v>0</v>
      </c>
      <c r="Q300" t="n">
        <v>0</v>
      </c>
      <c r="R300" s="2" t="inlineStr"/>
    </row>
    <row r="301" ht="15" customHeight="1">
      <c r="A301" t="inlineStr">
        <is>
          <t>A 46133-2019</t>
        </is>
      </c>
      <c r="B301" s="1" t="n">
        <v>43718</v>
      </c>
      <c r="C301" s="1" t="n">
        <v>45796</v>
      </c>
      <c r="D301" t="inlineStr">
        <is>
          <t>JÄMTLANDS LÄN</t>
        </is>
      </c>
      <c r="E301" t="inlineStr">
        <is>
          <t>HÄRJEDALEN</t>
        </is>
      </c>
      <c r="G301" t="n">
        <v>17.6</v>
      </c>
      <c r="H301" t="n">
        <v>0</v>
      </c>
      <c r="I301" t="n">
        <v>0</v>
      </c>
      <c r="J301" t="n">
        <v>0</v>
      </c>
      <c r="K301" t="n">
        <v>0</v>
      </c>
      <c r="L301" t="n">
        <v>0</v>
      </c>
      <c r="M301" t="n">
        <v>0</v>
      </c>
      <c r="N301" t="n">
        <v>0</v>
      </c>
      <c r="O301" t="n">
        <v>0</v>
      </c>
      <c r="P301" t="n">
        <v>0</v>
      </c>
      <c r="Q301" t="n">
        <v>0</v>
      </c>
      <c r="R301" s="2" t="inlineStr"/>
    </row>
    <row r="302" ht="15" customHeight="1">
      <c r="A302" t="inlineStr">
        <is>
          <t>A 46163-2019</t>
        </is>
      </c>
      <c r="B302" s="1" t="n">
        <v>43718</v>
      </c>
      <c r="C302" s="1" t="n">
        <v>45796</v>
      </c>
      <c r="D302" t="inlineStr">
        <is>
          <t>JÄMTLANDS LÄN</t>
        </is>
      </c>
      <c r="E302" t="inlineStr">
        <is>
          <t>HÄRJEDALEN</t>
        </is>
      </c>
      <c r="G302" t="n">
        <v>28.9</v>
      </c>
      <c r="H302" t="n">
        <v>0</v>
      </c>
      <c r="I302" t="n">
        <v>0</v>
      </c>
      <c r="J302" t="n">
        <v>0</v>
      </c>
      <c r="K302" t="n">
        <v>0</v>
      </c>
      <c r="L302" t="n">
        <v>0</v>
      </c>
      <c r="M302" t="n">
        <v>0</v>
      </c>
      <c r="N302" t="n">
        <v>0</v>
      </c>
      <c r="O302" t="n">
        <v>0</v>
      </c>
      <c r="P302" t="n">
        <v>0</v>
      </c>
      <c r="Q302" t="n">
        <v>0</v>
      </c>
      <c r="R302" s="2" t="inlineStr"/>
    </row>
    <row r="303" ht="15" customHeight="1">
      <c r="A303" t="inlineStr">
        <is>
          <t>A 47004-2019</t>
        </is>
      </c>
      <c r="B303" s="1" t="n">
        <v>43720</v>
      </c>
      <c r="C303" s="1" t="n">
        <v>45796</v>
      </c>
      <c r="D303" t="inlineStr">
        <is>
          <t>JÄMTLANDS LÄN</t>
        </is>
      </c>
      <c r="E303" t="inlineStr">
        <is>
          <t>HÄRJEDALEN</t>
        </is>
      </c>
      <c r="F303" t="inlineStr">
        <is>
          <t>Bergvik skog väst AB</t>
        </is>
      </c>
      <c r="G303" t="n">
        <v>13.7</v>
      </c>
      <c r="H303" t="n">
        <v>0</v>
      </c>
      <c r="I303" t="n">
        <v>0</v>
      </c>
      <c r="J303" t="n">
        <v>0</v>
      </c>
      <c r="K303" t="n">
        <v>0</v>
      </c>
      <c r="L303" t="n">
        <v>0</v>
      </c>
      <c r="M303" t="n">
        <v>0</v>
      </c>
      <c r="N303" t="n">
        <v>0</v>
      </c>
      <c r="O303" t="n">
        <v>0</v>
      </c>
      <c r="P303" t="n">
        <v>0</v>
      </c>
      <c r="Q303" t="n">
        <v>0</v>
      </c>
      <c r="R303" s="2" t="inlineStr"/>
    </row>
    <row r="304" ht="15" customHeight="1">
      <c r="A304" t="inlineStr">
        <is>
          <t>A 49328-2019</t>
        </is>
      </c>
      <c r="B304" s="1" t="n">
        <v>43731</v>
      </c>
      <c r="C304" s="1" t="n">
        <v>45796</v>
      </c>
      <c r="D304" t="inlineStr">
        <is>
          <t>JÄMTLANDS LÄN</t>
        </is>
      </c>
      <c r="E304" t="inlineStr">
        <is>
          <t>HÄRJEDALEN</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49336-2019</t>
        </is>
      </c>
      <c r="B305" s="1" t="n">
        <v>43731</v>
      </c>
      <c r="C305" s="1" t="n">
        <v>45796</v>
      </c>
      <c r="D305" t="inlineStr">
        <is>
          <t>JÄMTLANDS LÄN</t>
        </is>
      </c>
      <c r="E305" t="inlineStr">
        <is>
          <t>HÄRJEDALEN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50310-2019</t>
        </is>
      </c>
      <c r="B306" s="1" t="n">
        <v>43735</v>
      </c>
      <c r="C306" s="1" t="n">
        <v>45796</v>
      </c>
      <c r="D306" t="inlineStr">
        <is>
          <t>JÄMTLANDS LÄN</t>
        </is>
      </c>
      <c r="E306" t="inlineStr">
        <is>
          <t>HÄRJEDALEN</t>
        </is>
      </c>
      <c r="G306" t="n">
        <v>9.1</v>
      </c>
      <c r="H306" t="n">
        <v>0</v>
      </c>
      <c r="I306" t="n">
        <v>0</v>
      </c>
      <c r="J306" t="n">
        <v>0</v>
      </c>
      <c r="K306" t="n">
        <v>0</v>
      </c>
      <c r="L306" t="n">
        <v>0</v>
      </c>
      <c r="M306" t="n">
        <v>0</v>
      </c>
      <c r="N306" t="n">
        <v>0</v>
      </c>
      <c r="O306" t="n">
        <v>0</v>
      </c>
      <c r="P306" t="n">
        <v>0</v>
      </c>
      <c r="Q306" t="n">
        <v>0</v>
      </c>
      <c r="R306" s="2" t="inlineStr"/>
    </row>
    <row r="307" ht="15" customHeight="1">
      <c r="A307" t="inlineStr">
        <is>
          <t>A 50411-2019</t>
        </is>
      </c>
      <c r="B307" s="1" t="n">
        <v>43735</v>
      </c>
      <c r="C307" s="1" t="n">
        <v>45796</v>
      </c>
      <c r="D307" t="inlineStr">
        <is>
          <t>JÄMTLANDS LÄN</t>
        </is>
      </c>
      <c r="E307" t="inlineStr">
        <is>
          <t>HÄRJEDALEN</t>
        </is>
      </c>
      <c r="F307" t="inlineStr">
        <is>
          <t>Sveaskog</t>
        </is>
      </c>
      <c r="G307" t="n">
        <v>7</v>
      </c>
      <c r="H307" t="n">
        <v>0</v>
      </c>
      <c r="I307" t="n">
        <v>0</v>
      </c>
      <c r="J307" t="n">
        <v>0</v>
      </c>
      <c r="K307" t="n">
        <v>0</v>
      </c>
      <c r="L307" t="n">
        <v>0</v>
      </c>
      <c r="M307" t="n">
        <v>0</v>
      </c>
      <c r="N307" t="n">
        <v>0</v>
      </c>
      <c r="O307" t="n">
        <v>0</v>
      </c>
      <c r="P307" t="n">
        <v>0</v>
      </c>
      <c r="Q307" t="n">
        <v>0</v>
      </c>
      <c r="R307" s="2" t="inlineStr"/>
    </row>
    <row r="308" ht="15" customHeight="1">
      <c r="A308" t="inlineStr">
        <is>
          <t>A 50519-2019</t>
        </is>
      </c>
      <c r="B308" s="1" t="n">
        <v>43735</v>
      </c>
      <c r="C308" s="1" t="n">
        <v>45796</v>
      </c>
      <c r="D308" t="inlineStr">
        <is>
          <t>JÄMTLANDS LÄN</t>
        </is>
      </c>
      <c r="E308" t="inlineStr">
        <is>
          <t>HÄRJEDALEN</t>
        </is>
      </c>
      <c r="G308" t="n">
        <v>4.2</v>
      </c>
      <c r="H308" t="n">
        <v>0</v>
      </c>
      <c r="I308" t="n">
        <v>0</v>
      </c>
      <c r="J308" t="n">
        <v>0</v>
      </c>
      <c r="K308" t="n">
        <v>0</v>
      </c>
      <c r="L308" t="n">
        <v>0</v>
      </c>
      <c r="M308" t="n">
        <v>0</v>
      </c>
      <c r="N308" t="n">
        <v>0</v>
      </c>
      <c r="O308" t="n">
        <v>0</v>
      </c>
      <c r="P308" t="n">
        <v>0</v>
      </c>
      <c r="Q308" t="n">
        <v>0</v>
      </c>
      <c r="R308" s="2" t="inlineStr"/>
    </row>
    <row r="309" ht="15" customHeight="1">
      <c r="A309" t="inlineStr">
        <is>
          <t>A 50624-2019</t>
        </is>
      </c>
      <c r="B309" s="1" t="n">
        <v>43736</v>
      </c>
      <c r="C309" s="1" t="n">
        <v>45796</v>
      </c>
      <c r="D309" t="inlineStr">
        <is>
          <t>JÄMTLANDS LÄN</t>
        </is>
      </c>
      <c r="E309" t="inlineStr">
        <is>
          <t>HÄRJEDALEN</t>
        </is>
      </c>
      <c r="G309" t="n">
        <v>2.4</v>
      </c>
      <c r="H309" t="n">
        <v>0</v>
      </c>
      <c r="I309" t="n">
        <v>0</v>
      </c>
      <c r="J309" t="n">
        <v>0</v>
      </c>
      <c r="K309" t="n">
        <v>0</v>
      </c>
      <c r="L309" t="n">
        <v>0</v>
      </c>
      <c r="M309" t="n">
        <v>0</v>
      </c>
      <c r="N309" t="n">
        <v>0</v>
      </c>
      <c r="O309" t="n">
        <v>0</v>
      </c>
      <c r="P309" t="n">
        <v>0</v>
      </c>
      <c r="Q309" t="n">
        <v>0</v>
      </c>
      <c r="R309" s="2" t="inlineStr"/>
    </row>
    <row r="310" ht="15" customHeight="1">
      <c r="A310" t="inlineStr">
        <is>
          <t>A 51108-2019</t>
        </is>
      </c>
      <c r="B310" s="1" t="n">
        <v>43739</v>
      </c>
      <c r="C310" s="1" t="n">
        <v>45796</v>
      </c>
      <c r="D310" t="inlineStr">
        <is>
          <t>JÄMTLANDS LÄN</t>
        </is>
      </c>
      <c r="E310" t="inlineStr">
        <is>
          <t>HÄRJEDALEN</t>
        </is>
      </c>
      <c r="G310" t="n">
        <v>4.2</v>
      </c>
      <c r="H310" t="n">
        <v>0</v>
      </c>
      <c r="I310" t="n">
        <v>0</v>
      </c>
      <c r="J310" t="n">
        <v>0</v>
      </c>
      <c r="K310" t="n">
        <v>0</v>
      </c>
      <c r="L310" t="n">
        <v>0</v>
      </c>
      <c r="M310" t="n">
        <v>0</v>
      </c>
      <c r="N310" t="n">
        <v>0</v>
      </c>
      <c r="O310" t="n">
        <v>0</v>
      </c>
      <c r="P310" t="n">
        <v>0</v>
      </c>
      <c r="Q310" t="n">
        <v>0</v>
      </c>
      <c r="R310" s="2" t="inlineStr"/>
    </row>
    <row r="311" ht="15" customHeight="1">
      <c r="A311" t="inlineStr">
        <is>
          <t>A 51118-2019</t>
        </is>
      </c>
      <c r="B311" s="1" t="n">
        <v>43739</v>
      </c>
      <c r="C311" s="1" t="n">
        <v>45796</v>
      </c>
      <c r="D311" t="inlineStr">
        <is>
          <t>JÄMTLANDS LÄN</t>
        </is>
      </c>
      <c r="E311" t="inlineStr">
        <is>
          <t>HÄRJEDALEN</t>
        </is>
      </c>
      <c r="G311" t="n">
        <v>12.5</v>
      </c>
      <c r="H311" t="n">
        <v>0</v>
      </c>
      <c r="I311" t="n">
        <v>0</v>
      </c>
      <c r="J311" t="n">
        <v>0</v>
      </c>
      <c r="K311" t="n">
        <v>0</v>
      </c>
      <c r="L311" t="n">
        <v>0</v>
      </c>
      <c r="M311" t="n">
        <v>0</v>
      </c>
      <c r="N311" t="n">
        <v>0</v>
      </c>
      <c r="O311" t="n">
        <v>0</v>
      </c>
      <c r="P311" t="n">
        <v>0</v>
      </c>
      <c r="Q311" t="n">
        <v>0</v>
      </c>
      <c r="R311" s="2" t="inlineStr"/>
    </row>
    <row r="312" ht="15" customHeight="1">
      <c r="A312" t="inlineStr">
        <is>
          <t>A 51123-2019</t>
        </is>
      </c>
      <c r="B312" s="1" t="n">
        <v>43739</v>
      </c>
      <c r="C312" s="1" t="n">
        <v>45796</v>
      </c>
      <c r="D312" t="inlineStr">
        <is>
          <t>JÄMTLANDS LÄN</t>
        </is>
      </c>
      <c r="E312" t="inlineStr">
        <is>
          <t>HÄRJEDALEN</t>
        </is>
      </c>
      <c r="G312" t="n">
        <v>1.6</v>
      </c>
      <c r="H312" t="n">
        <v>0</v>
      </c>
      <c r="I312" t="n">
        <v>0</v>
      </c>
      <c r="J312" t="n">
        <v>0</v>
      </c>
      <c r="K312" t="n">
        <v>0</v>
      </c>
      <c r="L312" t="n">
        <v>0</v>
      </c>
      <c r="M312" t="n">
        <v>0</v>
      </c>
      <c r="N312" t="n">
        <v>0</v>
      </c>
      <c r="O312" t="n">
        <v>0</v>
      </c>
      <c r="P312" t="n">
        <v>0</v>
      </c>
      <c r="Q312" t="n">
        <v>0</v>
      </c>
      <c r="R312" s="2" t="inlineStr"/>
    </row>
    <row r="313" ht="15" customHeight="1">
      <c r="A313" t="inlineStr">
        <is>
          <t>A 51105-2019</t>
        </is>
      </c>
      <c r="B313" s="1" t="n">
        <v>43739</v>
      </c>
      <c r="C313" s="1" t="n">
        <v>45796</v>
      </c>
      <c r="D313" t="inlineStr">
        <is>
          <t>JÄMTLANDS LÄN</t>
        </is>
      </c>
      <c r="E313" t="inlineStr">
        <is>
          <t>HÄRJEDALEN</t>
        </is>
      </c>
      <c r="G313" t="n">
        <v>2</v>
      </c>
      <c r="H313" t="n">
        <v>0</v>
      </c>
      <c r="I313" t="n">
        <v>0</v>
      </c>
      <c r="J313" t="n">
        <v>0</v>
      </c>
      <c r="K313" t="n">
        <v>0</v>
      </c>
      <c r="L313" t="n">
        <v>0</v>
      </c>
      <c r="M313" t="n">
        <v>0</v>
      </c>
      <c r="N313" t="n">
        <v>0</v>
      </c>
      <c r="O313" t="n">
        <v>0</v>
      </c>
      <c r="P313" t="n">
        <v>0</v>
      </c>
      <c r="Q313" t="n">
        <v>0</v>
      </c>
      <c r="R313" s="2" t="inlineStr"/>
    </row>
    <row r="314" ht="15" customHeight="1">
      <c r="A314" t="inlineStr">
        <is>
          <t>A 51111-2019</t>
        </is>
      </c>
      <c r="B314" s="1" t="n">
        <v>43739</v>
      </c>
      <c r="C314" s="1" t="n">
        <v>45796</v>
      </c>
      <c r="D314" t="inlineStr">
        <is>
          <t>JÄMTLANDS LÄN</t>
        </is>
      </c>
      <c r="E314" t="inlineStr">
        <is>
          <t>HÄRJEDALEN</t>
        </is>
      </c>
      <c r="G314" t="n">
        <v>3.7</v>
      </c>
      <c r="H314" t="n">
        <v>0</v>
      </c>
      <c r="I314" t="n">
        <v>0</v>
      </c>
      <c r="J314" t="n">
        <v>0</v>
      </c>
      <c r="K314" t="n">
        <v>0</v>
      </c>
      <c r="L314" t="n">
        <v>0</v>
      </c>
      <c r="M314" t="n">
        <v>0</v>
      </c>
      <c r="N314" t="n">
        <v>0</v>
      </c>
      <c r="O314" t="n">
        <v>0</v>
      </c>
      <c r="P314" t="n">
        <v>0</v>
      </c>
      <c r="Q314" t="n">
        <v>0</v>
      </c>
      <c r="R314" s="2" t="inlineStr"/>
    </row>
    <row r="315" ht="15" customHeight="1">
      <c r="A315" t="inlineStr">
        <is>
          <t>A 52304-2019</t>
        </is>
      </c>
      <c r="B315" s="1" t="n">
        <v>43745</v>
      </c>
      <c r="C315" s="1" t="n">
        <v>45796</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52709-2019</t>
        </is>
      </c>
      <c r="B316" s="1" t="n">
        <v>43746</v>
      </c>
      <c r="C316" s="1" t="n">
        <v>45796</v>
      </c>
      <c r="D316" t="inlineStr">
        <is>
          <t>JÄMTLANDS LÄN</t>
        </is>
      </c>
      <c r="E316" t="inlineStr">
        <is>
          <t>HÄRJEDALEN</t>
        </is>
      </c>
      <c r="G316" t="n">
        <v>10.6</v>
      </c>
      <c r="H316" t="n">
        <v>0</v>
      </c>
      <c r="I316" t="n">
        <v>0</v>
      </c>
      <c r="J316" t="n">
        <v>0</v>
      </c>
      <c r="K316" t="n">
        <v>0</v>
      </c>
      <c r="L316" t="n">
        <v>0</v>
      </c>
      <c r="M316" t="n">
        <v>0</v>
      </c>
      <c r="N316" t="n">
        <v>0</v>
      </c>
      <c r="O316" t="n">
        <v>0</v>
      </c>
      <c r="P316" t="n">
        <v>0</v>
      </c>
      <c r="Q316" t="n">
        <v>0</v>
      </c>
      <c r="R316" s="2" t="inlineStr"/>
    </row>
    <row r="317" ht="15" customHeight="1">
      <c r="A317" t="inlineStr">
        <is>
          <t>A 52992-2019</t>
        </is>
      </c>
      <c r="B317" s="1" t="n">
        <v>43747</v>
      </c>
      <c r="C317" s="1" t="n">
        <v>45796</v>
      </c>
      <c r="D317" t="inlineStr">
        <is>
          <t>JÄMTLANDS LÄN</t>
        </is>
      </c>
      <c r="E317" t="inlineStr">
        <is>
          <t>HÄRJEDALEN</t>
        </is>
      </c>
      <c r="F317" t="inlineStr">
        <is>
          <t>Sveaskog</t>
        </is>
      </c>
      <c r="G317" t="n">
        <v>3.5</v>
      </c>
      <c r="H317" t="n">
        <v>0</v>
      </c>
      <c r="I317" t="n">
        <v>0</v>
      </c>
      <c r="J317" t="n">
        <v>0</v>
      </c>
      <c r="K317" t="n">
        <v>0</v>
      </c>
      <c r="L317" t="n">
        <v>0</v>
      </c>
      <c r="M317" t="n">
        <v>0</v>
      </c>
      <c r="N317" t="n">
        <v>0</v>
      </c>
      <c r="O317" t="n">
        <v>0</v>
      </c>
      <c r="P317" t="n">
        <v>0</v>
      </c>
      <c r="Q317" t="n">
        <v>0</v>
      </c>
      <c r="R317" s="2" t="inlineStr"/>
    </row>
    <row r="318" ht="15" customHeight="1">
      <c r="A318" t="inlineStr">
        <is>
          <t>A 52991-2019</t>
        </is>
      </c>
      <c r="B318" s="1" t="n">
        <v>43747</v>
      </c>
      <c r="C318" s="1" t="n">
        <v>45796</v>
      </c>
      <c r="D318" t="inlineStr">
        <is>
          <t>JÄMTLANDS LÄN</t>
        </is>
      </c>
      <c r="E318" t="inlineStr">
        <is>
          <t>HÄRJEDALEN</t>
        </is>
      </c>
      <c r="F318" t="inlineStr">
        <is>
          <t>Sveaskog</t>
        </is>
      </c>
      <c r="G318" t="n">
        <v>13.6</v>
      </c>
      <c r="H318" t="n">
        <v>0</v>
      </c>
      <c r="I318" t="n">
        <v>0</v>
      </c>
      <c r="J318" t="n">
        <v>0</v>
      </c>
      <c r="K318" t="n">
        <v>0</v>
      </c>
      <c r="L318" t="n">
        <v>0</v>
      </c>
      <c r="M318" t="n">
        <v>0</v>
      </c>
      <c r="N318" t="n">
        <v>0</v>
      </c>
      <c r="O318" t="n">
        <v>0</v>
      </c>
      <c r="P318" t="n">
        <v>0</v>
      </c>
      <c r="Q318" t="n">
        <v>0</v>
      </c>
      <c r="R318" s="2" t="inlineStr"/>
    </row>
    <row r="319" ht="15" customHeight="1">
      <c r="A319" t="inlineStr">
        <is>
          <t>A 53418-2019</t>
        </is>
      </c>
      <c r="B319" s="1" t="n">
        <v>43748</v>
      </c>
      <c r="C319" s="1" t="n">
        <v>45796</v>
      </c>
      <c r="D319" t="inlineStr">
        <is>
          <t>JÄMTLANDS LÄN</t>
        </is>
      </c>
      <c r="E319" t="inlineStr">
        <is>
          <t>HÄRJEDALEN</t>
        </is>
      </c>
      <c r="G319" t="n">
        <v>0.4</v>
      </c>
      <c r="H319" t="n">
        <v>0</v>
      </c>
      <c r="I319" t="n">
        <v>0</v>
      </c>
      <c r="J319" t="n">
        <v>0</v>
      </c>
      <c r="K319" t="n">
        <v>0</v>
      </c>
      <c r="L319" t="n">
        <v>0</v>
      </c>
      <c r="M319" t="n">
        <v>0</v>
      </c>
      <c r="N319" t="n">
        <v>0</v>
      </c>
      <c r="O319" t="n">
        <v>0</v>
      </c>
      <c r="P319" t="n">
        <v>0</v>
      </c>
      <c r="Q319" t="n">
        <v>0</v>
      </c>
      <c r="R319" s="2" t="inlineStr"/>
    </row>
    <row r="320" ht="15" customHeight="1">
      <c r="A320" t="inlineStr">
        <is>
          <t>A 53952-2019</t>
        </is>
      </c>
      <c r="B320" s="1" t="n">
        <v>43752</v>
      </c>
      <c r="C320" s="1" t="n">
        <v>45796</v>
      </c>
      <c r="D320" t="inlineStr">
        <is>
          <t>JÄMTLANDS LÄN</t>
        </is>
      </c>
      <c r="E320" t="inlineStr">
        <is>
          <t>HÄRJEDALEN</t>
        </is>
      </c>
      <c r="G320" t="n">
        <v>8.6</v>
      </c>
      <c r="H320" t="n">
        <v>0</v>
      </c>
      <c r="I320" t="n">
        <v>0</v>
      </c>
      <c r="J320" t="n">
        <v>0</v>
      </c>
      <c r="K320" t="n">
        <v>0</v>
      </c>
      <c r="L320" t="n">
        <v>0</v>
      </c>
      <c r="M320" t="n">
        <v>0</v>
      </c>
      <c r="N320" t="n">
        <v>0</v>
      </c>
      <c r="O320" t="n">
        <v>0</v>
      </c>
      <c r="P320" t="n">
        <v>0</v>
      </c>
      <c r="Q320" t="n">
        <v>0</v>
      </c>
      <c r="R320" s="2" t="inlineStr"/>
    </row>
    <row r="321" ht="15" customHeight="1">
      <c r="A321" t="inlineStr">
        <is>
          <t>A 53962-2019</t>
        </is>
      </c>
      <c r="B321" s="1" t="n">
        <v>43752</v>
      </c>
      <c r="C321" s="1" t="n">
        <v>45796</v>
      </c>
      <c r="D321" t="inlineStr">
        <is>
          <t>JÄMTLANDS LÄN</t>
        </is>
      </c>
      <c r="E321" t="inlineStr">
        <is>
          <t>HÄRJEDALEN</t>
        </is>
      </c>
      <c r="G321" t="n">
        <v>19.4</v>
      </c>
      <c r="H321" t="n">
        <v>0</v>
      </c>
      <c r="I321" t="n">
        <v>0</v>
      </c>
      <c r="J321" t="n">
        <v>0</v>
      </c>
      <c r="K321" t="n">
        <v>0</v>
      </c>
      <c r="L321" t="n">
        <v>0</v>
      </c>
      <c r="M321" t="n">
        <v>0</v>
      </c>
      <c r="N321" t="n">
        <v>0</v>
      </c>
      <c r="O321" t="n">
        <v>0</v>
      </c>
      <c r="P321" t="n">
        <v>0</v>
      </c>
      <c r="Q321" t="n">
        <v>0</v>
      </c>
      <c r="R321" s="2" t="inlineStr"/>
    </row>
    <row r="322" ht="15" customHeight="1">
      <c r="A322" t="inlineStr">
        <is>
          <t>A 54905-2019</t>
        </is>
      </c>
      <c r="B322" s="1" t="n">
        <v>43755</v>
      </c>
      <c r="C322" s="1" t="n">
        <v>45796</v>
      </c>
      <c r="D322" t="inlineStr">
        <is>
          <t>JÄMTLANDS LÄN</t>
        </is>
      </c>
      <c r="E322" t="inlineStr">
        <is>
          <t>HÄRJEDALEN</t>
        </is>
      </c>
      <c r="G322" t="n">
        <v>2</v>
      </c>
      <c r="H322" t="n">
        <v>0</v>
      </c>
      <c r="I322" t="n">
        <v>0</v>
      </c>
      <c r="J322" t="n">
        <v>0</v>
      </c>
      <c r="K322" t="n">
        <v>0</v>
      </c>
      <c r="L322" t="n">
        <v>0</v>
      </c>
      <c r="M322" t="n">
        <v>0</v>
      </c>
      <c r="N322" t="n">
        <v>0</v>
      </c>
      <c r="O322" t="n">
        <v>0</v>
      </c>
      <c r="P322" t="n">
        <v>0</v>
      </c>
      <c r="Q322" t="n">
        <v>0</v>
      </c>
      <c r="R322" s="2" t="inlineStr"/>
    </row>
    <row r="323" ht="15" customHeight="1">
      <c r="A323" t="inlineStr">
        <is>
          <t>A 55197-2019</t>
        </is>
      </c>
      <c r="B323" s="1" t="n">
        <v>43756</v>
      </c>
      <c r="C323" s="1" t="n">
        <v>45796</v>
      </c>
      <c r="D323" t="inlineStr">
        <is>
          <t>JÄMTLANDS LÄN</t>
        </is>
      </c>
      <c r="E323" t="inlineStr">
        <is>
          <t>HÄRJEDALEN</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55241-2019</t>
        </is>
      </c>
      <c r="B324" s="1" t="n">
        <v>43756</v>
      </c>
      <c r="C324" s="1" t="n">
        <v>45796</v>
      </c>
      <c r="D324" t="inlineStr">
        <is>
          <t>JÄMTLANDS LÄN</t>
        </is>
      </c>
      <c r="E324" t="inlineStr">
        <is>
          <t>HÄRJEDALEN</t>
        </is>
      </c>
      <c r="G324" t="n">
        <v>0.9</v>
      </c>
      <c r="H324" t="n">
        <v>0</v>
      </c>
      <c r="I324" t="n">
        <v>0</v>
      </c>
      <c r="J324" t="n">
        <v>0</v>
      </c>
      <c r="K324" t="n">
        <v>0</v>
      </c>
      <c r="L324" t="n">
        <v>0</v>
      </c>
      <c r="M324" t="n">
        <v>0</v>
      </c>
      <c r="N324" t="n">
        <v>0</v>
      </c>
      <c r="O324" t="n">
        <v>0</v>
      </c>
      <c r="P324" t="n">
        <v>0</v>
      </c>
      <c r="Q324" t="n">
        <v>0</v>
      </c>
      <c r="R324" s="2" t="inlineStr"/>
    </row>
    <row r="325" ht="15" customHeight="1">
      <c r="A325" t="inlineStr">
        <is>
          <t>A 55193-2019</t>
        </is>
      </c>
      <c r="B325" s="1" t="n">
        <v>43756</v>
      </c>
      <c r="C325" s="1" t="n">
        <v>45796</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55238-2019</t>
        </is>
      </c>
      <c r="B326" s="1" t="n">
        <v>43756</v>
      </c>
      <c r="C326" s="1" t="n">
        <v>45796</v>
      </c>
      <c r="D326" t="inlineStr">
        <is>
          <t>JÄMTLANDS LÄN</t>
        </is>
      </c>
      <c r="E326" t="inlineStr">
        <is>
          <t>HÄRJEDALEN</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55801-2019</t>
        </is>
      </c>
      <c r="B327" s="1" t="n">
        <v>43759</v>
      </c>
      <c r="C327" s="1" t="n">
        <v>45796</v>
      </c>
      <c r="D327" t="inlineStr">
        <is>
          <t>JÄMTLANDS LÄN</t>
        </is>
      </c>
      <c r="E327" t="inlineStr">
        <is>
          <t>HÄRJEDALEN</t>
        </is>
      </c>
      <c r="F327" t="inlineStr">
        <is>
          <t>Bergvik skog väst AB</t>
        </is>
      </c>
      <c r="G327" t="n">
        <v>2.6</v>
      </c>
      <c r="H327" t="n">
        <v>0</v>
      </c>
      <c r="I327" t="n">
        <v>0</v>
      </c>
      <c r="J327" t="n">
        <v>0</v>
      </c>
      <c r="K327" t="n">
        <v>0</v>
      </c>
      <c r="L327" t="n">
        <v>0</v>
      </c>
      <c r="M327" t="n">
        <v>0</v>
      </c>
      <c r="N327" t="n">
        <v>0</v>
      </c>
      <c r="O327" t="n">
        <v>0</v>
      </c>
      <c r="P327" t="n">
        <v>0</v>
      </c>
      <c r="Q327" t="n">
        <v>0</v>
      </c>
      <c r="R327" s="2" t="inlineStr"/>
    </row>
    <row r="328" ht="15" customHeight="1">
      <c r="A328" t="inlineStr">
        <is>
          <t>A 55554-2019</t>
        </is>
      </c>
      <c r="B328" s="1" t="n">
        <v>43759</v>
      </c>
      <c r="C328" s="1" t="n">
        <v>45796</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57281-2019</t>
        </is>
      </c>
      <c r="B329" s="1" t="n">
        <v>43759</v>
      </c>
      <c r="C329" s="1" t="n">
        <v>45796</v>
      </c>
      <c r="D329" t="inlineStr">
        <is>
          <t>JÄMTLANDS LÄN</t>
        </is>
      </c>
      <c r="E329" t="inlineStr">
        <is>
          <t>HÄRJEDALEN</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55578-2019</t>
        </is>
      </c>
      <c r="B330" s="1" t="n">
        <v>43760</v>
      </c>
      <c r="C330" s="1" t="n">
        <v>45796</v>
      </c>
      <c r="D330" t="inlineStr">
        <is>
          <t>JÄMTLANDS LÄN</t>
        </is>
      </c>
      <c r="E330" t="inlineStr">
        <is>
          <t>HÄRJEDALEN</t>
        </is>
      </c>
      <c r="G330" t="n">
        <v>3.6</v>
      </c>
      <c r="H330" t="n">
        <v>0</v>
      </c>
      <c r="I330" t="n">
        <v>0</v>
      </c>
      <c r="J330" t="n">
        <v>0</v>
      </c>
      <c r="K330" t="n">
        <v>0</v>
      </c>
      <c r="L330" t="n">
        <v>0</v>
      </c>
      <c r="M330" t="n">
        <v>0</v>
      </c>
      <c r="N330" t="n">
        <v>0</v>
      </c>
      <c r="O330" t="n">
        <v>0</v>
      </c>
      <c r="P330" t="n">
        <v>0</v>
      </c>
      <c r="Q330" t="n">
        <v>0</v>
      </c>
      <c r="R330" s="2" t="inlineStr"/>
    </row>
    <row r="331" ht="15" customHeight="1">
      <c r="A331" t="inlineStr">
        <is>
          <t>A 55607-2019</t>
        </is>
      </c>
      <c r="B331" s="1" t="n">
        <v>43760</v>
      </c>
      <c r="C331" s="1" t="n">
        <v>45796</v>
      </c>
      <c r="D331" t="inlineStr">
        <is>
          <t>JÄMTLANDS LÄN</t>
        </is>
      </c>
      <c r="E331" t="inlineStr">
        <is>
          <t>HÄRJEDALEN</t>
        </is>
      </c>
      <c r="G331" t="n">
        <v>3.7</v>
      </c>
      <c r="H331" t="n">
        <v>0</v>
      </c>
      <c r="I331" t="n">
        <v>0</v>
      </c>
      <c r="J331" t="n">
        <v>0</v>
      </c>
      <c r="K331" t="n">
        <v>0</v>
      </c>
      <c r="L331" t="n">
        <v>0</v>
      </c>
      <c r="M331" t="n">
        <v>0</v>
      </c>
      <c r="N331" t="n">
        <v>0</v>
      </c>
      <c r="O331" t="n">
        <v>0</v>
      </c>
      <c r="P331" t="n">
        <v>0</v>
      </c>
      <c r="Q331" t="n">
        <v>0</v>
      </c>
      <c r="R331" s="2" t="inlineStr"/>
    </row>
    <row r="332" ht="15" customHeight="1">
      <c r="A332" t="inlineStr">
        <is>
          <t>A 56217-2019</t>
        </is>
      </c>
      <c r="B332" s="1" t="n">
        <v>43762</v>
      </c>
      <c r="C332" s="1" t="n">
        <v>45796</v>
      </c>
      <c r="D332" t="inlineStr">
        <is>
          <t>JÄMTLANDS LÄN</t>
        </is>
      </c>
      <c r="E332" t="inlineStr">
        <is>
          <t>HÄRJEDALEN</t>
        </is>
      </c>
      <c r="G332" t="n">
        <v>43.2</v>
      </c>
      <c r="H332" t="n">
        <v>0</v>
      </c>
      <c r="I332" t="n">
        <v>0</v>
      </c>
      <c r="J332" t="n">
        <v>0</v>
      </c>
      <c r="K332" t="n">
        <v>0</v>
      </c>
      <c r="L332" t="n">
        <v>0</v>
      </c>
      <c r="M332" t="n">
        <v>0</v>
      </c>
      <c r="N332" t="n">
        <v>0</v>
      </c>
      <c r="O332" t="n">
        <v>0</v>
      </c>
      <c r="P332" t="n">
        <v>0</v>
      </c>
      <c r="Q332" t="n">
        <v>0</v>
      </c>
      <c r="R332" s="2" t="inlineStr"/>
    </row>
    <row r="333" ht="15" customHeight="1">
      <c r="A333" t="inlineStr">
        <is>
          <t>A 58175-2019</t>
        </is>
      </c>
      <c r="B333" s="1" t="n">
        <v>43769</v>
      </c>
      <c r="C333" s="1" t="n">
        <v>45796</v>
      </c>
      <c r="D333" t="inlineStr">
        <is>
          <t>JÄMTLANDS LÄN</t>
        </is>
      </c>
      <c r="E333" t="inlineStr">
        <is>
          <t>HÄRJEDALEN</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59347-2019</t>
        </is>
      </c>
      <c r="B334" s="1" t="n">
        <v>43770</v>
      </c>
      <c r="C334" s="1" t="n">
        <v>45796</v>
      </c>
      <c r="D334" t="inlineStr">
        <is>
          <t>JÄMTLANDS LÄN</t>
        </is>
      </c>
      <c r="E334" t="inlineStr">
        <is>
          <t>HÄRJEDALEN</t>
        </is>
      </c>
      <c r="G334" t="n">
        <v>2.3</v>
      </c>
      <c r="H334" t="n">
        <v>0</v>
      </c>
      <c r="I334" t="n">
        <v>0</v>
      </c>
      <c r="J334" t="n">
        <v>0</v>
      </c>
      <c r="K334" t="n">
        <v>0</v>
      </c>
      <c r="L334" t="n">
        <v>0</v>
      </c>
      <c r="M334" t="n">
        <v>0</v>
      </c>
      <c r="N334" t="n">
        <v>0</v>
      </c>
      <c r="O334" t="n">
        <v>0</v>
      </c>
      <c r="P334" t="n">
        <v>0</v>
      </c>
      <c r="Q334" t="n">
        <v>0</v>
      </c>
      <c r="R334" s="2" t="inlineStr"/>
    </row>
    <row r="335" ht="15" customHeight="1">
      <c r="A335" t="inlineStr">
        <is>
          <t>A 58742-2019</t>
        </is>
      </c>
      <c r="B335" s="1" t="n">
        <v>43773</v>
      </c>
      <c r="C335" s="1" t="n">
        <v>45796</v>
      </c>
      <c r="D335" t="inlineStr">
        <is>
          <t>JÄMTLANDS LÄN</t>
        </is>
      </c>
      <c r="E335" t="inlineStr">
        <is>
          <t>HÄRJEDALEN</t>
        </is>
      </c>
      <c r="G335" t="n">
        <v>4</v>
      </c>
      <c r="H335" t="n">
        <v>0</v>
      </c>
      <c r="I335" t="n">
        <v>0</v>
      </c>
      <c r="J335" t="n">
        <v>0</v>
      </c>
      <c r="K335" t="n">
        <v>0</v>
      </c>
      <c r="L335" t="n">
        <v>0</v>
      </c>
      <c r="M335" t="n">
        <v>0</v>
      </c>
      <c r="N335" t="n">
        <v>0</v>
      </c>
      <c r="O335" t="n">
        <v>0</v>
      </c>
      <c r="P335" t="n">
        <v>0</v>
      </c>
      <c r="Q335" t="n">
        <v>0</v>
      </c>
      <c r="R335" s="2" t="inlineStr"/>
    </row>
    <row r="336" ht="15" customHeight="1">
      <c r="A336" t="inlineStr">
        <is>
          <t>A 59984-2019</t>
        </is>
      </c>
      <c r="B336" s="1" t="n">
        <v>43775</v>
      </c>
      <c r="C336" s="1" t="n">
        <v>45796</v>
      </c>
      <c r="D336" t="inlineStr">
        <is>
          <t>JÄMTLANDS LÄN</t>
        </is>
      </c>
      <c r="E336" t="inlineStr">
        <is>
          <t>HÄRJEDALEN</t>
        </is>
      </c>
      <c r="G336" t="n">
        <v>20.4</v>
      </c>
      <c r="H336" t="n">
        <v>0</v>
      </c>
      <c r="I336" t="n">
        <v>0</v>
      </c>
      <c r="J336" t="n">
        <v>0</v>
      </c>
      <c r="K336" t="n">
        <v>0</v>
      </c>
      <c r="L336" t="n">
        <v>0</v>
      </c>
      <c r="M336" t="n">
        <v>0</v>
      </c>
      <c r="N336" t="n">
        <v>0</v>
      </c>
      <c r="O336" t="n">
        <v>0</v>
      </c>
      <c r="P336" t="n">
        <v>0</v>
      </c>
      <c r="Q336" t="n">
        <v>0</v>
      </c>
      <c r="R336" s="2" t="inlineStr"/>
    </row>
    <row r="337" ht="15" customHeight="1">
      <c r="A337" t="inlineStr">
        <is>
          <t>A 59733-2019</t>
        </is>
      </c>
      <c r="B337" s="1" t="n">
        <v>43776</v>
      </c>
      <c r="C337" s="1" t="n">
        <v>45796</v>
      </c>
      <c r="D337" t="inlineStr">
        <is>
          <t>JÄMTLANDS LÄN</t>
        </is>
      </c>
      <c r="E337" t="inlineStr">
        <is>
          <t>HÄRJEDALEN</t>
        </is>
      </c>
      <c r="G337" t="n">
        <v>1.9</v>
      </c>
      <c r="H337" t="n">
        <v>0</v>
      </c>
      <c r="I337" t="n">
        <v>0</v>
      </c>
      <c r="J337" t="n">
        <v>0</v>
      </c>
      <c r="K337" t="n">
        <v>0</v>
      </c>
      <c r="L337" t="n">
        <v>0</v>
      </c>
      <c r="M337" t="n">
        <v>0</v>
      </c>
      <c r="N337" t="n">
        <v>0</v>
      </c>
      <c r="O337" t="n">
        <v>0</v>
      </c>
      <c r="P337" t="n">
        <v>0</v>
      </c>
      <c r="Q337" t="n">
        <v>0</v>
      </c>
      <c r="R337" s="2" t="inlineStr"/>
    </row>
    <row r="338" ht="15" customHeight="1">
      <c r="A338" t="inlineStr">
        <is>
          <t>A 62342-2019</t>
        </is>
      </c>
      <c r="B338" s="1" t="n">
        <v>43782</v>
      </c>
      <c r="C338" s="1" t="n">
        <v>45796</v>
      </c>
      <c r="D338" t="inlineStr">
        <is>
          <t>JÄMTLANDS LÄN</t>
        </is>
      </c>
      <c r="E338" t="inlineStr">
        <is>
          <t>HÄRJEDALEN</t>
        </is>
      </c>
      <c r="G338" t="n">
        <v>1.6</v>
      </c>
      <c r="H338" t="n">
        <v>0</v>
      </c>
      <c r="I338" t="n">
        <v>0</v>
      </c>
      <c r="J338" t="n">
        <v>0</v>
      </c>
      <c r="K338" t="n">
        <v>0</v>
      </c>
      <c r="L338" t="n">
        <v>0</v>
      </c>
      <c r="M338" t="n">
        <v>0</v>
      </c>
      <c r="N338" t="n">
        <v>0</v>
      </c>
      <c r="O338" t="n">
        <v>0</v>
      </c>
      <c r="P338" t="n">
        <v>0</v>
      </c>
      <c r="Q338" t="n">
        <v>0</v>
      </c>
      <c r="R338" s="2" t="inlineStr"/>
    </row>
    <row r="339" ht="15" customHeight="1">
      <c r="A339" t="inlineStr">
        <is>
          <t>A 60919-2019</t>
        </is>
      </c>
      <c r="B339" s="1" t="n">
        <v>43782</v>
      </c>
      <c r="C339" s="1" t="n">
        <v>45796</v>
      </c>
      <c r="D339" t="inlineStr">
        <is>
          <t>JÄMTLANDS LÄN</t>
        </is>
      </c>
      <c r="E339" t="inlineStr">
        <is>
          <t>HÄRJEDALEN</t>
        </is>
      </c>
      <c r="G339" t="n">
        <v>6.4</v>
      </c>
      <c r="H339" t="n">
        <v>0</v>
      </c>
      <c r="I339" t="n">
        <v>0</v>
      </c>
      <c r="J339" t="n">
        <v>0</v>
      </c>
      <c r="K339" t="n">
        <v>0</v>
      </c>
      <c r="L339" t="n">
        <v>0</v>
      </c>
      <c r="M339" t="n">
        <v>0</v>
      </c>
      <c r="N339" t="n">
        <v>0</v>
      </c>
      <c r="O339" t="n">
        <v>0</v>
      </c>
      <c r="P339" t="n">
        <v>0</v>
      </c>
      <c r="Q339" t="n">
        <v>0</v>
      </c>
      <c r="R339" s="2" t="inlineStr"/>
    </row>
    <row r="340" ht="15" customHeight="1">
      <c r="A340" t="inlineStr">
        <is>
          <t>A 62115-2019</t>
        </is>
      </c>
      <c r="B340" s="1" t="n">
        <v>43787</v>
      </c>
      <c r="C340" s="1" t="n">
        <v>45796</v>
      </c>
      <c r="D340" t="inlineStr">
        <is>
          <t>JÄMTLANDS LÄN</t>
        </is>
      </c>
      <c r="E340" t="inlineStr">
        <is>
          <t>HÄRJEDALEN</t>
        </is>
      </c>
      <c r="G340" t="n">
        <v>0.5</v>
      </c>
      <c r="H340" t="n">
        <v>0</v>
      </c>
      <c r="I340" t="n">
        <v>0</v>
      </c>
      <c r="J340" t="n">
        <v>0</v>
      </c>
      <c r="K340" t="n">
        <v>0</v>
      </c>
      <c r="L340" t="n">
        <v>0</v>
      </c>
      <c r="M340" t="n">
        <v>0</v>
      </c>
      <c r="N340" t="n">
        <v>0</v>
      </c>
      <c r="O340" t="n">
        <v>0</v>
      </c>
      <c r="P340" t="n">
        <v>0</v>
      </c>
      <c r="Q340" t="n">
        <v>0</v>
      </c>
      <c r="R340" s="2" t="inlineStr"/>
    </row>
    <row r="341" ht="15" customHeight="1">
      <c r="A341" t="inlineStr">
        <is>
          <t>A 62451-2019</t>
        </is>
      </c>
      <c r="B341" s="1" t="n">
        <v>43788</v>
      </c>
      <c r="C341" s="1" t="n">
        <v>45796</v>
      </c>
      <c r="D341" t="inlineStr">
        <is>
          <t>JÄMTLANDS LÄN</t>
        </is>
      </c>
      <c r="E341" t="inlineStr">
        <is>
          <t>HÄRJEDALEN</t>
        </is>
      </c>
      <c r="F341" t="inlineStr">
        <is>
          <t>Bergvik skog väst AB</t>
        </is>
      </c>
      <c r="G341" t="n">
        <v>22.2</v>
      </c>
      <c r="H341" t="n">
        <v>0</v>
      </c>
      <c r="I341" t="n">
        <v>0</v>
      </c>
      <c r="J341" t="n">
        <v>0</v>
      </c>
      <c r="K341" t="n">
        <v>0</v>
      </c>
      <c r="L341" t="n">
        <v>0</v>
      </c>
      <c r="M341" t="n">
        <v>0</v>
      </c>
      <c r="N341" t="n">
        <v>0</v>
      </c>
      <c r="O341" t="n">
        <v>0</v>
      </c>
      <c r="P341" t="n">
        <v>0</v>
      </c>
      <c r="Q341" t="n">
        <v>0</v>
      </c>
      <c r="R341" s="2" t="inlineStr"/>
    </row>
    <row r="342" ht="15" customHeight="1">
      <c r="A342" t="inlineStr">
        <is>
          <t>A 62971-2019</t>
        </is>
      </c>
      <c r="B342" s="1" t="n">
        <v>43790</v>
      </c>
      <c r="C342" s="1" t="n">
        <v>45796</v>
      </c>
      <c r="D342" t="inlineStr">
        <is>
          <t>JÄMTLANDS LÄN</t>
        </is>
      </c>
      <c r="E342" t="inlineStr">
        <is>
          <t>HÄRJEDALEN</t>
        </is>
      </c>
      <c r="F342" t="inlineStr">
        <is>
          <t>Bergvik skog väst AB</t>
        </is>
      </c>
      <c r="G342" t="n">
        <v>18.2</v>
      </c>
      <c r="H342" t="n">
        <v>0</v>
      </c>
      <c r="I342" t="n">
        <v>0</v>
      </c>
      <c r="J342" t="n">
        <v>0</v>
      </c>
      <c r="K342" t="n">
        <v>0</v>
      </c>
      <c r="L342" t="n">
        <v>0</v>
      </c>
      <c r="M342" t="n">
        <v>0</v>
      </c>
      <c r="N342" t="n">
        <v>0</v>
      </c>
      <c r="O342" t="n">
        <v>0</v>
      </c>
      <c r="P342" t="n">
        <v>0</v>
      </c>
      <c r="Q342" t="n">
        <v>0</v>
      </c>
      <c r="R342" s="2" t="inlineStr"/>
    </row>
    <row r="343" ht="15" customHeight="1">
      <c r="A343" t="inlineStr">
        <is>
          <t>A 64417-2019</t>
        </is>
      </c>
      <c r="B343" s="1" t="n">
        <v>43794</v>
      </c>
      <c r="C343" s="1" t="n">
        <v>45796</v>
      </c>
      <c r="D343" t="inlineStr">
        <is>
          <t>JÄMTLANDS LÄN</t>
        </is>
      </c>
      <c r="E343" t="inlineStr">
        <is>
          <t>HÄRJEDALEN</t>
        </is>
      </c>
      <c r="G343" t="n">
        <v>6.9</v>
      </c>
      <c r="H343" t="n">
        <v>0</v>
      </c>
      <c r="I343" t="n">
        <v>0</v>
      </c>
      <c r="J343" t="n">
        <v>0</v>
      </c>
      <c r="K343" t="n">
        <v>0</v>
      </c>
      <c r="L343" t="n">
        <v>0</v>
      </c>
      <c r="M343" t="n">
        <v>0</v>
      </c>
      <c r="N343" t="n">
        <v>0</v>
      </c>
      <c r="O343" t="n">
        <v>0</v>
      </c>
      <c r="P343" t="n">
        <v>0</v>
      </c>
      <c r="Q343" t="n">
        <v>0</v>
      </c>
      <c r="R343" s="2" t="inlineStr"/>
    </row>
    <row r="344" ht="15" customHeight="1">
      <c r="A344" t="inlineStr">
        <is>
          <t>A 64229-2019</t>
        </is>
      </c>
      <c r="B344" s="1" t="n">
        <v>43797</v>
      </c>
      <c r="C344" s="1" t="n">
        <v>45796</v>
      </c>
      <c r="D344" t="inlineStr">
        <is>
          <t>JÄMTLANDS LÄN</t>
        </is>
      </c>
      <c r="E344" t="inlineStr">
        <is>
          <t>HÄRJEDALEN</t>
        </is>
      </c>
      <c r="G344" t="n">
        <v>12</v>
      </c>
      <c r="H344" t="n">
        <v>0</v>
      </c>
      <c r="I344" t="n">
        <v>0</v>
      </c>
      <c r="J344" t="n">
        <v>0</v>
      </c>
      <c r="K344" t="n">
        <v>0</v>
      </c>
      <c r="L344" t="n">
        <v>0</v>
      </c>
      <c r="M344" t="n">
        <v>0</v>
      </c>
      <c r="N344" t="n">
        <v>0</v>
      </c>
      <c r="O344" t="n">
        <v>0</v>
      </c>
      <c r="P344" t="n">
        <v>0</v>
      </c>
      <c r="Q344" t="n">
        <v>0</v>
      </c>
      <c r="R344" s="2" t="inlineStr"/>
    </row>
    <row r="345" ht="15" customHeight="1">
      <c r="A345" t="inlineStr">
        <is>
          <t>A 64689-2019</t>
        </is>
      </c>
      <c r="B345" s="1" t="n">
        <v>43798</v>
      </c>
      <c r="C345" s="1" t="n">
        <v>45796</v>
      </c>
      <c r="D345" t="inlineStr">
        <is>
          <t>JÄMTLANDS LÄN</t>
        </is>
      </c>
      <c r="E345" t="inlineStr">
        <is>
          <t>HÄRJEDALEN</t>
        </is>
      </c>
      <c r="F345" t="inlineStr">
        <is>
          <t>Holmen skog AB</t>
        </is>
      </c>
      <c r="G345" t="n">
        <v>2.6</v>
      </c>
      <c r="H345" t="n">
        <v>0</v>
      </c>
      <c r="I345" t="n">
        <v>0</v>
      </c>
      <c r="J345" t="n">
        <v>0</v>
      </c>
      <c r="K345" t="n">
        <v>0</v>
      </c>
      <c r="L345" t="n">
        <v>0</v>
      </c>
      <c r="M345" t="n">
        <v>0</v>
      </c>
      <c r="N345" t="n">
        <v>0</v>
      </c>
      <c r="O345" t="n">
        <v>0</v>
      </c>
      <c r="P345" t="n">
        <v>0</v>
      </c>
      <c r="Q345" t="n">
        <v>0</v>
      </c>
      <c r="R345" s="2" t="inlineStr"/>
    </row>
    <row r="346" ht="15" customHeight="1">
      <c r="A346" t="inlineStr">
        <is>
          <t>A 65759-2019</t>
        </is>
      </c>
      <c r="B346" s="1" t="n">
        <v>43804</v>
      </c>
      <c r="C346" s="1" t="n">
        <v>45796</v>
      </c>
      <c r="D346" t="inlineStr">
        <is>
          <t>JÄMTLANDS LÄN</t>
        </is>
      </c>
      <c r="E346" t="inlineStr">
        <is>
          <t>HÄRJEDALEN</t>
        </is>
      </c>
      <c r="G346" t="n">
        <v>0.2</v>
      </c>
      <c r="H346" t="n">
        <v>0</v>
      </c>
      <c r="I346" t="n">
        <v>0</v>
      </c>
      <c r="J346" t="n">
        <v>0</v>
      </c>
      <c r="K346" t="n">
        <v>0</v>
      </c>
      <c r="L346" t="n">
        <v>0</v>
      </c>
      <c r="M346" t="n">
        <v>0</v>
      </c>
      <c r="N346" t="n">
        <v>0</v>
      </c>
      <c r="O346" t="n">
        <v>0</v>
      </c>
      <c r="P346" t="n">
        <v>0</v>
      </c>
      <c r="Q346" t="n">
        <v>0</v>
      </c>
      <c r="R346" s="2" t="inlineStr"/>
    </row>
    <row r="347" ht="15" customHeight="1">
      <c r="A347" t="inlineStr">
        <is>
          <t>A 66255-2019</t>
        </is>
      </c>
      <c r="B347" s="1" t="n">
        <v>43808</v>
      </c>
      <c r="C347" s="1" t="n">
        <v>45796</v>
      </c>
      <c r="D347" t="inlineStr">
        <is>
          <t>JÄMTLANDS LÄN</t>
        </is>
      </c>
      <c r="E347" t="inlineStr">
        <is>
          <t>HÄRJEDALEN</t>
        </is>
      </c>
      <c r="F347" t="inlineStr">
        <is>
          <t>Sveaskog</t>
        </is>
      </c>
      <c r="G347" t="n">
        <v>0.9</v>
      </c>
      <c r="H347" t="n">
        <v>0</v>
      </c>
      <c r="I347" t="n">
        <v>0</v>
      </c>
      <c r="J347" t="n">
        <v>0</v>
      </c>
      <c r="K347" t="n">
        <v>0</v>
      </c>
      <c r="L347" t="n">
        <v>0</v>
      </c>
      <c r="M347" t="n">
        <v>0</v>
      </c>
      <c r="N347" t="n">
        <v>0</v>
      </c>
      <c r="O347" t="n">
        <v>0</v>
      </c>
      <c r="P347" t="n">
        <v>0</v>
      </c>
      <c r="Q347" t="n">
        <v>0</v>
      </c>
      <c r="R347" s="2" t="inlineStr"/>
    </row>
    <row r="348" ht="15" customHeight="1">
      <c r="A348" t="inlineStr">
        <is>
          <t>A 66735-2019</t>
        </is>
      </c>
      <c r="B348" s="1" t="n">
        <v>43810</v>
      </c>
      <c r="C348" s="1" t="n">
        <v>45796</v>
      </c>
      <c r="D348" t="inlineStr">
        <is>
          <t>JÄMTLANDS LÄN</t>
        </is>
      </c>
      <c r="E348" t="inlineStr">
        <is>
          <t>HÄRJEDALEN</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67619-2019</t>
        </is>
      </c>
      <c r="B349" s="1" t="n">
        <v>43815</v>
      </c>
      <c r="C349" s="1" t="n">
        <v>45796</v>
      </c>
      <c r="D349" t="inlineStr">
        <is>
          <t>JÄMTLANDS LÄN</t>
        </is>
      </c>
      <c r="E349" t="inlineStr">
        <is>
          <t>HÄRJEDALEN</t>
        </is>
      </c>
      <c r="F349" t="inlineStr">
        <is>
          <t>Holmen skog AB</t>
        </is>
      </c>
      <c r="G349" t="n">
        <v>6.4</v>
      </c>
      <c r="H349" t="n">
        <v>0</v>
      </c>
      <c r="I349" t="n">
        <v>0</v>
      </c>
      <c r="J349" t="n">
        <v>0</v>
      </c>
      <c r="K349" t="n">
        <v>0</v>
      </c>
      <c r="L349" t="n">
        <v>0</v>
      </c>
      <c r="M349" t="n">
        <v>0</v>
      </c>
      <c r="N349" t="n">
        <v>0</v>
      </c>
      <c r="O349" t="n">
        <v>0</v>
      </c>
      <c r="P349" t="n">
        <v>0</v>
      </c>
      <c r="Q349" t="n">
        <v>0</v>
      </c>
      <c r="R349" s="2" t="inlineStr"/>
    </row>
    <row r="350" ht="15" customHeight="1">
      <c r="A350" t="inlineStr">
        <is>
          <t>A 67693-2019</t>
        </is>
      </c>
      <c r="B350" s="1" t="n">
        <v>43815</v>
      </c>
      <c r="C350" s="1" t="n">
        <v>45796</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67500-2019</t>
        </is>
      </c>
      <c r="B351" s="1" t="n">
        <v>43815</v>
      </c>
      <c r="C351" s="1" t="n">
        <v>45796</v>
      </c>
      <c r="D351" t="inlineStr">
        <is>
          <t>JÄMTLANDS LÄN</t>
        </is>
      </c>
      <c r="E351" t="inlineStr">
        <is>
          <t>HÄRJEDALEN</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67695-2019</t>
        </is>
      </c>
      <c r="B352" s="1" t="n">
        <v>43815</v>
      </c>
      <c r="C352" s="1" t="n">
        <v>45796</v>
      </c>
      <c r="D352" t="inlineStr">
        <is>
          <t>JÄMTLANDS LÄN</t>
        </is>
      </c>
      <c r="E352" t="inlineStr">
        <is>
          <t>HÄRJEDALEN</t>
        </is>
      </c>
      <c r="F352" t="inlineStr">
        <is>
          <t>Holmen skog AB</t>
        </is>
      </c>
      <c r="G352" t="n">
        <v>0.9</v>
      </c>
      <c r="H352" t="n">
        <v>0</v>
      </c>
      <c r="I352" t="n">
        <v>0</v>
      </c>
      <c r="J352" t="n">
        <v>0</v>
      </c>
      <c r="K352" t="n">
        <v>0</v>
      </c>
      <c r="L352" t="n">
        <v>0</v>
      </c>
      <c r="M352" t="n">
        <v>0</v>
      </c>
      <c r="N352" t="n">
        <v>0</v>
      </c>
      <c r="O352" t="n">
        <v>0</v>
      </c>
      <c r="P352" t="n">
        <v>0</v>
      </c>
      <c r="Q352" t="n">
        <v>0</v>
      </c>
      <c r="R352" s="2" t="inlineStr"/>
    </row>
    <row r="353" ht="15" customHeight="1">
      <c r="A353" t="inlineStr">
        <is>
          <t>A 67757-2019</t>
        </is>
      </c>
      <c r="B353" s="1" t="n">
        <v>43815</v>
      </c>
      <c r="C353" s="1" t="n">
        <v>45796</v>
      </c>
      <c r="D353" t="inlineStr">
        <is>
          <t>JÄMTLANDS LÄN</t>
        </is>
      </c>
      <c r="E353" t="inlineStr">
        <is>
          <t>HÄRJEDALEN</t>
        </is>
      </c>
      <c r="F353" t="inlineStr">
        <is>
          <t>Holmen skog AB</t>
        </is>
      </c>
      <c r="G353" t="n">
        <v>4</v>
      </c>
      <c r="H353" t="n">
        <v>0</v>
      </c>
      <c r="I353" t="n">
        <v>0</v>
      </c>
      <c r="J353" t="n">
        <v>0</v>
      </c>
      <c r="K353" t="n">
        <v>0</v>
      </c>
      <c r="L353" t="n">
        <v>0</v>
      </c>
      <c r="M353" t="n">
        <v>0</v>
      </c>
      <c r="N353" t="n">
        <v>0</v>
      </c>
      <c r="O353" t="n">
        <v>0</v>
      </c>
      <c r="P353" t="n">
        <v>0</v>
      </c>
      <c r="Q353" t="n">
        <v>0</v>
      </c>
      <c r="R353" s="2" t="inlineStr"/>
    </row>
    <row r="354" ht="15" customHeight="1">
      <c r="A354" t="inlineStr">
        <is>
          <t>A 67688-2019</t>
        </is>
      </c>
      <c r="B354" s="1" t="n">
        <v>43815</v>
      </c>
      <c r="C354" s="1" t="n">
        <v>45796</v>
      </c>
      <c r="D354" t="inlineStr">
        <is>
          <t>JÄMTLANDS LÄN</t>
        </is>
      </c>
      <c r="E354" t="inlineStr">
        <is>
          <t>HÄRJEDALEN</t>
        </is>
      </c>
      <c r="F354" t="inlineStr">
        <is>
          <t>Holmen skog AB</t>
        </is>
      </c>
      <c r="G354" t="n">
        <v>4.2</v>
      </c>
      <c r="H354" t="n">
        <v>0</v>
      </c>
      <c r="I354" t="n">
        <v>0</v>
      </c>
      <c r="J354" t="n">
        <v>0</v>
      </c>
      <c r="K354" t="n">
        <v>0</v>
      </c>
      <c r="L354" t="n">
        <v>0</v>
      </c>
      <c r="M354" t="n">
        <v>0</v>
      </c>
      <c r="N354" t="n">
        <v>0</v>
      </c>
      <c r="O354" t="n">
        <v>0</v>
      </c>
      <c r="P354" t="n">
        <v>0</v>
      </c>
      <c r="Q354" t="n">
        <v>0</v>
      </c>
      <c r="R354" s="2" t="inlineStr"/>
    </row>
    <row r="355" ht="15" customHeight="1">
      <c r="A355" t="inlineStr">
        <is>
          <t>A 67738-2019</t>
        </is>
      </c>
      <c r="B355" s="1" t="n">
        <v>43815</v>
      </c>
      <c r="C355" s="1" t="n">
        <v>45796</v>
      </c>
      <c r="D355" t="inlineStr">
        <is>
          <t>JÄMTLANDS LÄN</t>
        </is>
      </c>
      <c r="E355" t="inlineStr">
        <is>
          <t>HÄRJEDALEN</t>
        </is>
      </c>
      <c r="F355" t="inlineStr">
        <is>
          <t>Holmen skog AB</t>
        </is>
      </c>
      <c r="G355" t="n">
        <v>15.9</v>
      </c>
      <c r="H355" t="n">
        <v>0</v>
      </c>
      <c r="I355" t="n">
        <v>0</v>
      </c>
      <c r="J355" t="n">
        <v>0</v>
      </c>
      <c r="K355" t="n">
        <v>0</v>
      </c>
      <c r="L355" t="n">
        <v>0</v>
      </c>
      <c r="M355" t="n">
        <v>0</v>
      </c>
      <c r="N355" t="n">
        <v>0</v>
      </c>
      <c r="O355" t="n">
        <v>0</v>
      </c>
      <c r="P355" t="n">
        <v>0</v>
      </c>
      <c r="Q355" t="n">
        <v>0</v>
      </c>
      <c r="R355" s="2" t="inlineStr"/>
    </row>
    <row r="356" ht="15" customHeight="1">
      <c r="A356" t="inlineStr">
        <is>
          <t>A 67506-2019</t>
        </is>
      </c>
      <c r="B356" s="1" t="n">
        <v>43815</v>
      </c>
      <c r="C356" s="1" t="n">
        <v>45796</v>
      </c>
      <c r="D356" t="inlineStr">
        <is>
          <t>JÄMTLANDS LÄN</t>
        </is>
      </c>
      <c r="E356" t="inlineStr">
        <is>
          <t>HÄRJEDALEN</t>
        </is>
      </c>
      <c r="F356" t="inlineStr">
        <is>
          <t>Holmen skog AB</t>
        </is>
      </c>
      <c r="G356" t="n">
        <v>27</v>
      </c>
      <c r="H356" t="n">
        <v>0</v>
      </c>
      <c r="I356" t="n">
        <v>0</v>
      </c>
      <c r="J356" t="n">
        <v>0</v>
      </c>
      <c r="K356" t="n">
        <v>0</v>
      </c>
      <c r="L356" t="n">
        <v>0</v>
      </c>
      <c r="M356" t="n">
        <v>0</v>
      </c>
      <c r="N356" t="n">
        <v>0</v>
      </c>
      <c r="O356" t="n">
        <v>0</v>
      </c>
      <c r="P356" t="n">
        <v>0</v>
      </c>
      <c r="Q356" t="n">
        <v>0</v>
      </c>
      <c r="R356" s="2" t="inlineStr"/>
    </row>
    <row r="357" ht="15" customHeight="1">
      <c r="A357" t="inlineStr">
        <is>
          <t>A 67692-2019</t>
        </is>
      </c>
      <c r="B357" s="1" t="n">
        <v>43815</v>
      </c>
      <c r="C357" s="1" t="n">
        <v>45796</v>
      </c>
      <c r="D357" t="inlineStr">
        <is>
          <t>JÄMTLANDS LÄN</t>
        </is>
      </c>
      <c r="E357" t="inlineStr">
        <is>
          <t>HÄRJEDALEN</t>
        </is>
      </c>
      <c r="F357" t="inlineStr">
        <is>
          <t>Holmen skog AB</t>
        </is>
      </c>
      <c r="G357" t="n">
        <v>12.9</v>
      </c>
      <c r="H357" t="n">
        <v>0</v>
      </c>
      <c r="I357" t="n">
        <v>0</v>
      </c>
      <c r="J357" t="n">
        <v>0</v>
      </c>
      <c r="K357" t="n">
        <v>0</v>
      </c>
      <c r="L357" t="n">
        <v>0</v>
      </c>
      <c r="M357" t="n">
        <v>0</v>
      </c>
      <c r="N357" t="n">
        <v>0</v>
      </c>
      <c r="O357" t="n">
        <v>0</v>
      </c>
      <c r="P357" t="n">
        <v>0</v>
      </c>
      <c r="Q357" t="n">
        <v>0</v>
      </c>
      <c r="R357" s="2" t="inlineStr"/>
    </row>
    <row r="358" ht="15" customHeight="1">
      <c r="A358" t="inlineStr">
        <is>
          <t>A 67733-2019</t>
        </is>
      </c>
      <c r="B358" s="1" t="n">
        <v>43815</v>
      </c>
      <c r="C358" s="1" t="n">
        <v>45796</v>
      </c>
      <c r="D358" t="inlineStr">
        <is>
          <t>JÄMTLANDS LÄN</t>
        </is>
      </c>
      <c r="E358" t="inlineStr">
        <is>
          <t>HÄRJEDALEN</t>
        </is>
      </c>
      <c r="F358" t="inlineStr">
        <is>
          <t>Holmen skog AB</t>
        </is>
      </c>
      <c r="G358" t="n">
        <v>15.5</v>
      </c>
      <c r="H358" t="n">
        <v>0</v>
      </c>
      <c r="I358" t="n">
        <v>0</v>
      </c>
      <c r="J358" t="n">
        <v>0</v>
      </c>
      <c r="K358" t="n">
        <v>0</v>
      </c>
      <c r="L358" t="n">
        <v>0</v>
      </c>
      <c r="M358" t="n">
        <v>0</v>
      </c>
      <c r="N358" t="n">
        <v>0</v>
      </c>
      <c r="O358" t="n">
        <v>0</v>
      </c>
      <c r="P358" t="n">
        <v>0</v>
      </c>
      <c r="Q358" t="n">
        <v>0</v>
      </c>
      <c r="R358" s="2" t="inlineStr"/>
    </row>
    <row r="359" ht="15" customHeight="1">
      <c r="A359" t="inlineStr">
        <is>
          <t>A 67593-2019</t>
        </is>
      </c>
      <c r="B359" s="1" t="n">
        <v>43815</v>
      </c>
      <c r="C359" s="1" t="n">
        <v>45796</v>
      </c>
      <c r="D359" t="inlineStr">
        <is>
          <t>JÄMTLANDS LÄN</t>
        </is>
      </c>
      <c r="E359" t="inlineStr">
        <is>
          <t>HÄRJEDALEN</t>
        </is>
      </c>
      <c r="F359" t="inlineStr">
        <is>
          <t>Holmen skog AB</t>
        </is>
      </c>
      <c r="G359" t="n">
        <v>7.9</v>
      </c>
      <c r="H359" t="n">
        <v>0</v>
      </c>
      <c r="I359" t="n">
        <v>0</v>
      </c>
      <c r="J359" t="n">
        <v>0</v>
      </c>
      <c r="K359" t="n">
        <v>0</v>
      </c>
      <c r="L359" t="n">
        <v>0</v>
      </c>
      <c r="M359" t="n">
        <v>0</v>
      </c>
      <c r="N359" t="n">
        <v>0</v>
      </c>
      <c r="O359" t="n">
        <v>0</v>
      </c>
      <c r="P359" t="n">
        <v>0</v>
      </c>
      <c r="Q359" t="n">
        <v>0</v>
      </c>
      <c r="R359" s="2" t="inlineStr"/>
    </row>
    <row r="360" ht="15" customHeight="1">
      <c r="A360" t="inlineStr">
        <is>
          <t>A 67535-2019</t>
        </is>
      </c>
      <c r="B360" s="1" t="n">
        <v>43815</v>
      </c>
      <c r="C360" s="1" t="n">
        <v>45796</v>
      </c>
      <c r="D360" t="inlineStr">
        <is>
          <t>JÄMTLANDS LÄN</t>
        </is>
      </c>
      <c r="E360" t="inlineStr">
        <is>
          <t>HÄRJEDALEN</t>
        </is>
      </c>
      <c r="F360" t="inlineStr">
        <is>
          <t>Holmen skog AB</t>
        </is>
      </c>
      <c r="G360" t="n">
        <v>34.3</v>
      </c>
      <c r="H360" t="n">
        <v>0</v>
      </c>
      <c r="I360" t="n">
        <v>0</v>
      </c>
      <c r="J360" t="n">
        <v>0</v>
      </c>
      <c r="K360" t="n">
        <v>0</v>
      </c>
      <c r="L360" t="n">
        <v>0</v>
      </c>
      <c r="M360" t="n">
        <v>0</v>
      </c>
      <c r="N360" t="n">
        <v>0</v>
      </c>
      <c r="O360" t="n">
        <v>0</v>
      </c>
      <c r="P360" t="n">
        <v>0</v>
      </c>
      <c r="Q360" t="n">
        <v>0</v>
      </c>
      <c r="R360" s="2" t="inlineStr"/>
    </row>
    <row r="361" ht="15" customHeight="1">
      <c r="A361" t="inlineStr">
        <is>
          <t>A 67972-2019</t>
        </is>
      </c>
      <c r="B361" s="1" t="n">
        <v>43816</v>
      </c>
      <c r="C361" s="1" t="n">
        <v>45796</v>
      </c>
      <c r="D361" t="inlineStr">
        <is>
          <t>JÄMTLANDS LÄN</t>
        </is>
      </c>
      <c r="E361" t="inlineStr">
        <is>
          <t>HÄRJEDALEN</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642-2020</t>
        </is>
      </c>
      <c r="B362" s="1" t="n">
        <v>43817</v>
      </c>
      <c r="C362" s="1" t="n">
        <v>45796</v>
      </c>
      <c r="D362" t="inlineStr">
        <is>
          <t>JÄMTLANDS LÄN</t>
        </is>
      </c>
      <c r="E362" t="inlineStr">
        <is>
          <t>HÄRJEDALEN</t>
        </is>
      </c>
      <c r="G362" t="n">
        <v>15.5</v>
      </c>
      <c r="H362" t="n">
        <v>0</v>
      </c>
      <c r="I362" t="n">
        <v>0</v>
      </c>
      <c r="J362" t="n">
        <v>0</v>
      </c>
      <c r="K362" t="n">
        <v>0</v>
      </c>
      <c r="L362" t="n">
        <v>0</v>
      </c>
      <c r="M362" t="n">
        <v>0</v>
      </c>
      <c r="N362" t="n">
        <v>0</v>
      </c>
      <c r="O362" t="n">
        <v>0</v>
      </c>
      <c r="P362" t="n">
        <v>0</v>
      </c>
      <c r="Q362" t="n">
        <v>0</v>
      </c>
      <c r="R362" s="2" t="inlineStr"/>
    </row>
    <row r="363" ht="15" customHeight="1">
      <c r="A363" t="inlineStr">
        <is>
          <t>A 159-2020</t>
        </is>
      </c>
      <c r="B363" s="1" t="n">
        <v>43833</v>
      </c>
      <c r="C363" s="1" t="n">
        <v>45796</v>
      </c>
      <c r="D363" t="inlineStr">
        <is>
          <t>JÄMTLANDS LÄN</t>
        </is>
      </c>
      <c r="E363" t="inlineStr">
        <is>
          <t>HÄRJEDALEN</t>
        </is>
      </c>
      <c r="G363" t="n">
        <v>1.4</v>
      </c>
      <c r="H363" t="n">
        <v>0</v>
      </c>
      <c r="I363" t="n">
        <v>0</v>
      </c>
      <c r="J363" t="n">
        <v>0</v>
      </c>
      <c r="K363" t="n">
        <v>0</v>
      </c>
      <c r="L363" t="n">
        <v>0</v>
      </c>
      <c r="M363" t="n">
        <v>0</v>
      </c>
      <c r="N363" t="n">
        <v>0</v>
      </c>
      <c r="O363" t="n">
        <v>0</v>
      </c>
      <c r="P363" t="n">
        <v>0</v>
      </c>
      <c r="Q363" t="n">
        <v>0</v>
      </c>
      <c r="R363" s="2" t="inlineStr"/>
    </row>
    <row r="364" ht="15" customHeight="1">
      <c r="A364" t="inlineStr">
        <is>
          <t>A 2320-2020</t>
        </is>
      </c>
      <c r="B364" s="1" t="n">
        <v>43846</v>
      </c>
      <c r="C364" s="1" t="n">
        <v>45796</v>
      </c>
      <c r="D364" t="inlineStr">
        <is>
          <t>JÄMTLANDS LÄN</t>
        </is>
      </c>
      <c r="E364" t="inlineStr">
        <is>
          <t>HÄRJEDALEN</t>
        </is>
      </c>
      <c r="F364" t="inlineStr">
        <is>
          <t>Bergvik skog väst AB</t>
        </is>
      </c>
      <c r="G364" t="n">
        <v>3.3</v>
      </c>
      <c r="H364" t="n">
        <v>0</v>
      </c>
      <c r="I364" t="n">
        <v>0</v>
      </c>
      <c r="J364" t="n">
        <v>0</v>
      </c>
      <c r="K364" t="n">
        <v>0</v>
      </c>
      <c r="L364" t="n">
        <v>0</v>
      </c>
      <c r="M364" t="n">
        <v>0</v>
      </c>
      <c r="N364" t="n">
        <v>0</v>
      </c>
      <c r="O364" t="n">
        <v>0</v>
      </c>
      <c r="P364" t="n">
        <v>0</v>
      </c>
      <c r="Q364" t="n">
        <v>0</v>
      </c>
      <c r="R364" s="2" t="inlineStr"/>
    </row>
    <row r="365" ht="15" customHeight="1">
      <c r="A365" t="inlineStr">
        <is>
          <t>A 4663-2020</t>
        </is>
      </c>
      <c r="B365" s="1" t="n">
        <v>43858</v>
      </c>
      <c r="C365" s="1" t="n">
        <v>45796</v>
      </c>
      <c r="D365" t="inlineStr">
        <is>
          <t>JÄMTLANDS LÄN</t>
        </is>
      </c>
      <c r="E365" t="inlineStr">
        <is>
          <t>HÄRJEDALEN</t>
        </is>
      </c>
      <c r="G365" t="n">
        <v>10.2</v>
      </c>
      <c r="H365" t="n">
        <v>0</v>
      </c>
      <c r="I365" t="n">
        <v>0</v>
      </c>
      <c r="J365" t="n">
        <v>0</v>
      </c>
      <c r="K365" t="n">
        <v>0</v>
      </c>
      <c r="L365" t="n">
        <v>0</v>
      </c>
      <c r="M365" t="n">
        <v>0</v>
      </c>
      <c r="N365" t="n">
        <v>0</v>
      </c>
      <c r="O365" t="n">
        <v>0</v>
      </c>
      <c r="P365" t="n">
        <v>0</v>
      </c>
      <c r="Q365" t="n">
        <v>0</v>
      </c>
      <c r="R365" s="2" t="inlineStr"/>
    </row>
    <row r="366" ht="15" customHeight="1">
      <c r="A366" t="inlineStr">
        <is>
          <t>A 6719-2020</t>
        </is>
      </c>
      <c r="B366" s="1" t="n">
        <v>43866</v>
      </c>
      <c r="C366" s="1" t="n">
        <v>45796</v>
      </c>
      <c r="D366" t="inlineStr">
        <is>
          <t>JÄMTLANDS LÄN</t>
        </is>
      </c>
      <c r="E366" t="inlineStr">
        <is>
          <t>HÄRJEDALEN</t>
        </is>
      </c>
      <c r="G366" t="n">
        <v>1.2</v>
      </c>
      <c r="H366" t="n">
        <v>0</v>
      </c>
      <c r="I366" t="n">
        <v>0</v>
      </c>
      <c r="J366" t="n">
        <v>0</v>
      </c>
      <c r="K366" t="n">
        <v>0</v>
      </c>
      <c r="L366" t="n">
        <v>0</v>
      </c>
      <c r="M366" t="n">
        <v>0</v>
      </c>
      <c r="N366" t="n">
        <v>0</v>
      </c>
      <c r="O366" t="n">
        <v>0</v>
      </c>
      <c r="P366" t="n">
        <v>0</v>
      </c>
      <c r="Q366" t="n">
        <v>0</v>
      </c>
      <c r="R366" s="2" t="inlineStr"/>
    </row>
    <row r="367" ht="15" customHeight="1">
      <c r="A367" t="inlineStr">
        <is>
          <t>A 6715-2020</t>
        </is>
      </c>
      <c r="B367" s="1" t="n">
        <v>43866</v>
      </c>
      <c r="C367" s="1" t="n">
        <v>45796</v>
      </c>
      <c r="D367" t="inlineStr">
        <is>
          <t>JÄMTLANDS LÄN</t>
        </is>
      </c>
      <c r="E367" t="inlineStr">
        <is>
          <t>HÄRJEDALEN</t>
        </is>
      </c>
      <c r="G367" t="n">
        <v>7.5</v>
      </c>
      <c r="H367" t="n">
        <v>0</v>
      </c>
      <c r="I367" t="n">
        <v>0</v>
      </c>
      <c r="J367" t="n">
        <v>0</v>
      </c>
      <c r="K367" t="n">
        <v>0</v>
      </c>
      <c r="L367" t="n">
        <v>0</v>
      </c>
      <c r="M367" t="n">
        <v>0</v>
      </c>
      <c r="N367" t="n">
        <v>0</v>
      </c>
      <c r="O367" t="n">
        <v>0</v>
      </c>
      <c r="P367" t="n">
        <v>0</v>
      </c>
      <c r="Q367" t="n">
        <v>0</v>
      </c>
      <c r="R367" s="2" t="inlineStr"/>
    </row>
    <row r="368" ht="15" customHeight="1">
      <c r="A368" t="inlineStr">
        <is>
          <t>A 6675-2020</t>
        </is>
      </c>
      <c r="B368" s="1" t="n">
        <v>43866</v>
      </c>
      <c r="C368" s="1" t="n">
        <v>45796</v>
      </c>
      <c r="D368" t="inlineStr">
        <is>
          <t>JÄMTLANDS LÄN</t>
        </is>
      </c>
      <c r="E368" t="inlineStr">
        <is>
          <t>HÄRJEDALEN</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6584-2020</t>
        </is>
      </c>
      <c r="B369" s="1" t="n">
        <v>43867</v>
      </c>
      <c r="C369" s="1" t="n">
        <v>45796</v>
      </c>
      <c r="D369" t="inlineStr">
        <is>
          <t>JÄMTLANDS LÄN</t>
        </is>
      </c>
      <c r="E369" t="inlineStr">
        <is>
          <t>HÄRJEDALEN</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6903-2020</t>
        </is>
      </c>
      <c r="B370" s="1" t="n">
        <v>43867</v>
      </c>
      <c r="C370" s="1" t="n">
        <v>45796</v>
      </c>
      <c r="D370" t="inlineStr">
        <is>
          <t>JÄMTLANDS LÄN</t>
        </is>
      </c>
      <c r="E370" t="inlineStr">
        <is>
          <t>HÄRJEDALEN</t>
        </is>
      </c>
      <c r="G370" t="n">
        <v>10.5</v>
      </c>
      <c r="H370" t="n">
        <v>0</v>
      </c>
      <c r="I370" t="n">
        <v>0</v>
      </c>
      <c r="J370" t="n">
        <v>0</v>
      </c>
      <c r="K370" t="n">
        <v>0</v>
      </c>
      <c r="L370" t="n">
        <v>0</v>
      </c>
      <c r="M370" t="n">
        <v>0</v>
      </c>
      <c r="N370" t="n">
        <v>0</v>
      </c>
      <c r="O370" t="n">
        <v>0</v>
      </c>
      <c r="P370" t="n">
        <v>0</v>
      </c>
      <c r="Q370" t="n">
        <v>0</v>
      </c>
      <c r="R370" s="2" t="inlineStr"/>
    </row>
    <row r="371" ht="15" customHeight="1">
      <c r="A371" t="inlineStr">
        <is>
          <t>A 7184-2020</t>
        </is>
      </c>
      <c r="B371" s="1" t="n">
        <v>43871</v>
      </c>
      <c r="C371" s="1" t="n">
        <v>45796</v>
      </c>
      <c r="D371" t="inlineStr">
        <is>
          <t>JÄMTLANDS LÄN</t>
        </is>
      </c>
      <c r="E371" t="inlineStr">
        <is>
          <t>HÄRJEDALEN</t>
        </is>
      </c>
      <c r="G371" t="n">
        <v>41.4</v>
      </c>
      <c r="H371" t="n">
        <v>0</v>
      </c>
      <c r="I371" t="n">
        <v>0</v>
      </c>
      <c r="J371" t="n">
        <v>0</v>
      </c>
      <c r="K371" t="n">
        <v>0</v>
      </c>
      <c r="L371" t="n">
        <v>0</v>
      </c>
      <c r="M371" t="n">
        <v>0</v>
      </c>
      <c r="N371" t="n">
        <v>0</v>
      </c>
      <c r="O371" t="n">
        <v>0</v>
      </c>
      <c r="P371" t="n">
        <v>0</v>
      </c>
      <c r="Q371" t="n">
        <v>0</v>
      </c>
      <c r="R371" s="2" t="inlineStr"/>
    </row>
    <row r="372" ht="15" customHeight="1">
      <c r="A372" t="inlineStr">
        <is>
          <t>A 8111-2020</t>
        </is>
      </c>
      <c r="B372" s="1" t="n">
        <v>43874</v>
      </c>
      <c r="C372" s="1" t="n">
        <v>45796</v>
      </c>
      <c r="D372" t="inlineStr">
        <is>
          <t>JÄMTLANDS LÄN</t>
        </is>
      </c>
      <c r="E372" t="inlineStr">
        <is>
          <t>HÄRJEDALEN</t>
        </is>
      </c>
      <c r="G372" t="n">
        <v>15.4</v>
      </c>
      <c r="H372" t="n">
        <v>0</v>
      </c>
      <c r="I372" t="n">
        <v>0</v>
      </c>
      <c r="J372" t="n">
        <v>0</v>
      </c>
      <c r="K372" t="n">
        <v>0</v>
      </c>
      <c r="L372" t="n">
        <v>0</v>
      </c>
      <c r="M372" t="n">
        <v>0</v>
      </c>
      <c r="N372" t="n">
        <v>0</v>
      </c>
      <c r="O372" t="n">
        <v>0</v>
      </c>
      <c r="P372" t="n">
        <v>0</v>
      </c>
      <c r="Q372" t="n">
        <v>0</v>
      </c>
      <c r="R372" s="2" t="inlineStr"/>
    </row>
    <row r="373" ht="15" customHeight="1">
      <c r="A373" t="inlineStr">
        <is>
          <t>A 8762-2020</t>
        </is>
      </c>
      <c r="B373" s="1" t="n">
        <v>43875</v>
      </c>
      <c r="C373" s="1" t="n">
        <v>45796</v>
      </c>
      <c r="D373" t="inlineStr">
        <is>
          <t>JÄMTLANDS LÄN</t>
        </is>
      </c>
      <c r="E373" t="inlineStr">
        <is>
          <t>HÄRJEDALEN</t>
        </is>
      </c>
      <c r="G373" t="n">
        <v>11</v>
      </c>
      <c r="H373" t="n">
        <v>0</v>
      </c>
      <c r="I373" t="n">
        <v>0</v>
      </c>
      <c r="J373" t="n">
        <v>0</v>
      </c>
      <c r="K373" t="n">
        <v>0</v>
      </c>
      <c r="L373" t="n">
        <v>0</v>
      </c>
      <c r="M373" t="n">
        <v>0</v>
      </c>
      <c r="N373" t="n">
        <v>0</v>
      </c>
      <c r="O373" t="n">
        <v>0</v>
      </c>
      <c r="P373" t="n">
        <v>0</v>
      </c>
      <c r="Q373" t="n">
        <v>0</v>
      </c>
      <c r="R373" s="2" t="inlineStr"/>
    </row>
    <row r="374" ht="15" customHeight="1">
      <c r="A374" t="inlineStr">
        <is>
          <t>A 8908-2020</t>
        </is>
      </c>
      <c r="B374" s="1" t="n">
        <v>43878</v>
      </c>
      <c r="C374" s="1" t="n">
        <v>45796</v>
      </c>
      <c r="D374" t="inlineStr">
        <is>
          <t>JÄMTLANDS LÄN</t>
        </is>
      </c>
      <c r="E374" t="inlineStr">
        <is>
          <t>HÄRJEDALEN</t>
        </is>
      </c>
      <c r="G374" t="n">
        <v>18.1</v>
      </c>
      <c r="H374" t="n">
        <v>0</v>
      </c>
      <c r="I374" t="n">
        <v>0</v>
      </c>
      <c r="J374" t="n">
        <v>0</v>
      </c>
      <c r="K374" t="n">
        <v>0</v>
      </c>
      <c r="L374" t="n">
        <v>0</v>
      </c>
      <c r="M374" t="n">
        <v>0</v>
      </c>
      <c r="N374" t="n">
        <v>0</v>
      </c>
      <c r="O374" t="n">
        <v>0</v>
      </c>
      <c r="P374" t="n">
        <v>0</v>
      </c>
      <c r="Q374" t="n">
        <v>0</v>
      </c>
      <c r="R374" s="2" t="inlineStr"/>
    </row>
    <row r="375" ht="15" customHeight="1">
      <c r="A375" t="inlineStr">
        <is>
          <t>A 9034-2020</t>
        </is>
      </c>
      <c r="B375" s="1" t="n">
        <v>43879</v>
      </c>
      <c r="C375" s="1" t="n">
        <v>45796</v>
      </c>
      <c r="D375" t="inlineStr">
        <is>
          <t>JÄMTLANDS LÄN</t>
        </is>
      </c>
      <c r="E375" t="inlineStr">
        <is>
          <t>HÄRJEDALEN</t>
        </is>
      </c>
      <c r="G375" t="n">
        <v>0.7</v>
      </c>
      <c r="H375" t="n">
        <v>0</v>
      </c>
      <c r="I375" t="n">
        <v>0</v>
      </c>
      <c r="J375" t="n">
        <v>0</v>
      </c>
      <c r="K375" t="n">
        <v>0</v>
      </c>
      <c r="L375" t="n">
        <v>0</v>
      </c>
      <c r="M375" t="n">
        <v>0</v>
      </c>
      <c r="N375" t="n">
        <v>0</v>
      </c>
      <c r="O375" t="n">
        <v>0</v>
      </c>
      <c r="P375" t="n">
        <v>0</v>
      </c>
      <c r="Q375" t="n">
        <v>0</v>
      </c>
      <c r="R375" s="2" t="inlineStr"/>
    </row>
    <row r="376" ht="15" customHeight="1">
      <c r="A376" t="inlineStr">
        <is>
          <t>A 9591-2020</t>
        </is>
      </c>
      <c r="B376" s="1" t="n">
        <v>43881</v>
      </c>
      <c r="C376" s="1" t="n">
        <v>45796</v>
      </c>
      <c r="D376" t="inlineStr">
        <is>
          <t>JÄMTLANDS LÄN</t>
        </is>
      </c>
      <c r="E376" t="inlineStr">
        <is>
          <t>HÄRJEDALEN</t>
        </is>
      </c>
      <c r="G376" t="n">
        <v>6.4</v>
      </c>
      <c r="H376" t="n">
        <v>0</v>
      </c>
      <c r="I376" t="n">
        <v>0</v>
      </c>
      <c r="J376" t="n">
        <v>0</v>
      </c>
      <c r="K376" t="n">
        <v>0</v>
      </c>
      <c r="L376" t="n">
        <v>0</v>
      </c>
      <c r="M376" t="n">
        <v>0</v>
      </c>
      <c r="N376" t="n">
        <v>0</v>
      </c>
      <c r="O376" t="n">
        <v>0</v>
      </c>
      <c r="P376" t="n">
        <v>0</v>
      </c>
      <c r="Q376" t="n">
        <v>0</v>
      </c>
      <c r="R376" s="2" t="inlineStr"/>
    </row>
    <row r="377" ht="15" customHeight="1">
      <c r="A377" t="inlineStr">
        <is>
          <t>A 11731-2020</t>
        </is>
      </c>
      <c r="B377" s="1" t="n">
        <v>43894</v>
      </c>
      <c r="C377" s="1" t="n">
        <v>45796</v>
      </c>
      <c r="D377" t="inlineStr">
        <is>
          <t>JÄMTLANDS LÄN</t>
        </is>
      </c>
      <c r="E377" t="inlineStr">
        <is>
          <t>HÄRJEDALEN</t>
        </is>
      </c>
      <c r="F377" t="inlineStr">
        <is>
          <t>Holmen skog AB</t>
        </is>
      </c>
      <c r="G377" t="n">
        <v>0.4</v>
      </c>
      <c r="H377" t="n">
        <v>0</v>
      </c>
      <c r="I377" t="n">
        <v>0</v>
      </c>
      <c r="J377" t="n">
        <v>0</v>
      </c>
      <c r="K377" t="n">
        <v>0</v>
      </c>
      <c r="L377" t="n">
        <v>0</v>
      </c>
      <c r="M377" t="n">
        <v>0</v>
      </c>
      <c r="N377" t="n">
        <v>0</v>
      </c>
      <c r="O377" t="n">
        <v>0</v>
      </c>
      <c r="P377" t="n">
        <v>0</v>
      </c>
      <c r="Q377" t="n">
        <v>0</v>
      </c>
      <c r="R377" s="2" t="inlineStr"/>
    </row>
    <row r="378" ht="15" customHeight="1">
      <c r="A378" t="inlineStr">
        <is>
          <t>A 11816-2020</t>
        </is>
      </c>
      <c r="B378" s="1" t="n">
        <v>43894</v>
      </c>
      <c r="C378" s="1" t="n">
        <v>45796</v>
      </c>
      <c r="D378" t="inlineStr">
        <is>
          <t>JÄMTLANDS LÄN</t>
        </is>
      </c>
      <c r="E378" t="inlineStr">
        <is>
          <t>HÄRJEDALEN</t>
        </is>
      </c>
      <c r="F378" t="inlineStr">
        <is>
          <t>Holmen skog AB</t>
        </is>
      </c>
      <c r="G378" t="n">
        <v>20.4</v>
      </c>
      <c r="H378" t="n">
        <v>0</v>
      </c>
      <c r="I378" t="n">
        <v>0</v>
      </c>
      <c r="J378" t="n">
        <v>0</v>
      </c>
      <c r="K378" t="n">
        <v>0</v>
      </c>
      <c r="L378" t="n">
        <v>0</v>
      </c>
      <c r="M378" t="n">
        <v>0</v>
      </c>
      <c r="N378" t="n">
        <v>0</v>
      </c>
      <c r="O378" t="n">
        <v>0</v>
      </c>
      <c r="P378" t="n">
        <v>0</v>
      </c>
      <c r="Q378" t="n">
        <v>0</v>
      </c>
      <c r="R378" s="2" t="inlineStr"/>
    </row>
    <row r="379" ht="15" customHeight="1">
      <c r="A379" t="inlineStr">
        <is>
          <t>A 11818-2020</t>
        </is>
      </c>
      <c r="B379" s="1" t="n">
        <v>43894</v>
      </c>
      <c r="C379" s="1" t="n">
        <v>45796</v>
      </c>
      <c r="D379" t="inlineStr">
        <is>
          <t>JÄMTLANDS LÄN</t>
        </is>
      </c>
      <c r="E379" t="inlineStr">
        <is>
          <t>HÄRJEDALEN</t>
        </is>
      </c>
      <c r="F379" t="inlineStr">
        <is>
          <t>Holmen skog AB</t>
        </is>
      </c>
      <c r="G379" t="n">
        <v>6</v>
      </c>
      <c r="H379" t="n">
        <v>0</v>
      </c>
      <c r="I379" t="n">
        <v>0</v>
      </c>
      <c r="J379" t="n">
        <v>0</v>
      </c>
      <c r="K379" t="n">
        <v>0</v>
      </c>
      <c r="L379" t="n">
        <v>0</v>
      </c>
      <c r="M379" t="n">
        <v>0</v>
      </c>
      <c r="N379" t="n">
        <v>0</v>
      </c>
      <c r="O379" t="n">
        <v>0</v>
      </c>
      <c r="P379" t="n">
        <v>0</v>
      </c>
      <c r="Q379" t="n">
        <v>0</v>
      </c>
      <c r="R379" s="2" t="inlineStr"/>
    </row>
    <row r="380" ht="15" customHeight="1">
      <c r="A380" t="inlineStr">
        <is>
          <t>A 11885-2020</t>
        </is>
      </c>
      <c r="B380" s="1" t="n">
        <v>43894</v>
      </c>
      <c r="C380" s="1" t="n">
        <v>45796</v>
      </c>
      <c r="D380" t="inlineStr">
        <is>
          <t>JÄMTLANDS LÄN</t>
        </is>
      </c>
      <c r="E380" t="inlineStr">
        <is>
          <t>HÄRJEDALEN</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11828-2020</t>
        </is>
      </c>
      <c r="B381" s="1" t="n">
        <v>43894</v>
      </c>
      <c r="C381" s="1" t="n">
        <v>45796</v>
      </c>
      <c r="D381" t="inlineStr">
        <is>
          <t>JÄMTLANDS LÄN</t>
        </is>
      </c>
      <c r="E381" t="inlineStr">
        <is>
          <t>HÄRJEDALEN</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11905-2020</t>
        </is>
      </c>
      <c r="B382" s="1" t="n">
        <v>43894</v>
      </c>
      <c r="C382" s="1" t="n">
        <v>45796</v>
      </c>
      <c r="D382" t="inlineStr">
        <is>
          <t>JÄMTLANDS LÄN</t>
        </is>
      </c>
      <c r="E382" t="inlineStr">
        <is>
          <t>HÄRJEDALEN</t>
        </is>
      </c>
      <c r="F382" t="inlineStr">
        <is>
          <t>Holmen skog AB</t>
        </is>
      </c>
      <c r="G382" t="n">
        <v>10.3</v>
      </c>
      <c r="H382" t="n">
        <v>0</v>
      </c>
      <c r="I382" t="n">
        <v>0</v>
      </c>
      <c r="J382" t="n">
        <v>0</v>
      </c>
      <c r="K382" t="n">
        <v>0</v>
      </c>
      <c r="L382" t="n">
        <v>0</v>
      </c>
      <c r="M382" t="n">
        <v>0</v>
      </c>
      <c r="N382" t="n">
        <v>0</v>
      </c>
      <c r="O382" t="n">
        <v>0</v>
      </c>
      <c r="P382" t="n">
        <v>0</v>
      </c>
      <c r="Q382" t="n">
        <v>0</v>
      </c>
      <c r="R382" s="2" t="inlineStr"/>
    </row>
    <row r="383" ht="15" customHeight="1">
      <c r="A383" t="inlineStr">
        <is>
          <t>A 13604-2020</t>
        </is>
      </c>
      <c r="B383" s="1" t="n">
        <v>43895</v>
      </c>
      <c r="C383" s="1" t="n">
        <v>45796</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12398-2020</t>
        </is>
      </c>
      <c r="B384" s="1" t="n">
        <v>43896</v>
      </c>
      <c r="C384" s="1" t="n">
        <v>45796</v>
      </c>
      <c r="D384" t="inlineStr">
        <is>
          <t>JÄMTLANDS LÄN</t>
        </is>
      </c>
      <c r="E384" t="inlineStr">
        <is>
          <t>HÄRJEDALEN</t>
        </is>
      </c>
      <c r="G384" t="n">
        <v>12.3</v>
      </c>
      <c r="H384" t="n">
        <v>0</v>
      </c>
      <c r="I384" t="n">
        <v>0</v>
      </c>
      <c r="J384" t="n">
        <v>0</v>
      </c>
      <c r="K384" t="n">
        <v>0</v>
      </c>
      <c r="L384" t="n">
        <v>0</v>
      </c>
      <c r="M384" t="n">
        <v>0</v>
      </c>
      <c r="N384" t="n">
        <v>0</v>
      </c>
      <c r="O384" t="n">
        <v>0</v>
      </c>
      <c r="P384" t="n">
        <v>0</v>
      </c>
      <c r="Q384" t="n">
        <v>0</v>
      </c>
      <c r="R384" s="2" t="inlineStr"/>
    </row>
    <row r="385" ht="15" customHeight="1">
      <c r="A385" t="inlineStr">
        <is>
          <t>A 12410-2020</t>
        </is>
      </c>
      <c r="B385" s="1" t="n">
        <v>43896</v>
      </c>
      <c r="C385" s="1" t="n">
        <v>45796</v>
      </c>
      <c r="D385" t="inlineStr">
        <is>
          <t>JÄMTLANDS LÄN</t>
        </is>
      </c>
      <c r="E385" t="inlineStr">
        <is>
          <t>HÄRJEDALEN</t>
        </is>
      </c>
      <c r="G385" t="n">
        <v>0.7</v>
      </c>
      <c r="H385" t="n">
        <v>0</v>
      </c>
      <c r="I385" t="n">
        <v>0</v>
      </c>
      <c r="J385" t="n">
        <v>0</v>
      </c>
      <c r="K385" t="n">
        <v>0</v>
      </c>
      <c r="L385" t="n">
        <v>0</v>
      </c>
      <c r="M385" t="n">
        <v>0</v>
      </c>
      <c r="N385" t="n">
        <v>0</v>
      </c>
      <c r="O385" t="n">
        <v>0</v>
      </c>
      <c r="P385" t="n">
        <v>0</v>
      </c>
      <c r="Q385" t="n">
        <v>0</v>
      </c>
      <c r="R385" s="2" t="inlineStr"/>
    </row>
    <row r="386" ht="15" customHeight="1">
      <c r="A386" t="inlineStr">
        <is>
          <t>A 13588-2020</t>
        </is>
      </c>
      <c r="B386" s="1" t="n">
        <v>43896</v>
      </c>
      <c r="C386" s="1" t="n">
        <v>45796</v>
      </c>
      <c r="D386" t="inlineStr">
        <is>
          <t>JÄMTLANDS LÄN</t>
        </is>
      </c>
      <c r="E386" t="inlineStr">
        <is>
          <t>HÄRJEDALEN</t>
        </is>
      </c>
      <c r="G386" t="n">
        <v>0.6</v>
      </c>
      <c r="H386" t="n">
        <v>0</v>
      </c>
      <c r="I386" t="n">
        <v>0</v>
      </c>
      <c r="J386" t="n">
        <v>0</v>
      </c>
      <c r="K386" t="n">
        <v>0</v>
      </c>
      <c r="L386" t="n">
        <v>0</v>
      </c>
      <c r="M386" t="n">
        <v>0</v>
      </c>
      <c r="N386" t="n">
        <v>0</v>
      </c>
      <c r="O386" t="n">
        <v>0</v>
      </c>
      <c r="P386" t="n">
        <v>0</v>
      </c>
      <c r="Q386" t="n">
        <v>0</v>
      </c>
      <c r="R386" s="2" t="inlineStr"/>
    </row>
    <row r="387" ht="15" customHeight="1">
      <c r="A387" t="inlineStr">
        <is>
          <t>A 12898-2020</t>
        </is>
      </c>
      <c r="B387" s="1" t="n">
        <v>43900</v>
      </c>
      <c r="C387" s="1" t="n">
        <v>45796</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15020-2020</t>
        </is>
      </c>
      <c r="B388" s="1" t="n">
        <v>43907</v>
      </c>
      <c r="C388" s="1" t="n">
        <v>45796</v>
      </c>
      <c r="D388" t="inlineStr">
        <is>
          <t>JÄMTLANDS LÄN</t>
        </is>
      </c>
      <c r="E388" t="inlineStr">
        <is>
          <t>HÄRJEDALEN</t>
        </is>
      </c>
      <c r="F388" t="inlineStr">
        <is>
          <t>Sveaskog</t>
        </is>
      </c>
      <c r="G388" t="n">
        <v>7.7</v>
      </c>
      <c r="H388" t="n">
        <v>0</v>
      </c>
      <c r="I388" t="n">
        <v>0</v>
      </c>
      <c r="J388" t="n">
        <v>0</v>
      </c>
      <c r="K388" t="n">
        <v>0</v>
      </c>
      <c r="L388" t="n">
        <v>0</v>
      </c>
      <c r="M388" t="n">
        <v>0</v>
      </c>
      <c r="N388" t="n">
        <v>0</v>
      </c>
      <c r="O388" t="n">
        <v>0</v>
      </c>
      <c r="P388" t="n">
        <v>0</v>
      </c>
      <c r="Q388" t="n">
        <v>0</v>
      </c>
      <c r="R388" s="2" t="inlineStr"/>
    </row>
    <row r="389" ht="15" customHeight="1">
      <c r="A389" t="inlineStr">
        <is>
          <t>A 15576-2020</t>
        </is>
      </c>
      <c r="B389" s="1" t="n">
        <v>43914</v>
      </c>
      <c r="C389" s="1" t="n">
        <v>45796</v>
      </c>
      <c r="D389" t="inlineStr">
        <is>
          <t>JÄMTLANDS LÄN</t>
        </is>
      </c>
      <c r="E389" t="inlineStr">
        <is>
          <t>HÄRJEDALEN</t>
        </is>
      </c>
      <c r="F389" t="inlineStr">
        <is>
          <t>Kyrkan</t>
        </is>
      </c>
      <c r="G389" t="n">
        <v>8.1</v>
      </c>
      <c r="H389" t="n">
        <v>0</v>
      </c>
      <c r="I389" t="n">
        <v>0</v>
      </c>
      <c r="J389" t="n">
        <v>0</v>
      </c>
      <c r="K389" t="n">
        <v>0</v>
      </c>
      <c r="L389" t="n">
        <v>0</v>
      </c>
      <c r="M389" t="n">
        <v>0</v>
      </c>
      <c r="N389" t="n">
        <v>0</v>
      </c>
      <c r="O389" t="n">
        <v>0</v>
      </c>
      <c r="P389" t="n">
        <v>0</v>
      </c>
      <c r="Q389" t="n">
        <v>0</v>
      </c>
      <c r="R389" s="2" t="inlineStr"/>
    </row>
    <row r="390" ht="15" customHeight="1">
      <c r="A390" t="inlineStr">
        <is>
          <t>A 17515-2020</t>
        </is>
      </c>
      <c r="B390" s="1" t="n">
        <v>43920</v>
      </c>
      <c r="C390" s="1" t="n">
        <v>45796</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17024-2020</t>
        </is>
      </c>
      <c r="B391" s="1" t="n">
        <v>43921</v>
      </c>
      <c r="C391" s="1" t="n">
        <v>45796</v>
      </c>
      <c r="D391" t="inlineStr">
        <is>
          <t>JÄMTLANDS LÄN</t>
        </is>
      </c>
      <c r="E391" t="inlineStr">
        <is>
          <t>HÄRJEDALEN</t>
        </is>
      </c>
      <c r="G391" t="n">
        <v>0.8</v>
      </c>
      <c r="H391" t="n">
        <v>0</v>
      </c>
      <c r="I391" t="n">
        <v>0</v>
      </c>
      <c r="J391" t="n">
        <v>0</v>
      </c>
      <c r="K391" t="n">
        <v>0</v>
      </c>
      <c r="L391" t="n">
        <v>0</v>
      </c>
      <c r="M391" t="n">
        <v>0</v>
      </c>
      <c r="N391" t="n">
        <v>0</v>
      </c>
      <c r="O391" t="n">
        <v>0</v>
      </c>
      <c r="P391" t="n">
        <v>0</v>
      </c>
      <c r="Q391" t="n">
        <v>0</v>
      </c>
      <c r="R391" s="2" t="inlineStr"/>
    </row>
    <row r="392" ht="15" customHeight="1">
      <c r="A392" t="inlineStr">
        <is>
          <t>A 17676-2020</t>
        </is>
      </c>
      <c r="B392" s="1" t="n">
        <v>43924</v>
      </c>
      <c r="C392" s="1" t="n">
        <v>45796</v>
      </c>
      <c r="D392" t="inlineStr">
        <is>
          <t>JÄMTLANDS LÄN</t>
        </is>
      </c>
      <c r="E392" t="inlineStr">
        <is>
          <t>HÄRJEDALEN</t>
        </is>
      </c>
      <c r="G392" t="n">
        <v>1</v>
      </c>
      <c r="H392" t="n">
        <v>0</v>
      </c>
      <c r="I392" t="n">
        <v>0</v>
      </c>
      <c r="J392" t="n">
        <v>0</v>
      </c>
      <c r="K392" t="n">
        <v>0</v>
      </c>
      <c r="L392" t="n">
        <v>0</v>
      </c>
      <c r="M392" t="n">
        <v>0</v>
      </c>
      <c r="N392" t="n">
        <v>0</v>
      </c>
      <c r="O392" t="n">
        <v>0</v>
      </c>
      <c r="P392" t="n">
        <v>0</v>
      </c>
      <c r="Q392" t="n">
        <v>0</v>
      </c>
      <c r="R392" s="2" t="inlineStr"/>
    </row>
    <row r="393" ht="15" customHeight="1">
      <c r="A393" t="inlineStr">
        <is>
          <t>A 18038-2020</t>
        </is>
      </c>
      <c r="B393" s="1" t="n">
        <v>43927</v>
      </c>
      <c r="C393" s="1" t="n">
        <v>45796</v>
      </c>
      <c r="D393" t="inlineStr">
        <is>
          <t>JÄMTLANDS LÄN</t>
        </is>
      </c>
      <c r="E393" t="inlineStr">
        <is>
          <t>HÄRJEDALEN</t>
        </is>
      </c>
      <c r="G393" t="n">
        <v>13.5</v>
      </c>
      <c r="H393" t="n">
        <v>0</v>
      </c>
      <c r="I393" t="n">
        <v>0</v>
      </c>
      <c r="J393" t="n">
        <v>0</v>
      </c>
      <c r="K393" t="n">
        <v>0</v>
      </c>
      <c r="L393" t="n">
        <v>0</v>
      </c>
      <c r="M393" t="n">
        <v>0</v>
      </c>
      <c r="N393" t="n">
        <v>0</v>
      </c>
      <c r="O393" t="n">
        <v>0</v>
      </c>
      <c r="P393" t="n">
        <v>0</v>
      </c>
      <c r="Q393" t="n">
        <v>0</v>
      </c>
      <c r="R393" s="2" t="inlineStr"/>
    </row>
    <row r="394" ht="15" customHeight="1">
      <c r="A394" t="inlineStr">
        <is>
          <t>A 18761-2020</t>
        </is>
      </c>
      <c r="B394" s="1" t="n">
        <v>43930</v>
      </c>
      <c r="C394" s="1" t="n">
        <v>45796</v>
      </c>
      <c r="D394" t="inlineStr">
        <is>
          <t>JÄMTLANDS LÄN</t>
        </is>
      </c>
      <c r="E394" t="inlineStr">
        <is>
          <t>HÄRJEDALEN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18760-2020</t>
        </is>
      </c>
      <c r="B395" s="1" t="n">
        <v>43930</v>
      </c>
      <c r="C395" s="1" t="n">
        <v>45796</v>
      </c>
      <c r="D395" t="inlineStr">
        <is>
          <t>JÄMTLANDS LÄN</t>
        </is>
      </c>
      <c r="E395" t="inlineStr">
        <is>
          <t>HÄRJEDALEN</t>
        </is>
      </c>
      <c r="F395" t="inlineStr">
        <is>
          <t>Sveaskog</t>
        </is>
      </c>
      <c r="G395" t="n">
        <v>16.1</v>
      </c>
      <c r="H395" t="n">
        <v>0</v>
      </c>
      <c r="I395" t="n">
        <v>0</v>
      </c>
      <c r="J395" t="n">
        <v>0</v>
      </c>
      <c r="K395" t="n">
        <v>0</v>
      </c>
      <c r="L395" t="n">
        <v>0</v>
      </c>
      <c r="M395" t="n">
        <v>0</v>
      </c>
      <c r="N395" t="n">
        <v>0</v>
      </c>
      <c r="O395" t="n">
        <v>0</v>
      </c>
      <c r="P395" t="n">
        <v>0</v>
      </c>
      <c r="Q395" t="n">
        <v>0</v>
      </c>
      <c r="R395" s="2" t="inlineStr"/>
    </row>
    <row r="396" ht="15" customHeight="1">
      <c r="A396" t="inlineStr">
        <is>
          <t>A 18759-2020</t>
        </is>
      </c>
      <c r="B396" s="1" t="n">
        <v>43930</v>
      </c>
      <c r="C396" s="1" t="n">
        <v>45796</v>
      </c>
      <c r="D396" t="inlineStr">
        <is>
          <t>JÄMTLANDS LÄN</t>
        </is>
      </c>
      <c r="E396" t="inlineStr">
        <is>
          <t>HÄRJEDALEN</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18877-2020</t>
        </is>
      </c>
      <c r="B397" s="1" t="n">
        <v>43935</v>
      </c>
      <c r="C397" s="1" t="n">
        <v>45796</v>
      </c>
      <c r="D397" t="inlineStr">
        <is>
          <t>JÄMTLANDS LÄN</t>
        </is>
      </c>
      <c r="E397" t="inlineStr">
        <is>
          <t>HÄRJEDALEN</t>
        </is>
      </c>
      <c r="G397" t="n">
        <v>7</v>
      </c>
      <c r="H397" t="n">
        <v>0</v>
      </c>
      <c r="I397" t="n">
        <v>0</v>
      </c>
      <c r="J397" t="n">
        <v>0</v>
      </c>
      <c r="K397" t="n">
        <v>0</v>
      </c>
      <c r="L397" t="n">
        <v>0</v>
      </c>
      <c r="M397" t="n">
        <v>0</v>
      </c>
      <c r="N397" t="n">
        <v>0</v>
      </c>
      <c r="O397" t="n">
        <v>0</v>
      </c>
      <c r="P397" t="n">
        <v>0</v>
      </c>
      <c r="Q397" t="n">
        <v>0</v>
      </c>
      <c r="R397" s="2" t="inlineStr"/>
    </row>
    <row r="398" ht="15" customHeight="1">
      <c r="A398" t="inlineStr">
        <is>
          <t>A 18879-2020</t>
        </is>
      </c>
      <c r="B398" s="1" t="n">
        <v>43935</v>
      </c>
      <c r="C398" s="1" t="n">
        <v>45796</v>
      </c>
      <c r="D398" t="inlineStr">
        <is>
          <t>JÄMTLANDS LÄN</t>
        </is>
      </c>
      <c r="E398" t="inlineStr">
        <is>
          <t>HÄRJEDALEN</t>
        </is>
      </c>
      <c r="G398" t="n">
        <v>5.5</v>
      </c>
      <c r="H398" t="n">
        <v>0</v>
      </c>
      <c r="I398" t="n">
        <v>0</v>
      </c>
      <c r="J398" t="n">
        <v>0</v>
      </c>
      <c r="K398" t="n">
        <v>0</v>
      </c>
      <c r="L398" t="n">
        <v>0</v>
      </c>
      <c r="M398" t="n">
        <v>0</v>
      </c>
      <c r="N398" t="n">
        <v>0</v>
      </c>
      <c r="O398" t="n">
        <v>0</v>
      </c>
      <c r="P398" t="n">
        <v>0</v>
      </c>
      <c r="Q398" t="n">
        <v>0</v>
      </c>
      <c r="R398" s="2" t="inlineStr"/>
    </row>
    <row r="399" ht="15" customHeight="1">
      <c r="A399" t="inlineStr">
        <is>
          <t>A 19304-2020</t>
        </is>
      </c>
      <c r="B399" s="1" t="n">
        <v>43937</v>
      </c>
      <c r="C399" s="1" t="n">
        <v>45796</v>
      </c>
      <c r="D399" t="inlineStr">
        <is>
          <t>JÄMTLANDS LÄN</t>
        </is>
      </c>
      <c r="E399" t="inlineStr">
        <is>
          <t>HÄRJEDALEN</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19506-2020</t>
        </is>
      </c>
      <c r="B400" s="1" t="n">
        <v>43938</v>
      </c>
      <c r="C400" s="1" t="n">
        <v>45796</v>
      </c>
      <c r="D400" t="inlineStr">
        <is>
          <t>JÄMTLANDS LÄN</t>
        </is>
      </c>
      <c r="E400" t="inlineStr">
        <is>
          <t>HÄRJEDALEN</t>
        </is>
      </c>
      <c r="F400" t="inlineStr">
        <is>
          <t>Sveaskog</t>
        </is>
      </c>
      <c r="G400" t="n">
        <v>6.8</v>
      </c>
      <c r="H400" t="n">
        <v>0</v>
      </c>
      <c r="I400" t="n">
        <v>0</v>
      </c>
      <c r="J400" t="n">
        <v>0</v>
      </c>
      <c r="K400" t="n">
        <v>0</v>
      </c>
      <c r="L400" t="n">
        <v>0</v>
      </c>
      <c r="M400" t="n">
        <v>0</v>
      </c>
      <c r="N400" t="n">
        <v>0</v>
      </c>
      <c r="O400" t="n">
        <v>0</v>
      </c>
      <c r="P400" t="n">
        <v>0</v>
      </c>
      <c r="Q400" t="n">
        <v>0</v>
      </c>
      <c r="R400" s="2" t="inlineStr"/>
    </row>
    <row r="401" ht="15" customHeight="1">
      <c r="A401" t="inlineStr">
        <is>
          <t>A 20781-2020</t>
        </is>
      </c>
      <c r="B401" s="1" t="n">
        <v>43949</v>
      </c>
      <c r="C401" s="1" t="n">
        <v>45796</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21537-2020</t>
        </is>
      </c>
      <c r="B402" s="1" t="n">
        <v>43956</v>
      </c>
      <c r="C402" s="1" t="n">
        <v>45796</v>
      </c>
      <c r="D402" t="inlineStr">
        <is>
          <t>JÄMTLANDS LÄN</t>
        </is>
      </c>
      <c r="E402" t="inlineStr">
        <is>
          <t>HÄRJEDALEN</t>
        </is>
      </c>
      <c r="G402" t="n">
        <v>4.3</v>
      </c>
      <c r="H402" t="n">
        <v>0</v>
      </c>
      <c r="I402" t="n">
        <v>0</v>
      </c>
      <c r="J402" t="n">
        <v>0</v>
      </c>
      <c r="K402" t="n">
        <v>0</v>
      </c>
      <c r="L402" t="n">
        <v>0</v>
      </c>
      <c r="M402" t="n">
        <v>0</v>
      </c>
      <c r="N402" t="n">
        <v>0</v>
      </c>
      <c r="O402" t="n">
        <v>0</v>
      </c>
      <c r="P402" t="n">
        <v>0</v>
      </c>
      <c r="Q402" t="n">
        <v>0</v>
      </c>
      <c r="R402" s="2" t="inlineStr"/>
    </row>
    <row r="403" ht="15" customHeight="1">
      <c r="A403" t="inlineStr">
        <is>
          <t>A 23082-2020</t>
        </is>
      </c>
      <c r="B403" s="1" t="n">
        <v>43964</v>
      </c>
      <c r="C403" s="1" t="n">
        <v>45796</v>
      </c>
      <c r="D403" t="inlineStr">
        <is>
          <t>JÄMTLANDS LÄN</t>
        </is>
      </c>
      <c r="E403" t="inlineStr">
        <is>
          <t>HÄRJEDALEN</t>
        </is>
      </c>
      <c r="G403" t="n">
        <v>2.1</v>
      </c>
      <c r="H403" t="n">
        <v>0</v>
      </c>
      <c r="I403" t="n">
        <v>0</v>
      </c>
      <c r="J403" t="n">
        <v>0</v>
      </c>
      <c r="K403" t="n">
        <v>0</v>
      </c>
      <c r="L403" t="n">
        <v>0</v>
      </c>
      <c r="M403" t="n">
        <v>0</v>
      </c>
      <c r="N403" t="n">
        <v>0</v>
      </c>
      <c r="O403" t="n">
        <v>0</v>
      </c>
      <c r="P403" t="n">
        <v>0</v>
      </c>
      <c r="Q403" t="n">
        <v>0</v>
      </c>
      <c r="R403" s="2" t="inlineStr"/>
    </row>
    <row r="404" ht="15" customHeight="1">
      <c r="A404" t="inlineStr">
        <is>
          <t>A 23310-2020</t>
        </is>
      </c>
      <c r="B404" s="1" t="n">
        <v>43966</v>
      </c>
      <c r="C404" s="1" t="n">
        <v>45796</v>
      </c>
      <c r="D404" t="inlineStr">
        <is>
          <t>JÄMTLANDS LÄN</t>
        </is>
      </c>
      <c r="E404" t="inlineStr">
        <is>
          <t>HÄRJEDALEN</t>
        </is>
      </c>
      <c r="G404" t="n">
        <v>1.6</v>
      </c>
      <c r="H404" t="n">
        <v>0</v>
      </c>
      <c r="I404" t="n">
        <v>0</v>
      </c>
      <c r="J404" t="n">
        <v>0</v>
      </c>
      <c r="K404" t="n">
        <v>0</v>
      </c>
      <c r="L404" t="n">
        <v>0</v>
      </c>
      <c r="M404" t="n">
        <v>0</v>
      </c>
      <c r="N404" t="n">
        <v>0</v>
      </c>
      <c r="O404" t="n">
        <v>0</v>
      </c>
      <c r="P404" t="n">
        <v>0</v>
      </c>
      <c r="Q404" t="n">
        <v>0</v>
      </c>
      <c r="R404" s="2" t="inlineStr"/>
    </row>
    <row r="405" ht="15" customHeight="1">
      <c r="A405" t="inlineStr">
        <is>
          <t>A 23174-2020</t>
        </is>
      </c>
      <c r="B405" s="1" t="n">
        <v>43966</v>
      </c>
      <c r="C405" s="1" t="n">
        <v>45796</v>
      </c>
      <c r="D405" t="inlineStr">
        <is>
          <t>JÄMTLANDS LÄN</t>
        </is>
      </c>
      <c r="E405" t="inlineStr">
        <is>
          <t>HÄRJEDALEN</t>
        </is>
      </c>
      <c r="G405" t="n">
        <v>2.9</v>
      </c>
      <c r="H405" t="n">
        <v>0</v>
      </c>
      <c r="I405" t="n">
        <v>0</v>
      </c>
      <c r="J405" t="n">
        <v>0</v>
      </c>
      <c r="K405" t="n">
        <v>0</v>
      </c>
      <c r="L405" t="n">
        <v>0</v>
      </c>
      <c r="M405" t="n">
        <v>0</v>
      </c>
      <c r="N405" t="n">
        <v>0</v>
      </c>
      <c r="O405" t="n">
        <v>0</v>
      </c>
      <c r="P405" t="n">
        <v>0</v>
      </c>
      <c r="Q405" t="n">
        <v>0</v>
      </c>
      <c r="R405" s="2" t="inlineStr"/>
    </row>
    <row r="406" ht="15" customHeight="1">
      <c r="A406" t="inlineStr">
        <is>
          <t>A 23560-2020</t>
        </is>
      </c>
      <c r="B406" s="1" t="n">
        <v>43969</v>
      </c>
      <c r="C406" s="1" t="n">
        <v>45796</v>
      </c>
      <c r="D406" t="inlineStr">
        <is>
          <t>JÄMTLANDS LÄN</t>
        </is>
      </c>
      <c r="E406" t="inlineStr">
        <is>
          <t>HÄRJEDALEN</t>
        </is>
      </c>
      <c r="G406" t="n">
        <v>1.7</v>
      </c>
      <c r="H406" t="n">
        <v>0</v>
      </c>
      <c r="I406" t="n">
        <v>0</v>
      </c>
      <c r="J406" t="n">
        <v>0</v>
      </c>
      <c r="K406" t="n">
        <v>0</v>
      </c>
      <c r="L406" t="n">
        <v>0</v>
      </c>
      <c r="M406" t="n">
        <v>0</v>
      </c>
      <c r="N406" t="n">
        <v>0</v>
      </c>
      <c r="O406" t="n">
        <v>0</v>
      </c>
      <c r="P406" t="n">
        <v>0</v>
      </c>
      <c r="Q406" t="n">
        <v>0</v>
      </c>
      <c r="R406" s="2" t="inlineStr"/>
    </row>
    <row r="407" ht="15" customHeight="1">
      <c r="A407" t="inlineStr">
        <is>
          <t>A 24077-2020</t>
        </is>
      </c>
      <c r="B407" s="1" t="n">
        <v>43972</v>
      </c>
      <c r="C407" s="1" t="n">
        <v>45796</v>
      </c>
      <c r="D407" t="inlineStr">
        <is>
          <t>JÄMTLANDS LÄN</t>
        </is>
      </c>
      <c r="E407" t="inlineStr">
        <is>
          <t>HÄRJEDALEN</t>
        </is>
      </c>
      <c r="F407" t="inlineStr">
        <is>
          <t>Sveaskog</t>
        </is>
      </c>
      <c r="G407" t="n">
        <v>9.6</v>
      </c>
      <c r="H407" t="n">
        <v>0</v>
      </c>
      <c r="I407" t="n">
        <v>0</v>
      </c>
      <c r="J407" t="n">
        <v>0</v>
      </c>
      <c r="K407" t="n">
        <v>0</v>
      </c>
      <c r="L407" t="n">
        <v>0</v>
      </c>
      <c r="M407" t="n">
        <v>0</v>
      </c>
      <c r="N407" t="n">
        <v>0</v>
      </c>
      <c r="O407" t="n">
        <v>0</v>
      </c>
      <c r="P407" t="n">
        <v>0</v>
      </c>
      <c r="Q407" t="n">
        <v>0</v>
      </c>
      <c r="R407" s="2" t="inlineStr"/>
    </row>
    <row r="408" ht="15" customHeight="1">
      <c r="A408" t="inlineStr">
        <is>
          <t>A 24127-2020</t>
        </is>
      </c>
      <c r="B408" s="1" t="n">
        <v>43973</v>
      </c>
      <c r="C408" s="1" t="n">
        <v>45796</v>
      </c>
      <c r="D408" t="inlineStr">
        <is>
          <t>JÄMTLANDS LÄN</t>
        </is>
      </c>
      <c r="E408" t="inlineStr">
        <is>
          <t>HÄRJEDALEN</t>
        </is>
      </c>
      <c r="G408" t="n">
        <v>4.6</v>
      </c>
      <c r="H408" t="n">
        <v>0</v>
      </c>
      <c r="I408" t="n">
        <v>0</v>
      </c>
      <c r="J408" t="n">
        <v>0</v>
      </c>
      <c r="K408" t="n">
        <v>0</v>
      </c>
      <c r="L408" t="n">
        <v>0</v>
      </c>
      <c r="M408" t="n">
        <v>0</v>
      </c>
      <c r="N408" t="n">
        <v>0</v>
      </c>
      <c r="O408" t="n">
        <v>0</v>
      </c>
      <c r="P408" t="n">
        <v>0</v>
      </c>
      <c r="Q408" t="n">
        <v>0</v>
      </c>
      <c r="R408" s="2" t="inlineStr"/>
    </row>
    <row r="409" ht="15" customHeight="1">
      <c r="A409" t="inlineStr">
        <is>
          <t>A 25240-2020</t>
        </is>
      </c>
      <c r="B409" s="1" t="n">
        <v>43980</v>
      </c>
      <c r="C409" s="1" t="n">
        <v>45796</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25341-2020</t>
        </is>
      </c>
      <c r="B410" s="1" t="n">
        <v>43980</v>
      </c>
      <c r="C410" s="1" t="n">
        <v>45796</v>
      </c>
      <c r="D410" t="inlineStr">
        <is>
          <t>JÄMTLANDS LÄN</t>
        </is>
      </c>
      <c r="E410" t="inlineStr">
        <is>
          <t>HÄRJEDALEN</t>
        </is>
      </c>
      <c r="G410" t="n">
        <v>2</v>
      </c>
      <c r="H410" t="n">
        <v>0</v>
      </c>
      <c r="I410" t="n">
        <v>0</v>
      </c>
      <c r="J410" t="n">
        <v>0</v>
      </c>
      <c r="K410" t="n">
        <v>0</v>
      </c>
      <c r="L410" t="n">
        <v>0</v>
      </c>
      <c r="M410" t="n">
        <v>0</v>
      </c>
      <c r="N410" t="n">
        <v>0</v>
      </c>
      <c r="O410" t="n">
        <v>0</v>
      </c>
      <c r="P410" t="n">
        <v>0</v>
      </c>
      <c r="Q410" t="n">
        <v>0</v>
      </c>
      <c r="R410" s="2" t="inlineStr"/>
    </row>
    <row r="411" ht="15" customHeight="1">
      <c r="A411" t="inlineStr">
        <is>
          <t>A 25232-2020</t>
        </is>
      </c>
      <c r="B411" s="1" t="n">
        <v>43980</v>
      </c>
      <c r="C411" s="1" t="n">
        <v>45796</v>
      </c>
      <c r="D411" t="inlineStr">
        <is>
          <t>JÄMTLANDS LÄN</t>
        </is>
      </c>
      <c r="E411" t="inlineStr">
        <is>
          <t>HÄRJEDALEN</t>
        </is>
      </c>
      <c r="G411" t="n">
        <v>14.9</v>
      </c>
      <c r="H411" t="n">
        <v>0</v>
      </c>
      <c r="I411" t="n">
        <v>0</v>
      </c>
      <c r="J411" t="n">
        <v>0</v>
      </c>
      <c r="K411" t="n">
        <v>0</v>
      </c>
      <c r="L411" t="n">
        <v>0</v>
      </c>
      <c r="M411" t="n">
        <v>0</v>
      </c>
      <c r="N411" t="n">
        <v>0</v>
      </c>
      <c r="O411" t="n">
        <v>0</v>
      </c>
      <c r="P411" t="n">
        <v>0</v>
      </c>
      <c r="Q411" t="n">
        <v>0</v>
      </c>
      <c r="R411" s="2" t="inlineStr"/>
    </row>
    <row r="412" ht="15" customHeight="1">
      <c r="A412" t="inlineStr">
        <is>
          <t>A 25238-2020</t>
        </is>
      </c>
      <c r="B412" s="1" t="n">
        <v>43980</v>
      </c>
      <c r="C412" s="1" t="n">
        <v>45796</v>
      </c>
      <c r="D412" t="inlineStr">
        <is>
          <t>JÄMTLANDS LÄN</t>
        </is>
      </c>
      <c r="E412" t="inlineStr">
        <is>
          <t>HÄRJEDALEN</t>
        </is>
      </c>
      <c r="G412" t="n">
        <v>2.6</v>
      </c>
      <c r="H412" t="n">
        <v>0</v>
      </c>
      <c r="I412" t="n">
        <v>0</v>
      </c>
      <c r="J412" t="n">
        <v>0</v>
      </c>
      <c r="K412" t="n">
        <v>0</v>
      </c>
      <c r="L412" t="n">
        <v>0</v>
      </c>
      <c r="M412" t="n">
        <v>0</v>
      </c>
      <c r="N412" t="n">
        <v>0</v>
      </c>
      <c r="O412" t="n">
        <v>0</v>
      </c>
      <c r="P412" t="n">
        <v>0</v>
      </c>
      <c r="Q412" t="n">
        <v>0</v>
      </c>
      <c r="R412" s="2" t="inlineStr"/>
    </row>
    <row r="413" ht="15" customHeight="1">
      <c r="A413" t="inlineStr">
        <is>
          <t>A 25236-2020</t>
        </is>
      </c>
      <c r="B413" s="1" t="n">
        <v>43980</v>
      </c>
      <c r="C413" s="1" t="n">
        <v>45796</v>
      </c>
      <c r="D413" t="inlineStr">
        <is>
          <t>JÄMTLANDS LÄN</t>
        </is>
      </c>
      <c r="E413" t="inlineStr">
        <is>
          <t>HÄRJEDALEN</t>
        </is>
      </c>
      <c r="G413" t="n">
        <v>2.2</v>
      </c>
      <c r="H413" t="n">
        <v>0</v>
      </c>
      <c r="I413" t="n">
        <v>0</v>
      </c>
      <c r="J413" t="n">
        <v>0</v>
      </c>
      <c r="K413" t="n">
        <v>0</v>
      </c>
      <c r="L413" t="n">
        <v>0</v>
      </c>
      <c r="M413" t="n">
        <v>0</v>
      </c>
      <c r="N413" t="n">
        <v>0</v>
      </c>
      <c r="O413" t="n">
        <v>0</v>
      </c>
      <c r="P413" t="n">
        <v>0</v>
      </c>
      <c r="Q413" t="n">
        <v>0</v>
      </c>
      <c r="R413" s="2" t="inlineStr"/>
    </row>
    <row r="414" ht="15" customHeight="1">
      <c r="A414" t="inlineStr">
        <is>
          <t>A 25779-2020</t>
        </is>
      </c>
      <c r="B414" s="1" t="n">
        <v>43984</v>
      </c>
      <c r="C414" s="1" t="n">
        <v>45796</v>
      </c>
      <c r="D414" t="inlineStr">
        <is>
          <t>JÄMTLANDS LÄN</t>
        </is>
      </c>
      <c r="E414" t="inlineStr">
        <is>
          <t>HÄRJEDALEN</t>
        </is>
      </c>
      <c r="G414" t="n">
        <v>22.2</v>
      </c>
      <c r="H414" t="n">
        <v>0</v>
      </c>
      <c r="I414" t="n">
        <v>0</v>
      </c>
      <c r="J414" t="n">
        <v>0</v>
      </c>
      <c r="K414" t="n">
        <v>0</v>
      </c>
      <c r="L414" t="n">
        <v>0</v>
      </c>
      <c r="M414" t="n">
        <v>0</v>
      </c>
      <c r="N414" t="n">
        <v>0</v>
      </c>
      <c r="O414" t="n">
        <v>0</v>
      </c>
      <c r="P414" t="n">
        <v>0</v>
      </c>
      <c r="Q414" t="n">
        <v>0</v>
      </c>
      <c r="R414" s="2" t="inlineStr"/>
    </row>
    <row r="415" ht="15" customHeight="1">
      <c r="A415" t="inlineStr">
        <is>
          <t>A 26056-2020</t>
        </is>
      </c>
      <c r="B415" s="1" t="n">
        <v>43984</v>
      </c>
      <c r="C415" s="1" t="n">
        <v>45796</v>
      </c>
      <c r="D415" t="inlineStr">
        <is>
          <t>JÄMTLANDS LÄN</t>
        </is>
      </c>
      <c r="E415" t="inlineStr">
        <is>
          <t>HÄRJEDALEN</t>
        </is>
      </c>
      <c r="G415" t="n">
        <v>53.1</v>
      </c>
      <c r="H415" t="n">
        <v>0</v>
      </c>
      <c r="I415" t="n">
        <v>0</v>
      </c>
      <c r="J415" t="n">
        <v>0</v>
      </c>
      <c r="K415" t="n">
        <v>0</v>
      </c>
      <c r="L415" t="n">
        <v>0</v>
      </c>
      <c r="M415" t="n">
        <v>0</v>
      </c>
      <c r="N415" t="n">
        <v>0</v>
      </c>
      <c r="O415" t="n">
        <v>0</v>
      </c>
      <c r="P415" t="n">
        <v>0</v>
      </c>
      <c r="Q415" t="n">
        <v>0</v>
      </c>
      <c r="R415" s="2" t="inlineStr"/>
    </row>
    <row r="416" ht="15" customHeight="1">
      <c r="A416" t="inlineStr">
        <is>
          <t>A 27854-2020</t>
        </is>
      </c>
      <c r="B416" s="1" t="n">
        <v>43994</v>
      </c>
      <c r="C416" s="1" t="n">
        <v>45796</v>
      </c>
      <c r="D416" t="inlineStr">
        <is>
          <t>JÄMTLANDS LÄN</t>
        </is>
      </c>
      <c r="E416" t="inlineStr">
        <is>
          <t>HÄRJEDALEN</t>
        </is>
      </c>
      <c r="F416" t="inlineStr">
        <is>
          <t>Sveaskog</t>
        </is>
      </c>
      <c r="G416" t="n">
        <v>7.1</v>
      </c>
      <c r="H416" t="n">
        <v>0</v>
      </c>
      <c r="I416" t="n">
        <v>0</v>
      </c>
      <c r="J416" t="n">
        <v>0</v>
      </c>
      <c r="K416" t="n">
        <v>0</v>
      </c>
      <c r="L416" t="n">
        <v>0</v>
      </c>
      <c r="M416" t="n">
        <v>0</v>
      </c>
      <c r="N416" t="n">
        <v>0</v>
      </c>
      <c r="O416" t="n">
        <v>0</v>
      </c>
      <c r="P416" t="n">
        <v>0</v>
      </c>
      <c r="Q416" t="n">
        <v>0</v>
      </c>
      <c r="R416" s="2" t="inlineStr"/>
    </row>
    <row r="417" ht="15" customHeight="1">
      <c r="A417" t="inlineStr">
        <is>
          <t>A 28543-2020</t>
        </is>
      </c>
      <c r="B417" s="1" t="n">
        <v>43999</v>
      </c>
      <c r="C417" s="1" t="n">
        <v>45796</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29158-2020</t>
        </is>
      </c>
      <c r="B418" s="1" t="n">
        <v>44004</v>
      </c>
      <c r="C418" s="1" t="n">
        <v>45796</v>
      </c>
      <c r="D418" t="inlineStr">
        <is>
          <t>JÄMTLANDS LÄN</t>
        </is>
      </c>
      <c r="E418" t="inlineStr">
        <is>
          <t>HÄRJEDALEN</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29154-2020</t>
        </is>
      </c>
      <c r="B419" s="1" t="n">
        <v>44004</v>
      </c>
      <c r="C419" s="1" t="n">
        <v>45796</v>
      </c>
      <c r="D419" t="inlineStr">
        <is>
          <t>JÄMTLANDS LÄN</t>
        </is>
      </c>
      <c r="E419" t="inlineStr">
        <is>
          <t>HÄRJEDALEN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30963-2020</t>
        </is>
      </c>
      <c r="B420" s="1" t="n">
        <v>44011</v>
      </c>
      <c r="C420" s="1" t="n">
        <v>45796</v>
      </c>
      <c r="D420" t="inlineStr">
        <is>
          <t>JÄMTLANDS LÄN</t>
        </is>
      </c>
      <c r="E420" t="inlineStr">
        <is>
          <t>HÄRJEDALEN</t>
        </is>
      </c>
      <c r="F420" t="inlineStr">
        <is>
          <t>Sveaskog</t>
        </is>
      </c>
      <c r="G420" t="n">
        <v>11.6</v>
      </c>
      <c r="H420" t="n">
        <v>0</v>
      </c>
      <c r="I420" t="n">
        <v>0</v>
      </c>
      <c r="J420" t="n">
        <v>0</v>
      </c>
      <c r="K420" t="n">
        <v>0</v>
      </c>
      <c r="L420" t="n">
        <v>0</v>
      </c>
      <c r="M420" t="n">
        <v>0</v>
      </c>
      <c r="N420" t="n">
        <v>0</v>
      </c>
      <c r="O420" t="n">
        <v>0</v>
      </c>
      <c r="P420" t="n">
        <v>0</v>
      </c>
      <c r="Q420" t="n">
        <v>0</v>
      </c>
      <c r="R420" s="2" t="inlineStr"/>
    </row>
    <row r="421" ht="15" customHeight="1">
      <c r="A421" t="inlineStr">
        <is>
          <t>A 30936-2020</t>
        </is>
      </c>
      <c r="B421" s="1" t="n">
        <v>44011</v>
      </c>
      <c r="C421" s="1" t="n">
        <v>45796</v>
      </c>
      <c r="D421" t="inlineStr">
        <is>
          <t>JÄMTLANDS LÄN</t>
        </is>
      </c>
      <c r="E421" t="inlineStr">
        <is>
          <t>HÄRJEDALEN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30940-2020</t>
        </is>
      </c>
      <c r="B422" s="1" t="n">
        <v>44011</v>
      </c>
      <c r="C422" s="1" t="n">
        <v>45796</v>
      </c>
      <c r="D422" t="inlineStr">
        <is>
          <t>JÄMTLANDS LÄN</t>
        </is>
      </c>
      <c r="E422" t="inlineStr">
        <is>
          <t>HÄRJEDALEN</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31264-2020</t>
        </is>
      </c>
      <c r="B423" s="1" t="n">
        <v>44012</v>
      </c>
      <c r="C423" s="1" t="n">
        <v>45796</v>
      </c>
      <c r="D423" t="inlineStr">
        <is>
          <t>JÄMTLANDS LÄN</t>
        </is>
      </c>
      <c r="E423" t="inlineStr">
        <is>
          <t>HÄRJEDALEN</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31872-2020</t>
        </is>
      </c>
      <c r="B424" s="1" t="n">
        <v>44014</v>
      </c>
      <c r="C424" s="1" t="n">
        <v>45796</v>
      </c>
      <c r="D424" t="inlineStr">
        <is>
          <t>JÄMTLANDS LÄN</t>
        </is>
      </c>
      <c r="E424" t="inlineStr">
        <is>
          <t>HÄRJEDALEN</t>
        </is>
      </c>
      <c r="G424" t="n">
        <v>21.4</v>
      </c>
      <c r="H424" t="n">
        <v>0</v>
      </c>
      <c r="I424" t="n">
        <v>0</v>
      </c>
      <c r="J424" t="n">
        <v>0</v>
      </c>
      <c r="K424" t="n">
        <v>0</v>
      </c>
      <c r="L424" t="n">
        <v>0</v>
      </c>
      <c r="M424" t="n">
        <v>0</v>
      </c>
      <c r="N424" t="n">
        <v>0</v>
      </c>
      <c r="O424" t="n">
        <v>0</v>
      </c>
      <c r="P424" t="n">
        <v>0</v>
      </c>
      <c r="Q424" t="n">
        <v>0</v>
      </c>
      <c r="R424" s="2" t="inlineStr"/>
    </row>
    <row r="425" ht="15" customHeight="1">
      <c r="A425" t="inlineStr">
        <is>
          <t>A 31920-2020</t>
        </is>
      </c>
      <c r="B425" s="1" t="n">
        <v>44014</v>
      </c>
      <c r="C425" s="1" t="n">
        <v>45796</v>
      </c>
      <c r="D425" t="inlineStr">
        <is>
          <t>JÄMTLANDS LÄN</t>
        </is>
      </c>
      <c r="E425" t="inlineStr">
        <is>
          <t>HÄRJEDALEN</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33020-2020</t>
        </is>
      </c>
      <c r="B426" s="1" t="n">
        <v>44021</v>
      </c>
      <c r="C426" s="1" t="n">
        <v>45796</v>
      </c>
      <c r="D426" t="inlineStr">
        <is>
          <t>JÄMTLANDS LÄN</t>
        </is>
      </c>
      <c r="E426" t="inlineStr">
        <is>
          <t>HÄRJEDALEN</t>
        </is>
      </c>
      <c r="G426" t="n">
        <v>1.7</v>
      </c>
      <c r="H426" t="n">
        <v>0</v>
      </c>
      <c r="I426" t="n">
        <v>0</v>
      </c>
      <c r="J426" t="n">
        <v>0</v>
      </c>
      <c r="K426" t="n">
        <v>0</v>
      </c>
      <c r="L426" t="n">
        <v>0</v>
      </c>
      <c r="M426" t="n">
        <v>0</v>
      </c>
      <c r="N426" t="n">
        <v>0</v>
      </c>
      <c r="O426" t="n">
        <v>0</v>
      </c>
      <c r="P426" t="n">
        <v>0</v>
      </c>
      <c r="Q426" t="n">
        <v>0</v>
      </c>
      <c r="R426" s="2" t="inlineStr"/>
    </row>
    <row r="427" ht="15" customHeight="1">
      <c r="A427" t="inlineStr">
        <is>
          <t>A 33812-2020</t>
        </is>
      </c>
      <c r="B427" s="1" t="n">
        <v>44025</v>
      </c>
      <c r="C427" s="1" t="n">
        <v>45796</v>
      </c>
      <c r="D427" t="inlineStr">
        <is>
          <t>JÄMTLANDS LÄN</t>
        </is>
      </c>
      <c r="E427" t="inlineStr">
        <is>
          <t>HÄRJEDALEN</t>
        </is>
      </c>
      <c r="G427" t="n">
        <v>3.2</v>
      </c>
      <c r="H427" t="n">
        <v>0</v>
      </c>
      <c r="I427" t="n">
        <v>0</v>
      </c>
      <c r="J427" t="n">
        <v>0</v>
      </c>
      <c r="K427" t="n">
        <v>0</v>
      </c>
      <c r="L427" t="n">
        <v>0</v>
      </c>
      <c r="M427" t="n">
        <v>0</v>
      </c>
      <c r="N427" t="n">
        <v>0</v>
      </c>
      <c r="O427" t="n">
        <v>0</v>
      </c>
      <c r="P427" t="n">
        <v>0</v>
      </c>
      <c r="Q427" t="n">
        <v>0</v>
      </c>
      <c r="R427" s="2" t="inlineStr"/>
    </row>
    <row r="428" ht="15" customHeight="1">
      <c r="A428" t="inlineStr">
        <is>
          <t>A 33513-2020</t>
        </is>
      </c>
      <c r="B428" s="1" t="n">
        <v>44025</v>
      </c>
      <c r="C428" s="1" t="n">
        <v>45796</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33701-2020</t>
        </is>
      </c>
      <c r="B429" s="1" t="n">
        <v>44026</v>
      </c>
      <c r="C429" s="1" t="n">
        <v>45796</v>
      </c>
      <c r="D429" t="inlineStr">
        <is>
          <t>JÄMTLANDS LÄN</t>
        </is>
      </c>
      <c r="E429" t="inlineStr">
        <is>
          <t>HÄRJEDALEN</t>
        </is>
      </c>
      <c r="F429" t="inlineStr">
        <is>
          <t>Bergvik skog väst AB</t>
        </is>
      </c>
      <c r="G429" t="n">
        <v>7.2</v>
      </c>
      <c r="H429" t="n">
        <v>0</v>
      </c>
      <c r="I429" t="n">
        <v>0</v>
      </c>
      <c r="J429" t="n">
        <v>0</v>
      </c>
      <c r="K429" t="n">
        <v>0</v>
      </c>
      <c r="L429" t="n">
        <v>0</v>
      </c>
      <c r="M429" t="n">
        <v>0</v>
      </c>
      <c r="N429" t="n">
        <v>0</v>
      </c>
      <c r="O429" t="n">
        <v>0</v>
      </c>
      <c r="P429" t="n">
        <v>0</v>
      </c>
      <c r="Q429" t="n">
        <v>0</v>
      </c>
      <c r="R429" s="2" t="inlineStr"/>
    </row>
    <row r="430" ht="15" customHeight="1">
      <c r="A430" t="inlineStr">
        <is>
          <t>A 33942-2020</t>
        </is>
      </c>
      <c r="B430" s="1" t="n">
        <v>44028</v>
      </c>
      <c r="C430" s="1" t="n">
        <v>45796</v>
      </c>
      <c r="D430" t="inlineStr">
        <is>
          <t>JÄMTLANDS LÄN</t>
        </is>
      </c>
      <c r="E430" t="inlineStr">
        <is>
          <t>HÄRJEDALEN</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34894-2020</t>
        </is>
      </c>
      <c r="B431" s="1" t="n">
        <v>44036</v>
      </c>
      <c r="C431" s="1" t="n">
        <v>45796</v>
      </c>
      <c r="D431" t="inlineStr">
        <is>
          <t>JÄMTLANDS LÄN</t>
        </is>
      </c>
      <c r="E431" t="inlineStr">
        <is>
          <t>HÄRJEDALEN</t>
        </is>
      </c>
      <c r="G431" t="n">
        <v>4</v>
      </c>
      <c r="H431" t="n">
        <v>0</v>
      </c>
      <c r="I431" t="n">
        <v>0</v>
      </c>
      <c r="J431" t="n">
        <v>0</v>
      </c>
      <c r="K431" t="n">
        <v>0</v>
      </c>
      <c r="L431" t="n">
        <v>0</v>
      </c>
      <c r="M431" t="n">
        <v>0</v>
      </c>
      <c r="N431" t="n">
        <v>0</v>
      </c>
      <c r="O431" t="n">
        <v>0</v>
      </c>
      <c r="P431" t="n">
        <v>0</v>
      </c>
      <c r="Q431" t="n">
        <v>0</v>
      </c>
      <c r="R431" s="2" t="inlineStr"/>
    </row>
    <row r="432" ht="15" customHeight="1">
      <c r="A432" t="inlineStr">
        <is>
          <t>A 34900-2020</t>
        </is>
      </c>
      <c r="B432" s="1" t="n">
        <v>44036</v>
      </c>
      <c r="C432" s="1" t="n">
        <v>45796</v>
      </c>
      <c r="D432" t="inlineStr">
        <is>
          <t>JÄMTLANDS LÄN</t>
        </is>
      </c>
      <c r="E432" t="inlineStr">
        <is>
          <t>HÄRJEDALEN</t>
        </is>
      </c>
      <c r="G432" t="n">
        <v>13.1</v>
      </c>
      <c r="H432" t="n">
        <v>0</v>
      </c>
      <c r="I432" t="n">
        <v>0</v>
      </c>
      <c r="J432" t="n">
        <v>0</v>
      </c>
      <c r="K432" t="n">
        <v>0</v>
      </c>
      <c r="L432" t="n">
        <v>0</v>
      </c>
      <c r="M432" t="n">
        <v>0</v>
      </c>
      <c r="N432" t="n">
        <v>0</v>
      </c>
      <c r="O432" t="n">
        <v>0</v>
      </c>
      <c r="P432" t="n">
        <v>0</v>
      </c>
      <c r="Q432" t="n">
        <v>0</v>
      </c>
      <c r="R432" s="2" t="inlineStr"/>
    </row>
    <row r="433" ht="15" customHeight="1">
      <c r="A433" t="inlineStr">
        <is>
          <t>A 34975-2020</t>
        </is>
      </c>
      <c r="B433" s="1" t="n">
        <v>44039</v>
      </c>
      <c r="C433" s="1" t="n">
        <v>45796</v>
      </c>
      <c r="D433" t="inlineStr">
        <is>
          <t>JÄMTLANDS LÄN</t>
        </is>
      </c>
      <c r="E433" t="inlineStr">
        <is>
          <t>HÄRJEDALEN</t>
        </is>
      </c>
      <c r="G433" t="n">
        <v>1.8</v>
      </c>
      <c r="H433" t="n">
        <v>0</v>
      </c>
      <c r="I433" t="n">
        <v>0</v>
      </c>
      <c r="J433" t="n">
        <v>0</v>
      </c>
      <c r="K433" t="n">
        <v>0</v>
      </c>
      <c r="L433" t="n">
        <v>0</v>
      </c>
      <c r="M433" t="n">
        <v>0</v>
      </c>
      <c r="N433" t="n">
        <v>0</v>
      </c>
      <c r="O433" t="n">
        <v>0</v>
      </c>
      <c r="P433" t="n">
        <v>0</v>
      </c>
      <c r="Q433" t="n">
        <v>0</v>
      </c>
      <c r="R433" s="2" t="inlineStr"/>
    </row>
    <row r="434" ht="15" customHeight="1">
      <c r="A434" t="inlineStr">
        <is>
          <t>A 34963-2020</t>
        </is>
      </c>
      <c r="B434" s="1" t="n">
        <v>44039</v>
      </c>
      <c r="C434" s="1" t="n">
        <v>45796</v>
      </c>
      <c r="D434" t="inlineStr">
        <is>
          <t>JÄMTLANDS LÄN</t>
        </is>
      </c>
      <c r="E434" t="inlineStr">
        <is>
          <t>HÄRJEDALEN</t>
        </is>
      </c>
      <c r="G434" t="n">
        <v>1.2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45796</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45796</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45796</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45796</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45796</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45796</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45796</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45796</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45796</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45796</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45796</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45796</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45796</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45796</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45796</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45796</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45796</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45796</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45796</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45796</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45796</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45796</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45796</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45796</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45796</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45796</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45796</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45796</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45796</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45796</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45796</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45796</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45796</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45796</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45796</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45796</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45796</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45796</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45796</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45796</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45796</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45796</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45796</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45796</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45796</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45796</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45796</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45796</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45796</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45796</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45796</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45796</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45796</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45796</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45796</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45796</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45796</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45796</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45796</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45796</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45796</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45796</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45796</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45796</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45796</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45796</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45796</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45796</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45796</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45796</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45796</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45796</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45796</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45796</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45796</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45796</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45796</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45796</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45796</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45796</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45796</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45796</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45796</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45796</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45796</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45796</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45796</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45796</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45796</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45796</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45796</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45796</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45796</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45796</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45796</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45796</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45796</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45796</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45796</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45796</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45796</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45796</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45796</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45796</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45796</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45796</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45796</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45796</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45796</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45796</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45796</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45796</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45796</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45796</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45796</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45796</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45796</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45796</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45796</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45796</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45796</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45796</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45796</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45796</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45796</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45796</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45796</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45796</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45796</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45796</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45796</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45796</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45796</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45796</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45796</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45796</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45796</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45796</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45796</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45796</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45796</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45796</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45796</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45796</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45796</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45796</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45796</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45796</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45796</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45796</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45796</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45796</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45796</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45796</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45796</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45796</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45796</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45796</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45796</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45796</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45796</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45796</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45796</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45796</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45796</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45796</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45796</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45796</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45796</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45796</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45796</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45796</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45796</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45796</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45796</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45796</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45796</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45796</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45796</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45796</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45796</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45796</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45796</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45796</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45796</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45796</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45796</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45796</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45796</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45796</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45796</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45796</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45796</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45796</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45796</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45796</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45365-2021</t>
        </is>
      </c>
      <c r="B631" s="1" t="n">
        <v>44440</v>
      </c>
      <c r="C631" s="1" t="n">
        <v>45796</v>
      </c>
      <c r="D631" t="inlineStr">
        <is>
          <t>JÄMTLANDS LÄN</t>
        </is>
      </c>
      <c r="E631" t="inlineStr">
        <is>
          <t>HÄRJEDALEN</t>
        </is>
      </c>
      <c r="F631" t="inlineStr">
        <is>
          <t>Sveaskog</t>
        </is>
      </c>
      <c r="G631" t="n">
        <v>4.8</v>
      </c>
      <c r="H631" t="n">
        <v>0</v>
      </c>
      <c r="I631" t="n">
        <v>0</v>
      </c>
      <c r="J631" t="n">
        <v>0</v>
      </c>
      <c r="K631" t="n">
        <v>0</v>
      </c>
      <c r="L631" t="n">
        <v>0</v>
      </c>
      <c r="M631" t="n">
        <v>0</v>
      </c>
      <c r="N631" t="n">
        <v>0</v>
      </c>
      <c r="O631" t="n">
        <v>0</v>
      </c>
      <c r="P631" t="n">
        <v>0</v>
      </c>
      <c r="Q631" t="n">
        <v>0</v>
      </c>
      <c r="R631" s="2" t="inlineStr"/>
    </row>
    <row r="632" ht="15" customHeight="1">
      <c r="A632" t="inlineStr">
        <is>
          <t>A 45744-2021</t>
        </is>
      </c>
      <c r="B632" s="1" t="n">
        <v>44441</v>
      </c>
      <c r="C632" s="1" t="n">
        <v>45796</v>
      </c>
      <c r="D632" t="inlineStr">
        <is>
          <t>JÄMTLANDS LÄN</t>
        </is>
      </c>
      <c r="E632" t="inlineStr">
        <is>
          <t>HÄRJEDALEN</t>
        </is>
      </c>
      <c r="F632" t="inlineStr">
        <is>
          <t>Holmen skog AB</t>
        </is>
      </c>
      <c r="G632" t="n">
        <v>6.9</v>
      </c>
      <c r="H632" t="n">
        <v>0</v>
      </c>
      <c r="I632" t="n">
        <v>0</v>
      </c>
      <c r="J632" t="n">
        <v>0</v>
      </c>
      <c r="K632" t="n">
        <v>0</v>
      </c>
      <c r="L632" t="n">
        <v>0</v>
      </c>
      <c r="M632" t="n">
        <v>0</v>
      </c>
      <c r="N632" t="n">
        <v>0</v>
      </c>
      <c r="O632" t="n">
        <v>0</v>
      </c>
      <c r="P632" t="n">
        <v>0</v>
      </c>
      <c r="Q632" t="n">
        <v>0</v>
      </c>
      <c r="R632" s="2" t="inlineStr"/>
    </row>
    <row r="633" ht="15" customHeight="1">
      <c r="A633" t="inlineStr">
        <is>
          <t>A 46352-2021</t>
        </is>
      </c>
      <c r="B633" s="1" t="n">
        <v>44442</v>
      </c>
      <c r="C633" s="1" t="n">
        <v>45796</v>
      </c>
      <c r="D633" t="inlineStr">
        <is>
          <t>JÄMTLANDS LÄN</t>
        </is>
      </c>
      <c r="E633" t="inlineStr">
        <is>
          <t>HÄRJEDALEN</t>
        </is>
      </c>
      <c r="G633" t="n">
        <v>4.4</v>
      </c>
      <c r="H633" t="n">
        <v>0</v>
      </c>
      <c r="I633" t="n">
        <v>0</v>
      </c>
      <c r="J633" t="n">
        <v>0</v>
      </c>
      <c r="K633" t="n">
        <v>0</v>
      </c>
      <c r="L633" t="n">
        <v>0</v>
      </c>
      <c r="M633" t="n">
        <v>0</v>
      </c>
      <c r="N633" t="n">
        <v>0</v>
      </c>
      <c r="O633" t="n">
        <v>0</v>
      </c>
      <c r="P633" t="n">
        <v>0</v>
      </c>
      <c r="Q633" t="n">
        <v>0</v>
      </c>
      <c r="R633" s="2" t="inlineStr"/>
    </row>
    <row r="634" ht="15" customHeight="1">
      <c r="A634" t="inlineStr">
        <is>
          <t>A 47289-2021</t>
        </is>
      </c>
      <c r="B634" s="1" t="n">
        <v>44447</v>
      </c>
      <c r="C634" s="1" t="n">
        <v>45796</v>
      </c>
      <c r="D634" t="inlineStr">
        <is>
          <t>JÄMTLANDS LÄN</t>
        </is>
      </c>
      <c r="E634" t="inlineStr">
        <is>
          <t>HÄRJEDALEN</t>
        </is>
      </c>
      <c r="F634" t="inlineStr">
        <is>
          <t>Holmen skog AB</t>
        </is>
      </c>
      <c r="G634" t="n">
        <v>31.7</v>
      </c>
      <c r="H634" t="n">
        <v>0</v>
      </c>
      <c r="I634" t="n">
        <v>0</v>
      </c>
      <c r="J634" t="n">
        <v>0</v>
      </c>
      <c r="K634" t="n">
        <v>0</v>
      </c>
      <c r="L634" t="n">
        <v>0</v>
      </c>
      <c r="M634" t="n">
        <v>0</v>
      </c>
      <c r="N634" t="n">
        <v>0</v>
      </c>
      <c r="O634" t="n">
        <v>0</v>
      </c>
      <c r="P634" t="n">
        <v>0</v>
      </c>
      <c r="Q634" t="n">
        <v>0</v>
      </c>
      <c r="R634" s="2" t="inlineStr"/>
    </row>
    <row r="635" ht="15" customHeight="1">
      <c r="A635" t="inlineStr">
        <is>
          <t>A 48079-2021</t>
        </is>
      </c>
      <c r="B635" s="1" t="n">
        <v>44449</v>
      </c>
      <c r="C635" s="1" t="n">
        <v>45796</v>
      </c>
      <c r="D635" t="inlineStr">
        <is>
          <t>JÄMTLANDS LÄN</t>
        </is>
      </c>
      <c r="E635" t="inlineStr">
        <is>
          <t>HÄRJEDALEN</t>
        </is>
      </c>
      <c r="G635" t="n">
        <v>12.5</v>
      </c>
      <c r="H635" t="n">
        <v>0</v>
      </c>
      <c r="I635" t="n">
        <v>0</v>
      </c>
      <c r="J635" t="n">
        <v>0</v>
      </c>
      <c r="K635" t="n">
        <v>0</v>
      </c>
      <c r="L635" t="n">
        <v>0</v>
      </c>
      <c r="M635" t="n">
        <v>0</v>
      </c>
      <c r="N635" t="n">
        <v>0</v>
      </c>
      <c r="O635" t="n">
        <v>0</v>
      </c>
      <c r="P635" t="n">
        <v>0</v>
      </c>
      <c r="Q635" t="n">
        <v>0</v>
      </c>
      <c r="R635" s="2" t="inlineStr"/>
    </row>
    <row r="636" ht="15" customHeight="1">
      <c r="A636" t="inlineStr">
        <is>
          <t>A 48132-2021</t>
        </is>
      </c>
      <c r="B636" s="1" t="n">
        <v>44449</v>
      </c>
      <c r="C636" s="1" t="n">
        <v>45796</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48142-2021</t>
        </is>
      </c>
      <c r="B637" s="1" t="n">
        <v>44449</v>
      </c>
      <c r="C637" s="1" t="n">
        <v>45796</v>
      </c>
      <c r="D637" t="inlineStr">
        <is>
          <t>JÄMTLANDS LÄN</t>
        </is>
      </c>
      <c r="E637" t="inlineStr">
        <is>
          <t>HÄRJEDALEN</t>
        </is>
      </c>
      <c r="F637" t="inlineStr">
        <is>
          <t>Holmen skog AB</t>
        </is>
      </c>
      <c r="G637" t="n">
        <v>3.8</v>
      </c>
      <c r="H637" t="n">
        <v>0</v>
      </c>
      <c r="I637" t="n">
        <v>0</v>
      </c>
      <c r="J637" t="n">
        <v>0</v>
      </c>
      <c r="K637" t="n">
        <v>0</v>
      </c>
      <c r="L637" t="n">
        <v>0</v>
      </c>
      <c r="M637" t="n">
        <v>0</v>
      </c>
      <c r="N637" t="n">
        <v>0</v>
      </c>
      <c r="O637" t="n">
        <v>0</v>
      </c>
      <c r="P637" t="n">
        <v>0</v>
      </c>
      <c r="Q637" t="n">
        <v>0</v>
      </c>
      <c r="R637" s="2" t="inlineStr"/>
    </row>
    <row r="638" ht="15" customHeight="1">
      <c r="A638" t="inlineStr">
        <is>
          <t>A 48444-2021</t>
        </is>
      </c>
      <c r="B638" s="1" t="n">
        <v>44452</v>
      </c>
      <c r="C638" s="1" t="n">
        <v>45796</v>
      </c>
      <c r="D638" t="inlineStr">
        <is>
          <t>JÄMTLANDS LÄN</t>
        </is>
      </c>
      <c r="E638" t="inlineStr">
        <is>
          <t>HÄRJEDALEN</t>
        </is>
      </c>
      <c r="F638" t="inlineStr">
        <is>
          <t>Holmen skog AB</t>
        </is>
      </c>
      <c r="G638" t="n">
        <v>7.4</v>
      </c>
      <c r="H638" t="n">
        <v>0</v>
      </c>
      <c r="I638" t="n">
        <v>0</v>
      </c>
      <c r="J638" t="n">
        <v>0</v>
      </c>
      <c r="K638" t="n">
        <v>0</v>
      </c>
      <c r="L638" t="n">
        <v>0</v>
      </c>
      <c r="M638" t="n">
        <v>0</v>
      </c>
      <c r="N638" t="n">
        <v>0</v>
      </c>
      <c r="O638" t="n">
        <v>0</v>
      </c>
      <c r="P638" t="n">
        <v>0</v>
      </c>
      <c r="Q638" t="n">
        <v>0</v>
      </c>
      <c r="R638" s="2" t="inlineStr"/>
    </row>
    <row r="639" ht="15" customHeight="1">
      <c r="A639" t="inlineStr">
        <is>
          <t>A 48586-2021</t>
        </is>
      </c>
      <c r="B639" s="1" t="n">
        <v>44452</v>
      </c>
      <c r="C639" s="1" t="n">
        <v>45796</v>
      </c>
      <c r="D639" t="inlineStr">
        <is>
          <t>JÄMTLANDS LÄN</t>
        </is>
      </c>
      <c r="E639" t="inlineStr">
        <is>
          <t>HÄRJEDALEN</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48769-2021</t>
        </is>
      </c>
      <c r="B640" s="1" t="n">
        <v>44452</v>
      </c>
      <c r="C640" s="1" t="n">
        <v>45796</v>
      </c>
      <c r="D640" t="inlineStr">
        <is>
          <t>JÄMTLANDS LÄN</t>
        </is>
      </c>
      <c r="E640" t="inlineStr">
        <is>
          <t>HÄRJEDALEN</t>
        </is>
      </c>
      <c r="F640" t="inlineStr">
        <is>
          <t>Holmen skog AB</t>
        </is>
      </c>
      <c r="G640" t="n">
        <v>2.3</v>
      </c>
      <c r="H640" t="n">
        <v>0</v>
      </c>
      <c r="I640" t="n">
        <v>0</v>
      </c>
      <c r="J640" t="n">
        <v>0</v>
      </c>
      <c r="K640" t="n">
        <v>0</v>
      </c>
      <c r="L640" t="n">
        <v>0</v>
      </c>
      <c r="M640" t="n">
        <v>0</v>
      </c>
      <c r="N640" t="n">
        <v>0</v>
      </c>
      <c r="O640" t="n">
        <v>0</v>
      </c>
      <c r="P640" t="n">
        <v>0</v>
      </c>
      <c r="Q640" t="n">
        <v>0</v>
      </c>
      <c r="R640" s="2" t="inlineStr"/>
    </row>
    <row r="641" ht="15" customHeight="1">
      <c r="A641" t="inlineStr">
        <is>
          <t>A 48681-2021</t>
        </is>
      </c>
      <c r="B641" s="1" t="n">
        <v>44452</v>
      </c>
      <c r="C641" s="1" t="n">
        <v>45796</v>
      </c>
      <c r="D641" t="inlineStr">
        <is>
          <t>JÄMTLANDS LÄN</t>
        </is>
      </c>
      <c r="E641" t="inlineStr">
        <is>
          <t>HÄRJEDALEN</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50775-2021</t>
        </is>
      </c>
      <c r="B642" s="1" t="n">
        <v>44460</v>
      </c>
      <c r="C642" s="1" t="n">
        <v>45796</v>
      </c>
      <c r="D642" t="inlineStr">
        <is>
          <t>JÄMTLANDS LÄN</t>
        </is>
      </c>
      <c r="E642" t="inlineStr">
        <is>
          <t>HÄRJEDALEN</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52685-2021</t>
        </is>
      </c>
      <c r="B643" s="1" t="n">
        <v>44466</v>
      </c>
      <c r="C643" s="1" t="n">
        <v>45796</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54103-2021</t>
        </is>
      </c>
      <c r="B644" s="1" t="n">
        <v>44470</v>
      </c>
      <c r="C644" s="1" t="n">
        <v>45796</v>
      </c>
      <c r="D644" t="inlineStr">
        <is>
          <t>JÄMTLANDS LÄN</t>
        </is>
      </c>
      <c r="E644" t="inlineStr">
        <is>
          <t>HÄRJEDALEN</t>
        </is>
      </c>
      <c r="F644" t="inlineStr">
        <is>
          <t>Holmen skog AB</t>
        </is>
      </c>
      <c r="G644" t="n">
        <v>11.9</v>
      </c>
      <c r="H644" t="n">
        <v>0</v>
      </c>
      <c r="I644" t="n">
        <v>0</v>
      </c>
      <c r="J644" t="n">
        <v>0</v>
      </c>
      <c r="K644" t="n">
        <v>0</v>
      </c>
      <c r="L644" t="n">
        <v>0</v>
      </c>
      <c r="M644" t="n">
        <v>0</v>
      </c>
      <c r="N644" t="n">
        <v>0</v>
      </c>
      <c r="O644" t="n">
        <v>0</v>
      </c>
      <c r="P644" t="n">
        <v>0</v>
      </c>
      <c r="Q644" t="n">
        <v>0</v>
      </c>
      <c r="R644" s="2" t="inlineStr"/>
    </row>
    <row r="645" ht="15" customHeight="1">
      <c r="A645" t="inlineStr">
        <is>
          <t>A 54218-2021</t>
        </is>
      </c>
      <c r="B645" s="1" t="n">
        <v>44470</v>
      </c>
      <c r="C645" s="1" t="n">
        <v>45796</v>
      </c>
      <c r="D645" t="inlineStr">
        <is>
          <t>JÄMTLANDS LÄN</t>
        </is>
      </c>
      <c r="E645" t="inlineStr">
        <is>
          <t>HÄRJEDALEN</t>
        </is>
      </c>
      <c r="F645" t="inlineStr">
        <is>
          <t>Holmen skog AB</t>
        </is>
      </c>
      <c r="G645" t="n">
        <v>4.6</v>
      </c>
      <c r="H645" t="n">
        <v>0</v>
      </c>
      <c r="I645" t="n">
        <v>0</v>
      </c>
      <c r="J645" t="n">
        <v>0</v>
      </c>
      <c r="K645" t="n">
        <v>0</v>
      </c>
      <c r="L645" t="n">
        <v>0</v>
      </c>
      <c r="M645" t="n">
        <v>0</v>
      </c>
      <c r="N645" t="n">
        <v>0</v>
      </c>
      <c r="O645" t="n">
        <v>0</v>
      </c>
      <c r="P645" t="n">
        <v>0</v>
      </c>
      <c r="Q645" t="n">
        <v>0</v>
      </c>
      <c r="R645" s="2" t="inlineStr"/>
    </row>
    <row r="646" ht="15" customHeight="1">
      <c r="A646" t="inlineStr">
        <is>
          <t>A 54331-2021</t>
        </is>
      </c>
      <c r="B646" s="1" t="n">
        <v>44472</v>
      </c>
      <c r="C646" s="1" t="n">
        <v>45796</v>
      </c>
      <c r="D646" t="inlineStr">
        <is>
          <t>JÄMTLANDS LÄN</t>
        </is>
      </c>
      <c r="E646" t="inlineStr">
        <is>
          <t>HÄRJEDALEN</t>
        </is>
      </c>
      <c r="G646" t="n">
        <v>0.7</v>
      </c>
      <c r="H646" t="n">
        <v>0</v>
      </c>
      <c r="I646" t="n">
        <v>0</v>
      </c>
      <c r="J646" t="n">
        <v>0</v>
      </c>
      <c r="K646" t="n">
        <v>0</v>
      </c>
      <c r="L646" t="n">
        <v>0</v>
      </c>
      <c r="M646" t="n">
        <v>0</v>
      </c>
      <c r="N646" t="n">
        <v>0</v>
      </c>
      <c r="O646" t="n">
        <v>0</v>
      </c>
      <c r="P646" t="n">
        <v>0</v>
      </c>
      <c r="Q646" t="n">
        <v>0</v>
      </c>
      <c r="R646" s="2" t="inlineStr"/>
    </row>
    <row r="647" ht="15" customHeight="1">
      <c r="A647" t="inlineStr">
        <is>
          <t>A 54842-2021</t>
        </is>
      </c>
      <c r="B647" s="1" t="n">
        <v>44473</v>
      </c>
      <c r="C647" s="1" t="n">
        <v>45796</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55029-2021</t>
        </is>
      </c>
      <c r="B648" s="1" t="n">
        <v>44474</v>
      </c>
      <c r="C648" s="1" t="n">
        <v>45796</v>
      </c>
      <c r="D648" t="inlineStr">
        <is>
          <t>JÄMTLANDS LÄN</t>
        </is>
      </c>
      <c r="E648" t="inlineStr">
        <is>
          <t>HÄRJEDALEN</t>
        </is>
      </c>
      <c r="G648" t="n">
        <v>6.2</v>
      </c>
      <c r="H648" t="n">
        <v>0</v>
      </c>
      <c r="I648" t="n">
        <v>0</v>
      </c>
      <c r="J648" t="n">
        <v>0</v>
      </c>
      <c r="K648" t="n">
        <v>0</v>
      </c>
      <c r="L648" t="n">
        <v>0</v>
      </c>
      <c r="M648" t="n">
        <v>0</v>
      </c>
      <c r="N648" t="n">
        <v>0</v>
      </c>
      <c r="O648" t="n">
        <v>0</v>
      </c>
      <c r="P648" t="n">
        <v>0</v>
      </c>
      <c r="Q648" t="n">
        <v>0</v>
      </c>
      <c r="R648" s="2" t="inlineStr"/>
    </row>
    <row r="649" ht="15" customHeight="1">
      <c r="A649" t="inlineStr">
        <is>
          <t>A 55219-2021</t>
        </is>
      </c>
      <c r="B649" s="1" t="n">
        <v>44475</v>
      </c>
      <c r="C649" s="1" t="n">
        <v>45796</v>
      </c>
      <c r="D649" t="inlineStr">
        <is>
          <t>JÄMTLANDS LÄN</t>
        </is>
      </c>
      <c r="E649" t="inlineStr">
        <is>
          <t>HÄRJEDALEN</t>
        </is>
      </c>
      <c r="G649" t="n">
        <v>2.5</v>
      </c>
      <c r="H649" t="n">
        <v>0</v>
      </c>
      <c r="I649" t="n">
        <v>0</v>
      </c>
      <c r="J649" t="n">
        <v>0</v>
      </c>
      <c r="K649" t="n">
        <v>0</v>
      </c>
      <c r="L649" t="n">
        <v>0</v>
      </c>
      <c r="M649" t="n">
        <v>0</v>
      </c>
      <c r="N649" t="n">
        <v>0</v>
      </c>
      <c r="O649" t="n">
        <v>0</v>
      </c>
      <c r="P649" t="n">
        <v>0</v>
      </c>
      <c r="Q649" t="n">
        <v>0</v>
      </c>
      <c r="R649" s="2" t="inlineStr"/>
    </row>
    <row r="650" ht="15" customHeight="1">
      <c r="A650" t="inlineStr">
        <is>
          <t>A 55226-2021</t>
        </is>
      </c>
      <c r="B650" s="1" t="n">
        <v>44475</v>
      </c>
      <c r="C650" s="1" t="n">
        <v>45796</v>
      </c>
      <c r="D650" t="inlineStr">
        <is>
          <t>JÄMTLANDS LÄN</t>
        </is>
      </c>
      <c r="E650" t="inlineStr">
        <is>
          <t>HÄRJEDALEN</t>
        </is>
      </c>
      <c r="G650" t="n">
        <v>0.2</v>
      </c>
      <c r="H650" t="n">
        <v>0</v>
      </c>
      <c r="I650" t="n">
        <v>0</v>
      </c>
      <c r="J650" t="n">
        <v>0</v>
      </c>
      <c r="K650" t="n">
        <v>0</v>
      </c>
      <c r="L650" t="n">
        <v>0</v>
      </c>
      <c r="M650" t="n">
        <v>0</v>
      </c>
      <c r="N650" t="n">
        <v>0</v>
      </c>
      <c r="O650" t="n">
        <v>0</v>
      </c>
      <c r="P650" t="n">
        <v>0</v>
      </c>
      <c r="Q650" t="n">
        <v>0</v>
      </c>
      <c r="R650" s="2" t="inlineStr"/>
    </row>
    <row r="651" ht="15" customHeight="1">
      <c r="A651" t="inlineStr">
        <is>
          <t>A 55232-2021</t>
        </is>
      </c>
      <c r="B651" s="1" t="n">
        <v>44475</v>
      </c>
      <c r="C651" s="1" t="n">
        <v>45796</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55250-2021</t>
        </is>
      </c>
      <c r="B652" s="1" t="n">
        <v>44475</v>
      </c>
      <c r="C652" s="1" t="n">
        <v>45796</v>
      </c>
      <c r="D652" t="inlineStr">
        <is>
          <t>JÄMTLANDS LÄN</t>
        </is>
      </c>
      <c r="E652" t="inlineStr">
        <is>
          <t>HÄRJEDALEN</t>
        </is>
      </c>
      <c r="G652" t="n">
        <v>0.7</v>
      </c>
      <c r="H652" t="n">
        <v>0</v>
      </c>
      <c r="I652" t="n">
        <v>0</v>
      </c>
      <c r="J652" t="n">
        <v>0</v>
      </c>
      <c r="K652" t="n">
        <v>0</v>
      </c>
      <c r="L652" t="n">
        <v>0</v>
      </c>
      <c r="M652" t="n">
        <v>0</v>
      </c>
      <c r="N652" t="n">
        <v>0</v>
      </c>
      <c r="O652" t="n">
        <v>0</v>
      </c>
      <c r="P652" t="n">
        <v>0</v>
      </c>
      <c r="Q652" t="n">
        <v>0</v>
      </c>
      <c r="R652" s="2" t="inlineStr"/>
    </row>
    <row r="653" ht="15" customHeight="1">
      <c r="A653" t="inlineStr">
        <is>
          <t>A 55231-2021</t>
        </is>
      </c>
      <c r="B653" s="1" t="n">
        <v>44475</v>
      </c>
      <c r="C653" s="1" t="n">
        <v>45796</v>
      </c>
      <c r="D653" t="inlineStr">
        <is>
          <t>JÄMTLANDS LÄN</t>
        </is>
      </c>
      <c r="E653" t="inlineStr">
        <is>
          <t>HÄRJEDALEN</t>
        </is>
      </c>
      <c r="G653" t="n">
        <v>0.9</v>
      </c>
      <c r="H653" t="n">
        <v>0</v>
      </c>
      <c r="I653" t="n">
        <v>0</v>
      </c>
      <c r="J653" t="n">
        <v>0</v>
      </c>
      <c r="K653" t="n">
        <v>0</v>
      </c>
      <c r="L653" t="n">
        <v>0</v>
      </c>
      <c r="M653" t="n">
        <v>0</v>
      </c>
      <c r="N653" t="n">
        <v>0</v>
      </c>
      <c r="O653" t="n">
        <v>0</v>
      </c>
      <c r="P653" t="n">
        <v>0</v>
      </c>
      <c r="Q653" t="n">
        <v>0</v>
      </c>
      <c r="R653" s="2" t="inlineStr"/>
    </row>
    <row r="654" ht="15" customHeight="1">
      <c r="A654" t="inlineStr">
        <is>
          <t>A 55238-2021</t>
        </is>
      </c>
      <c r="B654" s="1" t="n">
        <v>44475</v>
      </c>
      <c r="C654" s="1" t="n">
        <v>45796</v>
      </c>
      <c r="D654" t="inlineStr">
        <is>
          <t>JÄMTLANDS LÄN</t>
        </is>
      </c>
      <c r="E654" t="inlineStr">
        <is>
          <t>HÄRJEDALEN</t>
        </is>
      </c>
      <c r="G654" t="n">
        <v>2.2</v>
      </c>
      <c r="H654" t="n">
        <v>0</v>
      </c>
      <c r="I654" t="n">
        <v>0</v>
      </c>
      <c r="J654" t="n">
        <v>0</v>
      </c>
      <c r="K654" t="n">
        <v>0</v>
      </c>
      <c r="L654" t="n">
        <v>0</v>
      </c>
      <c r="M654" t="n">
        <v>0</v>
      </c>
      <c r="N654" t="n">
        <v>0</v>
      </c>
      <c r="O654" t="n">
        <v>0</v>
      </c>
      <c r="P654" t="n">
        <v>0</v>
      </c>
      <c r="Q654" t="n">
        <v>0</v>
      </c>
      <c r="R654" s="2" t="inlineStr"/>
    </row>
    <row r="655" ht="15" customHeight="1">
      <c r="A655" t="inlineStr">
        <is>
          <t>A 55242-2021</t>
        </is>
      </c>
      <c r="B655" s="1" t="n">
        <v>44475</v>
      </c>
      <c r="C655" s="1" t="n">
        <v>45796</v>
      </c>
      <c r="D655" t="inlineStr">
        <is>
          <t>JÄMTLANDS LÄN</t>
        </is>
      </c>
      <c r="E655" t="inlineStr">
        <is>
          <t>HÄRJEDALEN</t>
        </is>
      </c>
      <c r="G655" t="n">
        <v>26</v>
      </c>
      <c r="H655" t="n">
        <v>0</v>
      </c>
      <c r="I655" t="n">
        <v>0</v>
      </c>
      <c r="J655" t="n">
        <v>0</v>
      </c>
      <c r="K655" t="n">
        <v>0</v>
      </c>
      <c r="L655" t="n">
        <v>0</v>
      </c>
      <c r="M655" t="n">
        <v>0</v>
      </c>
      <c r="N655" t="n">
        <v>0</v>
      </c>
      <c r="O655" t="n">
        <v>0</v>
      </c>
      <c r="P655" t="n">
        <v>0</v>
      </c>
      <c r="Q655" t="n">
        <v>0</v>
      </c>
      <c r="R655" s="2" t="inlineStr"/>
    </row>
    <row r="656" ht="15" customHeight="1">
      <c r="A656" t="inlineStr">
        <is>
          <t>A 55252-2021</t>
        </is>
      </c>
      <c r="B656" s="1" t="n">
        <v>44475</v>
      </c>
      <c r="C656" s="1" t="n">
        <v>45796</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55257-2021</t>
        </is>
      </c>
      <c r="B657" s="1" t="n">
        <v>44475</v>
      </c>
      <c r="C657" s="1" t="n">
        <v>45796</v>
      </c>
      <c r="D657" t="inlineStr">
        <is>
          <t>JÄMTLANDS LÄN</t>
        </is>
      </c>
      <c r="E657" t="inlineStr">
        <is>
          <t>HÄRJEDALEN</t>
        </is>
      </c>
      <c r="G657" t="n">
        <v>0</v>
      </c>
      <c r="H657" t="n">
        <v>0</v>
      </c>
      <c r="I657" t="n">
        <v>0</v>
      </c>
      <c r="J657" t="n">
        <v>0</v>
      </c>
      <c r="K657" t="n">
        <v>0</v>
      </c>
      <c r="L657" t="n">
        <v>0</v>
      </c>
      <c r="M657" t="n">
        <v>0</v>
      </c>
      <c r="N657" t="n">
        <v>0</v>
      </c>
      <c r="O657" t="n">
        <v>0</v>
      </c>
      <c r="P657" t="n">
        <v>0</v>
      </c>
      <c r="Q657" t="n">
        <v>0</v>
      </c>
      <c r="R657" s="2" t="inlineStr"/>
    </row>
    <row r="658" ht="15" customHeight="1">
      <c r="A658" t="inlineStr">
        <is>
          <t>A 55255-2021</t>
        </is>
      </c>
      <c r="B658" s="1" t="n">
        <v>44475</v>
      </c>
      <c r="C658" s="1" t="n">
        <v>45796</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55246-2021</t>
        </is>
      </c>
      <c r="B659" s="1" t="n">
        <v>44475</v>
      </c>
      <c r="C659" s="1" t="n">
        <v>45796</v>
      </c>
      <c r="D659" t="inlineStr">
        <is>
          <t>JÄMTLANDS LÄN</t>
        </is>
      </c>
      <c r="E659" t="inlineStr">
        <is>
          <t>HÄRJEDALEN</t>
        </is>
      </c>
      <c r="G659" t="n">
        <v>3.8</v>
      </c>
      <c r="H659" t="n">
        <v>0</v>
      </c>
      <c r="I659" t="n">
        <v>0</v>
      </c>
      <c r="J659" t="n">
        <v>0</v>
      </c>
      <c r="K659" t="n">
        <v>0</v>
      </c>
      <c r="L659" t="n">
        <v>0</v>
      </c>
      <c r="M659" t="n">
        <v>0</v>
      </c>
      <c r="N659" t="n">
        <v>0</v>
      </c>
      <c r="O659" t="n">
        <v>0</v>
      </c>
      <c r="P659" t="n">
        <v>0</v>
      </c>
      <c r="Q659" t="n">
        <v>0</v>
      </c>
      <c r="R659" s="2" t="inlineStr"/>
    </row>
    <row r="660" ht="15" customHeight="1">
      <c r="A660" t="inlineStr">
        <is>
          <t>A 55384-2021</t>
        </is>
      </c>
      <c r="B660" s="1" t="n">
        <v>44475</v>
      </c>
      <c r="C660" s="1" t="n">
        <v>45796</v>
      </c>
      <c r="D660" t="inlineStr">
        <is>
          <t>JÄMTLANDS LÄN</t>
        </is>
      </c>
      <c r="E660" t="inlineStr">
        <is>
          <t>HÄRJEDALEN</t>
        </is>
      </c>
      <c r="G660" t="n">
        <v>0.3</v>
      </c>
      <c r="H660" t="n">
        <v>0</v>
      </c>
      <c r="I660" t="n">
        <v>0</v>
      </c>
      <c r="J660" t="n">
        <v>0</v>
      </c>
      <c r="K660" t="n">
        <v>0</v>
      </c>
      <c r="L660" t="n">
        <v>0</v>
      </c>
      <c r="M660" t="n">
        <v>0</v>
      </c>
      <c r="N660" t="n">
        <v>0</v>
      </c>
      <c r="O660" t="n">
        <v>0</v>
      </c>
      <c r="P660" t="n">
        <v>0</v>
      </c>
      <c r="Q660" t="n">
        <v>0</v>
      </c>
      <c r="R660" s="2" t="inlineStr"/>
    </row>
    <row r="661" ht="15" customHeight="1">
      <c r="A661" t="inlineStr">
        <is>
          <t>A 55379-2021</t>
        </is>
      </c>
      <c r="B661" s="1" t="n">
        <v>44475</v>
      </c>
      <c r="C661" s="1" t="n">
        <v>45796</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55388-2021</t>
        </is>
      </c>
      <c r="B662" s="1" t="n">
        <v>44475</v>
      </c>
      <c r="C662" s="1" t="n">
        <v>45796</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55396-2021</t>
        </is>
      </c>
      <c r="B663" s="1" t="n">
        <v>44475</v>
      </c>
      <c r="C663" s="1" t="n">
        <v>45796</v>
      </c>
      <c r="D663" t="inlineStr">
        <is>
          <t>JÄMTLANDS LÄN</t>
        </is>
      </c>
      <c r="E663" t="inlineStr">
        <is>
          <t>HÄRJEDALEN</t>
        </is>
      </c>
      <c r="G663" t="n">
        <v>0.5</v>
      </c>
      <c r="H663" t="n">
        <v>0</v>
      </c>
      <c r="I663" t="n">
        <v>0</v>
      </c>
      <c r="J663" t="n">
        <v>0</v>
      </c>
      <c r="K663" t="n">
        <v>0</v>
      </c>
      <c r="L663" t="n">
        <v>0</v>
      </c>
      <c r="M663" t="n">
        <v>0</v>
      </c>
      <c r="N663" t="n">
        <v>0</v>
      </c>
      <c r="O663" t="n">
        <v>0</v>
      </c>
      <c r="P663" t="n">
        <v>0</v>
      </c>
      <c r="Q663" t="n">
        <v>0</v>
      </c>
      <c r="R663" s="2" t="inlineStr"/>
    </row>
    <row r="664" ht="15" customHeight="1">
      <c r="A664" t="inlineStr">
        <is>
          <t>A 55385-2021</t>
        </is>
      </c>
      <c r="B664" s="1" t="n">
        <v>44475</v>
      </c>
      <c r="C664" s="1" t="n">
        <v>45796</v>
      </c>
      <c r="D664" t="inlineStr">
        <is>
          <t>JÄMTLANDS LÄN</t>
        </is>
      </c>
      <c r="E664" t="inlineStr">
        <is>
          <t>HÄRJEDALEN</t>
        </is>
      </c>
      <c r="G664" t="n">
        <v>1</v>
      </c>
      <c r="H664" t="n">
        <v>0</v>
      </c>
      <c r="I664" t="n">
        <v>0</v>
      </c>
      <c r="J664" t="n">
        <v>0</v>
      </c>
      <c r="K664" t="n">
        <v>0</v>
      </c>
      <c r="L664" t="n">
        <v>0</v>
      </c>
      <c r="M664" t="n">
        <v>0</v>
      </c>
      <c r="N664" t="n">
        <v>0</v>
      </c>
      <c r="O664" t="n">
        <v>0</v>
      </c>
      <c r="P664" t="n">
        <v>0</v>
      </c>
      <c r="Q664" t="n">
        <v>0</v>
      </c>
      <c r="R664" s="2" t="inlineStr"/>
    </row>
    <row r="665" ht="15" customHeight="1">
      <c r="A665" t="inlineStr">
        <is>
          <t>A 55381-2021</t>
        </is>
      </c>
      <c r="B665" s="1" t="n">
        <v>44475</v>
      </c>
      <c r="C665" s="1" t="n">
        <v>45796</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55399-2021</t>
        </is>
      </c>
      <c r="B666" s="1" t="n">
        <v>44475</v>
      </c>
      <c r="C666" s="1" t="n">
        <v>45796</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55517-2021</t>
        </is>
      </c>
      <c r="B667" s="1" t="n">
        <v>44475</v>
      </c>
      <c r="C667" s="1" t="n">
        <v>45796</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55542-2021</t>
        </is>
      </c>
      <c r="B668" s="1" t="n">
        <v>44475</v>
      </c>
      <c r="C668" s="1" t="n">
        <v>45796</v>
      </c>
      <c r="D668" t="inlineStr">
        <is>
          <t>JÄMTLANDS LÄN</t>
        </is>
      </c>
      <c r="E668" t="inlineStr">
        <is>
          <t>HÄRJEDALEN</t>
        </is>
      </c>
      <c r="G668" t="n">
        <v>1.3</v>
      </c>
      <c r="H668" t="n">
        <v>0</v>
      </c>
      <c r="I668" t="n">
        <v>0</v>
      </c>
      <c r="J668" t="n">
        <v>0</v>
      </c>
      <c r="K668" t="n">
        <v>0</v>
      </c>
      <c r="L668" t="n">
        <v>0</v>
      </c>
      <c r="M668" t="n">
        <v>0</v>
      </c>
      <c r="N668" t="n">
        <v>0</v>
      </c>
      <c r="O668" t="n">
        <v>0</v>
      </c>
      <c r="P668" t="n">
        <v>0</v>
      </c>
      <c r="Q668" t="n">
        <v>0</v>
      </c>
      <c r="R668" s="2" t="inlineStr"/>
    </row>
    <row r="669" ht="15" customHeight="1">
      <c r="A669" t="inlineStr">
        <is>
          <t>A 55393-2021</t>
        </is>
      </c>
      <c r="B669" s="1" t="n">
        <v>44475</v>
      </c>
      <c r="C669" s="1" t="n">
        <v>45796</v>
      </c>
      <c r="D669" t="inlineStr">
        <is>
          <t>JÄMTLANDS LÄN</t>
        </is>
      </c>
      <c r="E669" t="inlineStr">
        <is>
          <t>HÄRJEDALEN</t>
        </is>
      </c>
      <c r="G669" t="n">
        <v>3</v>
      </c>
      <c r="H669" t="n">
        <v>0</v>
      </c>
      <c r="I669" t="n">
        <v>0</v>
      </c>
      <c r="J669" t="n">
        <v>0</v>
      </c>
      <c r="K669" t="n">
        <v>0</v>
      </c>
      <c r="L669" t="n">
        <v>0</v>
      </c>
      <c r="M669" t="n">
        <v>0</v>
      </c>
      <c r="N669" t="n">
        <v>0</v>
      </c>
      <c r="O669" t="n">
        <v>0</v>
      </c>
      <c r="P669" t="n">
        <v>0</v>
      </c>
      <c r="Q669" t="n">
        <v>0</v>
      </c>
      <c r="R669" s="2" t="inlineStr"/>
    </row>
    <row r="670" ht="15" customHeight="1">
      <c r="A670" t="inlineStr">
        <is>
          <t>A 55215-2021</t>
        </is>
      </c>
      <c r="B670" s="1" t="n">
        <v>44475</v>
      </c>
      <c r="C670" s="1" t="n">
        <v>45796</v>
      </c>
      <c r="D670" t="inlineStr">
        <is>
          <t>JÄMTLANDS LÄN</t>
        </is>
      </c>
      <c r="E670" t="inlineStr">
        <is>
          <t>HÄRJEDALEN</t>
        </is>
      </c>
      <c r="G670" t="n">
        <v>3.9</v>
      </c>
      <c r="H670" t="n">
        <v>0</v>
      </c>
      <c r="I670" t="n">
        <v>0</v>
      </c>
      <c r="J670" t="n">
        <v>0</v>
      </c>
      <c r="K670" t="n">
        <v>0</v>
      </c>
      <c r="L670" t="n">
        <v>0</v>
      </c>
      <c r="M670" t="n">
        <v>0</v>
      </c>
      <c r="N670" t="n">
        <v>0</v>
      </c>
      <c r="O670" t="n">
        <v>0</v>
      </c>
      <c r="P670" t="n">
        <v>0</v>
      </c>
      <c r="Q670" t="n">
        <v>0</v>
      </c>
      <c r="R670" s="2" t="inlineStr"/>
    </row>
    <row r="671" ht="15" customHeight="1">
      <c r="A671" t="inlineStr">
        <is>
          <t>A 56852-2021</t>
        </is>
      </c>
      <c r="B671" s="1" t="n">
        <v>44481</v>
      </c>
      <c r="C671" s="1" t="n">
        <v>45796</v>
      </c>
      <c r="D671" t="inlineStr">
        <is>
          <t>JÄMTLANDS LÄN</t>
        </is>
      </c>
      <c r="E671" t="inlineStr">
        <is>
          <t>HÄRJEDALEN</t>
        </is>
      </c>
      <c r="G671" t="n">
        <v>2.8</v>
      </c>
      <c r="H671" t="n">
        <v>0</v>
      </c>
      <c r="I671" t="n">
        <v>0</v>
      </c>
      <c r="J671" t="n">
        <v>0</v>
      </c>
      <c r="K671" t="n">
        <v>0</v>
      </c>
      <c r="L671" t="n">
        <v>0</v>
      </c>
      <c r="M671" t="n">
        <v>0</v>
      </c>
      <c r="N671" t="n">
        <v>0</v>
      </c>
      <c r="O671" t="n">
        <v>0</v>
      </c>
      <c r="P671" t="n">
        <v>0</v>
      </c>
      <c r="Q671" t="n">
        <v>0</v>
      </c>
      <c r="R671" s="2" t="inlineStr"/>
    </row>
    <row r="672" ht="15" customHeight="1">
      <c r="A672" t="inlineStr">
        <is>
          <t>A 57381-2021</t>
        </is>
      </c>
      <c r="B672" s="1" t="n">
        <v>44483</v>
      </c>
      <c r="C672" s="1" t="n">
        <v>45796</v>
      </c>
      <c r="D672" t="inlineStr">
        <is>
          <t>JÄMTLANDS LÄN</t>
        </is>
      </c>
      <c r="E672" t="inlineStr">
        <is>
          <t>HÄRJEDALEN</t>
        </is>
      </c>
      <c r="G672" t="n">
        <v>17.9</v>
      </c>
      <c r="H672" t="n">
        <v>0</v>
      </c>
      <c r="I672" t="n">
        <v>0</v>
      </c>
      <c r="J672" t="n">
        <v>0</v>
      </c>
      <c r="K672" t="n">
        <v>0</v>
      </c>
      <c r="L672" t="n">
        <v>0</v>
      </c>
      <c r="M672" t="n">
        <v>0</v>
      </c>
      <c r="N672" t="n">
        <v>0</v>
      </c>
      <c r="O672" t="n">
        <v>0</v>
      </c>
      <c r="P672" t="n">
        <v>0</v>
      </c>
      <c r="Q672" t="n">
        <v>0</v>
      </c>
      <c r="R672" s="2" t="inlineStr"/>
    </row>
    <row r="673" ht="15" customHeight="1">
      <c r="A673" t="inlineStr">
        <is>
          <t>A 57256-2021</t>
        </is>
      </c>
      <c r="B673" s="1" t="n">
        <v>44483</v>
      </c>
      <c r="C673" s="1" t="n">
        <v>45796</v>
      </c>
      <c r="D673" t="inlineStr">
        <is>
          <t>JÄMTLANDS LÄN</t>
        </is>
      </c>
      <c r="E673" t="inlineStr">
        <is>
          <t>HÄRJEDALEN</t>
        </is>
      </c>
      <c r="G673" t="n">
        <v>4.5</v>
      </c>
      <c r="H673" t="n">
        <v>0</v>
      </c>
      <c r="I673" t="n">
        <v>0</v>
      </c>
      <c r="J673" t="n">
        <v>0</v>
      </c>
      <c r="K673" t="n">
        <v>0</v>
      </c>
      <c r="L673" t="n">
        <v>0</v>
      </c>
      <c r="M673" t="n">
        <v>0</v>
      </c>
      <c r="N673" t="n">
        <v>0</v>
      </c>
      <c r="O673" t="n">
        <v>0</v>
      </c>
      <c r="P673" t="n">
        <v>0</v>
      </c>
      <c r="Q673" t="n">
        <v>0</v>
      </c>
      <c r="R673" s="2" t="inlineStr"/>
    </row>
    <row r="674" ht="15" customHeight="1">
      <c r="A674" t="inlineStr">
        <is>
          <t>A 57373-2021</t>
        </is>
      </c>
      <c r="B674" s="1" t="n">
        <v>44483</v>
      </c>
      <c r="C674" s="1" t="n">
        <v>45796</v>
      </c>
      <c r="D674" t="inlineStr">
        <is>
          <t>JÄMTLANDS LÄN</t>
        </is>
      </c>
      <c r="E674" t="inlineStr">
        <is>
          <t>HÄRJEDALEN</t>
        </is>
      </c>
      <c r="G674" t="n">
        <v>10.8</v>
      </c>
      <c r="H674" t="n">
        <v>0</v>
      </c>
      <c r="I674" t="n">
        <v>0</v>
      </c>
      <c r="J674" t="n">
        <v>0</v>
      </c>
      <c r="K674" t="n">
        <v>0</v>
      </c>
      <c r="L674" t="n">
        <v>0</v>
      </c>
      <c r="M674" t="n">
        <v>0</v>
      </c>
      <c r="N674" t="n">
        <v>0</v>
      </c>
      <c r="O674" t="n">
        <v>0</v>
      </c>
      <c r="P674" t="n">
        <v>0</v>
      </c>
      <c r="Q674" t="n">
        <v>0</v>
      </c>
      <c r="R674" s="2" t="inlineStr"/>
    </row>
    <row r="675" ht="15" customHeight="1">
      <c r="A675" t="inlineStr">
        <is>
          <t>A 57755-2021</t>
        </is>
      </c>
      <c r="B675" s="1" t="n">
        <v>44484</v>
      </c>
      <c r="C675" s="1" t="n">
        <v>45796</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57782-2021</t>
        </is>
      </c>
      <c r="B676" s="1" t="n">
        <v>44484</v>
      </c>
      <c r="C676" s="1" t="n">
        <v>45796</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58451-2021</t>
        </is>
      </c>
      <c r="B677" s="1" t="n">
        <v>44488</v>
      </c>
      <c r="C677" s="1" t="n">
        <v>45796</v>
      </c>
      <c r="D677" t="inlineStr">
        <is>
          <t>JÄMTLANDS LÄN</t>
        </is>
      </c>
      <c r="E677" t="inlineStr">
        <is>
          <t>HÄRJEDALEN</t>
        </is>
      </c>
      <c r="F677" t="inlineStr">
        <is>
          <t>Naturvårdsverket</t>
        </is>
      </c>
      <c r="G677" t="n">
        <v>12</v>
      </c>
      <c r="H677" t="n">
        <v>0</v>
      </c>
      <c r="I677" t="n">
        <v>0</v>
      </c>
      <c r="J677" t="n">
        <v>0</v>
      </c>
      <c r="K677" t="n">
        <v>0</v>
      </c>
      <c r="L677" t="n">
        <v>0</v>
      </c>
      <c r="M677" t="n">
        <v>0</v>
      </c>
      <c r="N677" t="n">
        <v>0</v>
      </c>
      <c r="O677" t="n">
        <v>0</v>
      </c>
      <c r="P677" t="n">
        <v>0</v>
      </c>
      <c r="Q677" t="n">
        <v>0</v>
      </c>
      <c r="R677" s="2" t="inlineStr"/>
    </row>
    <row r="678" ht="15" customHeight="1">
      <c r="A678" t="inlineStr">
        <is>
          <t>A 59928-2021</t>
        </is>
      </c>
      <c r="B678" s="1" t="n">
        <v>44494</v>
      </c>
      <c r="C678" s="1" t="n">
        <v>45796</v>
      </c>
      <c r="D678" t="inlineStr">
        <is>
          <t>JÄMTLANDS LÄN</t>
        </is>
      </c>
      <c r="E678" t="inlineStr">
        <is>
          <t>HÄRJEDALEN</t>
        </is>
      </c>
      <c r="G678" t="n">
        <v>28.6</v>
      </c>
      <c r="H678" t="n">
        <v>0</v>
      </c>
      <c r="I678" t="n">
        <v>0</v>
      </c>
      <c r="J678" t="n">
        <v>0</v>
      </c>
      <c r="K678" t="n">
        <v>0</v>
      </c>
      <c r="L678" t="n">
        <v>0</v>
      </c>
      <c r="M678" t="n">
        <v>0</v>
      </c>
      <c r="N678" t="n">
        <v>0</v>
      </c>
      <c r="O678" t="n">
        <v>0</v>
      </c>
      <c r="P678" t="n">
        <v>0</v>
      </c>
      <c r="Q678" t="n">
        <v>0</v>
      </c>
      <c r="R678" s="2" t="inlineStr"/>
    </row>
    <row r="679" ht="15" customHeight="1">
      <c r="A679" t="inlineStr">
        <is>
          <t>A 60841-2021</t>
        </is>
      </c>
      <c r="B679" s="1" t="n">
        <v>44497</v>
      </c>
      <c r="C679" s="1" t="n">
        <v>45796</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61547-2021</t>
        </is>
      </c>
      <c r="B680" s="1" t="n">
        <v>44501</v>
      </c>
      <c r="C680" s="1" t="n">
        <v>45796</v>
      </c>
      <c r="D680" t="inlineStr">
        <is>
          <t>JÄMTLANDS LÄN</t>
        </is>
      </c>
      <c r="E680" t="inlineStr">
        <is>
          <t>HÄRJEDALEN</t>
        </is>
      </c>
      <c r="G680" t="n">
        <v>2.1</v>
      </c>
      <c r="H680" t="n">
        <v>0</v>
      </c>
      <c r="I680" t="n">
        <v>0</v>
      </c>
      <c r="J680" t="n">
        <v>0</v>
      </c>
      <c r="K680" t="n">
        <v>0</v>
      </c>
      <c r="L680" t="n">
        <v>0</v>
      </c>
      <c r="M680" t="n">
        <v>0</v>
      </c>
      <c r="N680" t="n">
        <v>0</v>
      </c>
      <c r="O680" t="n">
        <v>0</v>
      </c>
      <c r="P680" t="n">
        <v>0</v>
      </c>
      <c r="Q680" t="n">
        <v>0</v>
      </c>
      <c r="R680" s="2" t="inlineStr"/>
    </row>
    <row r="681" ht="15" customHeight="1">
      <c r="A681" t="inlineStr">
        <is>
          <t>A 63774-2021</t>
        </is>
      </c>
      <c r="B681" s="1" t="n">
        <v>44508</v>
      </c>
      <c r="C681" s="1" t="n">
        <v>45796</v>
      </c>
      <c r="D681" t="inlineStr">
        <is>
          <t>JÄMTLANDS LÄN</t>
        </is>
      </c>
      <c r="E681" t="inlineStr">
        <is>
          <t>HÄRJEDALEN</t>
        </is>
      </c>
      <c r="F681" t="inlineStr">
        <is>
          <t>Holmen skog AB</t>
        </is>
      </c>
      <c r="G681" t="n">
        <v>14.8</v>
      </c>
      <c r="H681" t="n">
        <v>0</v>
      </c>
      <c r="I681" t="n">
        <v>0</v>
      </c>
      <c r="J681" t="n">
        <v>0</v>
      </c>
      <c r="K681" t="n">
        <v>0</v>
      </c>
      <c r="L681" t="n">
        <v>0</v>
      </c>
      <c r="M681" t="n">
        <v>0</v>
      </c>
      <c r="N681" t="n">
        <v>0</v>
      </c>
      <c r="O681" t="n">
        <v>0</v>
      </c>
      <c r="P681" t="n">
        <v>0</v>
      </c>
      <c r="Q681" t="n">
        <v>0</v>
      </c>
      <c r="R681" s="2" t="inlineStr"/>
    </row>
    <row r="682" ht="15" customHeight="1">
      <c r="A682" t="inlineStr">
        <is>
          <t>A 64937-2021</t>
        </is>
      </c>
      <c r="B682" s="1" t="n">
        <v>44512</v>
      </c>
      <c r="C682" s="1" t="n">
        <v>45796</v>
      </c>
      <c r="D682" t="inlineStr">
        <is>
          <t>JÄMTLANDS LÄN</t>
        </is>
      </c>
      <c r="E682" t="inlineStr">
        <is>
          <t>HÄRJEDALEN</t>
        </is>
      </c>
      <c r="G682" t="n">
        <v>7</v>
      </c>
      <c r="H682" t="n">
        <v>0</v>
      </c>
      <c r="I682" t="n">
        <v>0</v>
      </c>
      <c r="J682" t="n">
        <v>0</v>
      </c>
      <c r="K682" t="n">
        <v>0</v>
      </c>
      <c r="L682" t="n">
        <v>0</v>
      </c>
      <c r="M682" t="n">
        <v>0</v>
      </c>
      <c r="N682" t="n">
        <v>0</v>
      </c>
      <c r="O682" t="n">
        <v>0</v>
      </c>
      <c r="P682" t="n">
        <v>0</v>
      </c>
      <c r="Q682" t="n">
        <v>0</v>
      </c>
      <c r="R682" s="2" t="inlineStr"/>
    </row>
    <row r="683" ht="15" customHeight="1">
      <c r="A683" t="inlineStr">
        <is>
          <t>A 65125-2021</t>
        </is>
      </c>
      <c r="B683" s="1" t="n">
        <v>44515</v>
      </c>
      <c r="C683" s="1" t="n">
        <v>45796</v>
      </c>
      <c r="D683" t="inlineStr">
        <is>
          <t>JÄMTLANDS LÄN</t>
        </is>
      </c>
      <c r="E683" t="inlineStr">
        <is>
          <t>HÄRJEDALEN</t>
        </is>
      </c>
      <c r="F683" t="inlineStr">
        <is>
          <t>Bergvik skog väst AB</t>
        </is>
      </c>
      <c r="G683" t="n">
        <v>2.9</v>
      </c>
      <c r="H683" t="n">
        <v>0</v>
      </c>
      <c r="I683" t="n">
        <v>0</v>
      </c>
      <c r="J683" t="n">
        <v>0</v>
      </c>
      <c r="K683" t="n">
        <v>0</v>
      </c>
      <c r="L683" t="n">
        <v>0</v>
      </c>
      <c r="M683" t="n">
        <v>0</v>
      </c>
      <c r="N683" t="n">
        <v>0</v>
      </c>
      <c r="O683" t="n">
        <v>0</v>
      </c>
      <c r="P683" t="n">
        <v>0</v>
      </c>
      <c r="Q683" t="n">
        <v>0</v>
      </c>
      <c r="R683" s="2" t="inlineStr"/>
    </row>
    <row r="684" ht="15" customHeight="1">
      <c r="A684" t="inlineStr">
        <is>
          <t>A 65549-2021</t>
        </is>
      </c>
      <c r="B684" s="1" t="n">
        <v>44516</v>
      </c>
      <c r="C684" s="1" t="n">
        <v>45796</v>
      </c>
      <c r="D684" t="inlineStr">
        <is>
          <t>JÄMTLANDS LÄN</t>
        </is>
      </c>
      <c r="E684" t="inlineStr">
        <is>
          <t>HÄRJEDALEN</t>
        </is>
      </c>
      <c r="F684" t="inlineStr">
        <is>
          <t>Bergvik skog väst AB</t>
        </is>
      </c>
      <c r="G684" t="n">
        <v>7</v>
      </c>
      <c r="H684" t="n">
        <v>0</v>
      </c>
      <c r="I684" t="n">
        <v>0</v>
      </c>
      <c r="J684" t="n">
        <v>0</v>
      </c>
      <c r="K684" t="n">
        <v>0</v>
      </c>
      <c r="L684" t="n">
        <v>0</v>
      </c>
      <c r="M684" t="n">
        <v>0</v>
      </c>
      <c r="N684" t="n">
        <v>0</v>
      </c>
      <c r="O684" t="n">
        <v>0</v>
      </c>
      <c r="P684" t="n">
        <v>0</v>
      </c>
      <c r="Q684" t="n">
        <v>0</v>
      </c>
      <c r="R684" s="2" t="inlineStr"/>
    </row>
    <row r="685" ht="15" customHeight="1">
      <c r="A685" t="inlineStr">
        <is>
          <t>A 68858-2021</t>
        </is>
      </c>
      <c r="B685" s="1" t="n">
        <v>44530</v>
      </c>
      <c r="C685" s="1" t="n">
        <v>45796</v>
      </c>
      <c r="D685" t="inlineStr">
        <is>
          <t>JÄMTLANDS LÄN</t>
        </is>
      </c>
      <c r="E685" t="inlineStr">
        <is>
          <t>HÄRJEDALEN</t>
        </is>
      </c>
      <c r="G685" t="n">
        <v>0.9</v>
      </c>
      <c r="H685" t="n">
        <v>0</v>
      </c>
      <c r="I685" t="n">
        <v>0</v>
      </c>
      <c r="J685" t="n">
        <v>0</v>
      </c>
      <c r="K685" t="n">
        <v>0</v>
      </c>
      <c r="L685" t="n">
        <v>0</v>
      </c>
      <c r="M685" t="n">
        <v>0</v>
      </c>
      <c r="N685" t="n">
        <v>0</v>
      </c>
      <c r="O685" t="n">
        <v>0</v>
      </c>
      <c r="P685" t="n">
        <v>0</v>
      </c>
      <c r="Q685" t="n">
        <v>0</v>
      </c>
      <c r="R685" s="2" t="inlineStr"/>
    </row>
    <row r="686" ht="15" customHeight="1">
      <c r="A686" t="inlineStr">
        <is>
          <t>A 69271-2021</t>
        </is>
      </c>
      <c r="B686" s="1" t="n">
        <v>44531</v>
      </c>
      <c r="C686" s="1" t="n">
        <v>45796</v>
      </c>
      <c r="D686" t="inlineStr">
        <is>
          <t>JÄMTLANDS LÄN</t>
        </is>
      </c>
      <c r="E686" t="inlineStr">
        <is>
          <t>HÄRJEDALEN</t>
        </is>
      </c>
      <c r="F686" t="inlineStr">
        <is>
          <t>Bergvik skog väst AB</t>
        </is>
      </c>
      <c r="G686" t="n">
        <v>6.3</v>
      </c>
      <c r="H686" t="n">
        <v>0</v>
      </c>
      <c r="I686" t="n">
        <v>0</v>
      </c>
      <c r="J686" t="n">
        <v>0</v>
      </c>
      <c r="K686" t="n">
        <v>0</v>
      </c>
      <c r="L686" t="n">
        <v>0</v>
      </c>
      <c r="M686" t="n">
        <v>0</v>
      </c>
      <c r="N686" t="n">
        <v>0</v>
      </c>
      <c r="O686" t="n">
        <v>0</v>
      </c>
      <c r="P686" t="n">
        <v>0</v>
      </c>
      <c r="Q686" t="n">
        <v>0</v>
      </c>
      <c r="R686" s="2" t="inlineStr"/>
    </row>
    <row r="687" ht="15" customHeight="1">
      <c r="A687" t="inlineStr">
        <is>
          <t>A 69501-2021</t>
        </is>
      </c>
      <c r="B687" s="1" t="n">
        <v>44531</v>
      </c>
      <c r="C687" s="1" t="n">
        <v>45796</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69490-2021</t>
        </is>
      </c>
      <c r="B688" s="1" t="n">
        <v>44531</v>
      </c>
      <c r="C688" s="1" t="n">
        <v>45796</v>
      </c>
      <c r="D688" t="inlineStr">
        <is>
          <t>JÄMTLANDS LÄN</t>
        </is>
      </c>
      <c r="E688" t="inlineStr">
        <is>
          <t>HÄRJEDALEN</t>
        </is>
      </c>
      <c r="G688" t="n">
        <v>1.9</v>
      </c>
      <c r="H688" t="n">
        <v>0</v>
      </c>
      <c r="I688" t="n">
        <v>0</v>
      </c>
      <c r="J688" t="n">
        <v>0</v>
      </c>
      <c r="K688" t="n">
        <v>0</v>
      </c>
      <c r="L688" t="n">
        <v>0</v>
      </c>
      <c r="M688" t="n">
        <v>0</v>
      </c>
      <c r="N688" t="n">
        <v>0</v>
      </c>
      <c r="O688" t="n">
        <v>0</v>
      </c>
      <c r="P688" t="n">
        <v>0</v>
      </c>
      <c r="Q688" t="n">
        <v>0</v>
      </c>
      <c r="R688" s="2" t="inlineStr"/>
    </row>
    <row r="689" ht="15" customHeight="1">
      <c r="A689" t="inlineStr">
        <is>
          <t>A 69504-2021</t>
        </is>
      </c>
      <c r="B689" s="1" t="n">
        <v>44531</v>
      </c>
      <c r="C689" s="1" t="n">
        <v>45796</v>
      </c>
      <c r="D689" t="inlineStr">
        <is>
          <t>JÄMTLANDS LÄN</t>
        </is>
      </c>
      <c r="E689" t="inlineStr">
        <is>
          <t>HÄRJEDALEN</t>
        </is>
      </c>
      <c r="G689" t="n">
        <v>11.5</v>
      </c>
      <c r="H689" t="n">
        <v>0</v>
      </c>
      <c r="I689" t="n">
        <v>0</v>
      </c>
      <c r="J689" t="n">
        <v>0</v>
      </c>
      <c r="K689" t="n">
        <v>0</v>
      </c>
      <c r="L689" t="n">
        <v>0</v>
      </c>
      <c r="M689" t="n">
        <v>0</v>
      </c>
      <c r="N689" t="n">
        <v>0</v>
      </c>
      <c r="O689" t="n">
        <v>0</v>
      </c>
      <c r="P689" t="n">
        <v>0</v>
      </c>
      <c r="Q689" t="n">
        <v>0</v>
      </c>
      <c r="R689" s="2" t="inlineStr"/>
    </row>
    <row r="690" ht="15" customHeight="1">
      <c r="A690" t="inlineStr">
        <is>
          <t>A 69499-2021</t>
        </is>
      </c>
      <c r="B690" s="1" t="n">
        <v>44531</v>
      </c>
      <c r="C690" s="1" t="n">
        <v>45796</v>
      </c>
      <c r="D690" t="inlineStr">
        <is>
          <t>JÄMTLANDS LÄN</t>
        </is>
      </c>
      <c r="E690" t="inlineStr">
        <is>
          <t>HÄRJEDALEN</t>
        </is>
      </c>
      <c r="G690" t="n">
        <v>7.5</v>
      </c>
      <c r="H690" t="n">
        <v>0</v>
      </c>
      <c r="I690" t="n">
        <v>0</v>
      </c>
      <c r="J690" t="n">
        <v>0</v>
      </c>
      <c r="K690" t="n">
        <v>0</v>
      </c>
      <c r="L690" t="n">
        <v>0</v>
      </c>
      <c r="M690" t="n">
        <v>0</v>
      </c>
      <c r="N690" t="n">
        <v>0</v>
      </c>
      <c r="O690" t="n">
        <v>0</v>
      </c>
      <c r="P690" t="n">
        <v>0</v>
      </c>
      <c r="Q690" t="n">
        <v>0</v>
      </c>
      <c r="R690" s="2" t="inlineStr"/>
    </row>
    <row r="691" ht="15" customHeight="1">
      <c r="A691" t="inlineStr">
        <is>
          <t>A 71649-2021</t>
        </is>
      </c>
      <c r="B691" s="1" t="n">
        <v>44538</v>
      </c>
      <c r="C691" s="1" t="n">
        <v>45796</v>
      </c>
      <c r="D691" t="inlineStr">
        <is>
          <t>JÄMTLANDS LÄN</t>
        </is>
      </c>
      <c r="E691" t="inlineStr">
        <is>
          <t>HÄRJEDALEN</t>
        </is>
      </c>
      <c r="F691" t="inlineStr">
        <is>
          <t>Övriga statliga verk och myndigheter</t>
        </is>
      </c>
      <c r="G691" t="n">
        <v>3.7</v>
      </c>
      <c r="H691" t="n">
        <v>0</v>
      </c>
      <c r="I691" t="n">
        <v>0</v>
      </c>
      <c r="J691" t="n">
        <v>0</v>
      </c>
      <c r="K691" t="n">
        <v>0</v>
      </c>
      <c r="L691" t="n">
        <v>0</v>
      </c>
      <c r="M691" t="n">
        <v>0</v>
      </c>
      <c r="N691" t="n">
        <v>0</v>
      </c>
      <c r="O691" t="n">
        <v>0</v>
      </c>
      <c r="P691" t="n">
        <v>0</v>
      </c>
      <c r="Q691" t="n">
        <v>0</v>
      </c>
      <c r="R691" s="2" t="inlineStr"/>
    </row>
    <row r="692" ht="15" customHeight="1">
      <c r="A692" t="inlineStr">
        <is>
          <t>A 71668-2021</t>
        </is>
      </c>
      <c r="B692" s="1" t="n">
        <v>44538</v>
      </c>
      <c r="C692" s="1" t="n">
        <v>45796</v>
      </c>
      <c r="D692" t="inlineStr">
        <is>
          <t>JÄMTLANDS LÄN</t>
        </is>
      </c>
      <c r="E692" t="inlineStr">
        <is>
          <t>HÄRJEDALEN</t>
        </is>
      </c>
      <c r="F692" t="inlineStr">
        <is>
          <t>Övriga statliga verk och myndigheter</t>
        </is>
      </c>
      <c r="G692" t="n">
        <v>3.1</v>
      </c>
      <c r="H692" t="n">
        <v>0</v>
      </c>
      <c r="I692" t="n">
        <v>0</v>
      </c>
      <c r="J692" t="n">
        <v>0</v>
      </c>
      <c r="K692" t="n">
        <v>0</v>
      </c>
      <c r="L692" t="n">
        <v>0</v>
      </c>
      <c r="M692" t="n">
        <v>0</v>
      </c>
      <c r="N692" t="n">
        <v>0</v>
      </c>
      <c r="O692" t="n">
        <v>0</v>
      </c>
      <c r="P692" t="n">
        <v>0</v>
      </c>
      <c r="Q692" t="n">
        <v>0</v>
      </c>
      <c r="R692" s="2" t="inlineStr"/>
    </row>
    <row r="693" ht="15" customHeight="1">
      <c r="A693" t="inlineStr">
        <is>
          <t>A 71638-2021</t>
        </is>
      </c>
      <c r="B693" s="1" t="n">
        <v>44538</v>
      </c>
      <c r="C693" s="1" t="n">
        <v>45796</v>
      </c>
      <c r="D693" t="inlineStr">
        <is>
          <t>JÄMTLANDS LÄN</t>
        </is>
      </c>
      <c r="E693" t="inlineStr">
        <is>
          <t>HÄRJEDALEN</t>
        </is>
      </c>
      <c r="F693" t="inlineStr">
        <is>
          <t>Övriga statliga verk och myndigheter</t>
        </is>
      </c>
      <c r="G693" t="n">
        <v>1.2</v>
      </c>
      <c r="H693" t="n">
        <v>0</v>
      </c>
      <c r="I693" t="n">
        <v>0</v>
      </c>
      <c r="J693" t="n">
        <v>0</v>
      </c>
      <c r="K693" t="n">
        <v>0</v>
      </c>
      <c r="L693" t="n">
        <v>0</v>
      </c>
      <c r="M693" t="n">
        <v>0</v>
      </c>
      <c r="N693" t="n">
        <v>0</v>
      </c>
      <c r="O693" t="n">
        <v>0</v>
      </c>
      <c r="P693" t="n">
        <v>0</v>
      </c>
      <c r="Q693" t="n">
        <v>0</v>
      </c>
      <c r="R693" s="2" t="inlineStr"/>
    </row>
    <row r="694" ht="15" customHeight="1">
      <c r="A694" t="inlineStr">
        <is>
          <t>A 71493-2021</t>
        </is>
      </c>
      <c r="B694" s="1" t="n">
        <v>44540</v>
      </c>
      <c r="C694" s="1" t="n">
        <v>45796</v>
      </c>
      <c r="D694" t="inlineStr">
        <is>
          <t>JÄMTLANDS LÄN</t>
        </is>
      </c>
      <c r="E694" t="inlineStr">
        <is>
          <t>HÄRJEDALEN</t>
        </is>
      </c>
      <c r="G694" t="n">
        <v>0.4</v>
      </c>
      <c r="H694" t="n">
        <v>0</v>
      </c>
      <c r="I694" t="n">
        <v>0</v>
      </c>
      <c r="J694" t="n">
        <v>0</v>
      </c>
      <c r="K694" t="n">
        <v>0</v>
      </c>
      <c r="L694" t="n">
        <v>0</v>
      </c>
      <c r="M694" t="n">
        <v>0</v>
      </c>
      <c r="N694" t="n">
        <v>0</v>
      </c>
      <c r="O694" t="n">
        <v>0</v>
      </c>
      <c r="P694" t="n">
        <v>0</v>
      </c>
      <c r="Q694" t="n">
        <v>0</v>
      </c>
      <c r="R694" s="2" t="inlineStr"/>
    </row>
    <row r="695" ht="15" customHeight="1">
      <c r="A695" t="inlineStr">
        <is>
          <t>A 71467-2021</t>
        </is>
      </c>
      <c r="B695" s="1" t="n">
        <v>44540</v>
      </c>
      <c r="C695" s="1" t="n">
        <v>45796</v>
      </c>
      <c r="D695" t="inlineStr">
        <is>
          <t>JÄMTLANDS LÄN</t>
        </is>
      </c>
      <c r="E695" t="inlineStr">
        <is>
          <t>HÄRJEDALEN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71501-2021</t>
        </is>
      </c>
      <c r="B696" s="1" t="n">
        <v>44540</v>
      </c>
      <c r="C696" s="1" t="n">
        <v>45796</v>
      </c>
      <c r="D696" t="inlineStr">
        <is>
          <t>JÄMTLANDS LÄN</t>
        </is>
      </c>
      <c r="E696" t="inlineStr">
        <is>
          <t>HÄRJEDALEN</t>
        </is>
      </c>
      <c r="G696" t="n">
        <v>2.4</v>
      </c>
      <c r="H696" t="n">
        <v>0</v>
      </c>
      <c r="I696" t="n">
        <v>0</v>
      </c>
      <c r="J696" t="n">
        <v>0</v>
      </c>
      <c r="K696" t="n">
        <v>0</v>
      </c>
      <c r="L696" t="n">
        <v>0</v>
      </c>
      <c r="M696" t="n">
        <v>0</v>
      </c>
      <c r="N696" t="n">
        <v>0</v>
      </c>
      <c r="O696" t="n">
        <v>0</v>
      </c>
      <c r="P696" t="n">
        <v>0</v>
      </c>
      <c r="Q696" t="n">
        <v>0</v>
      </c>
      <c r="R696" s="2" t="inlineStr"/>
    </row>
    <row r="697" ht="15" customHeight="1">
      <c r="A697" t="inlineStr">
        <is>
          <t>A 71864-2021</t>
        </is>
      </c>
      <c r="B697" s="1" t="n">
        <v>44543</v>
      </c>
      <c r="C697" s="1" t="n">
        <v>45796</v>
      </c>
      <c r="D697" t="inlineStr">
        <is>
          <t>JÄMTLANDS LÄN</t>
        </is>
      </c>
      <c r="E697" t="inlineStr">
        <is>
          <t>HÄRJEDALEN</t>
        </is>
      </c>
      <c r="F697" t="inlineStr">
        <is>
          <t>Holmen skog AB</t>
        </is>
      </c>
      <c r="G697" t="n">
        <v>0.2</v>
      </c>
      <c r="H697" t="n">
        <v>0</v>
      </c>
      <c r="I697" t="n">
        <v>0</v>
      </c>
      <c r="J697" t="n">
        <v>0</v>
      </c>
      <c r="K697" t="n">
        <v>0</v>
      </c>
      <c r="L697" t="n">
        <v>0</v>
      </c>
      <c r="M697" t="n">
        <v>0</v>
      </c>
      <c r="N697" t="n">
        <v>0</v>
      </c>
      <c r="O697" t="n">
        <v>0</v>
      </c>
      <c r="P697" t="n">
        <v>0</v>
      </c>
      <c r="Q697" t="n">
        <v>0</v>
      </c>
      <c r="R697" s="2" t="inlineStr"/>
    </row>
    <row r="698" ht="15" customHeight="1">
      <c r="A698" t="inlineStr">
        <is>
          <t>A 71756-2021</t>
        </is>
      </c>
      <c r="B698" s="1" t="n">
        <v>44543</v>
      </c>
      <c r="C698" s="1" t="n">
        <v>45796</v>
      </c>
      <c r="D698" t="inlineStr">
        <is>
          <t>JÄMTLANDS LÄN</t>
        </is>
      </c>
      <c r="E698" t="inlineStr">
        <is>
          <t>HÄRJEDALEN</t>
        </is>
      </c>
      <c r="G698" t="n">
        <v>2.4</v>
      </c>
      <c r="H698" t="n">
        <v>0</v>
      </c>
      <c r="I698" t="n">
        <v>0</v>
      </c>
      <c r="J698" t="n">
        <v>0</v>
      </c>
      <c r="K698" t="n">
        <v>0</v>
      </c>
      <c r="L698" t="n">
        <v>0</v>
      </c>
      <c r="M698" t="n">
        <v>0</v>
      </c>
      <c r="N698" t="n">
        <v>0</v>
      </c>
      <c r="O698" t="n">
        <v>0</v>
      </c>
      <c r="P698" t="n">
        <v>0</v>
      </c>
      <c r="Q698" t="n">
        <v>0</v>
      </c>
      <c r="R698" s="2" t="inlineStr"/>
    </row>
    <row r="699" ht="15" customHeight="1">
      <c r="A699" t="inlineStr">
        <is>
          <t>A 71989-2021</t>
        </is>
      </c>
      <c r="B699" s="1" t="n">
        <v>44544</v>
      </c>
      <c r="C699" s="1" t="n">
        <v>45796</v>
      </c>
      <c r="D699" t="inlineStr">
        <is>
          <t>JÄMTLANDS LÄN</t>
        </is>
      </c>
      <c r="E699" t="inlineStr">
        <is>
          <t>HÄRJEDALEN</t>
        </is>
      </c>
      <c r="F699" t="inlineStr">
        <is>
          <t>Holmen skog AB</t>
        </is>
      </c>
      <c r="G699" t="n">
        <v>0.3</v>
      </c>
      <c r="H699" t="n">
        <v>0</v>
      </c>
      <c r="I699" t="n">
        <v>0</v>
      </c>
      <c r="J699" t="n">
        <v>0</v>
      </c>
      <c r="K699" t="n">
        <v>0</v>
      </c>
      <c r="L699" t="n">
        <v>0</v>
      </c>
      <c r="M699" t="n">
        <v>0</v>
      </c>
      <c r="N699" t="n">
        <v>0</v>
      </c>
      <c r="O699" t="n">
        <v>0</v>
      </c>
      <c r="P699" t="n">
        <v>0</v>
      </c>
      <c r="Q699" t="n">
        <v>0</v>
      </c>
      <c r="R699" s="2" t="inlineStr"/>
    </row>
    <row r="700" ht="15" customHeight="1">
      <c r="A700" t="inlineStr">
        <is>
          <t>A 72374-2021</t>
        </is>
      </c>
      <c r="B700" s="1" t="n">
        <v>44545</v>
      </c>
      <c r="C700" s="1" t="n">
        <v>45796</v>
      </c>
      <c r="D700" t="inlineStr">
        <is>
          <t>JÄMTLANDS LÄN</t>
        </is>
      </c>
      <c r="E700" t="inlineStr">
        <is>
          <t>HÄRJEDALEN</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72790-2021</t>
        </is>
      </c>
      <c r="B701" s="1" t="n">
        <v>44547</v>
      </c>
      <c r="C701" s="1" t="n">
        <v>45796</v>
      </c>
      <c r="D701" t="inlineStr">
        <is>
          <t>JÄMTLANDS LÄN</t>
        </is>
      </c>
      <c r="E701" t="inlineStr">
        <is>
          <t>HÄRJEDALEN</t>
        </is>
      </c>
      <c r="F701" t="inlineStr">
        <is>
          <t>Holmen skog AB</t>
        </is>
      </c>
      <c r="G701" t="n">
        <v>3.1</v>
      </c>
      <c r="H701" t="n">
        <v>0</v>
      </c>
      <c r="I701" t="n">
        <v>0</v>
      </c>
      <c r="J701" t="n">
        <v>0</v>
      </c>
      <c r="K701" t="n">
        <v>0</v>
      </c>
      <c r="L701" t="n">
        <v>0</v>
      </c>
      <c r="M701" t="n">
        <v>0</v>
      </c>
      <c r="N701" t="n">
        <v>0</v>
      </c>
      <c r="O701" t="n">
        <v>0</v>
      </c>
      <c r="P701" t="n">
        <v>0</v>
      </c>
      <c r="Q701" t="n">
        <v>0</v>
      </c>
      <c r="R701" s="2" t="inlineStr"/>
    </row>
    <row r="702" ht="15" customHeight="1">
      <c r="A702" t="inlineStr">
        <is>
          <t>A 73051-2021</t>
        </is>
      </c>
      <c r="B702" s="1" t="n">
        <v>44550</v>
      </c>
      <c r="C702" s="1" t="n">
        <v>45796</v>
      </c>
      <c r="D702" t="inlineStr">
        <is>
          <t>JÄMTLANDS LÄN</t>
        </is>
      </c>
      <c r="E702" t="inlineStr">
        <is>
          <t>HÄRJEDALEN</t>
        </is>
      </c>
      <c r="G702" t="n">
        <v>3.7</v>
      </c>
      <c r="H702" t="n">
        <v>0</v>
      </c>
      <c r="I702" t="n">
        <v>0</v>
      </c>
      <c r="J702" t="n">
        <v>0</v>
      </c>
      <c r="K702" t="n">
        <v>0</v>
      </c>
      <c r="L702" t="n">
        <v>0</v>
      </c>
      <c r="M702" t="n">
        <v>0</v>
      </c>
      <c r="N702" t="n">
        <v>0</v>
      </c>
      <c r="O702" t="n">
        <v>0</v>
      </c>
      <c r="P702" t="n">
        <v>0</v>
      </c>
      <c r="Q702" t="n">
        <v>0</v>
      </c>
      <c r="R702" s="2" t="inlineStr"/>
    </row>
    <row r="703" ht="15" customHeight="1">
      <c r="A703" t="inlineStr">
        <is>
          <t>A 73211-2021</t>
        </is>
      </c>
      <c r="B703" s="1" t="n">
        <v>44550</v>
      </c>
      <c r="C703" s="1" t="n">
        <v>45796</v>
      </c>
      <c r="D703" t="inlineStr">
        <is>
          <t>JÄMTLANDS LÄN</t>
        </is>
      </c>
      <c r="E703" t="inlineStr">
        <is>
          <t>HÄRJEDALEN</t>
        </is>
      </c>
      <c r="G703" t="n">
        <v>0.8</v>
      </c>
      <c r="H703" t="n">
        <v>0</v>
      </c>
      <c r="I703" t="n">
        <v>0</v>
      </c>
      <c r="J703" t="n">
        <v>0</v>
      </c>
      <c r="K703" t="n">
        <v>0</v>
      </c>
      <c r="L703" t="n">
        <v>0</v>
      </c>
      <c r="M703" t="n">
        <v>0</v>
      </c>
      <c r="N703" t="n">
        <v>0</v>
      </c>
      <c r="O703" t="n">
        <v>0</v>
      </c>
      <c r="P703" t="n">
        <v>0</v>
      </c>
      <c r="Q703" t="n">
        <v>0</v>
      </c>
      <c r="R703" s="2" t="inlineStr"/>
    </row>
    <row r="704" ht="15" customHeight="1">
      <c r="A704" t="inlineStr">
        <is>
          <t>A 73573-2021</t>
        </is>
      </c>
      <c r="B704" s="1" t="n">
        <v>44552</v>
      </c>
      <c r="C704" s="1" t="n">
        <v>45796</v>
      </c>
      <c r="D704" t="inlineStr">
        <is>
          <t>JÄMTLANDS LÄN</t>
        </is>
      </c>
      <c r="E704" t="inlineStr">
        <is>
          <t>HÄRJEDALEN</t>
        </is>
      </c>
      <c r="F704" t="inlineStr">
        <is>
          <t>Holmen skog AB</t>
        </is>
      </c>
      <c r="G704" t="n">
        <v>10.5</v>
      </c>
      <c r="H704" t="n">
        <v>0</v>
      </c>
      <c r="I704" t="n">
        <v>0</v>
      </c>
      <c r="J704" t="n">
        <v>0</v>
      </c>
      <c r="K704" t="n">
        <v>0</v>
      </c>
      <c r="L704" t="n">
        <v>0</v>
      </c>
      <c r="M704" t="n">
        <v>0</v>
      </c>
      <c r="N704" t="n">
        <v>0</v>
      </c>
      <c r="O704" t="n">
        <v>0</v>
      </c>
      <c r="P704" t="n">
        <v>0</v>
      </c>
      <c r="Q704" t="n">
        <v>0</v>
      </c>
      <c r="R704" s="2" t="inlineStr"/>
    </row>
    <row r="705" ht="15" customHeight="1">
      <c r="A705" t="inlineStr">
        <is>
          <t>A 197-2022</t>
        </is>
      </c>
      <c r="B705" s="1" t="n">
        <v>44564</v>
      </c>
      <c r="C705" s="1" t="n">
        <v>45796</v>
      </c>
      <c r="D705" t="inlineStr">
        <is>
          <t>JÄMTLANDS LÄN</t>
        </is>
      </c>
      <c r="E705" t="inlineStr">
        <is>
          <t>HÄRJEDALEN</t>
        </is>
      </c>
      <c r="F705" t="inlineStr">
        <is>
          <t>Övriga Aktiebolag</t>
        </is>
      </c>
      <c r="G705" t="n">
        <v>1.2</v>
      </c>
      <c r="H705" t="n">
        <v>0</v>
      </c>
      <c r="I705" t="n">
        <v>0</v>
      </c>
      <c r="J705" t="n">
        <v>0</v>
      </c>
      <c r="K705" t="n">
        <v>0</v>
      </c>
      <c r="L705" t="n">
        <v>0</v>
      </c>
      <c r="M705" t="n">
        <v>0</v>
      </c>
      <c r="N705" t="n">
        <v>0</v>
      </c>
      <c r="O705" t="n">
        <v>0</v>
      </c>
      <c r="P705" t="n">
        <v>0</v>
      </c>
      <c r="Q705" t="n">
        <v>0</v>
      </c>
      <c r="R705" s="2" t="inlineStr"/>
    </row>
    <row r="706" ht="15" customHeight="1">
      <c r="A706" t="inlineStr">
        <is>
          <t>A 241-2022</t>
        </is>
      </c>
      <c r="B706" s="1" t="n">
        <v>44565</v>
      </c>
      <c r="C706" s="1" t="n">
        <v>45796</v>
      </c>
      <c r="D706" t="inlineStr">
        <is>
          <t>JÄMTLANDS LÄN</t>
        </is>
      </c>
      <c r="E706" t="inlineStr">
        <is>
          <t>HÄRJEDALEN</t>
        </is>
      </c>
      <c r="F706" t="inlineStr">
        <is>
          <t>Övriga Aktiebolag</t>
        </is>
      </c>
      <c r="G706" t="n">
        <v>16.5</v>
      </c>
      <c r="H706" t="n">
        <v>0</v>
      </c>
      <c r="I706" t="n">
        <v>0</v>
      </c>
      <c r="J706" t="n">
        <v>0</v>
      </c>
      <c r="K706" t="n">
        <v>0</v>
      </c>
      <c r="L706" t="n">
        <v>0</v>
      </c>
      <c r="M706" t="n">
        <v>0</v>
      </c>
      <c r="N706" t="n">
        <v>0</v>
      </c>
      <c r="O706" t="n">
        <v>0</v>
      </c>
      <c r="P706" t="n">
        <v>0</v>
      </c>
      <c r="Q706" t="n">
        <v>0</v>
      </c>
      <c r="R706" s="2" t="inlineStr"/>
    </row>
    <row r="707" ht="15" customHeight="1">
      <c r="A707" t="inlineStr">
        <is>
          <t>A 239-2022</t>
        </is>
      </c>
      <c r="B707" s="1" t="n">
        <v>44565</v>
      </c>
      <c r="C707" s="1" t="n">
        <v>45796</v>
      </c>
      <c r="D707" t="inlineStr">
        <is>
          <t>JÄMTLANDS LÄN</t>
        </is>
      </c>
      <c r="E707" t="inlineStr">
        <is>
          <t>HÄRJEDALEN</t>
        </is>
      </c>
      <c r="F707" t="inlineStr">
        <is>
          <t>Övriga Aktiebolag</t>
        </is>
      </c>
      <c r="G707" t="n">
        <v>4.3</v>
      </c>
      <c r="H707" t="n">
        <v>0</v>
      </c>
      <c r="I707" t="n">
        <v>0</v>
      </c>
      <c r="J707" t="n">
        <v>0</v>
      </c>
      <c r="K707" t="n">
        <v>0</v>
      </c>
      <c r="L707" t="n">
        <v>0</v>
      </c>
      <c r="M707" t="n">
        <v>0</v>
      </c>
      <c r="N707" t="n">
        <v>0</v>
      </c>
      <c r="O707" t="n">
        <v>0</v>
      </c>
      <c r="P707" t="n">
        <v>0</v>
      </c>
      <c r="Q707" t="n">
        <v>0</v>
      </c>
      <c r="R707" s="2" t="inlineStr"/>
    </row>
    <row r="708" ht="15" customHeight="1">
      <c r="A708" t="inlineStr">
        <is>
          <t>A 240-2022</t>
        </is>
      </c>
      <c r="B708" s="1" t="n">
        <v>44565</v>
      </c>
      <c r="C708" s="1" t="n">
        <v>45796</v>
      </c>
      <c r="D708" t="inlineStr">
        <is>
          <t>JÄMTLANDS LÄN</t>
        </is>
      </c>
      <c r="E708" t="inlineStr">
        <is>
          <t>HÄRJEDALEN</t>
        </is>
      </c>
      <c r="F708" t="inlineStr">
        <is>
          <t>Övriga Aktiebolag</t>
        </is>
      </c>
      <c r="G708" t="n">
        <v>53.9</v>
      </c>
      <c r="H708" t="n">
        <v>0</v>
      </c>
      <c r="I708" t="n">
        <v>0</v>
      </c>
      <c r="J708" t="n">
        <v>0</v>
      </c>
      <c r="K708" t="n">
        <v>0</v>
      </c>
      <c r="L708" t="n">
        <v>0</v>
      </c>
      <c r="M708" t="n">
        <v>0</v>
      </c>
      <c r="N708" t="n">
        <v>0</v>
      </c>
      <c r="O708" t="n">
        <v>0</v>
      </c>
      <c r="P708" t="n">
        <v>0</v>
      </c>
      <c r="Q708" t="n">
        <v>0</v>
      </c>
      <c r="R708" s="2" t="inlineStr"/>
    </row>
    <row r="709" ht="15" customHeight="1">
      <c r="A709" t="inlineStr">
        <is>
          <t>A 537-2022</t>
        </is>
      </c>
      <c r="B709" s="1" t="n">
        <v>44566</v>
      </c>
      <c r="C709" s="1" t="n">
        <v>45796</v>
      </c>
      <c r="D709" t="inlineStr">
        <is>
          <t>JÄMTLANDS LÄN</t>
        </is>
      </c>
      <c r="E709" t="inlineStr">
        <is>
          <t>HÄRJEDALEN</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859-2022</t>
        </is>
      </c>
      <c r="B710" s="1" t="n">
        <v>44571</v>
      </c>
      <c r="C710" s="1" t="n">
        <v>45796</v>
      </c>
      <c r="D710" t="inlineStr">
        <is>
          <t>JÄMTLANDS LÄN</t>
        </is>
      </c>
      <c r="E710" t="inlineStr">
        <is>
          <t>HÄRJEDALEN</t>
        </is>
      </c>
      <c r="G710" t="n">
        <v>16.9</v>
      </c>
      <c r="H710" t="n">
        <v>0</v>
      </c>
      <c r="I710" t="n">
        <v>0</v>
      </c>
      <c r="J710" t="n">
        <v>0</v>
      </c>
      <c r="K710" t="n">
        <v>0</v>
      </c>
      <c r="L710" t="n">
        <v>0</v>
      </c>
      <c r="M710" t="n">
        <v>0</v>
      </c>
      <c r="N710" t="n">
        <v>0</v>
      </c>
      <c r="O710" t="n">
        <v>0</v>
      </c>
      <c r="P710" t="n">
        <v>0</v>
      </c>
      <c r="Q710" t="n">
        <v>0</v>
      </c>
      <c r="R710" s="2" t="inlineStr"/>
    </row>
    <row r="711" ht="15" customHeight="1">
      <c r="A711" t="inlineStr">
        <is>
          <t>A 2846-2022</t>
        </is>
      </c>
      <c r="B711" s="1" t="n">
        <v>44581</v>
      </c>
      <c r="C711" s="1" t="n">
        <v>45796</v>
      </c>
      <c r="D711" t="inlineStr">
        <is>
          <t>JÄMTLANDS LÄN</t>
        </is>
      </c>
      <c r="E711" t="inlineStr">
        <is>
          <t>HÄRJEDALEN</t>
        </is>
      </c>
      <c r="G711" t="n">
        <v>15.2</v>
      </c>
      <c r="H711" t="n">
        <v>0</v>
      </c>
      <c r="I711" t="n">
        <v>0</v>
      </c>
      <c r="J711" t="n">
        <v>0</v>
      </c>
      <c r="K711" t="n">
        <v>0</v>
      </c>
      <c r="L711" t="n">
        <v>0</v>
      </c>
      <c r="M711" t="n">
        <v>0</v>
      </c>
      <c r="N711" t="n">
        <v>0</v>
      </c>
      <c r="O711" t="n">
        <v>0</v>
      </c>
      <c r="P711" t="n">
        <v>0</v>
      </c>
      <c r="Q711" t="n">
        <v>0</v>
      </c>
      <c r="R711" s="2" t="inlineStr"/>
    </row>
    <row r="712" ht="15" customHeight="1">
      <c r="A712" t="inlineStr">
        <is>
          <t>A 3163-2022</t>
        </is>
      </c>
      <c r="B712" s="1" t="n">
        <v>44582</v>
      </c>
      <c r="C712" s="1" t="n">
        <v>45796</v>
      </c>
      <c r="D712" t="inlineStr">
        <is>
          <t>JÄMTLANDS LÄN</t>
        </is>
      </c>
      <c r="E712" t="inlineStr">
        <is>
          <t>HÄRJEDALEN</t>
        </is>
      </c>
      <c r="G712" t="n">
        <v>1.6</v>
      </c>
      <c r="H712" t="n">
        <v>0</v>
      </c>
      <c r="I712" t="n">
        <v>0</v>
      </c>
      <c r="J712" t="n">
        <v>0</v>
      </c>
      <c r="K712" t="n">
        <v>0</v>
      </c>
      <c r="L712" t="n">
        <v>0</v>
      </c>
      <c r="M712" t="n">
        <v>0</v>
      </c>
      <c r="N712" t="n">
        <v>0</v>
      </c>
      <c r="O712" t="n">
        <v>0</v>
      </c>
      <c r="P712" t="n">
        <v>0</v>
      </c>
      <c r="Q712" t="n">
        <v>0</v>
      </c>
      <c r="R712" s="2" t="inlineStr"/>
    </row>
    <row r="713" ht="15" customHeight="1">
      <c r="A713" t="inlineStr">
        <is>
          <t>A 3373-2022</t>
        </is>
      </c>
      <c r="B713" s="1" t="n">
        <v>44585</v>
      </c>
      <c r="C713" s="1" t="n">
        <v>45796</v>
      </c>
      <c r="D713" t="inlineStr">
        <is>
          <t>JÄMTLANDS LÄN</t>
        </is>
      </c>
      <c r="E713" t="inlineStr">
        <is>
          <t>HÄRJEDALEN</t>
        </is>
      </c>
      <c r="G713" t="n">
        <v>7.4</v>
      </c>
      <c r="H713" t="n">
        <v>0</v>
      </c>
      <c r="I713" t="n">
        <v>0</v>
      </c>
      <c r="J713" t="n">
        <v>0</v>
      </c>
      <c r="K713" t="n">
        <v>0</v>
      </c>
      <c r="L713" t="n">
        <v>0</v>
      </c>
      <c r="M713" t="n">
        <v>0</v>
      </c>
      <c r="N713" t="n">
        <v>0</v>
      </c>
      <c r="O713" t="n">
        <v>0</v>
      </c>
      <c r="P713" t="n">
        <v>0</v>
      </c>
      <c r="Q713" t="n">
        <v>0</v>
      </c>
      <c r="R713" s="2" t="inlineStr"/>
    </row>
    <row r="714" ht="15" customHeight="1">
      <c r="A714" t="inlineStr">
        <is>
          <t>A 4487-2022</t>
        </is>
      </c>
      <c r="B714" s="1" t="n">
        <v>44589</v>
      </c>
      <c r="C714" s="1" t="n">
        <v>45796</v>
      </c>
      <c r="D714" t="inlineStr">
        <is>
          <t>JÄMTLANDS LÄN</t>
        </is>
      </c>
      <c r="E714" t="inlineStr">
        <is>
          <t>HÄRJEDALEN</t>
        </is>
      </c>
      <c r="G714" t="n">
        <v>1.7</v>
      </c>
      <c r="H714" t="n">
        <v>0</v>
      </c>
      <c r="I714" t="n">
        <v>0</v>
      </c>
      <c r="J714" t="n">
        <v>0</v>
      </c>
      <c r="K714" t="n">
        <v>0</v>
      </c>
      <c r="L714" t="n">
        <v>0</v>
      </c>
      <c r="M714" t="n">
        <v>0</v>
      </c>
      <c r="N714" t="n">
        <v>0</v>
      </c>
      <c r="O714" t="n">
        <v>0</v>
      </c>
      <c r="P714" t="n">
        <v>0</v>
      </c>
      <c r="Q714" t="n">
        <v>0</v>
      </c>
      <c r="R714" s="2" t="inlineStr"/>
    </row>
    <row r="715" ht="15" customHeight="1">
      <c r="A715" t="inlineStr">
        <is>
          <t>A 4914-2022</t>
        </is>
      </c>
      <c r="B715" s="1" t="n">
        <v>44593</v>
      </c>
      <c r="C715" s="1" t="n">
        <v>45796</v>
      </c>
      <c r="D715" t="inlineStr">
        <is>
          <t>JÄMTLANDS LÄN</t>
        </is>
      </c>
      <c r="E715" t="inlineStr">
        <is>
          <t>HÄRJEDALEN</t>
        </is>
      </c>
      <c r="F715" t="inlineStr">
        <is>
          <t>Sveaskog</t>
        </is>
      </c>
      <c r="G715" t="n">
        <v>7.7</v>
      </c>
      <c r="H715" t="n">
        <v>0</v>
      </c>
      <c r="I715" t="n">
        <v>0</v>
      </c>
      <c r="J715" t="n">
        <v>0</v>
      </c>
      <c r="K715" t="n">
        <v>0</v>
      </c>
      <c r="L715" t="n">
        <v>0</v>
      </c>
      <c r="M715" t="n">
        <v>0</v>
      </c>
      <c r="N715" t="n">
        <v>0</v>
      </c>
      <c r="O715" t="n">
        <v>0</v>
      </c>
      <c r="P715" t="n">
        <v>0</v>
      </c>
      <c r="Q715" t="n">
        <v>0</v>
      </c>
      <c r="R715" s="2" t="inlineStr"/>
    </row>
    <row r="716" ht="15" customHeight="1">
      <c r="A716" t="inlineStr">
        <is>
          <t>A 6309-2022</t>
        </is>
      </c>
      <c r="B716" s="1" t="n">
        <v>44600</v>
      </c>
      <c r="C716" s="1" t="n">
        <v>45796</v>
      </c>
      <c r="D716" t="inlineStr">
        <is>
          <t>JÄMTLANDS LÄN</t>
        </is>
      </c>
      <c r="E716" t="inlineStr">
        <is>
          <t>HÄRJEDALEN</t>
        </is>
      </c>
      <c r="G716" t="n">
        <v>38.2</v>
      </c>
      <c r="H716" t="n">
        <v>0</v>
      </c>
      <c r="I716" t="n">
        <v>0</v>
      </c>
      <c r="J716" t="n">
        <v>0</v>
      </c>
      <c r="K716" t="n">
        <v>0</v>
      </c>
      <c r="L716" t="n">
        <v>0</v>
      </c>
      <c r="M716" t="n">
        <v>0</v>
      </c>
      <c r="N716" t="n">
        <v>0</v>
      </c>
      <c r="O716" t="n">
        <v>0</v>
      </c>
      <c r="P716" t="n">
        <v>0</v>
      </c>
      <c r="Q716" t="n">
        <v>0</v>
      </c>
      <c r="R716" s="2" t="inlineStr"/>
    </row>
    <row r="717" ht="15" customHeight="1">
      <c r="A717" t="inlineStr">
        <is>
          <t>A 6208-2022</t>
        </is>
      </c>
      <c r="B717" s="1" t="n">
        <v>44600</v>
      </c>
      <c r="C717" s="1" t="n">
        <v>45796</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6312-2022</t>
        </is>
      </c>
      <c r="B718" s="1" t="n">
        <v>44600</v>
      </c>
      <c r="C718" s="1" t="n">
        <v>45796</v>
      </c>
      <c r="D718" t="inlineStr">
        <is>
          <t>JÄMTLANDS LÄN</t>
        </is>
      </c>
      <c r="E718" t="inlineStr">
        <is>
          <t>HÄRJEDALEN</t>
        </is>
      </c>
      <c r="G718" t="n">
        <v>18.4</v>
      </c>
      <c r="H718" t="n">
        <v>0</v>
      </c>
      <c r="I718" t="n">
        <v>0</v>
      </c>
      <c r="J718" t="n">
        <v>0</v>
      </c>
      <c r="K718" t="n">
        <v>0</v>
      </c>
      <c r="L718" t="n">
        <v>0</v>
      </c>
      <c r="M718" t="n">
        <v>0</v>
      </c>
      <c r="N718" t="n">
        <v>0</v>
      </c>
      <c r="O718" t="n">
        <v>0</v>
      </c>
      <c r="P718" t="n">
        <v>0</v>
      </c>
      <c r="Q718" t="n">
        <v>0</v>
      </c>
      <c r="R718" s="2" t="inlineStr"/>
    </row>
    <row r="719" ht="15" customHeight="1">
      <c r="A719" t="inlineStr">
        <is>
          <t>A 6444-2022</t>
        </is>
      </c>
      <c r="B719" s="1" t="n">
        <v>44601</v>
      </c>
      <c r="C719" s="1" t="n">
        <v>45796</v>
      </c>
      <c r="D719" t="inlineStr">
        <is>
          <t>JÄMTLANDS LÄN</t>
        </is>
      </c>
      <c r="E719" t="inlineStr">
        <is>
          <t>HÄRJEDALEN</t>
        </is>
      </c>
      <c r="F719" t="inlineStr">
        <is>
          <t>Holmen skog AB</t>
        </is>
      </c>
      <c r="G719" t="n">
        <v>4.3</v>
      </c>
      <c r="H719" t="n">
        <v>0</v>
      </c>
      <c r="I719" t="n">
        <v>0</v>
      </c>
      <c r="J719" t="n">
        <v>0</v>
      </c>
      <c r="K719" t="n">
        <v>0</v>
      </c>
      <c r="L719" t="n">
        <v>0</v>
      </c>
      <c r="M719" t="n">
        <v>0</v>
      </c>
      <c r="N719" t="n">
        <v>0</v>
      </c>
      <c r="O719" t="n">
        <v>0</v>
      </c>
      <c r="P719" t="n">
        <v>0</v>
      </c>
      <c r="Q719" t="n">
        <v>0</v>
      </c>
      <c r="R719" s="2" t="inlineStr"/>
    </row>
    <row r="720" ht="15" customHeight="1">
      <c r="A720" t="inlineStr">
        <is>
          <t>A 6933-2022</t>
        </is>
      </c>
      <c r="B720" s="1" t="n">
        <v>44603</v>
      </c>
      <c r="C720" s="1" t="n">
        <v>45796</v>
      </c>
      <c r="D720" t="inlineStr">
        <is>
          <t>JÄMTLANDS LÄN</t>
        </is>
      </c>
      <c r="E720" t="inlineStr">
        <is>
          <t>HÄRJEDALEN</t>
        </is>
      </c>
      <c r="F720" t="inlineStr">
        <is>
          <t>Holmen skog AB</t>
        </is>
      </c>
      <c r="G720" t="n">
        <v>3.9</v>
      </c>
      <c r="H720" t="n">
        <v>0</v>
      </c>
      <c r="I720" t="n">
        <v>0</v>
      </c>
      <c r="J720" t="n">
        <v>0</v>
      </c>
      <c r="K720" t="n">
        <v>0</v>
      </c>
      <c r="L720" t="n">
        <v>0</v>
      </c>
      <c r="M720" t="n">
        <v>0</v>
      </c>
      <c r="N720" t="n">
        <v>0</v>
      </c>
      <c r="O720" t="n">
        <v>0</v>
      </c>
      <c r="P720" t="n">
        <v>0</v>
      </c>
      <c r="Q720" t="n">
        <v>0</v>
      </c>
      <c r="R720" s="2" t="inlineStr"/>
    </row>
    <row r="721" ht="15" customHeight="1">
      <c r="A721" t="inlineStr">
        <is>
          <t>A 6938-2022</t>
        </is>
      </c>
      <c r="B721" s="1" t="n">
        <v>44603</v>
      </c>
      <c r="C721" s="1" t="n">
        <v>45796</v>
      </c>
      <c r="D721" t="inlineStr">
        <is>
          <t>JÄMTLANDS LÄN</t>
        </is>
      </c>
      <c r="E721" t="inlineStr">
        <is>
          <t>HÄRJEDALEN</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6935-2022</t>
        </is>
      </c>
      <c r="B722" s="1" t="n">
        <v>44603</v>
      </c>
      <c r="C722" s="1" t="n">
        <v>45796</v>
      </c>
      <c r="D722" t="inlineStr">
        <is>
          <t>JÄMTLANDS LÄN</t>
        </is>
      </c>
      <c r="E722" t="inlineStr">
        <is>
          <t>HÄRJEDALEN</t>
        </is>
      </c>
      <c r="F722" t="inlineStr">
        <is>
          <t>Holmen skog AB</t>
        </is>
      </c>
      <c r="G722" t="n">
        <v>4</v>
      </c>
      <c r="H722" t="n">
        <v>0</v>
      </c>
      <c r="I722" t="n">
        <v>0</v>
      </c>
      <c r="J722" t="n">
        <v>0</v>
      </c>
      <c r="K722" t="n">
        <v>0</v>
      </c>
      <c r="L722" t="n">
        <v>0</v>
      </c>
      <c r="M722" t="n">
        <v>0</v>
      </c>
      <c r="N722" t="n">
        <v>0</v>
      </c>
      <c r="O722" t="n">
        <v>0</v>
      </c>
      <c r="P722" t="n">
        <v>0</v>
      </c>
      <c r="Q722" t="n">
        <v>0</v>
      </c>
      <c r="R722" s="2" t="inlineStr"/>
    </row>
    <row r="723" ht="15" customHeight="1">
      <c r="A723" t="inlineStr">
        <is>
          <t>A 6941-2022</t>
        </is>
      </c>
      <c r="B723" s="1" t="n">
        <v>44603</v>
      </c>
      <c r="C723" s="1" t="n">
        <v>45796</v>
      </c>
      <c r="D723" t="inlineStr">
        <is>
          <t>JÄMTLANDS LÄN</t>
        </is>
      </c>
      <c r="E723" t="inlineStr">
        <is>
          <t>HÄRJEDALEN</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8368-2022</t>
        </is>
      </c>
      <c r="B724" s="1" t="n">
        <v>44610</v>
      </c>
      <c r="C724" s="1" t="n">
        <v>45796</v>
      </c>
      <c r="D724" t="inlineStr">
        <is>
          <t>JÄMTLANDS LÄN</t>
        </is>
      </c>
      <c r="E724" t="inlineStr">
        <is>
          <t>HÄRJEDALEN</t>
        </is>
      </c>
      <c r="G724" t="n">
        <v>1.6</v>
      </c>
      <c r="H724" t="n">
        <v>0</v>
      </c>
      <c r="I724" t="n">
        <v>0</v>
      </c>
      <c r="J724" t="n">
        <v>0</v>
      </c>
      <c r="K724" t="n">
        <v>0</v>
      </c>
      <c r="L724" t="n">
        <v>0</v>
      </c>
      <c r="M724" t="n">
        <v>0</v>
      </c>
      <c r="N724" t="n">
        <v>0</v>
      </c>
      <c r="O724" t="n">
        <v>0</v>
      </c>
      <c r="P724" t="n">
        <v>0</v>
      </c>
      <c r="Q724" t="n">
        <v>0</v>
      </c>
      <c r="R724" s="2" t="inlineStr"/>
    </row>
    <row r="725" ht="15" customHeight="1">
      <c r="A725" t="inlineStr">
        <is>
          <t>A 8538-2022</t>
        </is>
      </c>
      <c r="B725" s="1" t="n">
        <v>44613</v>
      </c>
      <c r="C725" s="1" t="n">
        <v>45796</v>
      </c>
      <c r="D725" t="inlineStr">
        <is>
          <t>JÄMTLANDS LÄN</t>
        </is>
      </c>
      <c r="E725" t="inlineStr">
        <is>
          <t>HÄRJEDALEN</t>
        </is>
      </c>
      <c r="F725" t="inlineStr">
        <is>
          <t>Naturvårdsverket</t>
        </is>
      </c>
      <c r="G725" t="n">
        <v>0.4</v>
      </c>
      <c r="H725" t="n">
        <v>0</v>
      </c>
      <c r="I725" t="n">
        <v>0</v>
      </c>
      <c r="J725" t="n">
        <v>0</v>
      </c>
      <c r="K725" t="n">
        <v>0</v>
      </c>
      <c r="L725" t="n">
        <v>0</v>
      </c>
      <c r="M725" t="n">
        <v>0</v>
      </c>
      <c r="N725" t="n">
        <v>0</v>
      </c>
      <c r="O725" t="n">
        <v>0</v>
      </c>
      <c r="P725" t="n">
        <v>0</v>
      </c>
      <c r="Q725" t="n">
        <v>0</v>
      </c>
      <c r="R725" s="2" t="inlineStr"/>
    </row>
    <row r="726" ht="15" customHeight="1">
      <c r="A726" t="inlineStr">
        <is>
          <t>A 8823-2022</t>
        </is>
      </c>
      <c r="B726" s="1" t="n">
        <v>44614</v>
      </c>
      <c r="C726" s="1" t="n">
        <v>45796</v>
      </c>
      <c r="D726" t="inlineStr">
        <is>
          <t>JÄMTLANDS LÄN</t>
        </is>
      </c>
      <c r="E726" t="inlineStr">
        <is>
          <t>HÄRJEDALEN</t>
        </is>
      </c>
      <c r="F726" t="inlineStr">
        <is>
          <t>Naturvårdsverket</t>
        </is>
      </c>
      <c r="G726" t="n">
        <v>23.7</v>
      </c>
      <c r="H726" t="n">
        <v>0</v>
      </c>
      <c r="I726" t="n">
        <v>0</v>
      </c>
      <c r="J726" t="n">
        <v>0</v>
      </c>
      <c r="K726" t="n">
        <v>0</v>
      </c>
      <c r="L726" t="n">
        <v>0</v>
      </c>
      <c r="M726" t="n">
        <v>0</v>
      </c>
      <c r="N726" t="n">
        <v>0</v>
      </c>
      <c r="O726" t="n">
        <v>0</v>
      </c>
      <c r="P726" t="n">
        <v>0</v>
      </c>
      <c r="Q726" t="n">
        <v>0</v>
      </c>
      <c r="R726" s="2" t="inlineStr"/>
    </row>
    <row r="727" ht="15" customHeight="1">
      <c r="A727" t="inlineStr">
        <is>
          <t>A 9095-2022</t>
        </is>
      </c>
      <c r="B727" s="1" t="n">
        <v>44615</v>
      </c>
      <c r="C727" s="1" t="n">
        <v>45796</v>
      </c>
      <c r="D727" t="inlineStr">
        <is>
          <t>JÄMTLANDS LÄN</t>
        </is>
      </c>
      <c r="E727" t="inlineStr">
        <is>
          <t>HÄRJEDALEN</t>
        </is>
      </c>
      <c r="F727" t="inlineStr">
        <is>
          <t>Kyrkan</t>
        </is>
      </c>
      <c r="G727" t="n">
        <v>15.9</v>
      </c>
      <c r="H727" t="n">
        <v>0</v>
      </c>
      <c r="I727" t="n">
        <v>0</v>
      </c>
      <c r="J727" t="n">
        <v>0</v>
      </c>
      <c r="K727" t="n">
        <v>0</v>
      </c>
      <c r="L727" t="n">
        <v>0</v>
      </c>
      <c r="M727" t="n">
        <v>0</v>
      </c>
      <c r="N727" t="n">
        <v>0</v>
      </c>
      <c r="O727" t="n">
        <v>0</v>
      </c>
      <c r="P727" t="n">
        <v>0</v>
      </c>
      <c r="Q727" t="n">
        <v>0</v>
      </c>
      <c r="R727" s="2" t="inlineStr"/>
    </row>
    <row r="728" ht="15" customHeight="1">
      <c r="A728" t="inlineStr">
        <is>
          <t>A 10504-2022</t>
        </is>
      </c>
      <c r="B728" s="1" t="n">
        <v>44623</v>
      </c>
      <c r="C728" s="1" t="n">
        <v>45796</v>
      </c>
      <c r="D728" t="inlineStr">
        <is>
          <t>JÄMTLANDS LÄN</t>
        </is>
      </c>
      <c r="E728" t="inlineStr">
        <is>
          <t>HÄRJEDALEN</t>
        </is>
      </c>
      <c r="F728" t="inlineStr">
        <is>
          <t>Holmen skog AB</t>
        </is>
      </c>
      <c r="G728" t="n">
        <v>11.6</v>
      </c>
      <c r="H728" t="n">
        <v>0</v>
      </c>
      <c r="I728" t="n">
        <v>0</v>
      </c>
      <c r="J728" t="n">
        <v>0</v>
      </c>
      <c r="K728" t="n">
        <v>0</v>
      </c>
      <c r="L728" t="n">
        <v>0</v>
      </c>
      <c r="M728" t="n">
        <v>0</v>
      </c>
      <c r="N728" t="n">
        <v>0</v>
      </c>
      <c r="O728" t="n">
        <v>0</v>
      </c>
      <c r="P728" t="n">
        <v>0</v>
      </c>
      <c r="Q728" t="n">
        <v>0</v>
      </c>
      <c r="R728" s="2" t="inlineStr"/>
    </row>
    <row r="729" ht="15" customHeight="1">
      <c r="A729" t="inlineStr">
        <is>
          <t>A 10727-2022</t>
        </is>
      </c>
      <c r="B729" s="1" t="n">
        <v>44627</v>
      </c>
      <c r="C729" s="1" t="n">
        <v>45796</v>
      </c>
      <c r="D729" t="inlineStr">
        <is>
          <t>JÄMTLANDS LÄN</t>
        </is>
      </c>
      <c r="E729" t="inlineStr">
        <is>
          <t>HÄRJEDALEN</t>
        </is>
      </c>
      <c r="F729" t="inlineStr">
        <is>
          <t>Holmen skog AB</t>
        </is>
      </c>
      <c r="G729" t="n">
        <v>12.6</v>
      </c>
      <c r="H729" t="n">
        <v>0</v>
      </c>
      <c r="I729" t="n">
        <v>0</v>
      </c>
      <c r="J729" t="n">
        <v>0</v>
      </c>
      <c r="K729" t="n">
        <v>0</v>
      </c>
      <c r="L729" t="n">
        <v>0</v>
      </c>
      <c r="M729" t="n">
        <v>0</v>
      </c>
      <c r="N729" t="n">
        <v>0</v>
      </c>
      <c r="O729" t="n">
        <v>0</v>
      </c>
      <c r="P729" t="n">
        <v>0</v>
      </c>
      <c r="Q729" t="n">
        <v>0</v>
      </c>
      <c r="R729" s="2" t="inlineStr"/>
    </row>
    <row r="730" ht="15" customHeight="1">
      <c r="A730" t="inlineStr">
        <is>
          <t>A 10741-2022</t>
        </is>
      </c>
      <c r="B730" s="1" t="n">
        <v>44627</v>
      </c>
      <c r="C730" s="1" t="n">
        <v>45796</v>
      </c>
      <c r="D730" t="inlineStr">
        <is>
          <t>JÄMTLANDS LÄN</t>
        </is>
      </c>
      <c r="E730" t="inlineStr">
        <is>
          <t>HÄRJEDALEN</t>
        </is>
      </c>
      <c r="F730" t="inlineStr">
        <is>
          <t>Holmen skog AB</t>
        </is>
      </c>
      <c r="G730" t="n">
        <v>8</v>
      </c>
      <c r="H730" t="n">
        <v>0</v>
      </c>
      <c r="I730" t="n">
        <v>0</v>
      </c>
      <c r="J730" t="n">
        <v>0</v>
      </c>
      <c r="K730" t="n">
        <v>0</v>
      </c>
      <c r="L730" t="n">
        <v>0</v>
      </c>
      <c r="M730" t="n">
        <v>0</v>
      </c>
      <c r="N730" t="n">
        <v>0</v>
      </c>
      <c r="O730" t="n">
        <v>0</v>
      </c>
      <c r="P730" t="n">
        <v>0</v>
      </c>
      <c r="Q730" t="n">
        <v>0</v>
      </c>
      <c r="R730" s="2" t="inlineStr"/>
    </row>
    <row r="731" ht="15" customHeight="1">
      <c r="A731" t="inlineStr">
        <is>
          <t>A 10956-2022</t>
        </is>
      </c>
      <c r="B731" s="1" t="n">
        <v>44628</v>
      </c>
      <c r="C731" s="1" t="n">
        <v>45796</v>
      </c>
      <c r="D731" t="inlineStr">
        <is>
          <t>JÄMTLANDS LÄN</t>
        </is>
      </c>
      <c r="E731" t="inlineStr">
        <is>
          <t>HÄRJEDALEN</t>
        </is>
      </c>
      <c r="F731" t="inlineStr">
        <is>
          <t>Holmen skog AB</t>
        </is>
      </c>
      <c r="G731" t="n">
        <v>21.8</v>
      </c>
      <c r="H731" t="n">
        <v>0</v>
      </c>
      <c r="I731" t="n">
        <v>0</v>
      </c>
      <c r="J731" t="n">
        <v>0</v>
      </c>
      <c r="K731" t="n">
        <v>0</v>
      </c>
      <c r="L731" t="n">
        <v>0</v>
      </c>
      <c r="M731" t="n">
        <v>0</v>
      </c>
      <c r="N731" t="n">
        <v>0</v>
      </c>
      <c r="O731" t="n">
        <v>0</v>
      </c>
      <c r="P731" t="n">
        <v>0</v>
      </c>
      <c r="Q731" t="n">
        <v>0</v>
      </c>
      <c r="R731" s="2" t="inlineStr"/>
    </row>
    <row r="732" ht="15" customHeight="1">
      <c r="A732" t="inlineStr">
        <is>
          <t>A 10959-2022</t>
        </is>
      </c>
      <c r="B732" s="1" t="n">
        <v>44628</v>
      </c>
      <c r="C732" s="1" t="n">
        <v>45796</v>
      </c>
      <c r="D732" t="inlineStr">
        <is>
          <t>JÄMTLANDS LÄN</t>
        </is>
      </c>
      <c r="E732" t="inlineStr">
        <is>
          <t>HÄRJEDALEN</t>
        </is>
      </c>
      <c r="G732" t="n">
        <v>2.1</v>
      </c>
      <c r="H732" t="n">
        <v>0</v>
      </c>
      <c r="I732" t="n">
        <v>0</v>
      </c>
      <c r="J732" t="n">
        <v>0</v>
      </c>
      <c r="K732" t="n">
        <v>0</v>
      </c>
      <c r="L732" t="n">
        <v>0</v>
      </c>
      <c r="M732" t="n">
        <v>0</v>
      </c>
      <c r="N732" t="n">
        <v>0</v>
      </c>
      <c r="O732" t="n">
        <v>0</v>
      </c>
      <c r="P732" t="n">
        <v>0</v>
      </c>
      <c r="Q732" t="n">
        <v>0</v>
      </c>
      <c r="R732" s="2" t="inlineStr"/>
    </row>
    <row r="733" ht="15" customHeight="1">
      <c r="A733" t="inlineStr">
        <is>
          <t>A 11334-2022</t>
        </is>
      </c>
      <c r="B733" s="1" t="n">
        <v>44630</v>
      </c>
      <c r="C733" s="1" t="n">
        <v>45796</v>
      </c>
      <c r="D733" t="inlineStr">
        <is>
          <t>JÄMTLANDS LÄN</t>
        </is>
      </c>
      <c r="E733" t="inlineStr">
        <is>
          <t>HÄRJEDALEN</t>
        </is>
      </c>
      <c r="F733" t="inlineStr">
        <is>
          <t>Holmen skog AB</t>
        </is>
      </c>
      <c r="G733" t="n">
        <v>5.8</v>
      </c>
      <c r="H733" t="n">
        <v>0</v>
      </c>
      <c r="I733" t="n">
        <v>0</v>
      </c>
      <c r="J733" t="n">
        <v>0</v>
      </c>
      <c r="K733" t="n">
        <v>0</v>
      </c>
      <c r="L733" t="n">
        <v>0</v>
      </c>
      <c r="M733" t="n">
        <v>0</v>
      </c>
      <c r="N733" t="n">
        <v>0</v>
      </c>
      <c r="O733" t="n">
        <v>0</v>
      </c>
      <c r="P733" t="n">
        <v>0</v>
      </c>
      <c r="Q733" t="n">
        <v>0</v>
      </c>
      <c r="R733" s="2" t="inlineStr"/>
    </row>
    <row r="734" ht="15" customHeight="1">
      <c r="A734" t="inlineStr">
        <is>
          <t>A 11512-2022</t>
        </is>
      </c>
      <c r="B734" s="1" t="n">
        <v>44631</v>
      </c>
      <c r="C734" s="1" t="n">
        <v>45796</v>
      </c>
      <c r="D734" t="inlineStr">
        <is>
          <t>JÄMTLANDS LÄN</t>
        </is>
      </c>
      <c r="E734" t="inlineStr">
        <is>
          <t>HÄRJEDALEN</t>
        </is>
      </c>
      <c r="F734" t="inlineStr">
        <is>
          <t>Holmen skog AB</t>
        </is>
      </c>
      <c r="G734" t="n">
        <v>1.8</v>
      </c>
      <c r="H734" t="n">
        <v>0</v>
      </c>
      <c r="I734" t="n">
        <v>0</v>
      </c>
      <c r="J734" t="n">
        <v>0</v>
      </c>
      <c r="K734" t="n">
        <v>0</v>
      </c>
      <c r="L734" t="n">
        <v>0</v>
      </c>
      <c r="M734" t="n">
        <v>0</v>
      </c>
      <c r="N734" t="n">
        <v>0</v>
      </c>
      <c r="O734" t="n">
        <v>0</v>
      </c>
      <c r="P734" t="n">
        <v>0</v>
      </c>
      <c r="Q734" t="n">
        <v>0</v>
      </c>
      <c r="R734" s="2" t="inlineStr"/>
    </row>
    <row r="735" ht="15" customHeight="1">
      <c r="A735" t="inlineStr">
        <is>
          <t>A 11528-2022</t>
        </is>
      </c>
      <c r="B735" s="1" t="n">
        <v>44631</v>
      </c>
      <c r="C735" s="1" t="n">
        <v>45796</v>
      </c>
      <c r="D735" t="inlineStr">
        <is>
          <t>JÄMTLANDS LÄN</t>
        </is>
      </c>
      <c r="E735" t="inlineStr">
        <is>
          <t>HÄRJEDALEN</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11553-2022</t>
        </is>
      </c>
      <c r="B736" s="1" t="n">
        <v>44631</v>
      </c>
      <c r="C736" s="1" t="n">
        <v>45796</v>
      </c>
      <c r="D736" t="inlineStr">
        <is>
          <t>JÄMTLANDS LÄN</t>
        </is>
      </c>
      <c r="E736" t="inlineStr">
        <is>
          <t>HÄRJEDALEN</t>
        </is>
      </c>
      <c r="F736" t="inlineStr">
        <is>
          <t>Holmen skog AB</t>
        </is>
      </c>
      <c r="G736" t="n">
        <v>1.2</v>
      </c>
      <c r="H736" t="n">
        <v>0</v>
      </c>
      <c r="I736" t="n">
        <v>0</v>
      </c>
      <c r="J736" t="n">
        <v>0</v>
      </c>
      <c r="K736" t="n">
        <v>0</v>
      </c>
      <c r="L736" t="n">
        <v>0</v>
      </c>
      <c r="M736" t="n">
        <v>0</v>
      </c>
      <c r="N736" t="n">
        <v>0</v>
      </c>
      <c r="O736" t="n">
        <v>0</v>
      </c>
      <c r="P736" t="n">
        <v>0</v>
      </c>
      <c r="Q736" t="n">
        <v>0</v>
      </c>
      <c r="R736" s="2" t="inlineStr"/>
    </row>
    <row r="737" ht="15" customHeight="1">
      <c r="A737" t="inlineStr">
        <is>
          <t>A 11525-2022</t>
        </is>
      </c>
      <c r="B737" s="1" t="n">
        <v>44631</v>
      </c>
      <c r="C737" s="1" t="n">
        <v>45796</v>
      </c>
      <c r="D737" t="inlineStr">
        <is>
          <t>JÄMTLANDS LÄN</t>
        </is>
      </c>
      <c r="E737" t="inlineStr">
        <is>
          <t>HÄRJEDALEN</t>
        </is>
      </c>
      <c r="F737" t="inlineStr">
        <is>
          <t>Holmen skog AB</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11545-2022</t>
        </is>
      </c>
      <c r="B738" s="1" t="n">
        <v>44631</v>
      </c>
      <c r="C738" s="1" t="n">
        <v>45796</v>
      </c>
      <c r="D738" t="inlineStr">
        <is>
          <t>JÄMTLANDS LÄN</t>
        </is>
      </c>
      <c r="E738" t="inlineStr">
        <is>
          <t>HÄRJEDALEN</t>
        </is>
      </c>
      <c r="F738" t="inlineStr">
        <is>
          <t>Holmen skog AB</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11522-2022</t>
        </is>
      </c>
      <c r="B739" s="1" t="n">
        <v>44631</v>
      </c>
      <c r="C739" s="1" t="n">
        <v>45796</v>
      </c>
      <c r="D739" t="inlineStr">
        <is>
          <t>JÄMTLANDS LÄN</t>
        </is>
      </c>
      <c r="E739" t="inlineStr">
        <is>
          <t>HÄRJEDALEN</t>
        </is>
      </c>
      <c r="F739" t="inlineStr">
        <is>
          <t>Holmen skog AB</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11527-2022</t>
        </is>
      </c>
      <c r="B740" s="1" t="n">
        <v>44631</v>
      </c>
      <c r="C740" s="1" t="n">
        <v>45796</v>
      </c>
      <c r="D740" t="inlineStr">
        <is>
          <t>JÄMTLANDS LÄN</t>
        </is>
      </c>
      <c r="E740" t="inlineStr">
        <is>
          <t>HÄRJEDALEN</t>
        </is>
      </c>
      <c r="F740" t="inlineStr">
        <is>
          <t>Holmen skog AB</t>
        </is>
      </c>
      <c r="G740" t="n">
        <v>4.6</v>
      </c>
      <c r="H740" t="n">
        <v>0</v>
      </c>
      <c r="I740" t="n">
        <v>0</v>
      </c>
      <c r="J740" t="n">
        <v>0</v>
      </c>
      <c r="K740" t="n">
        <v>0</v>
      </c>
      <c r="L740" t="n">
        <v>0</v>
      </c>
      <c r="M740" t="n">
        <v>0</v>
      </c>
      <c r="N740" t="n">
        <v>0</v>
      </c>
      <c r="O740" t="n">
        <v>0</v>
      </c>
      <c r="P740" t="n">
        <v>0</v>
      </c>
      <c r="Q740" t="n">
        <v>0</v>
      </c>
      <c r="R740" s="2" t="inlineStr"/>
    </row>
    <row r="741" ht="15" customHeight="1">
      <c r="A741" t="inlineStr">
        <is>
          <t>A 11557-2022</t>
        </is>
      </c>
      <c r="B741" s="1" t="n">
        <v>44631</v>
      </c>
      <c r="C741" s="1" t="n">
        <v>45796</v>
      </c>
      <c r="D741" t="inlineStr">
        <is>
          <t>JÄMTLANDS LÄN</t>
        </is>
      </c>
      <c r="E741" t="inlineStr">
        <is>
          <t>HÄRJEDALEN</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11541-2022</t>
        </is>
      </c>
      <c r="B742" s="1" t="n">
        <v>44631</v>
      </c>
      <c r="C742" s="1" t="n">
        <v>45796</v>
      </c>
      <c r="D742" t="inlineStr">
        <is>
          <t>JÄMTLANDS LÄN</t>
        </is>
      </c>
      <c r="E742" t="inlineStr">
        <is>
          <t>HÄRJEDALEN</t>
        </is>
      </c>
      <c r="F742" t="inlineStr">
        <is>
          <t>Holmen skog AB</t>
        </is>
      </c>
      <c r="G742" t="n">
        <v>5.5</v>
      </c>
      <c r="H742" t="n">
        <v>0</v>
      </c>
      <c r="I742" t="n">
        <v>0</v>
      </c>
      <c r="J742" t="n">
        <v>0</v>
      </c>
      <c r="K742" t="n">
        <v>0</v>
      </c>
      <c r="L742" t="n">
        <v>0</v>
      </c>
      <c r="M742" t="n">
        <v>0</v>
      </c>
      <c r="N742" t="n">
        <v>0</v>
      </c>
      <c r="O742" t="n">
        <v>0</v>
      </c>
      <c r="P742" t="n">
        <v>0</v>
      </c>
      <c r="Q742" t="n">
        <v>0</v>
      </c>
      <c r="R742" s="2" t="inlineStr"/>
    </row>
    <row r="743" ht="15" customHeight="1">
      <c r="A743" t="inlineStr">
        <is>
          <t>A 11551-2022</t>
        </is>
      </c>
      <c r="B743" s="1" t="n">
        <v>44631</v>
      </c>
      <c r="C743" s="1" t="n">
        <v>45796</v>
      </c>
      <c r="D743" t="inlineStr">
        <is>
          <t>JÄMTLANDS LÄN</t>
        </is>
      </c>
      <c r="E743" t="inlineStr">
        <is>
          <t>HÄRJEDALEN</t>
        </is>
      </c>
      <c r="F743" t="inlineStr">
        <is>
          <t>Holmen skog AB</t>
        </is>
      </c>
      <c r="G743" t="n">
        <v>17.6</v>
      </c>
      <c r="H743" t="n">
        <v>0</v>
      </c>
      <c r="I743" t="n">
        <v>0</v>
      </c>
      <c r="J743" t="n">
        <v>0</v>
      </c>
      <c r="K743" t="n">
        <v>0</v>
      </c>
      <c r="L743" t="n">
        <v>0</v>
      </c>
      <c r="M743" t="n">
        <v>0</v>
      </c>
      <c r="N743" t="n">
        <v>0</v>
      </c>
      <c r="O743" t="n">
        <v>0</v>
      </c>
      <c r="P743" t="n">
        <v>0</v>
      </c>
      <c r="Q743" t="n">
        <v>0</v>
      </c>
      <c r="R743" s="2" t="inlineStr"/>
    </row>
    <row r="744" ht="15" customHeight="1">
      <c r="A744" t="inlineStr">
        <is>
          <t>A 12468-2022</t>
        </is>
      </c>
      <c r="B744" s="1" t="n">
        <v>44638</v>
      </c>
      <c r="C744" s="1" t="n">
        <v>45796</v>
      </c>
      <c r="D744" t="inlineStr">
        <is>
          <t>JÄMTLANDS LÄN</t>
        </is>
      </c>
      <c r="E744" t="inlineStr">
        <is>
          <t>HÄRJEDALEN</t>
        </is>
      </c>
      <c r="G744" t="n">
        <v>2.5</v>
      </c>
      <c r="H744" t="n">
        <v>0</v>
      </c>
      <c r="I744" t="n">
        <v>0</v>
      </c>
      <c r="J744" t="n">
        <v>0</v>
      </c>
      <c r="K744" t="n">
        <v>0</v>
      </c>
      <c r="L744" t="n">
        <v>0</v>
      </c>
      <c r="M744" t="n">
        <v>0</v>
      </c>
      <c r="N744" t="n">
        <v>0</v>
      </c>
      <c r="O744" t="n">
        <v>0</v>
      </c>
      <c r="P744" t="n">
        <v>0</v>
      </c>
      <c r="Q744" t="n">
        <v>0</v>
      </c>
      <c r="R744" s="2" t="inlineStr"/>
    </row>
    <row r="745" ht="15" customHeight="1">
      <c r="A745" t="inlineStr">
        <is>
          <t>A 12810-2022</t>
        </is>
      </c>
      <c r="B745" s="1" t="n">
        <v>44642</v>
      </c>
      <c r="C745" s="1" t="n">
        <v>45796</v>
      </c>
      <c r="D745" t="inlineStr">
        <is>
          <t>JÄMTLANDS LÄN</t>
        </is>
      </c>
      <c r="E745" t="inlineStr">
        <is>
          <t>HÄRJEDALEN</t>
        </is>
      </c>
      <c r="F745" t="inlineStr">
        <is>
          <t>Holmen skog AB</t>
        </is>
      </c>
      <c r="G745" t="n">
        <v>2.5</v>
      </c>
      <c r="H745" t="n">
        <v>0</v>
      </c>
      <c r="I745" t="n">
        <v>0</v>
      </c>
      <c r="J745" t="n">
        <v>0</v>
      </c>
      <c r="K745" t="n">
        <v>0</v>
      </c>
      <c r="L745" t="n">
        <v>0</v>
      </c>
      <c r="M745" t="n">
        <v>0</v>
      </c>
      <c r="N745" t="n">
        <v>0</v>
      </c>
      <c r="O745" t="n">
        <v>0</v>
      </c>
      <c r="P745" t="n">
        <v>0</v>
      </c>
      <c r="Q745" t="n">
        <v>0</v>
      </c>
      <c r="R745" s="2" t="inlineStr"/>
    </row>
    <row r="746" ht="15" customHeight="1">
      <c r="A746" t="inlineStr">
        <is>
          <t>A 13081-2022</t>
        </is>
      </c>
      <c r="B746" s="1" t="n">
        <v>44643</v>
      </c>
      <c r="C746" s="1" t="n">
        <v>45796</v>
      </c>
      <c r="D746" t="inlineStr">
        <is>
          <t>JÄMTLANDS LÄN</t>
        </is>
      </c>
      <c r="E746" t="inlineStr">
        <is>
          <t>HÄRJEDALEN</t>
        </is>
      </c>
      <c r="G746" t="n">
        <v>1</v>
      </c>
      <c r="H746" t="n">
        <v>0</v>
      </c>
      <c r="I746" t="n">
        <v>0</v>
      </c>
      <c r="J746" t="n">
        <v>0</v>
      </c>
      <c r="K746" t="n">
        <v>0</v>
      </c>
      <c r="L746" t="n">
        <v>0</v>
      </c>
      <c r="M746" t="n">
        <v>0</v>
      </c>
      <c r="N746" t="n">
        <v>0</v>
      </c>
      <c r="O746" t="n">
        <v>0</v>
      </c>
      <c r="P746" t="n">
        <v>0</v>
      </c>
      <c r="Q746" t="n">
        <v>0</v>
      </c>
      <c r="R746" s="2" t="inlineStr"/>
    </row>
    <row r="747" ht="15" customHeight="1">
      <c r="A747" t="inlineStr">
        <is>
          <t>A 13991-2022</t>
        </is>
      </c>
      <c r="B747" s="1" t="n">
        <v>44650</v>
      </c>
      <c r="C747" s="1" t="n">
        <v>45796</v>
      </c>
      <c r="D747" t="inlineStr">
        <is>
          <t>JÄMTLANDS LÄN</t>
        </is>
      </c>
      <c r="E747" t="inlineStr">
        <is>
          <t>HÄRJEDALEN</t>
        </is>
      </c>
      <c r="F747" t="inlineStr">
        <is>
          <t>Holmen skog AB</t>
        </is>
      </c>
      <c r="G747" t="n">
        <v>6.2</v>
      </c>
      <c r="H747" t="n">
        <v>0</v>
      </c>
      <c r="I747" t="n">
        <v>0</v>
      </c>
      <c r="J747" t="n">
        <v>0</v>
      </c>
      <c r="K747" t="n">
        <v>0</v>
      </c>
      <c r="L747" t="n">
        <v>0</v>
      </c>
      <c r="M747" t="n">
        <v>0</v>
      </c>
      <c r="N747" t="n">
        <v>0</v>
      </c>
      <c r="O747" t="n">
        <v>0</v>
      </c>
      <c r="P747" t="n">
        <v>0</v>
      </c>
      <c r="Q747" t="n">
        <v>0</v>
      </c>
      <c r="R747" s="2" t="inlineStr"/>
    </row>
    <row r="748" ht="15" customHeight="1">
      <c r="A748" t="inlineStr">
        <is>
          <t>A 15374-2022</t>
        </is>
      </c>
      <c r="B748" s="1" t="n">
        <v>44659</v>
      </c>
      <c r="C748" s="1" t="n">
        <v>45796</v>
      </c>
      <c r="D748" t="inlineStr">
        <is>
          <t>JÄMTLANDS LÄN</t>
        </is>
      </c>
      <c r="E748" t="inlineStr">
        <is>
          <t>HÄRJEDALEN</t>
        </is>
      </c>
      <c r="G748" t="n">
        <v>1.9</v>
      </c>
      <c r="H748" t="n">
        <v>0</v>
      </c>
      <c r="I748" t="n">
        <v>0</v>
      </c>
      <c r="J748" t="n">
        <v>0</v>
      </c>
      <c r="K748" t="n">
        <v>0</v>
      </c>
      <c r="L748" t="n">
        <v>0</v>
      </c>
      <c r="M748" t="n">
        <v>0</v>
      </c>
      <c r="N748" t="n">
        <v>0</v>
      </c>
      <c r="O748" t="n">
        <v>0</v>
      </c>
      <c r="P748" t="n">
        <v>0</v>
      </c>
      <c r="Q748" t="n">
        <v>0</v>
      </c>
      <c r="R748" s="2" t="inlineStr"/>
    </row>
    <row r="749" ht="15" customHeight="1">
      <c r="A749" t="inlineStr">
        <is>
          <t>A 15611-2022</t>
        </is>
      </c>
      <c r="B749" s="1" t="n">
        <v>44662</v>
      </c>
      <c r="C749" s="1" t="n">
        <v>45796</v>
      </c>
      <c r="D749" t="inlineStr">
        <is>
          <t>JÄMTLANDS LÄN</t>
        </is>
      </c>
      <c r="E749" t="inlineStr">
        <is>
          <t>HÄRJEDALEN</t>
        </is>
      </c>
      <c r="F749" t="inlineStr">
        <is>
          <t>Kyrkan</t>
        </is>
      </c>
      <c r="G749" t="n">
        <v>6.9</v>
      </c>
      <c r="H749" t="n">
        <v>0</v>
      </c>
      <c r="I749" t="n">
        <v>0</v>
      </c>
      <c r="J749" t="n">
        <v>0</v>
      </c>
      <c r="K749" t="n">
        <v>0</v>
      </c>
      <c r="L749" t="n">
        <v>0</v>
      </c>
      <c r="M749" t="n">
        <v>0</v>
      </c>
      <c r="N749" t="n">
        <v>0</v>
      </c>
      <c r="O749" t="n">
        <v>0</v>
      </c>
      <c r="P749" t="n">
        <v>0</v>
      </c>
      <c r="Q749" t="n">
        <v>0</v>
      </c>
      <c r="R749" s="2" t="inlineStr"/>
    </row>
    <row r="750" ht="15" customHeight="1">
      <c r="A750" t="inlineStr">
        <is>
          <t>A 15763-2022</t>
        </is>
      </c>
      <c r="B750" s="1" t="n">
        <v>44663</v>
      </c>
      <c r="C750" s="1" t="n">
        <v>45796</v>
      </c>
      <c r="D750" t="inlineStr">
        <is>
          <t>JÄMTLANDS LÄN</t>
        </is>
      </c>
      <c r="E750" t="inlineStr">
        <is>
          <t>HÄRJEDALEN</t>
        </is>
      </c>
      <c r="G750" t="n">
        <v>4.4</v>
      </c>
      <c r="H750" t="n">
        <v>0</v>
      </c>
      <c r="I750" t="n">
        <v>0</v>
      </c>
      <c r="J750" t="n">
        <v>0</v>
      </c>
      <c r="K750" t="n">
        <v>0</v>
      </c>
      <c r="L750" t="n">
        <v>0</v>
      </c>
      <c r="M750" t="n">
        <v>0</v>
      </c>
      <c r="N750" t="n">
        <v>0</v>
      </c>
      <c r="O750" t="n">
        <v>0</v>
      </c>
      <c r="P750" t="n">
        <v>0</v>
      </c>
      <c r="Q750" t="n">
        <v>0</v>
      </c>
      <c r="R750" s="2" t="inlineStr"/>
    </row>
    <row r="751" ht="15" customHeight="1">
      <c r="A751" t="inlineStr">
        <is>
          <t>A 16014-2022</t>
        </is>
      </c>
      <c r="B751" s="1" t="n">
        <v>44665</v>
      </c>
      <c r="C751" s="1" t="n">
        <v>45796</v>
      </c>
      <c r="D751" t="inlineStr">
        <is>
          <t>JÄMTLANDS LÄN</t>
        </is>
      </c>
      <c r="E751" t="inlineStr">
        <is>
          <t>HÄRJEDALEN</t>
        </is>
      </c>
      <c r="G751" t="n">
        <v>38.7</v>
      </c>
      <c r="H751" t="n">
        <v>0</v>
      </c>
      <c r="I751" t="n">
        <v>0</v>
      </c>
      <c r="J751" t="n">
        <v>0</v>
      </c>
      <c r="K751" t="n">
        <v>0</v>
      </c>
      <c r="L751" t="n">
        <v>0</v>
      </c>
      <c r="M751" t="n">
        <v>0</v>
      </c>
      <c r="N751" t="n">
        <v>0</v>
      </c>
      <c r="O751" t="n">
        <v>0</v>
      </c>
      <c r="P751" t="n">
        <v>0</v>
      </c>
      <c r="Q751" t="n">
        <v>0</v>
      </c>
      <c r="R751" s="2" t="inlineStr"/>
    </row>
    <row r="752" ht="15" customHeight="1">
      <c r="A752" t="inlineStr">
        <is>
          <t>A 17805-2022</t>
        </is>
      </c>
      <c r="B752" s="1" t="n">
        <v>44683</v>
      </c>
      <c r="C752" s="1" t="n">
        <v>45796</v>
      </c>
      <c r="D752" t="inlineStr">
        <is>
          <t>JÄMTLANDS LÄN</t>
        </is>
      </c>
      <c r="E752" t="inlineStr">
        <is>
          <t>HÄRJEDALEN</t>
        </is>
      </c>
      <c r="G752" t="n">
        <v>15.7</v>
      </c>
      <c r="H752" t="n">
        <v>0</v>
      </c>
      <c r="I752" t="n">
        <v>0</v>
      </c>
      <c r="J752" t="n">
        <v>0</v>
      </c>
      <c r="K752" t="n">
        <v>0</v>
      </c>
      <c r="L752" t="n">
        <v>0</v>
      </c>
      <c r="M752" t="n">
        <v>0</v>
      </c>
      <c r="N752" t="n">
        <v>0</v>
      </c>
      <c r="O752" t="n">
        <v>0</v>
      </c>
      <c r="P752" t="n">
        <v>0</v>
      </c>
      <c r="Q752" t="n">
        <v>0</v>
      </c>
      <c r="R752" s="2" t="inlineStr"/>
    </row>
    <row r="753" ht="15" customHeight="1">
      <c r="A753" t="inlineStr">
        <is>
          <t>A 17797-2022</t>
        </is>
      </c>
      <c r="B753" s="1" t="n">
        <v>44683</v>
      </c>
      <c r="C753" s="1" t="n">
        <v>45796</v>
      </c>
      <c r="D753" t="inlineStr">
        <is>
          <t>JÄMTLANDS LÄN</t>
        </is>
      </c>
      <c r="E753" t="inlineStr">
        <is>
          <t>HÄRJEDALEN</t>
        </is>
      </c>
      <c r="G753" t="n">
        <v>15.4</v>
      </c>
      <c r="H753" t="n">
        <v>0</v>
      </c>
      <c r="I753" t="n">
        <v>0</v>
      </c>
      <c r="J753" t="n">
        <v>0</v>
      </c>
      <c r="K753" t="n">
        <v>0</v>
      </c>
      <c r="L753" t="n">
        <v>0</v>
      </c>
      <c r="M753" t="n">
        <v>0</v>
      </c>
      <c r="N753" t="n">
        <v>0</v>
      </c>
      <c r="O753" t="n">
        <v>0</v>
      </c>
      <c r="P753" t="n">
        <v>0</v>
      </c>
      <c r="Q753" t="n">
        <v>0</v>
      </c>
      <c r="R753" s="2" t="inlineStr"/>
    </row>
    <row r="754" ht="15" customHeight="1">
      <c r="A754" t="inlineStr">
        <is>
          <t>A 17935-2022</t>
        </is>
      </c>
      <c r="B754" s="1" t="n">
        <v>44683</v>
      </c>
      <c r="C754" s="1" t="n">
        <v>45796</v>
      </c>
      <c r="D754" t="inlineStr">
        <is>
          <t>JÄMTLANDS LÄN</t>
        </is>
      </c>
      <c r="E754" t="inlineStr">
        <is>
          <t>HÄRJEDALEN</t>
        </is>
      </c>
      <c r="G754" t="n">
        <v>4.2</v>
      </c>
      <c r="H754" t="n">
        <v>0</v>
      </c>
      <c r="I754" t="n">
        <v>0</v>
      </c>
      <c r="J754" t="n">
        <v>0</v>
      </c>
      <c r="K754" t="n">
        <v>0</v>
      </c>
      <c r="L754" t="n">
        <v>0</v>
      </c>
      <c r="M754" t="n">
        <v>0</v>
      </c>
      <c r="N754" t="n">
        <v>0</v>
      </c>
      <c r="O754" t="n">
        <v>0</v>
      </c>
      <c r="P754" t="n">
        <v>0</v>
      </c>
      <c r="Q754" t="n">
        <v>0</v>
      </c>
      <c r="R754" s="2" t="inlineStr"/>
    </row>
    <row r="755" ht="15" customHeight="1">
      <c r="A755" t="inlineStr">
        <is>
          <t>A 18169-2022</t>
        </is>
      </c>
      <c r="B755" s="1" t="n">
        <v>44684</v>
      </c>
      <c r="C755" s="1" t="n">
        <v>45796</v>
      </c>
      <c r="D755" t="inlineStr">
        <is>
          <t>JÄMTLANDS LÄN</t>
        </is>
      </c>
      <c r="E755" t="inlineStr">
        <is>
          <t>HÄRJEDALEN</t>
        </is>
      </c>
      <c r="F755" t="inlineStr">
        <is>
          <t>Kyrkan</t>
        </is>
      </c>
      <c r="G755" t="n">
        <v>2.4</v>
      </c>
      <c r="H755" t="n">
        <v>0</v>
      </c>
      <c r="I755" t="n">
        <v>0</v>
      </c>
      <c r="J755" t="n">
        <v>0</v>
      </c>
      <c r="K755" t="n">
        <v>0</v>
      </c>
      <c r="L755" t="n">
        <v>0</v>
      </c>
      <c r="M755" t="n">
        <v>0</v>
      </c>
      <c r="N755" t="n">
        <v>0</v>
      </c>
      <c r="O755" t="n">
        <v>0</v>
      </c>
      <c r="P755" t="n">
        <v>0</v>
      </c>
      <c r="Q755" t="n">
        <v>0</v>
      </c>
      <c r="R755" s="2" t="inlineStr"/>
    </row>
    <row r="756" ht="15" customHeight="1">
      <c r="A756" t="inlineStr">
        <is>
          <t>A 18778-2022</t>
        </is>
      </c>
      <c r="B756" s="1" t="n">
        <v>44689</v>
      </c>
      <c r="C756" s="1" t="n">
        <v>45796</v>
      </c>
      <c r="D756" t="inlineStr">
        <is>
          <t>JÄMTLANDS LÄN</t>
        </is>
      </c>
      <c r="E756" t="inlineStr">
        <is>
          <t>HÄRJEDALEN</t>
        </is>
      </c>
      <c r="G756" t="n">
        <v>4.1</v>
      </c>
      <c r="H756" t="n">
        <v>0</v>
      </c>
      <c r="I756" t="n">
        <v>0</v>
      </c>
      <c r="J756" t="n">
        <v>0</v>
      </c>
      <c r="K756" t="n">
        <v>0</v>
      </c>
      <c r="L756" t="n">
        <v>0</v>
      </c>
      <c r="M756" t="n">
        <v>0</v>
      </c>
      <c r="N756" t="n">
        <v>0</v>
      </c>
      <c r="O756" t="n">
        <v>0</v>
      </c>
      <c r="P756" t="n">
        <v>0</v>
      </c>
      <c r="Q756" t="n">
        <v>0</v>
      </c>
      <c r="R756" s="2" t="inlineStr"/>
    </row>
    <row r="757" ht="15" customHeight="1">
      <c r="A757" t="inlineStr">
        <is>
          <t>A 18808-2022</t>
        </is>
      </c>
      <c r="B757" s="1" t="n">
        <v>44690</v>
      </c>
      <c r="C757" s="1" t="n">
        <v>45796</v>
      </c>
      <c r="D757" t="inlineStr">
        <is>
          <t>JÄMTLANDS LÄN</t>
        </is>
      </c>
      <c r="E757" t="inlineStr">
        <is>
          <t>HÄRJEDALEN</t>
        </is>
      </c>
      <c r="G757" t="n">
        <v>0.5</v>
      </c>
      <c r="H757" t="n">
        <v>0</v>
      </c>
      <c r="I757" t="n">
        <v>0</v>
      </c>
      <c r="J757" t="n">
        <v>0</v>
      </c>
      <c r="K757" t="n">
        <v>0</v>
      </c>
      <c r="L757" t="n">
        <v>0</v>
      </c>
      <c r="M757" t="n">
        <v>0</v>
      </c>
      <c r="N757" t="n">
        <v>0</v>
      </c>
      <c r="O757" t="n">
        <v>0</v>
      </c>
      <c r="P757" t="n">
        <v>0</v>
      </c>
      <c r="Q757" t="n">
        <v>0</v>
      </c>
      <c r="R757" s="2" t="inlineStr"/>
    </row>
    <row r="758" ht="15" customHeight="1">
      <c r="A758" t="inlineStr">
        <is>
          <t>A 20059-2022</t>
        </is>
      </c>
      <c r="B758" s="1" t="n">
        <v>44698</v>
      </c>
      <c r="C758" s="1" t="n">
        <v>45796</v>
      </c>
      <c r="D758" t="inlineStr">
        <is>
          <t>JÄMTLANDS LÄN</t>
        </is>
      </c>
      <c r="E758" t="inlineStr">
        <is>
          <t>HÄRJEDALEN</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20206-2022</t>
        </is>
      </c>
      <c r="B759" s="1" t="n">
        <v>44698</v>
      </c>
      <c r="C759" s="1" t="n">
        <v>45796</v>
      </c>
      <c r="D759" t="inlineStr">
        <is>
          <t>JÄMTLANDS LÄN</t>
        </is>
      </c>
      <c r="E759" t="inlineStr">
        <is>
          <t>HÄRJEDALEN</t>
        </is>
      </c>
      <c r="F759" t="inlineStr">
        <is>
          <t>Bergvik skog väst AB</t>
        </is>
      </c>
      <c r="G759" t="n">
        <v>5.8</v>
      </c>
      <c r="H759" t="n">
        <v>0</v>
      </c>
      <c r="I759" t="n">
        <v>0</v>
      </c>
      <c r="J759" t="n">
        <v>0</v>
      </c>
      <c r="K759" t="n">
        <v>0</v>
      </c>
      <c r="L759" t="n">
        <v>0</v>
      </c>
      <c r="M759" t="n">
        <v>0</v>
      </c>
      <c r="N759" t="n">
        <v>0</v>
      </c>
      <c r="O759" t="n">
        <v>0</v>
      </c>
      <c r="P759" t="n">
        <v>0</v>
      </c>
      <c r="Q759" t="n">
        <v>0</v>
      </c>
      <c r="R759" s="2" t="inlineStr"/>
    </row>
    <row r="760" ht="15" customHeight="1">
      <c r="A760" t="inlineStr">
        <is>
          <t>A 21610-2022</t>
        </is>
      </c>
      <c r="B760" s="1" t="n">
        <v>44706</v>
      </c>
      <c r="C760" s="1" t="n">
        <v>45796</v>
      </c>
      <c r="D760" t="inlineStr">
        <is>
          <t>JÄMTLANDS LÄN</t>
        </is>
      </c>
      <c r="E760" t="inlineStr">
        <is>
          <t>HÄRJEDALEN</t>
        </is>
      </c>
      <c r="F760" t="inlineStr">
        <is>
          <t>Holmen skog AB</t>
        </is>
      </c>
      <c r="G760" t="n">
        <v>15.3</v>
      </c>
      <c r="H760" t="n">
        <v>0</v>
      </c>
      <c r="I760" t="n">
        <v>0</v>
      </c>
      <c r="J760" t="n">
        <v>0</v>
      </c>
      <c r="K760" t="n">
        <v>0</v>
      </c>
      <c r="L760" t="n">
        <v>0</v>
      </c>
      <c r="M760" t="n">
        <v>0</v>
      </c>
      <c r="N760" t="n">
        <v>0</v>
      </c>
      <c r="O760" t="n">
        <v>0</v>
      </c>
      <c r="P760" t="n">
        <v>0</v>
      </c>
      <c r="Q760" t="n">
        <v>0</v>
      </c>
      <c r="R760" s="2" t="inlineStr"/>
    </row>
    <row r="761" ht="15" customHeight="1">
      <c r="A761" t="inlineStr">
        <is>
          <t>A 21767-2022</t>
        </is>
      </c>
      <c r="B761" s="1" t="n">
        <v>44708</v>
      </c>
      <c r="C761" s="1" t="n">
        <v>45796</v>
      </c>
      <c r="D761" t="inlineStr">
        <is>
          <t>JÄMTLANDS LÄN</t>
        </is>
      </c>
      <c r="E761" t="inlineStr">
        <is>
          <t>HÄRJEDALEN</t>
        </is>
      </c>
      <c r="F761" t="inlineStr">
        <is>
          <t>Holmen skog AB</t>
        </is>
      </c>
      <c r="G761" t="n">
        <v>8.1</v>
      </c>
      <c r="H761" t="n">
        <v>0</v>
      </c>
      <c r="I761" t="n">
        <v>0</v>
      </c>
      <c r="J761" t="n">
        <v>0</v>
      </c>
      <c r="K761" t="n">
        <v>0</v>
      </c>
      <c r="L761" t="n">
        <v>0</v>
      </c>
      <c r="M761" t="n">
        <v>0</v>
      </c>
      <c r="N761" t="n">
        <v>0</v>
      </c>
      <c r="O761" t="n">
        <v>0</v>
      </c>
      <c r="P761" t="n">
        <v>0</v>
      </c>
      <c r="Q761" t="n">
        <v>0</v>
      </c>
      <c r="R761" s="2" t="inlineStr"/>
    </row>
    <row r="762" ht="15" customHeight="1">
      <c r="A762" t="inlineStr">
        <is>
          <t>A 21774-2022</t>
        </is>
      </c>
      <c r="B762" s="1" t="n">
        <v>44708</v>
      </c>
      <c r="C762" s="1" t="n">
        <v>45796</v>
      </c>
      <c r="D762" t="inlineStr">
        <is>
          <t>JÄMTLANDS LÄN</t>
        </is>
      </c>
      <c r="E762" t="inlineStr">
        <is>
          <t>HÄRJEDALEN</t>
        </is>
      </c>
      <c r="F762" t="inlineStr">
        <is>
          <t>Holmen skog AB</t>
        </is>
      </c>
      <c r="G762" t="n">
        <v>17.3</v>
      </c>
      <c r="H762" t="n">
        <v>0</v>
      </c>
      <c r="I762" t="n">
        <v>0</v>
      </c>
      <c r="J762" t="n">
        <v>0</v>
      </c>
      <c r="K762" t="n">
        <v>0</v>
      </c>
      <c r="L762" t="n">
        <v>0</v>
      </c>
      <c r="M762" t="n">
        <v>0</v>
      </c>
      <c r="N762" t="n">
        <v>0</v>
      </c>
      <c r="O762" t="n">
        <v>0</v>
      </c>
      <c r="P762" t="n">
        <v>0</v>
      </c>
      <c r="Q762" t="n">
        <v>0</v>
      </c>
      <c r="R762" s="2" t="inlineStr"/>
    </row>
    <row r="763" ht="15" customHeight="1">
      <c r="A763" t="inlineStr">
        <is>
          <t>A 21778-2022</t>
        </is>
      </c>
      <c r="B763" s="1" t="n">
        <v>44708</v>
      </c>
      <c r="C763" s="1" t="n">
        <v>45796</v>
      </c>
      <c r="D763" t="inlineStr">
        <is>
          <t>JÄMTLANDS LÄN</t>
        </is>
      </c>
      <c r="E763" t="inlineStr">
        <is>
          <t>HÄRJEDALEN</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21770-2022</t>
        </is>
      </c>
      <c r="B764" s="1" t="n">
        <v>44708</v>
      </c>
      <c r="C764" s="1" t="n">
        <v>45796</v>
      </c>
      <c r="D764" t="inlineStr">
        <is>
          <t>JÄMTLANDS LÄN</t>
        </is>
      </c>
      <c r="E764" t="inlineStr">
        <is>
          <t>HÄRJEDALEN</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21781-2022</t>
        </is>
      </c>
      <c r="B765" s="1" t="n">
        <v>44708</v>
      </c>
      <c r="C765" s="1" t="n">
        <v>45796</v>
      </c>
      <c r="D765" t="inlineStr">
        <is>
          <t>JÄMTLANDS LÄN</t>
        </is>
      </c>
      <c r="E765" t="inlineStr">
        <is>
          <t>HÄRJEDALEN</t>
        </is>
      </c>
      <c r="F765" t="inlineStr">
        <is>
          <t>Holmen skog AB</t>
        </is>
      </c>
      <c r="G765" t="n">
        <v>16.3</v>
      </c>
      <c r="H765" t="n">
        <v>0</v>
      </c>
      <c r="I765" t="n">
        <v>0</v>
      </c>
      <c r="J765" t="n">
        <v>0</v>
      </c>
      <c r="K765" t="n">
        <v>0</v>
      </c>
      <c r="L765" t="n">
        <v>0</v>
      </c>
      <c r="M765" t="n">
        <v>0</v>
      </c>
      <c r="N765" t="n">
        <v>0</v>
      </c>
      <c r="O765" t="n">
        <v>0</v>
      </c>
      <c r="P765" t="n">
        <v>0</v>
      </c>
      <c r="Q765" t="n">
        <v>0</v>
      </c>
      <c r="R765" s="2" t="inlineStr"/>
    </row>
    <row r="766" ht="15" customHeight="1">
      <c r="A766" t="inlineStr">
        <is>
          <t>A 21796-2022</t>
        </is>
      </c>
      <c r="B766" s="1" t="n">
        <v>44708</v>
      </c>
      <c r="C766" s="1" t="n">
        <v>45796</v>
      </c>
      <c r="D766" t="inlineStr">
        <is>
          <t>JÄMTLANDS LÄN</t>
        </is>
      </c>
      <c r="E766" t="inlineStr">
        <is>
          <t>HÄRJEDALEN</t>
        </is>
      </c>
      <c r="F766" t="inlineStr">
        <is>
          <t>Holmen skog AB</t>
        </is>
      </c>
      <c r="G766" t="n">
        <v>22.3</v>
      </c>
      <c r="H766" t="n">
        <v>0</v>
      </c>
      <c r="I766" t="n">
        <v>0</v>
      </c>
      <c r="J766" t="n">
        <v>0</v>
      </c>
      <c r="K766" t="n">
        <v>0</v>
      </c>
      <c r="L766" t="n">
        <v>0</v>
      </c>
      <c r="M766" t="n">
        <v>0</v>
      </c>
      <c r="N766" t="n">
        <v>0</v>
      </c>
      <c r="O766" t="n">
        <v>0</v>
      </c>
      <c r="P766" t="n">
        <v>0</v>
      </c>
      <c r="Q766" t="n">
        <v>0</v>
      </c>
      <c r="R766" s="2" t="inlineStr"/>
    </row>
    <row r="767" ht="15" customHeight="1">
      <c r="A767" t="inlineStr">
        <is>
          <t>A 22166-2022</t>
        </is>
      </c>
      <c r="B767" s="1" t="n">
        <v>44712</v>
      </c>
      <c r="C767" s="1" t="n">
        <v>45796</v>
      </c>
      <c r="D767" t="inlineStr">
        <is>
          <t>JÄMTLANDS LÄN</t>
        </is>
      </c>
      <c r="E767" t="inlineStr">
        <is>
          <t>HÄRJEDALEN</t>
        </is>
      </c>
      <c r="F767" t="inlineStr">
        <is>
          <t>Holmen skog AB</t>
        </is>
      </c>
      <c r="G767" t="n">
        <v>5.6</v>
      </c>
      <c r="H767" t="n">
        <v>0</v>
      </c>
      <c r="I767" t="n">
        <v>0</v>
      </c>
      <c r="J767" t="n">
        <v>0</v>
      </c>
      <c r="K767" t="n">
        <v>0</v>
      </c>
      <c r="L767" t="n">
        <v>0</v>
      </c>
      <c r="M767" t="n">
        <v>0</v>
      </c>
      <c r="N767" t="n">
        <v>0</v>
      </c>
      <c r="O767" t="n">
        <v>0</v>
      </c>
      <c r="P767" t="n">
        <v>0</v>
      </c>
      <c r="Q767" t="n">
        <v>0</v>
      </c>
      <c r="R767" s="2" t="inlineStr"/>
    </row>
    <row r="768" ht="15" customHeight="1">
      <c r="A768" t="inlineStr">
        <is>
          <t>A 23074-2022</t>
        </is>
      </c>
      <c r="B768" s="1" t="n">
        <v>44719</v>
      </c>
      <c r="C768" s="1" t="n">
        <v>45796</v>
      </c>
      <c r="D768" t="inlineStr">
        <is>
          <t>JÄMTLANDS LÄN</t>
        </is>
      </c>
      <c r="E768" t="inlineStr">
        <is>
          <t>HÄRJEDALEN</t>
        </is>
      </c>
      <c r="F768" t="inlineStr">
        <is>
          <t>Bergvik skog väst AB</t>
        </is>
      </c>
      <c r="G768" t="n">
        <v>23.2</v>
      </c>
      <c r="H768" t="n">
        <v>0</v>
      </c>
      <c r="I768" t="n">
        <v>0</v>
      </c>
      <c r="J768" t="n">
        <v>0</v>
      </c>
      <c r="K768" t="n">
        <v>0</v>
      </c>
      <c r="L768" t="n">
        <v>0</v>
      </c>
      <c r="M768" t="n">
        <v>0</v>
      </c>
      <c r="N768" t="n">
        <v>0</v>
      </c>
      <c r="O768" t="n">
        <v>0</v>
      </c>
      <c r="P768" t="n">
        <v>0</v>
      </c>
      <c r="Q768" t="n">
        <v>0</v>
      </c>
      <c r="R768" s="2" t="inlineStr"/>
    </row>
    <row r="769" ht="15" customHeight="1">
      <c r="A769" t="inlineStr">
        <is>
          <t>A 23140-2022</t>
        </is>
      </c>
      <c r="B769" s="1" t="n">
        <v>44719</v>
      </c>
      <c r="C769" s="1" t="n">
        <v>45796</v>
      </c>
      <c r="D769" t="inlineStr">
        <is>
          <t>JÄMTLANDS LÄN</t>
        </is>
      </c>
      <c r="E769" t="inlineStr">
        <is>
          <t>HÄRJEDALEN</t>
        </is>
      </c>
      <c r="F769" t="inlineStr">
        <is>
          <t>Bergvik skog väst AB</t>
        </is>
      </c>
      <c r="G769" t="n">
        <v>3.3</v>
      </c>
      <c r="H769" t="n">
        <v>0</v>
      </c>
      <c r="I769" t="n">
        <v>0</v>
      </c>
      <c r="J769" t="n">
        <v>0</v>
      </c>
      <c r="K769" t="n">
        <v>0</v>
      </c>
      <c r="L769" t="n">
        <v>0</v>
      </c>
      <c r="M769" t="n">
        <v>0</v>
      </c>
      <c r="N769" t="n">
        <v>0</v>
      </c>
      <c r="O769" t="n">
        <v>0</v>
      </c>
      <c r="P769" t="n">
        <v>0</v>
      </c>
      <c r="Q769" t="n">
        <v>0</v>
      </c>
      <c r="R769" s="2" t="inlineStr"/>
    </row>
    <row r="770" ht="15" customHeight="1">
      <c r="A770" t="inlineStr">
        <is>
          <t>A 23731-2022</t>
        </is>
      </c>
      <c r="B770" s="1" t="n">
        <v>44722</v>
      </c>
      <c r="C770" s="1" t="n">
        <v>45796</v>
      </c>
      <c r="D770" t="inlineStr">
        <is>
          <t>JÄMTLANDS LÄN</t>
        </is>
      </c>
      <c r="E770" t="inlineStr">
        <is>
          <t>HÄRJEDALEN</t>
        </is>
      </c>
      <c r="G770" t="n">
        <v>15.6</v>
      </c>
      <c r="H770" t="n">
        <v>0</v>
      </c>
      <c r="I770" t="n">
        <v>0</v>
      </c>
      <c r="J770" t="n">
        <v>0</v>
      </c>
      <c r="K770" t="n">
        <v>0</v>
      </c>
      <c r="L770" t="n">
        <v>0</v>
      </c>
      <c r="M770" t="n">
        <v>0</v>
      </c>
      <c r="N770" t="n">
        <v>0</v>
      </c>
      <c r="O770" t="n">
        <v>0</v>
      </c>
      <c r="P770" t="n">
        <v>0</v>
      </c>
      <c r="Q770" t="n">
        <v>0</v>
      </c>
      <c r="R770" s="2" t="inlineStr"/>
    </row>
    <row r="771" ht="15" customHeight="1">
      <c r="A771" t="inlineStr">
        <is>
          <t>A 24214-2022</t>
        </is>
      </c>
      <c r="B771" s="1" t="n">
        <v>44725</v>
      </c>
      <c r="C771" s="1" t="n">
        <v>45796</v>
      </c>
      <c r="D771" t="inlineStr">
        <is>
          <t>JÄMTLANDS LÄN</t>
        </is>
      </c>
      <c r="E771" t="inlineStr">
        <is>
          <t>HÄRJEDALEN</t>
        </is>
      </c>
      <c r="F771" t="inlineStr">
        <is>
          <t>Holmen skog AB</t>
        </is>
      </c>
      <c r="G771" t="n">
        <v>7.8</v>
      </c>
      <c r="H771" t="n">
        <v>0</v>
      </c>
      <c r="I771" t="n">
        <v>0</v>
      </c>
      <c r="J771" t="n">
        <v>0</v>
      </c>
      <c r="K771" t="n">
        <v>0</v>
      </c>
      <c r="L771" t="n">
        <v>0</v>
      </c>
      <c r="M771" t="n">
        <v>0</v>
      </c>
      <c r="N771" t="n">
        <v>0</v>
      </c>
      <c r="O771" t="n">
        <v>0</v>
      </c>
      <c r="P771" t="n">
        <v>0</v>
      </c>
      <c r="Q771" t="n">
        <v>0</v>
      </c>
      <c r="R771" s="2" t="inlineStr"/>
    </row>
    <row r="772" ht="15" customHeight="1">
      <c r="A772" t="inlineStr">
        <is>
          <t>A 24426-2022</t>
        </is>
      </c>
      <c r="B772" s="1" t="n">
        <v>44726</v>
      </c>
      <c r="C772" s="1" t="n">
        <v>45796</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24530-2022</t>
        </is>
      </c>
      <c r="B773" s="1" t="n">
        <v>44726</v>
      </c>
      <c r="C773" s="1" t="n">
        <v>45796</v>
      </c>
      <c r="D773" t="inlineStr">
        <is>
          <t>JÄMTLANDS LÄN</t>
        </is>
      </c>
      <c r="E773" t="inlineStr">
        <is>
          <t>HÄRJEDALEN</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24571-2022</t>
        </is>
      </c>
      <c r="B774" s="1" t="n">
        <v>44727</v>
      </c>
      <c r="C774" s="1" t="n">
        <v>45796</v>
      </c>
      <c r="D774" t="inlineStr">
        <is>
          <t>JÄMTLANDS LÄN</t>
        </is>
      </c>
      <c r="E774" t="inlineStr">
        <is>
          <t>HÄRJEDALEN</t>
        </is>
      </c>
      <c r="G774" t="n">
        <v>2.6</v>
      </c>
      <c r="H774" t="n">
        <v>0</v>
      </c>
      <c r="I774" t="n">
        <v>0</v>
      </c>
      <c r="J774" t="n">
        <v>0</v>
      </c>
      <c r="K774" t="n">
        <v>0</v>
      </c>
      <c r="L774" t="n">
        <v>0</v>
      </c>
      <c r="M774" t="n">
        <v>0</v>
      </c>
      <c r="N774" t="n">
        <v>0</v>
      </c>
      <c r="O774" t="n">
        <v>0</v>
      </c>
      <c r="P774" t="n">
        <v>0</v>
      </c>
      <c r="Q774" t="n">
        <v>0</v>
      </c>
      <c r="R774" s="2" t="inlineStr"/>
    </row>
    <row r="775" ht="15" customHeight="1">
      <c r="A775" t="inlineStr">
        <is>
          <t>A 24690-2022</t>
        </is>
      </c>
      <c r="B775" s="1" t="n">
        <v>44727</v>
      </c>
      <c r="C775" s="1" t="n">
        <v>45796</v>
      </c>
      <c r="D775" t="inlineStr">
        <is>
          <t>JÄMTLANDS LÄN</t>
        </is>
      </c>
      <c r="E775" t="inlineStr">
        <is>
          <t>HÄRJEDALEN</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24693-2022</t>
        </is>
      </c>
      <c r="B776" s="1" t="n">
        <v>44727</v>
      </c>
      <c r="C776" s="1" t="n">
        <v>45796</v>
      </c>
      <c r="D776" t="inlineStr">
        <is>
          <t>JÄMTLANDS LÄN</t>
        </is>
      </c>
      <c r="E776" t="inlineStr">
        <is>
          <t>HÄRJEDALEN</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24824-2022</t>
        </is>
      </c>
      <c r="B777" s="1" t="n">
        <v>44728</v>
      </c>
      <c r="C777" s="1" t="n">
        <v>45796</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24834-2022</t>
        </is>
      </c>
      <c r="B778" s="1" t="n">
        <v>44728</v>
      </c>
      <c r="C778" s="1" t="n">
        <v>45796</v>
      </c>
      <c r="D778" t="inlineStr">
        <is>
          <t>JÄMTLANDS LÄN</t>
        </is>
      </c>
      <c r="E778" t="inlineStr">
        <is>
          <t>HÄRJEDALEN</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24792-2022</t>
        </is>
      </c>
      <c r="B779" s="1" t="n">
        <v>44728</v>
      </c>
      <c r="C779" s="1" t="n">
        <v>45796</v>
      </c>
      <c r="D779" t="inlineStr">
        <is>
          <t>JÄMTLANDS LÄN</t>
        </is>
      </c>
      <c r="E779" t="inlineStr">
        <is>
          <t>HÄRJEDALEN</t>
        </is>
      </c>
      <c r="G779" t="n">
        <v>0.2</v>
      </c>
      <c r="H779" t="n">
        <v>0</v>
      </c>
      <c r="I779" t="n">
        <v>0</v>
      </c>
      <c r="J779" t="n">
        <v>0</v>
      </c>
      <c r="K779" t="n">
        <v>0</v>
      </c>
      <c r="L779" t="n">
        <v>0</v>
      </c>
      <c r="M779" t="n">
        <v>0</v>
      </c>
      <c r="N779" t="n">
        <v>0</v>
      </c>
      <c r="O779" t="n">
        <v>0</v>
      </c>
      <c r="P779" t="n">
        <v>0</v>
      </c>
      <c r="Q779" t="n">
        <v>0</v>
      </c>
      <c r="R779" s="2" t="inlineStr"/>
    </row>
    <row r="780" ht="15" customHeight="1">
      <c r="A780" t="inlineStr">
        <is>
          <t>A 25500-2022</t>
        </is>
      </c>
      <c r="B780" s="1" t="n">
        <v>44732</v>
      </c>
      <c r="C780" s="1" t="n">
        <v>45796</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25583-2022</t>
        </is>
      </c>
      <c r="B781" s="1" t="n">
        <v>44732</v>
      </c>
      <c r="C781" s="1" t="n">
        <v>45796</v>
      </c>
      <c r="D781" t="inlineStr">
        <is>
          <t>JÄMTLANDS LÄN</t>
        </is>
      </c>
      <c r="E781" t="inlineStr">
        <is>
          <t>HÄRJEDALEN</t>
        </is>
      </c>
      <c r="F781" t="inlineStr">
        <is>
          <t>Bergvik skog väst AB</t>
        </is>
      </c>
      <c r="G781" t="n">
        <v>7.5</v>
      </c>
      <c r="H781" t="n">
        <v>0</v>
      </c>
      <c r="I781" t="n">
        <v>0</v>
      </c>
      <c r="J781" t="n">
        <v>0</v>
      </c>
      <c r="K781" t="n">
        <v>0</v>
      </c>
      <c r="L781" t="n">
        <v>0</v>
      </c>
      <c r="M781" t="n">
        <v>0</v>
      </c>
      <c r="N781" t="n">
        <v>0</v>
      </c>
      <c r="O781" t="n">
        <v>0</v>
      </c>
      <c r="P781" t="n">
        <v>0</v>
      </c>
      <c r="Q781" t="n">
        <v>0</v>
      </c>
      <c r="R781" s="2" t="inlineStr"/>
    </row>
    <row r="782" ht="15" customHeight="1">
      <c r="A782" t="inlineStr">
        <is>
          <t>A 25780-2022</t>
        </is>
      </c>
      <c r="B782" s="1" t="n">
        <v>44733</v>
      </c>
      <c r="C782" s="1" t="n">
        <v>45796</v>
      </c>
      <c r="D782" t="inlineStr">
        <is>
          <t>JÄMTLANDS LÄN</t>
        </is>
      </c>
      <c r="E782" t="inlineStr">
        <is>
          <t>HÄRJEDALEN</t>
        </is>
      </c>
      <c r="F782" t="inlineStr">
        <is>
          <t>Kyrkan</t>
        </is>
      </c>
      <c r="G782" t="n">
        <v>7.7</v>
      </c>
      <c r="H782" t="n">
        <v>0</v>
      </c>
      <c r="I782" t="n">
        <v>0</v>
      </c>
      <c r="J782" t="n">
        <v>0</v>
      </c>
      <c r="K782" t="n">
        <v>0</v>
      </c>
      <c r="L782" t="n">
        <v>0</v>
      </c>
      <c r="M782" t="n">
        <v>0</v>
      </c>
      <c r="N782" t="n">
        <v>0</v>
      </c>
      <c r="O782" t="n">
        <v>0</v>
      </c>
      <c r="P782" t="n">
        <v>0</v>
      </c>
      <c r="Q782" t="n">
        <v>0</v>
      </c>
      <c r="R782" s="2" t="inlineStr"/>
    </row>
    <row r="783" ht="15" customHeight="1">
      <c r="A783" t="inlineStr">
        <is>
          <t>A 25725-2022</t>
        </is>
      </c>
      <c r="B783" s="1" t="n">
        <v>44733</v>
      </c>
      <c r="C783" s="1" t="n">
        <v>45796</v>
      </c>
      <c r="D783" t="inlineStr">
        <is>
          <t>JÄMTLANDS LÄN</t>
        </is>
      </c>
      <c r="E783" t="inlineStr">
        <is>
          <t>HÄRJEDALEN</t>
        </is>
      </c>
      <c r="F783" t="inlineStr">
        <is>
          <t>Kyrkan</t>
        </is>
      </c>
      <c r="G783" t="n">
        <v>14</v>
      </c>
      <c r="H783" t="n">
        <v>0</v>
      </c>
      <c r="I783" t="n">
        <v>0</v>
      </c>
      <c r="J783" t="n">
        <v>0</v>
      </c>
      <c r="K783" t="n">
        <v>0</v>
      </c>
      <c r="L783" t="n">
        <v>0</v>
      </c>
      <c r="M783" t="n">
        <v>0</v>
      </c>
      <c r="N783" t="n">
        <v>0</v>
      </c>
      <c r="O783" t="n">
        <v>0</v>
      </c>
      <c r="P783" t="n">
        <v>0</v>
      </c>
      <c r="Q783" t="n">
        <v>0</v>
      </c>
      <c r="R783" s="2" t="inlineStr"/>
    </row>
    <row r="784" ht="15" customHeight="1">
      <c r="A784" t="inlineStr">
        <is>
          <t>A 25912-2022</t>
        </is>
      </c>
      <c r="B784" s="1" t="n">
        <v>44734</v>
      </c>
      <c r="C784" s="1" t="n">
        <v>45796</v>
      </c>
      <c r="D784" t="inlineStr">
        <is>
          <t>JÄMTLANDS LÄN</t>
        </is>
      </c>
      <c r="E784" t="inlineStr">
        <is>
          <t>HÄRJEDALEN</t>
        </is>
      </c>
      <c r="F784" t="inlineStr">
        <is>
          <t>Bergvik skog väst AB</t>
        </is>
      </c>
      <c r="G784" t="n">
        <v>13.7</v>
      </c>
      <c r="H784" t="n">
        <v>0</v>
      </c>
      <c r="I784" t="n">
        <v>0</v>
      </c>
      <c r="J784" t="n">
        <v>0</v>
      </c>
      <c r="K784" t="n">
        <v>0</v>
      </c>
      <c r="L784" t="n">
        <v>0</v>
      </c>
      <c r="M784" t="n">
        <v>0</v>
      </c>
      <c r="N784" t="n">
        <v>0</v>
      </c>
      <c r="O784" t="n">
        <v>0</v>
      </c>
      <c r="P784" t="n">
        <v>0</v>
      </c>
      <c r="Q784" t="n">
        <v>0</v>
      </c>
      <c r="R784" s="2" t="inlineStr"/>
    </row>
    <row r="785" ht="15" customHeight="1">
      <c r="A785" t="inlineStr">
        <is>
          <t>A 26613-2022</t>
        </is>
      </c>
      <c r="B785" s="1" t="n">
        <v>44739</v>
      </c>
      <c r="C785" s="1" t="n">
        <v>45796</v>
      </c>
      <c r="D785" t="inlineStr">
        <is>
          <t>JÄMTLANDS LÄN</t>
        </is>
      </c>
      <c r="E785" t="inlineStr">
        <is>
          <t>HÄRJEDALEN</t>
        </is>
      </c>
      <c r="F785" t="inlineStr">
        <is>
          <t>Bergvik skog väst AB</t>
        </is>
      </c>
      <c r="G785" t="n">
        <v>7.9</v>
      </c>
      <c r="H785" t="n">
        <v>0</v>
      </c>
      <c r="I785" t="n">
        <v>0</v>
      </c>
      <c r="J785" t="n">
        <v>0</v>
      </c>
      <c r="K785" t="n">
        <v>0</v>
      </c>
      <c r="L785" t="n">
        <v>0</v>
      </c>
      <c r="M785" t="n">
        <v>0</v>
      </c>
      <c r="N785" t="n">
        <v>0</v>
      </c>
      <c r="O785" t="n">
        <v>0</v>
      </c>
      <c r="P785" t="n">
        <v>0</v>
      </c>
      <c r="Q785" t="n">
        <v>0</v>
      </c>
      <c r="R785" s="2" t="inlineStr"/>
    </row>
    <row r="786" ht="15" customHeight="1">
      <c r="A786" t="inlineStr">
        <is>
          <t>A 26935-2022</t>
        </is>
      </c>
      <c r="B786" s="1" t="n">
        <v>44740</v>
      </c>
      <c r="C786" s="1" t="n">
        <v>45796</v>
      </c>
      <c r="D786" t="inlineStr">
        <is>
          <t>JÄMTLANDS LÄN</t>
        </is>
      </c>
      <c r="E786" t="inlineStr">
        <is>
          <t>HÄRJEDALEN</t>
        </is>
      </c>
      <c r="G786" t="n">
        <v>10.8</v>
      </c>
      <c r="H786" t="n">
        <v>0</v>
      </c>
      <c r="I786" t="n">
        <v>0</v>
      </c>
      <c r="J786" t="n">
        <v>0</v>
      </c>
      <c r="K786" t="n">
        <v>0</v>
      </c>
      <c r="L786" t="n">
        <v>0</v>
      </c>
      <c r="M786" t="n">
        <v>0</v>
      </c>
      <c r="N786" t="n">
        <v>0</v>
      </c>
      <c r="O786" t="n">
        <v>0</v>
      </c>
      <c r="P786" t="n">
        <v>0</v>
      </c>
      <c r="Q786" t="n">
        <v>0</v>
      </c>
      <c r="R786" s="2" t="inlineStr"/>
    </row>
    <row r="787" ht="15" customHeight="1">
      <c r="A787" t="inlineStr">
        <is>
          <t>A 27483-2022</t>
        </is>
      </c>
      <c r="B787" s="1" t="n">
        <v>44742</v>
      </c>
      <c r="C787" s="1" t="n">
        <v>45796</v>
      </c>
      <c r="D787" t="inlineStr">
        <is>
          <t>JÄMTLANDS LÄN</t>
        </is>
      </c>
      <c r="E787" t="inlineStr">
        <is>
          <t>HÄRJEDALEN</t>
        </is>
      </c>
      <c r="F787" t="inlineStr">
        <is>
          <t>Holmen skog AB</t>
        </is>
      </c>
      <c r="G787" t="n">
        <v>0</v>
      </c>
      <c r="H787" t="n">
        <v>0</v>
      </c>
      <c r="I787" t="n">
        <v>0</v>
      </c>
      <c r="J787" t="n">
        <v>0</v>
      </c>
      <c r="K787" t="n">
        <v>0</v>
      </c>
      <c r="L787" t="n">
        <v>0</v>
      </c>
      <c r="M787" t="n">
        <v>0</v>
      </c>
      <c r="N787" t="n">
        <v>0</v>
      </c>
      <c r="O787" t="n">
        <v>0</v>
      </c>
      <c r="P787" t="n">
        <v>0</v>
      </c>
      <c r="Q787" t="n">
        <v>0</v>
      </c>
      <c r="R787" s="2" t="inlineStr"/>
    </row>
    <row r="788" ht="15" customHeight="1">
      <c r="A788" t="inlineStr">
        <is>
          <t>A 29000-2022</t>
        </is>
      </c>
      <c r="B788" s="1" t="n">
        <v>44749</v>
      </c>
      <c r="C788" s="1" t="n">
        <v>45796</v>
      </c>
      <c r="D788" t="inlineStr">
        <is>
          <t>JÄMTLANDS LÄN</t>
        </is>
      </c>
      <c r="E788" t="inlineStr">
        <is>
          <t>HÄRJEDALEN</t>
        </is>
      </c>
      <c r="F788" t="inlineStr">
        <is>
          <t>Kyrkan</t>
        </is>
      </c>
      <c r="G788" t="n">
        <v>16.7</v>
      </c>
      <c r="H788" t="n">
        <v>0</v>
      </c>
      <c r="I788" t="n">
        <v>0</v>
      </c>
      <c r="J788" t="n">
        <v>0</v>
      </c>
      <c r="K788" t="n">
        <v>0</v>
      </c>
      <c r="L788" t="n">
        <v>0</v>
      </c>
      <c r="M788" t="n">
        <v>0</v>
      </c>
      <c r="N788" t="n">
        <v>0</v>
      </c>
      <c r="O788" t="n">
        <v>0</v>
      </c>
      <c r="P788" t="n">
        <v>0</v>
      </c>
      <c r="Q788" t="n">
        <v>0</v>
      </c>
      <c r="R788" s="2" t="inlineStr"/>
    </row>
    <row r="789" ht="15" customHeight="1">
      <c r="A789" t="inlineStr">
        <is>
          <t>A 29455-2022</t>
        </is>
      </c>
      <c r="B789" s="1" t="n">
        <v>44753</v>
      </c>
      <c r="C789" s="1" t="n">
        <v>45796</v>
      </c>
      <c r="D789" t="inlineStr">
        <is>
          <t>JÄMTLANDS LÄN</t>
        </is>
      </c>
      <c r="E789" t="inlineStr">
        <is>
          <t>HÄRJEDALEN</t>
        </is>
      </c>
      <c r="F789" t="inlineStr">
        <is>
          <t>Bergvik skog väst AB</t>
        </is>
      </c>
      <c r="G789" t="n">
        <v>1.7</v>
      </c>
      <c r="H789" t="n">
        <v>0</v>
      </c>
      <c r="I789" t="n">
        <v>0</v>
      </c>
      <c r="J789" t="n">
        <v>0</v>
      </c>
      <c r="K789" t="n">
        <v>0</v>
      </c>
      <c r="L789" t="n">
        <v>0</v>
      </c>
      <c r="M789" t="n">
        <v>0</v>
      </c>
      <c r="N789" t="n">
        <v>0</v>
      </c>
      <c r="O789" t="n">
        <v>0</v>
      </c>
      <c r="P789" t="n">
        <v>0</v>
      </c>
      <c r="Q789" t="n">
        <v>0</v>
      </c>
      <c r="R789" s="2" t="inlineStr"/>
    </row>
    <row r="790" ht="15" customHeight="1">
      <c r="A790" t="inlineStr">
        <is>
          <t>A 30082-2022</t>
        </is>
      </c>
      <c r="B790" s="1" t="n">
        <v>44757</v>
      </c>
      <c r="C790" s="1" t="n">
        <v>45796</v>
      </c>
      <c r="D790" t="inlineStr">
        <is>
          <t>JÄMTLANDS LÄN</t>
        </is>
      </c>
      <c r="E790" t="inlineStr">
        <is>
          <t>HÄRJEDALEN</t>
        </is>
      </c>
      <c r="G790" t="n">
        <v>3</v>
      </c>
      <c r="H790" t="n">
        <v>0</v>
      </c>
      <c r="I790" t="n">
        <v>0</v>
      </c>
      <c r="J790" t="n">
        <v>0</v>
      </c>
      <c r="K790" t="n">
        <v>0</v>
      </c>
      <c r="L790" t="n">
        <v>0</v>
      </c>
      <c r="M790" t="n">
        <v>0</v>
      </c>
      <c r="N790" t="n">
        <v>0</v>
      </c>
      <c r="O790" t="n">
        <v>0</v>
      </c>
      <c r="P790" t="n">
        <v>0</v>
      </c>
      <c r="Q790" t="n">
        <v>0</v>
      </c>
      <c r="R790" s="2" t="inlineStr"/>
    </row>
    <row r="791" ht="15" customHeight="1">
      <c r="A791" t="inlineStr">
        <is>
          <t>A 30537-2022</t>
        </is>
      </c>
      <c r="B791" s="1" t="n">
        <v>44762</v>
      </c>
      <c r="C791" s="1" t="n">
        <v>45796</v>
      </c>
      <c r="D791" t="inlineStr">
        <is>
          <t>JÄMTLANDS LÄN</t>
        </is>
      </c>
      <c r="E791" t="inlineStr">
        <is>
          <t>HÄRJEDALEN</t>
        </is>
      </c>
      <c r="F791" t="inlineStr">
        <is>
          <t>Bergvik skog väst AB</t>
        </is>
      </c>
      <c r="G791" t="n">
        <v>18.5</v>
      </c>
      <c r="H791" t="n">
        <v>0</v>
      </c>
      <c r="I791" t="n">
        <v>0</v>
      </c>
      <c r="J791" t="n">
        <v>0</v>
      </c>
      <c r="K791" t="n">
        <v>0</v>
      </c>
      <c r="L791" t="n">
        <v>0</v>
      </c>
      <c r="M791" t="n">
        <v>0</v>
      </c>
      <c r="N791" t="n">
        <v>0</v>
      </c>
      <c r="O791" t="n">
        <v>0</v>
      </c>
      <c r="P791" t="n">
        <v>0</v>
      </c>
      <c r="Q791" t="n">
        <v>0</v>
      </c>
      <c r="R791" s="2" t="inlineStr"/>
    </row>
    <row r="792" ht="15" customHeight="1">
      <c r="A792" t="inlineStr">
        <is>
          <t>A 30643-2022</t>
        </is>
      </c>
      <c r="B792" s="1" t="n">
        <v>44763</v>
      </c>
      <c r="C792" s="1" t="n">
        <v>45796</v>
      </c>
      <c r="D792" t="inlineStr">
        <is>
          <t>JÄMTLANDS LÄN</t>
        </is>
      </c>
      <c r="E792" t="inlineStr">
        <is>
          <t>HÄRJEDALEN</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30962-2022</t>
        </is>
      </c>
      <c r="B793" s="1" t="n">
        <v>44768</v>
      </c>
      <c r="C793" s="1" t="n">
        <v>45796</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31167-2022</t>
        </is>
      </c>
      <c r="B794" s="1" t="n">
        <v>44770</v>
      </c>
      <c r="C794" s="1" t="n">
        <v>45796</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32910-2022</t>
        </is>
      </c>
      <c r="B795" s="1" t="n">
        <v>44784</v>
      </c>
      <c r="C795" s="1" t="n">
        <v>45796</v>
      </c>
      <c r="D795" t="inlineStr">
        <is>
          <t>JÄMTLANDS LÄN</t>
        </is>
      </c>
      <c r="E795" t="inlineStr">
        <is>
          <t>HÄRJEDALEN</t>
        </is>
      </c>
      <c r="F795" t="inlineStr">
        <is>
          <t>Bergvik skog väst AB</t>
        </is>
      </c>
      <c r="G795" t="n">
        <v>14.4</v>
      </c>
      <c r="H795" t="n">
        <v>0</v>
      </c>
      <c r="I795" t="n">
        <v>0</v>
      </c>
      <c r="J795" t="n">
        <v>0</v>
      </c>
      <c r="K795" t="n">
        <v>0</v>
      </c>
      <c r="L795" t="n">
        <v>0</v>
      </c>
      <c r="M795" t="n">
        <v>0</v>
      </c>
      <c r="N795" t="n">
        <v>0</v>
      </c>
      <c r="O795" t="n">
        <v>0</v>
      </c>
      <c r="P795" t="n">
        <v>0</v>
      </c>
      <c r="Q795" t="n">
        <v>0</v>
      </c>
      <c r="R795" s="2" t="inlineStr"/>
    </row>
    <row r="796" ht="15" customHeight="1">
      <c r="A796" t="inlineStr">
        <is>
          <t>A 32974-2022</t>
        </is>
      </c>
      <c r="B796" s="1" t="n">
        <v>44784</v>
      </c>
      <c r="C796" s="1" t="n">
        <v>45796</v>
      </c>
      <c r="D796" t="inlineStr">
        <is>
          <t>JÄMTLANDS LÄN</t>
        </is>
      </c>
      <c r="E796" t="inlineStr">
        <is>
          <t>HÄRJEDALEN</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33465-2022</t>
        </is>
      </c>
      <c r="B797" s="1" t="n">
        <v>44788</v>
      </c>
      <c r="C797" s="1" t="n">
        <v>45796</v>
      </c>
      <c r="D797" t="inlineStr">
        <is>
          <t>JÄMTLANDS LÄN</t>
        </is>
      </c>
      <c r="E797" t="inlineStr">
        <is>
          <t>HÄRJEDALEN</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33900-2022</t>
        </is>
      </c>
      <c r="B798" s="1" t="n">
        <v>44790</v>
      </c>
      <c r="C798" s="1" t="n">
        <v>45796</v>
      </c>
      <c r="D798" t="inlineStr">
        <is>
          <t>JÄMTLANDS LÄN</t>
        </is>
      </c>
      <c r="E798" t="inlineStr">
        <is>
          <t>HÄRJEDALEN</t>
        </is>
      </c>
      <c r="F798" t="inlineStr">
        <is>
          <t>Bergvik skog väst AB</t>
        </is>
      </c>
      <c r="G798" t="n">
        <v>15.2</v>
      </c>
      <c r="H798" t="n">
        <v>0</v>
      </c>
      <c r="I798" t="n">
        <v>0</v>
      </c>
      <c r="J798" t="n">
        <v>0</v>
      </c>
      <c r="K798" t="n">
        <v>0</v>
      </c>
      <c r="L798" t="n">
        <v>0</v>
      </c>
      <c r="M798" t="n">
        <v>0</v>
      </c>
      <c r="N798" t="n">
        <v>0</v>
      </c>
      <c r="O798" t="n">
        <v>0</v>
      </c>
      <c r="P798" t="n">
        <v>0</v>
      </c>
      <c r="Q798" t="n">
        <v>0</v>
      </c>
      <c r="R798" s="2" t="inlineStr"/>
    </row>
    <row r="799" ht="15" customHeight="1">
      <c r="A799" t="inlineStr">
        <is>
          <t>A 33889-2022</t>
        </is>
      </c>
      <c r="B799" s="1" t="n">
        <v>44790</v>
      </c>
      <c r="C799" s="1" t="n">
        <v>45796</v>
      </c>
      <c r="D799" t="inlineStr">
        <is>
          <t>JÄMTLANDS LÄN</t>
        </is>
      </c>
      <c r="E799" t="inlineStr">
        <is>
          <t>HÄRJEDALEN</t>
        </is>
      </c>
      <c r="F799" t="inlineStr">
        <is>
          <t>Bergvik skog väst AB</t>
        </is>
      </c>
      <c r="G799" t="n">
        <v>6.6</v>
      </c>
      <c r="H799" t="n">
        <v>0</v>
      </c>
      <c r="I799" t="n">
        <v>0</v>
      </c>
      <c r="J799" t="n">
        <v>0</v>
      </c>
      <c r="K799" t="n">
        <v>0</v>
      </c>
      <c r="L799" t="n">
        <v>0</v>
      </c>
      <c r="M799" t="n">
        <v>0</v>
      </c>
      <c r="N799" t="n">
        <v>0</v>
      </c>
      <c r="O799" t="n">
        <v>0</v>
      </c>
      <c r="P799" t="n">
        <v>0</v>
      </c>
      <c r="Q799" t="n">
        <v>0</v>
      </c>
      <c r="R799" s="2" t="inlineStr"/>
    </row>
    <row r="800" ht="15" customHeight="1">
      <c r="A800" t="inlineStr">
        <is>
          <t>A 34112-2022</t>
        </is>
      </c>
      <c r="B800" s="1" t="n">
        <v>44791</v>
      </c>
      <c r="C800" s="1" t="n">
        <v>45796</v>
      </c>
      <c r="D800" t="inlineStr">
        <is>
          <t>JÄMTLANDS LÄN</t>
        </is>
      </c>
      <c r="E800" t="inlineStr">
        <is>
          <t>HÄRJEDALEN</t>
        </is>
      </c>
      <c r="F800" t="inlineStr">
        <is>
          <t>Holmen skog AB</t>
        </is>
      </c>
      <c r="G800" t="n">
        <v>0.6</v>
      </c>
      <c r="H800" t="n">
        <v>0</v>
      </c>
      <c r="I800" t="n">
        <v>0</v>
      </c>
      <c r="J800" t="n">
        <v>0</v>
      </c>
      <c r="K800" t="n">
        <v>0</v>
      </c>
      <c r="L800" t="n">
        <v>0</v>
      </c>
      <c r="M800" t="n">
        <v>0</v>
      </c>
      <c r="N800" t="n">
        <v>0</v>
      </c>
      <c r="O800" t="n">
        <v>0</v>
      </c>
      <c r="P800" t="n">
        <v>0</v>
      </c>
      <c r="Q800" t="n">
        <v>0</v>
      </c>
      <c r="R800" s="2" t="inlineStr"/>
    </row>
    <row r="801" ht="15" customHeight="1">
      <c r="A801" t="inlineStr">
        <is>
          <t>A 34359-2022</t>
        </is>
      </c>
      <c r="B801" s="1" t="n">
        <v>44792</v>
      </c>
      <c r="C801" s="1" t="n">
        <v>45796</v>
      </c>
      <c r="D801" t="inlineStr">
        <is>
          <t>JÄMTLANDS LÄN</t>
        </is>
      </c>
      <c r="E801" t="inlineStr">
        <is>
          <t>HÄRJEDALEN</t>
        </is>
      </c>
      <c r="F801" t="inlineStr">
        <is>
          <t>Bergvik skog väst AB</t>
        </is>
      </c>
      <c r="G801" t="n">
        <v>23.1</v>
      </c>
      <c r="H801" t="n">
        <v>0</v>
      </c>
      <c r="I801" t="n">
        <v>0</v>
      </c>
      <c r="J801" t="n">
        <v>0</v>
      </c>
      <c r="K801" t="n">
        <v>0</v>
      </c>
      <c r="L801" t="n">
        <v>0</v>
      </c>
      <c r="M801" t="n">
        <v>0</v>
      </c>
      <c r="N801" t="n">
        <v>0</v>
      </c>
      <c r="O801" t="n">
        <v>0</v>
      </c>
      <c r="P801" t="n">
        <v>0</v>
      </c>
      <c r="Q801" t="n">
        <v>0</v>
      </c>
      <c r="R801" s="2" t="inlineStr"/>
    </row>
    <row r="802" ht="15" customHeight="1">
      <c r="A802" t="inlineStr">
        <is>
          <t>A 34361-2022</t>
        </is>
      </c>
      <c r="B802" s="1" t="n">
        <v>44792</v>
      </c>
      <c r="C802" s="1" t="n">
        <v>45796</v>
      </c>
      <c r="D802" t="inlineStr">
        <is>
          <t>JÄMTLANDS LÄN</t>
        </is>
      </c>
      <c r="E802" t="inlineStr">
        <is>
          <t>HÄRJEDALEN</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34392-2022</t>
        </is>
      </c>
      <c r="B803" s="1" t="n">
        <v>44792</v>
      </c>
      <c r="C803" s="1" t="n">
        <v>45796</v>
      </c>
      <c r="D803" t="inlineStr">
        <is>
          <t>JÄMTLANDS LÄN</t>
        </is>
      </c>
      <c r="E803" t="inlineStr">
        <is>
          <t>HÄRJEDALEN</t>
        </is>
      </c>
      <c r="G803" t="n">
        <v>23.5</v>
      </c>
      <c r="H803" t="n">
        <v>0</v>
      </c>
      <c r="I803" t="n">
        <v>0</v>
      </c>
      <c r="J803" t="n">
        <v>0</v>
      </c>
      <c r="K803" t="n">
        <v>0</v>
      </c>
      <c r="L803" t="n">
        <v>0</v>
      </c>
      <c r="M803" t="n">
        <v>0</v>
      </c>
      <c r="N803" t="n">
        <v>0</v>
      </c>
      <c r="O803" t="n">
        <v>0</v>
      </c>
      <c r="P803" t="n">
        <v>0</v>
      </c>
      <c r="Q803" t="n">
        <v>0</v>
      </c>
      <c r="R803" s="2" t="inlineStr"/>
    </row>
    <row r="804" ht="15" customHeight="1">
      <c r="A804" t="inlineStr">
        <is>
          <t>A 34492-2022</t>
        </is>
      </c>
      <c r="B804" s="1" t="n">
        <v>44792</v>
      </c>
      <c r="C804" s="1" t="n">
        <v>45796</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34627-2022</t>
        </is>
      </c>
      <c r="B805" s="1" t="n">
        <v>44795</v>
      </c>
      <c r="C805" s="1" t="n">
        <v>45796</v>
      </c>
      <c r="D805" t="inlineStr">
        <is>
          <t>JÄMTLANDS LÄN</t>
        </is>
      </c>
      <c r="E805" t="inlineStr">
        <is>
          <t>HÄRJEDALEN</t>
        </is>
      </c>
      <c r="G805" t="n">
        <v>2.4</v>
      </c>
      <c r="H805" t="n">
        <v>0</v>
      </c>
      <c r="I805" t="n">
        <v>0</v>
      </c>
      <c r="J805" t="n">
        <v>0</v>
      </c>
      <c r="K805" t="n">
        <v>0</v>
      </c>
      <c r="L805" t="n">
        <v>0</v>
      </c>
      <c r="M805" t="n">
        <v>0</v>
      </c>
      <c r="N805" t="n">
        <v>0</v>
      </c>
      <c r="O805" t="n">
        <v>0</v>
      </c>
      <c r="P805" t="n">
        <v>0</v>
      </c>
      <c r="Q805" t="n">
        <v>0</v>
      </c>
      <c r="R805" s="2" t="inlineStr"/>
    </row>
    <row r="806" ht="15" customHeight="1">
      <c r="A806" t="inlineStr">
        <is>
          <t>A 34621-2022</t>
        </is>
      </c>
      <c r="B806" s="1" t="n">
        <v>44795</v>
      </c>
      <c r="C806" s="1" t="n">
        <v>45796</v>
      </c>
      <c r="D806" t="inlineStr">
        <is>
          <t>JÄMTLANDS LÄN</t>
        </is>
      </c>
      <c r="E806" t="inlineStr">
        <is>
          <t>HÄRJEDALEN</t>
        </is>
      </c>
      <c r="G806" t="n">
        <v>3.8</v>
      </c>
      <c r="H806" t="n">
        <v>0</v>
      </c>
      <c r="I806" t="n">
        <v>0</v>
      </c>
      <c r="J806" t="n">
        <v>0</v>
      </c>
      <c r="K806" t="n">
        <v>0</v>
      </c>
      <c r="L806" t="n">
        <v>0</v>
      </c>
      <c r="M806" t="n">
        <v>0</v>
      </c>
      <c r="N806" t="n">
        <v>0</v>
      </c>
      <c r="O806" t="n">
        <v>0</v>
      </c>
      <c r="P806" t="n">
        <v>0</v>
      </c>
      <c r="Q806" t="n">
        <v>0</v>
      </c>
      <c r="R806" s="2" t="inlineStr"/>
    </row>
    <row r="807" ht="15" customHeight="1">
      <c r="A807" t="inlineStr">
        <is>
          <t>A 35614-2022</t>
        </is>
      </c>
      <c r="B807" s="1" t="n">
        <v>44799</v>
      </c>
      <c r="C807" s="1" t="n">
        <v>45796</v>
      </c>
      <c r="D807" t="inlineStr">
        <is>
          <t>JÄMTLANDS LÄN</t>
        </is>
      </c>
      <c r="E807" t="inlineStr">
        <is>
          <t>HÄRJEDALEN</t>
        </is>
      </c>
      <c r="F807" t="inlineStr">
        <is>
          <t>Bergvik skog väst AB</t>
        </is>
      </c>
      <c r="G807" t="n">
        <v>72.09999999999999</v>
      </c>
      <c r="H807" t="n">
        <v>0</v>
      </c>
      <c r="I807" t="n">
        <v>0</v>
      </c>
      <c r="J807" t="n">
        <v>0</v>
      </c>
      <c r="K807" t="n">
        <v>0</v>
      </c>
      <c r="L807" t="n">
        <v>0</v>
      </c>
      <c r="M807" t="n">
        <v>0</v>
      </c>
      <c r="N807" t="n">
        <v>0</v>
      </c>
      <c r="O807" t="n">
        <v>0</v>
      </c>
      <c r="P807" t="n">
        <v>0</v>
      </c>
      <c r="Q807" t="n">
        <v>0</v>
      </c>
      <c r="R807" s="2" t="inlineStr"/>
    </row>
    <row r="808" ht="15" customHeight="1">
      <c r="A808" t="inlineStr">
        <is>
          <t>A 36249-2022</t>
        </is>
      </c>
      <c r="B808" s="1" t="n">
        <v>44803</v>
      </c>
      <c r="C808" s="1" t="n">
        <v>45796</v>
      </c>
      <c r="D808" t="inlineStr">
        <is>
          <t>JÄMTLANDS LÄN</t>
        </is>
      </c>
      <c r="E808" t="inlineStr">
        <is>
          <t>HÄRJEDALEN</t>
        </is>
      </c>
      <c r="G808" t="n">
        <v>7.2</v>
      </c>
      <c r="H808" t="n">
        <v>0</v>
      </c>
      <c r="I808" t="n">
        <v>0</v>
      </c>
      <c r="J808" t="n">
        <v>0</v>
      </c>
      <c r="K808" t="n">
        <v>0</v>
      </c>
      <c r="L808" t="n">
        <v>0</v>
      </c>
      <c r="M808" t="n">
        <v>0</v>
      </c>
      <c r="N808" t="n">
        <v>0</v>
      </c>
      <c r="O808" t="n">
        <v>0</v>
      </c>
      <c r="P808" t="n">
        <v>0</v>
      </c>
      <c r="Q808" t="n">
        <v>0</v>
      </c>
      <c r="R808" s="2" t="inlineStr"/>
    </row>
    <row r="809" ht="15" customHeight="1">
      <c r="A809" t="inlineStr">
        <is>
          <t>A 36170-2022</t>
        </is>
      </c>
      <c r="B809" s="1" t="n">
        <v>44803</v>
      </c>
      <c r="C809" s="1" t="n">
        <v>45796</v>
      </c>
      <c r="D809" t="inlineStr">
        <is>
          <t>JÄMTLANDS LÄN</t>
        </is>
      </c>
      <c r="E809" t="inlineStr">
        <is>
          <t>HÄRJEDALEN</t>
        </is>
      </c>
      <c r="G809" t="n">
        <v>14.7</v>
      </c>
      <c r="H809" t="n">
        <v>0</v>
      </c>
      <c r="I809" t="n">
        <v>0</v>
      </c>
      <c r="J809" t="n">
        <v>0</v>
      </c>
      <c r="K809" t="n">
        <v>0</v>
      </c>
      <c r="L809" t="n">
        <v>0</v>
      </c>
      <c r="M809" t="n">
        <v>0</v>
      </c>
      <c r="N809" t="n">
        <v>0</v>
      </c>
      <c r="O809" t="n">
        <v>0</v>
      </c>
      <c r="P809" t="n">
        <v>0</v>
      </c>
      <c r="Q809" t="n">
        <v>0</v>
      </c>
      <c r="R809" s="2" t="inlineStr"/>
    </row>
    <row r="810" ht="15" customHeight="1">
      <c r="A810" t="inlineStr">
        <is>
          <t>A 36182-2022</t>
        </is>
      </c>
      <c r="B810" s="1" t="n">
        <v>44803</v>
      </c>
      <c r="C810" s="1" t="n">
        <v>45796</v>
      </c>
      <c r="D810" t="inlineStr">
        <is>
          <t>JÄMTLANDS LÄN</t>
        </is>
      </c>
      <c r="E810" t="inlineStr">
        <is>
          <t>HÄRJEDALEN</t>
        </is>
      </c>
      <c r="G810" t="n">
        <v>13</v>
      </c>
      <c r="H810" t="n">
        <v>0</v>
      </c>
      <c r="I810" t="n">
        <v>0</v>
      </c>
      <c r="J810" t="n">
        <v>0</v>
      </c>
      <c r="K810" t="n">
        <v>0</v>
      </c>
      <c r="L810" t="n">
        <v>0</v>
      </c>
      <c r="M810" t="n">
        <v>0</v>
      </c>
      <c r="N810" t="n">
        <v>0</v>
      </c>
      <c r="O810" t="n">
        <v>0</v>
      </c>
      <c r="P810" t="n">
        <v>0</v>
      </c>
      <c r="Q810" t="n">
        <v>0</v>
      </c>
      <c r="R810" s="2" t="inlineStr"/>
    </row>
    <row r="811" ht="15" customHeight="1">
      <c r="A811" t="inlineStr">
        <is>
          <t>A 36187-2022</t>
        </is>
      </c>
      <c r="B811" s="1" t="n">
        <v>44803</v>
      </c>
      <c r="C811" s="1" t="n">
        <v>45796</v>
      </c>
      <c r="D811" t="inlineStr">
        <is>
          <t>JÄMTLANDS LÄN</t>
        </is>
      </c>
      <c r="E811" t="inlineStr">
        <is>
          <t>HÄRJEDALEN</t>
        </is>
      </c>
      <c r="G811" t="n">
        <v>2.4</v>
      </c>
      <c r="H811" t="n">
        <v>0</v>
      </c>
      <c r="I811" t="n">
        <v>0</v>
      </c>
      <c r="J811" t="n">
        <v>0</v>
      </c>
      <c r="K811" t="n">
        <v>0</v>
      </c>
      <c r="L811" t="n">
        <v>0</v>
      </c>
      <c r="M811" t="n">
        <v>0</v>
      </c>
      <c r="N811" t="n">
        <v>0</v>
      </c>
      <c r="O811" t="n">
        <v>0</v>
      </c>
      <c r="P811" t="n">
        <v>0</v>
      </c>
      <c r="Q811" t="n">
        <v>0</v>
      </c>
      <c r="R811" s="2" t="inlineStr"/>
    </row>
    <row r="812" ht="15" customHeight="1">
      <c r="A812" t="inlineStr">
        <is>
          <t>A 36448-2022</t>
        </is>
      </c>
      <c r="B812" s="1" t="n">
        <v>44804</v>
      </c>
      <c r="C812" s="1" t="n">
        <v>45796</v>
      </c>
      <c r="D812" t="inlineStr">
        <is>
          <t>JÄMTLANDS LÄN</t>
        </is>
      </c>
      <c r="E812" t="inlineStr">
        <is>
          <t>HÄRJEDALEN</t>
        </is>
      </c>
      <c r="F812" t="inlineStr">
        <is>
          <t>Bergvik skog väst AB</t>
        </is>
      </c>
      <c r="G812" t="n">
        <v>1.4</v>
      </c>
      <c r="H812" t="n">
        <v>0</v>
      </c>
      <c r="I812" t="n">
        <v>0</v>
      </c>
      <c r="J812" t="n">
        <v>0</v>
      </c>
      <c r="K812" t="n">
        <v>0</v>
      </c>
      <c r="L812" t="n">
        <v>0</v>
      </c>
      <c r="M812" t="n">
        <v>0</v>
      </c>
      <c r="N812" t="n">
        <v>0</v>
      </c>
      <c r="O812" t="n">
        <v>0</v>
      </c>
      <c r="P812" t="n">
        <v>0</v>
      </c>
      <c r="Q812" t="n">
        <v>0</v>
      </c>
      <c r="R812" s="2" t="inlineStr"/>
    </row>
    <row r="813" ht="15" customHeight="1">
      <c r="A813" t="inlineStr">
        <is>
          <t>A 37515-2022</t>
        </is>
      </c>
      <c r="B813" s="1" t="n">
        <v>44809</v>
      </c>
      <c r="C813" s="1" t="n">
        <v>45796</v>
      </c>
      <c r="D813" t="inlineStr">
        <is>
          <t>JÄMTLANDS LÄN</t>
        </is>
      </c>
      <c r="E813" t="inlineStr">
        <is>
          <t>HÄRJEDALEN</t>
        </is>
      </c>
      <c r="F813" t="inlineStr">
        <is>
          <t>Bergvik skog väst AB</t>
        </is>
      </c>
      <c r="G813" t="n">
        <v>3.2</v>
      </c>
      <c r="H813" t="n">
        <v>0</v>
      </c>
      <c r="I813" t="n">
        <v>0</v>
      </c>
      <c r="J813" t="n">
        <v>0</v>
      </c>
      <c r="K813" t="n">
        <v>0</v>
      </c>
      <c r="L813" t="n">
        <v>0</v>
      </c>
      <c r="M813" t="n">
        <v>0</v>
      </c>
      <c r="N813" t="n">
        <v>0</v>
      </c>
      <c r="O813" t="n">
        <v>0</v>
      </c>
      <c r="P813" t="n">
        <v>0</v>
      </c>
      <c r="Q813" t="n">
        <v>0</v>
      </c>
      <c r="R813" s="2" t="inlineStr"/>
    </row>
    <row r="814" ht="15" customHeight="1">
      <c r="A814" t="inlineStr">
        <is>
          <t>A 37666-2022</t>
        </is>
      </c>
      <c r="B814" s="1" t="n">
        <v>44810</v>
      </c>
      <c r="C814" s="1" t="n">
        <v>45796</v>
      </c>
      <c r="D814" t="inlineStr">
        <is>
          <t>JÄMTLANDS LÄN</t>
        </is>
      </c>
      <c r="E814" t="inlineStr">
        <is>
          <t>HÄRJEDALEN</t>
        </is>
      </c>
      <c r="F814" t="inlineStr">
        <is>
          <t>Holmen skog AB</t>
        </is>
      </c>
      <c r="G814" t="n">
        <v>7.2</v>
      </c>
      <c r="H814" t="n">
        <v>0</v>
      </c>
      <c r="I814" t="n">
        <v>0</v>
      </c>
      <c r="J814" t="n">
        <v>0</v>
      </c>
      <c r="K814" t="n">
        <v>0</v>
      </c>
      <c r="L814" t="n">
        <v>0</v>
      </c>
      <c r="M814" t="n">
        <v>0</v>
      </c>
      <c r="N814" t="n">
        <v>0</v>
      </c>
      <c r="O814" t="n">
        <v>0</v>
      </c>
      <c r="P814" t="n">
        <v>0</v>
      </c>
      <c r="Q814" t="n">
        <v>0</v>
      </c>
      <c r="R814" s="2" t="inlineStr"/>
    </row>
    <row r="815" ht="15" customHeight="1">
      <c r="A815" t="inlineStr">
        <is>
          <t>A 37690-2022</t>
        </is>
      </c>
      <c r="B815" s="1" t="n">
        <v>44810</v>
      </c>
      <c r="C815" s="1" t="n">
        <v>45796</v>
      </c>
      <c r="D815" t="inlineStr">
        <is>
          <t>JÄMTLANDS LÄN</t>
        </is>
      </c>
      <c r="E815" t="inlineStr">
        <is>
          <t>HÄRJEDALEN</t>
        </is>
      </c>
      <c r="F815" t="inlineStr">
        <is>
          <t>Holmen skog AB</t>
        </is>
      </c>
      <c r="G815" t="n">
        <v>7.8</v>
      </c>
      <c r="H815" t="n">
        <v>0</v>
      </c>
      <c r="I815" t="n">
        <v>0</v>
      </c>
      <c r="J815" t="n">
        <v>0</v>
      </c>
      <c r="K815" t="n">
        <v>0</v>
      </c>
      <c r="L815" t="n">
        <v>0</v>
      </c>
      <c r="M815" t="n">
        <v>0</v>
      </c>
      <c r="N815" t="n">
        <v>0</v>
      </c>
      <c r="O815" t="n">
        <v>0</v>
      </c>
      <c r="P815" t="n">
        <v>0</v>
      </c>
      <c r="Q815" t="n">
        <v>0</v>
      </c>
      <c r="R815" s="2" t="inlineStr"/>
    </row>
    <row r="816" ht="15" customHeight="1">
      <c r="A816" t="inlineStr">
        <is>
          <t>A 37678-2022</t>
        </is>
      </c>
      <c r="B816" s="1" t="n">
        <v>44810</v>
      </c>
      <c r="C816" s="1" t="n">
        <v>45796</v>
      </c>
      <c r="D816" t="inlineStr">
        <is>
          <t>JÄMTLANDS LÄN</t>
        </is>
      </c>
      <c r="E816" t="inlineStr">
        <is>
          <t>HÄRJEDALEN</t>
        </is>
      </c>
      <c r="F816" t="inlineStr">
        <is>
          <t>Bergvik skog väst AB</t>
        </is>
      </c>
      <c r="G816" t="n">
        <v>4.7</v>
      </c>
      <c r="H816" t="n">
        <v>0</v>
      </c>
      <c r="I816" t="n">
        <v>0</v>
      </c>
      <c r="J816" t="n">
        <v>0</v>
      </c>
      <c r="K816" t="n">
        <v>0</v>
      </c>
      <c r="L816" t="n">
        <v>0</v>
      </c>
      <c r="M816" t="n">
        <v>0</v>
      </c>
      <c r="N816" t="n">
        <v>0</v>
      </c>
      <c r="O816" t="n">
        <v>0</v>
      </c>
      <c r="P816" t="n">
        <v>0</v>
      </c>
      <c r="Q816" t="n">
        <v>0</v>
      </c>
      <c r="R816" s="2" t="inlineStr"/>
    </row>
    <row r="817" ht="15" customHeight="1">
      <c r="A817" t="inlineStr">
        <is>
          <t>A 37873-2022</t>
        </is>
      </c>
      <c r="B817" s="1" t="n">
        <v>44811</v>
      </c>
      <c r="C817" s="1" t="n">
        <v>45796</v>
      </c>
      <c r="D817" t="inlineStr">
        <is>
          <t>JÄMTLANDS LÄN</t>
        </is>
      </c>
      <c r="E817" t="inlineStr">
        <is>
          <t>HÄRJEDALEN</t>
        </is>
      </c>
      <c r="F817" t="inlineStr">
        <is>
          <t>Bergvik skog väst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37990-2022</t>
        </is>
      </c>
      <c r="B818" s="1" t="n">
        <v>44811</v>
      </c>
      <c r="C818" s="1" t="n">
        <v>45796</v>
      </c>
      <c r="D818" t="inlineStr">
        <is>
          <t>JÄMTLANDS LÄN</t>
        </is>
      </c>
      <c r="E818" t="inlineStr">
        <is>
          <t>HÄRJEDALEN</t>
        </is>
      </c>
      <c r="F818" t="inlineStr">
        <is>
          <t>Bergvik skog väst AB</t>
        </is>
      </c>
      <c r="G818" t="n">
        <v>1.6</v>
      </c>
      <c r="H818" t="n">
        <v>0</v>
      </c>
      <c r="I818" t="n">
        <v>0</v>
      </c>
      <c r="J818" t="n">
        <v>0</v>
      </c>
      <c r="K818" t="n">
        <v>0</v>
      </c>
      <c r="L818" t="n">
        <v>0</v>
      </c>
      <c r="M818" t="n">
        <v>0</v>
      </c>
      <c r="N818" t="n">
        <v>0</v>
      </c>
      <c r="O818" t="n">
        <v>0</v>
      </c>
      <c r="P818" t="n">
        <v>0</v>
      </c>
      <c r="Q818" t="n">
        <v>0</v>
      </c>
      <c r="R818" s="2" t="inlineStr"/>
    </row>
    <row r="819" ht="15" customHeight="1">
      <c r="A819" t="inlineStr">
        <is>
          <t>A 37988-2022</t>
        </is>
      </c>
      <c r="B819" s="1" t="n">
        <v>44811</v>
      </c>
      <c r="C819" s="1" t="n">
        <v>45796</v>
      </c>
      <c r="D819" t="inlineStr">
        <is>
          <t>JÄMTLANDS LÄN</t>
        </is>
      </c>
      <c r="E819" t="inlineStr">
        <is>
          <t>HÄRJEDALEN</t>
        </is>
      </c>
      <c r="F819" t="inlineStr">
        <is>
          <t>Bergvik skog väst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39396-2022</t>
        </is>
      </c>
      <c r="B820" s="1" t="n">
        <v>44818</v>
      </c>
      <c r="C820" s="1" t="n">
        <v>45796</v>
      </c>
      <c r="D820" t="inlineStr">
        <is>
          <t>JÄMTLANDS LÄN</t>
        </is>
      </c>
      <c r="E820" t="inlineStr">
        <is>
          <t>HÄRJEDALEN</t>
        </is>
      </c>
      <c r="F820" t="inlineStr">
        <is>
          <t>SCA</t>
        </is>
      </c>
      <c r="G820" t="n">
        <v>11.4</v>
      </c>
      <c r="H820" t="n">
        <v>0</v>
      </c>
      <c r="I820" t="n">
        <v>0</v>
      </c>
      <c r="J820" t="n">
        <v>0</v>
      </c>
      <c r="K820" t="n">
        <v>0</v>
      </c>
      <c r="L820" t="n">
        <v>0</v>
      </c>
      <c r="M820" t="n">
        <v>0</v>
      </c>
      <c r="N820" t="n">
        <v>0</v>
      </c>
      <c r="O820" t="n">
        <v>0</v>
      </c>
      <c r="P820" t="n">
        <v>0</v>
      </c>
      <c r="Q820" t="n">
        <v>0</v>
      </c>
      <c r="R820" s="2" t="inlineStr"/>
    </row>
    <row r="821" ht="15" customHeight="1">
      <c r="A821" t="inlineStr">
        <is>
          <t>A 39625-2022</t>
        </is>
      </c>
      <c r="B821" s="1" t="n">
        <v>44818</v>
      </c>
      <c r="C821" s="1" t="n">
        <v>45796</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39618-2022</t>
        </is>
      </c>
      <c r="B822" s="1" t="n">
        <v>44818</v>
      </c>
      <c r="C822" s="1" t="n">
        <v>45796</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39820-2022</t>
        </is>
      </c>
      <c r="B823" s="1" t="n">
        <v>44819</v>
      </c>
      <c r="C823" s="1" t="n">
        <v>45796</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40084-2022</t>
        </is>
      </c>
      <c r="B824" s="1" t="n">
        <v>44820</v>
      </c>
      <c r="C824" s="1" t="n">
        <v>45796</v>
      </c>
      <c r="D824" t="inlineStr">
        <is>
          <t>JÄMTLANDS LÄN</t>
        </is>
      </c>
      <c r="E824" t="inlineStr">
        <is>
          <t>HÄRJEDALEN</t>
        </is>
      </c>
      <c r="F824" t="inlineStr">
        <is>
          <t>Bergvik skog väst AB</t>
        </is>
      </c>
      <c r="G824" t="n">
        <v>6</v>
      </c>
      <c r="H824" t="n">
        <v>0</v>
      </c>
      <c r="I824" t="n">
        <v>0</v>
      </c>
      <c r="J824" t="n">
        <v>0</v>
      </c>
      <c r="K824" t="n">
        <v>0</v>
      </c>
      <c r="L824" t="n">
        <v>0</v>
      </c>
      <c r="M824" t="n">
        <v>0</v>
      </c>
      <c r="N824" t="n">
        <v>0</v>
      </c>
      <c r="O824" t="n">
        <v>0</v>
      </c>
      <c r="P824" t="n">
        <v>0</v>
      </c>
      <c r="Q824" t="n">
        <v>0</v>
      </c>
      <c r="R824" s="2" t="inlineStr"/>
    </row>
    <row r="825" ht="15" customHeight="1">
      <c r="A825" t="inlineStr">
        <is>
          <t>A 40201-2022</t>
        </is>
      </c>
      <c r="B825" s="1" t="n">
        <v>44820</v>
      </c>
      <c r="C825" s="1" t="n">
        <v>45796</v>
      </c>
      <c r="D825" t="inlineStr">
        <is>
          <t>JÄMTLANDS LÄN</t>
        </is>
      </c>
      <c r="E825" t="inlineStr">
        <is>
          <t>HÄRJEDALEN</t>
        </is>
      </c>
      <c r="F825" t="inlineStr">
        <is>
          <t>Kyrkan</t>
        </is>
      </c>
      <c r="G825" t="n">
        <v>14.6</v>
      </c>
      <c r="H825" t="n">
        <v>0</v>
      </c>
      <c r="I825" t="n">
        <v>0</v>
      </c>
      <c r="J825" t="n">
        <v>0</v>
      </c>
      <c r="K825" t="n">
        <v>0</v>
      </c>
      <c r="L825" t="n">
        <v>0</v>
      </c>
      <c r="M825" t="n">
        <v>0</v>
      </c>
      <c r="N825" t="n">
        <v>0</v>
      </c>
      <c r="O825" t="n">
        <v>0</v>
      </c>
      <c r="P825" t="n">
        <v>0</v>
      </c>
      <c r="Q825" t="n">
        <v>0</v>
      </c>
      <c r="R825" s="2" t="inlineStr"/>
    </row>
    <row r="826" ht="15" customHeight="1">
      <c r="A826" t="inlineStr">
        <is>
          <t>A 40596-2022</t>
        </is>
      </c>
      <c r="B826" s="1" t="n">
        <v>44823</v>
      </c>
      <c r="C826" s="1" t="n">
        <v>45796</v>
      </c>
      <c r="D826" t="inlineStr">
        <is>
          <t>JÄMTLANDS LÄN</t>
        </is>
      </c>
      <c r="E826" t="inlineStr">
        <is>
          <t>HÄRJEDALEN</t>
        </is>
      </c>
      <c r="G826" t="n">
        <v>2.9</v>
      </c>
      <c r="H826" t="n">
        <v>0</v>
      </c>
      <c r="I826" t="n">
        <v>0</v>
      </c>
      <c r="J826" t="n">
        <v>0</v>
      </c>
      <c r="K826" t="n">
        <v>0</v>
      </c>
      <c r="L826" t="n">
        <v>0</v>
      </c>
      <c r="M826" t="n">
        <v>0</v>
      </c>
      <c r="N826" t="n">
        <v>0</v>
      </c>
      <c r="O826" t="n">
        <v>0</v>
      </c>
      <c r="P826" t="n">
        <v>0</v>
      </c>
      <c r="Q826" t="n">
        <v>0</v>
      </c>
      <c r="R826" s="2" t="inlineStr"/>
    </row>
    <row r="827" ht="15" customHeight="1">
      <c r="A827" t="inlineStr">
        <is>
          <t>A 40561-2022</t>
        </is>
      </c>
      <c r="B827" s="1" t="n">
        <v>44823</v>
      </c>
      <c r="C827" s="1" t="n">
        <v>45796</v>
      </c>
      <c r="D827" t="inlineStr">
        <is>
          <t>JÄMTLANDS LÄN</t>
        </is>
      </c>
      <c r="E827" t="inlineStr">
        <is>
          <t>HÄRJEDALEN</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40578-2022</t>
        </is>
      </c>
      <c r="B828" s="1" t="n">
        <v>44823</v>
      </c>
      <c r="C828" s="1" t="n">
        <v>45796</v>
      </c>
      <c r="D828" t="inlineStr">
        <is>
          <t>JÄMTLANDS LÄN</t>
        </is>
      </c>
      <c r="E828" t="inlineStr">
        <is>
          <t>HÄRJEDALEN</t>
        </is>
      </c>
      <c r="F828" t="inlineStr">
        <is>
          <t>Sveaskog</t>
        </is>
      </c>
      <c r="G828" t="n">
        <v>3.5</v>
      </c>
      <c r="H828" t="n">
        <v>0</v>
      </c>
      <c r="I828" t="n">
        <v>0</v>
      </c>
      <c r="J828" t="n">
        <v>0</v>
      </c>
      <c r="K828" t="n">
        <v>0</v>
      </c>
      <c r="L828" t="n">
        <v>0</v>
      </c>
      <c r="M828" t="n">
        <v>0</v>
      </c>
      <c r="N828" t="n">
        <v>0</v>
      </c>
      <c r="O828" t="n">
        <v>0</v>
      </c>
      <c r="P828" t="n">
        <v>0</v>
      </c>
      <c r="Q828" t="n">
        <v>0</v>
      </c>
      <c r="R828" s="2" t="inlineStr"/>
    </row>
    <row r="829" ht="15" customHeight="1">
      <c r="A829" t="inlineStr">
        <is>
          <t>A 41080-2022</t>
        </is>
      </c>
      <c r="B829" s="1" t="n">
        <v>44825</v>
      </c>
      <c r="C829" s="1" t="n">
        <v>45796</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41164-2022</t>
        </is>
      </c>
      <c r="B830" s="1" t="n">
        <v>44825</v>
      </c>
      <c r="C830" s="1" t="n">
        <v>45796</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41209-2022</t>
        </is>
      </c>
      <c r="B831" s="1" t="n">
        <v>44825</v>
      </c>
      <c r="C831" s="1" t="n">
        <v>45796</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41293-2022</t>
        </is>
      </c>
      <c r="B832" s="1" t="n">
        <v>44826</v>
      </c>
      <c r="C832" s="1" t="n">
        <v>45796</v>
      </c>
      <c r="D832" t="inlineStr">
        <is>
          <t>JÄMTLANDS LÄN</t>
        </is>
      </c>
      <c r="E832" t="inlineStr">
        <is>
          <t>HÄRJEDALEN</t>
        </is>
      </c>
      <c r="F832" t="inlineStr">
        <is>
          <t>Bergvik skog väst AB</t>
        </is>
      </c>
      <c r="G832" t="n">
        <v>0.6</v>
      </c>
      <c r="H832" t="n">
        <v>0</v>
      </c>
      <c r="I832" t="n">
        <v>0</v>
      </c>
      <c r="J832" t="n">
        <v>0</v>
      </c>
      <c r="K832" t="n">
        <v>0</v>
      </c>
      <c r="L832" t="n">
        <v>0</v>
      </c>
      <c r="M832" t="n">
        <v>0</v>
      </c>
      <c r="N832" t="n">
        <v>0</v>
      </c>
      <c r="O832" t="n">
        <v>0</v>
      </c>
      <c r="P832" t="n">
        <v>0</v>
      </c>
      <c r="Q832" t="n">
        <v>0</v>
      </c>
      <c r="R832" s="2" t="inlineStr"/>
    </row>
    <row r="833" ht="15" customHeight="1">
      <c r="A833" t="inlineStr">
        <is>
          <t>A 41759-2022</t>
        </is>
      </c>
      <c r="B833" s="1" t="n">
        <v>44827</v>
      </c>
      <c r="C833" s="1" t="n">
        <v>45796</v>
      </c>
      <c r="D833" t="inlineStr">
        <is>
          <t>JÄMTLANDS LÄN</t>
        </is>
      </c>
      <c r="E833" t="inlineStr">
        <is>
          <t>HÄRJEDALEN</t>
        </is>
      </c>
      <c r="G833" t="n">
        <v>20</v>
      </c>
      <c r="H833" t="n">
        <v>0</v>
      </c>
      <c r="I833" t="n">
        <v>0</v>
      </c>
      <c r="J833" t="n">
        <v>0</v>
      </c>
      <c r="K833" t="n">
        <v>0</v>
      </c>
      <c r="L833" t="n">
        <v>0</v>
      </c>
      <c r="M833" t="n">
        <v>0</v>
      </c>
      <c r="N833" t="n">
        <v>0</v>
      </c>
      <c r="O833" t="n">
        <v>0</v>
      </c>
      <c r="P833" t="n">
        <v>0</v>
      </c>
      <c r="Q833" t="n">
        <v>0</v>
      </c>
      <c r="R833" s="2" t="inlineStr"/>
    </row>
    <row r="834" ht="15" customHeight="1">
      <c r="A834" t="inlineStr">
        <is>
          <t>A 41711-2022</t>
        </is>
      </c>
      <c r="B834" s="1" t="n">
        <v>44827</v>
      </c>
      <c r="C834" s="1" t="n">
        <v>45796</v>
      </c>
      <c r="D834" t="inlineStr">
        <is>
          <t>JÄMTLANDS LÄN</t>
        </is>
      </c>
      <c r="E834" t="inlineStr">
        <is>
          <t>HÄRJEDALEN</t>
        </is>
      </c>
      <c r="G834" t="n">
        <v>18.3</v>
      </c>
      <c r="H834" t="n">
        <v>0</v>
      </c>
      <c r="I834" t="n">
        <v>0</v>
      </c>
      <c r="J834" t="n">
        <v>0</v>
      </c>
      <c r="K834" t="n">
        <v>0</v>
      </c>
      <c r="L834" t="n">
        <v>0</v>
      </c>
      <c r="M834" t="n">
        <v>0</v>
      </c>
      <c r="N834" t="n">
        <v>0</v>
      </c>
      <c r="O834" t="n">
        <v>0</v>
      </c>
      <c r="P834" t="n">
        <v>0</v>
      </c>
      <c r="Q834" t="n">
        <v>0</v>
      </c>
      <c r="R834" s="2" t="inlineStr"/>
    </row>
    <row r="835" ht="15" customHeight="1">
      <c r="A835" t="inlineStr">
        <is>
          <t>A 41771-2022</t>
        </is>
      </c>
      <c r="B835" s="1" t="n">
        <v>44827</v>
      </c>
      <c r="C835" s="1" t="n">
        <v>45796</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41766-2022</t>
        </is>
      </c>
      <c r="B836" s="1" t="n">
        <v>44827</v>
      </c>
      <c r="C836" s="1" t="n">
        <v>45796</v>
      </c>
      <c r="D836" t="inlineStr">
        <is>
          <t>JÄMTLANDS LÄN</t>
        </is>
      </c>
      <c r="E836" t="inlineStr">
        <is>
          <t>HÄRJEDALEN</t>
        </is>
      </c>
      <c r="G836" t="n">
        <v>12.5</v>
      </c>
      <c r="H836" t="n">
        <v>0</v>
      </c>
      <c r="I836" t="n">
        <v>0</v>
      </c>
      <c r="J836" t="n">
        <v>0</v>
      </c>
      <c r="K836" t="n">
        <v>0</v>
      </c>
      <c r="L836" t="n">
        <v>0</v>
      </c>
      <c r="M836" t="n">
        <v>0</v>
      </c>
      <c r="N836" t="n">
        <v>0</v>
      </c>
      <c r="O836" t="n">
        <v>0</v>
      </c>
      <c r="P836" t="n">
        <v>0</v>
      </c>
      <c r="Q836" t="n">
        <v>0</v>
      </c>
      <c r="R836" s="2" t="inlineStr"/>
    </row>
    <row r="837" ht="15" customHeight="1">
      <c r="A837" t="inlineStr">
        <is>
          <t>A 42673-2022</t>
        </is>
      </c>
      <c r="B837" s="1" t="n">
        <v>44832</v>
      </c>
      <c r="C837" s="1" t="n">
        <v>45796</v>
      </c>
      <c r="D837" t="inlineStr">
        <is>
          <t>JÄMTLANDS LÄN</t>
        </is>
      </c>
      <c r="E837" t="inlineStr">
        <is>
          <t>HÄRJEDALEN</t>
        </is>
      </c>
      <c r="F837" t="inlineStr">
        <is>
          <t>Bergvik skog väst AB</t>
        </is>
      </c>
      <c r="G837" t="n">
        <v>18.6</v>
      </c>
      <c r="H837" t="n">
        <v>0</v>
      </c>
      <c r="I837" t="n">
        <v>0</v>
      </c>
      <c r="J837" t="n">
        <v>0</v>
      </c>
      <c r="K837" t="n">
        <v>0</v>
      </c>
      <c r="L837" t="n">
        <v>0</v>
      </c>
      <c r="M837" t="n">
        <v>0</v>
      </c>
      <c r="N837" t="n">
        <v>0</v>
      </c>
      <c r="O837" t="n">
        <v>0</v>
      </c>
      <c r="P837" t="n">
        <v>0</v>
      </c>
      <c r="Q837" t="n">
        <v>0</v>
      </c>
      <c r="R837" s="2" t="inlineStr"/>
    </row>
    <row r="838" ht="15" customHeight="1">
      <c r="A838" t="inlineStr">
        <is>
          <t>A 42916-2022</t>
        </is>
      </c>
      <c r="B838" s="1" t="n">
        <v>44833</v>
      </c>
      <c r="C838" s="1" t="n">
        <v>45796</v>
      </c>
      <c r="D838" t="inlineStr">
        <is>
          <t>JÄMTLANDS LÄN</t>
        </is>
      </c>
      <c r="E838" t="inlineStr">
        <is>
          <t>HÄRJEDALEN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43293-2022</t>
        </is>
      </c>
      <c r="B839" s="1" t="n">
        <v>44834</v>
      </c>
      <c r="C839" s="1" t="n">
        <v>45796</v>
      </c>
      <c r="D839" t="inlineStr">
        <is>
          <t>JÄMTLANDS LÄN</t>
        </is>
      </c>
      <c r="E839" t="inlineStr">
        <is>
          <t>HÄRJEDALEN</t>
        </is>
      </c>
      <c r="F839" t="inlineStr">
        <is>
          <t>Bergvik skog väst AB</t>
        </is>
      </c>
      <c r="G839" t="n">
        <v>6.7</v>
      </c>
      <c r="H839" t="n">
        <v>0</v>
      </c>
      <c r="I839" t="n">
        <v>0</v>
      </c>
      <c r="J839" t="n">
        <v>0</v>
      </c>
      <c r="K839" t="n">
        <v>0</v>
      </c>
      <c r="L839" t="n">
        <v>0</v>
      </c>
      <c r="M839" t="n">
        <v>0</v>
      </c>
      <c r="N839" t="n">
        <v>0</v>
      </c>
      <c r="O839" t="n">
        <v>0</v>
      </c>
      <c r="P839" t="n">
        <v>0</v>
      </c>
      <c r="Q839" t="n">
        <v>0</v>
      </c>
      <c r="R839" s="2" t="inlineStr"/>
    </row>
    <row r="840" ht="15" customHeight="1">
      <c r="A840" t="inlineStr">
        <is>
          <t>A 43531-2022</t>
        </is>
      </c>
      <c r="B840" s="1" t="n">
        <v>44837</v>
      </c>
      <c r="C840" s="1" t="n">
        <v>45796</v>
      </c>
      <c r="D840" t="inlineStr">
        <is>
          <t>JÄMTLANDS LÄN</t>
        </is>
      </c>
      <c r="E840" t="inlineStr">
        <is>
          <t>HÄRJEDALEN</t>
        </is>
      </c>
      <c r="F840" t="inlineStr">
        <is>
          <t>Bergvik skog väst AB</t>
        </is>
      </c>
      <c r="G840" t="n">
        <v>7.1</v>
      </c>
      <c r="H840" t="n">
        <v>0</v>
      </c>
      <c r="I840" t="n">
        <v>0</v>
      </c>
      <c r="J840" t="n">
        <v>0</v>
      </c>
      <c r="K840" t="n">
        <v>0</v>
      </c>
      <c r="L840" t="n">
        <v>0</v>
      </c>
      <c r="M840" t="n">
        <v>0</v>
      </c>
      <c r="N840" t="n">
        <v>0</v>
      </c>
      <c r="O840" t="n">
        <v>0</v>
      </c>
      <c r="P840" t="n">
        <v>0</v>
      </c>
      <c r="Q840" t="n">
        <v>0</v>
      </c>
      <c r="R840" s="2" t="inlineStr"/>
    </row>
    <row r="841" ht="15" customHeight="1">
      <c r="A841" t="inlineStr">
        <is>
          <t>A 43552-2022</t>
        </is>
      </c>
      <c r="B841" s="1" t="n">
        <v>44837</v>
      </c>
      <c r="C841" s="1" t="n">
        <v>45796</v>
      </c>
      <c r="D841" t="inlineStr">
        <is>
          <t>JÄMTLANDS LÄN</t>
        </is>
      </c>
      <c r="E841" t="inlineStr">
        <is>
          <t>HÄRJEDALEN</t>
        </is>
      </c>
      <c r="F841" t="inlineStr">
        <is>
          <t>Bergvik skog väst AB</t>
        </is>
      </c>
      <c r="G841" t="n">
        <v>1.5</v>
      </c>
      <c r="H841" t="n">
        <v>0</v>
      </c>
      <c r="I841" t="n">
        <v>0</v>
      </c>
      <c r="J841" t="n">
        <v>0</v>
      </c>
      <c r="K841" t="n">
        <v>0</v>
      </c>
      <c r="L841" t="n">
        <v>0</v>
      </c>
      <c r="M841" t="n">
        <v>0</v>
      </c>
      <c r="N841" t="n">
        <v>0</v>
      </c>
      <c r="O841" t="n">
        <v>0</v>
      </c>
      <c r="P841" t="n">
        <v>0</v>
      </c>
      <c r="Q841" t="n">
        <v>0</v>
      </c>
      <c r="R841" s="2" t="inlineStr"/>
    </row>
    <row r="842" ht="15" customHeight="1">
      <c r="A842" t="inlineStr">
        <is>
          <t>A 43825-2022</t>
        </is>
      </c>
      <c r="B842" s="1" t="n">
        <v>44838</v>
      </c>
      <c r="C842" s="1" t="n">
        <v>45796</v>
      </c>
      <c r="D842" t="inlineStr">
        <is>
          <t>JÄMTLANDS LÄN</t>
        </is>
      </c>
      <c r="E842" t="inlineStr">
        <is>
          <t>HÄRJEDALEN</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45017-2022</t>
        </is>
      </c>
      <c r="B843" s="1" t="n">
        <v>44841</v>
      </c>
      <c r="C843" s="1" t="n">
        <v>45796</v>
      </c>
      <c r="D843" t="inlineStr">
        <is>
          <t>JÄMTLANDS LÄN</t>
        </is>
      </c>
      <c r="E843" t="inlineStr">
        <is>
          <t>HÄRJEDALEN</t>
        </is>
      </c>
      <c r="F843" t="inlineStr">
        <is>
          <t>Bergvik skog väst AB</t>
        </is>
      </c>
      <c r="G843" t="n">
        <v>5.4</v>
      </c>
      <c r="H843" t="n">
        <v>0</v>
      </c>
      <c r="I843" t="n">
        <v>0</v>
      </c>
      <c r="J843" t="n">
        <v>0</v>
      </c>
      <c r="K843" t="n">
        <v>0</v>
      </c>
      <c r="L843" t="n">
        <v>0</v>
      </c>
      <c r="M843" t="n">
        <v>0</v>
      </c>
      <c r="N843" t="n">
        <v>0</v>
      </c>
      <c r="O843" t="n">
        <v>0</v>
      </c>
      <c r="P843" t="n">
        <v>0</v>
      </c>
      <c r="Q843" t="n">
        <v>0</v>
      </c>
      <c r="R843" s="2" t="inlineStr"/>
    </row>
    <row r="844" ht="15" customHeight="1">
      <c r="A844" t="inlineStr">
        <is>
          <t>A 47351-2022</t>
        </is>
      </c>
      <c r="B844" s="1" t="n">
        <v>44853</v>
      </c>
      <c r="C844" s="1" t="n">
        <v>45796</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47450-2022</t>
        </is>
      </c>
      <c r="B845" s="1" t="n">
        <v>44853</v>
      </c>
      <c r="C845" s="1" t="n">
        <v>45796</v>
      </c>
      <c r="D845" t="inlineStr">
        <is>
          <t>JÄMTLANDS LÄN</t>
        </is>
      </c>
      <c r="E845" t="inlineStr">
        <is>
          <t>HÄRJEDALEN</t>
        </is>
      </c>
      <c r="G845" t="n">
        <v>1.5</v>
      </c>
      <c r="H845" t="n">
        <v>0</v>
      </c>
      <c r="I845" t="n">
        <v>0</v>
      </c>
      <c r="J845" t="n">
        <v>0</v>
      </c>
      <c r="K845" t="n">
        <v>0</v>
      </c>
      <c r="L845" t="n">
        <v>0</v>
      </c>
      <c r="M845" t="n">
        <v>0</v>
      </c>
      <c r="N845" t="n">
        <v>0</v>
      </c>
      <c r="O845" t="n">
        <v>0</v>
      </c>
      <c r="P845" t="n">
        <v>0</v>
      </c>
      <c r="Q845" t="n">
        <v>0</v>
      </c>
      <c r="R845" s="2" t="inlineStr"/>
    </row>
    <row r="846" ht="15" customHeight="1">
      <c r="A846" t="inlineStr">
        <is>
          <t>A 47635-2022</t>
        </is>
      </c>
      <c r="B846" s="1" t="n">
        <v>44854</v>
      </c>
      <c r="C846" s="1" t="n">
        <v>45796</v>
      </c>
      <c r="D846" t="inlineStr">
        <is>
          <t>JÄMTLANDS LÄN</t>
        </is>
      </c>
      <c r="E846" t="inlineStr">
        <is>
          <t>HÄRJEDALEN</t>
        </is>
      </c>
      <c r="G846" t="n">
        <v>2.2</v>
      </c>
      <c r="H846" t="n">
        <v>0</v>
      </c>
      <c r="I846" t="n">
        <v>0</v>
      </c>
      <c r="J846" t="n">
        <v>0</v>
      </c>
      <c r="K846" t="n">
        <v>0</v>
      </c>
      <c r="L846" t="n">
        <v>0</v>
      </c>
      <c r="M846" t="n">
        <v>0</v>
      </c>
      <c r="N846" t="n">
        <v>0</v>
      </c>
      <c r="O846" t="n">
        <v>0</v>
      </c>
      <c r="P846" t="n">
        <v>0</v>
      </c>
      <c r="Q846" t="n">
        <v>0</v>
      </c>
      <c r="R846" s="2" t="inlineStr"/>
    </row>
    <row r="847" ht="15" customHeight="1">
      <c r="A847" t="inlineStr">
        <is>
          <t>A 47738-2022</t>
        </is>
      </c>
      <c r="B847" s="1" t="n">
        <v>44854</v>
      </c>
      <c r="C847" s="1" t="n">
        <v>45796</v>
      </c>
      <c r="D847" t="inlineStr">
        <is>
          <t>JÄMTLANDS LÄN</t>
        </is>
      </c>
      <c r="E847" t="inlineStr">
        <is>
          <t>HÄRJEDALEN</t>
        </is>
      </c>
      <c r="F847" t="inlineStr">
        <is>
          <t>Sveaskog</t>
        </is>
      </c>
      <c r="G847" t="n">
        <v>0.4</v>
      </c>
      <c r="H847" t="n">
        <v>0</v>
      </c>
      <c r="I847" t="n">
        <v>0</v>
      </c>
      <c r="J847" t="n">
        <v>0</v>
      </c>
      <c r="K847" t="n">
        <v>0</v>
      </c>
      <c r="L847" t="n">
        <v>0</v>
      </c>
      <c r="M847" t="n">
        <v>0</v>
      </c>
      <c r="N847" t="n">
        <v>0</v>
      </c>
      <c r="O847" t="n">
        <v>0</v>
      </c>
      <c r="P847" t="n">
        <v>0</v>
      </c>
      <c r="Q847" t="n">
        <v>0</v>
      </c>
      <c r="R847" s="2" t="inlineStr"/>
    </row>
    <row r="848" ht="15" customHeight="1">
      <c r="A848" t="inlineStr">
        <is>
          <t>A 47975-2022</t>
        </is>
      </c>
      <c r="B848" s="1" t="n">
        <v>44855</v>
      </c>
      <c r="C848" s="1" t="n">
        <v>45796</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48438-2022</t>
        </is>
      </c>
      <c r="B849" s="1" t="n">
        <v>44858</v>
      </c>
      <c r="C849" s="1" t="n">
        <v>45796</v>
      </c>
      <c r="D849" t="inlineStr">
        <is>
          <t>JÄMTLANDS LÄN</t>
        </is>
      </c>
      <c r="E849" t="inlineStr">
        <is>
          <t>HÄRJEDALEN</t>
        </is>
      </c>
      <c r="G849" t="n">
        <v>1.9</v>
      </c>
      <c r="H849" t="n">
        <v>0</v>
      </c>
      <c r="I849" t="n">
        <v>0</v>
      </c>
      <c r="J849" t="n">
        <v>0</v>
      </c>
      <c r="K849" t="n">
        <v>0</v>
      </c>
      <c r="L849" t="n">
        <v>0</v>
      </c>
      <c r="M849" t="n">
        <v>0</v>
      </c>
      <c r="N849" t="n">
        <v>0</v>
      </c>
      <c r="O849" t="n">
        <v>0</v>
      </c>
      <c r="P849" t="n">
        <v>0</v>
      </c>
      <c r="Q849" t="n">
        <v>0</v>
      </c>
      <c r="R849" s="2" t="inlineStr"/>
    </row>
    <row r="850" ht="15" customHeight="1">
      <c r="A850" t="inlineStr">
        <is>
          <t>A 48583-2022</t>
        </is>
      </c>
      <c r="B850" s="1" t="n">
        <v>44859</v>
      </c>
      <c r="C850" s="1" t="n">
        <v>45796</v>
      </c>
      <c r="D850" t="inlineStr">
        <is>
          <t>JÄMTLANDS LÄN</t>
        </is>
      </c>
      <c r="E850" t="inlineStr">
        <is>
          <t>HÄRJEDALEN</t>
        </is>
      </c>
      <c r="F850" t="inlineStr">
        <is>
          <t>Bergvik skog väst AB</t>
        </is>
      </c>
      <c r="G850" t="n">
        <v>8.6</v>
      </c>
      <c r="H850" t="n">
        <v>0</v>
      </c>
      <c r="I850" t="n">
        <v>0</v>
      </c>
      <c r="J850" t="n">
        <v>0</v>
      </c>
      <c r="K850" t="n">
        <v>0</v>
      </c>
      <c r="L850" t="n">
        <v>0</v>
      </c>
      <c r="M850" t="n">
        <v>0</v>
      </c>
      <c r="N850" t="n">
        <v>0</v>
      </c>
      <c r="O850" t="n">
        <v>0</v>
      </c>
      <c r="P850" t="n">
        <v>0</v>
      </c>
      <c r="Q850" t="n">
        <v>0</v>
      </c>
      <c r="R850" s="2" t="inlineStr"/>
    </row>
    <row r="851" ht="15" customHeight="1">
      <c r="A851" t="inlineStr">
        <is>
          <t>A 49237-2022</t>
        </is>
      </c>
      <c r="B851" s="1" t="n">
        <v>44861</v>
      </c>
      <c r="C851" s="1" t="n">
        <v>45796</v>
      </c>
      <c r="D851" t="inlineStr">
        <is>
          <t>JÄMTLANDS LÄN</t>
        </is>
      </c>
      <c r="E851" t="inlineStr">
        <is>
          <t>HÄRJEDALEN</t>
        </is>
      </c>
      <c r="G851" t="n">
        <v>5.8</v>
      </c>
      <c r="H851" t="n">
        <v>0</v>
      </c>
      <c r="I851" t="n">
        <v>0</v>
      </c>
      <c r="J851" t="n">
        <v>0</v>
      </c>
      <c r="K851" t="n">
        <v>0</v>
      </c>
      <c r="L851" t="n">
        <v>0</v>
      </c>
      <c r="M851" t="n">
        <v>0</v>
      </c>
      <c r="N851" t="n">
        <v>0</v>
      </c>
      <c r="O851" t="n">
        <v>0</v>
      </c>
      <c r="P851" t="n">
        <v>0</v>
      </c>
      <c r="Q851" t="n">
        <v>0</v>
      </c>
      <c r="R851" s="2" t="inlineStr"/>
    </row>
    <row r="852" ht="15" customHeight="1">
      <c r="A852" t="inlineStr">
        <is>
          <t>A 49295-2022</t>
        </is>
      </c>
      <c r="B852" s="1" t="n">
        <v>44861</v>
      </c>
      <c r="C852" s="1" t="n">
        <v>45796</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49663-2022</t>
        </is>
      </c>
      <c r="B853" s="1" t="n">
        <v>44862</v>
      </c>
      <c r="C853" s="1" t="n">
        <v>45796</v>
      </c>
      <c r="D853" t="inlineStr">
        <is>
          <t>JÄMTLANDS LÄN</t>
        </is>
      </c>
      <c r="E853" t="inlineStr">
        <is>
          <t>HÄRJEDALEN</t>
        </is>
      </c>
      <c r="F853" t="inlineStr">
        <is>
          <t>Bergvik skog väst AB</t>
        </is>
      </c>
      <c r="G853" t="n">
        <v>17.5</v>
      </c>
      <c r="H853" t="n">
        <v>0</v>
      </c>
      <c r="I853" t="n">
        <v>0</v>
      </c>
      <c r="J853" t="n">
        <v>0</v>
      </c>
      <c r="K853" t="n">
        <v>0</v>
      </c>
      <c r="L853" t="n">
        <v>0</v>
      </c>
      <c r="M853" t="n">
        <v>0</v>
      </c>
      <c r="N853" t="n">
        <v>0</v>
      </c>
      <c r="O853" t="n">
        <v>0</v>
      </c>
      <c r="P853" t="n">
        <v>0</v>
      </c>
      <c r="Q853" t="n">
        <v>0</v>
      </c>
      <c r="R853" s="2" t="inlineStr"/>
    </row>
    <row r="854" ht="15" customHeight="1">
      <c r="A854" t="inlineStr">
        <is>
          <t>A 49689-2022</t>
        </is>
      </c>
      <c r="B854" s="1" t="n">
        <v>44862</v>
      </c>
      <c r="C854" s="1" t="n">
        <v>45796</v>
      </c>
      <c r="D854" t="inlineStr">
        <is>
          <t>JÄMTLANDS LÄN</t>
        </is>
      </c>
      <c r="E854" t="inlineStr">
        <is>
          <t>HÄRJEDALEN</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49995-2022</t>
        </is>
      </c>
      <c r="B855" s="1" t="n">
        <v>44865</v>
      </c>
      <c r="C855" s="1" t="n">
        <v>45796</v>
      </c>
      <c r="D855" t="inlineStr">
        <is>
          <t>JÄMTLANDS LÄN</t>
        </is>
      </c>
      <c r="E855" t="inlineStr">
        <is>
          <t>HÄRJEDALEN</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51948-2022</t>
        </is>
      </c>
      <c r="B856" s="1" t="n">
        <v>44872</v>
      </c>
      <c r="C856" s="1" t="n">
        <v>45796</v>
      </c>
      <c r="D856" t="inlineStr">
        <is>
          <t>JÄMTLANDS LÄN</t>
        </is>
      </c>
      <c r="E856" t="inlineStr">
        <is>
          <t>HÄRJEDALEN</t>
        </is>
      </c>
      <c r="F856" t="inlineStr">
        <is>
          <t>Bergvik skog väst AB</t>
        </is>
      </c>
      <c r="G856" t="n">
        <v>3.8</v>
      </c>
      <c r="H856" t="n">
        <v>0</v>
      </c>
      <c r="I856" t="n">
        <v>0</v>
      </c>
      <c r="J856" t="n">
        <v>0</v>
      </c>
      <c r="K856" t="n">
        <v>0</v>
      </c>
      <c r="L856" t="n">
        <v>0</v>
      </c>
      <c r="M856" t="n">
        <v>0</v>
      </c>
      <c r="N856" t="n">
        <v>0</v>
      </c>
      <c r="O856" t="n">
        <v>0</v>
      </c>
      <c r="P856" t="n">
        <v>0</v>
      </c>
      <c r="Q856" t="n">
        <v>0</v>
      </c>
      <c r="R856" s="2" t="inlineStr"/>
    </row>
    <row r="857" ht="15" customHeight="1">
      <c r="A857" t="inlineStr">
        <is>
          <t>A 52852-2022</t>
        </is>
      </c>
      <c r="B857" s="1" t="n">
        <v>44872</v>
      </c>
      <c r="C857" s="1" t="n">
        <v>45796</v>
      </c>
      <c r="D857" t="inlineStr">
        <is>
          <t>JÄMTLANDS LÄN</t>
        </is>
      </c>
      <c r="E857" t="inlineStr">
        <is>
          <t>HÄRJEDALEN</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52867-2022</t>
        </is>
      </c>
      <c r="B858" s="1" t="n">
        <v>44872</v>
      </c>
      <c r="C858" s="1" t="n">
        <v>45796</v>
      </c>
      <c r="D858" t="inlineStr">
        <is>
          <t>JÄMTLANDS LÄN</t>
        </is>
      </c>
      <c r="E858" t="inlineStr">
        <is>
          <t>HÄRJEDALEN</t>
        </is>
      </c>
      <c r="G858" t="n">
        <v>0.3</v>
      </c>
      <c r="H858" t="n">
        <v>0</v>
      </c>
      <c r="I858" t="n">
        <v>0</v>
      </c>
      <c r="J858" t="n">
        <v>0</v>
      </c>
      <c r="K858" t="n">
        <v>0</v>
      </c>
      <c r="L858" t="n">
        <v>0</v>
      </c>
      <c r="M858" t="n">
        <v>0</v>
      </c>
      <c r="N858" t="n">
        <v>0</v>
      </c>
      <c r="O858" t="n">
        <v>0</v>
      </c>
      <c r="P858" t="n">
        <v>0</v>
      </c>
      <c r="Q858" t="n">
        <v>0</v>
      </c>
      <c r="R858" s="2" t="inlineStr"/>
    </row>
    <row r="859" ht="15" customHeight="1">
      <c r="A859" t="inlineStr">
        <is>
          <t>A 52339-2022</t>
        </is>
      </c>
      <c r="B859" s="1" t="n">
        <v>44873</v>
      </c>
      <c r="C859" s="1" t="n">
        <v>45796</v>
      </c>
      <c r="D859" t="inlineStr">
        <is>
          <t>JÄMTLANDS LÄN</t>
        </is>
      </c>
      <c r="E859" t="inlineStr">
        <is>
          <t>HÄRJEDALEN</t>
        </is>
      </c>
      <c r="G859" t="n">
        <v>28.1</v>
      </c>
      <c r="H859" t="n">
        <v>0</v>
      </c>
      <c r="I859" t="n">
        <v>0</v>
      </c>
      <c r="J859" t="n">
        <v>0</v>
      </c>
      <c r="K859" t="n">
        <v>0</v>
      </c>
      <c r="L859" t="n">
        <v>0</v>
      </c>
      <c r="M859" t="n">
        <v>0</v>
      </c>
      <c r="N859" t="n">
        <v>0</v>
      </c>
      <c r="O859" t="n">
        <v>0</v>
      </c>
      <c r="P859" t="n">
        <v>0</v>
      </c>
      <c r="Q859" t="n">
        <v>0</v>
      </c>
      <c r="R859" s="2" t="inlineStr"/>
    </row>
    <row r="860" ht="15" customHeight="1">
      <c r="A860" t="inlineStr">
        <is>
          <t>A 52586-2022</t>
        </is>
      </c>
      <c r="B860" s="1" t="n">
        <v>44874</v>
      </c>
      <c r="C860" s="1" t="n">
        <v>45796</v>
      </c>
      <c r="D860" t="inlineStr">
        <is>
          <t>JÄMTLANDS LÄN</t>
        </is>
      </c>
      <c r="E860" t="inlineStr">
        <is>
          <t>HÄRJEDALEN</t>
        </is>
      </c>
      <c r="F860" t="inlineStr">
        <is>
          <t>Bergvik skog väst AB</t>
        </is>
      </c>
      <c r="G860" t="n">
        <v>6.1</v>
      </c>
      <c r="H860" t="n">
        <v>0</v>
      </c>
      <c r="I860" t="n">
        <v>0</v>
      </c>
      <c r="J860" t="n">
        <v>0</v>
      </c>
      <c r="K860" t="n">
        <v>0</v>
      </c>
      <c r="L860" t="n">
        <v>0</v>
      </c>
      <c r="M860" t="n">
        <v>0</v>
      </c>
      <c r="N860" t="n">
        <v>0</v>
      </c>
      <c r="O860" t="n">
        <v>0</v>
      </c>
      <c r="P860" t="n">
        <v>0</v>
      </c>
      <c r="Q860" t="n">
        <v>0</v>
      </c>
      <c r="R860" s="2" t="inlineStr"/>
    </row>
    <row r="861" ht="15" customHeight="1">
      <c r="A861" t="inlineStr">
        <is>
          <t>A 53104-2022</t>
        </is>
      </c>
      <c r="B861" s="1" t="n">
        <v>44876</v>
      </c>
      <c r="C861" s="1" t="n">
        <v>45796</v>
      </c>
      <c r="D861" t="inlineStr">
        <is>
          <t>JÄMTLANDS LÄN</t>
        </is>
      </c>
      <c r="E861" t="inlineStr">
        <is>
          <t>HÄRJEDALEN</t>
        </is>
      </c>
      <c r="F861" t="inlineStr">
        <is>
          <t>Bergvik skog väst AB</t>
        </is>
      </c>
      <c r="G861" t="n">
        <v>0.7</v>
      </c>
      <c r="H861" t="n">
        <v>0</v>
      </c>
      <c r="I861" t="n">
        <v>0</v>
      </c>
      <c r="J861" t="n">
        <v>0</v>
      </c>
      <c r="K861" t="n">
        <v>0</v>
      </c>
      <c r="L861" t="n">
        <v>0</v>
      </c>
      <c r="M861" t="n">
        <v>0</v>
      </c>
      <c r="N861" t="n">
        <v>0</v>
      </c>
      <c r="O861" t="n">
        <v>0</v>
      </c>
      <c r="P861" t="n">
        <v>0</v>
      </c>
      <c r="Q861" t="n">
        <v>0</v>
      </c>
      <c r="R861" s="2" t="inlineStr"/>
    </row>
    <row r="862" ht="15" customHeight="1">
      <c r="A862" t="inlineStr">
        <is>
          <t>A 53107-2022</t>
        </is>
      </c>
      <c r="B862" s="1" t="n">
        <v>44876</v>
      </c>
      <c r="C862" s="1" t="n">
        <v>45796</v>
      </c>
      <c r="D862" t="inlineStr">
        <is>
          <t>JÄMTLANDS LÄN</t>
        </is>
      </c>
      <c r="E862" t="inlineStr">
        <is>
          <t>HÄRJEDALEN</t>
        </is>
      </c>
      <c r="F862" t="inlineStr">
        <is>
          <t>Bergvik skog väst AB</t>
        </is>
      </c>
      <c r="G862" t="n">
        <v>9.1</v>
      </c>
      <c r="H862" t="n">
        <v>0</v>
      </c>
      <c r="I862" t="n">
        <v>0</v>
      </c>
      <c r="J862" t="n">
        <v>0</v>
      </c>
      <c r="K862" t="n">
        <v>0</v>
      </c>
      <c r="L862" t="n">
        <v>0</v>
      </c>
      <c r="M862" t="n">
        <v>0</v>
      </c>
      <c r="N862" t="n">
        <v>0</v>
      </c>
      <c r="O862" t="n">
        <v>0</v>
      </c>
      <c r="P862" t="n">
        <v>0</v>
      </c>
      <c r="Q862" t="n">
        <v>0</v>
      </c>
      <c r="R862" s="2" t="inlineStr"/>
    </row>
    <row r="863" ht="15" customHeight="1">
      <c r="A863" t="inlineStr">
        <is>
          <t>A 53120-2022</t>
        </is>
      </c>
      <c r="B863" s="1" t="n">
        <v>44876</v>
      </c>
      <c r="C863" s="1" t="n">
        <v>45796</v>
      </c>
      <c r="D863" t="inlineStr">
        <is>
          <t>JÄMTLANDS LÄN</t>
        </is>
      </c>
      <c r="E863" t="inlineStr">
        <is>
          <t>HÄRJEDALEN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53563-2022</t>
        </is>
      </c>
      <c r="B864" s="1" t="n">
        <v>44879</v>
      </c>
      <c r="C864" s="1" t="n">
        <v>45796</v>
      </c>
      <c r="D864" t="inlineStr">
        <is>
          <t>JÄMTLANDS LÄN</t>
        </is>
      </c>
      <c r="E864" t="inlineStr">
        <is>
          <t>HÄRJEDALEN</t>
        </is>
      </c>
      <c r="G864" t="n">
        <v>8.6</v>
      </c>
      <c r="H864" t="n">
        <v>0</v>
      </c>
      <c r="I864" t="n">
        <v>0</v>
      </c>
      <c r="J864" t="n">
        <v>0</v>
      </c>
      <c r="K864" t="n">
        <v>0</v>
      </c>
      <c r="L864" t="n">
        <v>0</v>
      </c>
      <c r="M864" t="n">
        <v>0</v>
      </c>
      <c r="N864" t="n">
        <v>0</v>
      </c>
      <c r="O864" t="n">
        <v>0</v>
      </c>
      <c r="P864" t="n">
        <v>0</v>
      </c>
      <c r="Q864" t="n">
        <v>0</v>
      </c>
      <c r="R864" s="2" t="inlineStr"/>
    </row>
    <row r="865" ht="15" customHeight="1">
      <c r="A865" t="inlineStr">
        <is>
          <t>A 54059-2022</t>
        </is>
      </c>
      <c r="B865" s="1" t="n">
        <v>44881</v>
      </c>
      <c r="C865" s="1" t="n">
        <v>45796</v>
      </c>
      <c r="D865" t="inlineStr">
        <is>
          <t>JÄMTLANDS LÄN</t>
        </is>
      </c>
      <c r="E865" t="inlineStr">
        <is>
          <t>HÄRJEDALEN</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54065-2022</t>
        </is>
      </c>
      <c r="B866" s="1" t="n">
        <v>44881</v>
      </c>
      <c r="C866" s="1" t="n">
        <v>45796</v>
      </c>
      <c r="D866" t="inlineStr">
        <is>
          <t>JÄMTLANDS LÄN</t>
        </is>
      </c>
      <c r="E866" t="inlineStr">
        <is>
          <t>HÄRJEDALEN</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54305-2022</t>
        </is>
      </c>
      <c r="B867" s="1" t="n">
        <v>44882</v>
      </c>
      <c r="C867" s="1" t="n">
        <v>45796</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54661-2022</t>
        </is>
      </c>
      <c r="B868" s="1" t="n">
        <v>44883</v>
      </c>
      <c r="C868" s="1" t="n">
        <v>45796</v>
      </c>
      <c r="D868" t="inlineStr">
        <is>
          <t>JÄMTLANDS LÄN</t>
        </is>
      </c>
      <c r="E868" t="inlineStr">
        <is>
          <t>HÄRJEDALEN</t>
        </is>
      </c>
      <c r="G868" t="n">
        <v>5.9</v>
      </c>
      <c r="H868" t="n">
        <v>0</v>
      </c>
      <c r="I868" t="n">
        <v>0</v>
      </c>
      <c r="J868" t="n">
        <v>0</v>
      </c>
      <c r="K868" t="n">
        <v>0</v>
      </c>
      <c r="L868" t="n">
        <v>0</v>
      </c>
      <c r="M868" t="n">
        <v>0</v>
      </c>
      <c r="N868" t="n">
        <v>0</v>
      </c>
      <c r="O868" t="n">
        <v>0</v>
      </c>
      <c r="P868" t="n">
        <v>0</v>
      </c>
      <c r="Q868" t="n">
        <v>0</v>
      </c>
      <c r="R868" s="2" t="inlineStr"/>
    </row>
    <row r="869" ht="15" customHeight="1">
      <c r="A869" t="inlineStr">
        <is>
          <t>A 54762-2022</t>
        </is>
      </c>
      <c r="B869" s="1" t="n">
        <v>44883</v>
      </c>
      <c r="C869" s="1" t="n">
        <v>45796</v>
      </c>
      <c r="D869" t="inlineStr">
        <is>
          <t>JÄMTLANDS LÄN</t>
        </is>
      </c>
      <c r="E869" t="inlineStr">
        <is>
          <t>HÄRJEDALEN</t>
        </is>
      </c>
      <c r="G869" t="n">
        <v>1.8</v>
      </c>
      <c r="H869" t="n">
        <v>0</v>
      </c>
      <c r="I869" t="n">
        <v>0</v>
      </c>
      <c r="J869" t="n">
        <v>0</v>
      </c>
      <c r="K869" t="n">
        <v>0</v>
      </c>
      <c r="L869" t="n">
        <v>0</v>
      </c>
      <c r="M869" t="n">
        <v>0</v>
      </c>
      <c r="N869" t="n">
        <v>0</v>
      </c>
      <c r="O869" t="n">
        <v>0</v>
      </c>
      <c r="P869" t="n">
        <v>0</v>
      </c>
      <c r="Q869" t="n">
        <v>0</v>
      </c>
      <c r="R869" s="2" t="inlineStr"/>
    </row>
    <row r="870" ht="15" customHeight="1">
      <c r="A870" t="inlineStr">
        <is>
          <t>A 55100-2022</t>
        </is>
      </c>
      <c r="B870" s="1" t="n">
        <v>44886</v>
      </c>
      <c r="C870" s="1" t="n">
        <v>45796</v>
      </c>
      <c r="D870" t="inlineStr">
        <is>
          <t>JÄMTLANDS LÄN</t>
        </is>
      </c>
      <c r="E870" t="inlineStr">
        <is>
          <t>HÄRJEDALEN</t>
        </is>
      </c>
      <c r="G870" t="n">
        <v>4.4</v>
      </c>
      <c r="H870" t="n">
        <v>0</v>
      </c>
      <c r="I870" t="n">
        <v>0</v>
      </c>
      <c r="J870" t="n">
        <v>0</v>
      </c>
      <c r="K870" t="n">
        <v>0</v>
      </c>
      <c r="L870" t="n">
        <v>0</v>
      </c>
      <c r="M870" t="n">
        <v>0</v>
      </c>
      <c r="N870" t="n">
        <v>0</v>
      </c>
      <c r="O870" t="n">
        <v>0</v>
      </c>
      <c r="P870" t="n">
        <v>0</v>
      </c>
      <c r="Q870" t="n">
        <v>0</v>
      </c>
      <c r="R870" s="2" t="inlineStr"/>
    </row>
    <row r="871" ht="15" customHeight="1">
      <c r="A871" t="inlineStr">
        <is>
          <t>A 55103-2022</t>
        </is>
      </c>
      <c r="B871" s="1" t="n">
        <v>44886</v>
      </c>
      <c r="C871" s="1" t="n">
        <v>45796</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55931-2022</t>
        </is>
      </c>
      <c r="B872" s="1" t="n">
        <v>44886</v>
      </c>
      <c r="C872" s="1" t="n">
        <v>45796</v>
      </c>
      <c r="D872" t="inlineStr">
        <is>
          <t>JÄMTLANDS LÄN</t>
        </is>
      </c>
      <c r="E872" t="inlineStr">
        <is>
          <t>HÄRJEDALEN</t>
        </is>
      </c>
      <c r="F872" t="inlineStr">
        <is>
          <t>Övriga statliga verk och myndigheter</t>
        </is>
      </c>
      <c r="G872" t="n">
        <v>2.9</v>
      </c>
      <c r="H872" t="n">
        <v>0</v>
      </c>
      <c r="I872" t="n">
        <v>0</v>
      </c>
      <c r="J872" t="n">
        <v>0</v>
      </c>
      <c r="K872" t="n">
        <v>0</v>
      </c>
      <c r="L872" t="n">
        <v>0</v>
      </c>
      <c r="M872" t="n">
        <v>0</v>
      </c>
      <c r="N872" t="n">
        <v>0</v>
      </c>
      <c r="O872" t="n">
        <v>0</v>
      </c>
      <c r="P872" t="n">
        <v>0</v>
      </c>
      <c r="Q872" t="n">
        <v>0</v>
      </c>
      <c r="R872" s="2" t="inlineStr"/>
    </row>
    <row r="873" ht="15" customHeight="1">
      <c r="A873" t="inlineStr">
        <is>
          <t>A 55969-2022</t>
        </is>
      </c>
      <c r="B873" s="1" t="n">
        <v>44886</v>
      </c>
      <c r="C873" s="1" t="n">
        <v>45796</v>
      </c>
      <c r="D873" t="inlineStr">
        <is>
          <t>JÄMTLANDS LÄN</t>
        </is>
      </c>
      <c r="E873" t="inlineStr">
        <is>
          <t>HÄRJEDALEN</t>
        </is>
      </c>
      <c r="F873" t="inlineStr">
        <is>
          <t>Övriga statliga verk och myndigheter</t>
        </is>
      </c>
      <c r="G873" t="n">
        <v>1.6</v>
      </c>
      <c r="H873" t="n">
        <v>0</v>
      </c>
      <c r="I873" t="n">
        <v>0</v>
      </c>
      <c r="J873" t="n">
        <v>0</v>
      </c>
      <c r="K873" t="n">
        <v>0</v>
      </c>
      <c r="L873" t="n">
        <v>0</v>
      </c>
      <c r="M873" t="n">
        <v>0</v>
      </c>
      <c r="N873" t="n">
        <v>0</v>
      </c>
      <c r="O873" t="n">
        <v>0</v>
      </c>
      <c r="P873" t="n">
        <v>0</v>
      </c>
      <c r="Q873" t="n">
        <v>0</v>
      </c>
      <c r="R873" s="2" t="inlineStr"/>
    </row>
    <row r="874" ht="15" customHeight="1">
      <c r="A874" t="inlineStr">
        <is>
          <t>A 56043-2022</t>
        </is>
      </c>
      <c r="B874" s="1" t="n">
        <v>44889</v>
      </c>
      <c r="C874" s="1" t="n">
        <v>45796</v>
      </c>
      <c r="D874" t="inlineStr">
        <is>
          <t>JÄMTLANDS LÄN</t>
        </is>
      </c>
      <c r="E874" t="inlineStr">
        <is>
          <t>HÄRJEDALEN</t>
        </is>
      </c>
      <c r="G874" t="n">
        <v>1</v>
      </c>
      <c r="H874" t="n">
        <v>0</v>
      </c>
      <c r="I874" t="n">
        <v>0</v>
      </c>
      <c r="J874" t="n">
        <v>0</v>
      </c>
      <c r="K874" t="n">
        <v>0</v>
      </c>
      <c r="L874" t="n">
        <v>0</v>
      </c>
      <c r="M874" t="n">
        <v>0</v>
      </c>
      <c r="N874" t="n">
        <v>0</v>
      </c>
      <c r="O874" t="n">
        <v>0</v>
      </c>
      <c r="P874" t="n">
        <v>0</v>
      </c>
      <c r="Q874" t="n">
        <v>0</v>
      </c>
      <c r="R874" s="2" t="inlineStr"/>
    </row>
    <row r="875" ht="15" customHeight="1">
      <c r="A875" t="inlineStr">
        <is>
          <t>A 57223-2022</t>
        </is>
      </c>
      <c r="B875" s="1" t="n">
        <v>44889</v>
      </c>
      <c r="C875" s="1" t="n">
        <v>45796</v>
      </c>
      <c r="D875" t="inlineStr">
        <is>
          <t>JÄMTLANDS LÄN</t>
        </is>
      </c>
      <c r="E875" t="inlineStr">
        <is>
          <t>HÄRJEDALEN</t>
        </is>
      </c>
      <c r="G875" t="n">
        <v>1.4</v>
      </c>
      <c r="H875" t="n">
        <v>0</v>
      </c>
      <c r="I875" t="n">
        <v>0</v>
      </c>
      <c r="J875" t="n">
        <v>0</v>
      </c>
      <c r="K875" t="n">
        <v>0</v>
      </c>
      <c r="L875" t="n">
        <v>0</v>
      </c>
      <c r="M875" t="n">
        <v>0</v>
      </c>
      <c r="N875" t="n">
        <v>0</v>
      </c>
      <c r="O875" t="n">
        <v>0</v>
      </c>
      <c r="P875" t="n">
        <v>0</v>
      </c>
      <c r="Q875" t="n">
        <v>0</v>
      </c>
      <c r="R875" s="2" t="inlineStr"/>
    </row>
    <row r="876" ht="15" customHeight="1">
      <c r="A876" t="inlineStr">
        <is>
          <t>A 56533-2022</t>
        </is>
      </c>
      <c r="B876" s="1" t="n">
        <v>44893</v>
      </c>
      <c r="C876" s="1" t="n">
        <v>45796</v>
      </c>
      <c r="D876" t="inlineStr">
        <is>
          <t>JÄMTLANDS LÄN</t>
        </is>
      </c>
      <c r="E876" t="inlineStr">
        <is>
          <t>HÄRJEDALEN</t>
        </is>
      </c>
      <c r="F876" t="inlineStr">
        <is>
          <t>Bergvik skog väst AB</t>
        </is>
      </c>
      <c r="G876" t="n">
        <v>3</v>
      </c>
      <c r="H876" t="n">
        <v>0</v>
      </c>
      <c r="I876" t="n">
        <v>0</v>
      </c>
      <c r="J876" t="n">
        <v>0</v>
      </c>
      <c r="K876" t="n">
        <v>0</v>
      </c>
      <c r="L876" t="n">
        <v>0</v>
      </c>
      <c r="M876" t="n">
        <v>0</v>
      </c>
      <c r="N876" t="n">
        <v>0</v>
      </c>
      <c r="O876" t="n">
        <v>0</v>
      </c>
      <c r="P876" t="n">
        <v>0</v>
      </c>
      <c r="Q876" t="n">
        <v>0</v>
      </c>
      <c r="R876" s="2" t="inlineStr"/>
    </row>
    <row r="877" ht="15" customHeight="1">
      <c r="A877" t="inlineStr">
        <is>
          <t>A 56992-2022</t>
        </is>
      </c>
      <c r="B877" s="1" t="n">
        <v>44894</v>
      </c>
      <c r="C877" s="1" t="n">
        <v>45796</v>
      </c>
      <c r="D877" t="inlineStr">
        <is>
          <t>JÄMTLANDS LÄN</t>
        </is>
      </c>
      <c r="E877" t="inlineStr">
        <is>
          <t>HÄRJEDALEN</t>
        </is>
      </c>
      <c r="G877" t="n">
        <v>1.2</v>
      </c>
      <c r="H877" t="n">
        <v>0</v>
      </c>
      <c r="I877" t="n">
        <v>0</v>
      </c>
      <c r="J877" t="n">
        <v>0</v>
      </c>
      <c r="K877" t="n">
        <v>0</v>
      </c>
      <c r="L877" t="n">
        <v>0</v>
      </c>
      <c r="M877" t="n">
        <v>0</v>
      </c>
      <c r="N877" t="n">
        <v>0</v>
      </c>
      <c r="O877" t="n">
        <v>0</v>
      </c>
      <c r="P877" t="n">
        <v>0</v>
      </c>
      <c r="Q877" t="n">
        <v>0</v>
      </c>
      <c r="R877" s="2" t="inlineStr"/>
    </row>
    <row r="878" ht="15" customHeight="1">
      <c r="A878" t="inlineStr">
        <is>
          <t>A 58425-2022</t>
        </is>
      </c>
      <c r="B878" s="1" t="n">
        <v>44901</v>
      </c>
      <c r="C878" s="1" t="n">
        <v>45796</v>
      </c>
      <c r="D878" t="inlineStr">
        <is>
          <t>JÄMTLANDS LÄN</t>
        </is>
      </c>
      <c r="E878" t="inlineStr">
        <is>
          <t>HÄRJEDALEN</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59094-2022</t>
        </is>
      </c>
      <c r="B879" s="1" t="n">
        <v>44904</v>
      </c>
      <c r="C879" s="1" t="n">
        <v>45796</v>
      </c>
      <c r="D879" t="inlineStr">
        <is>
          <t>JÄMTLANDS LÄN</t>
        </is>
      </c>
      <c r="E879" t="inlineStr">
        <is>
          <t>HÄRJEDALEN</t>
        </is>
      </c>
      <c r="F879" t="inlineStr">
        <is>
          <t>Bergvik skog väst AB</t>
        </is>
      </c>
      <c r="G879" t="n">
        <v>49.8</v>
      </c>
      <c r="H879" t="n">
        <v>0</v>
      </c>
      <c r="I879" t="n">
        <v>0</v>
      </c>
      <c r="J879" t="n">
        <v>0</v>
      </c>
      <c r="K879" t="n">
        <v>0</v>
      </c>
      <c r="L879" t="n">
        <v>0</v>
      </c>
      <c r="M879" t="n">
        <v>0</v>
      </c>
      <c r="N879" t="n">
        <v>0</v>
      </c>
      <c r="O879" t="n">
        <v>0</v>
      </c>
      <c r="P879" t="n">
        <v>0</v>
      </c>
      <c r="Q879" t="n">
        <v>0</v>
      </c>
      <c r="R879" s="2" t="inlineStr"/>
    </row>
    <row r="880" ht="15" customHeight="1">
      <c r="A880" t="inlineStr">
        <is>
          <t>A 59112-2022</t>
        </is>
      </c>
      <c r="B880" s="1" t="n">
        <v>44904</v>
      </c>
      <c r="C880" s="1" t="n">
        <v>45796</v>
      </c>
      <c r="D880" t="inlineStr">
        <is>
          <t>JÄMTLANDS LÄN</t>
        </is>
      </c>
      <c r="E880" t="inlineStr">
        <is>
          <t>HÄRJEDALEN</t>
        </is>
      </c>
      <c r="F880" t="inlineStr">
        <is>
          <t>Bergvik skog väst AB</t>
        </is>
      </c>
      <c r="G880" t="n">
        <v>5.7</v>
      </c>
      <c r="H880" t="n">
        <v>0</v>
      </c>
      <c r="I880" t="n">
        <v>0</v>
      </c>
      <c r="J880" t="n">
        <v>0</v>
      </c>
      <c r="K880" t="n">
        <v>0</v>
      </c>
      <c r="L880" t="n">
        <v>0</v>
      </c>
      <c r="M880" t="n">
        <v>0</v>
      </c>
      <c r="N880" t="n">
        <v>0</v>
      </c>
      <c r="O880" t="n">
        <v>0</v>
      </c>
      <c r="P880" t="n">
        <v>0</v>
      </c>
      <c r="Q880" t="n">
        <v>0</v>
      </c>
      <c r="R880" s="2" t="inlineStr"/>
    </row>
    <row r="881" ht="15" customHeight="1">
      <c r="A881" t="inlineStr">
        <is>
          <t>A 59824-2022</t>
        </is>
      </c>
      <c r="B881" s="1" t="n">
        <v>44908</v>
      </c>
      <c r="C881" s="1" t="n">
        <v>45796</v>
      </c>
      <c r="D881" t="inlineStr">
        <is>
          <t>JÄMTLANDS LÄN</t>
        </is>
      </c>
      <c r="E881" t="inlineStr">
        <is>
          <t>HÄRJEDALEN</t>
        </is>
      </c>
      <c r="G881" t="n">
        <v>4.9</v>
      </c>
      <c r="H881" t="n">
        <v>0</v>
      </c>
      <c r="I881" t="n">
        <v>0</v>
      </c>
      <c r="J881" t="n">
        <v>0</v>
      </c>
      <c r="K881" t="n">
        <v>0</v>
      </c>
      <c r="L881" t="n">
        <v>0</v>
      </c>
      <c r="M881" t="n">
        <v>0</v>
      </c>
      <c r="N881" t="n">
        <v>0</v>
      </c>
      <c r="O881" t="n">
        <v>0</v>
      </c>
      <c r="P881" t="n">
        <v>0</v>
      </c>
      <c r="Q881" t="n">
        <v>0</v>
      </c>
      <c r="R881" s="2" t="inlineStr"/>
    </row>
    <row r="882" ht="15" customHeight="1">
      <c r="A882" t="inlineStr">
        <is>
          <t>A 59851-2022</t>
        </is>
      </c>
      <c r="B882" s="1" t="n">
        <v>44908</v>
      </c>
      <c r="C882" s="1" t="n">
        <v>45796</v>
      </c>
      <c r="D882" t="inlineStr">
        <is>
          <t>JÄMTLANDS LÄN</t>
        </is>
      </c>
      <c r="E882" t="inlineStr">
        <is>
          <t>HÄRJEDALEN</t>
        </is>
      </c>
      <c r="G882" t="n">
        <v>3.2</v>
      </c>
      <c r="H882" t="n">
        <v>0</v>
      </c>
      <c r="I882" t="n">
        <v>0</v>
      </c>
      <c r="J882" t="n">
        <v>0</v>
      </c>
      <c r="K882" t="n">
        <v>0</v>
      </c>
      <c r="L882" t="n">
        <v>0</v>
      </c>
      <c r="M882" t="n">
        <v>0</v>
      </c>
      <c r="N882" t="n">
        <v>0</v>
      </c>
      <c r="O882" t="n">
        <v>0</v>
      </c>
      <c r="P882" t="n">
        <v>0</v>
      </c>
      <c r="Q882" t="n">
        <v>0</v>
      </c>
      <c r="R882" s="2" t="inlineStr"/>
    </row>
    <row r="883" ht="15" customHeight="1">
      <c r="A883" t="inlineStr">
        <is>
          <t>A 59828-2022</t>
        </is>
      </c>
      <c r="B883" s="1" t="n">
        <v>44908</v>
      </c>
      <c r="C883" s="1" t="n">
        <v>45796</v>
      </c>
      <c r="D883" t="inlineStr">
        <is>
          <t>JÄMTLANDS LÄN</t>
        </is>
      </c>
      <c r="E883" t="inlineStr">
        <is>
          <t>HÄRJEDALEN</t>
        </is>
      </c>
      <c r="G883" t="n">
        <v>7.4</v>
      </c>
      <c r="H883" t="n">
        <v>0</v>
      </c>
      <c r="I883" t="n">
        <v>0</v>
      </c>
      <c r="J883" t="n">
        <v>0</v>
      </c>
      <c r="K883" t="n">
        <v>0</v>
      </c>
      <c r="L883" t="n">
        <v>0</v>
      </c>
      <c r="M883" t="n">
        <v>0</v>
      </c>
      <c r="N883" t="n">
        <v>0</v>
      </c>
      <c r="O883" t="n">
        <v>0</v>
      </c>
      <c r="P883" t="n">
        <v>0</v>
      </c>
      <c r="Q883" t="n">
        <v>0</v>
      </c>
      <c r="R883" s="2" t="inlineStr"/>
    </row>
    <row r="884" ht="15" customHeight="1">
      <c r="A884" t="inlineStr">
        <is>
          <t>A 59818-2022</t>
        </is>
      </c>
      <c r="B884" s="1" t="n">
        <v>44908</v>
      </c>
      <c r="C884" s="1" t="n">
        <v>45796</v>
      </c>
      <c r="D884" t="inlineStr">
        <is>
          <t>JÄMTLANDS LÄN</t>
        </is>
      </c>
      <c r="E884" t="inlineStr">
        <is>
          <t>HÄRJEDALEN</t>
        </is>
      </c>
      <c r="G884" t="n">
        <v>5.3</v>
      </c>
      <c r="H884" t="n">
        <v>0</v>
      </c>
      <c r="I884" t="n">
        <v>0</v>
      </c>
      <c r="J884" t="n">
        <v>0</v>
      </c>
      <c r="K884" t="n">
        <v>0</v>
      </c>
      <c r="L884" t="n">
        <v>0</v>
      </c>
      <c r="M884" t="n">
        <v>0</v>
      </c>
      <c r="N884" t="n">
        <v>0</v>
      </c>
      <c r="O884" t="n">
        <v>0</v>
      </c>
      <c r="P884" t="n">
        <v>0</v>
      </c>
      <c r="Q884" t="n">
        <v>0</v>
      </c>
      <c r="R884" s="2" t="inlineStr"/>
    </row>
    <row r="885" ht="15" customHeight="1">
      <c r="A885" t="inlineStr">
        <is>
          <t>A 61300-2022</t>
        </is>
      </c>
      <c r="B885" s="1" t="n">
        <v>44909</v>
      </c>
      <c r="C885" s="1" t="n">
        <v>45796</v>
      </c>
      <c r="D885" t="inlineStr">
        <is>
          <t>JÄMTLANDS LÄN</t>
        </is>
      </c>
      <c r="E885" t="inlineStr">
        <is>
          <t>HÄRJEDALEN</t>
        </is>
      </c>
      <c r="F885" t="inlineStr">
        <is>
          <t>Bergvik skog väst AB</t>
        </is>
      </c>
      <c r="G885" t="n">
        <v>14.1</v>
      </c>
      <c r="H885" t="n">
        <v>0</v>
      </c>
      <c r="I885" t="n">
        <v>0</v>
      </c>
      <c r="J885" t="n">
        <v>0</v>
      </c>
      <c r="K885" t="n">
        <v>0</v>
      </c>
      <c r="L885" t="n">
        <v>0</v>
      </c>
      <c r="M885" t="n">
        <v>0</v>
      </c>
      <c r="N885" t="n">
        <v>0</v>
      </c>
      <c r="O885" t="n">
        <v>0</v>
      </c>
      <c r="P885" t="n">
        <v>0</v>
      </c>
      <c r="Q885" t="n">
        <v>0</v>
      </c>
      <c r="R885" s="2" t="inlineStr"/>
    </row>
    <row r="886" ht="15" customHeight="1">
      <c r="A886" t="inlineStr">
        <is>
          <t>A 60236-2022</t>
        </is>
      </c>
      <c r="B886" s="1" t="n">
        <v>44910</v>
      </c>
      <c r="C886" s="1" t="n">
        <v>45796</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60542-2022</t>
        </is>
      </c>
      <c r="B887" s="1" t="n">
        <v>44911</v>
      </c>
      <c r="C887" s="1" t="n">
        <v>45796</v>
      </c>
      <c r="D887" t="inlineStr">
        <is>
          <t>JÄMTLANDS LÄN</t>
        </is>
      </c>
      <c r="E887" t="inlineStr">
        <is>
          <t>HÄRJEDALEN</t>
        </is>
      </c>
      <c r="F887" t="inlineStr">
        <is>
          <t>Bergvik skog väst AB</t>
        </is>
      </c>
      <c r="G887" t="n">
        <v>1.3</v>
      </c>
      <c r="H887" t="n">
        <v>0</v>
      </c>
      <c r="I887" t="n">
        <v>0</v>
      </c>
      <c r="J887" t="n">
        <v>0</v>
      </c>
      <c r="K887" t="n">
        <v>0</v>
      </c>
      <c r="L887" t="n">
        <v>0</v>
      </c>
      <c r="M887" t="n">
        <v>0</v>
      </c>
      <c r="N887" t="n">
        <v>0</v>
      </c>
      <c r="O887" t="n">
        <v>0</v>
      </c>
      <c r="P887" t="n">
        <v>0</v>
      </c>
      <c r="Q887" t="n">
        <v>0</v>
      </c>
      <c r="R887" s="2" t="inlineStr"/>
    </row>
    <row r="888" ht="15" customHeight="1">
      <c r="A888" t="inlineStr">
        <is>
          <t>A 60887-2022</t>
        </is>
      </c>
      <c r="B888" s="1" t="n">
        <v>44914</v>
      </c>
      <c r="C888" s="1" t="n">
        <v>45796</v>
      </c>
      <c r="D888" t="inlineStr">
        <is>
          <t>JÄMTLANDS LÄN</t>
        </is>
      </c>
      <c r="E888" t="inlineStr">
        <is>
          <t>HÄRJEDALEN</t>
        </is>
      </c>
      <c r="G888" t="n">
        <v>0.9</v>
      </c>
      <c r="H888" t="n">
        <v>0</v>
      </c>
      <c r="I888" t="n">
        <v>0</v>
      </c>
      <c r="J888" t="n">
        <v>0</v>
      </c>
      <c r="K888" t="n">
        <v>0</v>
      </c>
      <c r="L888" t="n">
        <v>0</v>
      </c>
      <c r="M888" t="n">
        <v>0</v>
      </c>
      <c r="N888" t="n">
        <v>0</v>
      </c>
      <c r="O888" t="n">
        <v>0</v>
      </c>
      <c r="P888" t="n">
        <v>0</v>
      </c>
      <c r="Q888" t="n">
        <v>0</v>
      </c>
      <c r="R888" s="2" t="inlineStr"/>
    </row>
    <row r="889" ht="15" customHeight="1">
      <c r="A889" t="inlineStr">
        <is>
          <t>A 60983-2022</t>
        </is>
      </c>
      <c r="B889" s="1" t="n">
        <v>44914</v>
      </c>
      <c r="C889" s="1" t="n">
        <v>45796</v>
      </c>
      <c r="D889" t="inlineStr">
        <is>
          <t>JÄMTLANDS LÄN</t>
        </is>
      </c>
      <c r="E889" t="inlineStr">
        <is>
          <t>HÄRJEDALEN</t>
        </is>
      </c>
      <c r="G889" t="n">
        <v>44</v>
      </c>
      <c r="H889" t="n">
        <v>0</v>
      </c>
      <c r="I889" t="n">
        <v>0</v>
      </c>
      <c r="J889" t="n">
        <v>0</v>
      </c>
      <c r="K889" t="n">
        <v>0</v>
      </c>
      <c r="L889" t="n">
        <v>0</v>
      </c>
      <c r="M889" t="n">
        <v>0</v>
      </c>
      <c r="N889" t="n">
        <v>0</v>
      </c>
      <c r="O889" t="n">
        <v>0</v>
      </c>
      <c r="P889" t="n">
        <v>0</v>
      </c>
      <c r="Q889" t="n">
        <v>0</v>
      </c>
      <c r="R889" s="2" t="inlineStr"/>
    </row>
    <row r="890" ht="15" customHeight="1">
      <c r="A890" t="inlineStr">
        <is>
          <t>A 60897-2022</t>
        </is>
      </c>
      <c r="B890" s="1" t="n">
        <v>44914</v>
      </c>
      <c r="C890" s="1" t="n">
        <v>45796</v>
      </c>
      <c r="D890" t="inlineStr">
        <is>
          <t>JÄMTLANDS LÄN</t>
        </is>
      </c>
      <c r="E890" t="inlineStr">
        <is>
          <t>HÄRJEDALEN</t>
        </is>
      </c>
      <c r="F890" t="inlineStr">
        <is>
          <t>Holmen skog AB</t>
        </is>
      </c>
      <c r="G890" t="n">
        <v>0.3</v>
      </c>
      <c r="H890" t="n">
        <v>0</v>
      </c>
      <c r="I890" t="n">
        <v>0</v>
      </c>
      <c r="J890" t="n">
        <v>0</v>
      </c>
      <c r="K890" t="n">
        <v>0</v>
      </c>
      <c r="L890" t="n">
        <v>0</v>
      </c>
      <c r="M890" t="n">
        <v>0</v>
      </c>
      <c r="N890" t="n">
        <v>0</v>
      </c>
      <c r="O890" t="n">
        <v>0</v>
      </c>
      <c r="P890" t="n">
        <v>0</v>
      </c>
      <c r="Q890" t="n">
        <v>0</v>
      </c>
      <c r="R890" s="2" t="inlineStr"/>
      <c r="U890">
        <f>HYPERLINK("https://klasma.github.io/Logging_2361/knärot/A 60897-2022 karta knärot.png", "A 60897-2022")</f>
        <v/>
      </c>
      <c r="V890">
        <f>HYPERLINK("https://klasma.github.io/Logging_2361/klagomål/A 60897-2022 FSC-klagomål.docx", "A 60897-2022")</f>
        <v/>
      </c>
      <c r="W890">
        <f>HYPERLINK("https://klasma.github.io/Logging_2361/klagomålsmail/A 60897-2022 FSC-klagomål mail.docx", "A 60897-2022")</f>
        <v/>
      </c>
      <c r="X890">
        <f>HYPERLINK("https://klasma.github.io/Logging_2361/tillsyn/A 60897-2022 tillsynsbegäran.docx", "A 60897-2022")</f>
        <v/>
      </c>
      <c r="Y890">
        <f>HYPERLINK("https://klasma.github.io/Logging_2361/tillsynsmail/A 60897-2022 tillsynsbegäran mail.docx", "A 60897-2022")</f>
        <v/>
      </c>
    </row>
    <row r="891" ht="15" customHeight="1">
      <c r="A891" t="inlineStr">
        <is>
          <t>A 60933-2022</t>
        </is>
      </c>
      <c r="B891" s="1" t="n">
        <v>44914</v>
      </c>
      <c r="C891" s="1" t="n">
        <v>45796</v>
      </c>
      <c r="D891" t="inlineStr">
        <is>
          <t>JÄMTLANDS LÄN</t>
        </is>
      </c>
      <c r="E891" t="inlineStr">
        <is>
          <t>HÄRJEDALEN</t>
        </is>
      </c>
      <c r="G891" t="n">
        <v>0.7</v>
      </c>
      <c r="H891" t="n">
        <v>0</v>
      </c>
      <c r="I891" t="n">
        <v>0</v>
      </c>
      <c r="J891" t="n">
        <v>0</v>
      </c>
      <c r="K891" t="n">
        <v>0</v>
      </c>
      <c r="L891" t="n">
        <v>0</v>
      </c>
      <c r="M891" t="n">
        <v>0</v>
      </c>
      <c r="N891" t="n">
        <v>0</v>
      </c>
      <c r="O891" t="n">
        <v>0</v>
      </c>
      <c r="P891" t="n">
        <v>0</v>
      </c>
      <c r="Q891" t="n">
        <v>0</v>
      </c>
      <c r="R891" s="2" t="inlineStr"/>
    </row>
    <row r="892" ht="15" customHeight="1">
      <c r="A892" t="inlineStr">
        <is>
          <t>A 61571-2022</t>
        </is>
      </c>
      <c r="B892" s="1" t="n">
        <v>44916</v>
      </c>
      <c r="C892" s="1" t="n">
        <v>45796</v>
      </c>
      <c r="D892" t="inlineStr">
        <is>
          <t>JÄMTLANDS LÄN</t>
        </is>
      </c>
      <c r="E892" t="inlineStr">
        <is>
          <t>HÄRJEDALEN</t>
        </is>
      </c>
      <c r="G892" t="n">
        <v>3.4</v>
      </c>
      <c r="H892" t="n">
        <v>0</v>
      </c>
      <c r="I892" t="n">
        <v>0</v>
      </c>
      <c r="J892" t="n">
        <v>0</v>
      </c>
      <c r="K892" t="n">
        <v>0</v>
      </c>
      <c r="L892" t="n">
        <v>0</v>
      </c>
      <c r="M892" t="n">
        <v>0</v>
      </c>
      <c r="N892" t="n">
        <v>0</v>
      </c>
      <c r="O892" t="n">
        <v>0</v>
      </c>
      <c r="P892" t="n">
        <v>0</v>
      </c>
      <c r="Q892" t="n">
        <v>0</v>
      </c>
      <c r="R892" s="2" t="inlineStr"/>
    </row>
    <row r="893" ht="15" customHeight="1">
      <c r="A893" t="inlineStr">
        <is>
          <t>A 62500-2022</t>
        </is>
      </c>
      <c r="B893" s="1" t="n">
        <v>44924</v>
      </c>
      <c r="C893" s="1" t="n">
        <v>45796</v>
      </c>
      <c r="D893" t="inlineStr">
        <is>
          <t>JÄMTLANDS LÄN</t>
        </is>
      </c>
      <c r="E893" t="inlineStr">
        <is>
          <t>HÄRJEDALEN</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62513-2022</t>
        </is>
      </c>
      <c r="B894" s="1" t="n">
        <v>44924</v>
      </c>
      <c r="C894" s="1" t="n">
        <v>45796</v>
      </c>
      <c r="D894" t="inlineStr">
        <is>
          <t>JÄMTLANDS LÄN</t>
        </is>
      </c>
      <c r="E894" t="inlineStr">
        <is>
          <t>HÄRJEDALEN</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62535-2022</t>
        </is>
      </c>
      <c r="B895" s="1" t="n">
        <v>44924</v>
      </c>
      <c r="C895" s="1" t="n">
        <v>45796</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62505-2022</t>
        </is>
      </c>
      <c r="B896" s="1" t="n">
        <v>44924</v>
      </c>
      <c r="C896" s="1" t="n">
        <v>45796</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62533-2022</t>
        </is>
      </c>
      <c r="B897" s="1" t="n">
        <v>44924</v>
      </c>
      <c r="C897" s="1" t="n">
        <v>45796</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62639-2022</t>
        </is>
      </c>
      <c r="B898" s="1" t="n">
        <v>44925</v>
      </c>
      <c r="C898" s="1" t="n">
        <v>45796</v>
      </c>
      <c r="D898" t="inlineStr">
        <is>
          <t>JÄMTLANDS LÄN</t>
        </is>
      </c>
      <c r="E898" t="inlineStr">
        <is>
          <t>HÄRJEDALEN</t>
        </is>
      </c>
      <c r="G898" t="n">
        <v>4.3</v>
      </c>
      <c r="H898" t="n">
        <v>0</v>
      </c>
      <c r="I898" t="n">
        <v>0</v>
      </c>
      <c r="J898" t="n">
        <v>0</v>
      </c>
      <c r="K898" t="n">
        <v>0</v>
      </c>
      <c r="L898" t="n">
        <v>0</v>
      </c>
      <c r="M898" t="n">
        <v>0</v>
      </c>
      <c r="N898" t="n">
        <v>0</v>
      </c>
      <c r="O898" t="n">
        <v>0</v>
      </c>
      <c r="P898" t="n">
        <v>0</v>
      </c>
      <c r="Q898" t="n">
        <v>0</v>
      </c>
      <c r="R898" s="2" t="inlineStr"/>
    </row>
    <row r="899" ht="15" customHeight="1">
      <c r="A899" t="inlineStr">
        <is>
          <t>A 62696-2022</t>
        </is>
      </c>
      <c r="B899" s="1" t="n">
        <v>44925</v>
      </c>
      <c r="C899" s="1" t="n">
        <v>45796</v>
      </c>
      <c r="D899" t="inlineStr">
        <is>
          <t>JÄMTLANDS LÄN</t>
        </is>
      </c>
      <c r="E899" t="inlineStr">
        <is>
          <t>HÄRJEDALEN</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62702-2022</t>
        </is>
      </c>
      <c r="B900" s="1" t="n">
        <v>44925</v>
      </c>
      <c r="C900" s="1" t="n">
        <v>45796</v>
      </c>
      <c r="D900" t="inlineStr">
        <is>
          <t>JÄMTLANDS LÄN</t>
        </is>
      </c>
      <c r="E900" t="inlineStr">
        <is>
          <t>HÄRJEDALEN</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62719-2022</t>
        </is>
      </c>
      <c r="B901" s="1" t="n">
        <v>44925</v>
      </c>
      <c r="C901" s="1" t="n">
        <v>45796</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62724-2022</t>
        </is>
      </c>
      <c r="B902" s="1" t="n">
        <v>44925</v>
      </c>
      <c r="C902" s="1" t="n">
        <v>45796</v>
      </c>
      <c r="D902" t="inlineStr">
        <is>
          <t>JÄMTLANDS LÄN</t>
        </is>
      </c>
      <c r="E902" t="inlineStr">
        <is>
          <t>HÄRJEDALEN</t>
        </is>
      </c>
      <c r="F902" t="inlineStr">
        <is>
          <t>Holmen skog AB</t>
        </is>
      </c>
      <c r="G902" t="n">
        <v>0.9</v>
      </c>
      <c r="H902" t="n">
        <v>0</v>
      </c>
      <c r="I902" t="n">
        <v>0</v>
      </c>
      <c r="J902" t="n">
        <v>0</v>
      </c>
      <c r="K902" t="n">
        <v>0</v>
      </c>
      <c r="L902" t="n">
        <v>0</v>
      </c>
      <c r="M902" t="n">
        <v>0</v>
      </c>
      <c r="N902" t="n">
        <v>0</v>
      </c>
      <c r="O902" t="n">
        <v>0</v>
      </c>
      <c r="P902" t="n">
        <v>0</v>
      </c>
      <c r="Q902" t="n">
        <v>0</v>
      </c>
      <c r="R902" s="2" t="inlineStr"/>
    </row>
    <row r="903" ht="15" customHeight="1">
      <c r="A903" t="inlineStr">
        <is>
          <t>A 62599-2022</t>
        </is>
      </c>
      <c r="B903" s="1" t="n">
        <v>44925</v>
      </c>
      <c r="C903" s="1" t="n">
        <v>45796</v>
      </c>
      <c r="D903" t="inlineStr">
        <is>
          <t>JÄMTLANDS LÄN</t>
        </is>
      </c>
      <c r="E903" t="inlineStr">
        <is>
          <t>HÄRJEDALEN</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62641-2022</t>
        </is>
      </c>
      <c r="B904" s="1" t="n">
        <v>44925</v>
      </c>
      <c r="C904" s="1" t="n">
        <v>45796</v>
      </c>
      <c r="D904" t="inlineStr">
        <is>
          <t>JÄMTLANDS LÄN</t>
        </is>
      </c>
      <c r="E904" t="inlineStr">
        <is>
          <t>HÄRJEDALEN</t>
        </is>
      </c>
      <c r="G904" t="n">
        <v>2.7</v>
      </c>
      <c r="H904" t="n">
        <v>0</v>
      </c>
      <c r="I904" t="n">
        <v>0</v>
      </c>
      <c r="J904" t="n">
        <v>0</v>
      </c>
      <c r="K904" t="n">
        <v>0</v>
      </c>
      <c r="L904" t="n">
        <v>0</v>
      </c>
      <c r="M904" t="n">
        <v>0</v>
      </c>
      <c r="N904" t="n">
        <v>0</v>
      </c>
      <c r="O904" t="n">
        <v>0</v>
      </c>
      <c r="P904" t="n">
        <v>0</v>
      </c>
      <c r="Q904" t="n">
        <v>0</v>
      </c>
      <c r="R904" s="2" t="inlineStr"/>
    </row>
    <row r="905" ht="15" customHeight="1">
      <c r="A905" t="inlineStr">
        <is>
          <t>A 62591-2022</t>
        </is>
      </c>
      <c r="B905" s="1" t="n">
        <v>44925</v>
      </c>
      <c r="C905" s="1" t="n">
        <v>45796</v>
      </c>
      <c r="D905" t="inlineStr">
        <is>
          <t>JÄMTLANDS LÄN</t>
        </is>
      </c>
      <c r="E905" t="inlineStr">
        <is>
          <t>HÄRJEDALEN</t>
        </is>
      </c>
      <c r="G905" t="n">
        <v>32.7</v>
      </c>
      <c r="H905" t="n">
        <v>0</v>
      </c>
      <c r="I905" t="n">
        <v>0</v>
      </c>
      <c r="J905" t="n">
        <v>0</v>
      </c>
      <c r="K905" t="n">
        <v>0</v>
      </c>
      <c r="L905" t="n">
        <v>0</v>
      </c>
      <c r="M905" t="n">
        <v>0</v>
      </c>
      <c r="N905" t="n">
        <v>0</v>
      </c>
      <c r="O905" t="n">
        <v>0</v>
      </c>
      <c r="P905" t="n">
        <v>0</v>
      </c>
      <c r="Q905" t="n">
        <v>0</v>
      </c>
      <c r="R905" s="2" t="inlineStr"/>
    </row>
    <row r="906" ht="15" customHeight="1">
      <c r="A906" t="inlineStr">
        <is>
          <t>A 62653-2022</t>
        </is>
      </c>
      <c r="B906" s="1" t="n">
        <v>44925</v>
      </c>
      <c r="C906" s="1" t="n">
        <v>45796</v>
      </c>
      <c r="D906" t="inlineStr">
        <is>
          <t>JÄMTLANDS LÄN</t>
        </is>
      </c>
      <c r="E906" t="inlineStr">
        <is>
          <t>HÄRJEDALEN</t>
        </is>
      </c>
      <c r="G906" t="n">
        <v>3.8</v>
      </c>
      <c r="H906" t="n">
        <v>0</v>
      </c>
      <c r="I906" t="n">
        <v>0</v>
      </c>
      <c r="J906" t="n">
        <v>0</v>
      </c>
      <c r="K906" t="n">
        <v>0</v>
      </c>
      <c r="L906" t="n">
        <v>0</v>
      </c>
      <c r="M906" t="n">
        <v>0</v>
      </c>
      <c r="N906" t="n">
        <v>0</v>
      </c>
      <c r="O906" t="n">
        <v>0</v>
      </c>
      <c r="P906" t="n">
        <v>0</v>
      </c>
      <c r="Q906" t="n">
        <v>0</v>
      </c>
      <c r="R906" s="2" t="inlineStr"/>
    </row>
    <row r="907" ht="15" customHeight="1">
      <c r="A907" t="inlineStr">
        <is>
          <t>A 62687-2022</t>
        </is>
      </c>
      <c r="B907" s="1" t="n">
        <v>44925</v>
      </c>
      <c r="C907" s="1" t="n">
        <v>45796</v>
      </c>
      <c r="D907" t="inlineStr">
        <is>
          <t>JÄMTLANDS LÄN</t>
        </is>
      </c>
      <c r="E907" t="inlineStr">
        <is>
          <t>HÄRJEDALEN</t>
        </is>
      </c>
      <c r="F907" t="inlineStr">
        <is>
          <t>Holmen skog AB</t>
        </is>
      </c>
      <c r="G907" t="n">
        <v>5.7</v>
      </c>
      <c r="H907" t="n">
        <v>0</v>
      </c>
      <c r="I907" t="n">
        <v>0</v>
      </c>
      <c r="J907" t="n">
        <v>0</v>
      </c>
      <c r="K907" t="n">
        <v>0</v>
      </c>
      <c r="L907" t="n">
        <v>0</v>
      </c>
      <c r="M907" t="n">
        <v>0</v>
      </c>
      <c r="N907" t="n">
        <v>0</v>
      </c>
      <c r="O907" t="n">
        <v>0</v>
      </c>
      <c r="P907" t="n">
        <v>0</v>
      </c>
      <c r="Q907" t="n">
        <v>0</v>
      </c>
      <c r="R907" s="2" t="inlineStr"/>
    </row>
    <row r="908" ht="15" customHeight="1">
      <c r="A908" t="inlineStr">
        <is>
          <t>A 62694-2022</t>
        </is>
      </c>
      <c r="B908" s="1" t="n">
        <v>44925</v>
      </c>
      <c r="C908" s="1" t="n">
        <v>45796</v>
      </c>
      <c r="D908" t="inlineStr">
        <is>
          <t>JÄMTLANDS LÄN</t>
        </is>
      </c>
      <c r="E908" t="inlineStr">
        <is>
          <t>HÄRJEDALEN</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62708-2022</t>
        </is>
      </c>
      <c r="B909" s="1" t="n">
        <v>44925</v>
      </c>
      <c r="C909" s="1" t="n">
        <v>45796</v>
      </c>
      <c r="D909" t="inlineStr">
        <is>
          <t>JÄMTLANDS LÄN</t>
        </is>
      </c>
      <c r="E909" t="inlineStr">
        <is>
          <t>HÄRJEDALEN</t>
        </is>
      </c>
      <c r="F909" t="inlineStr">
        <is>
          <t>Holmen skog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62590-2022</t>
        </is>
      </c>
      <c r="B910" s="1" t="n">
        <v>44925</v>
      </c>
      <c r="C910" s="1" t="n">
        <v>45796</v>
      </c>
      <c r="D910" t="inlineStr">
        <is>
          <t>JÄMTLANDS LÄN</t>
        </is>
      </c>
      <c r="E910" t="inlineStr">
        <is>
          <t>HÄRJEDALEN</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62684-2022</t>
        </is>
      </c>
      <c r="B911" s="1" t="n">
        <v>44925</v>
      </c>
      <c r="C911" s="1" t="n">
        <v>45796</v>
      </c>
      <c r="D911" t="inlineStr">
        <is>
          <t>JÄMTLANDS LÄN</t>
        </is>
      </c>
      <c r="E911" t="inlineStr">
        <is>
          <t>HÄRJEDALEN</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62699-2022</t>
        </is>
      </c>
      <c r="B912" s="1" t="n">
        <v>44925</v>
      </c>
      <c r="C912" s="1" t="n">
        <v>45796</v>
      </c>
      <c r="D912" t="inlineStr">
        <is>
          <t>JÄMTLANDS LÄN</t>
        </is>
      </c>
      <c r="E912" t="inlineStr">
        <is>
          <t>HÄRJEDALEN</t>
        </is>
      </c>
      <c r="F912" t="inlineStr">
        <is>
          <t>Holmen skog AB</t>
        </is>
      </c>
      <c r="G912" t="n">
        <v>5</v>
      </c>
      <c r="H912" t="n">
        <v>0</v>
      </c>
      <c r="I912" t="n">
        <v>0</v>
      </c>
      <c r="J912" t="n">
        <v>0</v>
      </c>
      <c r="K912" t="n">
        <v>0</v>
      </c>
      <c r="L912" t="n">
        <v>0</v>
      </c>
      <c r="M912" t="n">
        <v>0</v>
      </c>
      <c r="N912" t="n">
        <v>0</v>
      </c>
      <c r="O912" t="n">
        <v>0</v>
      </c>
      <c r="P912" t="n">
        <v>0</v>
      </c>
      <c r="Q912" t="n">
        <v>0</v>
      </c>
      <c r="R912" s="2" t="inlineStr"/>
    </row>
    <row r="913" ht="15" customHeight="1">
      <c r="A913" t="inlineStr">
        <is>
          <t>A 62706-2022</t>
        </is>
      </c>
      <c r="B913" s="1" t="n">
        <v>44925</v>
      </c>
      <c r="C913" s="1" t="n">
        <v>45796</v>
      </c>
      <c r="D913" t="inlineStr">
        <is>
          <t>JÄMTLANDS LÄN</t>
        </is>
      </c>
      <c r="E913" t="inlineStr">
        <is>
          <t>HÄRJEDALEN</t>
        </is>
      </c>
      <c r="F913" t="inlineStr">
        <is>
          <t>Holmen skog AB</t>
        </is>
      </c>
      <c r="G913" t="n">
        <v>2.8</v>
      </c>
      <c r="H913" t="n">
        <v>0</v>
      </c>
      <c r="I913" t="n">
        <v>0</v>
      </c>
      <c r="J913" t="n">
        <v>0</v>
      </c>
      <c r="K913" t="n">
        <v>0</v>
      </c>
      <c r="L913" t="n">
        <v>0</v>
      </c>
      <c r="M913" t="n">
        <v>0</v>
      </c>
      <c r="N913" t="n">
        <v>0</v>
      </c>
      <c r="O913" t="n">
        <v>0</v>
      </c>
      <c r="P913" t="n">
        <v>0</v>
      </c>
      <c r="Q913" t="n">
        <v>0</v>
      </c>
      <c r="R913" s="2" t="inlineStr"/>
    </row>
    <row r="914" ht="15" customHeight="1">
      <c r="A914" t="inlineStr">
        <is>
          <t>A 62721-2022</t>
        </is>
      </c>
      <c r="B914" s="1" t="n">
        <v>44925</v>
      </c>
      <c r="C914" s="1" t="n">
        <v>45796</v>
      </c>
      <c r="D914" t="inlineStr">
        <is>
          <t>JÄMTLANDS LÄN</t>
        </is>
      </c>
      <c r="E914" t="inlineStr">
        <is>
          <t>HÄRJEDALEN</t>
        </is>
      </c>
      <c r="F914" t="inlineStr">
        <is>
          <t>Holmen skog AB</t>
        </is>
      </c>
      <c r="G914" t="n">
        <v>2</v>
      </c>
      <c r="H914" t="n">
        <v>0</v>
      </c>
      <c r="I914" t="n">
        <v>0</v>
      </c>
      <c r="J914" t="n">
        <v>0</v>
      </c>
      <c r="K914" t="n">
        <v>0</v>
      </c>
      <c r="L914" t="n">
        <v>0</v>
      </c>
      <c r="M914" t="n">
        <v>0</v>
      </c>
      <c r="N914" t="n">
        <v>0</v>
      </c>
      <c r="O914" t="n">
        <v>0</v>
      </c>
      <c r="P914" t="n">
        <v>0</v>
      </c>
      <c r="Q914" t="n">
        <v>0</v>
      </c>
      <c r="R914" s="2" t="inlineStr"/>
    </row>
    <row r="915" ht="15" customHeight="1">
      <c r="A915" t="inlineStr">
        <is>
          <t>A 105-2023</t>
        </is>
      </c>
      <c r="B915" s="1" t="n">
        <v>44928</v>
      </c>
      <c r="C915" s="1" t="n">
        <v>45796</v>
      </c>
      <c r="D915" t="inlineStr">
        <is>
          <t>JÄMTLANDS LÄN</t>
        </is>
      </c>
      <c r="E915" t="inlineStr">
        <is>
          <t>HÄRJEDALEN</t>
        </is>
      </c>
      <c r="F915" t="inlineStr">
        <is>
          <t>Holmen skog AB</t>
        </is>
      </c>
      <c r="G915" t="n">
        <v>17.5</v>
      </c>
      <c r="H915" t="n">
        <v>0</v>
      </c>
      <c r="I915" t="n">
        <v>0</v>
      </c>
      <c r="J915" t="n">
        <v>0</v>
      </c>
      <c r="K915" t="n">
        <v>0</v>
      </c>
      <c r="L915" t="n">
        <v>0</v>
      </c>
      <c r="M915" t="n">
        <v>0</v>
      </c>
      <c r="N915" t="n">
        <v>0</v>
      </c>
      <c r="O915" t="n">
        <v>0</v>
      </c>
      <c r="P915" t="n">
        <v>0</v>
      </c>
      <c r="Q915" t="n">
        <v>0</v>
      </c>
      <c r="R915" s="2" t="inlineStr"/>
    </row>
    <row r="916" ht="15" customHeight="1">
      <c r="A916" t="inlineStr">
        <is>
          <t>A 29-2023</t>
        </is>
      </c>
      <c r="B916" s="1" t="n">
        <v>44928</v>
      </c>
      <c r="C916" s="1" t="n">
        <v>45796</v>
      </c>
      <c r="D916" t="inlineStr">
        <is>
          <t>JÄMTLANDS LÄN</t>
        </is>
      </c>
      <c r="E916" t="inlineStr">
        <is>
          <t>HÄRJEDALEN</t>
        </is>
      </c>
      <c r="F916" t="inlineStr">
        <is>
          <t>Holmen skog AB</t>
        </is>
      </c>
      <c r="G916" t="n">
        <v>18</v>
      </c>
      <c r="H916" t="n">
        <v>0</v>
      </c>
      <c r="I916" t="n">
        <v>0</v>
      </c>
      <c r="J916" t="n">
        <v>0</v>
      </c>
      <c r="K916" t="n">
        <v>0</v>
      </c>
      <c r="L916" t="n">
        <v>0</v>
      </c>
      <c r="M916" t="n">
        <v>0</v>
      </c>
      <c r="N916" t="n">
        <v>0</v>
      </c>
      <c r="O916" t="n">
        <v>0</v>
      </c>
      <c r="P916" t="n">
        <v>0</v>
      </c>
      <c r="Q916" t="n">
        <v>0</v>
      </c>
      <c r="R916" s="2" t="inlineStr"/>
    </row>
    <row r="917" ht="15" customHeight="1">
      <c r="A917" t="inlineStr">
        <is>
          <t>A 35-2023</t>
        </is>
      </c>
      <c r="B917" s="1" t="n">
        <v>44928</v>
      </c>
      <c r="C917" s="1" t="n">
        <v>45796</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78-2023</t>
        </is>
      </c>
      <c r="B918" s="1" t="n">
        <v>44928</v>
      </c>
      <c r="C918" s="1" t="n">
        <v>45796</v>
      </c>
      <c r="D918" t="inlineStr">
        <is>
          <t>JÄMTLANDS LÄN</t>
        </is>
      </c>
      <c r="E918" t="inlineStr">
        <is>
          <t>HÄRJEDALEN</t>
        </is>
      </c>
      <c r="F918" t="inlineStr">
        <is>
          <t>Holmen skog AB</t>
        </is>
      </c>
      <c r="G918" t="n">
        <v>3.1</v>
      </c>
      <c r="H918" t="n">
        <v>0</v>
      </c>
      <c r="I918" t="n">
        <v>0</v>
      </c>
      <c r="J918" t="n">
        <v>0</v>
      </c>
      <c r="K918" t="n">
        <v>0</v>
      </c>
      <c r="L918" t="n">
        <v>0</v>
      </c>
      <c r="M918" t="n">
        <v>0</v>
      </c>
      <c r="N918" t="n">
        <v>0</v>
      </c>
      <c r="O918" t="n">
        <v>0</v>
      </c>
      <c r="P918" t="n">
        <v>0</v>
      </c>
      <c r="Q918" t="n">
        <v>0</v>
      </c>
      <c r="R918" s="2" t="inlineStr"/>
    </row>
    <row r="919" ht="15" customHeight="1">
      <c r="A919" t="inlineStr">
        <is>
          <t>A 103-2023</t>
        </is>
      </c>
      <c r="B919" s="1" t="n">
        <v>44928</v>
      </c>
      <c r="C919" s="1" t="n">
        <v>45796</v>
      </c>
      <c r="D919" t="inlineStr">
        <is>
          <t>JÄMTLANDS LÄN</t>
        </is>
      </c>
      <c r="E919" t="inlineStr">
        <is>
          <t>HÄRJEDALEN</t>
        </is>
      </c>
      <c r="F919" t="inlineStr">
        <is>
          <t>Holmen skog AB</t>
        </is>
      </c>
      <c r="G919" t="n">
        <v>6.9</v>
      </c>
      <c r="H919" t="n">
        <v>0</v>
      </c>
      <c r="I919" t="n">
        <v>0</v>
      </c>
      <c r="J919" t="n">
        <v>0</v>
      </c>
      <c r="K919" t="n">
        <v>0</v>
      </c>
      <c r="L919" t="n">
        <v>0</v>
      </c>
      <c r="M919" t="n">
        <v>0</v>
      </c>
      <c r="N919" t="n">
        <v>0</v>
      </c>
      <c r="O919" t="n">
        <v>0</v>
      </c>
      <c r="P919" t="n">
        <v>0</v>
      </c>
      <c r="Q919" t="n">
        <v>0</v>
      </c>
      <c r="R919" s="2" t="inlineStr"/>
    </row>
    <row r="920" ht="15" customHeight="1">
      <c r="A920" t="inlineStr">
        <is>
          <t>A 166-2023</t>
        </is>
      </c>
      <c r="B920" s="1" t="n">
        <v>44928</v>
      </c>
      <c r="C920" s="1" t="n">
        <v>45796</v>
      </c>
      <c r="D920" t="inlineStr">
        <is>
          <t>JÄMTLANDS LÄN</t>
        </is>
      </c>
      <c r="E920" t="inlineStr">
        <is>
          <t>HÄRJEDALEN</t>
        </is>
      </c>
      <c r="F920" t="inlineStr">
        <is>
          <t>Holmen skog AB</t>
        </is>
      </c>
      <c r="G920" t="n">
        <v>13.5</v>
      </c>
      <c r="H920" t="n">
        <v>0</v>
      </c>
      <c r="I920" t="n">
        <v>0</v>
      </c>
      <c r="J920" t="n">
        <v>0</v>
      </c>
      <c r="K920" t="n">
        <v>0</v>
      </c>
      <c r="L920" t="n">
        <v>0</v>
      </c>
      <c r="M920" t="n">
        <v>0</v>
      </c>
      <c r="N920" t="n">
        <v>0</v>
      </c>
      <c r="O920" t="n">
        <v>0</v>
      </c>
      <c r="P920" t="n">
        <v>0</v>
      </c>
      <c r="Q920" t="n">
        <v>0</v>
      </c>
      <c r="R920" s="2" t="inlineStr"/>
    </row>
    <row r="921" ht="15" customHeight="1">
      <c r="A921" t="inlineStr">
        <is>
          <t>A 176-2023</t>
        </is>
      </c>
      <c r="B921" s="1" t="n">
        <v>44928</v>
      </c>
      <c r="C921" s="1" t="n">
        <v>45796</v>
      </c>
      <c r="D921" t="inlineStr">
        <is>
          <t>JÄMTLANDS LÄN</t>
        </is>
      </c>
      <c r="E921" t="inlineStr">
        <is>
          <t>HÄRJEDALEN</t>
        </is>
      </c>
      <c r="F921" t="inlineStr">
        <is>
          <t>Holmen skog AB</t>
        </is>
      </c>
      <c r="G921" t="n">
        <v>5.9</v>
      </c>
      <c r="H921" t="n">
        <v>0</v>
      </c>
      <c r="I921" t="n">
        <v>0</v>
      </c>
      <c r="J921" t="n">
        <v>0</v>
      </c>
      <c r="K921" t="n">
        <v>0</v>
      </c>
      <c r="L921" t="n">
        <v>0</v>
      </c>
      <c r="M921" t="n">
        <v>0</v>
      </c>
      <c r="N921" t="n">
        <v>0</v>
      </c>
      <c r="O921" t="n">
        <v>0</v>
      </c>
      <c r="P921" t="n">
        <v>0</v>
      </c>
      <c r="Q921" t="n">
        <v>0</v>
      </c>
      <c r="R921" s="2" t="inlineStr"/>
    </row>
    <row r="922" ht="15" customHeight="1">
      <c r="A922" t="inlineStr">
        <is>
          <t>A 171-2023</t>
        </is>
      </c>
      <c r="B922" s="1" t="n">
        <v>44928</v>
      </c>
      <c r="C922" s="1" t="n">
        <v>45796</v>
      </c>
      <c r="D922" t="inlineStr">
        <is>
          <t>JÄMTLANDS LÄN</t>
        </is>
      </c>
      <c r="E922" t="inlineStr">
        <is>
          <t>HÄRJEDALEN</t>
        </is>
      </c>
      <c r="F922" t="inlineStr">
        <is>
          <t>Holmen skog AB</t>
        </is>
      </c>
      <c r="G922" t="n">
        <v>5.7</v>
      </c>
      <c r="H922" t="n">
        <v>0</v>
      </c>
      <c r="I922" t="n">
        <v>0</v>
      </c>
      <c r="J922" t="n">
        <v>0</v>
      </c>
      <c r="K922" t="n">
        <v>0</v>
      </c>
      <c r="L922" t="n">
        <v>0</v>
      </c>
      <c r="M922" t="n">
        <v>0</v>
      </c>
      <c r="N922" t="n">
        <v>0</v>
      </c>
      <c r="O922" t="n">
        <v>0</v>
      </c>
      <c r="P922" t="n">
        <v>0</v>
      </c>
      <c r="Q922" t="n">
        <v>0</v>
      </c>
      <c r="R922" s="2" t="inlineStr"/>
    </row>
    <row r="923" ht="15" customHeight="1">
      <c r="A923" t="inlineStr">
        <is>
          <t>A 1907-2023</t>
        </is>
      </c>
      <c r="B923" s="1" t="n">
        <v>44939</v>
      </c>
      <c r="C923" s="1" t="n">
        <v>45796</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1954-2023</t>
        </is>
      </c>
      <c r="B924" s="1" t="n">
        <v>44939</v>
      </c>
      <c r="C924" s="1" t="n">
        <v>45796</v>
      </c>
      <c r="D924" t="inlineStr">
        <is>
          <t>JÄMTLANDS LÄN</t>
        </is>
      </c>
      <c r="E924" t="inlineStr">
        <is>
          <t>HÄRJEDALEN</t>
        </is>
      </c>
      <c r="G924" t="n">
        <v>0.6</v>
      </c>
      <c r="H924" t="n">
        <v>0</v>
      </c>
      <c r="I924" t="n">
        <v>0</v>
      </c>
      <c r="J924" t="n">
        <v>0</v>
      </c>
      <c r="K924" t="n">
        <v>0</v>
      </c>
      <c r="L924" t="n">
        <v>0</v>
      </c>
      <c r="M924" t="n">
        <v>0</v>
      </c>
      <c r="N924" t="n">
        <v>0</v>
      </c>
      <c r="O924" t="n">
        <v>0</v>
      </c>
      <c r="P924" t="n">
        <v>0</v>
      </c>
      <c r="Q924" t="n">
        <v>0</v>
      </c>
      <c r="R924" s="2" t="inlineStr"/>
    </row>
    <row r="925" ht="15" customHeight="1">
      <c r="A925" t="inlineStr">
        <is>
          <t>A 4196-2023</t>
        </is>
      </c>
      <c r="B925" s="1" t="n">
        <v>44953</v>
      </c>
      <c r="C925" s="1" t="n">
        <v>45796</v>
      </c>
      <c r="D925" t="inlineStr">
        <is>
          <t>JÄMTLANDS LÄN</t>
        </is>
      </c>
      <c r="E925" t="inlineStr">
        <is>
          <t>HÄRJEDALEN</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4694-2023</t>
        </is>
      </c>
      <c r="B926" s="1" t="n">
        <v>44957</v>
      </c>
      <c r="C926" s="1" t="n">
        <v>45796</v>
      </c>
      <c r="D926" t="inlineStr">
        <is>
          <t>JÄMTLANDS LÄN</t>
        </is>
      </c>
      <c r="E926" t="inlineStr">
        <is>
          <t>HÄRJEDALEN</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4712-2023</t>
        </is>
      </c>
      <c r="B927" s="1" t="n">
        <v>44957</v>
      </c>
      <c r="C927" s="1" t="n">
        <v>45796</v>
      </c>
      <c r="D927" t="inlineStr">
        <is>
          <t>JÄMTLANDS LÄN</t>
        </is>
      </c>
      <c r="E927" t="inlineStr">
        <is>
          <t>HÄRJEDALEN</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4711-2023</t>
        </is>
      </c>
      <c r="B928" s="1" t="n">
        <v>44957</v>
      </c>
      <c r="C928" s="1" t="n">
        <v>45796</v>
      </c>
      <c r="D928" t="inlineStr">
        <is>
          <t>JÄMTLANDS LÄN</t>
        </is>
      </c>
      <c r="E928" t="inlineStr">
        <is>
          <t>HÄRJEDALEN</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4782-2023</t>
        </is>
      </c>
      <c r="B929" s="1" t="n">
        <v>44957</v>
      </c>
      <c r="C929" s="1" t="n">
        <v>45796</v>
      </c>
      <c r="D929" t="inlineStr">
        <is>
          <t>JÄMTLANDS LÄN</t>
        </is>
      </c>
      <c r="E929" t="inlineStr">
        <is>
          <t>HÄRJEDALEN</t>
        </is>
      </c>
      <c r="F929" t="inlineStr">
        <is>
          <t>Holmen skog AB</t>
        </is>
      </c>
      <c r="G929" t="n">
        <v>3.8</v>
      </c>
      <c r="H929" t="n">
        <v>0</v>
      </c>
      <c r="I929" t="n">
        <v>0</v>
      </c>
      <c r="J929" t="n">
        <v>0</v>
      </c>
      <c r="K929" t="n">
        <v>0</v>
      </c>
      <c r="L929" t="n">
        <v>0</v>
      </c>
      <c r="M929" t="n">
        <v>0</v>
      </c>
      <c r="N929" t="n">
        <v>0</v>
      </c>
      <c r="O929" t="n">
        <v>0</v>
      </c>
      <c r="P929" t="n">
        <v>0</v>
      </c>
      <c r="Q929" t="n">
        <v>0</v>
      </c>
      <c r="R929" s="2" t="inlineStr"/>
    </row>
    <row r="930" ht="15" customHeight="1">
      <c r="A930" t="inlineStr">
        <is>
          <t>A 5013-2023</t>
        </is>
      </c>
      <c r="B930" s="1" t="n">
        <v>44958</v>
      </c>
      <c r="C930" s="1" t="n">
        <v>45796</v>
      </c>
      <c r="D930" t="inlineStr">
        <is>
          <t>JÄMTLANDS LÄN</t>
        </is>
      </c>
      <c r="E930" t="inlineStr">
        <is>
          <t>HÄRJEDALEN</t>
        </is>
      </c>
      <c r="F930" t="inlineStr">
        <is>
          <t>Bergvik skog väst AB</t>
        </is>
      </c>
      <c r="G930" t="n">
        <v>0.2</v>
      </c>
      <c r="H930" t="n">
        <v>0</v>
      </c>
      <c r="I930" t="n">
        <v>0</v>
      </c>
      <c r="J930" t="n">
        <v>0</v>
      </c>
      <c r="K930" t="n">
        <v>0</v>
      </c>
      <c r="L930" t="n">
        <v>0</v>
      </c>
      <c r="M930" t="n">
        <v>0</v>
      </c>
      <c r="N930" t="n">
        <v>0</v>
      </c>
      <c r="O930" t="n">
        <v>0</v>
      </c>
      <c r="P930" t="n">
        <v>0</v>
      </c>
      <c r="Q930" t="n">
        <v>0</v>
      </c>
      <c r="R930" s="2" t="inlineStr"/>
    </row>
    <row r="931" ht="15" customHeight="1">
      <c r="A931" t="inlineStr">
        <is>
          <t>A 5640-2023</t>
        </is>
      </c>
      <c r="B931" s="1" t="n">
        <v>44960</v>
      </c>
      <c r="C931" s="1" t="n">
        <v>45796</v>
      </c>
      <c r="D931" t="inlineStr">
        <is>
          <t>JÄMTLANDS LÄN</t>
        </is>
      </c>
      <c r="E931" t="inlineStr">
        <is>
          <t>HÄRJEDALEN</t>
        </is>
      </c>
      <c r="G931" t="n">
        <v>8.4</v>
      </c>
      <c r="H931" t="n">
        <v>0</v>
      </c>
      <c r="I931" t="n">
        <v>0</v>
      </c>
      <c r="J931" t="n">
        <v>0</v>
      </c>
      <c r="K931" t="n">
        <v>0</v>
      </c>
      <c r="L931" t="n">
        <v>0</v>
      </c>
      <c r="M931" t="n">
        <v>0</v>
      </c>
      <c r="N931" t="n">
        <v>0</v>
      </c>
      <c r="O931" t="n">
        <v>0</v>
      </c>
      <c r="P931" t="n">
        <v>0</v>
      </c>
      <c r="Q931" t="n">
        <v>0</v>
      </c>
      <c r="R931" s="2" t="inlineStr"/>
    </row>
    <row r="932" ht="15" customHeight="1">
      <c r="A932" t="inlineStr">
        <is>
          <t>A 6001-2023</t>
        </is>
      </c>
      <c r="B932" s="1" t="n">
        <v>44964</v>
      </c>
      <c r="C932" s="1" t="n">
        <v>45796</v>
      </c>
      <c r="D932" t="inlineStr">
        <is>
          <t>JÄMTLANDS LÄN</t>
        </is>
      </c>
      <c r="E932" t="inlineStr">
        <is>
          <t>HÄRJEDALEN</t>
        </is>
      </c>
      <c r="G932" t="n">
        <v>1.3</v>
      </c>
      <c r="H932" t="n">
        <v>0</v>
      </c>
      <c r="I932" t="n">
        <v>0</v>
      </c>
      <c r="J932" t="n">
        <v>0</v>
      </c>
      <c r="K932" t="n">
        <v>0</v>
      </c>
      <c r="L932" t="n">
        <v>0</v>
      </c>
      <c r="M932" t="n">
        <v>0</v>
      </c>
      <c r="N932" t="n">
        <v>0</v>
      </c>
      <c r="O932" t="n">
        <v>0</v>
      </c>
      <c r="P932" t="n">
        <v>0</v>
      </c>
      <c r="Q932" t="n">
        <v>0</v>
      </c>
      <c r="R932" s="2" t="inlineStr"/>
    </row>
    <row r="933" ht="15" customHeight="1">
      <c r="A933" t="inlineStr">
        <is>
          <t>A 6124-2023</t>
        </is>
      </c>
      <c r="B933" s="1" t="n">
        <v>44964</v>
      </c>
      <c r="C933" s="1" t="n">
        <v>45796</v>
      </c>
      <c r="D933" t="inlineStr">
        <is>
          <t>JÄMTLANDS LÄN</t>
        </is>
      </c>
      <c r="E933" t="inlineStr">
        <is>
          <t>HÄRJEDALEN</t>
        </is>
      </c>
      <c r="G933" t="n">
        <v>20</v>
      </c>
      <c r="H933" t="n">
        <v>0</v>
      </c>
      <c r="I933" t="n">
        <v>0</v>
      </c>
      <c r="J933" t="n">
        <v>0</v>
      </c>
      <c r="K933" t="n">
        <v>0</v>
      </c>
      <c r="L933" t="n">
        <v>0</v>
      </c>
      <c r="M933" t="n">
        <v>0</v>
      </c>
      <c r="N933" t="n">
        <v>0</v>
      </c>
      <c r="O933" t="n">
        <v>0</v>
      </c>
      <c r="P933" t="n">
        <v>0</v>
      </c>
      <c r="Q933" t="n">
        <v>0</v>
      </c>
      <c r="R933" s="2" t="inlineStr"/>
    </row>
    <row r="934" ht="15" customHeight="1">
      <c r="A934" t="inlineStr">
        <is>
          <t>A 7636-2023</t>
        </is>
      </c>
      <c r="B934" s="1" t="n">
        <v>44972</v>
      </c>
      <c r="C934" s="1" t="n">
        <v>45796</v>
      </c>
      <c r="D934" t="inlineStr">
        <is>
          <t>JÄMTLANDS LÄN</t>
        </is>
      </c>
      <c r="E934" t="inlineStr">
        <is>
          <t>HÄRJEDALEN</t>
        </is>
      </c>
      <c r="G934" t="n">
        <v>1.5</v>
      </c>
      <c r="H934" t="n">
        <v>0</v>
      </c>
      <c r="I934" t="n">
        <v>0</v>
      </c>
      <c r="J934" t="n">
        <v>0</v>
      </c>
      <c r="K934" t="n">
        <v>0</v>
      </c>
      <c r="L934" t="n">
        <v>0</v>
      </c>
      <c r="M934" t="n">
        <v>0</v>
      </c>
      <c r="N934" t="n">
        <v>0</v>
      </c>
      <c r="O934" t="n">
        <v>0</v>
      </c>
      <c r="P934" t="n">
        <v>0</v>
      </c>
      <c r="Q934" t="n">
        <v>0</v>
      </c>
      <c r="R934" s="2" t="inlineStr"/>
    </row>
    <row r="935" ht="15" customHeight="1">
      <c r="A935" t="inlineStr">
        <is>
          <t>A 8365-2023</t>
        </is>
      </c>
      <c r="B935" s="1" t="n">
        <v>44977</v>
      </c>
      <c r="C935" s="1" t="n">
        <v>45796</v>
      </c>
      <c r="D935" t="inlineStr">
        <is>
          <t>JÄMTLANDS LÄN</t>
        </is>
      </c>
      <c r="E935" t="inlineStr">
        <is>
          <t>HÄRJEDALEN</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8420-2023</t>
        </is>
      </c>
      <c r="B936" s="1" t="n">
        <v>44977</v>
      </c>
      <c r="C936" s="1" t="n">
        <v>45796</v>
      </c>
      <c r="D936" t="inlineStr">
        <is>
          <t>JÄMTLANDS LÄN</t>
        </is>
      </c>
      <c r="E936" t="inlineStr">
        <is>
          <t>HÄRJEDALEN</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8577-2023</t>
        </is>
      </c>
      <c r="B937" s="1" t="n">
        <v>44977</v>
      </c>
      <c r="C937" s="1" t="n">
        <v>45796</v>
      </c>
      <c r="D937" t="inlineStr">
        <is>
          <t>JÄMTLANDS LÄN</t>
        </is>
      </c>
      <c r="E937" t="inlineStr">
        <is>
          <t>HÄRJEDALEN</t>
        </is>
      </c>
      <c r="G937" t="n">
        <v>19.6</v>
      </c>
      <c r="H937" t="n">
        <v>0</v>
      </c>
      <c r="I937" t="n">
        <v>0</v>
      </c>
      <c r="J937" t="n">
        <v>0</v>
      </c>
      <c r="K937" t="n">
        <v>0</v>
      </c>
      <c r="L937" t="n">
        <v>0</v>
      </c>
      <c r="M937" t="n">
        <v>0</v>
      </c>
      <c r="N937" t="n">
        <v>0</v>
      </c>
      <c r="O937" t="n">
        <v>0</v>
      </c>
      <c r="P937" t="n">
        <v>0</v>
      </c>
      <c r="Q937" t="n">
        <v>0</v>
      </c>
      <c r="R937" s="2" t="inlineStr"/>
    </row>
    <row r="938" ht="15" customHeight="1">
      <c r="A938" t="inlineStr">
        <is>
          <t>A 8804-2023</t>
        </is>
      </c>
      <c r="B938" s="1" t="n">
        <v>44978</v>
      </c>
      <c r="C938" s="1" t="n">
        <v>45796</v>
      </c>
      <c r="D938" t="inlineStr">
        <is>
          <t>JÄMTLANDS LÄN</t>
        </is>
      </c>
      <c r="E938" t="inlineStr">
        <is>
          <t>HÄRJEDALEN</t>
        </is>
      </c>
      <c r="G938" t="n">
        <v>14</v>
      </c>
      <c r="H938" t="n">
        <v>0</v>
      </c>
      <c r="I938" t="n">
        <v>0</v>
      </c>
      <c r="J938" t="n">
        <v>0</v>
      </c>
      <c r="K938" t="n">
        <v>0</v>
      </c>
      <c r="L938" t="n">
        <v>0</v>
      </c>
      <c r="M938" t="n">
        <v>0</v>
      </c>
      <c r="N938" t="n">
        <v>0</v>
      </c>
      <c r="O938" t="n">
        <v>0</v>
      </c>
      <c r="P938" t="n">
        <v>0</v>
      </c>
      <c r="Q938" t="n">
        <v>0</v>
      </c>
      <c r="R938" s="2" t="inlineStr"/>
    </row>
    <row r="939" ht="15" customHeight="1">
      <c r="A939" t="inlineStr">
        <is>
          <t>A 9188-2023</t>
        </is>
      </c>
      <c r="B939" s="1" t="n">
        <v>44980</v>
      </c>
      <c r="C939" s="1" t="n">
        <v>45796</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9998-2023</t>
        </is>
      </c>
      <c r="B940" s="1" t="n">
        <v>44985</v>
      </c>
      <c r="C940" s="1" t="n">
        <v>45796</v>
      </c>
      <c r="D940" t="inlineStr">
        <is>
          <t>JÄMTLANDS LÄN</t>
        </is>
      </c>
      <c r="E940" t="inlineStr">
        <is>
          <t>HÄRJEDALEN</t>
        </is>
      </c>
      <c r="F940" t="inlineStr">
        <is>
          <t>Holmen skog AB</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10002-2023</t>
        </is>
      </c>
      <c r="B941" s="1" t="n">
        <v>44985</v>
      </c>
      <c r="C941" s="1" t="n">
        <v>45796</v>
      </c>
      <c r="D941" t="inlineStr">
        <is>
          <t>JÄMTLANDS LÄN</t>
        </is>
      </c>
      <c r="E941" t="inlineStr">
        <is>
          <t>HÄRJEDALEN</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10006-2023</t>
        </is>
      </c>
      <c r="B942" s="1" t="n">
        <v>44985</v>
      </c>
      <c r="C942" s="1" t="n">
        <v>45796</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10000-2023</t>
        </is>
      </c>
      <c r="B943" s="1" t="n">
        <v>44985</v>
      </c>
      <c r="C943" s="1" t="n">
        <v>45796</v>
      </c>
      <c r="D943" t="inlineStr">
        <is>
          <t>JÄMTLANDS LÄN</t>
        </is>
      </c>
      <c r="E943" t="inlineStr">
        <is>
          <t>HÄRJEDALEN</t>
        </is>
      </c>
      <c r="F943" t="inlineStr">
        <is>
          <t>Holmen skog AB</t>
        </is>
      </c>
      <c r="G943" t="n">
        <v>12.6</v>
      </c>
      <c r="H943" t="n">
        <v>0</v>
      </c>
      <c r="I943" t="n">
        <v>0</v>
      </c>
      <c r="J943" t="n">
        <v>0</v>
      </c>
      <c r="K943" t="n">
        <v>0</v>
      </c>
      <c r="L943" t="n">
        <v>0</v>
      </c>
      <c r="M943" t="n">
        <v>0</v>
      </c>
      <c r="N943" t="n">
        <v>0</v>
      </c>
      <c r="O943" t="n">
        <v>0</v>
      </c>
      <c r="P943" t="n">
        <v>0</v>
      </c>
      <c r="Q943" t="n">
        <v>0</v>
      </c>
      <c r="R943" s="2" t="inlineStr"/>
    </row>
    <row r="944" ht="15" customHeight="1">
      <c r="A944" t="inlineStr">
        <is>
          <t>A 9997-2023</t>
        </is>
      </c>
      <c r="B944" s="1" t="n">
        <v>44985</v>
      </c>
      <c r="C944" s="1" t="n">
        <v>45796</v>
      </c>
      <c r="D944" t="inlineStr">
        <is>
          <t>JÄMTLANDS LÄN</t>
        </is>
      </c>
      <c r="E944" t="inlineStr">
        <is>
          <t>HÄRJEDALEN</t>
        </is>
      </c>
      <c r="F944" t="inlineStr">
        <is>
          <t>Holmen skog AB</t>
        </is>
      </c>
      <c r="G944" t="n">
        <v>2.7</v>
      </c>
      <c r="H944" t="n">
        <v>0</v>
      </c>
      <c r="I944" t="n">
        <v>0</v>
      </c>
      <c r="J944" t="n">
        <v>0</v>
      </c>
      <c r="K944" t="n">
        <v>0</v>
      </c>
      <c r="L944" t="n">
        <v>0</v>
      </c>
      <c r="M944" t="n">
        <v>0</v>
      </c>
      <c r="N944" t="n">
        <v>0</v>
      </c>
      <c r="O944" t="n">
        <v>0</v>
      </c>
      <c r="P944" t="n">
        <v>0</v>
      </c>
      <c r="Q944" t="n">
        <v>0</v>
      </c>
      <c r="R944" s="2" t="inlineStr"/>
    </row>
    <row r="945" ht="15" customHeight="1">
      <c r="A945" t="inlineStr">
        <is>
          <t>A 10014-2023</t>
        </is>
      </c>
      <c r="B945" s="1" t="n">
        <v>44985</v>
      </c>
      <c r="C945" s="1" t="n">
        <v>45796</v>
      </c>
      <c r="D945" t="inlineStr">
        <is>
          <t>JÄMTLANDS LÄN</t>
        </is>
      </c>
      <c r="E945" t="inlineStr">
        <is>
          <t>HÄRJEDALEN</t>
        </is>
      </c>
      <c r="F945" t="inlineStr">
        <is>
          <t>Holmen skog AB</t>
        </is>
      </c>
      <c r="G945" t="n">
        <v>2.5</v>
      </c>
      <c r="H945" t="n">
        <v>0</v>
      </c>
      <c r="I945" t="n">
        <v>0</v>
      </c>
      <c r="J945" t="n">
        <v>0</v>
      </c>
      <c r="K945" t="n">
        <v>0</v>
      </c>
      <c r="L945" t="n">
        <v>0</v>
      </c>
      <c r="M945" t="n">
        <v>0</v>
      </c>
      <c r="N945" t="n">
        <v>0</v>
      </c>
      <c r="O945" t="n">
        <v>0</v>
      </c>
      <c r="P945" t="n">
        <v>0</v>
      </c>
      <c r="Q945" t="n">
        <v>0</v>
      </c>
      <c r="R945" s="2" t="inlineStr"/>
    </row>
    <row r="946" ht="15" customHeight="1">
      <c r="A946" t="inlineStr">
        <is>
          <t>A 10008-2023</t>
        </is>
      </c>
      <c r="B946" s="1" t="n">
        <v>44985</v>
      </c>
      <c r="C946" s="1" t="n">
        <v>45796</v>
      </c>
      <c r="D946" t="inlineStr">
        <is>
          <t>JÄMTLANDS LÄN</t>
        </is>
      </c>
      <c r="E946" t="inlineStr">
        <is>
          <t>HÄRJEDALEN</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10046-2023</t>
        </is>
      </c>
      <c r="B947" s="1" t="n">
        <v>44985</v>
      </c>
      <c r="C947" s="1" t="n">
        <v>45796</v>
      </c>
      <c r="D947" t="inlineStr">
        <is>
          <t>JÄMTLANDS LÄN</t>
        </is>
      </c>
      <c r="E947" t="inlineStr">
        <is>
          <t>HÄRJEDALEN</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10015-2023</t>
        </is>
      </c>
      <c r="B948" s="1" t="n">
        <v>44985</v>
      </c>
      <c r="C948" s="1" t="n">
        <v>45796</v>
      </c>
      <c r="D948" t="inlineStr">
        <is>
          <t>JÄMTLANDS LÄN</t>
        </is>
      </c>
      <c r="E948" t="inlineStr">
        <is>
          <t>HÄRJEDALEN</t>
        </is>
      </c>
      <c r="F948" t="inlineStr">
        <is>
          <t>Holmen skog AB</t>
        </is>
      </c>
      <c r="G948" t="n">
        <v>3.2</v>
      </c>
      <c r="H948" t="n">
        <v>0</v>
      </c>
      <c r="I948" t="n">
        <v>0</v>
      </c>
      <c r="J948" t="n">
        <v>0</v>
      </c>
      <c r="K948" t="n">
        <v>0</v>
      </c>
      <c r="L948" t="n">
        <v>0</v>
      </c>
      <c r="M948" t="n">
        <v>0</v>
      </c>
      <c r="N948" t="n">
        <v>0</v>
      </c>
      <c r="O948" t="n">
        <v>0</v>
      </c>
      <c r="P948" t="n">
        <v>0</v>
      </c>
      <c r="Q948" t="n">
        <v>0</v>
      </c>
      <c r="R948" s="2" t="inlineStr"/>
    </row>
    <row r="949" ht="15" customHeight="1">
      <c r="A949" t="inlineStr">
        <is>
          <t>A 10043-2023</t>
        </is>
      </c>
      <c r="B949" s="1" t="n">
        <v>44985</v>
      </c>
      <c r="C949" s="1" t="n">
        <v>45796</v>
      </c>
      <c r="D949" t="inlineStr">
        <is>
          <t>JÄMTLANDS LÄN</t>
        </is>
      </c>
      <c r="E949" t="inlineStr">
        <is>
          <t>HÄRJEDALEN</t>
        </is>
      </c>
      <c r="F949" t="inlineStr">
        <is>
          <t>Holmen skog AB</t>
        </is>
      </c>
      <c r="G949" t="n">
        <v>1</v>
      </c>
      <c r="H949" t="n">
        <v>0</v>
      </c>
      <c r="I949" t="n">
        <v>0</v>
      </c>
      <c r="J949" t="n">
        <v>0</v>
      </c>
      <c r="K949" t="n">
        <v>0</v>
      </c>
      <c r="L949" t="n">
        <v>0</v>
      </c>
      <c r="M949" t="n">
        <v>0</v>
      </c>
      <c r="N949" t="n">
        <v>0</v>
      </c>
      <c r="O949" t="n">
        <v>0</v>
      </c>
      <c r="P949" t="n">
        <v>0</v>
      </c>
      <c r="Q949" t="n">
        <v>0</v>
      </c>
      <c r="R949" s="2" t="inlineStr"/>
    </row>
    <row r="950" ht="15" customHeight="1">
      <c r="A950" t="inlineStr">
        <is>
          <t>A 9993-2023</t>
        </is>
      </c>
      <c r="B950" s="1" t="n">
        <v>44985</v>
      </c>
      <c r="C950" s="1" t="n">
        <v>45796</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10003-2023</t>
        </is>
      </c>
      <c r="B951" s="1" t="n">
        <v>44985</v>
      </c>
      <c r="C951" s="1" t="n">
        <v>45796</v>
      </c>
      <c r="D951" t="inlineStr">
        <is>
          <t>JÄMTLANDS LÄN</t>
        </is>
      </c>
      <c r="E951" t="inlineStr">
        <is>
          <t>HÄRJEDALEN</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10007-2023</t>
        </is>
      </c>
      <c r="B952" s="1" t="n">
        <v>44985</v>
      </c>
      <c r="C952" s="1" t="n">
        <v>45796</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10012-2023</t>
        </is>
      </c>
      <c r="B953" s="1" t="n">
        <v>44985</v>
      </c>
      <c r="C953" s="1" t="n">
        <v>45796</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10040-2023</t>
        </is>
      </c>
      <c r="B954" s="1" t="n">
        <v>44985</v>
      </c>
      <c r="C954" s="1" t="n">
        <v>45796</v>
      </c>
      <c r="D954" t="inlineStr">
        <is>
          <t>JÄMTLANDS LÄN</t>
        </is>
      </c>
      <c r="E954" t="inlineStr">
        <is>
          <t>HÄRJEDALEN</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10329-2023</t>
        </is>
      </c>
      <c r="B955" s="1" t="n">
        <v>44987</v>
      </c>
      <c r="C955" s="1" t="n">
        <v>45796</v>
      </c>
      <c r="D955" t="inlineStr">
        <is>
          <t>JÄMTLANDS LÄN</t>
        </is>
      </c>
      <c r="E955" t="inlineStr">
        <is>
          <t>HÄRJEDALEN</t>
        </is>
      </c>
      <c r="F955" t="inlineStr">
        <is>
          <t>Holmen skog AB</t>
        </is>
      </c>
      <c r="G955" t="n">
        <v>4.7</v>
      </c>
      <c r="H955" t="n">
        <v>0</v>
      </c>
      <c r="I955" t="n">
        <v>0</v>
      </c>
      <c r="J955" t="n">
        <v>0</v>
      </c>
      <c r="K955" t="n">
        <v>0</v>
      </c>
      <c r="L955" t="n">
        <v>0</v>
      </c>
      <c r="M955" t="n">
        <v>0</v>
      </c>
      <c r="N955" t="n">
        <v>0</v>
      </c>
      <c r="O955" t="n">
        <v>0</v>
      </c>
      <c r="P955" t="n">
        <v>0</v>
      </c>
      <c r="Q955" t="n">
        <v>0</v>
      </c>
      <c r="R955" s="2" t="inlineStr"/>
    </row>
    <row r="956" ht="15" customHeight="1">
      <c r="A956" t="inlineStr">
        <is>
          <t>A 10353-2023</t>
        </is>
      </c>
      <c r="B956" s="1" t="n">
        <v>44987</v>
      </c>
      <c r="C956" s="1" t="n">
        <v>45796</v>
      </c>
      <c r="D956" t="inlineStr">
        <is>
          <t>JÄMTLANDS LÄN</t>
        </is>
      </c>
      <c r="E956" t="inlineStr">
        <is>
          <t>HÄRJEDALEN</t>
        </is>
      </c>
      <c r="F956" t="inlineStr">
        <is>
          <t>Holmen skog AB</t>
        </is>
      </c>
      <c r="G956" t="n">
        <v>1.1</v>
      </c>
      <c r="H956" t="n">
        <v>0</v>
      </c>
      <c r="I956" t="n">
        <v>0</v>
      </c>
      <c r="J956" t="n">
        <v>0</v>
      </c>
      <c r="K956" t="n">
        <v>0</v>
      </c>
      <c r="L956" t="n">
        <v>0</v>
      </c>
      <c r="M956" t="n">
        <v>0</v>
      </c>
      <c r="N956" t="n">
        <v>0</v>
      </c>
      <c r="O956" t="n">
        <v>0</v>
      </c>
      <c r="P956" t="n">
        <v>0</v>
      </c>
      <c r="Q956" t="n">
        <v>0</v>
      </c>
      <c r="R956" s="2" t="inlineStr"/>
    </row>
    <row r="957" ht="15" customHeight="1">
      <c r="A957" t="inlineStr">
        <is>
          <t>A 10342-2023</t>
        </is>
      </c>
      <c r="B957" s="1" t="n">
        <v>44987</v>
      </c>
      <c r="C957" s="1" t="n">
        <v>45796</v>
      </c>
      <c r="D957" t="inlineStr">
        <is>
          <t>JÄMTLANDS LÄN</t>
        </is>
      </c>
      <c r="E957" t="inlineStr">
        <is>
          <t>HÄRJEDALEN</t>
        </is>
      </c>
      <c r="F957" t="inlineStr">
        <is>
          <t>Holmen skog AB</t>
        </is>
      </c>
      <c r="G957" t="n">
        <v>32.6</v>
      </c>
      <c r="H957" t="n">
        <v>0</v>
      </c>
      <c r="I957" t="n">
        <v>0</v>
      </c>
      <c r="J957" t="n">
        <v>0</v>
      </c>
      <c r="K957" t="n">
        <v>0</v>
      </c>
      <c r="L957" t="n">
        <v>0</v>
      </c>
      <c r="M957" t="n">
        <v>0</v>
      </c>
      <c r="N957" t="n">
        <v>0</v>
      </c>
      <c r="O957" t="n">
        <v>0</v>
      </c>
      <c r="P957" t="n">
        <v>0</v>
      </c>
      <c r="Q957" t="n">
        <v>0</v>
      </c>
      <c r="R957" s="2" t="inlineStr"/>
    </row>
    <row r="958" ht="15" customHeight="1">
      <c r="A958" t="inlineStr">
        <is>
          <t>A 10340-2023</t>
        </is>
      </c>
      <c r="B958" s="1" t="n">
        <v>44987</v>
      </c>
      <c r="C958" s="1" t="n">
        <v>45796</v>
      </c>
      <c r="D958" t="inlineStr">
        <is>
          <t>JÄMTLANDS LÄN</t>
        </is>
      </c>
      <c r="E958" t="inlineStr">
        <is>
          <t>HÄRJEDALEN</t>
        </is>
      </c>
      <c r="F958" t="inlineStr">
        <is>
          <t>Holmen skog AB</t>
        </is>
      </c>
      <c r="G958" t="n">
        <v>5.7</v>
      </c>
      <c r="H958" t="n">
        <v>0</v>
      </c>
      <c r="I958" t="n">
        <v>0</v>
      </c>
      <c r="J958" t="n">
        <v>0</v>
      </c>
      <c r="K958" t="n">
        <v>0</v>
      </c>
      <c r="L958" t="n">
        <v>0</v>
      </c>
      <c r="M958" t="n">
        <v>0</v>
      </c>
      <c r="N958" t="n">
        <v>0</v>
      </c>
      <c r="O958" t="n">
        <v>0</v>
      </c>
      <c r="P958" t="n">
        <v>0</v>
      </c>
      <c r="Q958" t="n">
        <v>0</v>
      </c>
      <c r="R958" s="2" t="inlineStr"/>
    </row>
    <row r="959" ht="15" customHeight="1">
      <c r="A959" t="inlineStr">
        <is>
          <t>A 10348-2023</t>
        </is>
      </c>
      <c r="B959" s="1" t="n">
        <v>44987</v>
      </c>
      <c r="C959" s="1" t="n">
        <v>45796</v>
      </c>
      <c r="D959" t="inlineStr">
        <is>
          <t>JÄMTLANDS LÄN</t>
        </is>
      </c>
      <c r="E959" t="inlineStr">
        <is>
          <t>HÄRJEDALEN</t>
        </is>
      </c>
      <c r="F959" t="inlineStr">
        <is>
          <t>Holmen skog AB</t>
        </is>
      </c>
      <c r="G959" t="n">
        <v>17.8</v>
      </c>
      <c r="H959" t="n">
        <v>0</v>
      </c>
      <c r="I959" t="n">
        <v>0</v>
      </c>
      <c r="J959" t="n">
        <v>0</v>
      </c>
      <c r="K959" t="n">
        <v>0</v>
      </c>
      <c r="L959" t="n">
        <v>0</v>
      </c>
      <c r="M959" t="n">
        <v>0</v>
      </c>
      <c r="N959" t="n">
        <v>0</v>
      </c>
      <c r="O959" t="n">
        <v>0</v>
      </c>
      <c r="P959" t="n">
        <v>0</v>
      </c>
      <c r="Q959" t="n">
        <v>0</v>
      </c>
      <c r="R959" s="2" t="inlineStr"/>
    </row>
    <row r="960" ht="15" customHeight="1">
      <c r="A960" t="inlineStr">
        <is>
          <t>A 10338-2023</t>
        </is>
      </c>
      <c r="B960" s="1" t="n">
        <v>44987</v>
      </c>
      <c r="C960" s="1" t="n">
        <v>45796</v>
      </c>
      <c r="D960" t="inlineStr">
        <is>
          <t>JÄMTLANDS LÄN</t>
        </is>
      </c>
      <c r="E960" t="inlineStr">
        <is>
          <t>HÄRJEDALEN</t>
        </is>
      </c>
      <c r="F960" t="inlineStr">
        <is>
          <t>Holmen skog AB</t>
        </is>
      </c>
      <c r="G960" t="n">
        <v>11.8</v>
      </c>
      <c r="H960" t="n">
        <v>0</v>
      </c>
      <c r="I960" t="n">
        <v>0</v>
      </c>
      <c r="J960" t="n">
        <v>0</v>
      </c>
      <c r="K960" t="n">
        <v>0</v>
      </c>
      <c r="L960" t="n">
        <v>0</v>
      </c>
      <c r="M960" t="n">
        <v>0</v>
      </c>
      <c r="N960" t="n">
        <v>0</v>
      </c>
      <c r="O960" t="n">
        <v>0</v>
      </c>
      <c r="P960" t="n">
        <v>0</v>
      </c>
      <c r="Q960" t="n">
        <v>0</v>
      </c>
      <c r="R960" s="2" t="inlineStr"/>
    </row>
    <row r="961" ht="15" customHeight="1">
      <c r="A961" t="inlineStr">
        <is>
          <t>A 11448-2023</t>
        </is>
      </c>
      <c r="B961" s="1" t="n">
        <v>44993</v>
      </c>
      <c r="C961" s="1" t="n">
        <v>45796</v>
      </c>
      <c r="D961" t="inlineStr">
        <is>
          <t>JÄMTLANDS LÄN</t>
        </is>
      </c>
      <c r="E961" t="inlineStr">
        <is>
          <t>HÄRJEDALEN</t>
        </is>
      </c>
      <c r="G961" t="n">
        <v>12.1</v>
      </c>
      <c r="H961" t="n">
        <v>0</v>
      </c>
      <c r="I961" t="n">
        <v>0</v>
      </c>
      <c r="J961" t="n">
        <v>0</v>
      </c>
      <c r="K961" t="n">
        <v>0</v>
      </c>
      <c r="L961" t="n">
        <v>0</v>
      </c>
      <c r="M961" t="n">
        <v>0</v>
      </c>
      <c r="N961" t="n">
        <v>0</v>
      </c>
      <c r="O961" t="n">
        <v>0</v>
      </c>
      <c r="P961" t="n">
        <v>0</v>
      </c>
      <c r="Q961" t="n">
        <v>0</v>
      </c>
      <c r="R961" s="2" t="inlineStr"/>
    </row>
    <row r="962" ht="15" customHeight="1">
      <c r="A962" t="inlineStr">
        <is>
          <t>A 11818-2023</t>
        </is>
      </c>
      <c r="B962" s="1" t="n">
        <v>44994</v>
      </c>
      <c r="C962" s="1" t="n">
        <v>45796</v>
      </c>
      <c r="D962" t="inlineStr">
        <is>
          <t>JÄMTLANDS LÄN</t>
        </is>
      </c>
      <c r="E962" t="inlineStr">
        <is>
          <t>HÄRJEDALEN</t>
        </is>
      </c>
      <c r="G962" t="n">
        <v>8.9</v>
      </c>
      <c r="H962" t="n">
        <v>0</v>
      </c>
      <c r="I962" t="n">
        <v>0</v>
      </c>
      <c r="J962" t="n">
        <v>0</v>
      </c>
      <c r="K962" t="n">
        <v>0</v>
      </c>
      <c r="L962" t="n">
        <v>0</v>
      </c>
      <c r="M962" t="n">
        <v>0</v>
      </c>
      <c r="N962" t="n">
        <v>0</v>
      </c>
      <c r="O962" t="n">
        <v>0</v>
      </c>
      <c r="P962" t="n">
        <v>0</v>
      </c>
      <c r="Q962" t="n">
        <v>0</v>
      </c>
      <c r="R962" s="2" t="inlineStr"/>
    </row>
    <row r="963" ht="15" customHeight="1">
      <c r="A963" t="inlineStr">
        <is>
          <t>A 12484-2023</t>
        </is>
      </c>
      <c r="B963" s="1" t="n">
        <v>44998</v>
      </c>
      <c r="C963" s="1" t="n">
        <v>45796</v>
      </c>
      <c r="D963" t="inlineStr">
        <is>
          <t>JÄMTLANDS LÄN</t>
        </is>
      </c>
      <c r="E963" t="inlineStr">
        <is>
          <t>HÄRJEDALEN</t>
        </is>
      </c>
      <c r="G963" t="n">
        <v>43.1</v>
      </c>
      <c r="H963" t="n">
        <v>0</v>
      </c>
      <c r="I963" t="n">
        <v>0</v>
      </c>
      <c r="J963" t="n">
        <v>0</v>
      </c>
      <c r="K963" t="n">
        <v>0</v>
      </c>
      <c r="L963" t="n">
        <v>0</v>
      </c>
      <c r="M963" t="n">
        <v>0</v>
      </c>
      <c r="N963" t="n">
        <v>0</v>
      </c>
      <c r="O963" t="n">
        <v>0</v>
      </c>
      <c r="P963" t="n">
        <v>0</v>
      </c>
      <c r="Q963" t="n">
        <v>0</v>
      </c>
      <c r="R963" s="2" t="inlineStr"/>
    </row>
    <row r="964" ht="15" customHeight="1">
      <c r="A964" t="inlineStr">
        <is>
          <t>A 12462-2023</t>
        </is>
      </c>
      <c r="B964" s="1" t="n">
        <v>44999</v>
      </c>
      <c r="C964" s="1" t="n">
        <v>45796</v>
      </c>
      <c r="D964" t="inlineStr">
        <is>
          <t>JÄMTLANDS LÄN</t>
        </is>
      </c>
      <c r="E964" t="inlineStr">
        <is>
          <t>HÄRJEDALEN</t>
        </is>
      </c>
      <c r="G964" t="n">
        <v>7.8</v>
      </c>
      <c r="H964" t="n">
        <v>0</v>
      </c>
      <c r="I964" t="n">
        <v>0</v>
      </c>
      <c r="J964" t="n">
        <v>0</v>
      </c>
      <c r="K964" t="n">
        <v>0</v>
      </c>
      <c r="L964" t="n">
        <v>0</v>
      </c>
      <c r="M964" t="n">
        <v>0</v>
      </c>
      <c r="N964" t="n">
        <v>0</v>
      </c>
      <c r="O964" t="n">
        <v>0</v>
      </c>
      <c r="P964" t="n">
        <v>0</v>
      </c>
      <c r="Q964" t="n">
        <v>0</v>
      </c>
      <c r="R964" s="2" t="inlineStr"/>
    </row>
    <row r="965" ht="15" customHeight="1">
      <c r="A965" t="inlineStr">
        <is>
          <t>A 12625-2023</t>
        </is>
      </c>
      <c r="B965" s="1" t="n">
        <v>45000</v>
      </c>
      <c r="C965" s="1" t="n">
        <v>45796</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12921-2023</t>
        </is>
      </c>
      <c r="B966" s="1" t="n">
        <v>45001</v>
      </c>
      <c r="C966" s="1" t="n">
        <v>45796</v>
      </c>
      <c r="D966" t="inlineStr">
        <is>
          <t>JÄMTLANDS LÄN</t>
        </is>
      </c>
      <c r="E966" t="inlineStr">
        <is>
          <t>HÄRJEDALEN</t>
        </is>
      </c>
      <c r="G966" t="n">
        <v>13.9</v>
      </c>
      <c r="H966" t="n">
        <v>0</v>
      </c>
      <c r="I966" t="n">
        <v>0</v>
      </c>
      <c r="J966" t="n">
        <v>0</v>
      </c>
      <c r="K966" t="n">
        <v>0</v>
      </c>
      <c r="L966" t="n">
        <v>0</v>
      </c>
      <c r="M966" t="n">
        <v>0</v>
      </c>
      <c r="N966" t="n">
        <v>0</v>
      </c>
      <c r="O966" t="n">
        <v>0</v>
      </c>
      <c r="P966" t="n">
        <v>0</v>
      </c>
      <c r="Q966" t="n">
        <v>0</v>
      </c>
      <c r="R966" s="2" t="inlineStr"/>
    </row>
    <row r="967" ht="15" customHeight="1">
      <c r="A967" t="inlineStr">
        <is>
          <t>A 13774-2023</t>
        </is>
      </c>
      <c r="B967" s="1" t="n">
        <v>45007</v>
      </c>
      <c r="C967" s="1" t="n">
        <v>45796</v>
      </c>
      <c r="D967" t="inlineStr">
        <is>
          <t>JÄMTLANDS LÄN</t>
        </is>
      </c>
      <c r="E967" t="inlineStr">
        <is>
          <t>HÄRJEDALEN</t>
        </is>
      </c>
      <c r="G967" t="n">
        <v>0.7</v>
      </c>
      <c r="H967" t="n">
        <v>0</v>
      </c>
      <c r="I967" t="n">
        <v>0</v>
      </c>
      <c r="J967" t="n">
        <v>0</v>
      </c>
      <c r="K967" t="n">
        <v>0</v>
      </c>
      <c r="L967" t="n">
        <v>0</v>
      </c>
      <c r="M967" t="n">
        <v>0</v>
      </c>
      <c r="N967" t="n">
        <v>0</v>
      </c>
      <c r="O967" t="n">
        <v>0</v>
      </c>
      <c r="P967" t="n">
        <v>0</v>
      </c>
      <c r="Q967" t="n">
        <v>0</v>
      </c>
      <c r="R967" s="2" t="inlineStr"/>
    </row>
    <row r="968" ht="15" customHeight="1">
      <c r="A968" t="inlineStr">
        <is>
          <t>A 14631-2023</t>
        </is>
      </c>
      <c r="B968" s="1" t="n">
        <v>45012</v>
      </c>
      <c r="C968" s="1" t="n">
        <v>45796</v>
      </c>
      <c r="D968" t="inlineStr">
        <is>
          <t>JÄMTLANDS LÄN</t>
        </is>
      </c>
      <c r="E968" t="inlineStr">
        <is>
          <t>HÄRJEDALEN</t>
        </is>
      </c>
      <c r="F968" t="inlineStr">
        <is>
          <t>Bergvik skog väst AB</t>
        </is>
      </c>
      <c r="G968" t="n">
        <v>14.2</v>
      </c>
      <c r="H968" t="n">
        <v>0</v>
      </c>
      <c r="I968" t="n">
        <v>0</v>
      </c>
      <c r="J968" t="n">
        <v>0</v>
      </c>
      <c r="K968" t="n">
        <v>0</v>
      </c>
      <c r="L968" t="n">
        <v>0</v>
      </c>
      <c r="M968" t="n">
        <v>0</v>
      </c>
      <c r="N968" t="n">
        <v>0</v>
      </c>
      <c r="O968" t="n">
        <v>0</v>
      </c>
      <c r="P968" t="n">
        <v>0</v>
      </c>
      <c r="Q968" t="n">
        <v>0</v>
      </c>
      <c r="R968" s="2" t="inlineStr"/>
    </row>
    <row r="969" ht="15" customHeight="1">
      <c r="A969" t="inlineStr">
        <is>
          <t>A 15511-2023</t>
        </is>
      </c>
      <c r="B969" s="1" t="n">
        <v>45020</v>
      </c>
      <c r="C969" s="1" t="n">
        <v>45796</v>
      </c>
      <c r="D969" t="inlineStr">
        <is>
          <t>JÄMTLANDS LÄN</t>
        </is>
      </c>
      <c r="E969" t="inlineStr">
        <is>
          <t>HÄRJEDALEN</t>
        </is>
      </c>
      <c r="G969" t="n">
        <v>14.6</v>
      </c>
      <c r="H969" t="n">
        <v>0</v>
      </c>
      <c r="I969" t="n">
        <v>0</v>
      </c>
      <c r="J969" t="n">
        <v>0</v>
      </c>
      <c r="K969" t="n">
        <v>0</v>
      </c>
      <c r="L969" t="n">
        <v>0</v>
      </c>
      <c r="M969" t="n">
        <v>0</v>
      </c>
      <c r="N969" t="n">
        <v>0</v>
      </c>
      <c r="O969" t="n">
        <v>0</v>
      </c>
      <c r="P969" t="n">
        <v>0</v>
      </c>
      <c r="Q969" t="n">
        <v>0</v>
      </c>
      <c r="R969" s="2" t="inlineStr"/>
    </row>
    <row r="970" ht="15" customHeight="1">
      <c r="A970" t="inlineStr">
        <is>
          <t>A 15747-2023</t>
        </is>
      </c>
      <c r="B970" s="1" t="n">
        <v>45020</v>
      </c>
      <c r="C970" s="1" t="n">
        <v>45796</v>
      </c>
      <c r="D970" t="inlineStr">
        <is>
          <t>JÄMTLANDS LÄN</t>
        </is>
      </c>
      <c r="E970" t="inlineStr">
        <is>
          <t>HÄRJEDALEN</t>
        </is>
      </c>
      <c r="G970" t="n">
        <v>0.1</v>
      </c>
      <c r="H970" t="n">
        <v>0</v>
      </c>
      <c r="I970" t="n">
        <v>0</v>
      </c>
      <c r="J970" t="n">
        <v>0</v>
      </c>
      <c r="K970" t="n">
        <v>0</v>
      </c>
      <c r="L970" t="n">
        <v>0</v>
      </c>
      <c r="M970" t="n">
        <v>0</v>
      </c>
      <c r="N970" t="n">
        <v>0</v>
      </c>
      <c r="O970" t="n">
        <v>0</v>
      </c>
      <c r="P970" t="n">
        <v>0</v>
      </c>
      <c r="Q970" t="n">
        <v>0</v>
      </c>
      <c r="R970" s="2" t="inlineStr"/>
    </row>
    <row r="971" ht="15" customHeight="1">
      <c r="A971" t="inlineStr">
        <is>
          <t>A 16115-2023</t>
        </is>
      </c>
      <c r="B971" s="1" t="n">
        <v>45027</v>
      </c>
      <c r="C971" s="1" t="n">
        <v>45796</v>
      </c>
      <c r="D971" t="inlineStr">
        <is>
          <t>JÄMTLANDS LÄN</t>
        </is>
      </c>
      <c r="E971" t="inlineStr">
        <is>
          <t>HÄRJEDALEN</t>
        </is>
      </c>
      <c r="G971" t="n">
        <v>26</v>
      </c>
      <c r="H971" t="n">
        <v>0</v>
      </c>
      <c r="I971" t="n">
        <v>0</v>
      </c>
      <c r="J971" t="n">
        <v>0</v>
      </c>
      <c r="K971" t="n">
        <v>0</v>
      </c>
      <c r="L971" t="n">
        <v>0</v>
      </c>
      <c r="M971" t="n">
        <v>0</v>
      </c>
      <c r="N971" t="n">
        <v>0</v>
      </c>
      <c r="O971" t="n">
        <v>0</v>
      </c>
      <c r="P971" t="n">
        <v>0</v>
      </c>
      <c r="Q971" t="n">
        <v>0</v>
      </c>
      <c r="R971" s="2" t="inlineStr"/>
    </row>
    <row r="972" ht="15" customHeight="1">
      <c r="A972" t="inlineStr">
        <is>
          <t>A 16468-2023</t>
        </is>
      </c>
      <c r="B972" s="1" t="n">
        <v>45029</v>
      </c>
      <c r="C972" s="1" t="n">
        <v>45796</v>
      </c>
      <c r="D972" t="inlineStr">
        <is>
          <t>JÄMTLANDS LÄN</t>
        </is>
      </c>
      <c r="E972" t="inlineStr">
        <is>
          <t>HÄRJEDALEN</t>
        </is>
      </c>
      <c r="G972" t="n">
        <v>6.7</v>
      </c>
      <c r="H972" t="n">
        <v>0</v>
      </c>
      <c r="I972" t="n">
        <v>0</v>
      </c>
      <c r="J972" t="n">
        <v>0</v>
      </c>
      <c r="K972" t="n">
        <v>0</v>
      </c>
      <c r="L972" t="n">
        <v>0</v>
      </c>
      <c r="M972" t="n">
        <v>0</v>
      </c>
      <c r="N972" t="n">
        <v>0</v>
      </c>
      <c r="O972" t="n">
        <v>0</v>
      </c>
      <c r="P972" t="n">
        <v>0</v>
      </c>
      <c r="Q972" t="n">
        <v>0</v>
      </c>
      <c r="R972" s="2" t="inlineStr"/>
    </row>
    <row r="973" ht="15" customHeight="1">
      <c r="A973" t="inlineStr">
        <is>
          <t>A 17121-2023</t>
        </is>
      </c>
      <c r="B973" s="1" t="n">
        <v>45034</v>
      </c>
      <c r="C973" s="1" t="n">
        <v>45796</v>
      </c>
      <c r="D973" t="inlineStr">
        <is>
          <t>JÄMTLANDS LÄN</t>
        </is>
      </c>
      <c r="E973" t="inlineStr">
        <is>
          <t>HÄRJEDALEN</t>
        </is>
      </c>
      <c r="G973" t="n">
        <v>6.4</v>
      </c>
      <c r="H973" t="n">
        <v>0</v>
      </c>
      <c r="I973" t="n">
        <v>0</v>
      </c>
      <c r="J973" t="n">
        <v>0</v>
      </c>
      <c r="K973" t="n">
        <v>0</v>
      </c>
      <c r="L973" t="n">
        <v>0</v>
      </c>
      <c r="M973" t="n">
        <v>0</v>
      </c>
      <c r="N973" t="n">
        <v>0</v>
      </c>
      <c r="O973" t="n">
        <v>0</v>
      </c>
      <c r="P973" t="n">
        <v>0</v>
      </c>
      <c r="Q973" t="n">
        <v>0</v>
      </c>
      <c r="R973" s="2" t="inlineStr"/>
    </row>
    <row r="974" ht="15" customHeight="1">
      <c r="A974" t="inlineStr">
        <is>
          <t>A 17105-2023</t>
        </is>
      </c>
      <c r="B974" s="1" t="n">
        <v>45034</v>
      </c>
      <c r="C974" s="1" t="n">
        <v>45796</v>
      </c>
      <c r="D974" t="inlineStr">
        <is>
          <t>JÄMTLANDS LÄN</t>
        </is>
      </c>
      <c r="E974" t="inlineStr">
        <is>
          <t>HÄRJEDALEN</t>
        </is>
      </c>
      <c r="G974" t="n">
        <v>1.2</v>
      </c>
      <c r="H974" t="n">
        <v>0</v>
      </c>
      <c r="I974" t="n">
        <v>0</v>
      </c>
      <c r="J974" t="n">
        <v>0</v>
      </c>
      <c r="K974" t="n">
        <v>0</v>
      </c>
      <c r="L974" t="n">
        <v>0</v>
      </c>
      <c r="M974" t="n">
        <v>0</v>
      </c>
      <c r="N974" t="n">
        <v>0</v>
      </c>
      <c r="O974" t="n">
        <v>0</v>
      </c>
      <c r="P974" t="n">
        <v>0</v>
      </c>
      <c r="Q974" t="n">
        <v>0</v>
      </c>
      <c r="R974" s="2" t="inlineStr"/>
    </row>
    <row r="975" ht="15" customHeight="1">
      <c r="A975" t="inlineStr">
        <is>
          <t>A 17122-2023</t>
        </is>
      </c>
      <c r="B975" s="1" t="n">
        <v>45034</v>
      </c>
      <c r="C975" s="1" t="n">
        <v>45796</v>
      </c>
      <c r="D975" t="inlineStr">
        <is>
          <t>JÄMTLANDS LÄN</t>
        </is>
      </c>
      <c r="E975" t="inlineStr">
        <is>
          <t>HÄRJEDALEN</t>
        </is>
      </c>
      <c r="G975" t="n">
        <v>3.8</v>
      </c>
      <c r="H975" t="n">
        <v>0</v>
      </c>
      <c r="I975" t="n">
        <v>0</v>
      </c>
      <c r="J975" t="n">
        <v>0</v>
      </c>
      <c r="K975" t="n">
        <v>0</v>
      </c>
      <c r="L975" t="n">
        <v>0</v>
      </c>
      <c r="M975" t="n">
        <v>0</v>
      </c>
      <c r="N975" t="n">
        <v>0</v>
      </c>
      <c r="O975" t="n">
        <v>0</v>
      </c>
      <c r="P975" t="n">
        <v>0</v>
      </c>
      <c r="Q975" t="n">
        <v>0</v>
      </c>
      <c r="R975" s="2" t="inlineStr"/>
    </row>
    <row r="976" ht="15" customHeight="1">
      <c r="A976" t="inlineStr">
        <is>
          <t>A 17153-2023</t>
        </is>
      </c>
      <c r="B976" s="1" t="n">
        <v>45034</v>
      </c>
      <c r="C976" s="1" t="n">
        <v>45796</v>
      </c>
      <c r="D976" t="inlineStr">
        <is>
          <t>JÄMTLANDS LÄN</t>
        </is>
      </c>
      <c r="E976" t="inlineStr">
        <is>
          <t>HÄRJEDALEN</t>
        </is>
      </c>
      <c r="G976" t="n">
        <v>5.6</v>
      </c>
      <c r="H976" t="n">
        <v>0</v>
      </c>
      <c r="I976" t="n">
        <v>0</v>
      </c>
      <c r="J976" t="n">
        <v>0</v>
      </c>
      <c r="K976" t="n">
        <v>0</v>
      </c>
      <c r="L976" t="n">
        <v>0</v>
      </c>
      <c r="M976" t="n">
        <v>0</v>
      </c>
      <c r="N976" t="n">
        <v>0</v>
      </c>
      <c r="O976" t="n">
        <v>0</v>
      </c>
      <c r="P976" t="n">
        <v>0</v>
      </c>
      <c r="Q976" t="n">
        <v>0</v>
      </c>
      <c r="R976" s="2" t="inlineStr"/>
    </row>
    <row r="977" ht="15" customHeight="1">
      <c r="A977" t="inlineStr">
        <is>
          <t>A 17118-2023</t>
        </is>
      </c>
      <c r="B977" s="1" t="n">
        <v>45034</v>
      </c>
      <c r="C977" s="1" t="n">
        <v>45796</v>
      </c>
      <c r="D977" t="inlineStr">
        <is>
          <t>JÄMTLANDS LÄN</t>
        </is>
      </c>
      <c r="E977" t="inlineStr">
        <is>
          <t>HÄRJEDALEN</t>
        </is>
      </c>
      <c r="G977" t="n">
        <v>0.6</v>
      </c>
      <c r="H977" t="n">
        <v>0</v>
      </c>
      <c r="I977" t="n">
        <v>0</v>
      </c>
      <c r="J977" t="n">
        <v>0</v>
      </c>
      <c r="K977" t="n">
        <v>0</v>
      </c>
      <c r="L977" t="n">
        <v>0</v>
      </c>
      <c r="M977" t="n">
        <v>0</v>
      </c>
      <c r="N977" t="n">
        <v>0</v>
      </c>
      <c r="O977" t="n">
        <v>0</v>
      </c>
      <c r="P977" t="n">
        <v>0</v>
      </c>
      <c r="Q977" t="n">
        <v>0</v>
      </c>
      <c r="R977" s="2" t="inlineStr"/>
    </row>
    <row r="978" ht="15" customHeight="1">
      <c r="A978" t="inlineStr">
        <is>
          <t>A 17238-2023</t>
        </is>
      </c>
      <c r="B978" s="1" t="n">
        <v>45035</v>
      </c>
      <c r="C978" s="1" t="n">
        <v>45796</v>
      </c>
      <c r="D978" t="inlineStr">
        <is>
          <t>JÄMTLANDS LÄN</t>
        </is>
      </c>
      <c r="E978" t="inlineStr">
        <is>
          <t>HÄRJEDALEN</t>
        </is>
      </c>
      <c r="G978" t="n">
        <v>3.1</v>
      </c>
      <c r="H978" t="n">
        <v>0</v>
      </c>
      <c r="I978" t="n">
        <v>0</v>
      </c>
      <c r="J978" t="n">
        <v>0</v>
      </c>
      <c r="K978" t="n">
        <v>0</v>
      </c>
      <c r="L978" t="n">
        <v>0</v>
      </c>
      <c r="M978" t="n">
        <v>0</v>
      </c>
      <c r="N978" t="n">
        <v>0</v>
      </c>
      <c r="O978" t="n">
        <v>0</v>
      </c>
      <c r="P978" t="n">
        <v>0</v>
      </c>
      <c r="Q978" t="n">
        <v>0</v>
      </c>
      <c r="R978" s="2" t="inlineStr"/>
    </row>
    <row r="979" ht="15" customHeight="1">
      <c r="A979" t="inlineStr">
        <is>
          <t>A 17246-2023</t>
        </is>
      </c>
      <c r="B979" s="1" t="n">
        <v>45035</v>
      </c>
      <c r="C979" s="1" t="n">
        <v>45796</v>
      </c>
      <c r="D979" t="inlineStr">
        <is>
          <t>JÄMTLANDS LÄN</t>
        </is>
      </c>
      <c r="E979" t="inlineStr">
        <is>
          <t>HÄRJEDALEN</t>
        </is>
      </c>
      <c r="G979" t="n">
        <v>2.4</v>
      </c>
      <c r="H979" t="n">
        <v>0</v>
      </c>
      <c r="I979" t="n">
        <v>0</v>
      </c>
      <c r="J979" t="n">
        <v>0</v>
      </c>
      <c r="K979" t="n">
        <v>0</v>
      </c>
      <c r="L979" t="n">
        <v>0</v>
      </c>
      <c r="M979" t="n">
        <v>0</v>
      </c>
      <c r="N979" t="n">
        <v>0</v>
      </c>
      <c r="O979" t="n">
        <v>0</v>
      </c>
      <c r="P979" t="n">
        <v>0</v>
      </c>
      <c r="Q979" t="n">
        <v>0</v>
      </c>
      <c r="R979" s="2" t="inlineStr"/>
    </row>
    <row r="980" ht="15" customHeight="1">
      <c r="A980" t="inlineStr">
        <is>
          <t>A 17232-2023</t>
        </is>
      </c>
      <c r="B980" s="1" t="n">
        <v>45035</v>
      </c>
      <c r="C980" s="1" t="n">
        <v>45796</v>
      </c>
      <c r="D980" t="inlineStr">
        <is>
          <t>JÄMTLANDS LÄN</t>
        </is>
      </c>
      <c r="E980" t="inlineStr">
        <is>
          <t>HÄRJEDALEN</t>
        </is>
      </c>
      <c r="G980" t="n">
        <v>6.9</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45796</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45796</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45796</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45796</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45796</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45796</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45796</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45796</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45796</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45796</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45796</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45796</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45796</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45796</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45796</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45796</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45796</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45796</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45796</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45796</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45796</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45796</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45796</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45796</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45796</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45796</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45796</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45796</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45796</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45796</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45796</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45796</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45796</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45796</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45796</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45796</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45796</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45796</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45796</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45796</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45796</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45796</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45796</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45796</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45796</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45796</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45796</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45796</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45796</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45796</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45796</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45796</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45796</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45796</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45796</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45796</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45796</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45796</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45796</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45796</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45796</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45796</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45796</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45796</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45796</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45796</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45796</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45796</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45796</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45796</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45796</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45796</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45796</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45796</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45796</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45796</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45796</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45796</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45796</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45796</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45796</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45796</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45796</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45796</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45796</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45796</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45796</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45796</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45796</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45796</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45796</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45796</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45796</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45796</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45796</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45796</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45796</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45796</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45796</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45796</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45796</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45796</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45796</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45796</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45796</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45796</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45796</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45796</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45796</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45796</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45796</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45796</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45796</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45796</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45796</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45796</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45796</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45796</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45796</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45796</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45796</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45796</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45796</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45796</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45796</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45796</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45796</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45796</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45796</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45796</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45796</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45796</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45796</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45796</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45796</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45796</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45796</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45796</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45796</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45796</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45796</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45796</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45796</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45796</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45796</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45796</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45796</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45796</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45796</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45796</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45796</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45796</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45796</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45796</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45796</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45796</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45796</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45796</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45796</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45796</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45796</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45796</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45796</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45796</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45796</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45796</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45796</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45796</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45796</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45796</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45796</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45796</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45796</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45796</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45796</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45796</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45796</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45796</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45796</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45796</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45796</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45796</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45796</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45796</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45796</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45796</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45796</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45796</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45796</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45796</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45796</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45796</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45796</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45796</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45796</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45796</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45796</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45796</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45796</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45796</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45796</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45796</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45796</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45796</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45796</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45796</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45796</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45796</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45796</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45796</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45796</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45796</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45796</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45796</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45796</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45796</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45796</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45796</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45796</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45796</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45796</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45796</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45796</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45796</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45796</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45796</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45796</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45796</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45796</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45796</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45796</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45796</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45796</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45796</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45796</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45796</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45796</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45796</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45796</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45796</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45796</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45796</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45796</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45796</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45796</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45796</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45796</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45796</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45796</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45796</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45796</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45796</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45796</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45796</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45796</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45796</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45796</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45796</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45796</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45796</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45796</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45796</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45796</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45796</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45796</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45796</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45796</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45796</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45796</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45796</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45796</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45796</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45796</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45796</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45796</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45796</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45796</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45796</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45796</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45796</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45796</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45796</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45796</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45796</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45796</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45796</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45796</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45796</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45796</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45796</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45796</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45796</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45796</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45796</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45796</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45796</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45796</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45796</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45796</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45796</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45796</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45796</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45796</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45796</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45796</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45796</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45796</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45796</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45796</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45796</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45796</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45796</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45796</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45796</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45796</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45796</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45796</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45796</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45796</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45796</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45796</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45796</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45796</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45796</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45796</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45796</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45796</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45796</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45796</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45796</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45796</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45796</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45796</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45796</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45796</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45796</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45796</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45796</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45796</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45796</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45796</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45796</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45796</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45796</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45796</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45796</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45796</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45796</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45796</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45796</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45796</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45796</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45796</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45796</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45796</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45796</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45796</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45796</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45796</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45796</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45796</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45796</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45796</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45796</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45796</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45796</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45796</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45796</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45796</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45796</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45796</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45796</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45796</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45796</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45796</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45796</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45796</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45796</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45796</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45796</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45796</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45796</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45796</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45796</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45796</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45796</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45796</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45796</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45796</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45796</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45796</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45796</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45796</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45796</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45796</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45796</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45796</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45796</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45796</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45796</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45796</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45796</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45796</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45796</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45796</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45796</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45796</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45796</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45796</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45796</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45796</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45796</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45796</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45796</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45796</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45796</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45796</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45796</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45796</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45796</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45796</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45796</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45796</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45796</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45796</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45796</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45796</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45796</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45796</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45796</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45796</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45796</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45796</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45796</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45796</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45796</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45796</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45796</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45796</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45796</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45796</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45796</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45796</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45796</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45796</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45796</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45796</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45796</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45796</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45796</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45796</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45796</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45796</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45796</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45796</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45796</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45796</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45796</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45796</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45796</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45796</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45796</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45796</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45796</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45796</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45796</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45796</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45796</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45796</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45796</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45796</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45796</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45796</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45796</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45796</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45796</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45796</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45796</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45796</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45796</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45796</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45796</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45796</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45796</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45796</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45796</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45796</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45796</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45796</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45796</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45796</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45796</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45796</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45796</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45796</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45796</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45796</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45796</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45796</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45796</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45796</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45796</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45796</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45796</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45796</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45796</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45796</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45796</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45796</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45796</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45796</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45796</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45796</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45796</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45796</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45796</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45796</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45796</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45796</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45796</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45796</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45796</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45796</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45796</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45796</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45796</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45796</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45796</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45796</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45796</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45796</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45796</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45796</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45796</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45796</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45796</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45796</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45796</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45796</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45796</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45796</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45796</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45796</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45796</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45796</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45796</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45796</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45796</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45796</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45796</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45796</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45796</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45796</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45796</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45796</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45796</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45796</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45796</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45796</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45796</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45796</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45796</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45796</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45796</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45796</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45796</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45796</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45796</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45796</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45796</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45796</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45796</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45796</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45796</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45796</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45796</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45796</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45796</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45796</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45796</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45796</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45796</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45796</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45796</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45796</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45796</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45796</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45796</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45796</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45796</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45796</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45796</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45796</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45796</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45796</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45796</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45796</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45796</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45796</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45796</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45796</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45796</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45796</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45796</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45796</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45796</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45796</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45796</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45796</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45796</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45796</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45796</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45796</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45796</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45796</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45796</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45796</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45796</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45796</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45796</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45796</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45796</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45796</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45796</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45796</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45796</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45796</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45796</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45796</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45796</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45796</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45796</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45796</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45796</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45796</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45796</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45796</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45796</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45796</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45796</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45796</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45796</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45796</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45796</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45796</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45796</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45796</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45796</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45796</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45796</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45796</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45796</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45796</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45796</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45796</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45796</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45796</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45796</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45796</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45796</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45796</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45796</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45796</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45796</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45796</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45796</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45796</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45796</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45796</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45796</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45796</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45796</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45796</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45796</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45796</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45796</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45796</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45796</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45796</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45796</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45796</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45796</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45796</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45796</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45796</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45796</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45796</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45796</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45796</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45796</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45796</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45796</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45796</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45796</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45796</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45796</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45796</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45796</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45796</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45796</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45796</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45796</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45796</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45796</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45796</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45796</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45796</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45796</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45796</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45796</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45796</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45796</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45796</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45796</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45796</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45796</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45796</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45796</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45796</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45796</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45796</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45796</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45796</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45796</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45796</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45796</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45796</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45796</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45796</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45796</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45796</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45796</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45796</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45796</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45796</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45796</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45796</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45796</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45796</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45796</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45796</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45796</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45796</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45796</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45796</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45796</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45796</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45796</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45796</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45796</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45796</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45796</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45796</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45796</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45796</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45796</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45796</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45796</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45796</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45796</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45796</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45796</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45796</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45796</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45796</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45796</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45796</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45796</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45796</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45796</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45796</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45796</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45796</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45796</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45796</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45796</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45796</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45796</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45796</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45796</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45796</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45796</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45796</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45796</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45796</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45796</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45796</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45796</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45796</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45796</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45796</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45796</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45796</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45796</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45796</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45796</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45796</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45796</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45796</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45796</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45796</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45796</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45796</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45796</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45796</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45796</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45796</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45796</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45796</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45796</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45796</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45796</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45796</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45796</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45796</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45796</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45796</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45796</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45796</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45796</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45796</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45796</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45796</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45796</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45796</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45796</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45796</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45796</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45796</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45796</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45796</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45796</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45796</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45796</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45796</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45796</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45796</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45796</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45796</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45796</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45796</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45796</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45796</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45796</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45796</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45796</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45796</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45796</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45796</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45796</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45796</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45796</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45796</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45796</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45796</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45796</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45796</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45796</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45796</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45796</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45796</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45796</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45796</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45796</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45796</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45796</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45796</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45796</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45796</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45796</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45796</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45796</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45796</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45796</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45796</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45796</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45796</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45796</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45796</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45796</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45796</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45796</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45796</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45796</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45796</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45796</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45796</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45796</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45796</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45796</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45796</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45796</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45796</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45796</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45796</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45796</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45796</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45796</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45796</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45796</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45796</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45796</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45796</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45796</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45796</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45796</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45796</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45796</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45796</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45796</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45796</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45796</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45796</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45796</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45796</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45796</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45796</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45796</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45796</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45796</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45796</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45796</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45796</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45796</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45796</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45796</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45796</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45796</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45796</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45796</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45796</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45796</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45796</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45796</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45796</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45796</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45796</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45796</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45796</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45796</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18953-2025</t>
        </is>
      </c>
      <c r="B1921" s="1" t="n">
        <v>45764</v>
      </c>
      <c r="C1921" s="1" t="n">
        <v>45796</v>
      </c>
      <c r="D1921" t="inlineStr">
        <is>
          <t>JÄMTLANDS LÄN</t>
        </is>
      </c>
      <c r="E1921" t="inlineStr">
        <is>
          <t>HÄRJEDALEN</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19098-2025</t>
        </is>
      </c>
      <c r="B1922" s="1" t="n">
        <v>45768</v>
      </c>
      <c r="C1922" s="1" t="n">
        <v>45796</v>
      </c>
      <c r="D1922" t="inlineStr">
        <is>
          <t>JÄMTLANDS LÄN</t>
        </is>
      </c>
      <c r="E1922" t="inlineStr">
        <is>
          <t>HÄRJEDALEN</t>
        </is>
      </c>
      <c r="F1922" t="inlineStr">
        <is>
          <t>Sveaskog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19099-2025</t>
        </is>
      </c>
      <c r="B1923" s="1" t="n">
        <v>45768</v>
      </c>
      <c r="C1923" s="1" t="n">
        <v>45796</v>
      </c>
      <c r="D1923" t="inlineStr">
        <is>
          <t>JÄMTLANDS LÄN</t>
        </is>
      </c>
      <c r="E1923" t="inlineStr">
        <is>
          <t>HÄRJEDALEN</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19105-2025</t>
        </is>
      </c>
      <c r="B1924" s="1" t="n">
        <v>45768</v>
      </c>
      <c r="C1924" s="1" t="n">
        <v>45796</v>
      </c>
      <c r="D1924" t="inlineStr">
        <is>
          <t>JÄMTLANDS LÄN</t>
        </is>
      </c>
      <c r="E1924" t="inlineStr">
        <is>
          <t>HÄRJEDALEN</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19100-2025</t>
        </is>
      </c>
      <c r="B1925" s="1" t="n">
        <v>45768</v>
      </c>
      <c r="C1925" s="1" t="n">
        <v>45796</v>
      </c>
      <c r="D1925" t="inlineStr">
        <is>
          <t>JÄMTLANDS LÄN</t>
        </is>
      </c>
      <c r="E1925" t="inlineStr">
        <is>
          <t>HÄRJEDALEN</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19101-2025</t>
        </is>
      </c>
      <c r="B1926" s="1" t="n">
        <v>45768</v>
      </c>
      <c r="C1926" s="1" t="n">
        <v>45796</v>
      </c>
      <c r="D1926" t="inlineStr">
        <is>
          <t>JÄMTLANDS LÄN</t>
        </is>
      </c>
      <c r="E1926" t="inlineStr">
        <is>
          <t>HÄRJEDALEN</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19106-2025</t>
        </is>
      </c>
      <c r="B1927" s="1" t="n">
        <v>45768</v>
      </c>
      <c r="C1927" s="1" t="n">
        <v>45796</v>
      </c>
      <c r="D1927" t="inlineStr">
        <is>
          <t>JÄMTLANDS LÄN</t>
        </is>
      </c>
      <c r="E1927" t="inlineStr">
        <is>
          <t>HÄRJEDALEN</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19102-2025</t>
        </is>
      </c>
      <c r="B1928" s="1" t="n">
        <v>45768</v>
      </c>
      <c r="C1928" s="1" t="n">
        <v>45796</v>
      </c>
      <c r="D1928" t="inlineStr">
        <is>
          <t>JÄMTLANDS LÄN</t>
        </is>
      </c>
      <c r="E1928" t="inlineStr">
        <is>
          <t>HÄRJEDALEN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19103-2025</t>
        </is>
      </c>
      <c r="B1929" s="1" t="n">
        <v>45768</v>
      </c>
      <c r="C1929" s="1" t="n">
        <v>45796</v>
      </c>
      <c r="D1929" t="inlineStr">
        <is>
          <t>JÄMTLANDS LÄN</t>
        </is>
      </c>
      <c r="E1929" t="inlineStr">
        <is>
          <t>HÄRJEDALEN</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45796</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20033-2025</t>
        </is>
      </c>
      <c r="B1931" s="1" t="n">
        <v>45772</v>
      </c>
      <c r="C1931" s="1" t="n">
        <v>45796</v>
      </c>
      <c r="D1931" t="inlineStr">
        <is>
          <t>JÄMTLANDS LÄN</t>
        </is>
      </c>
      <c r="E1931" t="inlineStr">
        <is>
          <t>HÄRJEDALEN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20104-2025</t>
        </is>
      </c>
      <c r="B1932" s="1" t="n">
        <v>45772</v>
      </c>
      <c r="C1932" s="1" t="n">
        <v>45796</v>
      </c>
      <c r="D1932" t="inlineStr">
        <is>
          <t>JÄMTLANDS LÄN</t>
        </is>
      </c>
      <c r="E1932" t="inlineStr">
        <is>
          <t>HÄRJEDALEN</t>
        </is>
      </c>
      <c r="F1932" t="inlineStr">
        <is>
          <t>SCA</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20106-2025</t>
        </is>
      </c>
      <c r="B1933" s="1" t="n">
        <v>45772</v>
      </c>
      <c r="C1933" s="1" t="n">
        <v>45796</v>
      </c>
      <c r="D1933" t="inlineStr">
        <is>
          <t>JÄMTLANDS LÄN</t>
        </is>
      </c>
      <c r="E1933" t="inlineStr">
        <is>
          <t>HÄRJEDALEN</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45796</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20103-2025</t>
        </is>
      </c>
      <c r="B1935" s="1" t="n">
        <v>45772</v>
      </c>
      <c r="C1935" s="1" t="n">
        <v>45796</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45796</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45796</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20817-2025</t>
        </is>
      </c>
      <c r="B1938" s="1" t="n">
        <v>45776</v>
      </c>
      <c r="C1938" s="1" t="n">
        <v>45796</v>
      </c>
      <c r="D1938" t="inlineStr">
        <is>
          <t>JÄMTLANDS LÄN</t>
        </is>
      </c>
      <c r="E1938" t="inlineStr">
        <is>
          <t>HÄRJEDALEN</t>
        </is>
      </c>
      <c r="G1938" t="n">
        <v>26.4</v>
      </c>
      <c r="H1938" t="n">
        <v>0</v>
      </c>
      <c r="I1938" t="n">
        <v>0</v>
      </c>
      <c r="J1938" t="n">
        <v>0</v>
      </c>
      <c r="K1938" t="n">
        <v>0</v>
      </c>
      <c r="L1938" t="n">
        <v>0</v>
      </c>
      <c r="M1938" t="n">
        <v>0</v>
      </c>
      <c r="N1938" t="n">
        <v>0</v>
      </c>
      <c r="O1938" t="n">
        <v>0</v>
      </c>
      <c r="P1938" t="n">
        <v>0</v>
      </c>
      <c r="Q1938" t="n">
        <v>0</v>
      </c>
      <c r="R1938" s="2" t="inlineStr"/>
    </row>
    <row r="1939" ht="15" customHeight="1">
      <c r="A1939" t="inlineStr">
        <is>
          <t>A 20672-2025</t>
        </is>
      </c>
      <c r="B1939" s="1" t="n">
        <v>45776</v>
      </c>
      <c r="C1939" s="1" t="n">
        <v>45796</v>
      </c>
      <c r="D1939" t="inlineStr">
        <is>
          <t>JÄMTLANDS LÄN</t>
        </is>
      </c>
      <c r="E1939" t="inlineStr">
        <is>
          <t>HÄRJEDALEN</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45796</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21169-2025</t>
        </is>
      </c>
      <c r="B1941" s="1" t="n">
        <v>45779</v>
      </c>
      <c r="C1941" s="1" t="n">
        <v>45796</v>
      </c>
      <c r="D1941" t="inlineStr">
        <is>
          <t>JÄMTLANDS LÄN</t>
        </is>
      </c>
      <c r="E1941" t="inlineStr">
        <is>
          <t>HÄRJEDALEN</t>
        </is>
      </c>
      <c r="F1941" t="inlineStr">
        <is>
          <t>Holmen skog AB</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45796</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45796</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45796</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21208-2025</t>
        </is>
      </c>
      <c r="B1945" s="1" t="n">
        <v>45779</v>
      </c>
      <c r="C1945" s="1" t="n">
        <v>45796</v>
      </c>
      <c r="D1945" t="inlineStr">
        <is>
          <t>JÄMTLANDS LÄN</t>
        </is>
      </c>
      <c r="E1945" t="inlineStr">
        <is>
          <t>HÄRJEDALEN</t>
        </is>
      </c>
      <c r="F1945" t="inlineStr">
        <is>
          <t>Holmen skog AB</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45796</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45796</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45796</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45796</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45796</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45796</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45796</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45796</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45796</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45796</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22502-2025</t>
        </is>
      </c>
      <c r="B1956" s="1" t="n">
        <v>45786</v>
      </c>
      <c r="C1956" s="1" t="n">
        <v>45796</v>
      </c>
      <c r="D1956" t="inlineStr">
        <is>
          <t>JÄMTLANDS LÄN</t>
        </is>
      </c>
      <c r="E1956" t="inlineStr">
        <is>
          <t>HÄRJEDALEN</t>
        </is>
      </c>
      <c r="F1956" t="inlineStr">
        <is>
          <t>Sveaskog</t>
        </is>
      </c>
      <c r="G1956" t="n">
        <v>20.1</v>
      </c>
      <c r="H1956" t="n">
        <v>0</v>
      </c>
      <c r="I1956" t="n">
        <v>0</v>
      </c>
      <c r="J1956" t="n">
        <v>0</v>
      </c>
      <c r="K1956" t="n">
        <v>0</v>
      </c>
      <c r="L1956" t="n">
        <v>0</v>
      </c>
      <c r="M1956" t="n">
        <v>0</v>
      </c>
      <c r="N1956" t="n">
        <v>0</v>
      </c>
      <c r="O1956" t="n">
        <v>0</v>
      </c>
      <c r="P1956" t="n">
        <v>0</v>
      </c>
      <c r="Q1956" t="n">
        <v>0</v>
      </c>
      <c r="R1956" s="2" t="inlineStr"/>
    </row>
    <row r="1957" ht="15" customHeight="1">
      <c r="A1957" t="inlineStr">
        <is>
          <t>A 22509-2025</t>
        </is>
      </c>
      <c r="B1957" s="1" t="n">
        <v>45786</v>
      </c>
      <c r="C1957" s="1" t="n">
        <v>45796</v>
      </c>
      <c r="D1957" t="inlineStr">
        <is>
          <t>JÄMTLANDS LÄN</t>
        </is>
      </c>
      <c r="E1957" t="inlineStr">
        <is>
          <t>HÄRJEDALEN</t>
        </is>
      </c>
      <c r="F1957" t="inlineStr">
        <is>
          <t>Sveaskog</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22505-2025</t>
        </is>
      </c>
      <c r="B1958" s="1" t="n">
        <v>45786</v>
      </c>
      <c r="C1958" s="1" t="n">
        <v>45796</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22504-2025</t>
        </is>
      </c>
      <c r="B1959" s="1" t="n">
        <v>45786</v>
      </c>
      <c r="C1959" s="1" t="n">
        <v>45796</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22915-2025</t>
        </is>
      </c>
      <c r="B1960" s="1" t="n">
        <v>45790</v>
      </c>
      <c r="C1960" s="1" t="n">
        <v>45796</v>
      </c>
      <c r="D1960" t="inlineStr">
        <is>
          <t>JÄMTLANDS LÄN</t>
        </is>
      </c>
      <c r="E1960" t="inlineStr">
        <is>
          <t>HÄRJEDALEN</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23068-2025</t>
        </is>
      </c>
      <c r="B1961" s="1" t="n">
        <v>45790</v>
      </c>
      <c r="C1961" s="1" t="n">
        <v>45796</v>
      </c>
      <c r="D1961" t="inlineStr">
        <is>
          <t>JÄMTLANDS LÄN</t>
        </is>
      </c>
      <c r="E1961" t="inlineStr">
        <is>
          <t>HÄRJEDALEN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23600-2025</t>
        </is>
      </c>
      <c r="B1962" s="1" t="n">
        <v>45792</v>
      </c>
      <c r="C1962" s="1" t="n">
        <v>45796</v>
      </c>
      <c r="D1962" t="inlineStr">
        <is>
          <t>JÄMTLANDS LÄN</t>
        </is>
      </c>
      <c r="E1962" t="inlineStr">
        <is>
          <t>HÄRJEDALEN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23518-2025</t>
        </is>
      </c>
      <c r="B1963" s="1" t="n">
        <v>45792</v>
      </c>
      <c r="C1963" s="1" t="n">
        <v>45796</v>
      </c>
      <c r="D1963" t="inlineStr">
        <is>
          <t>JÄMTLANDS LÄN</t>
        </is>
      </c>
      <c r="E1963" t="inlineStr">
        <is>
          <t>HÄRJEDALEN</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23596-2025</t>
        </is>
      </c>
      <c r="B1964" s="1" t="n">
        <v>45792</v>
      </c>
      <c r="C1964" s="1" t="n">
        <v>45796</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c r="A1965" t="inlineStr">
        <is>
          <t>A 23731-2025</t>
        </is>
      </c>
      <c r="B1965" s="1" t="n">
        <v>45793</v>
      </c>
      <c r="C1965" s="1" t="n">
        <v>45796</v>
      </c>
      <c r="D1965" t="inlineStr">
        <is>
          <t>JÄMTLANDS LÄN</t>
        </is>
      </c>
      <c r="E1965" t="inlineStr">
        <is>
          <t>HÄRJEDALEN</t>
        </is>
      </c>
      <c r="F1965" t="inlineStr">
        <is>
          <t>Sveaskog</t>
        </is>
      </c>
      <c r="G1965" t="n">
        <v>11.7</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2025-05-19T18:37:31Z</dcterms:created>
  <dcterms:modified xmlns:dcterms="http://purl.org/dc/terms/" xmlns:xsi="http://www.w3.org/2001/XMLSchema-instance" xsi:type="dcterms:W3CDTF">2025-05-19T18:37:32Z</dcterms:modified>
</cp:coreProperties>
</file>