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45987</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45987</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45987</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45987</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45987</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45987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45987</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45987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45987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45987</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43579-2025</t>
        </is>
      </c>
      <c r="B23" s="1" t="n">
        <v>45911.64693287037</v>
      </c>
      <c r="C23" s="1" t="n">
        <v>45987</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13974-2022</t>
        </is>
      </c>
      <c r="B24" s="1" t="n">
        <v>44650</v>
      </c>
      <c r="C24" s="1" t="n">
        <v>45987</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45987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45987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45987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40322-2024</t>
        </is>
      </c>
      <c r="B29" s="1" t="n">
        <v>45554</v>
      </c>
      <c r="C29" s="1" t="n">
        <v>45987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37835-2024</t>
        </is>
      </c>
      <c r="B30" s="1" t="n">
        <v>45544.35653935185</v>
      </c>
      <c r="C30" s="1" t="n">
        <v>45987</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57804-2024</t>
        </is>
      </c>
      <c r="B31" s="1" t="n">
        <v>45631</v>
      </c>
      <c r="C31" s="1" t="n">
        <v>45987</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67953-2020</t>
        </is>
      </c>
      <c r="B32" s="1" t="n">
        <v>44182</v>
      </c>
      <c r="C32" s="1" t="n">
        <v>45987</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45987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45987</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69366-2020</t>
        </is>
      </c>
      <c r="B35" s="1" t="n">
        <v>44193</v>
      </c>
      <c r="C35" s="1" t="n">
        <v>45987</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58277-2021</t>
        </is>
      </c>
      <c r="B36" s="1" t="n">
        <v>44487</v>
      </c>
      <c r="C36" s="1" t="n">
        <v>45987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45987</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45987</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45987</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45557-2021</t>
        </is>
      </c>
      <c r="B40" s="1" t="n">
        <v>44440</v>
      </c>
      <c r="C40" s="1" t="n">
        <v>45987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31911-2025</t>
        </is>
      </c>
      <c r="B41" s="1" t="n">
        <v>45834</v>
      </c>
      <c r="C41" s="1" t="n">
        <v>45987</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38064-2024</t>
        </is>
      </c>
      <c r="B42" s="1" t="n">
        <v>45544</v>
      </c>
      <c r="C42" s="1" t="n">
        <v>45987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45987</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45987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45987</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45987</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29434-2023</t>
        </is>
      </c>
      <c r="B47" s="1" t="n">
        <v>45106</v>
      </c>
      <c r="C47" s="1" t="n">
        <v>45987</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45987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45987</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46633-2023</t>
        </is>
      </c>
      <c r="B51" s="1" t="n">
        <v>45198</v>
      </c>
      <c r="C51" s="1" t="n">
        <v>45987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24249-2024</t>
        </is>
      </c>
      <c r="B52" s="1" t="n">
        <v>45457.38396990741</v>
      </c>
      <c r="C52" s="1" t="n">
        <v>45987</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45987</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45929.66552083333</v>
      </c>
      <c r="C54" s="1" t="n">
        <v>45987</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58107-2025</t>
        </is>
      </c>
      <c r="B55" s="1" t="n">
        <v>45982.59583333333</v>
      </c>
      <c r="C55" s="1" t="n">
        <v>45987</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45987</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45987</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45987</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45987</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45987</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16890-2024</t>
        </is>
      </c>
      <c r="B62" s="1" t="n">
        <v>45411</v>
      </c>
      <c r="C62" s="1" t="n">
        <v>45987</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45987</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28288-2024</t>
        </is>
      </c>
      <c r="B64" s="1" t="n">
        <v>45477.46537037037</v>
      </c>
      <c r="C64" s="1" t="n">
        <v>45987</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74002-2021</t>
        </is>
      </c>
      <c r="B65" s="1" t="n">
        <v>44553</v>
      </c>
      <c r="C65" s="1" t="n">
        <v>45987</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38359-2021</t>
        </is>
      </c>
      <c r="B66" s="1" t="n">
        <v>44406</v>
      </c>
      <c r="C66" s="1" t="n">
        <v>45987</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53354-2024</t>
        </is>
      </c>
      <c r="B67" s="1" t="n">
        <v>45614.45413194445</v>
      </c>
      <c r="C67" s="1" t="n">
        <v>45987</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45987</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74075-2021</t>
        </is>
      </c>
      <c r="B69" s="1" t="n">
        <v>44553</v>
      </c>
      <c r="C69" s="1" t="n">
        <v>45987</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45987</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45987</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45987</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45987</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45987</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45987</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45987</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45987</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45987</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45987</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45987</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36522-2025</t>
        </is>
      </c>
      <c r="B81" s="1" t="n">
        <v>45869</v>
      </c>
      <c r="C81" s="1" t="n">
        <v>45987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43278-2024</t>
        </is>
      </c>
      <c r="B82" s="1" t="n">
        <v>45568</v>
      </c>
      <c r="C82" s="1" t="n">
        <v>45987</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52548-2025</t>
        </is>
      </c>
      <c r="B83" s="1" t="n">
        <v>45954.5528125</v>
      </c>
      <c r="C83" s="1" t="n">
        <v>45987</v>
      </c>
      <c r="D83" t="inlineStr">
        <is>
          <t>JÄMTLANDS LÄN</t>
        </is>
      </c>
      <c r="E83" t="inlineStr">
        <is>
          <t>HÄRJEDALEN</t>
        </is>
      </c>
      <c r="F83" t="inlineStr">
        <is>
          <t>SCA</t>
        </is>
      </c>
      <c r="G83" t="n">
        <v>5.3</v>
      </c>
      <c r="H83" t="n">
        <v>0</v>
      </c>
      <c r="I83" t="n">
        <v>0</v>
      </c>
      <c r="J83" t="n">
        <v>6</v>
      </c>
      <c r="K83" t="n">
        <v>0</v>
      </c>
      <c r="L83" t="n">
        <v>0</v>
      </c>
      <c r="M83" t="n">
        <v>0</v>
      </c>
      <c r="N83" t="n">
        <v>0</v>
      </c>
      <c r="O83" t="n">
        <v>6</v>
      </c>
      <c r="P83" t="n">
        <v>0</v>
      </c>
      <c r="Q83" t="n">
        <v>6</v>
      </c>
      <c r="R83" s="2" t="inlineStr">
        <is>
          <t>Blå taggsvamp
Orange taggsvamp
Skrovlig taggsvamp
Svart taggsvamp
Svartvit taggsvamp
Talltaggsvamp</t>
        </is>
      </c>
      <c r="S83">
        <f>HYPERLINK("https://klasma.github.io/Logging_2361/artfynd/A 52548-2025 artfynd.xlsx", "A 52548-2025")</f>
        <v/>
      </c>
      <c r="T83">
        <f>HYPERLINK("https://klasma.github.io/Logging_2361/kartor/A 52548-2025 karta.png", "A 52548-2025")</f>
        <v/>
      </c>
      <c r="V83">
        <f>HYPERLINK("https://klasma.github.io/Logging_2361/klagomål/A 52548-2025 FSC-klagomål.docx", "A 52548-2025")</f>
        <v/>
      </c>
      <c r="W83">
        <f>HYPERLINK("https://klasma.github.io/Logging_2361/klagomålsmail/A 52548-2025 FSC-klagomål mail.docx", "A 52548-2025")</f>
        <v/>
      </c>
      <c r="X83">
        <f>HYPERLINK("https://klasma.github.io/Logging_2361/tillsyn/A 52548-2025 tillsynsbegäran.docx", "A 52548-2025")</f>
        <v/>
      </c>
      <c r="Y83">
        <f>HYPERLINK("https://klasma.github.io/Logging_2361/tillsynsmail/A 52548-2025 tillsynsbegäran mail.docx", "A 52548-2025")</f>
        <v/>
      </c>
    </row>
    <row r="84" ht="15" customHeight="1">
      <c r="A84" t="inlineStr">
        <is>
          <t>A 48699-2025</t>
        </is>
      </c>
      <c r="B84" s="1" t="n">
        <v>45936.61651620371</v>
      </c>
      <c r="C84" s="1" t="n">
        <v>45987</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31853-2025</t>
        </is>
      </c>
      <c r="B85" s="1" t="n">
        <v>45834</v>
      </c>
      <c r="C85" s="1" t="n">
        <v>45987</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10010-2025</t>
        </is>
      </c>
      <c r="B86" s="1" t="n">
        <v>45719</v>
      </c>
      <c r="C86" s="1" t="n">
        <v>45987</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54196-2024</t>
        </is>
      </c>
      <c r="B87" s="1" t="n">
        <v>45616.6450462963</v>
      </c>
      <c r="C87" s="1" t="n">
        <v>45987</v>
      </c>
      <c r="D87" t="inlineStr">
        <is>
          <t>JÄMTLANDS LÄN</t>
        </is>
      </c>
      <c r="E87" t="inlineStr">
        <is>
          <t>HÄRJEDALEN</t>
        </is>
      </c>
      <c r="G87" t="n">
        <v>4.4</v>
      </c>
      <c r="H87" t="n">
        <v>2</v>
      </c>
      <c r="I87" t="n">
        <v>0</v>
      </c>
      <c r="J87" t="n">
        <v>5</v>
      </c>
      <c r="K87" t="n">
        <v>1</v>
      </c>
      <c r="L87" t="n">
        <v>0</v>
      </c>
      <c r="M87" t="n">
        <v>0</v>
      </c>
      <c r="N87" t="n">
        <v>0</v>
      </c>
      <c r="O87" t="n">
        <v>6</v>
      </c>
      <c r="P87" t="n">
        <v>1</v>
      </c>
      <c r="Q87" t="n">
        <v>6</v>
      </c>
      <c r="R87" s="2" t="inlineStr">
        <is>
          <t>Knärot
Garnlav
Kolflarnlav
Mörk kolflarnlav
Tretåig hackspett
Ullticka</t>
        </is>
      </c>
      <c r="S87">
        <f>HYPERLINK("https://klasma.github.io/Logging_2361/artfynd/A 54196-2024 artfynd.xlsx", "A 54196-2024")</f>
        <v/>
      </c>
      <c r="T87">
        <f>HYPERLINK("https://klasma.github.io/Logging_2361/kartor/A 54196-2024 karta.png", "A 54196-2024")</f>
        <v/>
      </c>
      <c r="U87">
        <f>HYPERLINK("https://klasma.github.io/Logging_2361/knärot/A 54196-2024 karta knärot.png", "A 54196-2024")</f>
        <v/>
      </c>
      <c r="V87">
        <f>HYPERLINK("https://klasma.github.io/Logging_2361/klagomål/A 54196-2024 FSC-klagomål.docx", "A 54196-2024")</f>
        <v/>
      </c>
      <c r="W87">
        <f>HYPERLINK("https://klasma.github.io/Logging_2361/klagomålsmail/A 54196-2024 FSC-klagomål mail.docx", "A 54196-2024")</f>
        <v/>
      </c>
      <c r="X87">
        <f>HYPERLINK("https://klasma.github.io/Logging_2361/tillsyn/A 54196-2024 tillsynsbegäran.docx", "A 54196-2024")</f>
        <v/>
      </c>
      <c r="Y87">
        <f>HYPERLINK("https://klasma.github.io/Logging_2361/tillsynsmail/A 54196-2024 tillsynsbegäran mail.docx", "A 54196-2024")</f>
        <v/>
      </c>
      <c r="Z87">
        <f>HYPERLINK("https://klasma.github.io/Logging_2361/fåglar/A 54196-2024 prioriterade fågelarter.docx", "A 54196-2024")</f>
        <v/>
      </c>
    </row>
    <row r="88" ht="15" customHeight="1">
      <c r="A88" t="inlineStr">
        <is>
          <t>A 41185-2024</t>
        </is>
      </c>
      <c r="B88" s="1" t="n">
        <v>45559</v>
      </c>
      <c r="C88" s="1" t="n">
        <v>45987</v>
      </c>
      <c r="D88" t="inlineStr">
        <is>
          <t>JÄMTLANDS LÄN</t>
        </is>
      </c>
      <c r="E88" t="inlineStr">
        <is>
          <t>HÄRJEDALEN</t>
        </is>
      </c>
      <c r="F88" t="inlineStr">
        <is>
          <t>Bergvik skog väst AB</t>
        </is>
      </c>
      <c r="G88" t="n">
        <v>11.1</v>
      </c>
      <c r="H88" t="n">
        <v>1</v>
      </c>
      <c r="I88" t="n">
        <v>1</v>
      </c>
      <c r="J88" t="n">
        <v>4</v>
      </c>
      <c r="K88" t="n">
        <v>1</v>
      </c>
      <c r="L88" t="n">
        <v>0</v>
      </c>
      <c r="M88" t="n">
        <v>0</v>
      </c>
      <c r="N88" t="n">
        <v>0</v>
      </c>
      <c r="O88" t="n">
        <v>5</v>
      </c>
      <c r="P88" t="n">
        <v>1</v>
      </c>
      <c r="Q88" t="n">
        <v>6</v>
      </c>
      <c r="R88" s="2" t="inlineStr">
        <is>
          <t>Knärot
Garnlav
Kolflarnlav
Lunglav
Skrovellav
Stuplav</t>
        </is>
      </c>
      <c r="S88">
        <f>HYPERLINK("https://klasma.github.io/Logging_2361/artfynd/A 41185-2024 artfynd.xlsx", "A 41185-2024")</f>
        <v/>
      </c>
      <c r="T88">
        <f>HYPERLINK("https://klasma.github.io/Logging_2361/kartor/A 41185-2024 karta.png", "A 41185-2024")</f>
        <v/>
      </c>
      <c r="U88">
        <f>HYPERLINK("https://klasma.github.io/Logging_2361/knärot/A 41185-2024 karta knärot.png", "A 41185-2024")</f>
        <v/>
      </c>
      <c r="V88">
        <f>HYPERLINK("https://klasma.github.io/Logging_2361/klagomål/A 41185-2024 FSC-klagomål.docx", "A 41185-2024")</f>
        <v/>
      </c>
      <c r="W88">
        <f>HYPERLINK("https://klasma.github.io/Logging_2361/klagomålsmail/A 41185-2024 FSC-klagomål mail.docx", "A 41185-2024")</f>
        <v/>
      </c>
      <c r="X88">
        <f>HYPERLINK("https://klasma.github.io/Logging_2361/tillsyn/A 41185-2024 tillsynsbegäran.docx", "A 41185-2024")</f>
        <v/>
      </c>
      <c r="Y88">
        <f>HYPERLINK("https://klasma.github.io/Logging_2361/tillsynsmail/A 41185-2024 tillsynsbegäran mail.docx", "A 41185-2024")</f>
        <v/>
      </c>
    </row>
    <row r="89" ht="15" customHeight="1">
      <c r="A89" t="inlineStr">
        <is>
          <t>A 44450-2024</t>
        </is>
      </c>
      <c r="B89" s="1" t="n">
        <v>45574</v>
      </c>
      <c r="C89" s="1" t="n">
        <v>45987</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56483-2023</t>
        </is>
      </c>
      <c r="B90" s="1" t="n">
        <v>45243</v>
      </c>
      <c r="C90" s="1" t="n">
        <v>45987</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65899-2021</t>
        </is>
      </c>
      <c r="B91" s="1" t="n">
        <v>44517</v>
      </c>
      <c r="C91" s="1" t="n">
        <v>45987</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45987</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19799-2024</t>
        </is>
      </c>
      <c r="B93" s="1" t="n">
        <v>45432.94736111111</v>
      </c>
      <c r="C93" s="1" t="n">
        <v>45987</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56516-2025</t>
        </is>
      </c>
      <c r="B94" s="1" t="n">
        <v>45975.45591435185</v>
      </c>
      <c r="C94" s="1" t="n">
        <v>45987</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10023-2023</t>
        </is>
      </c>
      <c r="B95" s="1" t="n">
        <v>44979</v>
      </c>
      <c r="C95" s="1" t="n">
        <v>45987</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45987</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45987</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45987</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55641-2021</t>
        </is>
      </c>
      <c r="B99" s="1" t="n">
        <v>44476</v>
      </c>
      <c r="C99" s="1" t="n">
        <v>45987</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45987</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41068-2024</t>
        </is>
      </c>
      <c r="B101" s="1" t="n">
        <v>45559.38894675926</v>
      </c>
      <c r="C101" s="1" t="n">
        <v>45987</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41549-2025</t>
        </is>
      </c>
      <c r="B102" s="1" t="n">
        <v>45901.58591435185</v>
      </c>
      <c r="C102" s="1" t="n">
        <v>45987</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52017-2025</t>
        </is>
      </c>
      <c r="B103" s="1" t="n">
        <v>45952.59800925926</v>
      </c>
      <c r="C103" s="1" t="n">
        <v>45987</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32676-2025</t>
        </is>
      </c>
      <c r="B104" s="1" t="n">
        <v>45838.73927083334</v>
      </c>
      <c r="C104" s="1" t="n">
        <v>45987</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5795-2025</t>
        </is>
      </c>
      <c r="B105" s="1" t="n">
        <v>45694</v>
      </c>
      <c r="C105" s="1" t="n">
        <v>45987</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31584-2024</t>
        </is>
      </c>
      <c r="B106" s="1" t="n">
        <v>45506.35658564815</v>
      </c>
      <c r="C106" s="1" t="n">
        <v>45987</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999-2025</t>
        </is>
      </c>
      <c r="B107" s="1" t="n">
        <v>45666</v>
      </c>
      <c r="C107" s="1" t="n">
        <v>45987</v>
      </c>
      <c r="D107" t="inlineStr">
        <is>
          <t>JÄMTLANDS LÄN</t>
        </is>
      </c>
      <c r="E107" t="inlineStr">
        <is>
          <t>HÄRJEDALEN</t>
        </is>
      </c>
      <c r="F107" t="inlineStr">
        <is>
          <t>Holmen skog AB</t>
        </is>
      </c>
      <c r="G107" t="n">
        <v>3.9</v>
      </c>
      <c r="H107" t="n">
        <v>1</v>
      </c>
      <c r="I107" t="n">
        <v>0</v>
      </c>
      <c r="J107" t="n">
        <v>4</v>
      </c>
      <c r="K107" t="n">
        <v>0</v>
      </c>
      <c r="L107" t="n">
        <v>0</v>
      </c>
      <c r="M107" t="n">
        <v>0</v>
      </c>
      <c r="N107" t="n">
        <v>0</v>
      </c>
      <c r="O107" t="n">
        <v>4</v>
      </c>
      <c r="P107" t="n">
        <v>0</v>
      </c>
      <c r="Q107" t="n">
        <v>4</v>
      </c>
      <c r="R107" s="2" t="inlineStr">
        <is>
          <t>Lunglav
Tretåig hackspett
Ullticka
Violettgrå tagellav</t>
        </is>
      </c>
      <c r="S107">
        <f>HYPERLINK("https://klasma.github.io/Logging_2361/artfynd/A 999-2025 artfynd.xlsx", "A 999-2025")</f>
        <v/>
      </c>
      <c r="T107">
        <f>HYPERLINK("https://klasma.github.io/Logging_2361/kartor/A 999-2025 karta.png", "A 999-2025")</f>
        <v/>
      </c>
      <c r="V107">
        <f>HYPERLINK("https://klasma.github.io/Logging_2361/klagomål/A 999-2025 FSC-klagomål.docx", "A 999-2025")</f>
        <v/>
      </c>
      <c r="W107">
        <f>HYPERLINK("https://klasma.github.io/Logging_2361/klagomålsmail/A 999-2025 FSC-klagomål mail.docx", "A 999-2025")</f>
        <v/>
      </c>
      <c r="X107">
        <f>HYPERLINK("https://klasma.github.io/Logging_2361/tillsyn/A 999-2025 tillsynsbegäran.docx", "A 999-2025")</f>
        <v/>
      </c>
      <c r="Y107">
        <f>HYPERLINK("https://klasma.github.io/Logging_2361/tillsynsmail/A 999-2025 tillsynsbegäran mail.docx", "A 999-2025")</f>
        <v/>
      </c>
      <c r="Z107">
        <f>HYPERLINK("https://klasma.github.io/Logging_2361/fåglar/A 999-2025 prioriterade fågelarter.docx", "A 999-2025")</f>
        <v/>
      </c>
    </row>
    <row r="108" ht="15" customHeight="1">
      <c r="A108" t="inlineStr">
        <is>
          <t>A 36538-2024</t>
        </is>
      </c>
      <c r="B108" s="1" t="n">
        <v>45537.45818287037</v>
      </c>
      <c r="C108" s="1" t="n">
        <v>45987</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45987</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4757-2023</t>
        </is>
      </c>
      <c r="B110" s="1" t="n">
        <v>44957</v>
      </c>
      <c r="C110" s="1" t="n">
        <v>45987</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45987</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55854-2025</t>
        </is>
      </c>
      <c r="B112" s="1" t="n">
        <v>45973</v>
      </c>
      <c r="C112" s="1" t="n">
        <v>45987</v>
      </c>
      <c r="D112" t="inlineStr">
        <is>
          <t>JÄMTLANDS LÄN</t>
        </is>
      </c>
      <c r="E112" t="inlineStr">
        <is>
          <t>HÄRJEDALEN</t>
        </is>
      </c>
      <c r="G112" t="n">
        <v>3.8</v>
      </c>
      <c r="H112" t="n">
        <v>1</v>
      </c>
      <c r="I112" t="n">
        <v>0</v>
      </c>
      <c r="J112" t="n">
        <v>4</v>
      </c>
      <c r="K112" t="n">
        <v>0</v>
      </c>
      <c r="L112" t="n">
        <v>0</v>
      </c>
      <c r="M112" t="n">
        <v>0</v>
      </c>
      <c r="N112" t="n">
        <v>0</v>
      </c>
      <c r="O112" t="n">
        <v>4</v>
      </c>
      <c r="P112" t="n">
        <v>0</v>
      </c>
      <c r="Q112" t="n">
        <v>4</v>
      </c>
      <c r="R112" s="2" t="inlineStr">
        <is>
          <t>Garnlav
Mörk kolflarnlav
Tretåig hackspett
Vedflamlav</t>
        </is>
      </c>
      <c r="S112">
        <f>HYPERLINK("https://klasma.github.io/Logging_2361/artfynd/A 55854-2025 artfynd.xlsx", "A 55854-2025")</f>
        <v/>
      </c>
      <c r="T112">
        <f>HYPERLINK("https://klasma.github.io/Logging_2361/kartor/A 55854-2025 karta.png", "A 55854-2025")</f>
        <v/>
      </c>
      <c r="V112">
        <f>HYPERLINK("https://klasma.github.io/Logging_2361/klagomål/A 55854-2025 FSC-klagomål.docx", "A 55854-2025")</f>
        <v/>
      </c>
      <c r="W112">
        <f>HYPERLINK("https://klasma.github.io/Logging_2361/klagomålsmail/A 55854-2025 FSC-klagomål mail.docx", "A 55854-2025")</f>
        <v/>
      </c>
      <c r="X112">
        <f>HYPERLINK("https://klasma.github.io/Logging_2361/tillsyn/A 55854-2025 tillsynsbegäran.docx", "A 55854-2025")</f>
        <v/>
      </c>
      <c r="Y112">
        <f>HYPERLINK("https://klasma.github.io/Logging_2361/tillsynsmail/A 55854-2025 tillsynsbegäran mail.docx", "A 55854-2025")</f>
        <v/>
      </c>
      <c r="Z112">
        <f>HYPERLINK("https://klasma.github.io/Logging_2361/fåglar/A 55854-2025 prioriterade fågelarter.docx", "A 55854-2025")</f>
        <v/>
      </c>
    </row>
    <row r="113" ht="15" customHeight="1">
      <c r="A113" t="inlineStr">
        <is>
          <t>A 14059-2023</t>
        </is>
      </c>
      <c r="B113" s="1" t="n">
        <v>45007</v>
      </c>
      <c r="C113" s="1" t="n">
        <v>45987</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35457-2024</t>
        </is>
      </c>
      <c r="B114" s="1" t="n">
        <v>45531.45752314815</v>
      </c>
      <c r="C114" s="1" t="n">
        <v>45987</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24955-2023</t>
        </is>
      </c>
      <c r="B115" s="1" t="n">
        <v>45085</v>
      </c>
      <c r="C115" s="1" t="n">
        <v>45987</v>
      </c>
      <c r="D115" t="inlineStr">
        <is>
          <t>JÄMTLANDS LÄN</t>
        </is>
      </c>
      <c r="E115" t="inlineStr">
        <is>
          <t>HÄRJEDALEN</t>
        </is>
      </c>
      <c r="G115" t="n">
        <v>7.7</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24955-2023 artfynd.xlsx", "A 24955-2023")</f>
        <v/>
      </c>
      <c r="T115">
        <f>HYPERLINK("https://klasma.github.io/Logging_2361/kartor/A 24955-2023 karta.png", "A 24955-2023")</f>
        <v/>
      </c>
      <c r="V115">
        <f>HYPERLINK("https://klasma.github.io/Logging_2361/klagomål/A 24955-2023 FSC-klagomål.docx", "A 24955-2023")</f>
        <v/>
      </c>
      <c r="W115">
        <f>HYPERLINK("https://klasma.github.io/Logging_2361/klagomålsmail/A 24955-2023 FSC-klagomål mail.docx", "A 24955-2023")</f>
        <v/>
      </c>
      <c r="X115">
        <f>HYPERLINK("https://klasma.github.io/Logging_2361/tillsyn/A 24955-2023 tillsynsbegäran.docx", "A 24955-2023")</f>
        <v/>
      </c>
      <c r="Y115">
        <f>HYPERLINK("https://klasma.github.io/Logging_2361/tillsynsmail/A 24955-2023 tillsynsbegäran mail.docx", "A 24955-2023")</f>
        <v/>
      </c>
      <c r="Z115">
        <f>HYPERLINK("https://klasma.github.io/Logging_2361/fåglar/A 24955-2023 prioriterade fågelarter.docx", "A 24955-2023")</f>
        <v/>
      </c>
    </row>
    <row r="116" ht="15" customHeight="1">
      <c r="A116" t="inlineStr">
        <is>
          <t>A 33421-2021</t>
        </is>
      </c>
      <c r="B116" s="1" t="n">
        <v>44377</v>
      </c>
      <c r="C116" s="1" t="n">
        <v>45987</v>
      </c>
      <c r="D116" t="inlineStr">
        <is>
          <t>JÄMTLANDS LÄN</t>
        </is>
      </c>
      <c r="E116" t="inlineStr">
        <is>
          <t>HÄRJEDALEN</t>
        </is>
      </c>
      <c r="G116" t="n">
        <v>47.1</v>
      </c>
      <c r="H116" t="n">
        <v>3</v>
      </c>
      <c r="I116" t="n">
        <v>0</v>
      </c>
      <c r="J116" t="n">
        <v>3</v>
      </c>
      <c r="K116" t="n">
        <v>0</v>
      </c>
      <c r="L116" t="n">
        <v>0</v>
      </c>
      <c r="M116" t="n">
        <v>0</v>
      </c>
      <c r="N116" t="n">
        <v>0</v>
      </c>
      <c r="O116" t="n">
        <v>3</v>
      </c>
      <c r="P116" t="n">
        <v>0</v>
      </c>
      <c r="Q116" t="n">
        <v>4</v>
      </c>
      <c r="R116" s="2" t="inlineStr">
        <is>
          <t>Gultoppig fingersvamp
Svartvit flugsnappare
Talltita
Lavskrika</t>
        </is>
      </c>
      <c r="S116">
        <f>HYPERLINK("https://klasma.github.io/Logging_2361/artfynd/A 33421-2021 artfynd.xlsx", "A 33421-2021")</f>
        <v/>
      </c>
      <c r="T116">
        <f>HYPERLINK("https://klasma.github.io/Logging_2361/kartor/A 33421-2021 karta.png", "A 33421-2021")</f>
        <v/>
      </c>
      <c r="V116">
        <f>HYPERLINK("https://klasma.github.io/Logging_2361/klagomål/A 33421-2021 FSC-klagomål.docx", "A 33421-2021")</f>
        <v/>
      </c>
      <c r="W116">
        <f>HYPERLINK("https://klasma.github.io/Logging_2361/klagomålsmail/A 33421-2021 FSC-klagomål mail.docx", "A 33421-2021")</f>
        <v/>
      </c>
      <c r="X116">
        <f>HYPERLINK("https://klasma.github.io/Logging_2361/tillsyn/A 33421-2021 tillsynsbegäran.docx", "A 33421-2021")</f>
        <v/>
      </c>
      <c r="Y116">
        <f>HYPERLINK("https://klasma.github.io/Logging_2361/tillsynsmail/A 33421-2021 tillsynsbegäran mail.docx", "A 33421-2021")</f>
        <v/>
      </c>
      <c r="Z116">
        <f>HYPERLINK("https://klasma.github.io/Logging_2361/fåglar/A 33421-2021 prioriterade fågelarter.docx", "A 33421-2021")</f>
        <v/>
      </c>
    </row>
    <row r="117" ht="15" customHeight="1">
      <c r="A117" t="inlineStr">
        <is>
          <t>A 55244-2021</t>
        </is>
      </c>
      <c r="B117" s="1" t="n">
        <v>44475</v>
      </c>
      <c r="C117" s="1" t="n">
        <v>45987</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45987</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45987</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45987</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45987</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26225-2024</t>
        </is>
      </c>
      <c r="B122" s="1" t="n">
        <v>45468</v>
      </c>
      <c r="C122" s="1" t="n">
        <v>45987</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23337-2025</t>
        </is>
      </c>
      <c r="B123" s="1" t="n">
        <v>45791</v>
      </c>
      <c r="C123" s="1" t="n">
        <v>45987</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45987</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45987</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45987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45987</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55855-2025</t>
        </is>
      </c>
      <c r="B128" s="1" t="n">
        <v>45973</v>
      </c>
      <c r="C128" s="1" t="n">
        <v>45987</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54545-2024</t>
        </is>
      </c>
      <c r="B129" s="1" t="n">
        <v>45617</v>
      </c>
      <c r="C129" s="1" t="n">
        <v>45987</v>
      </c>
      <c r="D129" t="inlineStr">
        <is>
          <t>JÄMTLANDS LÄN</t>
        </is>
      </c>
      <c r="E129" t="inlineStr">
        <is>
          <t>HÄRJEDALEN</t>
        </is>
      </c>
      <c r="F129" t="inlineStr">
        <is>
          <t>Holmen skog AB</t>
        </is>
      </c>
      <c r="G129" t="n">
        <v>6.5</v>
      </c>
      <c r="H129" t="n">
        <v>1</v>
      </c>
      <c r="I129" t="n">
        <v>0</v>
      </c>
      <c r="J129" t="n">
        <v>3</v>
      </c>
      <c r="K129" t="n">
        <v>0</v>
      </c>
      <c r="L129" t="n">
        <v>0</v>
      </c>
      <c r="M129" t="n">
        <v>0</v>
      </c>
      <c r="N129" t="n">
        <v>0</v>
      </c>
      <c r="O129" t="n">
        <v>3</v>
      </c>
      <c r="P129" t="n">
        <v>0</v>
      </c>
      <c r="Q129" t="n">
        <v>3</v>
      </c>
      <c r="R129" s="2" t="inlineStr">
        <is>
          <t>Garnlav
Kolflarnlav
Talltita</t>
        </is>
      </c>
      <c r="S129">
        <f>HYPERLINK("https://klasma.github.io/Logging_2361/artfynd/A 54545-2024 artfynd.xlsx", "A 54545-2024")</f>
        <v/>
      </c>
      <c r="T129">
        <f>HYPERLINK("https://klasma.github.io/Logging_2361/kartor/A 54545-2024 karta.png", "A 54545-2024")</f>
        <v/>
      </c>
      <c r="V129">
        <f>HYPERLINK("https://klasma.github.io/Logging_2361/klagomål/A 54545-2024 FSC-klagomål.docx", "A 54545-2024")</f>
        <v/>
      </c>
      <c r="W129">
        <f>HYPERLINK("https://klasma.github.io/Logging_2361/klagomålsmail/A 54545-2024 FSC-klagomål mail.docx", "A 54545-2024")</f>
        <v/>
      </c>
      <c r="X129">
        <f>HYPERLINK("https://klasma.github.io/Logging_2361/tillsyn/A 54545-2024 tillsynsbegäran.docx", "A 54545-2024")</f>
        <v/>
      </c>
      <c r="Y129">
        <f>HYPERLINK("https://klasma.github.io/Logging_2361/tillsynsmail/A 54545-2024 tillsynsbegäran mail.docx", "A 54545-2024")</f>
        <v/>
      </c>
      <c r="Z129">
        <f>HYPERLINK("https://klasma.github.io/Logging_2361/fåglar/A 54545-2024 prioriterade fågelarter.docx", "A 54545-2024")</f>
        <v/>
      </c>
    </row>
    <row r="130" ht="15" customHeight="1">
      <c r="A130" t="inlineStr">
        <is>
          <t>A 67126-2020</t>
        </is>
      </c>
      <c r="B130" s="1" t="n">
        <v>44180</v>
      </c>
      <c r="C130" s="1" t="n">
        <v>45987</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45987</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45987</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45987</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55240-2021</t>
        </is>
      </c>
      <c r="B134" s="1" t="n">
        <v>44475</v>
      </c>
      <c r="C134" s="1" t="n">
        <v>45987</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17368-2023</t>
        </is>
      </c>
      <c r="B135" s="1" t="n">
        <v>45035</v>
      </c>
      <c r="C135" s="1" t="n">
        <v>45987</v>
      </c>
      <c r="D135" t="inlineStr">
        <is>
          <t>JÄMTLANDS LÄN</t>
        </is>
      </c>
      <c r="E135" t="inlineStr">
        <is>
          <t>HÄRJEDALEN</t>
        </is>
      </c>
      <c r="F135" t="inlineStr">
        <is>
          <t>Kyrkan</t>
        </is>
      </c>
      <c r="G135" t="n">
        <v>1.3</v>
      </c>
      <c r="H135" t="n">
        <v>1</v>
      </c>
      <c r="I135" t="n">
        <v>0</v>
      </c>
      <c r="J135" t="n">
        <v>1</v>
      </c>
      <c r="K135" t="n">
        <v>1</v>
      </c>
      <c r="L135" t="n">
        <v>0</v>
      </c>
      <c r="M135" t="n">
        <v>0</v>
      </c>
      <c r="N135" t="n">
        <v>0</v>
      </c>
      <c r="O135" t="n">
        <v>2</v>
      </c>
      <c r="P135" t="n">
        <v>1</v>
      </c>
      <c r="Q135" t="n">
        <v>2</v>
      </c>
      <c r="R135" s="2" t="inlineStr">
        <is>
          <t>Knärot
Mörk kolflarnlav</t>
        </is>
      </c>
      <c r="S135">
        <f>HYPERLINK("https://klasma.github.io/Logging_2361/artfynd/A 17368-2023 artfynd.xlsx", "A 17368-2023")</f>
        <v/>
      </c>
      <c r="T135">
        <f>HYPERLINK("https://klasma.github.io/Logging_2361/kartor/A 17368-2023 karta.png", "A 17368-2023")</f>
        <v/>
      </c>
      <c r="U135">
        <f>HYPERLINK("https://klasma.github.io/Logging_2361/knärot/A 17368-2023 karta knärot.png", "A 17368-2023")</f>
        <v/>
      </c>
      <c r="V135">
        <f>HYPERLINK("https://klasma.github.io/Logging_2361/klagomål/A 17368-2023 FSC-klagomål.docx", "A 17368-2023")</f>
        <v/>
      </c>
      <c r="W135">
        <f>HYPERLINK("https://klasma.github.io/Logging_2361/klagomålsmail/A 17368-2023 FSC-klagomål mail.docx", "A 17368-2023")</f>
        <v/>
      </c>
      <c r="X135">
        <f>HYPERLINK("https://klasma.github.io/Logging_2361/tillsyn/A 17368-2023 tillsynsbegäran.docx", "A 17368-2023")</f>
        <v/>
      </c>
      <c r="Y135">
        <f>HYPERLINK("https://klasma.github.io/Logging_2361/tillsynsmail/A 17368-2023 tillsynsbegäran mail.docx", "A 17368-2023")</f>
        <v/>
      </c>
    </row>
    <row r="136" ht="15" customHeight="1">
      <c r="A136" t="inlineStr">
        <is>
          <t>A 26346-2025</t>
        </is>
      </c>
      <c r="B136" s="1" t="n">
        <v>45805.73822916667</v>
      </c>
      <c r="C136" s="1" t="n">
        <v>45987</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40789-2025</t>
        </is>
      </c>
      <c r="B137" s="1" t="n">
        <v>45897.44645833333</v>
      </c>
      <c r="C137" s="1" t="n">
        <v>45987</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55228-2021</t>
        </is>
      </c>
      <c r="B138" s="1" t="n">
        <v>44475</v>
      </c>
      <c r="C138" s="1" t="n">
        <v>45987</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42600-2025</t>
        </is>
      </c>
      <c r="B139" s="1" t="n">
        <v>45905.66966435185</v>
      </c>
      <c r="C139" s="1" t="n">
        <v>45987</v>
      </c>
      <c r="D139" t="inlineStr">
        <is>
          <t>JÄMTLANDS LÄN</t>
        </is>
      </c>
      <c r="E139" t="inlineStr">
        <is>
          <t>HÄRJEDALEN</t>
        </is>
      </c>
      <c r="F139" t="inlineStr">
        <is>
          <t>Holmen skog AB</t>
        </is>
      </c>
      <c r="G139" t="n">
        <v>3.8</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HYPERLINK("https://klasma.github.io/Logging_2361/artfynd/A 42600-2025 artfynd.xlsx", "A 42600-2025")</f>
        <v/>
      </c>
      <c r="T139">
        <f>HYPERLINK("https://klasma.github.io/Logging_2361/kartor/A 42600-2025 karta.png", "A 42600-2025")</f>
        <v/>
      </c>
      <c r="V139">
        <f>HYPERLINK("https://klasma.github.io/Logging_2361/klagomål/A 42600-2025 FSC-klagomål.docx", "A 42600-2025")</f>
        <v/>
      </c>
      <c r="W139">
        <f>HYPERLINK("https://klasma.github.io/Logging_2361/klagomålsmail/A 42600-2025 FSC-klagomål mail.docx", "A 42600-2025")</f>
        <v/>
      </c>
      <c r="X139">
        <f>HYPERLINK("https://klasma.github.io/Logging_2361/tillsyn/A 42600-2025 tillsynsbegäran.docx", "A 42600-2025")</f>
        <v/>
      </c>
      <c r="Y139">
        <f>HYPERLINK("https://klasma.github.io/Logging_2361/tillsynsmail/A 42600-2025 tillsynsbegäran mail.docx", "A 42600-2025")</f>
        <v/>
      </c>
    </row>
    <row r="140" ht="15" customHeight="1">
      <c r="A140" t="inlineStr">
        <is>
          <t>A 3699-2021</t>
        </is>
      </c>
      <c r="B140" s="1" t="n">
        <v>44221</v>
      </c>
      <c r="C140" s="1" t="n">
        <v>45987</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55298-2024</t>
        </is>
      </c>
      <c r="B141" s="1" t="n">
        <v>45621</v>
      </c>
      <c r="C141" s="1" t="n">
        <v>45987</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5781-2025</t>
        </is>
      </c>
      <c r="B142" s="1" t="n">
        <v>45694</v>
      </c>
      <c r="C142" s="1" t="n">
        <v>45987</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37572-2025</t>
        </is>
      </c>
      <c r="B143" s="1" t="n">
        <v>45880.37559027778</v>
      </c>
      <c r="C143" s="1" t="n">
        <v>45987</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48303-2025</t>
        </is>
      </c>
      <c r="B144" s="1" t="n">
        <v>45933.61240740741</v>
      </c>
      <c r="C144" s="1" t="n">
        <v>45987</v>
      </c>
      <c r="D144" t="inlineStr">
        <is>
          <t>JÄMTLANDS LÄN</t>
        </is>
      </c>
      <c r="E144" t="inlineStr">
        <is>
          <t>HÄRJEDALEN</t>
        </is>
      </c>
      <c r="F144" t="inlineStr">
        <is>
          <t>Sveaskog</t>
        </is>
      </c>
      <c r="G144" t="n">
        <v>3.7</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56616-2025</t>
        </is>
      </c>
      <c r="B145" s="1" t="n">
        <v>45975.59357638889</v>
      </c>
      <c r="C145" s="1" t="n">
        <v>45987</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39718-2024</t>
        </is>
      </c>
      <c r="B146" s="1" t="n">
        <v>45552</v>
      </c>
      <c r="C146" s="1" t="n">
        <v>45987</v>
      </c>
      <c r="D146" t="inlineStr">
        <is>
          <t>JÄMTLANDS LÄN</t>
        </is>
      </c>
      <c r="E146" t="inlineStr">
        <is>
          <t>HÄRJEDALEN</t>
        </is>
      </c>
      <c r="G146" t="n">
        <v>9.4</v>
      </c>
      <c r="H146" t="n">
        <v>0</v>
      </c>
      <c r="I146" t="n">
        <v>0</v>
      </c>
      <c r="J146" t="n">
        <v>1</v>
      </c>
      <c r="K146" t="n">
        <v>1</v>
      </c>
      <c r="L146" t="n">
        <v>0</v>
      </c>
      <c r="M146" t="n">
        <v>0</v>
      </c>
      <c r="N146" t="n">
        <v>0</v>
      </c>
      <c r="O146" t="n">
        <v>2</v>
      </c>
      <c r="P146" t="n">
        <v>1</v>
      </c>
      <c r="Q146" t="n">
        <v>2</v>
      </c>
      <c r="R146" s="2" t="inlineStr">
        <is>
          <t>Gräddporing
Slåtterfibbla</t>
        </is>
      </c>
      <c r="S146">
        <f>HYPERLINK("https://klasma.github.io/Logging_2361/artfynd/A 39718-2024 artfynd.xlsx", "A 39718-2024")</f>
        <v/>
      </c>
      <c r="T146">
        <f>HYPERLINK("https://klasma.github.io/Logging_2361/kartor/A 39718-2024 karta.png", "A 39718-2024")</f>
        <v/>
      </c>
      <c r="U146">
        <f>HYPERLINK("https://klasma.github.io/Logging_2361/knärot/A 39718-2024 karta knärot.png", "A 39718-2024")</f>
        <v/>
      </c>
      <c r="V146">
        <f>HYPERLINK("https://klasma.github.io/Logging_2361/klagomål/A 39718-2024 FSC-klagomål.docx", "A 39718-2024")</f>
        <v/>
      </c>
      <c r="W146">
        <f>HYPERLINK("https://klasma.github.io/Logging_2361/klagomålsmail/A 39718-2024 FSC-klagomål mail.docx", "A 39718-2024")</f>
        <v/>
      </c>
      <c r="X146">
        <f>HYPERLINK("https://klasma.github.io/Logging_2361/tillsyn/A 39718-2024 tillsynsbegäran.docx", "A 39718-2024")</f>
        <v/>
      </c>
      <c r="Y146">
        <f>HYPERLINK("https://klasma.github.io/Logging_2361/tillsynsmail/A 39718-2024 tillsynsbegäran mail.docx", "A 39718-2024")</f>
        <v/>
      </c>
    </row>
    <row r="147" ht="15" customHeight="1">
      <c r="A147" t="inlineStr">
        <is>
          <t>A 50438-2022</t>
        </is>
      </c>
      <c r="B147" s="1" t="n">
        <v>44866.46503472222</v>
      </c>
      <c r="C147" s="1" t="n">
        <v>45987</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31414-2025</t>
        </is>
      </c>
      <c r="B148" s="1" t="n">
        <v>45833</v>
      </c>
      <c r="C148" s="1" t="n">
        <v>45987</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4372-2023</t>
        </is>
      </c>
      <c r="B149" s="1" t="n">
        <v>44955</v>
      </c>
      <c r="C149" s="1" t="n">
        <v>45987</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49329-2024</t>
        </is>
      </c>
      <c r="B150" s="1" t="n">
        <v>45595.58056712963</v>
      </c>
      <c r="C150" s="1" t="n">
        <v>45987</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20132-2025</t>
        </is>
      </c>
      <c r="B151" s="1" t="n">
        <v>45772.51070601852</v>
      </c>
      <c r="C151" s="1" t="n">
        <v>45987</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36924-2024</t>
        </is>
      </c>
      <c r="B152" s="1" t="n">
        <v>45538</v>
      </c>
      <c r="C152" s="1" t="n">
        <v>45987</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10344-2023</t>
        </is>
      </c>
      <c r="B153" s="1" t="n">
        <v>44987</v>
      </c>
      <c r="C153" s="1" t="n">
        <v>45987</v>
      </c>
      <c r="D153" t="inlineStr">
        <is>
          <t>JÄMTLANDS LÄN</t>
        </is>
      </c>
      <c r="E153" t="inlineStr">
        <is>
          <t>HÄRJEDALEN</t>
        </is>
      </c>
      <c r="F153" t="inlineStr">
        <is>
          <t>Holmen skog AB</t>
        </is>
      </c>
      <c r="G153" t="n">
        <v>7.2</v>
      </c>
      <c r="H153" t="n">
        <v>0</v>
      </c>
      <c r="I153" t="n">
        <v>0</v>
      </c>
      <c r="J153" t="n">
        <v>2</v>
      </c>
      <c r="K153" t="n">
        <v>0</v>
      </c>
      <c r="L153" t="n">
        <v>0</v>
      </c>
      <c r="M153" t="n">
        <v>0</v>
      </c>
      <c r="N153" t="n">
        <v>0</v>
      </c>
      <c r="O153" t="n">
        <v>2</v>
      </c>
      <c r="P153" t="n">
        <v>0</v>
      </c>
      <c r="Q153" t="n">
        <v>2</v>
      </c>
      <c r="R153" s="2" t="inlineStr">
        <is>
          <t>Lunglav
Skrovellav</t>
        </is>
      </c>
      <c r="S153">
        <f>HYPERLINK("https://klasma.github.io/Logging_2361/artfynd/A 10344-2023 artfynd.xlsx", "A 10344-2023")</f>
        <v/>
      </c>
      <c r="T153">
        <f>HYPERLINK("https://klasma.github.io/Logging_2361/kartor/A 10344-2023 karta.png", "A 10344-2023")</f>
        <v/>
      </c>
      <c r="U153">
        <f>HYPERLINK("https://klasma.github.io/Logging_2361/knärot/A 10344-2023 karta knärot.png", "A 10344-2023")</f>
        <v/>
      </c>
      <c r="V153">
        <f>HYPERLINK("https://klasma.github.io/Logging_2361/klagomål/A 10344-2023 FSC-klagomål.docx", "A 10344-2023")</f>
        <v/>
      </c>
      <c r="W153">
        <f>HYPERLINK("https://klasma.github.io/Logging_2361/klagomålsmail/A 10344-2023 FSC-klagomål mail.docx", "A 10344-2023")</f>
        <v/>
      </c>
      <c r="X153">
        <f>HYPERLINK("https://klasma.github.io/Logging_2361/tillsyn/A 10344-2023 tillsynsbegäran.docx", "A 10344-2023")</f>
        <v/>
      </c>
      <c r="Y153">
        <f>HYPERLINK("https://klasma.github.io/Logging_2361/tillsynsmail/A 10344-2023 tillsynsbegäran mail.docx", "A 10344-2023")</f>
        <v/>
      </c>
    </row>
    <row r="154" ht="15" customHeight="1">
      <c r="A154" t="inlineStr">
        <is>
          <t>A 60750-2024</t>
        </is>
      </c>
      <c r="B154" s="1" t="n">
        <v>45644.56555555556</v>
      </c>
      <c r="C154" s="1" t="n">
        <v>45987</v>
      </c>
      <c r="D154" t="inlineStr">
        <is>
          <t>JÄMTLANDS LÄN</t>
        </is>
      </c>
      <c r="E154" t="inlineStr">
        <is>
          <t>HÄRJEDALEN</t>
        </is>
      </c>
      <c r="F154" t="inlineStr">
        <is>
          <t>Sveaskog</t>
        </is>
      </c>
      <c r="G154" t="n">
        <v>1.6</v>
      </c>
      <c r="H154" t="n">
        <v>1</v>
      </c>
      <c r="I154" t="n">
        <v>0</v>
      </c>
      <c r="J154" t="n">
        <v>1</v>
      </c>
      <c r="K154" t="n">
        <v>1</v>
      </c>
      <c r="L154" t="n">
        <v>0</v>
      </c>
      <c r="M154" t="n">
        <v>0</v>
      </c>
      <c r="N154" t="n">
        <v>0</v>
      </c>
      <c r="O154" t="n">
        <v>2</v>
      </c>
      <c r="P154" t="n">
        <v>1</v>
      </c>
      <c r="Q154" t="n">
        <v>2</v>
      </c>
      <c r="R154" s="2" t="inlineStr">
        <is>
          <t>Knärot
Kolflarnlav</t>
        </is>
      </c>
      <c r="S154">
        <f>HYPERLINK("https://klasma.github.io/Logging_2361/artfynd/A 60750-2024 artfynd.xlsx", "A 60750-2024")</f>
        <v/>
      </c>
      <c r="T154">
        <f>HYPERLINK("https://klasma.github.io/Logging_2361/kartor/A 60750-2024 karta.png", "A 60750-2024")</f>
        <v/>
      </c>
      <c r="U154">
        <f>HYPERLINK("https://klasma.github.io/Logging_2361/knärot/A 60750-2024 karta knärot.png", "A 60750-2024")</f>
        <v/>
      </c>
      <c r="V154">
        <f>HYPERLINK("https://klasma.github.io/Logging_2361/klagomål/A 60750-2024 FSC-klagomål.docx", "A 60750-2024")</f>
        <v/>
      </c>
      <c r="W154">
        <f>HYPERLINK("https://klasma.github.io/Logging_2361/klagomålsmail/A 60750-2024 FSC-klagomål mail.docx", "A 60750-2024")</f>
        <v/>
      </c>
      <c r="X154">
        <f>HYPERLINK("https://klasma.github.io/Logging_2361/tillsyn/A 60750-2024 tillsynsbegäran.docx", "A 60750-2024")</f>
        <v/>
      </c>
      <c r="Y154">
        <f>HYPERLINK("https://klasma.github.io/Logging_2361/tillsynsmail/A 60750-2024 tillsynsbegäran mail.docx", "A 60750-2024")</f>
        <v/>
      </c>
    </row>
    <row r="155" ht="15" customHeight="1">
      <c r="A155" t="inlineStr">
        <is>
          <t>A 45191-2023</t>
        </is>
      </c>
      <c r="B155" s="1" t="n">
        <v>45191</v>
      </c>
      <c r="C155" s="1" t="n">
        <v>45987</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20035-2025</t>
        </is>
      </c>
      <c r="B156" s="1" t="n">
        <v>45772.36488425926</v>
      </c>
      <c r="C156" s="1" t="n">
        <v>45987</v>
      </c>
      <c r="D156" t="inlineStr">
        <is>
          <t>JÄMTLANDS LÄN</t>
        </is>
      </c>
      <c r="E156" t="inlineStr">
        <is>
          <t>HÄRJEDALEN</t>
        </is>
      </c>
      <c r="F156" t="inlineStr">
        <is>
          <t>Sveaskog</t>
        </is>
      </c>
      <c r="G156" t="n">
        <v>11.7</v>
      </c>
      <c r="H156" t="n">
        <v>1</v>
      </c>
      <c r="I156" t="n">
        <v>0</v>
      </c>
      <c r="J156" t="n">
        <v>2</v>
      </c>
      <c r="K156" t="n">
        <v>0</v>
      </c>
      <c r="L156" t="n">
        <v>0</v>
      </c>
      <c r="M156" t="n">
        <v>0</v>
      </c>
      <c r="N156" t="n">
        <v>0</v>
      </c>
      <c r="O156" t="n">
        <v>2</v>
      </c>
      <c r="P156" t="n">
        <v>0</v>
      </c>
      <c r="Q156" t="n">
        <v>2</v>
      </c>
      <c r="R156" s="2" t="inlineStr">
        <is>
          <t>Lunglav
Talltita</t>
        </is>
      </c>
      <c r="S156">
        <f>HYPERLINK("https://klasma.github.io/Logging_2361/artfynd/A 20035-2025 artfynd.xlsx", "A 20035-2025")</f>
        <v/>
      </c>
      <c r="T156">
        <f>HYPERLINK("https://klasma.github.io/Logging_2361/kartor/A 20035-2025 karta.png", "A 20035-2025")</f>
        <v/>
      </c>
      <c r="V156">
        <f>HYPERLINK("https://klasma.github.io/Logging_2361/klagomål/A 20035-2025 FSC-klagomål.docx", "A 20035-2025")</f>
        <v/>
      </c>
      <c r="W156">
        <f>HYPERLINK("https://klasma.github.io/Logging_2361/klagomålsmail/A 20035-2025 FSC-klagomål mail.docx", "A 20035-2025")</f>
        <v/>
      </c>
      <c r="X156">
        <f>HYPERLINK("https://klasma.github.io/Logging_2361/tillsyn/A 20035-2025 tillsynsbegäran.docx", "A 20035-2025")</f>
        <v/>
      </c>
      <c r="Y156">
        <f>HYPERLINK("https://klasma.github.io/Logging_2361/tillsynsmail/A 20035-2025 tillsynsbegäran mail.docx", "A 20035-2025")</f>
        <v/>
      </c>
      <c r="Z156">
        <f>HYPERLINK("https://klasma.github.io/Logging_2361/fåglar/A 20035-2025 prioriterade fågelarter.docx", "A 20035-2025")</f>
        <v/>
      </c>
    </row>
    <row r="157" ht="15" customHeight="1">
      <c r="A157" t="inlineStr">
        <is>
          <t>A 21816-2024</t>
        </is>
      </c>
      <c r="B157" s="1" t="n">
        <v>45442</v>
      </c>
      <c r="C157" s="1" t="n">
        <v>45987</v>
      </c>
      <c r="D157" t="inlineStr">
        <is>
          <t>JÄMTLANDS LÄN</t>
        </is>
      </c>
      <c r="E157" t="inlineStr">
        <is>
          <t>HÄRJEDALEN</t>
        </is>
      </c>
      <c r="F157" t="inlineStr">
        <is>
          <t>Bergvik skog väst AB</t>
        </is>
      </c>
      <c r="G157" t="n">
        <v>2.9</v>
      </c>
      <c r="H157" t="n">
        <v>0</v>
      </c>
      <c r="I157" t="n">
        <v>0</v>
      </c>
      <c r="J157" t="n">
        <v>1</v>
      </c>
      <c r="K157" t="n">
        <v>1</v>
      </c>
      <c r="L157" t="n">
        <v>0</v>
      </c>
      <c r="M157" t="n">
        <v>0</v>
      </c>
      <c r="N157" t="n">
        <v>0</v>
      </c>
      <c r="O157" t="n">
        <v>2</v>
      </c>
      <c r="P157" t="n">
        <v>1</v>
      </c>
      <c r="Q157" t="n">
        <v>2</v>
      </c>
      <c r="R157" s="2" t="inlineStr">
        <is>
          <t>Gräddporing
Blanksvart spiklav</t>
        </is>
      </c>
      <c r="S157">
        <f>HYPERLINK("https://klasma.github.io/Logging_2361/artfynd/A 21816-2024 artfynd.xlsx", "A 21816-2024")</f>
        <v/>
      </c>
      <c r="T157">
        <f>HYPERLINK("https://klasma.github.io/Logging_2361/kartor/A 21816-2024 karta.png", "A 21816-2024")</f>
        <v/>
      </c>
      <c r="V157">
        <f>HYPERLINK("https://klasma.github.io/Logging_2361/klagomål/A 21816-2024 FSC-klagomål.docx", "A 21816-2024")</f>
        <v/>
      </c>
      <c r="W157">
        <f>HYPERLINK("https://klasma.github.io/Logging_2361/klagomålsmail/A 21816-2024 FSC-klagomål mail.docx", "A 21816-2024")</f>
        <v/>
      </c>
      <c r="X157">
        <f>HYPERLINK("https://klasma.github.io/Logging_2361/tillsyn/A 21816-2024 tillsynsbegäran.docx", "A 21816-2024")</f>
        <v/>
      </c>
      <c r="Y157">
        <f>HYPERLINK("https://klasma.github.io/Logging_2361/tillsynsmail/A 21816-2024 tillsynsbegäran mail.docx", "A 21816-2024")</f>
        <v/>
      </c>
    </row>
    <row r="158" ht="15" customHeight="1">
      <c r="A158" t="inlineStr">
        <is>
          <t>A 47348-2022</t>
        </is>
      </c>
      <c r="B158" s="1" t="n">
        <v>44853</v>
      </c>
      <c r="C158" s="1" t="n">
        <v>45987</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36750-2023</t>
        </is>
      </c>
      <c r="B159" s="1" t="n">
        <v>45153</v>
      </c>
      <c r="C159" s="1" t="n">
        <v>45987</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45987</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22501-2025</t>
        </is>
      </c>
      <c r="B161" s="1" t="n">
        <v>45786.6590625</v>
      </c>
      <c r="C161" s="1" t="n">
        <v>45987</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22508-2025</t>
        </is>
      </c>
      <c r="B162" s="1" t="n">
        <v>45786.66594907407</v>
      </c>
      <c r="C162" s="1" t="n">
        <v>45987</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22508-2025 artfynd.xlsx", "A 22508-2025")</f>
        <v/>
      </c>
      <c r="T162">
        <f>HYPERLINK("https://klasma.github.io/Logging_2361/kartor/A 22508-2025 karta.png", "A 22508-2025")</f>
        <v/>
      </c>
      <c r="V162">
        <f>HYPERLINK("https://klasma.github.io/Logging_2361/klagomål/A 22508-2025 FSC-klagomål.docx", "A 22508-2025")</f>
        <v/>
      </c>
      <c r="W162">
        <f>HYPERLINK("https://klasma.github.io/Logging_2361/klagomålsmail/A 22508-2025 FSC-klagomål mail.docx", "A 22508-2025")</f>
        <v/>
      </c>
      <c r="X162">
        <f>HYPERLINK("https://klasma.github.io/Logging_2361/tillsyn/A 22508-2025 tillsynsbegäran.docx", "A 22508-2025")</f>
        <v/>
      </c>
      <c r="Y162">
        <f>HYPERLINK("https://klasma.github.io/Logging_2361/tillsynsmail/A 22508-2025 tillsynsbegäran mail.docx", "A 22508-2025")</f>
        <v/>
      </c>
    </row>
    <row r="163" ht="15" customHeight="1">
      <c r="A163" t="inlineStr">
        <is>
          <t>A 22494-2025</t>
        </is>
      </c>
      <c r="B163" s="1" t="n">
        <v>45786.65452546296</v>
      </c>
      <c r="C163" s="1" t="n">
        <v>45987</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22513-2025</t>
        </is>
      </c>
      <c r="B164" s="1" t="n">
        <v>45786.6768287037</v>
      </c>
      <c r="C164" s="1" t="n">
        <v>45987</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45786.67261574074</v>
      </c>
      <c r="C165" s="1" t="n">
        <v>45987</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45786.67016203704</v>
      </c>
      <c r="C166" s="1" t="n">
        <v>45987</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55221-2021</t>
        </is>
      </c>
      <c r="B167" s="1" t="n">
        <v>44475</v>
      </c>
      <c r="C167" s="1" t="n">
        <v>45987</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45987</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45987</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45987</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45987</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3593-2024</t>
        </is>
      </c>
      <c r="B172" s="1" t="n">
        <v>45320</v>
      </c>
      <c r="C172" s="1" t="n">
        <v>45987</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24251-2024</t>
        </is>
      </c>
      <c r="B173" s="1" t="n">
        <v>45457.38677083333</v>
      </c>
      <c r="C173" s="1" t="n">
        <v>45987</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36533-2025</t>
        </is>
      </c>
      <c r="B174" s="1" t="n">
        <v>45869</v>
      </c>
      <c r="C174" s="1" t="n">
        <v>45987</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25368-2025</t>
        </is>
      </c>
      <c r="B175" s="1" t="n">
        <v>45800.63043981481</v>
      </c>
      <c r="C175" s="1" t="n">
        <v>45987</v>
      </c>
      <c r="D175" t="inlineStr">
        <is>
          <t>JÄMTLANDS LÄN</t>
        </is>
      </c>
      <c r="E175" t="inlineStr">
        <is>
          <t>HÄRJEDALEN</t>
        </is>
      </c>
      <c r="F175" t="inlineStr">
        <is>
          <t>Sveaskog</t>
        </is>
      </c>
      <c r="G175" t="n">
        <v>5.8</v>
      </c>
      <c r="H175" t="n">
        <v>1</v>
      </c>
      <c r="I175" t="n">
        <v>0</v>
      </c>
      <c r="J175" t="n">
        <v>0</v>
      </c>
      <c r="K175" t="n">
        <v>1</v>
      </c>
      <c r="L175" t="n">
        <v>0</v>
      </c>
      <c r="M175" t="n">
        <v>0</v>
      </c>
      <c r="N175" t="n">
        <v>0</v>
      </c>
      <c r="O175" t="n">
        <v>1</v>
      </c>
      <c r="P175" t="n">
        <v>1</v>
      </c>
      <c r="Q175" t="n">
        <v>1</v>
      </c>
      <c r="R175" s="2" t="inlineStr">
        <is>
          <t>Knärot</t>
        </is>
      </c>
      <c r="S175">
        <f>HYPERLINK("https://klasma.github.io/Logging_2361/artfynd/A 25368-2025 artfynd.xlsx", "A 25368-2025")</f>
        <v/>
      </c>
      <c r="T175">
        <f>HYPERLINK("https://klasma.github.io/Logging_2361/kartor/A 25368-2025 karta.png", "A 25368-2025")</f>
        <v/>
      </c>
      <c r="U175">
        <f>HYPERLINK("https://klasma.github.io/Logging_2361/knärot/A 25368-2025 karta knärot.png", "A 25368-2025")</f>
        <v/>
      </c>
      <c r="V175">
        <f>HYPERLINK("https://klasma.github.io/Logging_2361/klagomål/A 25368-2025 FSC-klagomål.docx", "A 25368-2025")</f>
        <v/>
      </c>
      <c r="W175">
        <f>HYPERLINK("https://klasma.github.io/Logging_2361/klagomålsmail/A 25368-2025 FSC-klagomål mail.docx", "A 25368-2025")</f>
        <v/>
      </c>
      <c r="X175">
        <f>HYPERLINK("https://klasma.github.io/Logging_2361/tillsyn/A 25368-2025 tillsynsbegäran.docx", "A 25368-2025")</f>
        <v/>
      </c>
      <c r="Y175">
        <f>HYPERLINK("https://klasma.github.io/Logging_2361/tillsynsmail/A 25368-2025 tillsynsbegäran mail.docx", "A 25368-2025")</f>
        <v/>
      </c>
    </row>
    <row r="176" ht="15" customHeight="1">
      <c r="A176" t="inlineStr">
        <is>
          <t>A 26325-2025</t>
        </is>
      </c>
      <c r="B176" s="1" t="n">
        <v>45805.66601851852</v>
      </c>
      <c r="C176" s="1" t="n">
        <v>45987</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39362-2025</t>
        </is>
      </c>
      <c r="B177" s="1" t="n">
        <v>45889.56214120371</v>
      </c>
      <c r="C177" s="1" t="n">
        <v>45987</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26345-2025</t>
        </is>
      </c>
      <c r="B178" s="1" t="n">
        <v>45805.73546296296</v>
      </c>
      <c r="C178" s="1" t="n">
        <v>45987</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36941-2024</t>
        </is>
      </c>
      <c r="B179" s="1" t="n">
        <v>45538.57630787037</v>
      </c>
      <c r="C179" s="1" t="n">
        <v>45987</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23680-2024</t>
        </is>
      </c>
      <c r="B180" s="1" t="n">
        <v>45454.62443287037</v>
      </c>
      <c r="C180" s="1" t="n">
        <v>45987</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45987</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55223-2021</t>
        </is>
      </c>
      <c r="B182" s="1" t="n">
        <v>44475</v>
      </c>
      <c r="C182" s="1" t="n">
        <v>45987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43322-2025</t>
        </is>
      </c>
      <c r="B183" s="1" t="n">
        <v>45910.66347222222</v>
      </c>
      <c r="C183" s="1" t="n">
        <v>45987</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45987</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32310-2025</t>
        </is>
      </c>
      <c r="B185" s="1" t="n">
        <v>45835.7499537037</v>
      </c>
      <c r="C185" s="1" t="n">
        <v>45987</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45987</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48281-2025</t>
        </is>
      </c>
      <c r="B187" s="1" t="n">
        <v>45933.58802083333</v>
      </c>
      <c r="C187" s="1" t="n">
        <v>45987</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56521-2025</t>
        </is>
      </c>
      <c r="B188" s="1" t="n">
        <v>45975.46076388889</v>
      </c>
      <c r="C188" s="1" t="n">
        <v>45987</v>
      </c>
      <c r="D188" t="inlineStr">
        <is>
          <t>JÄMTLANDS LÄN</t>
        </is>
      </c>
      <c r="E188" t="inlineStr">
        <is>
          <t>HÄRJEDALEN</t>
        </is>
      </c>
      <c r="F188" t="inlineStr">
        <is>
          <t>Bergvik skog väst AB</t>
        </is>
      </c>
      <c r="G188" t="n">
        <v>4.5</v>
      </c>
      <c r="H188" t="n">
        <v>0</v>
      </c>
      <c r="I188" t="n">
        <v>0</v>
      </c>
      <c r="J188" t="n">
        <v>1</v>
      </c>
      <c r="K188" t="n">
        <v>0</v>
      </c>
      <c r="L188" t="n">
        <v>0</v>
      </c>
      <c r="M188" t="n">
        <v>0</v>
      </c>
      <c r="N188" t="n">
        <v>0</v>
      </c>
      <c r="O188" t="n">
        <v>1</v>
      </c>
      <c r="P188" t="n">
        <v>0</v>
      </c>
      <c r="Q188" t="n">
        <v>1</v>
      </c>
      <c r="R188" s="2" t="inlineStr">
        <is>
          <t>Vedskivlav</t>
        </is>
      </c>
      <c r="S188">
        <f>HYPERLINK("https://klasma.github.io/Logging_2361/artfynd/A 56521-2025 artfynd.xlsx", "A 56521-2025")</f>
        <v/>
      </c>
      <c r="T188">
        <f>HYPERLINK("https://klasma.github.io/Logging_2361/kartor/A 56521-2025 karta.png", "A 56521-2025")</f>
        <v/>
      </c>
      <c r="V188">
        <f>HYPERLINK("https://klasma.github.io/Logging_2361/klagomål/A 56521-2025 FSC-klagomål.docx", "A 56521-2025")</f>
        <v/>
      </c>
      <c r="W188">
        <f>HYPERLINK("https://klasma.github.io/Logging_2361/klagomålsmail/A 56521-2025 FSC-klagomål mail.docx", "A 56521-2025")</f>
        <v/>
      </c>
      <c r="X188">
        <f>HYPERLINK("https://klasma.github.io/Logging_2361/tillsyn/A 56521-2025 tillsynsbegäran.docx", "A 56521-2025")</f>
        <v/>
      </c>
      <c r="Y188">
        <f>HYPERLINK("https://klasma.github.io/Logging_2361/tillsynsmail/A 56521-2025 tillsynsbegäran mail.docx", "A 56521-2025")</f>
        <v/>
      </c>
    </row>
    <row r="189" ht="15" customHeight="1">
      <c r="A189" t="inlineStr">
        <is>
          <t>A 54520-2024</t>
        </is>
      </c>
      <c r="B189" s="1" t="n">
        <v>45617</v>
      </c>
      <c r="C189" s="1" t="n">
        <v>45987</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17902-2025</t>
        </is>
      </c>
      <c r="B190" s="1" t="n">
        <v>45758.70164351852</v>
      </c>
      <c r="C190" s="1" t="n">
        <v>45987</v>
      </c>
      <c r="D190" t="inlineStr">
        <is>
          <t>JÄMTLANDS LÄN</t>
        </is>
      </c>
      <c r="E190" t="inlineStr">
        <is>
          <t>HÄRJEDALEN</t>
        </is>
      </c>
      <c r="G190" t="n">
        <v>2.4</v>
      </c>
      <c r="H190" t="n">
        <v>0</v>
      </c>
      <c r="I190" t="n">
        <v>0</v>
      </c>
      <c r="J190" t="n">
        <v>1</v>
      </c>
      <c r="K190" t="n">
        <v>0</v>
      </c>
      <c r="L190" t="n">
        <v>0</v>
      </c>
      <c r="M190" t="n">
        <v>0</v>
      </c>
      <c r="N190" t="n">
        <v>0</v>
      </c>
      <c r="O190" t="n">
        <v>1</v>
      </c>
      <c r="P190" t="n">
        <v>0</v>
      </c>
      <c r="Q190" t="n">
        <v>1</v>
      </c>
      <c r="R190" s="2" t="inlineStr">
        <is>
          <t>Motaggsvamp</t>
        </is>
      </c>
      <c r="S190">
        <f>HYPERLINK("https://klasma.github.io/Logging_2361/artfynd/A 17902-2025 artfynd.xlsx", "A 17902-2025")</f>
        <v/>
      </c>
      <c r="T190">
        <f>HYPERLINK("https://klasma.github.io/Logging_2361/kartor/A 17902-2025 karta.png", "A 17902-2025")</f>
        <v/>
      </c>
      <c r="V190">
        <f>HYPERLINK("https://klasma.github.io/Logging_2361/klagomål/A 17902-2025 FSC-klagomål.docx", "A 17902-2025")</f>
        <v/>
      </c>
      <c r="W190">
        <f>HYPERLINK("https://klasma.github.io/Logging_2361/klagomålsmail/A 17902-2025 FSC-klagomål mail.docx", "A 17902-2025")</f>
        <v/>
      </c>
      <c r="X190">
        <f>HYPERLINK("https://klasma.github.io/Logging_2361/tillsyn/A 17902-2025 tillsynsbegäran.docx", "A 17902-2025")</f>
        <v/>
      </c>
      <c r="Y190">
        <f>HYPERLINK("https://klasma.github.io/Logging_2361/tillsynsmail/A 17902-2025 tillsynsbegäran mail.docx", "A 17902-2025")</f>
        <v/>
      </c>
    </row>
    <row r="191" ht="15" customHeight="1">
      <c r="A191" t="inlineStr">
        <is>
          <t>A 2066-2024</t>
        </is>
      </c>
      <c r="B191" s="1" t="n">
        <v>45308</v>
      </c>
      <c r="C191" s="1" t="n">
        <v>45987</v>
      </c>
      <c r="D191" t="inlineStr">
        <is>
          <t>JÄMTLANDS LÄN</t>
        </is>
      </c>
      <c r="E191" t="inlineStr">
        <is>
          <t>HÄRJEDALEN</t>
        </is>
      </c>
      <c r="G191" t="n">
        <v>23.2</v>
      </c>
      <c r="H191" t="n">
        <v>1</v>
      </c>
      <c r="I191" t="n">
        <v>0</v>
      </c>
      <c r="J191" t="n">
        <v>1</v>
      </c>
      <c r="K191" t="n">
        <v>0</v>
      </c>
      <c r="L191" t="n">
        <v>0</v>
      </c>
      <c r="M191" t="n">
        <v>0</v>
      </c>
      <c r="N191" t="n">
        <v>0</v>
      </c>
      <c r="O191" t="n">
        <v>1</v>
      </c>
      <c r="P191" t="n">
        <v>0</v>
      </c>
      <c r="Q191" t="n">
        <v>1</v>
      </c>
      <c r="R191" s="2" t="inlineStr">
        <is>
          <t>Spillkråka</t>
        </is>
      </c>
      <c r="S191">
        <f>HYPERLINK("https://klasma.github.io/Logging_2361/artfynd/A 2066-2024 artfynd.xlsx", "A 2066-2024")</f>
        <v/>
      </c>
      <c r="T191">
        <f>HYPERLINK("https://klasma.github.io/Logging_2361/kartor/A 2066-2024 karta.png", "A 2066-2024")</f>
        <v/>
      </c>
      <c r="V191">
        <f>HYPERLINK("https://klasma.github.io/Logging_2361/klagomål/A 2066-2024 FSC-klagomål.docx", "A 2066-2024")</f>
        <v/>
      </c>
      <c r="W191">
        <f>HYPERLINK("https://klasma.github.io/Logging_2361/klagomålsmail/A 2066-2024 FSC-klagomål mail.docx", "A 2066-2024")</f>
        <v/>
      </c>
      <c r="X191">
        <f>HYPERLINK("https://klasma.github.io/Logging_2361/tillsyn/A 2066-2024 tillsynsbegäran.docx", "A 2066-2024")</f>
        <v/>
      </c>
      <c r="Y191">
        <f>HYPERLINK("https://klasma.github.io/Logging_2361/tillsynsmail/A 2066-2024 tillsynsbegäran mail.docx", "A 2066-2024")</f>
        <v/>
      </c>
      <c r="Z191">
        <f>HYPERLINK("https://klasma.github.io/Logging_2361/fåglar/A 2066-2024 prioriterade fågelarter.docx", "A 2066-2024")</f>
        <v/>
      </c>
    </row>
    <row r="192" ht="15" customHeight="1">
      <c r="A192" t="inlineStr">
        <is>
          <t>A 37451-2024</t>
        </is>
      </c>
      <c r="B192" s="1" t="n">
        <v>45540.69512731482</v>
      </c>
      <c r="C192" s="1" t="n">
        <v>45987</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45987</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55135-2024</t>
        </is>
      </c>
      <c r="B194" s="1" t="n">
        <v>45621.47555555555</v>
      </c>
      <c r="C194" s="1" t="n">
        <v>45987</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45987</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51234-2024</t>
        </is>
      </c>
      <c r="B196" s="1" t="n">
        <v>45603</v>
      </c>
      <c r="C196" s="1" t="n">
        <v>45987</v>
      </c>
      <c r="D196" t="inlineStr">
        <is>
          <t>JÄMTLANDS LÄN</t>
        </is>
      </c>
      <c r="E196" t="inlineStr">
        <is>
          <t>HÄRJEDALEN</t>
        </is>
      </c>
      <c r="F196" t="inlineStr">
        <is>
          <t>Holmen skog AB</t>
        </is>
      </c>
      <c r="G196" t="n">
        <v>2.6</v>
      </c>
      <c r="H196" t="n">
        <v>0</v>
      </c>
      <c r="I196" t="n">
        <v>0</v>
      </c>
      <c r="J196" t="n">
        <v>1</v>
      </c>
      <c r="K196" t="n">
        <v>0</v>
      </c>
      <c r="L196" t="n">
        <v>0</v>
      </c>
      <c r="M196" t="n">
        <v>0</v>
      </c>
      <c r="N196" t="n">
        <v>0</v>
      </c>
      <c r="O196" t="n">
        <v>1</v>
      </c>
      <c r="P196" t="n">
        <v>0</v>
      </c>
      <c r="Q196" t="n">
        <v>1</v>
      </c>
      <c r="R196" s="2" t="inlineStr">
        <is>
          <t>Blågrå svartspik</t>
        </is>
      </c>
      <c r="S196">
        <f>HYPERLINK("https://klasma.github.io/Logging_2361/artfynd/A 51234-2024 artfynd.xlsx", "A 51234-2024")</f>
        <v/>
      </c>
      <c r="T196">
        <f>HYPERLINK("https://klasma.github.io/Logging_2361/kartor/A 51234-2024 karta.png", "A 51234-2024")</f>
        <v/>
      </c>
      <c r="V196">
        <f>HYPERLINK("https://klasma.github.io/Logging_2361/klagomål/A 51234-2024 FSC-klagomål.docx", "A 51234-2024")</f>
        <v/>
      </c>
      <c r="W196">
        <f>HYPERLINK("https://klasma.github.io/Logging_2361/klagomålsmail/A 51234-2024 FSC-klagomål mail.docx", "A 51234-2024")</f>
        <v/>
      </c>
      <c r="X196">
        <f>HYPERLINK("https://klasma.github.io/Logging_2361/tillsyn/A 51234-2024 tillsynsbegäran.docx", "A 51234-2024")</f>
        <v/>
      </c>
      <c r="Y196">
        <f>HYPERLINK("https://klasma.github.io/Logging_2361/tillsynsmail/A 51234-2024 tillsynsbegäran mail.docx", "A 51234-2024")</f>
        <v/>
      </c>
    </row>
    <row r="197" ht="15" customHeight="1">
      <c r="A197" t="inlineStr">
        <is>
          <t>A 30330-2023</t>
        </is>
      </c>
      <c r="B197" s="1" t="n">
        <v>45111</v>
      </c>
      <c r="C197" s="1" t="n">
        <v>45987</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59367-2024</t>
        </is>
      </c>
      <c r="B198" s="1" t="n">
        <v>45638.33607638889</v>
      </c>
      <c r="C198" s="1" t="n">
        <v>45987</v>
      </c>
      <c r="D198" t="inlineStr">
        <is>
          <t>JÄMTLANDS LÄN</t>
        </is>
      </c>
      <c r="E198" t="inlineStr">
        <is>
          <t>HÄRJEDALEN</t>
        </is>
      </c>
      <c r="F198" t="inlineStr">
        <is>
          <t>Holmen skog AB</t>
        </is>
      </c>
      <c r="G198" t="n">
        <v>5.9</v>
      </c>
      <c r="H198" t="n">
        <v>0</v>
      </c>
      <c r="I198" t="n">
        <v>0</v>
      </c>
      <c r="J198" t="n">
        <v>1</v>
      </c>
      <c r="K198" t="n">
        <v>0</v>
      </c>
      <c r="L198" t="n">
        <v>0</v>
      </c>
      <c r="M198" t="n">
        <v>0</v>
      </c>
      <c r="N198" t="n">
        <v>0</v>
      </c>
      <c r="O198" t="n">
        <v>1</v>
      </c>
      <c r="P198" t="n">
        <v>0</v>
      </c>
      <c r="Q198" t="n">
        <v>1</v>
      </c>
      <c r="R198" s="2" t="inlineStr">
        <is>
          <t>Vedflamlav</t>
        </is>
      </c>
      <c r="S198">
        <f>HYPERLINK("https://klasma.github.io/Logging_2361/artfynd/A 59367-2024 artfynd.xlsx", "A 59367-2024")</f>
        <v/>
      </c>
      <c r="T198">
        <f>HYPERLINK("https://klasma.github.io/Logging_2361/kartor/A 59367-2024 karta.png", "A 59367-2024")</f>
        <v/>
      </c>
      <c r="V198">
        <f>HYPERLINK("https://klasma.github.io/Logging_2361/klagomål/A 59367-2024 FSC-klagomål.docx", "A 59367-2024")</f>
        <v/>
      </c>
      <c r="W198">
        <f>HYPERLINK("https://klasma.github.io/Logging_2361/klagomålsmail/A 59367-2024 FSC-klagomål mail.docx", "A 59367-2024")</f>
        <v/>
      </c>
      <c r="X198">
        <f>HYPERLINK("https://klasma.github.io/Logging_2361/tillsyn/A 59367-2024 tillsynsbegäran.docx", "A 59367-2024")</f>
        <v/>
      </c>
      <c r="Y198">
        <f>HYPERLINK("https://klasma.github.io/Logging_2361/tillsynsmail/A 59367-2024 tillsynsbegäran mail.docx", "A 59367-2024")</f>
        <v/>
      </c>
    </row>
    <row r="199" ht="15" customHeight="1">
      <c r="A199" t="inlineStr">
        <is>
          <t>A 23331-2025</t>
        </is>
      </c>
      <c r="B199" s="1" t="n">
        <v>45791</v>
      </c>
      <c r="C199" s="1" t="n">
        <v>45987</v>
      </c>
      <c r="D199" t="inlineStr">
        <is>
          <t>JÄMTLANDS LÄN</t>
        </is>
      </c>
      <c r="E199" t="inlineStr">
        <is>
          <t>HÄRJEDALEN</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HYPERLINK("https://klasma.github.io/Logging_2361/artfynd/A 23331-2025 artfynd.xlsx", "A 23331-2025")</f>
        <v/>
      </c>
      <c r="T199">
        <f>HYPERLINK("https://klasma.github.io/Logging_2361/kartor/A 23331-2025 karta.png", "A 23331-2025")</f>
        <v/>
      </c>
      <c r="V199">
        <f>HYPERLINK("https://klasma.github.io/Logging_2361/klagomål/A 23331-2025 FSC-klagomål.docx", "A 23331-2025")</f>
        <v/>
      </c>
      <c r="W199">
        <f>HYPERLINK("https://klasma.github.io/Logging_2361/klagomålsmail/A 23331-2025 FSC-klagomål mail.docx", "A 23331-2025")</f>
        <v/>
      </c>
      <c r="X199">
        <f>HYPERLINK("https://klasma.github.io/Logging_2361/tillsyn/A 23331-2025 tillsynsbegäran.docx", "A 23331-2025")</f>
        <v/>
      </c>
      <c r="Y199">
        <f>HYPERLINK("https://klasma.github.io/Logging_2361/tillsynsmail/A 23331-2025 tillsynsbegäran mail.docx", "A 23331-2025")</f>
        <v/>
      </c>
    </row>
    <row r="200" ht="15" customHeight="1">
      <c r="A200" t="inlineStr">
        <is>
          <t>A 12274-2025</t>
        </is>
      </c>
      <c r="B200" s="1" t="n">
        <v>45729.64623842593</v>
      </c>
      <c r="C200" s="1" t="n">
        <v>45987</v>
      </c>
      <c r="D200" t="inlineStr">
        <is>
          <t>JÄMTLANDS LÄN</t>
        </is>
      </c>
      <c r="E200" t="inlineStr">
        <is>
          <t>HÄRJEDALEN</t>
        </is>
      </c>
      <c r="F200" t="inlineStr">
        <is>
          <t>Holmen skog AB</t>
        </is>
      </c>
      <c r="G200" t="n">
        <v>1</v>
      </c>
      <c r="H200" t="n">
        <v>0</v>
      </c>
      <c r="I200" t="n">
        <v>0</v>
      </c>
      <c r="J200" t="n">
        <v>1</v>
      </c>
      <c r="K200" t="n">
        <v>0</v>
      </c>
      <c r="L200" t="n">
        <v>0</v>
      </c>
      <c r="M200" t="n">
        <v>0</v>
      </c>
      <c r="N200" t="n">
        <v>0</v>
      </c>
      <c r="O200" t="n">
        <v>1</v>
      </c>
      <c r="P200" t="n">
        <v>0</v>
      </c>
      <c r="Q200" t="n">
        <v>1</v>
      </c>
      <c r="R200" s="2" t="inlineStr">
        <is>
          <t>Garnlav</t>
        </is>
      </c>
      <c r="S200">
        <f>HYPERLINK("https://klasma.github.io/Logging_2361/artfynd/A 12274-2025 artfynd.xlsx", "A 12274-2025")</f>
        <v/>
      </c>
      <c r="T200">
        <f>HYPERLINK("https://klasma.github.io/Logging_2361/kartor/A 12274-2025 karta.png", "A 12274-2025")</f>
        <v/>
      </c>
      <c r="V200">
        <f>HYPERLINK("https://klasma.github.io/Logging_2361/klagomål/A 12274-2025 FSC-klagomål.docx", "A 12274-2025")</f>
        <v/>
      </c>
      <c r="W200">
        <f>HYPERLINK("https://klasma.github.io/Logging_2361/klagomålsmail/A 12274-2025 FSC-klagomål mail.docx", "A 12274-2025")</f>
        <v/>
      </c>
      <c r="X200">
        <f>HYPERLINK("https://klasma.github.io/Logging_2361/tillsyn/A 12274-2025 tillsynsbegäran.docx", "A 12274-2025")</f>
        <v/>
      </c>
      <c r="Y200">
        <f>HYPERLINK("https://klasma.github.io/Logging_2361/tillsynsmail/A 12274-2025 tillsynsbegäran mail.docx", "A 12274-2025")</f>
        <v/>
      </c>
    </row>
    <row r="201" ht="15" customHeight="1">
      <c r="A201" t="inlineStr">
        <is>
          <t>A 21334-2021</t>
        </is>
      </c>
      <c r="B201" s="1" t="n">
        <v>44320</v>
      </c>
      <c r="C201" s="1" t="n">
        <v>45987</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21298-2021</t>
        </is>
      </c>
      <c r="B202" s="1" t="n">
        <v>44320</v>
      </c>
      <c r="C202" s="1" t="n">
        <v>45987</v>
      </c>
      <c r="D202" t="inlineStr">
        <is>
          <t>JÄMTLANDS LÄN</t>
        </is>
      </c>
      <c r="E202" t="inlineStr">
        <is>
          <t>HÄRJEDALEN</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45987</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24690-2022</t>
        </is>
      </c>
      <c r="B204" s="1" t="n">
        <v>44727.70908564814</v>
      </c>
      <c r="C204" s="1" t="n">
        <v>45987</v>
      </c>
      <c r="D204" t="inlineStr">
        <is>
          <t>JÄMTLANDS LÄN</t>
        </is>
      </c>
      <c r="E204" t="inlineStr">
        <is>
          <t>HÄRJEDALEN</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42827-2021</t>
        </is>
      </c>
      <c r="B205" s="1" t="n">
        <v>44430</v>
      </c>
      <c r="C205" s="1" t="n">
        <v>45987</v>
      </c>
      <c r="D205" t="inlineStr">
        <is>
          <t>JÄMTLANDS LÄN</t>
        </is>
      </c>
      <c r="E205" t="inlineStr">
        <is>
          <t>HÄRJEDALEN</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71756-2021</t>
        </is>
      </c>
      <c r="B206" s="1" t="n">
        <v>44543</v>
      </c>
      <c r="C206" s="1" t="n">
        <v>45987</v>
      </c>
      <c r="D206" t="inlineStr">
        <is>
          <t>JÄMTLANDS LÄN</t>
        </is>
      </c>
      <c r="E206" t="inlineStr">
        <is>
          <t>HÄRJEDALEN</t>
        </is>
      </c>
      <c r="G206" t="n">
        <v>2.4</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45987</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45987</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39631-2021</t>
        </is>
      </c>
      <c r="B209" s="1" t="n">
        <v>44417.38271990741</v>
      </c>
      <c r="C209" s="1" t="n">
        <v>45987</v>
      </c>
      <c r="D209" t="inlineStr">
        <is>
          <t>JÄMTLANDS LÄN</t>
        </is>
      </c>
      <c r="E209" t="inlineStr">
        <is>
          <t>HÄRJEDALEN</t>
        </is>
      </c>
      <c r="G209" t="n">
        <v>4.3</v>
      </c>
      <c r="H209" t="n">
        <v>0</v>
      </c>
      <c r="I209" t="n">
        <v>0</v>
      </c>
      <c r="J209" t="n">
        <v>0</v>
      </c>
      <c r="K209" t="n">
        <v>0</v>
      </c>
      <c r="L209" t="n">
        <v>0</v>
      </c>
      <c r="M209" t="n">
        <v>0</v>
      </c>
      <c r="N209" t="n">
        <v>0</v>
      </c>
      <c r="O209" t="n">
        <v>0</v>
      </c>
      <c r="P209" t="n">
        <v>0</v>
      </c>
      <c r="Q209" t="n">
        <v>0</v>
      </c>
      <c r="R209" s="2" t="inlineStr"/>
    </row>
    <row r="210" ht="15" customHeight="1">
      <c r="A210" t="inlineStr">
        <is>
          <t>A 39636-2021</t>
        </is>
      </c>
      <c r="B210" s="1" t="n">
        <v>44417.38614583333</v>
      </c>
      <c r="C210" s="1" t="n">
        <v>45987</v>
      </c>
      <c r="D210" t="inlineStr">
        <is>
          <t>JÄMTLANDS LÄN</t>
        </is>
      </c>
      <c r="E210" t="inlineStr">
        <is>
          <t>HÄRJEDALEN</t>
        </is>
      </c>
      <c r="G210" t="n">
        <v>0.7</v>
      </c>
      <c r="H210" t="n">
        <v>0</v>
      </c>
      <c r="I210" t="n">
        <v>0</v>
      </c>
      <c r="J210" t="n">
        <v>0</v>
      </c>
      <c r="K210" t="n">
        <v>0</v>
      </c>
      <c r="L210" t="n">
        <v>0</v>
      </c>
      <c r="M210" t="n">
        <v>0</v>
      </c>
      <c r="N210" t="n">
        <v>0</v>
      </c>
      <c r="O210" t="n">
        <v>0</v>
      </c>
      <c r="P210" t="n">
        <v>0</v>
      </c>
      <c r="Q210" t="n">
        <v>0</v>
      </c>
      <c r="R210" s="2" t="inlineStr"/>
    </row>
    <row r="211" ht="15" customHeight="1">
      <c r="A211" t="inlineStr">
        <is>
          <t>A 60841-2021</t>
        </is>
      </c>
      <c r="B211" s="1" t="n">
        <v>44497</v>
      </c>
      <c r="C211" s="1" t="n">
        <v>45987</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55215-2021</t>
        </is>
      </c>
      <c r="B212" s="1" t="n">
        <v>44475</v>
      </c>
      <c r="C212" s="1" t="n">
        <v>45987</v>
      </c>
      <c r="D212" t="inlineStr">
        <is>
          <t>JÄMTLANDS LÄN</t>
        </is>
      </c>
      <c r="E212" t="inlineStr">
        <is>
          <t>HÄRJEDALEN</t>
        </is>
      </c>
      <c r="G212" t="n">
        <v>3.9</v>
      </c>
      <c r="H212" t="n">
        <v>0</v>
      </c>
      <c r="I212" t="n">
        <v>0</v>
      </c>
      <c r="J212" t="n">
        <v>0</v>
      </c>
      <c r="K212" t="n">
        <v>0</v>
      </c>
      <c r="L212" t="n">
        <v>0</v>
      </c>
      <c r="M212" t="n">
        <v>0</v>
      </c>
      <c r="N212" t="n">
        <v>0</v>
      </c>
      <c r="O212" t="n">
        <v>0</v>
      </c>
      <c r="P212" t="n">
        <v>0</v>
      </c>
      <c r="Q212" t="n">
        <v>0</v>
      </c>
      <c r="R212" s="2" t="inlineStr"/>
    </row>
    <row r="213" ht="15" customHeight="1">
      <c r="A213" t="inlineStr">
        <is>
          <t>A 69499-2021</t>
        </is>
      </c>
      <c r="B213" s="1" t="n">
        <v>44531</v>
      </c>
      <c r="C213" s="1" t="n">
        <v>45987</v>
      </c>
      <c r="D213" t="inlineStr">
        <is>
          <t>JÄMTLANDS LÄN</t>
        </is>
      </c>
      <c r="E213" t="inlineStr">
        <is>
          <t>HÄRJEDALEN</t>
        </is>
      </c>
      <c r="G213" t="n">
        <v>7.5</v>
      </c>
      <c r="H213" t="n">
        <v>0</v>
      </c>
      <c r="I213" t="n">
        <v>0</v>
      </c>
      <c r="J213" t="n">
        <v>0</v>
      </c>
      <c r="K213" t="n">
        <v>0</v>
      </c>
      <c r="L213" t="n">
        <v>0</v>
      </c>
      <c r="M213" t="n">
        <v>0</v>
      </c>
      <c r="N213" t="n">
        <v>0</v>
      </c>
      <c r="O213" t="n">
        <v>0</v>
      </c>
      <c r="P213" t="n">
        <v>0</v>
      </c>
      <c r="Q213" t="n">
        <v>0</v>
      </c>
      <c r="R213" s="2" t="inlineStr"/>
    </row>
    <row r="214" ht="15" customHeight="1">
      <c r="A214" t="inlineStr">
        <is>
          <t>A 6309-2022</t>
        </is>
      </c>
      <c r="B214" s="1" t="n">
        <v>44600</v>
      </c>
      <c r="C214" s="1" t="n">
        <v>45987</v>
      </c>
      <c r="D214" t="inlineStr">
        <is>
          <t>JÄMTLANDS LÄN</t>
        </is>
      </c>
      <c r="E214" t="inlineStr">
        <is>
          <t>HÄRJEDALEN</t>
        </is>
      </c>
      <c r="G214" t="n">
        <v>38.2</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45987</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45987</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45987</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45987</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45987</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55393-2021</t>
        </is>
      </c>
      <c r="B220" s="1" t="n">
        <v>44475</v>
      </c>
      <c r="C220" s="1" t="n">
        <v>45987</v>
      </c>
      <c r="D220" t="inlineStr">
        <is>
          <t>JÄMTLANDS LÄN</t>
        </is>
      </c>
      <c r="E220" t="inlineStr">
        <is>
          <t>HÄRJEDALEN</t>
        </is>
      </c>
      <c r="G220" t="n">
        <v>3</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45987</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45987</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45987</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45987</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45987</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45987</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45987</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45987</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45987</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6941-2022</t>
        </is>
      </c>
      <c r="B230" s="1" t="n">
        <v>44603</v>
      </c>
      <c r="C230" s="1" t="n">
        <v>45987</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39951-2021</t>
        </is>
      </c>
      <c r="B231" s="1" t="n">
        <v>44418</v>
      </c>
      <c r="C231" s="1" t="n">
        <v>45987</v>
      </c>
      <c r="D231" t="inlineStr">
        <is>
          <t>JÄMTLANDS LÄN</t>
        </is>
      </c>
      <c r="E231" t="inlineStr">
        <is>
          <t>HÄRJEDALEN</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66720-2020</t>
        </is>
      </c>
      <c r="B232" s="1" t="n">
        <v>44179</v>
      </c>
      <c r="C232" s="1" t="n">
        <v>45987</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45987</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45987</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45987</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45987</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15685-2021</t>
        </is>
      </c>
      <c r="B237" s="1" t="n">
        <v>44286</v>
      </c>
      <c r="C237" s="1" t="n">
        <v>45987</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45987</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45987</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45987</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45987</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11541-2022</t>
        </is>
      </c>
      <c r="B242" s="1" t="n">
        <v>44631.41535879629</v>
      </c>
      <c r="C242" s="1" t="n">
        <v>45987</v>
      </c>
      <c r="D242" t="inlineStr">
        <is>
          <t>JÄMTLANDS LÄN</t>
        </is>
      </c>
      <c r="E242" t="inlineStr">
        <is>
          <t>HÄRJEDALEN</t>
        </is>
      </c>
      <c r="F242" t="inlineStr">
        <is>
          <t>Holmen skog AB</t>
        </is>
      </c>
      <c r="G242" t="n">
        <v>5.5</v>
      </c>
      <c r="H242" t="n">
        <v>0</v>
      </c>
      <c r="I242" t="n">
        <v>0</v>
      </c>
      <c r="J242" t="n">
        <v>0</v>
      </c>
      <c r="K242" t="n">
        <v>0</v>
      </c>
      <c r="L242" t="n">
        <v>0</v>
      </c>
      <c r="M242" t="n">
        <v>0</v>
      </c>
      <c r="N242" t="n">
        <v>0</v>
      </c>
      <c r="O242" t="n">
        <v>0</v>
      </c>
      <c r="P242" t="n">
        <v>0</v>
      </c>
      <c r="Q242" t="n">
        <v>0</v>
      </c>
      <c r="R242" s="2" t="inlineStr"/>
    </row>
    <row r="243" ht="15" customHeight="1">
      <c r="A243" t="inlineStr">
        <is>
          <t>A 52685-2021</t>
        </is>
      </c>
      <c r="B243" s="1" t="n">
        <v>44466.81701388889</v>
      </c>
      <c r="C243" s="1" t="n">
        <v>45987</v>
      </c>
      <c r="D243" t="inlineStr">
        <is>
          <t>JÄMTLANDS LÄN</t>
        </is>
      </c>
      <c r="E243" t="inlineStr">
        <is>
          <t>HÄRJEDALEN</t>
        </is>
      </c>
      <c r="G243" t="n">
        <v>0.6</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45987</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45987</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45987</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66276-2020</t>
        </is>
      </c>
      <c r="B247" s="1" t="n">
        <v>44174</v>
      </c>
      <c r="C247" s="1" t="n">
        <v>45987</v>
      </c>
      <c r="D247" t="inlineStr">
        <is>
          <t>JÄMTLANDS LÄN</t>
        </is>
      </c>
      <c r="E247" t="inlineStr">
        <is>
          <t>HÄRJEDALEN</t>
        </is>
      </c>
      <c r="G247" t="n">
        <v>4</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45987</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45987</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45987</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45987</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45987</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45987</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45987</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45987</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45987</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45987</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45987</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45987</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45987</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68141-2020</t>
        </is>
      </c>
      <c r="B261" s="1" t="n">
        <v>44183</v>
      </c>
      <c r="C261" s="1" t="n">
        <v>45987</v>
      </c>
      <c r="D261" t="inlineStr">
        <is>
          <t>JÄMTLANDS LÄN</t>
        </is>
      </c>
      <c r="E261" t="inlineStr">
        <is>
          <t>HÄRJEDALEN</t>
        </is>
      </c>
      <c r="G261" t="n">
        <v>3.1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45987</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45987</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45987</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45987</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65817-2020</t>
        </is>
      </c>
      <c r="B266" s="1" t="n">
        <v>44174</v>
      </c>
      <c r="C266" s="1" t="n">
        <v>45987</v>
      </c>
      <c r="D266" t="inlineStr">
        <is>
          <t>JÄMTLANDS LÄN</t>
        </is>
      </c>
      <c r="E266" t="inlineStr">
        <is>
          <t>HÄRJEDALEN</t>
        </is>
      </c>
      <c r="G266" t="n">
        <v>1.8</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45987</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45987</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45987</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45987</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45987</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45987</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45987</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45987</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45987</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45987</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45987</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67445-2020</t>
        </is>
      </c>
      <c r="B278" s="1" t="n">
        <v>44181</v>
      </c>
      <c r="C278" s="1" t="n">
        <v>45987</v>
      </c>
      <c r="D278" t="inlineStr">
        <is>
          <t>JÄMTLANDS LÄN</t>
        </is>
      </c>
      <c r="E278" t="inlineStr">
        <is>
          <t>HÄRJEDALEN</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41978-2021</t>
        </is>
      </c>
      <c r="B279" s="1" t="n">
        <v>44426.45706018519</v>
      </c>
      <c r="C279" s="1" t="n">
        <v>45987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48583-2022</t>
        </is>
      </c>
      <c r="B280" s="1" t="n">
        <v>44859</v>
      </c>
      <c r="C280" s="1" t="n">
        <v>45987</v>
      </c>
      <c r="D280" t="inlineStr">
        <is>
          <t>JÄMTLANDS LÄN</t>
        </is>
      </c>
      <c r="E280" t="inlineStr">
        <is>
          <t>HÄRJEDALEN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45987</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45987</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45987</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45987</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45987</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45987</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45987</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45987</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45987</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64300-2020</t>
        </is>
      </c>
      <c r="B290" s="1" t="n">
        <v>44166</v>
      </c>
      <c r="C290" s="1" t="n">
        <v>45987</v>
      </c>
      <c r="D290" t="inlineStr">
        <is>
          <t>JÄMTLANDS LÄN</t>
        </is>
      </c>
      <c r="E290" t="inlineStr">
        <is>
          <t>HÄRJEDALEN</t>
        </is>
      </c>
      <c r="F290" t="inlineStr">
        <is>
          <t>Övriga statliga verk och myndigheter</t>
        </is>
      </c>
      <c r="G290" t="n">
        <v>58</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45987</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45987</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45987</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45987</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55250-2021</t>
        </is>
      </c>
      <c r="B295" s="1" t="n">
        <v>44475</v>
      </c>
      <c r="C295" s="1" t="n">
        <v>45987</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69101-2020</t>
        </is>
      </c>
      <c r="B296" s="1" t="n">
        <v>44188</v>
      </c>
      <c r="C296" s="1" t="n">
        <v>45987</v>
      </c>
      <c r="D296" t="inlineStr">
        <is>
          <t>JÄMTLANDS LÄN</t>
        </is>
      </c>
      <c r="E296" t="inlineStr">
        <is>
          <t>HÄRJEDALEN</t>
        </is>
      </c>
      <c r="G296" t="n">
        <v>3.1</v>
      </c>
      <c r="H296" t="n">
        <v>0</v>
      </c>
      <c r="I296" t="n">
        <v>0</v>
      </c>
      <c r="J296" t="n">
        <v>0</v>
      </c>
      <c r="K296" t="n">
        <v>0</v>
      </c>
      <c r="L296" t="n">
        <v>0</v>
      </c>
      <c r="M296" t="n">
        <v>0</v>
      </c>
      <c r="N296" t="n">
        <v>0</v>
      </c>
      <c r="O296" t="n">
        <v>0</v>
      </c>
      <c r="P296" t="n">
        <v>0</v>
      </c>
      <c r="Q296" t="n">
        <v>0</v>
      </c>
      <c r="R296" s="2" t="inlineStr"/>
    </row>
    <row r="297" ht="15" customHeight="1">
      <c r="A297" t="inlineStr">
        <is>
          <t>A 33424-2021</t>
        </is>
      </c>
      <c r="B297" s="1" t="n">
        <v>44377</v>
      </c>
      <c r="C297" s="1" t="n">
        <v>45987</v>
      </c>
      <c r="D297" t="inlineStr">
        <is>
          <t>JÄMTLANDS LÄN</t>
        </is>
      </c>
      <c r="E297" t="inlineStr">
        <is>
          <t>HÄRJEDALEN</t>
        </is>
      </c>
      <c r="G297" t="n">
        <v>2.5</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45987</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45987</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30962-2022</t>
        </is>
      </c>
      <c r="B300" s="1" t="n">
        <v>44768.44859953703</v>
      </c>
      <c r="C300" s="1" t="n">
        <v>45987</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45987</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45987</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45987</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45987</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55103-2022</t>
        </is>
      </c>
      <c r="B305" s="1" t="n">
        <v>44886.629375</v>
      </c>
      <c r="C305" s="1" t="n">
        <v>45987</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12629-2021</t>
        </is>
      </c>
      <c r="B306" s="1" t="n">
        <v>44270</v>
      </c>
      <c r="C306" s="1" t="n">
        <v>45987</v>
      </c>
      <c r="D306" t="inlineStr">
        <is>
          <t>JÄMTLANDS LÄN</t>
        </is>
      </c>
      <c r="E306" t="inlineStr">
        <is>
          <t>HÄRJEDALEN</t>
        </is>
      </c>
      <c r="G306" t="n">
        <v>20.7</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45987</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5519-2021</t>
        </is>
      </c>
      <c r="B308" s="1" t="n">
        <v>44230</v>
      </c>
      <c r="C308" s="1" t="n">
        <v>45987</v>
      </c>
      <c r="D308" t="inlineStr">
        <is>
          <t>JÄMTLANDS LÄN</t>
        </is>
      </c>
      <c r="E308" t="inlineStr">
        <is>
          <t>HÄRJEDALEN</t>
        </is>
      </c>
      <c r="G308" t="n">
        <v>10.8</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45987</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45987</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45987</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45987</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45987</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45987</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45987</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45987</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45987</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45987</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45987</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45987</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45987</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45987</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45987</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45987</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45987</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45987</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67182-2020</t>
        </is>
      </c>
      <c r="B327" s="1" t="n">
        <v>44180</v>
      </c>
      <c r="C327" s="1" t="n">
        <v>45987</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1088-2021</t>
        </is>
      </c>
      <c r="B328" s="1" t="n">
        <v>44207</v>
      </c>
      <c r="C328" s="1" t="n">
        <v>45987</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64539-2020</t>
        </is>
      </c>
      <c r="B329" s="1" t="n">
        <v>44169</v>
      </c>
      <c r="C329" s="1" t="n">
        <v>45987</v>
      </c>
      <c r="D329" t="inlineStr">
        <is>
          <t>JÄMTLANDS LÄN</t>
        </is>
      </c>
      <c r="E329" t="inlineStr">
        <is>
          <t>HÄRJEDALEN</t>
        </is>
      </c>
      <c r="G329" t="n">
        <v>5.6</v>
      </c>
      <c r="H329" t="n">
        <v>0</v>
      </c>
      <c r="I329" t="n">
        <v>0</v>
      </c>
      <c r="J329" t="n">
        <v>0</v>
      </c>
      <c r="K329" t="n">
        <v>0</v>
      </c>
      <c r="L329" t="n">
        <v>0</v>
      </c>
      <c r="M329" t="n">
        <v>0</v>
      </c>
      <c r="N329" t="n">
        <v>0</v>
      </c>
      <c r="O329" t="n">
        <v>0</v>
      </c>
      <c r="P329" t="n">
        <v>0</v>
      </c>
      <c r="Q329" t="n">
        <v>0</v>
      </c>
      <c r="R329" s="2" t="inlineStr"/>
    </row>
    <row r="330" ht="15" customHeight="1">
      <c r="A330" t="inlineStr">
        <is>
          <t>A 21702-2021</t>
        </is>
      </c>
      <c r="B330" s="1" t="n">
        <v>44316</v>
      </c>
      <c r="C330" s="1" t="n">
        <v>45987</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45987</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45987</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64484-2023</t>
        </is>
      </c>
      <c r="B333" s="1" t="n">
        <v>45280</v>
      </c>
      <c r="C333" s="1" t="n">
        <v>45987</v>
      </c>
      <c r="D333" t="inlineStr">
        <is>
          <t>JÄMTLANDS LÄN</t>
        </is>
      </c>
      <c r="E333" t="inlineStr">
        <is>
          <t>HÄRJEDALEN</t>
        </is>
      </c>
      <c r="G333" t="n">
        <v>7.1</v>
      </c>
      <c r="H333" t="n">
        <v>0</v>
      </c>
      <c r="I333" t="n">
        <v>0</v>
      </c>
      <c r="J333" t="n">
        <v>0</v>
      </c>
      <c r="K333" t="n">
        <v>0</v>
      </c>
      <c r="L333" t="n">
        <v>0</v>
      </c>
      <c r="M333" t="n">
        <v>0</v>
      </c>
      <c r="N333" t="n">
        <v>0</v>
      </c>
      <c r="O333" t="n">
        <v>0</v>
      </c>
      <c r="P333" t="n">
        <v>0</v>
      </c>
      <c r="Q333" t="n">
        <v>0</v>
      </c>
      <c r="R333" s="2" t="inlineStr"/>
    </row>
    <row r="334" ht="15" customHeight="1">
      <c r="A334" t="inlineStr">
        <is>
          <t>A 7385-2025</t>
        </is>
      </c>
      <c r="B334" s="1" t="n">
        <v>45705.32643518518</v>
      </c>
      <c r="C334" s="1" t="n">
        <v>45987</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20104-2025</t>
        </is>
      </c>
      <c r="B335" s="1" t="n">
        <v>45772.46965277778</v>
      </c>
      <c r="C335" s="1" t="n">
        <v>45987</v>
      </c>
      <c r="D335" t="inlineStr">
        <is>
          <t>JÄMTLANDS LÄN</t>
        </is>
      </c>
      <c r="E335" t="inlineStr">
        <is>
          <t>HÄRJEDALEN</t>
        </is>
      </c>
      <c r="F335" t="inlineStr">
        <is>
          <t>SCA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20033-2025</t>
        </is>
      </c>
      <c r="B336" s="1" t="n">
        <v>45772.36106481482</v>
      </c>
      <c r="C336" s="1" t="n">
        <v>45987</v>
      </c>
      <c r="D336" t="inlineStr">
        <is>
          <t>JÄMTLANDS LÄN</t>
        </is>
      </c>
      <c r="E336" t="inlineStr">
        <is>
          <t>HÄRJEDALEN</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22728-2023</t>
        </is>
      </c>
      <c r="B337" s="1" t="n">
        <v>45071.92488425926</v>
      </c>
      <c r="C337" s="1" t="n">
        <v>45987</v>
      </c>
      <c r="D337" t="inlineStr">
        <is>
          <t>JÄMTLANDS LÄN</t>
        </is>
      </c>
      <c r="E337" t="inlineStr">
        <is>
          <t>HÄRJEDALEN</t>
        </is>
      </c>
      <c r="G337" t="n">
        <v>2.8</v>
      </c>
      <c r="H337" t="n">
        <v>0</v>
      </c>
      <c r="I337" t="n">
        <v>0</v>
      </c>
      <c r="J337" t="n">
        <v>0</v>
      </c>
      <c r="K337" t="n">
        <v>0</v>
      </c>
      <c r="L337" t="n">
        <v>0</v>
      </c>
      <c r="M337" t="n">
        <v>0</v>
      </c>
      <c r="N337" t="n">
        <v>0</v>
      </c>
      <c r="O337" t="n">
        <v>0</v>
      </c>
      <c r="P337" t="n">
        <v>0</v>
      </c>
      <c r="Q337" t="n">
        <v>0</v>
      </c>
      <c r="R337" s="2" t="inlineStr"/>
    </row>
    <row r="338" ht="15" customHeight="1">
      <c r="A338" t="inlineStr">
        <is>
          <t>A 9775-2024</t>
        </is>
      </c>
      <c r="B338" s="1" t="n">
        <v>45362.64613425926</v>
      </c>
      <c r="C338" s="1" t="n">
        <v>45987</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9778-2024</t>
        </is>
      </c>
      <c r="B339" s="1" t="n">
        <v>45362.65407407407</v>
      </c>
      <c r="C339" s="1" t="n">
        <v>45987</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9788-2024</t>
        </is>
      </c>
      <c r="B340" s="1" t="n">
        <v>45362.67789351852</v>
      </c>
      <c r="C340" s="1" t="n">
        <v>45987</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7433-2024</t>
        </is>
      </c>
      <c r="B341" s="1" t="n">
        <v>45345.66555555556</v>
      </c>
      <c r="C341" s="1" t="n">
        <v>45987</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16151-2024</t>
        </is>
      </c>
      <c r="B342" s="1" t="n">
        <v>45406</v>
      </c>
      <c r="C342" s="1" t="n">
        <v>45987</v>
      </c>
      <c r="D342" t="inlineStr">
        <is>
          <t>JÄMTLANDS LÄN</t>
        </is>
      </c>
      <c r="E342" t="inlineStr">
        <is>
          <t>HÄRJEDALEN</t>
        </is>
      </c>
      <c r="F342" t="inlineStr">
        <is>
          <t>Holmen skog AB</t>
        </is>
      </c>
      <c r="G342" t="n">
        <v>21.6</v>
      </c>
      <c r="H342" t="n">
        <v>0</v>
      </c>
      <c r="I342" t="n">
        <v>0</v>
      </c>
      <c r="J342" t="n">
        <v>0</v>
      </c>
      <c r="K342" t="n">
        <v>0</v>
      </c>
      <c r="L342" t="n">
        <v>0</v>
      </c>
      <c r="M342" t="n">
        <v>0</v>
      </c>
      <c r="N342" t="n">
        <v>0</v>
      </c>
      <c r="O342" t="n">
        <v>0</v>
      </c>
      <c r="P342" t="n">
        <v>0</v>
      </c>
      <c r="Q342" t="n">
        <v>0</v>
      </c>
      <c r="R342" s="2" t="inlineStr"/>
    </row>
    <row r="343" ht="15" customHeight="1">
      <c r="A343" t="inlineStr">
        <is>
          <t>A 16185-2024</t>
        </is>
      </c>
      <c r="B343" s="1" t="n">
        <v>45406</v>
      </c>
      <c r="C343" s="1" t="n">
        <v>45987</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40596-2022</t>
        </is>
      </c>
      <c r="B344" s="1" t="n">
        <v>44823.84673611111</v>
      </c>
      <c r="C344" s="1" t="n">
        <v>45987</v>
      </c>
      <c r="D344" t="inlineStr">
        <is>
          <t>JÄMTLANDS LÄN</t>
        </is>
      </c>
      <c r="E344" t="inlineStr">
        <is>
          <t>HÄRJEDALEN</t>
        </is>
      </c>
      <c r="G344" t="n">
        <v>2.9</v>
      </c>
      <c r="H344" t="n">
        <v>0</v>
      </c>
      <c r="I344" t="n">
        <v>0</v>
      </c>
      <c r="J344" t="n">
        <v>0</v>
      </c>
      <c r="K344" t="n">
        <v>0</v>
      </c>
      <c r="L344" t="n">
        <v>0</v>
      </c>
      <c r="M344" t="n">
        <v>0</v>
      </c>
      <c r="N344" t="n">
        <v>0</v>
      </c>
      <c r="O344" t="n">
        <v>0</v>
      </c>
      <c r="P344" t="n">
        <v>0</v>
      </c>
      <c r="Q344" t="n">
        <v>0</v>
      </c>
      <c r="R344" s="2" t="inlineStr"/>
    </row>
    <row r="345" ht="15" customHeight="1">
      <c r="A345" t="inlineStr">
        <is>
          <t>A 17705-2021</t>
        </is>
      </c>
      <c r="B345" s="1" t="n">
        <v>44300</v>
      </c>
      <c r="C345" s="1" t="n">
        <v>45987</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29581-2021</t>
        </is>
      </c>
      <c r="B346" s="1" t="n">
        <v>44361</v>
      </c>
      <c r="C346" s="1" t="n">
        <v>45987</v>
      </c>
      <c r="D346" t="inlineStr">
        <is>
          <t>JÄMTLANDS LÄN</t>
        </is>
      </c>
      <c r="E346" t="inlineStr">
        <is>
          <t>HÄRJEDALEN</t>
        </is>
      </c>
      <c r="G346" t="n">
        <v>50.9</v>
      </c>
      <c r="H346" t="n">
        <v>0</v>
      </c>
      <c r="I346" t="n">
        <v>0</v>
      </c>
      <c r="J346" t="n">
        <v>0</v>
      </c>
      <c r="K346" t="n">
        <v>0</v>
      </c>
      <c r="L346" t="n">
        <v>0</v>
      </c>
      <c r="M346" t="n">
        <v>0</v>
      </c>
      <c r="N346" t="n">
        <v>0</v>
      </c>
      <c r="O346" t="n">
        <v>0</v>
      </c>
      <c r="P346" t="n">
        <v>0</v>
      </c>
      <c r="Q346" t="n">
        <v>0</v>
      </c>
      <c r="R346" s="2" t="inlineStr"/>
    </row>
    <row r="347" ht="15" customHeight="1">
      <c r="A347" t="inlineStr">
        <is>
          <t>A 6756-2024</t>
        </is>
      </c>
      <c r="B347" s="1" t="n">
        <v>45342</v>
      </c>
      <c r="C347" s="1" t="n">
        <v>45987</v>
      </c>
      <c r="D347" t="inlineStr">
        <is>
          <t>JÄMTLANDS LÄN</t>
        </is>
      </c>
      <c r="E347" t="inlineStr">
        <is>
          <t>HÄRJEDALEN</t>
        </is>
      </c>
      <c r="G347" t="n">
        <v>5.7</v>
      </c>
      <c r="H347" t="n">
        <v>0</v>
      </c>
      <c r="I347" t="n">
        <v>0</v>
      </c>
      <c r="J347" t="n">
        <v>0</v>
      </c>
      <c r="K347" t="n">
        <v>0</v>
      </c>
      <c r="L347" t="n">
        <v>0</v>
      </c>
      <c r="M347" t="n">
        <v>0</v>
      </c>
      <c r="N347" t="n">
        <v>0</v>
      </c>
      <c r="O347" t="n">
        <v>0</v>
      </c>
      <c r="P347" t="n">
        <v>0</v>
      </c>
      <c r="Q347" t="n">
        <v>0</v>
      </c>
      <c r="R347" s="2" t="inlineStr"/>
    </row>
    <row r="348" ht="15" customHeight="1">
      <c r="A348" t="inlineStr">
        <is>
          <t>A 4837-2025</t>
        </is>
      </c>
      <c r="B348" s="1" t="n">
        <v>45688.67145833333</v>
      </c>
      <c r="C348" s="1" t="n">
        <v>45987</v>
      </c>
      <c r="D348" t="inlineStr">
        <is>
          <t>JÄMTLANDS LÄN</t>
        </is>
      </c>
      <c r="E348" t="inlineStr">
        <is>
          <t>HÄRJEDALEN</t>
        </is>
      </c>
      <c r="F348" t="inlineStr">
        <is>
          <t>SCA</t>
        </is>
      </c>
      <c r="G348" t="n">
        <v>21.9</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45987</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24964-2023</t>
        </is>
      </c>
      <c r="B350" s="1" t="n">
        <v>45085</v>
      </c>
      <c r="C350" s="1" t="n">
        <v>45987</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14401-2025</t>
        </is>
      </c>
      <c r="B351" s="1" t="n">
        <v>45741.45597222223</v>
      </c>
      <c r="C351" s="1" t="n">
        <v>45987</v>
      </c>
      <c r="D351" t="inlineStr">
        <is>
          <t>JÄMTLANDS LÄN</t>
        </is>
      </c>
      <c r="E351" t="inlineStr">
        <is>
          <t>HÄRJEDALEN</t>
        </is>
      </c>
      <c r="G351" t="n">
        <v>7.2</v>
      </c>
      <c r="H351" t="n">
        <v>0</v>
      </c>
      <c r="I351" t="n">
        <v>0</v>
      </c>
      <c r="J351" t="n">
        <v>0</v>
      </c>
      <c r="K351" t="n">
        <v>0</v>
      </c>
      <c r="L351" t="n">
        <v>0</v>
      </c>
      <c r="M351" t="n">
        <v>0</v>
      </c>
      <c r="N351" t="n">
        <v>0</v>
      </c>
      <c r="O351" t="n">
        <v>0</v>
      </c>
      <c r="P351" t="n">
        <v>0</v>
      </c>
      <c r="Q351" t="n">
        <v>0</v>
      </c>
      <c r="R351" s="2" t="inlineStr"/>
    </row>
    <row r="352" ht="15" customHeight="1">
      <c r="A352" t="inlineStr">
        <is>
          <t>A 31960-2023</t>
        </is>
      </c>
      <c r="B352" s="1" t="n">
        <v>45119.39105324074</v>
      </c>
      <c r="C352" s="1" t="n">
        <v>45987</v>
      </c>
      <c r="D352" t="inlineStr">
        <is>
          <t>JÄMTLANDS LÄN</t>
        </is>
      </c>
      <c r="E352" t="inlineStr">
        <is>
          <t>HÄRJEDALEN</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49689-2022</t>
        </is>
      </c>
      <c r="B353" s="1" t="n">
        <v>44862</v>
      </c>
      <c r="C353" s="1" t="n">
        <v>45987</v>
      </c>
      <c r="D353" t="inlineStr">
        <is>
          <t>JÄMTLANDS LÄN</t>
        </is>
      </c>
      <c r="E353" t="inlineStr">
        <is>
          <t>HÄRJEDALEN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56587-2023</t>
        </is>
      </c>
      <c r="B354" s="1" t="n">
        <v>45243.63798611111</v>
      </c>
      <c r="C354" s="1" t="n">
        <v>45987</v>
      </c>
      <c r="D354" t="inlineStr">
        <is>
          <t>JÄMTLANDS LÄN</t>
        </is>
      </c>
      <c r="E354" t="inlineStr">
        <is>
          <t>HÄRJEDALEN</t>
        </is>
      </c>
      <c r="G354" t="n">
        <v>13.4</v>
      </c>
      <c r="H354" t="n">
        <v>0</v>
      </c>
      <c r="I354" t="n">
        <v>0</v>
      </c>
      <c r="J354" t="n">
        <v>0</v>
      </c>
      <c r="K354" t="n">
        <v>0</v>
      </c>
      <c r="L354" t="n">
        <v>0</v>
      </c>
      <c r="M354" t="n">
        <v>0</v>
      </c>
      <c r="N354" t="n">
        <v>0</v>
      </c>
      <c r="O354" t="n">
        <v>0</v>
      </c>
      <c r="P354" t="n">
        <v>0</v>
      </c>
      <c r="Q354" t="n">
        <v>0</v>
      </c>
      <c r="R354" s="2" t="inlineStr"/>
    </row>
    <row r="355" ht="15" customHeight="1">
      <c r="A355" t="inlineStr">
        <is>
          <t>A 24608-2024</t>
        </is>
      </c>
      <c r="B355" s="1" t="n">
        <v>45460.47969907407</v>
      </c>
      <c r="C355" s="1" t="n">
        <v>45987</v>
      </c>
      <c r="D355" t="inlineStr">
        <is>
          <t>JÄMTLANDS LÄN</t>
        </is>
      </c>
      <c r="E355" t="inlineStr">
        <is>
          <t>HÄRJEDALEN</t>
        </is>
      </c>
      <c r="G355" t="n">
        <v>15.7</v>
      </c>
      <c r="H355" t="n">
        <v>0</v>
      </c>
      <c r="I355" t="n">
        <v>0</v>
      </c>
      <c r="J355" t="n">
        <v>0</v>
      </c>
      <c r="K355" t="n">
        <v>0</v>
      </c>
      <c r="L355" t="n">
        <v>0</v>
      </c>
      <c r="M355" t="n">
        <v>0</v>
      </c>
      <c r="N355" t="n">
        <v>0</v>
      </c>
      <c r="O355" t="n">
        <v>0</v>
      </c>
      <c r="P355" t="n">
        <v>0</v>
      </c>
      <c r="Q355" t="n">
        <v>0</v>
      </c>
      <c r="R355" s="2" t="inlineStr"/>
    </row>
    <row r="356" ht="15" customHeight="1">
      <c r="A356" t="inlineStr">
        <is>
          <t>A 19488-2024</t>
        </is>
      </c>
      <c r="B356" s="1" t="n">
        <v>45429</v>
      </c>
      <c r="C356" s="1" t="n">
        <v>45987</v>
      </c>
      <c r="D356" t="inlineStr">
        <is>
          <t>JÄMTLANDS LÄN</t>
        </is>
      </c>
      <c r="E356" t="inlineStr">
        <is>
          <t>HÄRJEDALEN</t>
        </is>
      </c>
      <c r="G356" t="n">
        <v>0.5</v>
      </c>
      <c r="H356" t="n">
        <v>0</v>
      </c>
      <c r="I356" t="n">
        <v>0</v>
      </c>
      <c r="J356" t="n">
        <v>0</v>
      </c>
      <c r="K356" t="n">
        <v>0</v>
      </c>
      <c r="L356" t="n">
        <v>0</v>
      </c>
      <c r="M356" t="n">
        <v>0</v>
      </c>
      <c r="N356" t="n">
        <v>0</v>
      </c>
      <c r="O356" t="n">
        <v>0</v>
      </c>
      <c r="P356" t="n">
        <v>0</v>
      </c>
      <c r="Q356" t="n">
        <v>0</v>
      </c>
      <c r="R356" s="2" t="inlineStr"/>
    </row>
    <row r="357" ht="15" customHeight="1">
      <c r="A357" t="inlineStr">
        <is>
          <t>A 16283-2024</t>
        </is>
      </c>
      <c r="B357" s="1" t="n">
        <v>45407.36894675926</v>
      </c>
      <c r="C357" s="1" t="n">
        <v>45987</v>
      </c>
      <c r="D357" t="inlineStr">
        <is>
          <t>JÄMTLANDS LÄN</t>
        </is>
      </c>
      <c r="E357" t="inlineStr">
        <is>
          <t>HÄRJEDALEN</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39453-2021</t>
        </is>
      </c>
      <c r="B358" s="1" t="n">
        <v>44414.58354166667</v>
      </c>
      <c r="C358" s="1" t="n">
        <v>45987</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63979-2020</t>
        </is>
      </c>
      <c r="B359" s="1" t="n">
        <v>44167</v>
      </c>
      <c r="C359" s="1" t="n">
        <v>45987</v>
      </c>
      <c r="D359" t="inlineStr">
        <is>
          <t>JÄMTLANDS LÄN</t>
        </is>
      </c>
      <c r="E359" t="inlineStr">
        <is>
          <t>HÄRJEDALEN</t>
        </is>
      </c>
      <c r="G359" t="n">
        <v>10</v>
      </c>
      <c r="H359" t="n">
        <v>0</v>
      </c>
      <c r="I359" t="n">
        <v>0</v>
      </c>
      <c r="J359" t="n">
        <v>0</v>
      </c>
      <c r="K359" t="n">
        <v>0</v>
      </c>
      <c r="L359" t="n">
        <v>0</v>
      </c>
      <c r="M359" t="n">
        <v>0</v>
      </c>
      <c r="N359" t="n">
        <v>0</v>
      </c>
      <c r="O359" t="n">
        <v>0</v>
      </c>
      <c r="P359" t="n">
        <v>0</v>
      </c>
      <c r="Q359" t="n">
        <v>0</v>
      </c>
      <c r="R359" s="2" t="inlineStr"/>
    </row>
    <row r="360" ht="15" customHeight="1">
      <c r="A360" t="inlineStr">
        <is>
          <t>A 18541-2025</t>
        </is>
      </c>
      <c r="B360" s="1" t="n">
        <v>45763.41402777778</v>
      </c>
      <c r="C360" s="1" t="n">
        <v>45987</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60611-2023</t>
        </is>
      </c>
      <c r="B361" s="1" t="n">
        <v>45260.35777777778</v>
      </c>
      <c r="C361" s="1" t="n">
        <v>45987</v>
      </c>
      <c r="D361" t="inlineStr">
        <is>
          <t>JÄMTLANDS LÄN</t>
        </is>
      </c>
      <c r="E361" t="inlineStr">
        <is>
          <t>HÄRJEDALEN</t>
        </is>
      </c>
      <c r="G361" t="n">
        <v>7.2</v>
      </c>
      <c r="H361" t="n">
        <v>0</v>
      </c>
      <c r="I361" t="n">
        <v>0</v>
      </c>
      <c r="J361" t="n">
        <v>0</v>
      </c>
      <c r="K361" t="n">
        <v>0</v>
      </c>
      <c r="L361" t="n">
        <v>0</v>
      </c>
      <c r="M361" t="n">
        <v>0</v>
      </c>
      <c r="N361" t="n">
        <v>0</v>
      </c>
      <c r="O361" t="n">
        <v>0</v>
      </c>
      <c r="P361" t="n">
        <v>0</v>
      </c>
      <c r="Q361" t="n">
        <v>0</v>
      </c>
      <c r="R361" s="2" t="inlineStr"/>
    </row>
    <row r="362" ht="15" customHeight="1">
      <c r="A362" t="inlineStr">
        <is>
          <t>A 47765-2024</t>
        </is>
      </c>
      <c r="B362" s="1" t="n">
        <v>45588.56039351852</v>
      </c>
      <c r="C362" s="1" t="n">
        <v>45987</v>
      </c>
      <c r="D362" t="inlineStr">
        <is>
          <t>JÄMTLANDS LÄN</t>
        </is>
      </c>
      <c r="E362" t="inlineStr">
        <is>
          <t>HÄRJEDALEN</t>
        </is>
      </c>
      <c r="G362" t="n">
        <v>53.6</v>
      </c>
      <c r="H362" t="n">
        <v>0</v>
      </c>
      <c r="I362" t="n">
        <v>0</v>
      </c>
      <c r="J362" t="n">
        <v>0</v>
      </c>
      <c r="K362" t="n">
        <v>0</v>
      </c>
      <c r="L362" t="n">
        <v>0</v>
      </c>
      <c r="M362" t="n">
        <v>0</v>
      </c>
      <c r="N362" t="n">
        <v>0</v>
      </c>
      <c r="O362" t="n">
        <v>0</v>
      </c>
      <c r="P362" t="n">
        <v>0</v>
      </c>
      <c r="Q362" t="n">
        <v>0</v>
      </c>
      <c r="R362" s="2" t="inlineStr"/>
    </row>
    <row r="363" ht="15" customHeight="1">
      <c r="A363" t="inlineStr">
        <is>
          <t>A 62721-2022</t>
        </is>
      </c>
      <c r="B363" s="1" t="n">
        <v>44925.64049768518</v>
      </c>
      <c r="C363" s="1" t="n">
        <v>45987</v>
      </c>
      <c r="D363" t="inlineStr">
        <is>
          <t>JÄMTLANDS LÄN</t>
        </is>
      </c>
      <c r="E363" t="inlineStr">
        <is>
          <t>HÄRJEDALEN</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26656-2021</t>
        </is>
      </c>
      <c r="B364" s="1" t="n">
        <v>44348</v>
      </c>
      <c r="C364" s="1" t="n">
        <v>45987</v>
      </c>
      <c r="D364" t="inlineStr">
        <is>
          <t>JÄMTLANDS LÄN</t>
        </is>
      </c>
      <c r="E364" t="inlineStr">
        <is>
          <t>HÄRJEDALEN</t>
        </is>
      </c>
      <c r="G364" t="n">
        <v>1.6</v>
      </c>
      <c r="H364" t="n">
        <v>0</v>
      </c>
      <c r="I364" t="n">
        <v>0</v>
      </c>
      <c r="J364" t="n">
        <v>0</v>
      </c>
      <c r="K364" t="n">
        <v>0</v>
      </c>
      <c r="L364" t="n">
        <v>0</v>
      </c>
      <c r="M364" t="n">
        <v>0</v>
      </c>
      <c r="N364" t="n">
        <v>0</v>
      </c>
      <c r="O364" t="n">
        <v>0</v>
      </c>
      <c r="P364" t="n">
        <v>0</v>
      </c>
      <c r="Q364" t="n">
        <v>0</v>
      </c>
      <c r="R364" s="2" t="inlineStr"/>
    </row>
    <row r="365" ht="15" customHeight="1">
      <c r="A365" t="inlineStr">
        <is>
          <t>A 64144-2023</t>
        </is>
      </c>
      <c r="B365" s="1" t="n">
        <v>45279.57732638889</v>
      </c>
      <c r="C365" s="1" t="n">
        <v>45987</v>
      </c>
      <c r="D365" t="inlineStr">
        <is>
          <t>JÄMTLANDS LÄN</t>
        </is>
      </c>
      <c r="E365" t="inlineStr">
        <is>
          <t>HÄRJEDALEN</t>
        </is>
      </c>
      <c r="G365" t="n">
        <v>0.5</v>
      </c>
      <c r="H365" t="n">
        <v>0</v>
      </c>
      <c r="I365" t="n">
        <v>0</v>
      </c>
      <c r="J365" t="n">
        <v>0</v>
      </c>
      <c r="K365" t="n">
        <v>0</v>
      </c>
      <c r="L365" t="n">
        <v>0</v>
      </c>
      <c r="M365" t="n">
        <v>0</v>
      </c>
      <c r="N365" t="n">
        <v>0</v>
      </c>
      <c r="O365" t="n">
        <v>0</v>
      </c>
      <c r="P365" t="n">
        <v>0</v>
      </c>
      <c r="Q365" t="n">
        <v>0</v>
      </c>
      <c r="R365" s="2" t="inlineStr"/>
    </row>
    <row r="366" ht="15" customHeight="1">
      <c r="A366" t="inlineStr">
        <is>
          <t>A 59738-2023</t>
        </is>
      </c>
      <c r="B366" s="1" t="n">
        <v>45257</v>
      </c>
      <c r="C366" s="1" t="n">
        <v>45987</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54762-2022</t>
        </is>
      </c>
      <c r="B367" s="1" t="n">
        <v>44883</v>
      </c>
      <c r="C367" s="1" t="n">
        <v>45987</v>
      </c>
      <c r="D367" t="inlineStr">
        <is>
          <t>JÄMTLANDS LÄN</t>
        </is>
      </c>
      <c r="E367" t="inlineStr">
        <is>
          <t>HÄRJEDALEN</t>
        </is>
      </c>
      <c r="G367" t="n">
        <v>1.8</v>
      </c>
      <c r="H367" t="n">
        <v>0</v>
      </c>
      <c r="I367" t="n">
        <v>0</v>
      </c>
      <c r="J367" t="n">
        <v>0</v>
      </c>
      <c r="K367" t="n">
        <v>0</v>
      </c>
      <c r="L367" t="n">
        <v>0</v>
      </c>
      <c r="M367" t="n">
        <v>0</v>
      </c>
      <c r="N367" t="n">
        <v>0</v>
      </c>
      <c r="O367" t="n">
        <v>0</v>
      </c>
      <c r="P367" t="n">
        <v>0</v>
      </c>
      <c r="Q367" t="n">
        <v>0</v>
      </c>
      <c r="R367" s="2" t="inlineStr"/>
    </row>
    <row r="368" ht="15" customHeight="1">
      <c r="A368" t="inlineStr">
        <is>
          <t>A 31759-2024</t>
        </is>
      </c>
      <c r="B368" s="1" t="n">
        <v>45509</v>
      </c>
      <c r="C368" s="1" t="n">
        <v>45987</v>
      </c>
      <c r="D368" t="inlineStr">
        <is>
          <t>JÄMTLANDS LÄN</t>
        </is>
      </c>
      <c r="E368" t="inlineStr">
        <is>
          <t>HÄRJEDALEN</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47351-2022</t>
        </is>
      </c>
      <c r="B369" s="1" t="n">
        <v>44853.41693287037</v>
      </c>
      <c r="C369" s="1" t="n">
        <v>45987</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4711-2023</t>
        </is>
      </c>
      <c r="B370" s="1" t="n">
        <v>44957</v>
      </c>
      <c r="C370" s="1" t="n">
        <v>45987</v>
      </c>
      <c r="D370" t="inlineStr">
        <is>
          <t>JÄMTLANDS LÄN</t>
        </is>
      </c>
      <c r="E370" t="inlineStr">
        <is>
          <t>HÄRJEDALEN</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23986-2025</t>
        </is>
      </c>
      <c r="B371" s="1" t="n">
        <v>45796.39770833333</v>
      </c>
      <c r="C371" s="1" t="n">
        <v>45987</v>
      </c>
      <c r="D371" t="inlineStr">
        <is>
          <t>JÄMTLANDS LÄN</t>
        </is>
      </c>
      <c r="E371" t="inlineStr">
        <is>
          <t>HÄRJEDALEN</t>
        </is>
      </c>
      <c r="G371" t="n">
        <v>5.1</v>
      </c>
      <c r="H371" t="n">
        <v>0</v>
      </c>
      <c r="I371" t="n">
        <v>0</v>
      </c>
      <c r="J371" t="n">
        <v>0</v>
      </c>
      <c r="K371" t="n">
        <v>0</v>
      </c>
      <c r="L371" t="n">
        <v>0</v>
      </c>
      <c r="M371" t="n">
        <v>0</v>
      </c>
      <c r="N371" t="n">
        <v>0</v>
      </c>
      <c r="O371" t="n">
        <v>0</v>
      </c>
      <c r="P371" t="n">
        <v>0</v>
      </c>
      <c r="Q371" t="n">
        <v>0</v>
      </c>
      <c r="R371" s="2" t="inlineStr"/>
    </row>
    <row r="372" ht="15" customHeight="1">
      <c r="A372" t="inlineStr">
        <is>
          <t>A 55388-2021</t>
        </is>
      </c>
      <c r="B372" s="1" t="n">
        <v>44475</v>
      </c>
      <c r="C372" s="1" t="n">
        <v>45987</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27261-2023</t>
        </is>
      </c>
      <c r="B373" s="1" t="n">
        <v>45096.62344907408</v>
      </c>
      <c r="C373" s="1" t="n">
        <v>45987</v>
      </c>
      <c r="D373" t="inlineStr">
        <is>
          <t>JÄMTLANDS LÄN</t>
        </is>
      </c>
      <c r="E373" t="inlineStr">
        <is>
          <t>HÄRJEDALEN</t>
        </is>
      </c>
      <c r="F373" t="inlineStr">
        <is>
          <t>Bergvik skog väst AB</t>
        </is>
      </c>
      <c r="G373" t="n">
        <v>2.8</v>
      </c>
      <c r="H373" t="n">
        <v>0</v>
      </c>
      <c r="I373" t="n">
        <v>0</v>
      </c>
      <c r="J373" t="n">
        <v>0</v>
      </c>
      <c r="K373" t="n">
        <v>0</v>
      </c>
      <c r="L373" t="n">
        <v>0</v>
      </c>
      <c r="M373" t="n">
        <v>0</v>
      </c>
      <c r="N373" t="n">
        <v>0</v>
      </c>
      <c r="O373" t="n">
        <v>0</v>
      </c>
      <c r="P373" t="n">
        <v>0</v>
      </c>
      <c r="Q373" t="n">
        <v>0</v>
      </c>
      <c r="R373" s="2" t="inlineStr"/>
    </row>
    <row r="374" ht="15" customHeight="1">
      <c r="A374" t="inlineStr">
        <is>
          <t>A 23731-2025</t>
        </is>
      </c>
      <c r="B374" s="1" t="n">
        <v>45793.41994212963</v>
      </c>
      <c r="C374" s="1" t="n">
        <v>45987</v>
      </c>
      <c r="D374" t="inlineStr">
        <is>
          <t>JÄMTLANDS LÄN</t>
        </is>
      </c>
      <c r="E374" t="inlineStr">
        <is>
          <t>HÄRJEDALEN</t>
        </is>
      </c>
      <c r="F374" t="inlineStr">
        <is>
          <t>Sveaskog</t>
        </is>
      </c>
      <c r="G374" t="n">
        <v>11.7</v>
      </c>
      <c r="H374" t="n">
        <v>0</v>
      </c>
      <c r="I374" t="n">
        <v>0</v>
      </c>
      <c r="J374" t="n">
        <v>0</v>
      </c>
      <c r="K374" t="n">
        <v>0</v>
      </c>
      <c r="L374" t="n">
        <v>0</v>
      </c>
      <c r="M374" t="n">
        <v>0</v>
      </c>
      <c r="N374" t="n">
        <v>0</v>
      </c>
      <c r="O374" t="n">
        <v>0</v>
      </c>
      <c r="P374" t="n">
        <v>0</v>
      </c>
      <c r="Q374" t="n">
        <v>0</v>
      </c>
      <c r="R374" s="2" t="inlineStr"/>
    </row>
    <row r="375" ht="15" customHeight="1">
      <c r="A375" t="inlineStr">
        <is>
          <t>A 38402-2025</t>
        </is>
      </c>
      <c r="B375" s="1" t="n">
        <v>45883.58944444444</v>
      </c>
      <c r="C375" s="1" t="n">
        <v>45987</v>
      </c>
      <c r="D375" t="inlineStr">
        <is>
          <t>JÄMTLANDS LÄN</t>
        </is>
      </c>
      <c r="E375" t="inlineStr">
        <is>
          <t>HÄRJEDALEN</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23474-2024</t>
        </is>
      </c>
      <c r="B376" s="1" t="n">
        <v>45453.6672800926</v>
      </c>
      <c r="C376" s="1" t="n">
        <v>45987</v>
      </c>
      <c r="D376" t="inlineStr">
        <is>
          <t>JÄMTLANDS LÄN</t>
        </is>
      </c>
      <c r="E376" t="inlineStr">
        <is>
          <t>HÄRJEDALEN</t>
        </is>
      </c>
      <c r="G376" t="n">
        <v>8.5</v>
      </c>
      <c r="H376" t="n">
        <v>0</v>
      </c>
      <c r="I376" t="n">
        <v>0</v>
      </c>
      <c r="J376" t="n">
        <v>0</v>
      </c>
      <c r="K376" t="n">
        <v>0</v>
      </c>
      <c r="L376" t="n">
        <v>0</v>
      </c>
      <c r="M376" t="n">
        <v>0</v>
      </c>
      <c r="N376" t="n">
        <v>0</v>
      </c>
      <c r="O376" t="n">
        <v>0</v>
      </c>
      <c r="P376" t="n">
        <v>0</v>
      </c>
      <c r="Q376" t="n">
        <v>0</v>
      </c>
      <c r="R376" s="2" t="inlineStr"/>
    </row>
    <row r="377" ht="15" customHeight="1">
      <c r="A377" t="inlineStr">
        <is>
          <t>A 25893-2024</t>
        </is>
      </c>
      <c r="B377" s="1" t="n">
        <v>45467</v>
      </c>
      <c r="C377" s="1" t="n">
        <v>45987</v>
      </c>
      <c r="D377" t="inlineStr">
        <is>
          <t>JÄMTLANDS LÄN</t>
        </is>
      </c>
      <c r="E377" t="inlineStr">
        <is>
          <t>HÄRJEDALEN</t>
        </is>
      </c>
      <c r="G377" t="n">
        <v>12.8</v>
      </c>
      <c r="H377" t="n">
        <v>0</v>
      </c>
      <c r="I377" t="n">
        <v>0</v>
      </c>
      <c r="J377" t="n">
        <v>0</v>
      </c>
      <c r="K377" t="n">
        <v>0</v>
      </c>
      <c r="L377" t="n">
        <v>0</v>
      </c>
      <c r="M377" t="n">
        <v>0</v>
      </c>
      <c r="N377" t="n">
        <v>0</v>
      </c>
      <c r="O377" t="n">
        <v>0</v>
      </c>
      <c r="P377" t="n">
        <v>0</v>
      </c>
      <c r="Q377" t="n">
        <v>0</v>
      </c>
      <c r="R377" s="2" t="inlineStr"/>
    </row>
    <row r="378" ht="15" customHeight="1">
      <c r="A378" t="inlineStr">
        <is>
          <t>A 38618-2025</t>
        </is>
      </c>
      <c r="B378" s="1" t="n">
        <v>45884.55263888889</v>
      </c>
      <c r="C378" s="1" t="n">
        <v>45987</v>
      </c>
      <c r="D378" t="inlineStr">
        <is>
          <t>JÄMTLANDS LÄN</t>
        </is>
      </c>
      <c r="E378" t="inlineStr">
        <is>
          <t>HÄRJEDALEN</t>
        </is>
      </c>
      <c r="F378" t="inlineStr">
        <is>
          <t>SCA</t>
        </is>
      </c>
      <c r="G378" t="n">
        <v>6.1</v>
      </c>
      <c r="H378" t="n">
        <v>0</v>
      </c>
      <c r="I378" t="n">
        <v>0</v>
      </c>
      <c r="J378" t="n">
        <v>0</v>
      </c>
      <c r="K378" t="n">
        <v>0</v>
      </c>
      <c r="L378" t="n">
        <v>0</v>
      </c>
      <c r="M378" t="n">
        <v>0</v>
      </c>
      <c r="N378" t="n">
        <v>0</v>
      </c>
      <c r="O378" t="n">
        <v>0</v>
      </c>
      <c r="P378" t="n">
        <v>0</v>
      </c>
      <c r="Q378" t="n">
        <v>0</v>
      </c>
      <c r="R378" s="2" t="inlineStr"/>
    </row>
    <row r="379" ht="15" customHeight="1">
      <c r="A379" t="inlineStr">
        <is>
          <t>A 29602-2024</t>
        </is>
      </c>
      <c r="B379" s="1" t="n">
        <v>45484</v>
      </c>
      <c r="C379" s="1" t="n">
        <v>45987</v>
      </c>
      <c r="D379" t="inlineStr">
        <is>
          <t>JÄMTLANDS LÄN</t>
        </is>
      </c>
      <c r="E379" t="inlineStr">
        <is>
          <t>HÄRJEDALEN</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2510-2025</t>
        </is>
      </c>
      <c r="B380" s="1" t="n">
        <v>45674.57393518519</v>
      </c>
      <c r="C380" s="1" t="n">
        <v>45987</v>
      </c>
      <c r="D380" t="inlineStr">
        <is>
          <t>JÄMTLANDS LÄN</t>
        </is>
      </c>
      <c r="E380" t="inlineStr">
        <is>
          <t>HÄRJEDALEN</t>
        </is>
      </c>
      <c r="G380" t="n">
        <v>0.8</v>
      </c>
      <c r="H380" t="n">
        <v>0</v>
      </c>
      <c r="I380" t="n">
        <v>0</v>
      </c>
      <c r="J380" t="n">
        <v>0</v>
      </c>
      <c r="K380" t="n">
        <v>0</v>
      </c>
      <c r="L380" t="n">
        <v>0</v>
      </c>
      <c r="M380" t="n">
        <v>0</v>
      </c>
      <c r="N380" t="n">
        <v>0</v>
      </c>
      <c r="O380" t="n">
        <v>0</v>
      </c>
      <c r="P380" t="n">
        <v>0</v>
      </c>
      <c r="Q380" t="n">
        <v>0</v>
      </c>
      <c r="R380" s="2" t="inlineStr"/>
    </row>
    <row r="381" ht="15" customHeight="1">
      <c r="A381" t="inlineStr">
        <is>
          <t>A 31587-2024</t>
        </is>
      </c>
      <c r="B381" s="1" t="n">
        <v>45506.36534722222</v>
      </c>
      <c r="C381" s="1" t="n">
        <v>45987</v>
      </c>
      <c r="D381" t="inlineStr">
        <is>
          <t>JÄMTLANDS LÄN</t>
        </is>
      </c>
      <c r="E381" t="inlineStr">
        <is>
          <t>HÄRJEDALEN</t>
        </is>
      </c>
      <c r="G381" t="n">
        <v>3.3</v>
      </c>
      <c r="H381" t="n">
        <v>0</v>
      </c>
      <c r="I381" t="n">
        <v>0</v>
      </c>
      <c r="J381" t="n">
        <v>0</v>
      </c>
      <c r="K381" t="n">
        <v>0</v>
      </c>
      <c r="L381" t="n">
        <v>0</v>
      </c>
      <c r="M381" t="n">
        <v>0</v>
      </c>
      <c r="N381" t="n">
        <v>0</v>
      </c>
      <c r="O381" t="n">
        <v>0</v>
      </c>
      <c r="P381" t="n">
        <v>0</v>
      </c>
      <c r="Q381" t="n">
        <v>0</v>
      </c>
      <c r="R381" s="2" t="inlineStr"/>
    </row>
    <row r="382" ht="15" customHeight="1">
      <c r="A382" t="inlineStr">
        <is>
          <t>A 28686-2024</t>
        </is>
      </c>
      <c r="B382" s="1" t="n">
        <v>45478.48700231482</v>
      </c>
      <c r="C382" s="1" t="n">
        <v>45987</v>
      </c>
      <c r="D382" t="inlineStr">
        <is>
          <t>JÄMTLANDS LÄN</t>
        </is>
      </c>
      <c r="E382" t="inlineStr">
        <is>
          <t>HÄRJEDALEN</t>
        </is>
      </c>
      <c r="F382" t="inlineStr">
        <is>
          <t>Bergvik skog väst AB</t>
        </is>
      </c>
      <c r="G382" t="n">
        <v>0.2</v>
      </c>
      <c r="H382" t="n">
        <v>0</v>
      </c>
      <c r="I382" t="n">
        <v>0</v>
      </c>
      <c r="J382" t="n">
        <v>0</v>
      </c>
      <c r="K382" t="n">
        <v>0</v>
      </c>
      <c r="L382" t="n">
        <v>0</v>
      </c>
      <c r="M382" t="n">
        <v>0</v>
      </c>
      <c r="N382" t="n">
        <v>0</v>
      </c>
      <c r="O382" t="n">
        <v>0</v>
      </c>
      <c r="P382" t="n">
        <v>0</v>
      </c>
      <c r="Q382" t="n">
        <v>0</v>
      </c>
      <c r="R382" s="2" t="inlineStr"/>
    </row>
    <row r="383" ht="15" customHeight="1">
      <c r="A383" t="inlineStr">
        <is>
          <t>A 30404-2024</t>
        </is>
      </c>
      <c r="B383" s="1" t="n">
        <v>45491.5859375</v>
      </c>
      <c r="C383" s="1" t="n">
        <v>45987</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23351-2025</t>
        </is>
      </c>
      <c r="B384" s="1" t="n">
        <v>45791</v>
      </c>
      <c r="C384" s="1" t="n">
        <v>45987</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24226-2025</t>
        </is>
      </c>
      <c r="B385" s="1" t="n">
        <v>45797.37096064815</v>
      </c>
      <c r="C385" s="1" t="n">
        <v>45987</v>
      </c>
      <c r="D385" t="inlineStr">
        <is>
          <t>JÄMTLANDS LÄN</t>
        </is>
      </c>
      <c r="E385" t="inlineStr">
        <is>
          <t>HÄRJEDALEN</t>
        </is>
      </c>
      <c r="G385" t="n">
        <v>28.7</v>
      </c>
      <c r="H385" t="n">
        <v>0</v>
      </c>
      <c r="I385" t="n">
        <v>0</v>
      </c>
      <c r="J385" t="n">
        <v>0</v>
      </c>
      <c r="K385" t="n">
        <v>0</v>
      </c>
      <c r="L385" t="n">
        <v>0</v>
      </c>
      <c r="M385" t="n">
        <v>0</v>
      </c>
      <c r="N385" t="n">
        <v>0</v>
      </c>
      <c r="O385" t="n">
        <v>0</v>
      </c>
      <c r="P385" t="n">
        <v>0</v>
      </c>
      <c r="Q385" t="n">
        <v>0</v>
      </c>
      <c r="R385" s="2" t="inlineStr"/>
    </row>
    <row r="386" ht="15" customHeight="1">
      <c r="A386" t="inlineStr">
        <is>
          <t>A 51322-2024</t>
        </is>
      </c>
      <c r="B386" s="1" t="n">
        <v>45604.33195601852</v>
      </c>
      <c r="C386" s="1" t="n">
        <v>45987</v>
      </c>
      <c r="D386" t="inlineStr">
        <is>
          <t>JÄMTLANDS LÄN</t>
        </is>
      </c>
      <c r="E386" t="inlineStr">
        <is>
          <t>HÄRJEDALEN</t>
        </is>
      </c>
      <c r="F386" t="inlineStr">
        <is>
          <t>Holmen skog AB</t>
        </is>
      </c>
      <c r="G386" t="n">
        <v>1.5</v>
      </c>
      <c r="H386" t="n">
        <v>0</v>
      </c>
      <c r="I386" t="n">
        <v>0</v>
      </c>
      <c r="J386" t="n">
        <v>0</v>
      </c>
      <c r="K386" t="n">
        <v>0</v>
      </c>
      <c r="L386" t="n">
        <v>0</v>
      </c>
      <c r="M386" t="n">
        <v>0</v>
      </c>
      <c r="N386" t="n">
        <v>0</v>
      </c>
      <c r="O386" t="n">
        <v>0</v>
      </c>
      <c r="P386" t="n">
        <v>0</v>
      </c>
      <c r="Q386" t="n">
        <v>0</v>
      </c>
      <c r="R386" s="2" t="inlineStr"/>
    </row>
    <row r="387" ht="15" customHeight="1">
      <c r="A387" t="inlineStr">
        <is>
          <t>A 25325-2025</t>
        </is>
      </c>
      <c r="B387" s="1" t="n">
        <v>45800.58859953703</v>
      </c>
      <c r="C387" s="1" t="n">
        <v>45987</v>
      </c>
      <c r="D387" t="inlineStr">
        <is>
          <t>JÄMTLANDS LÄN</t>
        </is>
      </c>
      <c r="E387" t="inlineStr">
        <is>
          <t>HÄRJEDALEN</t>
        </is>
      </c>
      <c r="G387" t="n">
        <v>5.6</v>
      </c>
      <c r="H387" t="n">
        <v>0</v>
      </c>
      <c r="I387" t="n">
        <v>0</v>
      </c>
      <c r="J387" t="n">
        <v>0</v>
      </c>
      <c r="K387" t="n">
        <v>0</v>
      </c>
      <c r="L387" t="n">
        <v>0</v>
      </c>
      <c r="M387" t="n">
        <v>0</v>
      </c>
      <c r="N387" t="n">
        <v>0</v>
      </c>
      <c r="O387" t="n">
        <v>0</v>
      </c>
      <c r="P387" t="n">
        <v>0</v>
      </c>
      <c r="Q387" t="n">
        <v>0</v>
      </c>
      <c r="R387" s="2" t="inlineStr"/>
    </row>
    <row r="388" ht="15" customHeight="1">
      <c r="A388" t="inlineStr">
        <is>
          <t>A 25334-2025</t>
        </is>
      </c>
      <c r="B388" s="1" t="n">
        <v>45800.59567129629</v>
      </c>
      <c r="C388" s="1" t="n">
        <v>45987</v>
      </c>
      <c r="D388" t="inlineStr">
        <is>
          <t>JÄMTLANDS LÄN</t>
        </is>
      </c>
      <c r="E388" t="inlineStr">
        <is>
          <t>HÄRJEDALEN</t>
        </is>
      </c>
      <c r="F388" t="inlineStr">
        <is>
          <t>Holmen skog AB</t>
        </is>
      </c>
      <c r="G388" t="n">
        <v>3.6</v>
      </c>
      <c r="H388" t="n">
        <v>0</v>
      </c>
      <c r="I388" t="n">
        <v>0</v>
      </c>
      <c r="J388" t="n">
        <v>0</v>
      </c>
      <c r="K388" t="n">
        <v>0</v>
      </c>
      <c r="L388" t="n">
        <v>0</v>
      </c>
      <c r="M388" t="n">
        <v>0</v>
      </c>
      <c r="N388" t="n">
        <v>0</v>
      </c>
      <c r="O388" t="n">
        <v>0</v>
      </c>
      <c r="P388" t="n">
        <v>0</v>
      </c>
      <c r="Q388" t="n">
        <v>0</v>
      </c>
      <c r="R388" s="2" t="inlineStr"/>
    </row>
    <row r="389" ht="15" customHeight="1">
      <c r="A389" t="inlineStr">
        <is>
          <t>A 25392-2025</t>
        </is>
      </c>
      <c r="B389" s="1" t="n">
        <v>45800.64719907408</v>
      </c>
      <c r="C389" s="1" t="n">
        <v>45987</v>
      </c>
      <c r="D389" t="inlineStr">
        <is>
          <t>JÄMTLANDS LÄN</t>
        </is>
      </c>
      <c r="E389" t="inlineStr">
        <is>
          <t>HÄRJEDALEN</t>
        </is>
      </c>
      <c r="F389" t="inlineStr">
        <is>
          <t>Holmen skog AB</t>
        </is>
      </c>
      <c r="G389" t="n">
        <v>10.3</v>
      </c>
      <c r="H389" t="n">
        <v>0</v>
      </c>
      <c r="I389" t="n">
        <v>0</v>
      </c>
      <c r="J389" t="n">
        <v>0</v>
      </c>
      <c r="K389" t="n">
        <v>0</v>
      </c>
      <c r="L389" t="n">
        <v>0</v>
      </c>
      <c r="M389" t="n">
        <v>0</v>
      </c>
      <c r="N389" t="n">
        <v>0</v>
      </c>
      <c r="O389" t="n">
        <v>0</v>
      </c>
      <c r="P389" t="n">
        <v>0</v>
      </c>
      <c r="Q389" t="n">
        <v>0</v>
      </c>
      <c r="R389" s="2" t="inlineStr"/>
    </row>
    <row r="390" ht="15" customHeight="1">
      <c r="A390" t="inlineStr">
        <is>
          <t>A 25288-2025</t>
        </is>
      </c>
      <c r="B390" s="1" t="n">
        <v>45800.56313657408</v>
      </c>
      <c r="C390" s="1" t="n">
        <v>45987</v>
      </c>
      <c r="D390" t="inlineStr">
        <is>
          <t>JÄMTLANDS LÄN</t>
        </is>
      </c>
      <c r="E390" t="inlineStr">
        <is>
          <t>HÄRJEDALEN</t>
        </is>
      </c>
      <c r="G390" t="n">
        <v>4.6</v>
      </c>
      <c r="H390" t="n">
        <v>0</v>
      </c>
      <c r="I390" t="n">
        <v>0</v>
      </c>
      <c r="J390" t="n">
        <v>0</v>
      </c>
      <c r="K390" t="n">
        <v>0</v>
      </c>
      <c r="L390" t="n">
        <v>0</v>
      </c>
      <c r="M390" t="n">
        <v>0</v>
      </c>
      <c r="N390" t="n">
        <v>0</v>
      </c>
      <c r="O390" t="n">
        <v>0</v>
      </c>
      <c r="P390" t="n">
        <v>0</v>
      </c>
      <c r="Q390" t="n">
        <v>0</v>
      </c>
      <c r="R390" s="2" t="inlineStr"/>
    </row>
    <row r="391" ht="15" customHeight="1">
      <c r="A391" t="inlineStr">
        <is>
          <t>A 25315-2025</t>
        </is>
      </c>
      <c r="B391" s="1" t="n">
        <v>45800.57837962963</v>
      </c>
      <c r="C391" s="1" t="n">
        <v>45987</v>
      </c>
      <c r="D391" t="inlineStr">
        <is>
          <t>JÄMTLANDS LÄN</t>
        </is>
      </c>
      <c r="E391" t="inlineStr">
        <is>
          <t>HÄRJEDALEN</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25223-2025</t>
        </is>
      </c>
      <c r="B392" s="1" t="n">
        <v>45800.48060185185</v>
      </c>
      <c r="C392" s="1" t="n">
        <v>45987</v>
      </c>
      <c r="D392" t="inlineStr">
        <is>
          <t>JÄMTLANDS LÄN</t>
        </is>
      </c>
      <c r="E392" t="inlineStr">
        <is>
          <t>HÄRJEDALEN</t>
        </is>
      </c>
      <c r="F392" t="inlineStr">
        <is>
          <t>Holmen skog AB</t>
        </is>
      </c>
      <c r="G392" t="n">
        <v>7.9</v>
      </c>
      <c r="H392" t="n">
        <v>0</v>
      </c>
      <c r="I392" t="n">
        <v>0</v>
      </c>
      <c r="J392" t="n">
        <v>0</v>
      </c>
      <c r="K392" t="n">
        <v>0</v>
      </c>
      <c r="L392" t="n">
        <v>0</v>
      </c>
      <c r="M392" t="n">
        <v>0</v>
      </c>
      <c r="N392" t="n">
        <v>0</v>
      </c>
      <c r="O392" t="n">
        <v>0</v>
      </c>
      <c r="P392" t="n">
        <v>0</v>
      </c>
      <c r="Q392" t="n">
        <v>0</v>
      </c>
      <c r="R392" s="2" t="inlineStr"/>
    </row>
    <row r="393" ht="15" customHeight="1">
      <c r="A393" t="inlineStr">
        <is>
          <t>A 25024-2025</t>
        </is>
      </c>
      <c r="B393" s="1" t="n">
        <v>45799.64804398148</v>
      </c>
      <c r="C393" s="1" t="n">
        <v>45987</v>
      </c>
      <c r="D393" t="inlineStr">
        <is>
          <t>JÄMTLANDS LÄN</t>
        </is>
      </c>
      <c r="E393" t="inlineStr">
        <is>
          <t>HÄRJEDALEN</t>
        </is>
      </c>
      <c r="F393" t="inlineStr">
        <is>
          <t>Bergvik skog väst AB</t>
        </is>
      </c>
      <c r="G393" t="n">
        <v>31.2</v>
      </c>
      <c r="H393" t="n">
        <v>0</v>
      </c>
      <c r="I393" t="n">
        <v>0</v>
      </c>
      <c r="J393" t="n">
        <v>0</v>
      </c>
      <c r="K393" t="n">
        <v>0</v>
      </c>
      <c r="L393" t="n">
        <v>0</v>
      </c>
      <c r="M393" t="n">
        <v>0</v>
      </c>
      <c r="N393" t="n">
        <v>0</v>
      </c>
      <c r="O393" t="n">
        <v>0</v>
      </c>
      <c r="P393" t="n">
        <v>0</v>
      </c>
      <c r="Q393" t="n">
        <v>0</v>
      </c>
      <c r="R393" s="2" t="inlineStr"/>
    </row>
    <row r="394" ht="15" customHeight="1">
      <c r="A394" t="inlineStr">
        <is>
          <t>A 44438-2025</t>
        </is>
      </c>
      <c r="B394" s="1" t="n">
        <v>45916</v>
      </c>
      <c r="C394" s="1" t="n">
        <v>45987</v>
      </c>
      <c r="D394" t="inlineStr">
        <is>
          <t>JÄMTLANDS LÄN</t>
        </is>
      </c>
      <c r="E394" t="inlineStr">
        <is>
          <t>HÄRJEDALEN</t>
        </is>
      </c>
      <c r="F394" t="inlineStr">
        <is>
          <t>Bergvik skog väst AB</t>
        </is>
      </c>
      <c r="G394" t="n">
        <v>7.8</v>
      </c>
      <c r="H394" t="n">
        <v>0</v>
      </c>
      <c r="I394" t="n">
        <v>0</v>
      </c>
      <c r="J394" t="n">
        <v>0</v>
      </c>
      <c r="K394" t="n">
        <v>0</v>
      </c>
      <c r="L394" t="n">
        <v>0</v>
      </c>
      <c r="M394" t="n">
        <v>0</v>
      </c>
      <c r="N394" t="n">
        <v>0</v>
      </c>
      <c r="O394" t="n">
        <v>0</v>
      </c>
      <c r="P394" t="n">
        <v>0</v>
      </c>
      <c r="Q394" t="n">
        <v>0</v>
      </c>
      <c r="R394" s="2" t="inlineStr"/>
    </row>
    <row r="395" ht="15" customHeight="1">
      <c r="A395" t="inlineStr">
        <is>
          <t>A 25127-2025</t>
        </is>
      </c>
      <c r="B395" s="1" t="n">
        <v>45800.3787037037</v>
      </c>
      <c r="C395" s="1" t="n">
        <v>45987</v>
      </c>
      <c r="D395" t="inlineStr">
        <is>
          <t>JÄMTLANDS LÄN</t>
        </is>
      </c>
      <c r="E395" t="inlineStr">
        <is>
          <t>HÄRJEDALEN</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25178-2025</t>
        </is>
      </c>
      <c r="B396" s="1" t="n">
        <v>45800.44868055556</v>
      </c>
      <c r="C396" s="1" t="n">
        <v>45987</v>
      </c>
      <c r="D396" t="inlineStr">
        <is>
          <t>JÄMTLANDS LÄN</t>
        </is>
      </c>
      <c r="E396" t="inlineStr">
        <is>
          <t>HÄRJEDALEN</t>
        </is>
      </c>
      <c r="F396" t="inlineStr">
        <is>
          <t>Holmen skog AB</t>
        </is>
      </c>
      <c r="G396" t="n">
        <v>5.1</v>
      </c>
      <c r="H396" t="n">
        <v>0</v>
      </c>
      <c r="I396" t="n">
        <v>0</v>
      </c>
      <c r="J396" t="n">
        <v>0</v>
      </c>
      <c r="K396" t="n">
        <v>0</v>
      </c>
      <c r="L396" t="n">
        <v>0</v>
      </c>
      <c r="M396" t="n">
        <v>0</v>
      </c>
      <c r="N396" t="n">
        <v>0</v>
      </c>
      <c r="O396" t="n">
        <v>0</v>
      </c>
      <c r="P396" t="n">
        <v>0</v>
      </c>
      <c r="Q396" t="n">
        <v>0</v>
      </c>
      <c r="R396" s="2" t="inlineStr"/>
    </row>
    <row r="397" ht="15" customHeight="1">
      <c r="A397" t="inlineStr">
        <is>
          <t>A 25204-2025</t>
        </is>
      </c>
      <c r="B397" s="1" t="n">
        <v>45800.4687962963</v>
      </c>
      <c r="C397" s="1" t="n">
        <v>45987</v>
      </c>
      <c r="D397" t="inlineStr">
        <is>
          <t>JÄMTLANDS LÄN</t>
        </is>
      </c>
      <c r="E397" t="inlineStr">
        <is>
          <t>HÄRJEDALEN</t>
        </is>
      </c>
      <c r="F397" t="inlineStr">
        <is>
          <t>Holmen skog AB</t>
        </is>
      </c>
      <c r="G397" t="n">
        <v>3.8</v>
      </c>
      <c r="H397" t="n">
        <v>0</v>
      </c>
      <c r="I397" t="n">
        <v>0</v>
      </c>
      <c r="J397" t="n">
        <v>0</v>
      </c>
      <c r="K397" t="n">
        <v>0</v>
      </c>
      <c r="L397" t="n">
        <v>0</v>
      </c>
      <c r="M397" t="n">
        <v>0</v>
      </c>
      <c r="N397" t="n">
        <v>0</v>
      </c>
      <c r="O397" t="n">
        <v>0</v>
      </c>
      <c r="P397" t="n">
        <v>0</v>
      </c>
      <c r="Q397" t="n">
        <v>0</v>
      </c>
      <c r="R397" s="2" t="inlineStr"/>
    </row>
    <row r="398" ht="15" customHeight="1">
      <c r="A398" t="inlineStr">
        <is>
          <t>A 25253-2025</t>
        </is>
      </c>
      <c r="B398" s="1" t="n">
        <v>45800.50431712963</v>
      </c>
      <c r="C398" s="1" t="n">
        <v>45987</v>
      </c>
      <c r="D398" t="inlineStr">
        <is>
          <t>JÄMTLANDS LÄN</t>
        </is>
      </c>
      <c r="E398" t="inlineStr">
        <is>
          <t>HÄRJEDALEN</t>
        </is>
      </c>
      <c r="F398" t="inlineStr">
        <is>
          <t>Holmen skog AB</t>
        </is>
      </c>
      <c r="G398" t="n">
        <v>0.7</v>
      </c>
      <c r="H398" t="n">
        <v>0</v>
      </c>
      <c r="I398" t="n">
        <v>0</v>
      </c>
      <c r="J398" t="n">
        <v>0</v>
      </c>
      <c r="K398" t="n">
        <v>0</v>
      </c>
      <c r="L398" t="n">
        <v>0</v>
      </c>
      <c r="M398" t="n">
        <v>0</v>
      </c>
      <c r="N398" t="n">
        <v>0</v>
      </c>
      <c r="O398" t="n">
        <v>0</v>
      </c>
      <c r="P398" t="n">
        <v>0</v>
      </c>
      <c r="Q398" t="n">
        <v>0</v>
      </c>
      <c r="R398" s="2" t="inlineStr"/>
    </row>
    <row r="399" ht="15" customHeight="1">
      <c r="A399" t="inlineStr">
        <is>
          <t>A 25286-2025</t>
        </is>
      </c>
      <c r="B399" s="1" t="n">
        <v>45800.56222222222</v>
      </c>
      <c r="C399" s="1" t="n">
        <v>45987</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36539-2025</t>
        </is>
      </c>
      <c r="B400" s="1" t="n">
        <v>45869</v>
      </c>
      <c r="C400" s="1" t="n">
        <v>45987</v>
      </c>
      <c r="D400" t="inlineStr">
        <is>
          <t>JÄMTLANDS LÄN</t>
        </is>
      </c>
      <c r="E400" t="inlineStr">
        <is>
          <t>HÄRJEDALEN</t>
        </is>
      </c>
      <c r="G400" t="n">
        <v>13</v>
      </c>
      <c r="H400" t="n">
        <v>0</v>
      </c>
      <c r="I400" t="n">
        <v>0</v>
      </c>
      <c r="J400" t="n">
        <v>0</v>
      </c>
      <c r="K400" t="n">
        <v>0</v>
      </c>
      <c r="L400" t="n">
        <v>0</v>
      </c>
      <c r="M400" t="n">
        <v>0</v>
      </c>
      <c r="N400" t="n">
        <v>0</v>
      </c>
      <c r="O400" t="n">
        <v>0</v>
      </c>
      <c r="P400" t="n">
        <v>0</v>
      </c>
      <c r="Q400" t="n">
        <v>0</v>
      </c>
      <c r="R400" s="2" t="inlineStr"/>
    </row>
    <row r="401" ht="15" customHeight="1">
      <c r="A401" t="inlineStr">
        <is>
          <t>A 58446-2024</t>
        </is>
      </c>
      <c r="B401" s="1" t="n">
        <v>45635.33439814814</v>
      </c>
      <c r="C401" s="1" t="n">
        <v>45987</v>
      </c>
      <c r="D401" t="inlineStr">
        <is>
          <t>JÄMTLANDS LÄN</t>
        </is>
      </c>
      <c r="E401" t="inlineStr">
        <is>
          <t>HÄRJEDALEN</t>
        </is>
      </c>
      <c r="F401" t="inlineStr">
        <is>
          <t>Bergvik skog väst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24963-2025</t>
        </is>
      </c>
      <c r="B402" s="1" t="n">
        <v>45799.57883101852</v>
      </c>
      <c r="C402" s="1" t="n">
        <v>45987</v>
      </c>
      <c r="D402" t="inlineStr">
        <is>
          <t>JÄMTLANDS LÄN</t>
        </is>
      </c>
      <c r="E402" t="inlineStr">
        <is>
          <t>HÄRJEDALEN</t>
        </is>
      </c>
      <c r="G402" t="n">
        <v>3.5</v>
      </c>
      <c r="H402" t="n">
        <v>0</v>
      </c>
      <c r="I402" t="n">
        <v>0</v>
      </c>
      <c r="J402" t="n">
        <v>0</v>
      </c>
      <c r="K402" t="n">
        <v>0</v>
      </c>
      <c r="L402" t="n">
        <v>0</v>
      </c>
      <c r="M402" t="n">
        <v>0</v>
      </c>
      <c r="N402" t="n">
        <v>0</v>
      </c>
      <c r="O402" t="n">
        <v>0</v>
      </c>
      <c r="P402" t="n">
        <v>0</v>
      </c>
      <c r="Q402" t="n">
        <v>0</v>
      </c>
      <c r="R402" s="2" t="inlineStr"/>
    </row>
    <row r="403" ht="15" customHeight="1">
      <c r="A403" t="inlineStr">
        <is>
          <t>A 37288-2025</t>
        </is>
      </c>
      <c r="B403" s="1" t="n">
        <v>45876</v>
      </c>
      <c r="C403" s="1" t="n">
        <v>45987</v>
      </c>
      <c r="D403" t="inlineStr">
        <is>
          <t>JÄMTLANDS LÄN</t>
        </is>
      </c>
      <c r="E403" t="inlineStr">
        <is>
          <t>HÄRJEDALEN</t>
        </is>
      </c>
      <c r="F403" t="inlineStr">
        <is>
          <t>Bergvik skog väst AB</t>
        </is>
      </c>
      <c r="G403" t="n">
        <v>2.4</v>
      </c>
      <c r="H403" t="n">
        <v>0</v>
      </c>
      <c r="I403" t="n">
        <v>0</v>
      </c>
      <c r="J403" t="n">
        <v>0</v>
      </c>
      <c r="K403" t="n">
        <v>0</v>
      </c>
      <c r="L403" t="n">
        <v>0</v>
      </c>
      <c r="M403" t="n">
        <v>0</v>
      </c>
      <c r="N403" t="n">
        <v>0</v>
      </c>
      <c r="O403" t="n">
        <v>0</v>
      </c>
      <c r="P403" t="n">
        <v>0</v>
      </c>
      <c r="Q403" t="n">
        <v>0</v>
      </c>
      <c r="R403" s="2" t="inlineStr"/>
    </row>
    <row r="404" ht="15" customHeight="1">
      <c r="A404" t="inlineStr">
        <is>
          <t>A 24828-2025</t>
        </is>
      </c>
      <c r="B404" s="1" t="n">
        <v>45799.45770833334</v>
      </c>
      <c r="C404" s="1" t="n">
        <v>45987</v>
      </c>
      <c r="D404" t="inlineStr">
        <is>
          <t>JÄMTLANDS LÄN</t>
        </is>
      </c>
      <c r="E404" t="inlineStr">
        <is>
          <t>HÄRJEDALEN</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25399-2025</t>
        </is>
      </c>
      <c r="B405" s="1" t="n">
        <v>45800.65341435185</v>
      </c>
      <c r="C405" s="1" t="n">
        <v>45987</v>
      </c>
      <c r="D405" t="inlineStr">
        <is>
          <t>JÄMTLANDS LÄN</t>
        </is>
      </c>
      <c r="E405" t="inlineStr">
        <is>
          <t>HÄRJEDALEN</t>
        </is>
      </c>
      <c r="F405" t="inlineStr">
        <is>
          <t>Holmen skog AB</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31680-2025</t>
        </is>
      </c>
      <c r="B406" s="1" t="n">
        <v>45834.38173611111</v>
      </c>
      <c r="C406" s="1" t="n">
        <v>45987</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24853-2025</t>
        </is>
      </c>
      <c r="B407" s="1" t="n">
        <v>45799.47225694444</v>
      </c>
      <c r="C407" s="1" t="n">
        <v>45987</v>
      </c>
      <c r="D407" t="inlineStr">
        <is>
          <t>JÄMTLANDS LÄN</t>
        </is>
      </c>
      <c r="E407" t="inlineStr">
        <is>
          <t>HÄRJEDALEN</t>
        </is>
      </c>
      <c r="F407" t="inlineStr">
        <is>
          <t>Holmen skog AB</t>
        </is>
      </c>
      <c r="G407" t="n">
        <v>57.7</v>
      </c>
      <c r="H407" t="n">
        <v>0</v>
      </c>
      <c r="I407" t="n">
        <v>0</v>
      </c>
      <c r="J407" t="n">
        <v>0</v>
      </c>
      <c r="K407" t="n">
        <v>0</v>
      </c>
      <c r="L407" t="n">
        <v>0</v>
      </c>
      <c r="M407" t="n">
        <v>0</v>
      </c>
      <c r="N407" t="n">
        <v>0</v>
      </c>
      <c r="O407" t="n">
        <v>0</v>
      </c>
      <c r="P407" t="n">
        <v>0</v>
      </c>
      <c r="Q407" t="n">
        <v>0</v>
      </c>
      <c r="R407" s="2" t="inlineStr"/>
    </row>
    <row r="408" ht="15" customHeight="1">
      <c r="A408" t="inlineStr">
        <is>
          <t>A 25094-2025</t>
        </is>
      </c>
      <c r="B408" s="1" t="n">
        <v>45800.33436342593</v>
      </c>
      <c r="C408" s="1" t="n">
        <v>45987</v>
      </c>
      <c r="D408" t="inlineStr">
        <is>
          <t>JÄMTLANDS LÄN</t>
        </is>
      </c>
      <c r="E408" t="inlineStr">
        <is>
          <t>HÄRJEDALEN</t>
        </is>
      </c>
      <c r="F408" t="inlineStr">
        <is>
          <t>Holmen skog AB</t>
        </is>
      </c>
      <c r="G408" t="n">
        <v>6.4</v>
      </c>
      <c r="H408" t="n">
        <v>0</v>
      </c>
      <c r="I408" t="n">
        <v>0</v>
      </c>
      <c r="J408" t="n">
        <v>0</v>
      </c>
      <c r="K408" t="n">
        <v>0</v>
      </c>
      <c r="L408" t="n">
        <v>0</v>
      </c>
      <c r="M408" t="n">
        <v>0</v>
      </c>
      <c r="N408" t="n">
        <v>0</v>
      </c>
      <c r="O408" t="n">
        <v>0</v>
      </c>
      <c r="P408" t="n">
        <v>0</v>
      </c>
      <c r="Q408" t="n">
        <v>0</v>
      </c>
      <c r="R408" s="2" t="inlineStr"/>
    </row>
    <row r="409" ht="15" customHeight="1">
      <c r="A409" t="inlineStr">
        <is>
          <t>A 25098-2025</t>
        </is>
      </c>
      <c r="B409" s="1" t="n">
        <v>45800.3425</v>
      </c>
      <c r="C409" s="1" t="n">
        <v>45987</v>
      </c>
      <c r="D409" t="inlineStr">
        <is>
          <t>JÄMTLANDS LÄN</t>
        </is>
      </c>
      <c r="E409" t="inlineStr">
        <is>
          <t>HÄRJEDALEN</t>
        </is>
      </c>
      <c r="F409" t="inlineStr">
        <is>
          <t>Holmen skog AB</t>
        </is>
      </c>
      <c r="G409" t="n">
        <v>3.2</v>
      </c>
      <c r="H409" t="n">
        <v>0</v>
      </c>
      <c r="I409" t="n">
        <v>0</v>
      </c>
      <c r="J409" t="n">
        <v>0</v>
      </c>
      <c r="K409" t="n">
        <v>0</v>
      </c>
      <c r="L409" t="n">
        <v>0</v>
      </c>
      <c r="M409" t="n">
        <v>0</v>
      </c>
      <c r="N409" t="n">
        <v>0</v>
      </c>
      <c r="O409" t="n">
        <v>0</v>
      </c>
      <c r="P409" t="n">
        <v>0</v>
      </c>
      <c r="Q409" t="n">
        <v>0</v>
      </c>
      <c r="R409" s="2" t="inlineStr"/>
    </row>
    <row r="410" ht="15" customHeight="1">
      <c r="A410" t="inlineStr">
        <is>
          <t>A 10340-2023</t>
        </is>
      </c>
      <c r="B410" s="1" t="n">
        <v>44987.34981481481</v>
      </c>
      <c r="C410" s="1" t="n">
        <v>45987</v>
      </c>
      <c r="D410" t="inlineStr">
        <is>
          <t>JÄMTLANDS LÄN</t>
        </is>
      </c>
      <c r="E410" t="inlineStr">
        <is>
          <t>HÄRJEDALEN</t>
        </is>
      </c>
      <c r="F410" t="inlineStr">
        <is>
          <t>Holmen skog AB</t>
        </is>
      </c>
      <c r="G410" t="n">
        <v>5.7</v>
      </c>
      <c r="H410" t="n">
        <v>0</v>
      </c>
      <c r="I410" t="n">
        <v>0</v>
      </c>
      <c r="J410" t="n">
        <v>0</v>
      </c>
      <c r="K410" t="n">
        <v>0</v>
      </c>
      <c r="L410" t="n">
        <v>0</v>
      </c>
      <c r="M410" t="n">
        <v>0</v>
      </c>
      <c r="N410" t="n">
        <v>0</v>
      </c>
      <c r="O410" t="n">
        <v>0</v>
      </c>
      <c r="P410" t="n">
        <v>0</v>
      </c>
      <c r="Q410" t="n">
        <v>0</v>
      </c>
      <c r="R410" s="2" t="inlineStr"/>
    </row>
    <row r="411" ht="15" customHeight="1">
      <c r="A411" t="inlineStr">
        <is>
          <t>A 24796-2025</t>
        </is>
      </c>
      <c r="B411" s="1" t="n">
        <v>45799.43550925926</v>
      </c>
      <c r="C411" s="1" t="n">
        <v>45987</v>
      </c>
      <c r="D411" t="inlineStr">
        <is>
          <t>JÄMTLANDS LÄN</t>
        </is>
      </c>
      <c r="E411" t="inlineStr">
        <is>
          <t>HÄRJEDALEN</t>
        </is>
      </c>
      <c r="F411" t="inlineStr">
        <is>
          <t>Holmen skog AB</t>
        </is>
      </c>
      <c r="G411" t="n">
        <v>5.3</v>
      </c>
      <c r="H411" t="n">
        <v>0</v>
      </c>
      <c r="I411" t="n">
        <v>0</v>
      </c>
      <c r="J411" t="n">
        <v>0</v>
      </c>
      <c r="K411" t="n">
        <v>0</v>
      </c>
      <c r="L411" t="n">
        <v>0</v>
      </c>
      <c r="M411" t="n">
        <v>0</v>
      </c>
      <c r="N411" t="n">
        <v>0</v>
      </c>
      <c r="O411" t="n">
        <v>0</v>
      </c>
      <c r="P411" t="n">
        <v>0</v>
      </c>
      <c r="Q411" t="n">
        <v>0</v>
      </c>
      <c r="R411" s="2" t="inlineStr"/>
    </row>
    <row r="412" ht="15" customHeight="1">
      <c r="A412" t="inlineStr">
        <is>
          <t>A 25198-2025</t>
        </is>
      </c>
      <c r="B412" s="1" t="n">
        <v>45800.46069444445</v>
      </c>
      <c r="C412" s="1" t="n">
        <v>45987</v>
      </c>
      <c r="D412" t="inlineStr">
        <is>
          <t>JÄMTLANDS LÄN</t>
        </is>
      </c>
      <c r="E412" t="inlineStr">
        <is>
          <t>HÄRJEDALEN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39140-2025</t>
        </is>
      </c>
      <c r="B413" s="1" t="n">
        <v>45888.59509259259</v>
      </c>
      <c r="C413" s="1" t="n">
        <v>45987</v>
      </c>
      <c r="D413" t="inlineStr">
        <is>
          <t>JÄMTLANDS LÄN</t>
        </is>
      </c>
      <c r="E413" t="inlineStr">
        <is>
          <t>HÄRJEDALEN</t>
        </is>
      </c>
      <c r="G413" t="n">
        <v>14.8</v>
      </c>
      <c r="H413" t="n">
        <v>0</v>
      </c>
      <c r="I413" t="n">
        <v>0</v>
      </c>
      <c r="J413" t="n">
        <v>0</v>
      </c>
      <c r="K413" t="n">
        <v>0</v>
      </c>
      <c r="L413" t="n">
        <v>0</v>
      </c>
      <c r="M413" t="n">
        <v>0</v>
      </c>
      <c r="N413" t="n">
        <v>0</v>
      </c>
      <c r="O413" t="n">
        <v>0</v>
      </c>
      <c r="P413" t="n">
        <v>0</v>
      </c>
      <c r="Q413" t="n">
        <v>0</v>
      </c>
      <c r="R413" s="2" t="inlineStr"/>
    </row>
    <row r="414" ht="15" customHeight="1">
      <c r="A414" t="inlineStr">
        <is>
          <t>A 25232-2025</t>
        </is>
      </c>
      <c r="B414" s="1" t="n">
        <v>45800.48515046296</v>
      </c>
      <c r="C414" s="1" t="n">
        <v>45987</v>
      </c>
      <c r="D414" t="inlineStr">
        <is>
          <t>JÄMTLANDS LÄN</t>
        </is>
      </c>
      <c r="E414" t="inlineStr">
        <is>
          <t>HÄRJEDALEN</t>
        </is>
      </c>
      <c r="F414" t="inlineStr">
        <is>
          <t>Holmen skog AB</t>
        </is>
      </c>
      <c r="G414" t="n">
        <v>3.6</v>
      </c>
      <c r="H414" t="n">
        <v>0</v>
      </c>
      <c r="I414" t="n">
        <v>0</v>
      </c>
      <c r="J414" t="n">
        <v>0</v>
      </c>
      <c r="K414" t="n">
        <v>0</v>
      </c>
      <c r="L414" t="n">
        <v>0</v>
      </c>
      <c r="M414" t="n">
        <v>0</v>
      </c>
      <c r="N414" t="n">
        <v>0</v>
      </c>
      <c r="O414" t="n">
        <v>0</v>
      </c>
      <c r="P414" t="n">
        <v>0</v>
      </c>
      <c r="Q414" t="n">
        <v>0</v>
      </c>
      <c r="R414" s="2" t="inlineStr"/>
    </row>
    <row r="415" ht="15" customHeight="1">
      <c r="A415" t="inlineStr">
        <is>
          <t>A 25298-2025</t>
        </is>
      </c>
      <c r="B415" s="1" t="n">
        <v>45800.56995370371</v>
      </c>
      <c r="C415" s="1" t="n">
        <v>45987</v>
      </c>
      <c r="D415" t="inlineStr">
        <is>
          <t>JÄMTLANDS LÄN</t>
        </is>
      </c>
      <c r="E415" t="inlineStr">
        <is>
          <t>HÄRJEDALEN</t>
        </is>
      </c>
      <c r="F415" t="inlineStr">
        <is>
          <t>Holmen skog AB</t>
        </is>
      </c>
      <c r="G415" t="n">
        <v>5</v>
      </c>
      <c r="H415" t="n">
        <v>0</v>
      </c>
      <c r="I415" t="n">
        <v>0</v>
      </c>
      <c r="J415" t="n">
        <v>0</v>
      </c>
      <c r="K415" t="n">
        <v>0</v>
      </c>
      <c r="L415" t="n">
        <v>0</v>
      </c>
      <c r="M415" t="n">
        <v>0</v>
      </c>
      <c r="N415" t="n">
        <v>0</v>
      </c>
      <c r="O415" t="n">
        <v>0</v>
      </c>
      <c r="P415" t="n">
        <v>0</v>
      </c>
      <c r="Q415" t="n">
        <v>0</v>
      </c>
      <c r="R415" s="2" t="inlineStr"/>
    </row>
    <row r="416" ht="15" customHeight="1">
      <c r="A416" t="inlineStr">
        <is>
          <t>A 25123-2025</t>
        </is>
      </c>
      <c r="B416" s="1" t="n">
        <v>45800.37524305555</v>
      </c>
      <c r="C416" s="1" t="n">
        <v>45987</v>
      </c>
      <c r="D416" t="inlineStr">
        <is>
          <t>JÄMTLANDS LÄN</t>
        </is>
      </c>
      <c r="E416" t="inlineStr">
        <is>
          <t>HÄRJEDALEN</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25158-2025</t>
        </is>
      </c>
      <c r="B417" s="1" t="n">
        <v>45800.42797453704</v>
      </c>
      <c r="C417" s="1" t="n">
        <v>45987</v>
      </c>
      <c r="D417" t="inlineStr">
        <is>
          <t>JÄMTLANDS LÄN</t>
        </is>
      </c>
      <c r="E417" t="inlineStr">
        <is>
          <t>HÄRJEDALEN</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25171-2025</t>
        </is>
      </c>
      <c r="B418" s="1" t="n">
        <v>45800.44090277778</v>
      </c>
      <c r="C418" s="1" t="n">
        <v>45987</v>
      </c>
      <c r="D418" t="inlineStr">
        <is>
          <t>JÄMTLANDS LÄN</t>
        </is>
      </c>
      <c r="E418" t="inlineStr">
        <is>
          <t>HÄRJEDALEN</t>
        </is>
      </c>
      <c r="G418" t="n">
        <v>12.3</v>
      </c>
      <c r="H418" t="n">
        <v>0</v>
      </c>
      <c r="I418" t="n">
        <v>0</v>
      </c>
      <c r="J418" t="n">
        <v>0</v>
      </c>
      <c r="K418" t="n">
        <v>0</v>
      </c>
      <c r="L418" t="n">
        <v>0</v>
      </c>
      <c r="M418" t="n">
        <v>0</v>
      </c>
      <c r="N418" t="n">
        <v>0</v>
      </c>
      <c r="O418" t="n">
        <v>0</v>
      </c>
      <c r="P418" t="n">
        <v>0</v>
      </c>
      <c r="Q418" t="n">
        <v>0</v>
      </c>
      <c r="R418" s="2" t="inlineStr"/>
    </row>
    <row r="419" ht="15" customHeight="1">
      <c r="A419" t="inlineStr">
        <is>
          <t>A 25383-2025</t>
        </is>
      </c>
      <c r="B419" s="1" t="n">
        <v>45800.64065972222</v>
      </c>
      <c r="C419" s="1" t="n">
        <v>45987</v>
      </c>
      <c r="D419" t="inlineStr">
        <is>
          <t>JÄMTLANDS LÄN</t>
        </is>
      </c>
      <c r="E419" t="inlineStr">
        <is>
          <t>HÄRJEDALEN</t>
        </is>
      </c>
      <c r="F419" t="inlineStr">
        <is>
          <t>Holmen skog AB</t>
        </is>
      </c>
      <c r="G419" t="n">
        <v>6.2</v>
      </c>
      <c r="H419" t="n">
        <v>0</v>
      </c>
      <c r="I419" t="n">
        <v>0</v>
      </c>
      <c r="J419" t="n">
        <v>0</v>
      </c>
      <c r="K419" t="n">
        <v>0</v>
      </c>
      <c r="L419" t="n">
        <v>0</v>
      </c>
      <c r="M419" t="n">
        <v>0</v>
      </c>
      <c r="N419" t="n">
        <v>0</v>
      </c>
      <c r="O419" t="n">
        <v>0</v>
      </c>
      <c r="P419" t="n">
        <v>0</v>
      </c>
      <c r="Q419" t="n">
        <v>0</v>
      </c>
      <c r="R419" s="2" t="inlineStr"/>
    </row>
    <row r="420" ht="15" customHeight="1">
      <c r="A420" t="inlineStr">
        <is>
          <t>A 55193-2023</t>
        </is>
      </c>
      <c r="B420" s="1" t="n">
        <v>45237.5815162037</v>
      </c>
      <c r="C420" s="1" t="n">
        <v>45987</v>
      </c>
      <c r="D420" t="inlineStr">
        <is>
          <t>JÄMTLANDS LÄN</t>
        </is>
      </c>
      <c r="E420" t="inlineStr">
        <is>
          <t>HÄRJEDALEN</t>
        </is>
      </c>
      <c r="G420" t="n">
        <v>2.1</v>
      </c>
      <c r="H420" t="n">
        <v>0</v>
      </c>
      <c r="I420" t="n">
        <v>0</v>
      </c>
      <c r="J420" t="n">
        <v>0</v>
      </c>
      <c r="K420" t="n">
        <v>0</v>
      </c>
      <c r="L420" t="n">
        <v>0</v>
      </c>
      <c r="M420" t="n">
        <v>0</v>
      </c>
      <c r="N420" t="n">
        <v>0</v>
      </c>
      <c r="O420" t="n">
        <v>0</v>
      </c>
      <c r="P420" t="n">
        <v>0</v>
      </c>
      <c r="Q420" t="n">
        <v>0</v>
      </c>
      <c r="R420" s="2" t="inlineStr"/>
    </row>
    <row r="421" ht="15" customHeight="1">
      <c r="A421" t="inlineStr">
        <is>
          <t>A 25380-2025</t>
        </is>
      </c>
      <c r="B421" s="1" t="n">
        <v>45800.63738425926</v>
      </c>
      <c r="C421" s="1" t="n">
        <v>45987</v>
      </c>
      <c r="D421" t="inlineStr">
        <is>
          <t>JÄMTLANDS LÄN</t>
        </is>
      </c>
      <c r="E421" t="inlineStr">
        <is>
          <t>HÄRJEDALEN</t>
        </is>
      </c>
      <c r="F421" t="inlineStr">
        <is>
          <t>Sveaskog</t>
        </is>
      </c>
      <c r="G421" t="n">
        <v>6.8</v>
      </c>
      <c r="H421" t="n">
        <v>0</v>
      </c>
      <c r="I421" t="n">
        <v>0</v>
      </c>
      <c r="J421" t="n">
        <v>0</v>
      </c>
      <c r="K421" t="n">
        <v>0</v>
      </c>
      <c r="L421" t="n">
        <v>0</v>
      </c>
      <c r="M421" t="n">
        <v>0</v>
      </c>
      <c r="N421" t="n">
        <v>0</v>
      </c>
      <c r="O421" t="n">
        <v>0</v>
      </c>
      <c r="P421" t="n">
        <v>0</v>
      </c>
      <c r="Q421" t="n">
        <v>0</v>
      </c>
      <c r="R421" s="2" t="inlineStr"/>
    </row>
    <row r="422" ht="15" customHeight="1">
      <c r="A422" t="inlineStr">
        <is>
          <t>A 29706-2024</t>
        </is>
      </c>
      <c r="B422" s="1" t="n">
        <v>45485</v>
      </c>
      <c r="C422" s="1" t="n">
        <v>45987</v>
      </c>
      <c r="D422" t="inlineStr">
        <is>
          <t>JÄMTLANDS LÄN</t>
        </is>
      </c>
      <c r="E422" t="inlineStr">
        <is>
          <t>HÄRJEDALEN</t>
        </is>
      </c>
      <c r="F422" t="inlineStr">
        <is>
          <t>Holmen skog AB</t>
        </is>
      </c>
      <c r="G422" t="n">
        <v>5.7</v>
      </c>
      <c r="H422" t="n">
        <v>0</v>
      </c>
      <c r="I422" t="n">
        <v>0</v>
      </c>
      <c r="J422" t="n">
        <v>0</v>
      </c>
      <c r="K422" t="n">
        <v>0</v>
      </c>
      <c r="L422" t="n">
        <v>0</v>
      </c>
      <c r="M422" t="n">
        <v>0</v>
      </c>
      <c r="N422" t="n">
        <v>0</v>
      </c>
      <c r="O422" t="n">
        <v>0</v>
      </c>
      <c r="P422" t="n">
        <v>0</v>
      </c>
      <c r="Q422" t="n">
        <v>0</v>
      </c>
      <c r="R422" s="2" t="inlineStr"/>
    </row>
    <row r="423" ht="15" customHeight="1">
      <c r="A423" t="inlineStr">
        <is>
          <t>A 29712-2024</t>
        </is>
      </c>
      <c r="B423" s="1" t="n">
        <v>45485</v>
      </c>
      <c r="C423" s="1" t="n">
        <v>45987</v>
      </c>
      <c r="D423" t="inlineStr">
        <is>
          <t>JÄMTLANDS LÄN</t>
        </is>
      </c>
      <c r="E423" t="inlineStr">
        <is>
          <t>HÄRJEDALEN</t>
        </is>
      </c>
      <c r="F423" t="inlineStr">
        <is>
          <t>Holmen skog AB</t>
        </is>
      </c>
      <c r="G423" t="n">
        <v>9.5</v>
      </c>
      <c r="H423" t="n">
        <v>0</v>
      </c>
      <c r="I423" t="n">
        <v>0</v>
      </c>
      <c r="J423" t="n">
        <v>0</v>
      </c>
      <c r="K423" t="n">
        <v>0</v>
      </c>
      <c r="L423" t="n">
        <v>0</v>
      </c>
      <c r="M423" t="n">
        <v>0</v>
      </c>
      <c r="N423" t="n">
        <v>0</v>
      </c>
      <c r="O423" t="n">
        <v>0</v>
      </c>
      <c r="P423" t="n">
        <v>0</v>
      </c>
      <c r="Q423" t="n">
        <v>0</v>
      </c>
      <c r="R423" s="2" t="inlineStr"/>
    </row>
    <row r="424" ht="15" customHeight="1">
      <c r="A424" t="inlineStr">
        <is>
          <t>A 29729-2024</t>
        </is>
      </c>
      <c r="B424" s="1" t="n">
        <v>45485</v>
      </c>
      <c r="C424" s="1" t="n">
        <v>45987</v>
      </c>
      <c r="D424" t="inlineStr">
        <is>
          <t>JÄMTLANDS LÄN</t>
        </is>
      </c>
      <c r="E424" t="inlineStr">
        <is>
          <t>HÄRJEDALEN</t>
        </is>
      </c>
      <c r="F424" t="inlineStr">
        <is>
          <t>Holmen skog AB</t>
        </is>
      </c>
      <c r="G424" t="n">
        <v>3.7</v>
      </c>
      <c r="H424" t="n">
        <v>0</v>
      </c>
      <c r="I424" t="n">
        <v>0</v>
      </c>
      <c r="J424" t="n">
        <v>0</v>
      </c>
      <c r="K424" t="n">
        <v>0</v>
      </c>
      <c r="L424" t="n">
        <v>0</v>
      </c>
      <c r="M424" t="n">
        <v>0</v>
      </c>
      <c r="N424" t="n">
        <v>0</v>
      </c>
      <c r="O424" t="n">
        <v>0</v>
      </c>
      <c r="P424" t="n">
        <v>0</v>
      </c>
      <c r="Q424" t="n">
        <v>0</v>
      </c>
      <c r="R424" s="2" t="inlineStr"/>
    </row>
    <row r="425" ht="15" customHeight="1">
      <c r="A425" t="inlineStr">
        <is>
          <t>A 25343-2025</t>
        </is>
      </c>
      <c r="B425" s="1" t="n">
        <v>45800.60508101852</v>
      </c>
      <c r="C425" s="1" t="n">
        <v>45987</v>
      </c>
      <c r="D425" t="inlineStr">
        <is>
          <t>JÄMTLANDS LÄN</t>
        </is>
      </c>
      <c r="E425" t="inlineStr">
        <is>
          <t>HÄRJEDALEN</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38820-2025</t>
        </is>
      </c>
      <c r="B426" s="1" t="n">
        <v>45887</v>
      </c>
      <c r="C426" s="1" t="n">
        <v>45987</v>
      </c>
      <c r="D426" t="inlineStr">
        <is>
          <t>JÄMTLANDS LÄN</t>
        </is>
      </c>
      <c r="E426" t="inlineStr">
        <is>
          <t>HÄRJEDALEN</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38898-2025</t>
        </is>
      </c>
      <c r="B427" s="1" t="n">
        <v>45887.59913194444</v>
      </c>
      <c r="C427" s="1" t="n">
        <v>45987</v>
      </c>
      <c r="D427" t="inlineStr">
        <is>
          <t>JÄMTLANDS LÄN</t>
        </is>
      </c>
      <c r="E427" t="inlineStr">
        <is>
          <t>HÄRJEDALEN</t>
        </is>
      </c>
      <c r="F427" t="inlineStr">
        <is>
          <t>Bergvik skog väst AB</t>
        </is>
      </c>
      <c r="G427" t="n">
        <v>4</v>
      </c>
      <c r="H427" t="n">
        <v>0</v>
      </c>
      <c r="I427" t="n">
        <v>0</v>
      </c>
      <c r="J427" t="n">
        <v>0</v>
      </c>
      <c r="K427" t="n">
        <v>0</v>
      </c>
      <c r="L427" t="n">
        <v>0</v>
      </c>
      <c r="M427" t="n">
        <v>0</v>
      </c>
      <c r="N427" t="n">
        <v>0</v>
      </c>
      <c r="O427" t="n">
        <v>0</v>
      </c>
      <c r="P427" t="n">
        <v>0</v>
      </c>
      <c r="Q427" t="n">
        <v>0</v>
      </c>
      <c r="R427" s="2" t="inlineStr"/>
    </row>
    <row r="428" ht="15" customHeight="1">
      <c r="A428" t="inlineStr">
        <is>
          <t>A 25409-2025</t>
        </is>
      </c>
      <c r="B428" s="1" t="n">
        <v>45800.66043981481</v>
      </c>
      <c r="C428" s="1" t="n">
        <v>45987</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24842-2025</t>
        </is>
      </c>
      <c r="B429" s="1" t="n">
        <v>45799.4658912037</v>
      </c>
      <c r="C429" s="1" t="n">
        <v>45987</v>
      </c>
      <c r="D429" t="inlineStr">
        <is>
          <t>JÄMTLANDS LÄN</t>
        </is>
      </c>
      <c r="E429" t="inlineStr">
        <is>
          <t>HÄRJEDALEN</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24844-2025</t>
        </is>
      </c>
      <c r="B430" s="1" t="n">
        <v>45799.46642361111</v>
      </c>
      <c r="C430" s="1" t="n">
        <v>45987</v>
      </c>
      <c r="D430" t="inlineStr">
        <is>
          <t>JÄMTLANDS LÄN</t>
        </is>
      </c>
      <c r="E430" t="inlineStr">
        <is>
          <t>HÄRJEDALEN</t>
        </is>
      </c>
      <c r="G430" t="n">
        <v>3.6</v>
      </c>
      <c r="H430" t="n">
        <v>0</v>
      </c>
      <c r="I430" t="n">
        <v>0</v>
      </c>
      <c r="J430" t="n">
        <v>0</v>
      </c>
      <c r="K430" t="n">
        <v>0</v>
      </c>
      <c r="L430" t="n">
        <v>0</v>
      </c>
      <c r="M430" t="n">
        <v>0</v>
      </c>
      <c r="N430" t="n">
        <v>0</v>
      </c>
      <c r="O430" t="n">
        <v>0</v>
      </c>
      <c r="P430" t="n">
        <v>0</v>
      </c>
      <c r="Q430" t="n">
        <v>0</v>
      </c>
      <c r="R430" s="2" t="inlineStr"/>
    </row>
    <row r="431" ht="15" customHeight="1">
      <c r="A431" t="inlineStr">
        <is>
          <t>A 25109-2025</t>
        </is>
      </c>
      <c r="B431" s="1" t="n">
        <v>45800.3503587963</v>
      </c>
      <c r="C431" s="1" t="n">
        <v>45987</v>
      </c>
      <c r="D431" t="inlineStr">
        <is>
          <t>JÄMTLANDS LÄN</t>
        </is>
      </c>
      <c r="E431" t="inlineStr">
        <is>
          <t>HÄRJEDALEN</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25112-2025</t>
        </is>
      </c>
      <c r="B432" s="1" t="n">
        <v>45800.35670138889</v>
      </c>
      <c r="C432" s="1" t="n">
        <v>45987</v>
      </c>
      <c r="D432" t="inlineStr">
        <is>
          <t>JÄMTLANDS LÄN</t>
        </is>
      </c>
      <c r="E432" t="inlineStr">
        <is>
          <t>HÄRJEDALEN</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59279-2023</t>
        </is>
      </c>
      <c r="B433" s="1" t="n">
        <v>45253.55737268519</v>
      </c>
      <c r="C433" s="1" t="n">
        <v>45987</v>
      </c>
      <c r="D433" t="inlineStr">
        <is>
          <t>JÄMTLANDS LÄN</t>
        </is>
      </c>
      <c r="E433" t="inlineStr">
        <is>
          <t>HÄRJEDALEN</t>
        </is>
      </c>
      <c r="G433" t="n">
        <v>1.4</v>
      </c>
      <c r="H433" t="n">
        <v>0</v>
      </c>
      <c r="I433" t="n">
        <v>0</v>
      </c>
      <c r="J433" t="n">
        <v>0</v>
      </c>
      <c r="K433" t="n">
        <v>0</v>
      </c>
      <c r="L433" t="n">
        <v>0</v>
      </c>
      <c r="M433" t="n">
        <v>0</v>
      </c>
      <c r="N433" t="n">
        <v>0</v>
      </c>
      <c r="O433" t="n">
        <v>0</v>
      </c>
      <c r="P433" t="n">
        <v>0</v>
      </c>
      <c r="Q433" t="n">
        <v>0</v>
      </c>
      <c r="R433" s="2" t="inlineStr"/>
    </row>
    <row r="434" ht="15" customHeight="1">
      <c r="A434" t="inlineStr">
        <is>
          <t>A 25147-2025</t>
        </is>
      </c>
      <c r="B434" s="1" t="n">
        <v>45800.41883101852</v>
      </c>
      <c r="C434" s="1" t="n">
        <v>45987</v>
      </c>
      <c r="D434" t="inlineStr">
        <is>
          <t>JÄMTLANDS LÄN</t>
        </is>
      </c>
      <c r="E434" t="inlineStr">
        <is>
          <t>HÄRJEDALEN</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24791-2025</t>
        </is>
      </c>
      <c r="B435" s="1" t="n">
        <v>45799.43086805556</v>
      </c>
      <c r="C435" s="1" t="n">
        <v>45987</v>
      </c>
      <c r="D435" t="inlineStr">
        <is>
          <t>JÄMTLANDS LÄN</t>
        </is>
      </c>
      <c r="E435" t="inlineStr">
        <is>
          <t>HÄRJEDALEN</t>
        </is>
      </c>
      <c r="F435" t="inlineStr">
        <is>
          <t>Holmen skog AB</t>
        </is>
      </c>
      <c r="G435" t="n">
        <v>5.1</v>
      </c>
      <c r="H435" t="n">
        <v>0</v>
      </c>
      <c r="I435" t="n">
        <v>0</v>
      </c>
      <c r="J435" t="n">
        <v>0</v>
      </c>
      <c r="K435" t="n">
        <v>0</v>
      </c>
      <c r="L435" t="n">
        <v>0</v>
      </c>
      <c r="M435" t="n">
        <v>0</v>
      </c>
      <c r="N435" t="n">
        <v>0</v>
      </c>
      <c r="O435" t="n">
        <v>0</v>
      </c>
      <c r="P435" t="n">
        <v>0</v>
      </c>
      <c r="Q435" t="n">
        <v>0</v>
      </c>
      <c r="R435" s="2" t="inlineStr"/>
    </row>
    <row r="436" ht="15" customHeight="1">
      <c r="A436" t="inlineStr">
        <is>
          <t>A 41037-2025</t>
        </is>
      </c>
      <c r="B436" s="1" t="n">
        <v>45898</v>
      </c>
      <c r="C436" s="1" t="n">
        <v>45987</v>
      </c>
      <c r="D436" t="inlineStr">
        <is>
          <t>JÄMTLANDS LÄN</t>
        </is>
      </c>
      <c r="E436" t="inlineStr">
        <is>
          <t>HÄRJEDALEN</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239-2022</t>
        </is>
      </c>
      <c r="B437" s="1" t="n">
        <v>44565.31975694445</v>
      </c>
      <c r="C437" s="1" t="n">
        <v>45987</v>
      </c>
      <c r="D437" t="inlineStr">
        <is>
          <t>JÄMTLANDS LÄN</t>
        </is>
      </c>
      <c r="E437" t="inlineStr">
        <is>
          <t>HÄRJEDALEN</t>
        </is>
      </c>
      <c r="F437" t="inlineStr">
        <is>
          <t>Övriga Aktiebolag</t>
        </is>
      </c>
      <c r="G437" t="n">
        <v>4.3</v>
      </c>
      <c r="H437" t="n">
        <v>0</v>
      </c>
      <c r="I437" t="n">
        <v>0</v>
      </c>
      <c r="J437" t="n">
        <v>0</v>
      </c>
      <c r="K437" t="n">
        <v>0</v>
      </c>
      <c r="L437" t="n">
        <v>0</v>
      </c>
      <c r="M437" t="n">
        <v>0</v>
      </c>
      <c r="N437" t="n">
        <v>0</v>
      </c>
      <c r="O437" t="n">
        <v>0</v>
      </c>
      <c r="P437" t="n">
        <v>0</v>
      </c>
      <c r="Q437" t="n">
        <v>0</v>
      </c>
      <c r="R437" s="2" t="inlineStr"/>
    </row>
    <row r="438" ht="15" customHeight="1">
      <c r="A438" t="inlineStr">
        <is>
          <t>A 241-2022</t>
        </is>
      </c>
      <c r="B438" s="1" t="n">
        <v>44565</v>
      </c>
      <c r="C438" s="1" t="n">
        <v>45987</v>
      </c>
      <c r="D438" t="inlineStr">
        <is>
          <t>JÄMTLANDS LÄN</t>
        </is>
      </c>
      <c r="E438" t="inlineStr">
        <is>
          <t>HÄRJEDALEN</t>
        </is>
      </c>
      <c r="F438" t="inlineStr">
        <is>
          <t>Övriga Aktiebolag</t>
        </is>
      </c>
      <c r="G438" t="n">
        <v>16.5</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45987</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25515-2025</t>
        </is>
      </c>
      <c r="B440" s="1" t="n">
        <v>45803.37258101852</v>
      </c>
      <c r="C440" s="1" t="n">
        <v>45987</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21699-2021</t>
        </is>
      </c>
      <c r="B441" s="1" t="n">
        <v>44316</v>
      </c>
      <c r="C441" s="1" t="n">
        <v>45987</v>
      </c>
      <c r="D441" t="inlineStr">
        <is>
          <t>JÄMTLANDS LÄN</t>
        </is>
      </c>
      <c r="E441" t="inlineStr">
        <is>
          <t>HÄRJEDALEN</t>
        </is>
      </c>
      <c r="G441" t="n">
        <v>6.8</v>
      </c>
      <c r="H441" t="n">
        <v>0</v>
      </c>
      <c r="I441" t="n">
        <v>0</v>
      </c>
      <c r="J441" t="n">
        <v>0</v>
      </c>
      <c r="K441" t="n">
        <v>0</v>
      </c>
      <c r="L441" t="n">
        <v>0</v>
      </c>
      <c r="M441" t="n">
        <v>0</v>
      </c>
      <c r="N441" t="n">
        <v>0</v>
      </c>
      <c r="O441" t="n">
        <v>0</v>
      </c>
      <c r="P441" t="n">
        <v>0</v>
      </c>
      <c r="Q441" t="n">
        <v>0</v>
      </c>
      <c r="R441" s="2" t="inlineStr"/>
    </row>
    <row r="442" ht="15" customHeight="1">
      <c r="A442" t="inlineStr">
        <is>
          <t>A 59962-2024</t>
        </is>
      </c>
      <c r="B442" s="1" t="n">
        <v>45642.35256944445</v>
      </c>
      <c r="C442" s="1" t="n">
        <v>45987</v>
      </c>
      <c r="D442" t="inlineStr">
        <is>
          <t>JÄMTLANDS LÄN</t>
        </is>
      </c>
      <c r="E442" t="inlineStr">
        <is>
          <t>HÄRJEDALEN</t>
        </is>
      </c>
      <c r="G442" t="n">
        <v>2.4</v>
      </c>
      <c r="H442" t="n">
        <v>0</v>
      </c>
      <c r="I442" t="n">
        <v>0</v>
      </c>
      <c r="J442" t="n">
        <v>0</v>
      </c>
      <c r="K442" t="n">
        <v>0</v>
      </c>
      <c r="L442" t="n">
        <v>0</v>
      </c>
      <c r="M442" t="n">
        <v>0</v>
      </c>
      <c r="N442" t="n">
        <v>0</v>
      </c>
      <c r="O442" t="n">
        <v>0</v>
      </c>
      <c r="P442" t="n">
        <v>0</v>
      </c>
      <c r="Q442" t="n">
        <v>0</v>
      </c>
      <c r="R442" s="2" t="inlineStr"/>
    </row>
    <row r="443" ht="15" customHeight="1">
      <c r="A443" t="inlineStr">
        <is>
          <t>A 36537-2025</t>
        </is>
      </c>
      <c r="B443" s="1" t="n">
        <v>45869</v>
      </c>
      <c r="C443" s="1" t="n">
        <v>45987</v>
      </c>
      <c r="D443" t="inlineStr">
        <is>
          <t>JÄMTLANDS LÄN</t>
        </is>
      </c>
      <c r="E443" t="inlineStr">
        <is>
          <t>HÄRJEDALEN</t>
        </is>
      </c>
      <c r="G443" t="n">
        <v>3.8</v>
      </c>
      <c r="H443" t="n">
        <v>0</v>
      </c>
      <c r="I443" t="n">
        <v>0</v>
      </c>
      <c r="J443" t="n">
        <v>0</v>
      </c>
      <c r="K443" t="n">
        <v>0</v>
      </c>
      <c r="L443" t="n">
        <v>0</v>
      </c>
      <c r="M443" t="n">
        <v>0</v>
      </c>
      <c r="N443" t="n">
        <v>0</v>
      </c>
      <c r="O443" t="n">
        <v>0</v>
      </c>
      <c r="P443" t="n">
        <v>0</v>
      </c>
      <c r="Q443" t="n">
        <v>0</v>
      </c>
      <c r="R443" s="2" t="inlineStr"/>
    </row>
    <row r="444" ht="15" customHeight="1">
      <c r="A444" t="inlineStr">
        <is>
          <t>A 56182-2024</t>
        </is>
      </c>
      <c r="B444" s="1" t="n">
        <v>45624.57098379629</v>
      </c>
      <c r="C444" s="1" t="n">
        <v>45987</v>
      </c>
      <c r="D444" t="inlineStr">
        <is>
          <t>JÄMTLANDS LÄN</t>
        </is>
      </c>
      <c r="E444" t="inlineStr">
        <is>
          <t>HÄRJEDALEN</t>
        </is>
      </c>
      <c r="G444" t="n">
        <v>9</v>
      </c>
      <c r="H444" t="n">
        <v>0</v>
      </c>
      <c r="I444" t="n">
        <v>0</v>
      </c>
      <c r="J444" t="n">
        <v>0</v>
      </c>
      <c r="K444" t="n">
        <v>0</v>
      </c>
      <c r="L444" t="n">
        <v>0</v>
      </c>
      <c r="M444" t="n">
        <v>0</v>
      </c>
      <c r="N444" t="n">
        <v>0</v>
      </c>
      <c r="O444" t="n">
        <v>0</v>
      </c>
      <c r="P444" t="n">
        <v>0</v>
      </c>
      <c r="Q444" t="n">
        <v>0</v>
      </c>
      <c r="R444" s="2" t="inlineStr"/>
    </row>
    <row r="445" ht="15" customHeight="1">
      <c r="A445" t="inlineStr">
        <is>
          <t>A 62513-2022</t>
        </is>
      </c>
      <c r="B445" s="1" t="n">
        <v>44924.61315972222</v>
      </c>
      <c r="C445" s="1" t="n">
        <v>45987</v>
      </c>
      <c r="D445" t="inlineStr">
        <is>
          <t>JÄMTLANDS LÄN</t>
        </is>
      </c>
      <c r="E445" t="inlineStr">
        <is>
          <t>HÄRJEDALEN</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25933-2025</t>
        </is>
      </c>
      <c r="B446" s="1" t="n">
        <v>45804.589375</v>
      </c>
      <c r="C446" s="1" t="n">
        <v>45987</v>
      </c>
      <c r="D446" t="inlineStr">
        <is>
          <t>JÄMTLANDS LÄN</t>
        </is>
      </c>
      <c r="E446" t="inlineStr">
        <is>
          <t>HÄRJEDALEN</t>
        </is>
      </c>
      <c r="G446" t="n">
        <v>2.7</v>
      </c>
      <c r="H446" t="n">
        <v>0</v>
      </c>
      <c r="I446" t="n">
        <v>0</v>
      </c>
      <c r="J446" t="n">
        <v>0</v>
      </c>
      <c r="K446" t="n">
        <v>0</v>
      </c>
      <c r="L446" t="n">
        <v>0</v>
      </c>
      <c r="M446" t="n">
        <v>0</v>
      </c>
      <c r="N446" t="n">
        <v>0</v>
      </c>
      <c r="O446" t="n">
        <v>0</v>
      </c>
      <c r="P446" t="n">
        <v>0</v>
      </c>
      <c r="Q446" t="n">
        <v>0</v>
      </c>
      <c r="R446" s="2" t="inlineStr"/>
    </row>
    <row r="447" ht="15" customHeight="1">
      <c r="A447" t="inlineStr">
        <is>
          <t>A 39211-2025</t>
        </is>
      </c>
      <c r="B447" s="1" t="n">
        <v>45888.78539351852</v>
      </c>
      <c r="C447" s="1" t="n">
        <v>45987</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25516-2025</t>
        </is>
      </c>
      <c r="B448" s="1" t="n">
        <v>45803.37480324074</v>
      </c>
      <c r="C448" s="1" t="n">
        <v>45987</v>
      </c>
      <c r="D448" t="inlineStr">
        <is>
          <t>JÄMTLANDS LÄN</t>
        </is>
      </c>
      <c r="E448" t="inlineStr">
        <is>
          <t>HÄRJEDALEN</t>
        </is>
      </c>
      <c r="G448" t="n">
        <v>5</v>
      </c>
      <c r="H448" t="n">
        <v>0</v>
      </c>
      <c r="I448" t="n">
        <v>0</v>
      </c>
      <c r="J448" t="n">
        <v>0</v>
      </c>
      <c r="K448" t="n">
        <v>0</v>
      </c>
      <c r="L448" t="n">
        <v>0</v>
      </c>
      <c r="M448" t="n">
        <v>0</v>
      </c>
      <c r="N448" t="n">
        <v>0</v>
      </c>
      <c r="O448" t="n">
        <v>0</v>
      </c>
      <c r="P448" t="n">
        <v>0</v>
      </c>
      <c r="Q448" t="n">
        <v>0</v>
      </c>
      <c r="R448" s="2" t="inlineStr"/>
    </row>
    <row r="449" ht="15" customHeight="1">
      <c r="A449" t="inlineStr">
        <is>
          <t>A 39290-2025</t>
        </is>
      </c>
      <c r="B449" s="1" t="n">
        <v>45889.40916666666</v>
      </c>
      <c r="C449" s="1" t="n">
        <v>45987</v>
      </c>
      <c r="D449" t="inlineStr">
        <is>
          <t>JÄMTLANDS LÄN</t>
        </is>
      </c>
      <c r="E449" t="inlineStr">
        <is>
          <t>HÄRJEDALEN</t>
        </is>
      </c>
      <c r="G449" t="n">
        <v>10.9</v>
      </c>
      <c r="H449" t="n">
        <v>0</v>
      </c>
      <c r="I449" t="n">
        <v>0</v>
      </c>
      <c r="J449" t="n">
        <v>0</v>
      </c>
      <c r="K449" t="n">
        <v>0</v>
      </c>
      <c r="L449" t="n">
        <v>0</v>
      </c>
      <c r="M449" t="n">
        <v>0</v>
      </c>
      <c r="N449" t="n">
        <v>0</v>
      </c>
      <c r="O449" t="n">
        <v>0</v>
      </c>
      <c r="P449" t="n">
        <v>0</v>
      </c>
      <c r="Q449" t="n">
        <v>0</v>
      </c>
      <c r="R449" s="2" t="inlineStr"/>
    </row>
    <row r="450" ht="15" customHeight="1">
      <c r="A450" t="inlineStr">
        <is>
          <t>A 39291-2025</t>
        </is>
      </c>
      <c r="B450" s="1" t="n">
        <v>45889.41715277778</v>
      </c>
      <c r="C450" s="1" t="n">
        <v>45987</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26209-2025</t>
        </is>
      </c>
      <c r="B451" s="1" t="n">
        <v>45805.53280092592</v>
      </c>
      <c r="C451" s="1" t="n">
        <v>45987</v>
      </c>
      <c r="D451" t="inlineStr">
        <is>
          <t>JÄMTLANDS LÄN</t>
        </is>
      </c>
      <c r="E451" t="inlineStr">
        <is>
          <t>HÄRJEDALEN</t>
        </is>
      </c>
      <c r="F451" t="inlineStr">
        <is>
          <t>Bergvik skog väst AB</t>
        </is>
      </c>
      <c r="G451" t="n">
        <v>27.3</v>
      </c>
      <c r="H451" t="n">
        <v>0</v>
      </c>
      <c r="I451" t="n">
        <v>0</v>
      </c>
      <c r="J451" t="n">
        <v>0</v>
      </c>
      <c r="K451" t="n">
        <v>0</v>
      </c>
      <c r="L451" t="n">
        <v>0</v>
      </c>
      <c r="M451" t="n">
        <v>0</v>
      </c>
      <c r="N451" t="n">
        <v>0</v>
      </c>
      <c r="O451" t="n">
        <v>0</v>
      </c>
      <c r="P451" t="n">
        <v>0</v>
      </c>
      <c r="Q451" t="n">
        <v>0</v>
      </c>
      <c r="R451" s="2" t="inlineStr"/>
    </row>
    <row r="452" ht="15" customHeight="1">
      <c r="A452" t="inlineStr">
        <is>
          <t>A 51964-2024</t>
        </is>
      </c>
      <c r="B452" s="1" t="n">
        <v>45607</v>
      </c>
      <c r="C452" s="1" t="n">
        <v>45987</v>
      </c>
      <c r="D452" t="inlineStr">
        <is>
          <t>JÄMTLANDS LÄN</t>
        </is>
      </c>
      <c r="E452" t="inlineStr">
        <is>
          <t>HÄRJEDALEN</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39212-2025</t>
        </is>
      </c>
      <c r="B453" s="1" t="n">
        <v>45888.78833333333</v>
      </c>
      <c r="C453" s="1" t="n">
        <v>45987</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39213-2025</t>
        </is>
      </c>
      <c r="B454" s="1" t="n">
        <v>45888.78960648148</v>
      </c>
      <c r="C454" s="1" t="n">
        <v>45987</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26551-2025</t>
        </is>
      </c>
      <c r="B455" s="1" t="n">
        <v>45807.60333333333</v>
      </c>
      <c r="C455" s="1" t="n">
        <v>45987</v>
      </c>
      <c r="D455" t="inlineStr">
        <is>
          <t>JÄMTLANDS LÄN</t>
        </is>
      </c>
      <c r="E455" t="inlineStr">
        <is>
          <t>HÄRJEDALEN</t>
        </is>
      </c>
      <c r="F455" t="inlineStr">
        <is>
          <t>Holmen skog AB</t>
        </is>
      </c>
      <c r="G455" t="n">
        <v>12.3</v>
      </c>
      <c r="H455" t="n">
        <v>0</v>
      </c>
      <c r="I455" t="n">
        <v>0</v>
      </c>
      <c r="J455" t="n">
        <v>0</v>
      </c>
      <c r="K455" t="n">
        <v>0</v>
      </c>
      <c r="L455" t="n">
        <v>0</v>
      </c>
      <c r="M455" t="n">
        <v>0</v>
      </c>
      <c r="N455" t="n">
        <v>0</v>
      </c>
      <c r="O455" t="n">
        <v>0</v>
      </c>
      <c r="P455" t="n">
        <v>0</v>
      </c>
      <c r="Q455" t="n">
        <v>0</v>
      </c>
      <c r="R455" s="2" t="inlineStr"/>
    </row>
    <row r="456" ht="15" customHeight="1">
      <c r="A456" t="inlineStr">
        <is>
          <t>A 26543-2025</t>
        </is>
      </c>
      <c r="B456" s="1" t="n">
        <v>45807.58868055556</v>
      </c>
      <c r="C456" s="1" t="n">
        <v>45987</v>
      </c>
      <c r="D456" t="inlineStr">
        <is>
          <t>JÄMTLANDS LÄN</t>
        </is>
      </c>
      <c r="E456" t="inlineStr">
        <is>
          <t>HÄRJEDALEN</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26548-2025</t>
        </is>
      </c>
      <c r="B457" s="1" t="n">
        <v>45807.59407407408</v>
      </c>
      <c r="C457" s="1" t="n">
        <v>45987</v>
      </c>
      <c r="D457" t="inlineStr">
        <is>
          <t>JÄMTLANDS LÄN</t>
        </is>
      </c>
      <c r="E457" t="inlineStr">
        <is>
          <t>HÄRJEDALEN</t>
        </is>
      </c>
      <c r="F457" t="inlineStr">
        <is>
          <t>Holmen skog AB</t>
        </is>
      </c>
      <c r="G457" t="n">
        <v>10.5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45987</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45987</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45987</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45987</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45987</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39963-2025</t>
        </is>
      </c>
      <c r="B463" s="1" t="n">
        <v>45892.53184027778</v>
      </c>
      <c r="C463" s="1" t="n">
        <v>45987</v>
      </c>
      <c r="D463" t="inlineStr">
        <is>
          <t>JÄMTLANDS LÄN</t>
        </is>
      </c>
      <c r="E463" t="inlineStr">
        <is>
          <t>HÄRJEDALEN</t>
        </is>
      </c>
      <c r="G463" t="n">
        <v>33.9</v>
      </c>
      <c r="H463" t="n">
        <v>0</v>
      </c>
      <c r="I463" t="n">
        <v>0</v>
      </c>
      <c r="J463" t="n">
        <v>0</v>
      </c>
      <c r="K463" t="n">
        <v>0</v>
      </c>
      <c r="L463" t="n">
        <v>0</v>
      </c>
      <c r="M463" t="n">
        <v>0</v>
      </c>
      <c r="N463" t="n">
        <v>0</v>
      </c>
      <c r="O463" t="n">
        <v>0</v>
      </c>
      <c r="P463" t="n">
        <v>0</v>
      </c>
      <c r="Q463" t="n">
        <v>0</v>
      </c>
      <c r="R463" s="2" t="inlineStr"/>
    </row>
    <row r="464" ht="15" customHeight="1">
      <c r="A464" t="inlineStr">
        <is>
          <t>A 26540-2025</t>
        </is>
      </c>
      <c r="B464" s="1" t="n">
        <v>45807.58393518518</v>
      </c>
      <c r="C464" s="1" t="n">
        <v>45987</v>
      </c>
      <c r="D464" t="inlineStr">
        <is>
          <t>JÄMTLANDS LÄN</t>
        </is>
      </c>
      <c r="E464" t="inlineStr">
        <is>
          <t>HÄRJEDALEN</t>
        </is>
      </c>
      <c r="F464" t="inlineStr">
        <is>
          <t>Holmen skog AB</t>
        </is>
      </c>
      <c r="G464" t="n">
        <v>6</v>
      </c>
      <c r="H464" t="n">
        <v>0</v>
      </c>
      <c r="I464" t="n">
        <v>0</v>
      </c>
      <c r="J464" t="n">
        <v>0</v>
      </c>
      <c r="K464" t="n">
        <v>0</v>
      </c>
      <c r="L464" t="n">
        <v>0</v>
      </c>
      <c r="M464" t="n">
        <v>0</v>
      </c>
      <c r="N464" t="n">
        <v>0</v>
      </c>
      <c r="O464" t="n">
        <v>0</v>
      </c>
      <c r="P464" t="n">
        <v>0</v>
      </c>
      <c r="Q464" t="n">
        <v>0</v>
      </c>
      <c r="R464" s="2" t="inlineStr"/>
    </row>
    <row r="465" ht="15" customHeight="1">
      <c r="A465" t="inlineStr">
        <is>
          <t>A 40185-2025</t>
        </is>
      </c>
      <c r="B465" s="1" t="n">
        <v>45894.64358796296</v>
      </c>
      <c r="C465" s="1" t="n">
        <v>45987</v>
      </c>
      <c r="D465" t="inlineStr">
        <is>
          <t>JÄMTLANDS LÄN</t>
        </is>
      </c>
      <c r="E465" t="inlineStr">
        <is>
          <t>HÄRJEDALEN</t>
        </is>
      </c>
      <c r="F465" t="inlineStr">
        <is>
          <t>Bergvik skog väst AB</t>
        </is>
      </c>
      <c r="G465" t="n">
        <v>30.7</v>
      </c>
      <c r="H465" t="n">
        <v>0</v>
      </c>
      <c r="I465" t="n">
        <v>0</v>
      </c>
      <c r="J465" t="n">
        <v>0</v>
      </c>
      <c r="K465" t="n">
        <v>0</v>
      </c>
      <c r="L465" t="n">
        <v>0</v>
      </c>
      <c r="M465" t="n">
        <v>0</v>
      </c>
      <c r="N465" t="n">
        <v>0</v>
      </c>
      <c r="O465" t="n">
        <v>0</v>
      </c>
      <c r="P465" t="n">
        <v>0</v>
      </c>
      <c r="Q465" t="n">
        <v>0</v>
      </c>
      <c r="R465" s="2" t="inlineStr"/>
    </row>
    <row r="466" ht="15" customHeight="1">
      <c r="A466" t="inlineStr">
        <is>
          <t>A 26417-2025</t>
        </is>
      </c>
      <c r="B466" s="1" t="n">
        <v>45807.36304398148</v>
      </c>
      <c r="C466" s="1" t="n">
        <v>45987</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26448-2025</t>
        </is>
      </c>
      <c r="B467" s="1" t="n">
        <v>45807.41717592593</v>
      </c>
      <c r="C467" s="1" t="n">
        <v>45987</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26462-2025</t>
        </is>
      </c>
      <c r="B468" s="1" t="n">
        <v>45807.43461805556</v>
      </c>
      <c r="C468" s="1" t="n">
        <v>45987</v>
      </c>
      <c r="D468" t="inlineStr">
        <is>
          <t>JÄMTLANDS LÄN</t>
        </is>
      </c>
      <c r="E468" t="inlineStr">
        <is>
          <t>HÄRJEDALEN</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26464-2025</t>
        </is>
      </c>
      <c r="B469" s="1" t="n">
        <v>45807.44070601852</v>
      </c>
      <c r="C469" s="1" t="n">
        <v>45987</v>
      </c>
      <c r="D469" t="inlineStr">
        <is>
          <t>JÄMTLANDS LÄN</t>
        </is>
      </c>
      <c r="E469" t="inlineStr">
        <is>
          <t>HÄRJEDALEN</t>
        </is>
      </c>
      <c r="F469" t="inlineStr">
        <is>
          <t>Holmen skog AB</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26466-2025</t>
        </is>
      </c>
      <c r="B470" s="1" t="n">
        <v>45807.44608796296</v>
      </c>
      <c r="C470" s="1" t="n">
        <v>45987</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26486-2025</t>
        </is>
      </c>
      <c r="B471" s="1" t="n">
        <v>45807.47479166667</v>
      </c>
      <c r="C471" s="1" t="n">
        <v>45987</v>
      </c>
      <c r="D471" t="inlineStr">
        <is>
          <t>JÄMTLANDS LÄN</t>
        </is>
      </c>
      <c r="E471" t="inlineStr">
        <is>
          <t>HÄRJEDALEN</t>
        </is>
      </c>
      <c r="F471" t="inlineStr">
        <is>
          <t>Holmen skog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26493-2025</t>
        </is>
      </c>
      <c r="B472" s="1" t="n">
        <v>45807.49045138889</v>
      </c>
      <c r="C472" s="1" t="n">
        <v>45987</v>
      </c>
      <c r="D472" t="inlineStr">
        <is>
          <t>JÄMTLANDS LÄN</t>
        </is>
      </c>
      <c r="E472" t="inlineStr">
        <is>
          <t>HÄRJEDALEN</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60897-2022</t>
        </is>
      </c>
      <c r="B473" s="1" t="n">
        <v>44914</v>
      </c>
      <c r="C473" s="1" t="n">
        <v>45987</v>
      </c>
      <c r="D473" t="inlineStr">
        <is>
          <t>JÄMTLANDS LÄN</t>
        </is>
      </c>
      <c r="E473" t="inlineStr">
        <is>
          <t>HÄRJEDALEN</t>
        </is>
      </c>
      <c r="F473" t="inlineStr">
        <is>
          <t>Holmen skog AB</t>
        </is>
      </c>
      <c r="G473" t="n">
        <v>0.3</v>
      </c>
      <c r="H473" t="n">
        <v>0</v>
      </c>
      <c r="I473" t="n">
        <v>0</v>
      </c>
      <c r="J473" t="n">
        <v>0</v>
      </c>
      <c r="K473" t="n">
        <v>0</v>
      </c>
      <c r="L473" t="n">
        <v>0</v>
      </c>
      <c r="M473" t="n">
        <v>0</v>
      </c>
      <c r="N473" t="n">
        <v>0</v>
      </c>
      <c r="O473" t="n">
        <v>0</v>
      </c>
      <c r="P473" t="n">
        <v>0</v>
      </c>
      <c r="Q473" t="n">
        <v>0</v>
      </c>
      <c r="R473" s="2" t="inlineStr"/>
      <c r="U473">
        <f>HYPERLINK("https://klasma.github.io/Logging_2361/knärot/A 60897-2022 karta knärot.png", "A 60897-2022")</f>
        <v/>
      </c>
      <c r="V473">
        <f>HYPERLINK("https://klasma.github.io/Logging_2361/klagomål/A 60897-2022 FSC-klagomål.docx", "A 60897-2022")</f>
        <v/>
      </c>
      <c r="W473">
        <f>HYPERLINK("https://klasma.github.io/Logging_2361/klagomålsmail/A 60897-2022 FSC-klagomål mail.docx", "A 60897-2022")</f>
        <v/>
      </c>
      <c r="X473">
        <f>HYPERLINK("https://klasma.github.io/Logging_2361/tillsyn/A 60897-2022 tillsynsbegäran.docx", "A 60897-2022")</f>
        <v/>
      </c>
      <c r="Y473">
        <f>HYPERLINK("https://klasma.github.io/Logging_2361/tillsynsmail/A 60897-2022 tillsynsbegäran mail.docx", "A 60897-2022")</f>
        <v/>
      </c>
    </row>
    <row r="474" ht="15" customHeight="1">
      <c r="A474" t="inlineStr">
        <is>
          <t>A 105-2023</t>
        </is>
      </c>
      <c r="B474" s="1" t="n">
        <v>44928.48072916667</v>
      </c>
      <c r="C474" s="1" t="n">
        <v>45987</v>
      </c>
      <c r="D474" t="inlineStr">
        <is>
          <t>JÄMTLANDS LÄN</t>
        </is>
      </c>
      <c r="E474" t="inlineStr">
        <is>
          <t>HÄRJEDALEN</t>
        </is>
      </c>
      <c r="F474" t="inlineStr">
        <is>
          <t>Holmen skog AB</t>
        </is>
      </c>
      <c r="G474" t="n">
        <v>17.5</v>
      </c>
      <c r="H474" t="n">
        <v>0</v>
      </c>
      <c r="I474" t="n">
        <v>0</v>
      </c>
      <c r="J474" t="n">
        <v>0</v>
      </c>
      <c r="K474" t="n">
        <v>0</v>
      </c>
      <c r="L474" t="n">
        <v>0</v>
      </c>
      <c r="M474" t="n">
        <v>0</v>
      </c>
      <c r="N474" t="n">
        <v>0</v>
      </c>
      <c r="O474" t="n">
        <v>0</v>
      </c>
      <c r="P474" t="n">
        <v>0</v>
      </c>
      <c r="Q474" t="n">
        <v>0</v>
      </c>
      <c r="R474" s="2" t="inlineStr"/>
    </row>
    <row r="475" ht="15" customHeight="1">
      <c r="A475" t="inlineStr">
        <is>
          <t>A 26561-2025</t>
        </is>
      </c>
      <c r="B475" s="1" t="n">
        <v>45807.65438657408</v>
      </c>
      <c r="C475" s="1" t="n">
        <v>45987</v>
      </c>
      <c r="D475" t="inlineStr">
        <is>
          <t>JÄMTLANDS LÄN</t>
        </is>
      </c>
      <c r="E475" t="inlineStr">
        <is>
          <t>HÄRJEDALEN</t>
        </is>
      </c>
      <c r="F475" t="inlineStr">
        <is>
          <t>Holmen skog AB</t>
        </is>
      </c>
      <c r="G475" t="n">
        <v>7.9</v>
      </c>
      <c r="H475" t="n">
        <v>0</v>
      </c>
      <c r="I475" t="n">
        <v>0</v>
      </c>
      <c r="J475" t="n">
        <v>0</v>
      </c>
      <c r="K475" t="n">
        <v>0</v>
      </c>
      <c r="L475" t="n">
        <v>0</v>
      </c>
      <c r="M475" t="n">
        <v>0</v>
      </c>
      <c r="N475" t="n">
        <v>0</v>
      </c>
      <c r="O475" t="n">
        <v>0</v>
      </c>
      <c r="P475" t="n">
        <v>0</v>
      </c>
      <c r="Q475" t="n">
        <v>0</v>
      </c>
      <c r="R475" s="2" t="inlineStr"/>
    </row>
    <row r="476" ht="15" customHeight="1">
      <c r="A476" t="inlineStr">
        <is>
          <t>A 26404-2025</t>
        </is>
      </c>
      <c r="B476" s="1" t="n">
        <v>45807.3409837963</v>
      </c>
      <c r="C476" s="1" t="n">
        <v>45987</v>
      </c>
      <c r="D476" t="inlineStr">
        <is>
          <t>JÄMTLANDS LÄN</t>
        </is>
      </c>
      <c r="E476" t="inlineStr">
        <is>
          <t>HÄRJEDALEN</t>
        </is>
      </c>
      <c r="F476" t="inlineStr">
        <is>
          <t>Holmen skog AB</t>
        </is>
      </c>
      <c r="G476" t="n">
        <v>4.1</v>
      </c>
      <c r="H476" t="n">
        <v>0</v>
      </c>
      <c r="I476" t="n">
        <v>0</v>
      </c>
      <c r="J476" t="n">
        <v>0</v>
      </c>
      <c r="K476" t="n">
        <v>0</v>
      </c>
      <c r="L476" t="n">
        <v>0</v>
      </c>
      <c r="M476" t="n">
        <v>0</v>
      </c>
      <c r="N476" t="n">
        <v>0</v>
      </c>
      <c r="O476" t="n">
        <v>0</v>
      </c>
      <c r="P476" t="n">
        <v>0</v>
      </c>
      <c r="Q476" t="n">
        <v>0</v>
      </c>
      <c r="R476" s="2" t="inlineStr"/>
    </row>
    <row r="477" ht="15" customHeight="1">
      <c r="A477" t="inlineStr">
        <is>
          <t>A 26411-2025</t>
        </is>
      </c>
      <c r="B477" s="1" t="n">
        <v>45807.35476851852</v>
      </c>
      <c r="C477" s="1" t="n">
        <v>45987</v>
      </c>
      <c r="D477" t="inlineStr">
        <is>
          <t>JÄMTLANDS LÄN</t>
        </is>
      </c>
      <c r="E477" t="inlineStr">
        <is>
          <t>HÄRJEDALEN</t>
        </is>
      </c>
      <c r="F477" t="inlineStr">
        <is>
          <t>Holmen skog AB</t>
        </is>
      </c>
      <c r="G477" t="n">
        <v>12.4</v>
      </c>
      <c r="H477" t="n">
        <v>0</v>
      </c>
      <c r="I477" t="n">
        <v>0</v>
      </c>
      <c r="J477" t="n">
        <v>0</v>
      </c>
      <c r="K477" t="n">
        <v>0</v>
      </c>
      <c r="L477" t="n">
        <v>0</v>
      </c>
      <c r="M477" t="n">
        <v>0</v>
      </c>
      <c r="N477" t="n">
        <v>0</v>
      </c>
      <c r="O477" t="n">
        <v>0</v>
      </c>
      <c r="P477" t="n">
        <v>0</v>
      </c>
      <c r="Q477" t="n">
        <v>0</v>
      </c>
      <c r="R477" s="2" t="inlineStr"/>
    </row>
    <row r="478" ht="15" customHeight="1">
      <c r="A478" t="inlineStr">
        <is>
          <t>A 26518-2025</t>
        </is>
      </c>
      <c r="B478" s="1" t="n">
        <v>45807.55893518519</v>
      </c>
      <c r="C478" s="1" t="n">
        <v>45987</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26528-2025</t>
        </is>
      </c>
      <c r="B479" s="1" t="n">
        <v>45807.5684375</v>
      </c>
      <c r="C479" s="1" t="n">
        <v>45987</v>
      </c>
      <c r="D479" t="inlineStr">
        <is>
          <t>JÄMTLANDS LÄN</t>
        </is>
      </c>
      <c r="E479" t="inlineStr">
        <is>
          <t>HÄRJEDALEN</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35635-2024</t>
        </is>
      </c>
      <c r="B480" s="1" t="n">
        <v>45531.78386574074</v>
      </c>
      <c r="C480" s="1" t="n">
        <v>45987</v>
      </c>
      <c r="D480" t="inlineStr">
        <is>
          <t>JÄMTLANDS LÄN</t>
        </is>
      </c>
      <c r="E480" t="inlineStr">
        <is>
          <t>HÄRJEDALEN</t>
        </is>
      </c>
      <c r="G480" t="n">
        <v>0.5</v>
      </c>
      <c r="H480" t="n">
        <v>0</v>
      </c>
      <c r="I480" t="n">
        <v>0</v>
      </c>
      <c r="J480" t="n">
        <v>0</v>
      </c>
      <c r="K480" t="n">
        <v>0</v>
      </c>
      <c r="L480" t="n">
        <v>0</v>
      </c>
      <c r="M480" t="n">
        <v>0</v>
      </c>
      <c r="N480" t="n">
        <v>0</v>
      </c>
      <c r="O480" t="n">
        <v>0</v>
      </c>
      <c r="P480" t="n">
        <v>0</v>
      </c>
      <c r="Q480" t="n">
        <v>0</v>
      </c>
      <c r="R480" s="2" t="inlineStr"/>
    </row>
    <row r="481" ht="15" customHeight="1">
      <c r="A481" t="inlineStr">
        <is>
          <t>A 27541-2023</t>
        </is>
      </c>
      <c r="B481" s="1" t="n">
        <v>45097</v>
      </c>
      <c r="C481" s="1" t="n">
        <v>45987</v>
      </c>
      <c r="D481" t="inlineStr">
        <is>
          <t>JÄMTLANDS LÄN</t>
        </is>
      </c>
      <c r="E481" t="inlineStr">
        <is>
          <t>HÄRJEDALEN</t>
        </is>
      </c>
      <c r="F481" t="inlineStr">
        <is>
          <t>Bergvik skog väst AB</t>
        </is>
      </c>
      <c r="G481" t="n">
        <v>4</v>
      </c>
      <c r="H481" t="n">
        <v>0</v>
      </c>
      <c r="I481" t="n">
        <v>0</v>
      </c>
      <c r="J481" t="n">
        <v>0</v>
      </c>
      <c r="K481" t="n">
        <v>0</v>
      </c>
      <c r="L481" t="n">
        <v>0</v>
      </c>
      <c r="M481" t="n">
        <v>0</v>
      </c>
      <c r="N481" t="n">
        <v>0</v>
      </c>
      <c r="O481" t="n">
        <v>0</v>
      </c>
      <c r="P481" t="n">
        <v>0</v>
      </c>
      <c r="Q481" t="n">
        <v>0</v>
      </c>
      <c r="R481" s="2" t="inlineStr"/>
    </row>
    <row r="482" ht="15" customHeight="1">
      <c r="A482" t="inlineStr">
        <is>
          <t>A 47244-2023</t>
        </is>
      </c>
      <c r="B482" s="1" t="n">
        <v>45202</v>
      </c>
      <c r="C482" s="1" t="n">
        <v>45987</v>
      </c>
      <c r="D482" t="inlineStr">
        <is>
          <t>JÄMTLANDS LÄN</t>
        </is>
      </c>
      <c r="E482" t="inlineStr">
        <is>
          <t>HÄRJEDALEN</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9780-2024</t>
        </is>
      </c>
      <c r="B483" s="1" t="n">
        <v>45362.65903935185</v>
      </c>
      <c r="C483" s="1" t="n">
        <v>45987</v>
      </c>
      <c r="D483" t="inlineStr">
        <is>
          <t>JÄMTLANDS LÄN</t>
        </is>
      </c>
      <c r="E483" t="inlineStr">
        <is>
          <t>HÄRJEDALEN</t>
        </is>
      </c>
      <c r="G483" t="n">
        <v>0.4</v>
      </c>
      <c r="H483" t="n">
        <v>0</v>
      </c>
      <c r="I483" t="n">
        <v>0</v>
      </c>
      <c r="J483" t="n">
        <v>0</v>
      </c>
      <c r="K483" t="n">
        <v>0</v>
      </c>
      <c r="L483" t="n">
        <v>0</v>
      </c>
      <c r="M483" t="n">
        <v>0</v>
      </c>
      <c r="N483" t="n">
        <v>0</v>
      </c>
      <c r="O483" t="n">
        <v>0</v>
      </c>
      <c r="P483" t="n">
        <v>0</v>
      </c>
      <c r="Q483" t="n">
        <v>0</v>
      </c>
      <c r="R483" s="2" t="inlineStr"/>
    </row>
    <row r="484" ht="15" customHeight="1">
      <c r="A484" t="inlineStr">
        <is>
          <t>A 40194-2025</t>
        </is>
      </c>
      <c r="B484" s="1" t="n">
        <v>45894.65869212963</v>
      </c>
      <c r="C484" s="1" t="n">
        <v>45987</v>
      </c>
      <c r="D484" t="inlineStr">
        <is>
          <t>JÄMTLANDS LÄN</t>
        </is>
      </c>
      <c r="E484" t="inlineStr">
        <is>
          <t>HÄRJEDALEN</t>
        </is>
      </c>
      <c r="G484" t="n">
        <v>2</v>
      </c>
      <c r="H484" t="n">
        <v>0</v>
      </c>
      <c r="I484" t="n">
        <v>0</v>
      </c>
      <c r="J484" t="n">
        <v>0</v>
      </c>
      <c r="K484" t="n">
        <v>0</v>
      </c>
      <c r="L484" t="n">
        <v>0</v>
      </c>
      <c r="M484" t="n">
        <v>0</v>
      </c>
      <c r="N484" t="n">
        <v>0</v>
      </c>
      <c r="O484" t="n">
        <v>0</v>
      </c>
      <c r="P484" t="n">
        <v>0</v>
      </c>
      <c r="Q484" t="n">
        <v>0</v>
      </c>
      <c r="R484" s="2" t="inlineStr"/>
    </row>
    <row r="485" ht="15" customHeight="1">
      <c r="A485" t="inlineStr">
        <is>
          <t>A 26523-2025</t>
        </is>
      </c>
      <c r="B485" s="1" t="n">
        <v>45807.56403935186</v>
      </c>
      <c r="C485" s="1" t="n">
        <v>45987</v>
      </c>
      <c r="D485" t="inlineStr">
        <is>
          <t>JÄMTLANDS LÄN</t>
        </is>
      </c>
      <c r="E485" t="inlineStr">
        <is>
          <t>HÄRJEDALEN</t>
        </is>
      </c>
      <c r="F485" t="inlineStr">
        <is>
          <t>Holmen skog AB</t>
        </is>
      </c>
      <c r="G485" t="n">
        <v>7.4</v>
      </c>
      <c r="H485" t="n">
        <v>0</v>
      </c>
      <c r="I485" t="n">
        <v>0</v>
      </c>
      <c r="J485" t="n">
        <v>0</v>
      </c>
      <c r="K485" t="n">
        <v>0</v>
      </c>
      <c r="L485" t="n">
        <v>0</v>
      </c>
      <c r="M485" t="n">
        <v>0</v>
      </c>
      <c r="N485" t="n">
        <v>0</v>
      </c>
      <c r="O485" t="n">
        <v>0</v>
      </c>
      <c r="P485" t="n">
        <v>0</v>
      </c>
      <c r="Q485" t="n">
        <v>0</v>
      </c>
      <c r="R485" s="2" t="inlineStr"/>
    </row>
    <row r="486" ht="15" customHeight="1">
      <c r="A486" t="inlineStr">
        <is>
          <t>A 5630-2024</t>
        </is>
      </c>
      <c r="B486" s="1" t="n">
        <v>45334</v>
      </c>
      <c r="C486" s="1" t="n">
        <v>45987</v>
      </c>
      <c r="D486" t="inlineStr">
        <is>
          <t>JÄMTLANDS LÄN</t>
        </is>
      </c>
      <c r="E486" t="inlineStr">
        <is>
          <t>HÄRJEDALEN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4128-2025</t>
        </is>
      </c>
      <c r="B487" s="1" t="n">
        <v>45685</v>
      </c>
      <c r="C487" s="1" t="n">
        <v>45987</v>
      </c>
      <c r="D487" t="inlineStr">
        <is>
          <t>JÄMTLANDS LÄN</t>
        </is>
      </c>
      <c r="E487" t="inlineStr">
        <is>
          <t>HÄRJEDALEN</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34181-2025</t>
        </is>
      </c>
      <c r="B488" s="1" t="n">
        <v>45845.60496527778</v>
      </c>
      <c r="C488" s="1" t="n">
        <v>45987</v>
      </c>
      <c r="D488" t="inlineStr">
        <is>
          <t>JÄMTLANDS LÄN</t>
        </is>
      </c>
      <c r="E488" t="inlineStr">
        <is>
          <t>HÄRJEDALEN</t>
        </is>
      </c>
      <c r="G488" t="n">
        <v>2.8</v>
      </c>
      <c r="H488" t="n">
        <v>0</v>
      </c>
      <c r="I488" t="n">
        <v>0</v>
      </c>
      <c r="J488" t="n">
        <v>0</v>
      </c>
      <c r="K488" t="n">
        <v>0</v>
      </c>
      <c r="L488" t="n">
        <v>0</v>
      </c>
      <c r="M488" t="n">
        <v>0</v>
      </c>
      <c r="N488" t="n">
        <v>0</v>
      </c>
      <c r="O488" t="n">
        <v>0</v>
      </c>
      <c r="P488" t="n">
        <v>0</v>
      </c>
      <c r="Q488" t="n">
        <v>0</v>
      </c>
      <c r="R488" s="2" t="inlineStr"/>
    </row>
    <row r="489" ht="15" customHeight="1">
      <c r="A489" t="inlineStr">
        <is>
          <t>A 62500-2022</t>
        </is>
      </c>
      <c r="B489" s="1" t="n">
        <v>44924.59140046296</v>
      </c>
      <c r="C489" s="1" t="n">
        <v>45987</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64485-2023</t>
        </is>
      </c>
      <c r="B490" s="1" t="n">
        <v>45280</v>
      </c>
      <c r="C490" s="1" t="n">
        <v>45987</v>
      </c>
      <c r="D490" t="inlineStr">
        <is>
          <t>JÄMTLANDS LÄN</t>
        </is>
      </c>
      <c r="E490" t="inlineStr">
        <is>
          <t>HÄRJEDALEN</t>
        </is>
      </c>
      <c r="G490" t="n">
        <v>21.3</v>
      </c>
      <c r="H490" t="n">
        <v>0</v>
      </c>
      <c r="I490" t="n">
        <v>0</v>
      </c>
      <c r="J490" t="n">
        <v>0</v>
      </c>
      <c r="K490" t="n">
        <v>0</v>
      </c>
      <c r="L490" t="n">
        <v>0</v>
      </c>
      <c r="M490" t="n">
        <v>0</v>
      </c>
      <c r="N490" t="n">
        <v>0</v>
      </c>
      <c r="O490" t="n">
        <v>0</v>
      </c>
      <c r="P490" t="n">
        <v>0</v>
      </c>
      <c r="Q490" t="n">
        <v>0</v>
      </c>
      <c r="R490" s="2" t="inlineStr"/>
    </row>
    <row r="491" ht="15" customHeight="1">
      <c r="A491" t="inlineStr">
        <is>
          <t>A 26905-2025</t>
        </is>
      </c>
      <c r="B491" s="1" t="n">
        <v>45811.34540509259</v>
      </c>
      <c r="C491" s="1" t="n">
        <v>45987</v>
      </c>
      <c r="D491" t="inlineStr">
        <is>
          <t>JÄMTLANDS LÄN</t>
        </is>
      </c>
      <c r="E491" t="inlineStr">
        <is>
          <t>HÄRJEDALEN</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12747-2025</t>
        </is>
      </c>
      <c r="B492" s="1" t="n">
        <v>45733</v>
      </c>
      <c r="C492" s="1" t="n">
        <v>45987</v>
      </c>
      <c r="D492" t="inlineStr">
        <is>
          <t>JÄMTLANDS LÄN</t>
        </is>
      </c>
      <c r="E492" t="inlineStr">
        <is>
          <t>HÄRJEDALEN</t>
        </is>
      </c>
      <c r="G492" t="n">
        <v>12.1</v>
      </c>
      <c r="H492" t="n">
        <v>0</v>
      </c>
      <c r="I492" t="n">
        <v>0</v>
      </c>
      <c r="J492" t="n">
        <v>0</v>
      </c>
      <c r="K492" t="n">
        <v>0</v>
      </c>
      <c r="L492" t="n">
        <v>0</v>
      </c>
      <c r="M492" t="n">
        <v>0</v>
      </c>
      <c r="N492" t="n">
        <v>0</v>
      </c>
      <c r="O492" t="n">
        <v>0</v>
      </c>
      <c r="P492" t="n">
        <v>0</v>
      </c>
      <c r="Q492" t="n">
        <v>0</v>
      </c>
      <c r="R492" s="2" t="inlineStr"/>
    </row>
    <row r="493" ht="15" customHeight="1">
      <c r="A493" t="inlineStr">
        <is>
          <t>A 40572-2025</t>
        </is>
      </c>
      <c r="B493" s="1" t="n">
        <v>45896.49821759259</v>
      </c>
      <c r="C493" s="1" t="n">
        <v>45987</v>
      </c>
      <c r="D493" t="inlineStr">
        <is>
          <t>JÄMTLANDS LÄN</t>
        </is>
      </c>
      <c r="E493" t="inlineStr">
        <is>
          <t>HÄRJEDALEN</t>
        </is>
      </c>
      <c r="G493" t="n">
        <v>0.4</v>
      </c>
      <c r="H493" t="n">
        <v>0</v>
      </c>
      <c r="I493" t="n">
        <v>0</v>
      </c>
      <c r="J493" t="n">
        <v>0</v>
      </c>
      <c r="K493" t="n">
        <v>0</v>
      </c>
      <c r="L493" t="n">
        <v>0</v>
      </c>
      <c r="M493" t="n">
        <v>0</v>
      </c>
      <c r="N493" t="n">
        <v>0</v>
      </c>
      <c r="O493" t="n">
        <v>0</v>
      </c>
      <c r="P493" t="n">
        <v>0</v>
      </c>
      <c r="Q493" t="n">
        <v>0</v>
      </c>
      <c r="R493" s="2" t="inlineStr"/>
    </row>
    <row r="494" ht="15" customHeight="1">
      <c r="A494" t="inlineStr">
        <is>
          <t>A 40573-2025</t>
        </is>
      </c>
      <c r="B494" s="1" t="n">
        <v>45896.49959490741</v>
      </c>
      <c r="C494" s="1" t="n">
        <v>45987</v>
      </c>
      <c r="D494" t="inlineStr">
        <is>
          <t>JÄMTLANDS LÄN</t>
        </is>
      </c>
      <c r="E494" t="inlineStr">
        <is>
          <t>HÄRJEDALEN</t>
        </is>
      </c>
      <c r="G494" t="n">
        <v>1.6</v>
      </c>
      <c r="H494" t="n">
        <v>0</v>
      </c>
      <c r="I494" t="n">
        <v>0</v>
      </c>
      <c r="J494" t="n">
        <v>0</v>
      </c>
      <c r="K494" t="n">
        <v>0</v>
      </c>
      <c r="L494" t="n">
        <v>0</v>
      </c>
      <c r="M494" t="n">
        <v>0</v>
      </c>
      <c r="N494" t="n">
        <v>0</v>
      </c>
      <c r="O494" t="n">
        <v>0</v>
      </c>
      <c r="P494" t="n">
        <v>0</v>
      </c>
      <c r="Q494" t="n">
        <v>0</v>
      </c>
      <c r="R494" s="2" t="inlineStr"/>
    </row>
    <row r="495" ht="15" customHeight="1">
      <c r="A495" t="inlineStr">
        <is>
          <t>A 40249-2025</t>
        </is>
      </c>
      <c r="B495" s="1" t="n">
        <v>45895.29387731481</v>
      </c>
      <c r="C495" s="1" t="n">
        <v>45987</v>
      </c>
      <c r="D495" t="inlineStr">
        <is>
          <t>JÄMTLANDS LÄN</t>
        </is>
      </c>
      <c r="E495" t="inlineStr">
        <is>
          <t>HÄRJEDALEN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11528-2022</t>
        </is>
      </c>
      <c r="B496" s="1" t="n">
        <v>44631.37701388889</v>
      </c>
      <c r="C496" s="1" t="n">
        <v>45987</v>
      </c>
      <c r="D496" t="inlineStr">
        <is>
          <t>JÄMTLANDS LÄN</t>
        </is>
      </c>
      <c r="E496" t="inlineStr">
        <is>
          <t>HÄRJEDALEN</t>
        </is>
      </c>
      <c r="F496" t="inlineStr">
        <is>
          <t>Holmen skog AB</t>
        </is>
      </c>
      <c r="G496" t="n">
        <v>6.1</v>
      </c>
      <c r="H496" t="n">
        <v>0</v>
      </c>
      <c r="I496" t="n">
        <v>0</v>
      </c>
      <c r="J496" t="n">
        <v>0</v>
      </c>
      <c r="K496" t="n">
        <v>0</v>
      </c>
      <c r="L496" t="n">
        <v>0</v>
      </c>
      <c r="M496" t="n">
        <v>0</v>
      </c>
      <c r="N496" t="n">
        <v>0</v>
      </c>
      <c r="O496" t="n">
        <v>0</v>
      </c>
      <c r="P496" t="n">
        <v>0</v>
      </c>
      <c r="Q496" t="n">
        <v>0</v>
      </c>
      <c r="R496" s="2" t="inlineStr"/>
    </row>
    <row r="497" ht="15" customHeight="1">
      <c r="A497" t="inlineStr">
        <is>
          <t>A 11545-2022</t>
        </is>
      </c>
      <c r="B497" s="1" t="n">
        <v>44631.42353009259</v>
      </c>
      <c r="C497" s="1" t="n">
        <v>45987</v>
      </c>
      <c r="D497" t="inlineStr">
        <is>
          <t>JÄMTLANDS LÄN</t>
        </is>
      </c>
      <c r="E497" t="inlineStr">
        <is>
          <t>HÄRJEDALEN</t>
        </is>
      </c>
      <c r="F497" t="inlineStr">
        <is>
          <t>Holmen skog AB</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30411-2023</t>
        </is>
      </c>
      <c r="B498" s="1" t="n">
        <v>45111</v>
      </c>
      <c r="C498" s="1" t="n">
        <v>45987</v>
      </c>
      <c r="D498" t="inlineStr">
        <is>
          <t>JÄMTLANDS LÄN</t>
        </is>
      </c>
      <c r="E498" t="inlineStr">
        <is>
          <t>HÄRJEDALEN</t>
        </is>
      </c>
      <c r="F498" t="inlineStr">
        <is>
          <t>Bergvik skog väst AB</t>
        </is>
      </c>
      <c r="G498" t="n">
        <v>28.3</v>
      </c>
      <c r="H498" t="n">
        <v>0</v>
      </c>
      <c r="I498" t="n">
        <v>0</v>
      </c>
      <c r="J498" t="n">
        <v>0</v>
      </c>
      <c r="K498" t="n">
        <v>0</v>
      </c>
      <c r="L498" t="n">
        <v>0</v>
      </c>
      <c r="M498" t="n">
        <v>0</v>
      </c>
      <c r="N498" t="n">
        <v>0</v>
      </c>
      <c r="O498" t="n">
        <v>0</v>
      </c>
      <c r="P498" t="n">
        <v>0</v>
      </c>
      <c r="Q498" t="n">
        <v>0</v>
      </c>
      <c r="R498" s="2" t="inlineStr"/>
    </row>
    <row r="499" ht="15" customHeight="1">
      <c r="A499" t="inlineStr">
        <is>
          <t>A 60887-2022</t>
        </is>
      </c>
      <c r="B499" s="1" t="n">
        <v>44914</v>
      </c>
      <c r="C499" s="1" t="n">
        <v>45987</v>
      </c>
      <c r="D499" t="inlineStr">
        <is>
          <t>JÄMTLANDS LÄN</t>
        </is>
      </c>
      <c r="E499" t="inlineStr">
        <is>
          <t>HÄRJEDALEN</t>
        </is>
      </c>
      <c r="G499" t="n">
        <v>0.9</v>
      </c>
      <c r="H499" t="n">
        <v>0</v>
      </c>
      <c r="I499" t="n">
        <v>0</v>
      </c>
      <c r="J499" t="n">
        <v>0</v>
      </c>
      <c r="K499" t="n">
        <v>0</v>
      </c>
      <c r="L499" t="n">
        <v>0</v>
      </c>
      <c r="M499" t="n">
        <v>0</v>
      </c>
      <c r="N499" t="n">
        <v>0</v>
      </c>
      <c r="O499" t="n">
        <v>0</v>
      </c>
      <c r="P499" t="n">
        <v>0</v>
      </c>
      <c r="Q499" t="n">
        <v>0</v>
      </c>
      <c r="R499" s="2" t="inlineStr"/>
    </row>
    <row r="500" ht="15" customHeight="1">
      <c r="A500" t="inlineStr">
        <is>
          <t>A 41054-2025</t>
        </is>
      </c>
      <c r="B500" s="1" t="n">
        <v>45898.40481481481</v>
      </c>
      <c r="C500" s="1" t="n">
        <v>45987</v>
      </c>
      <c r="D500" t="inlineStr">
        <is>
          <t>JÄMTLANDS LÄN</t>
        </is>
      </c>
      <c r="E500" t="inlineStr">
        <is>
          <t>HÄRJEDALEN</t>
        </is>
      </c>
      <c r="G500" t="n">
        <v>0.8</v>
      </c>
      <c r="H500" t="n">
        <v>0</v>
      </c>
      <c r="I500" t="n">
        <v>0</v>
      </c>
      <c r="J500" t="n">
        <v>0</v>
      </c>
      <c r="K500" t="n">
        <v>0</v>
      </c>
      <c r="L500" t="n">
        <v>0</v>
      </c>
      <c r="M500" t="n">
        <v>0</v>
      </c>
      <c r="N500" t="n">
        <v>0</v>
      </c>
      <c r="O500" t="n">
        <v>0</v>
      </c>
      <c r="P500" t="n">
        <v>0</v>
      </c>
      <c r="Q500" t="n">
        <v>0</v>
      </c>
      <c r="R500" s="2" t="inlineStr"/>
    </row>
    <row r="501" ht="15" customHeight="1">
      <c r="A501" t="inlineStr">
        <is>
          <t>A 41180-2025</t>
        </is>
      </c>
      <c r="B501" s="1" t="n">
        <v>45898.55296296296</v>
      </c>
      <c r="C501" s="1" t="n">
        <v>45987</v>
      </c>
      <c r="D501" t="inlineStr">
        <is>
          <t>JÄMTLANDS LÄN</t>
        </is>
      </c>
      <c r="E501" t="inlineStr">
        <is>
          <t>HÄRJEDALEN</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27679-2025</t>
        </is>
      </c>
      <c r="B502" s="1" t="n">
        <v>45813.64590277777</v>
      </c>
      <c r="C502" s="1" t="n">
        <v>45987</v>
      </c>
      <c r="D502" t="inlineStr">
        <is>
          <t>JÄMTLANDS LÄN</t>
        </is>
      </c>
      <c r="E502" t="inlineStr">
        <is>
          <t>HÄRJEDALEN</t>
        </is>
      </c>
      <c r="G502" t="n">
        <v>13.9</v>
      </c>
      <c r="H502" t="n">
        <v>0</v>
      </c>
      <c r="I502" t="n">
        <v>0</v>
      </c>
      <c r="J502" t="n">
        <v>0</v>
      </c>
      <c r="K502" t="n">
        <v>0</v>
      </c>
      <c r="L502" t="n">
        <v>0</v>
      </c>
      <c r="M502" t="n">
        <v>0</v>
      </c>
      <c r="N502" t="n">
        <v>0</v>
      </c>
      <c r="O502" t="n">
        <v>0</v>
      </c>
      <c r="P502" t="n">
        <v>0</v>
      </c>
      <c r="Q502" t="n">
        <v>0</v>
      </c>
      <c r="R502" s="2" t="inlineStr"/>
    </row>
    <row r="503" ht="15" customHeight="1">
      <c r="A503" t="inlineStr">
        <is>
          <t>A 51769-2024</t>
        </is>
      </c>
      <c r="B503" s="1" t="n">
        <v>45607.44832175926</v>
      </c>
      <c r="C503" s="1" t="n">
        <v>45987</v>
      </c>
      <c r="D503" t="inlineStr">
        <is>
          <t>JÄMTLANDS LÄN</t>
        </is>
      </c>
      <c r="E503" t="inlineStr">
        <is>
          <t>HÄRJEDALEN</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20206-2022</t>
        </is>
      </c>
      <c r="B504" s="1" t="n">
        <v>44698</v>
      </c>
      <c r="C504" s="1" t="n">
        <v>45987</v>
      </c>
      <c r="D504" t="inlineStr">
        <is>
          <t>JÄMTLANDS LÄN</t>
        </is>
      </c>
      <c r="E504" t="inlineStr">
        <is>
          <t>HÄRJEDALEN</t>
        </is>
      </c>
      <c r="F504" t="inlineStr">
        <is>
          <t>Bergvik skog väst AB</t>
        </is>
      </c>
      <c r="G504" t="n">
        <v>5.8</v>
      </c>
      <c r="H504" t="n">
        <v>0</v>
      </c>
      <c r="I504" t="n">
        <v>0</v>
      </c>
      <c r="J504" t="n">
        <v>0</v>
      </c>
      <c r="K504" t="n">
        <v>0</v>
      </c>
      <c r="L504" t="n">
        <v>0</v>
      </c>
      <c r="M504" t="n">
        <v>0</v>
      </c>
      <c r="N504" t="n">
        <v>0</v>
      </c>
      <c r="O504" t="n">
        <v>0</v>
      </c>
      <c r="P504" t="n">
        <v>0</v>
      </c>
      <c r="Q504" t="n">
        <v>0</v>
      </c>
      <c r="R504" s="2" t="inlineStr"/>
    </row>
    <row r="505" ht="15" customHeight="1">
      <c r="A505" t="inlineStr">
        <is>
          <t>A 54364-2024</t>
        </is>
      </c>
      <c r="B505" s="1" t="n">
        <v>45617</v>
      </c>
      <c r="C505" s="1" t="n">
        <v>45987</v>
      </c>
      <c r="D505" t="inlineStr">
        <is>
          <t>JÄMTLANDS LÄN</t>
        </is>
      </c>
      <c r="E505" t="inlineStr">
        <is>
          <t>HÄRJEDALEN</t>
        </is>
      </c>
      <c r="F505" t="inlineStr">
        <is>
          <t>Holmen skog AB</t>
        </is>
      </c>
      <c r="G505" t="n">
        <v>41.1</v>
      </c>
      <c r="H505" t="n">
        <v>0</v>
      </c>
      <c r="I505" t="n">
        <v>0</v>
      </c>
      <c r="J505" t="n">
        <v>0</v>
      </c>
      <c r="K505" t="n">
        <v>0</v>
      </c>
      <c r="L505" t="n">
        <v>0</v>
      </c>
      <c r="M505" t="n">
        <v>0</v>
      </c>
      <c r="N505" t="n">
        <v>0</v>
      </c>
      <c r="O505" t="n">
        <v>0</v>
      </c>
      <c r="P505" t="n">
        <v>0</v>
      </c>
      <c r="Q505" t="n">
        <v>0</v>
      </c>
      <c r="R505" s="2" t="inlineStr"/>
    </row>
    <row r="506" ht="15" customHeight="1">
      <c r="A506" t="inlineStr">
        <is>
          <t>A 27553-2025</t>
        </is>
      </c>
      <c r="B506" s="1" t="n">
        <v>45813.47074074074</v>
      </c>
      <c r="C506" s="1" t="n">
        <v>45987</v>
      </c>
      <c r="D506" t="inlineStr">
        <is>
          <t>JÄMTLANDS LÄN</t>
        </is>
      </c>
      <c r="E506" t="inlineStr">
        <is>
          <t>HÄRJEDALEN</t>
        </is>
      </c>
      <c r="G506" t="n">
        <v>1.4</v>
      </c>
      <c r="H506" t="n">
        <v>0</v>
      </c>
      <c r="I506" t="n">
        <v>0</v>
      </c>
      <c r="J506" t="n">
        <v>0</v>
      </c>
      <c r="K506" t="n">
        <v>0</v>
      </c>
      <c r="L506" t="n">
        <v>0</v>
      </c>
      <c r="M506" t="n">
        <v>0</v>
      </c>
      <c r="N506" t="n">
        <v>0</v>
      </c>
      <c r="O506" t="n">
        <v>0</v>
      </c>
      <c r="P506" t="n">
        <v>0</v>
      </c>
      <c r="Q506" t="n">
        <v>0</v>
      </c>
      <c r="R506" s="2" t="inlineStr"/>
    </row>
    <row r="507" ht="15" customHeight="1">
      <c r="A507" t="inlineStr">
        <is>
          <t>A 41051-2025</t>
        </is>
      </c>
      <c r="B507" s="1" t="n">
        <v>45898.40267361111</v>
      </c>
      <c r="C507" s="1" t="n">
        <v>45987</v>
      </c>
      <c r="D507" t="inlineStr">
        <is>
          <t>JÄMTLANDS LÄN</t>
        </is>
      </c>
      <c r="E507" t="inlineStr">
        <is>
          <t>HÄRJEDALEN</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49792-2023</t>
        </is>
      </c>
      <c r="B508" s="1" t="n">
        <v>45212</v>
      </c>
      <c r="C508" s="1" t="n">
        <v>45987</v>
      </c>
      <c r="D508" t="inlineStr">
        <is>
          <t>JÄMTLANDS LÄN</t>
        </is>
      </c>
      <c r="E508" t="inlineStr">
        <is>
          <t>HÄRJEDALEN</t>
        </is>
      </c>
      <c r="G508" t="n">
        <v>5.6</v>
      </c>
      <c r="H508" t="n">
        <v>0</v>
      </c>
      <c r="I508" t="n">
        <v>0</v>
      </c>
      <c r="J508" t="n">
        <v>0</v>
      </c>
      <c r="K508" t="n">
        <v>0</v>
      </c>
      <c r="L508" t="n">
        <v>0</v>
      </c>
      <c r="M508" t="n">
        <v>0</v>
      </c>
      <c r="N508" t="n">
        <v>0</v>
      </c>
      <c r="O508" t="n">
        <v>0</v>
      </c>
      <c r="P508" t="n">
        <v>0</v>
      </c>
      <c r="Q508" t="n">
        <v>0</v>
      </c>
      <c r="R508" s="2" t="inlineStr"/>
    </row>
    <row r="509" ht="15" customHeight="1">
      <c r="A509" t="inlineStr">
        <is>
          <t>A 41070-2025</t>
        </is>
      </c>
      <c r="B509" s="1" t="n">
        <v>45898.41540509259</v>
      </c>
      <c r="C509" s="1" t="n">
        <v>45987</v>
      </c>
      <c r="D509" t="inlineStr">
        <is>
          <t>JÄMTLANDS LÄN</t>
        </is>
      </c>
      <c r="E509" t="inlineStr">
        <is>
          <t>HÄRJEDALEN</t>
        </is>
      </c>
      <c r="G509" t="n">
        <v>2</v>
      </c>
      <c r="H509" t="n">
        <v>0</v>
      </c>
      <c r="I509" t="n">
        <v>0</v>
      </c>
      <c r="J509" t="n">
        <v>0</v>
      </c>
      <c r="K509" t="n">
        <v>0</v>
      </c>
      <c r="L509" t="n">
        <v>0</v>
      </c>
      <c r="M509" t="n">
        <v>0</v>
      </c>
      <c r="N509" t="n">
        <v>0</v>
      </c>
      <c r="O509" t="n">
        <v>0</v>
      </c>
      <c r="P509" t="n">
        <v>0</v>
      </c>
      <c r="Q509" t="n">
        <v>0</v>
      </c>
      <c r="R509" s="2" t="inlineStr"/>
    </row>
    <row r="510" ht="15" customHeight="1">
      <c r="A510" t="inlineStr">
        <is>
          <t>A 27565-2025</t>
        </is>
      </c>
      <c r="B510" s="1" t="n">
        <v>45813.48734953703</v>
      </c>
      <c r="C510" s="1" t="n">
        <v>45987</v>
      </c>
      <c r="D510" t="inlineStr">
        <is>
          <t>JÄMTLANDS LÄN</t>
        </is>
      </c>
      <c r="E510" t="inlineStr">
        <is>
          <t>HÄRJEDALEN</t>
        </is>
      </c>
      <c r="G510" t="n">
        <v>2.1</v>
      </c>
      <c r="H510" t="n">
        <v>0</v>
      </c>
      <c r="I510" t="n">
        <v>0</v>
      </c>
      <c r="J510" t="n">
        <v>0</v>
      </c>
      <c r="K510" t="n">
        <v>0</v>
      </c>
      <c r="L510" t="n">
        <v>0</v>
      </c>
      <c r="M510" t="n">
        <v>0</v>
      </c>
      <c r="N510" t="n">
        <v>0</v>
      </c>
      <c r="O510" t="n">
        <v>0</v>
      </c>
      <c r="P510" t="n">
        <v>0</v>
      </c>
      <c r="Q510" t="n">
        <v>0</v>
      </c>
      <c r="R510" s="2" t="inlineStr"/>
    </row>
    <row r="511" ht="15" customHeight="1">
      <c r="A511" t="inlineStr">
        <is>
          <t>A 16176-2024</t>
        </is>
      </c>
      <c r="B511" s="1" t="n">
        <v>45406.64024305555</v>
      </c>
      <c r="C511" s="1" t="n">
        <v>45987</v>
      </c>
      <c r="D511" t="inlineStr">
        <is>
          <t>JÄMTLANDS LÄN</t>
        </is>
      </c>
      <c r="E511" t="inlineStr">
        <is>
          <t>HÄRJEDALEN</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62719-2022</t>
        </is>
      </c>
      <c r="B512" s="1" t="n">
        <v>44925</v>
      </c>
      <c r="C512" s="1" t="n">
        <v>45987</v>
      </c>
      <c r="D512" t="inlineStr">
        <is>
          <t>JÄMTLANDS LÄN</t>
        </is>
      </c>
      <c r="E512" t="inlineStr">
        <is>
          <t>HÄRJEDALEN</t>
        </is>
      </c>
      <c r="F512" t="inlineStr">
        <is>
          <t>Holmen skog AB</t>
        </is>
      </c>
      <c r="G512" t="n">
        <v>3.1</v>
      </c>
      <c r="H512" t="n">
        <v>0</v>
      </c>
      <c r="I512" t="n">
        <v>0</v>
      </c>
      <c r="J512" t="n">
        <v>0</v>
      </c>
      <c r="K512" t="n">
        <v>0</v>
      </c>
      <c r="L512" t="n">
        <v>0</v>
      </c>
      <c r="M512" t="n">
        <v>0</v>
      </c>
      <c r="N512" t="n">
        <v>0</v>
      </c>
      <c r="O512" t="n">
        <v>0</v>
      </c>
      <c r="P512" t="n">
        <v>0</v>
      </c>
      <c r="Q512" t="n">
        <v>0</v>
      </c>
      <c r="R512" s="2" t="inlineStr"/>
    </row>
    <row r="513" ht="15" customHeight="1">
      <c r="A513" t="inlineStr">
        <is>
          <t>A 5098-2025</t>
        </is>
      </c>
      <c r="B513" s="1" t="n">
        <v>45691</v>
      </c>
      <c r="C513" s="1" t="n">
        <v>45987</v>
      </c>
      <c r="D513" t="inlineStr">
        <is>
          <t>JÄMTLANDS LÄN</t>
        </is>
      </c>
      <c r="E513" t="inlineStr">
        <is>
          <t>HÄRJEDALEN</t>
        </is>
      </c>
      <c r="F513" t="inlineStr">
        <is>
          <t>Holmen skog AB</t>
        </is>
      </c>
      <c r="G513" t="n">
        <v>15.2</v>
      </c>
      <c r="H513" t="n">
        <v>0</v>
      </c>
      <c r="I513" t="n">
        <v>0</v>
      </c>
      <c r="J513" t="n">
        <v>0</v>
      </c>
      <c r="K513" t="n">
        <v>0</v>
      </c>
      <c r="L513" t="n">
        <v>0</v>
      </c>
      <c r="M513" t="n">
        <v>0</v>
      </c>
      <c r="N513" t="n">
        <v>0</v>
      </c>
      <c r="O513" t="n">
        <v>0</v>
      </c>
      <c r="P513" t="n">
        <v>0</v>
      </c>
      <c r="Q513" t="n">
        <v>0</v>
      </c>
      <c r="R513" s="2" t="inlineStr"/>
    </row>
    <row r="514" ht="15" customHeight="1">
      <c r="A514" t="inlineStr">
        <is>
          <t>A 5102-2025</t>
        </is>
      </c>
      <c r="B514" s="1" t="n">
        <v>45691</v>
      </c>
      <c r="C514" s="1" t="n">
        <v>45987</v>
      </c>
      <c r="D514" t="inlineStr">
        <is>
          <t>JÄMTLANDS LÄN</t>
        </is>
      </c>
      <c r="E514" t="inlineStr">
        <is>
          <t>HÄRJEDALEN</t>
        </is>
      </c>
      <c r="F514" t="inlineStr">
        <is>
          <t>Holmen skog AB</t>
        </is>
      </c>
      <c r="G514" t="n">
        <v>19.3</v>
      </c>
      <c r="H514" t="n">
        <v>0</v>
      </c>
      <c r="I514" t="n">
        <v>0</v>
      </c>
      <c r="J514" t="n">
        <v>0</v>
      </c>
      <c r="K514" t="n">
        <v>0</v>
      </c>
      <c r="L514" t="n">
        <v>0</v>
      </c>
      <c r="M514" t="n">
        <v>0</v>
      </c>
      <c r="N514" t="n">
        <v>0</v>
      </c>
      <c r="O514" t="n">
        <v>0</v>
      </c>
      <c r="P514" t="n">
        <v>0</v>
      </c>
      <c r="Q514" t="n">
        <v>0</v>
      </c>
      <c r="R514" s="2" t="inlineStr"/>
    </row>
    <row r="515" ht="15" customHeight="1">
      <c r="A515" t="inlineStr">
        <is>
          <t>A 29431-2023</t>
        </is>
      </c>
      <c r="B515" s="1" t="n">
        <v>45106</v>
      </c>
      <c r="C515" s="1" t="n">
        <v>45987</v>
      </c>
      <c r="D515" t="inlineStr">
        <is>
          <t>JÄMTLANDS LÄN</t>
        </is>
      </c>
      <c r="E515" t="inlineStr">
        <is>
          <t>HÄRJEDALEN</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1398-2024</t>
        </is>
      </c>
      <c r="B516" s="1" t="n">
        <v>45303</v>
      </c>
      <c r="C516" s="1" t="n">
        <v>45987</v>
      </c>
      <c r="D516" t="inlineStr">
        <is>
          <t>JÄMTLANDS LÄN</t>
        </is>
      </c>
      <c r="E516" t="inlineStr">
        <is>
          <t>HÄRJEDALEN</t>
        </is>
      </c>
      <c r="G516" t="n">
        <v>6</v>
      </c>
      <c r="H516" t="n">
        <v>0</v>
      </c>
      <c r="I516" t="n">
        <v>0</v>
      </c>
      <c r="J516" t="n">
        <v>0</v>
      </c>
      <c r="K516" t="n">
        <v>0</v>
      </c>
      <c r="L516" t="n">
        <v>0</v>
      </c>
      <c r="M516" t="n">
        <v>0</v>
      </c>
      <c r="N516" t="n">
        <v>0</v>
      </c>
      <c r="O516" t="n">
        <v>0</v>
      </c>
      <c r="P516" t="n">
        <v>0</v>
      </c>
      <c r="Q516" t="n">
        <v>0</v>
      </c>
      <c r="R516" s="2" t="inlineStr"/>
    </row>
    <row r="517" ht="15" customHeight="1">
      <c r="A517" t="inlineStr">
        <is>
          <t>A 41664-2025</t>
        </is>
      </c>
      <c r="B517" s="1" t="n">
        <v>45902.35612268518</v>
      </c>
      <c r="C517" s="1" t="n">
        <v>45987</v>
      </c>
      <c r="D517" t="inlineStr">
        <is>
          <t>JÄMTLANDS LÄN</t>
        </is>
      </c>
      <c r="E517" t="inlineStr">
        <is>
          <t>HÄRJEDALEN</t>
        </is>
      </c>
      <c r="F517" t="inlineStr">
        <is>
          <t>Holmen skog AB</t>
        </is>
      </c>
      <c r="G517" t="n">
        <v>18.7</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45987</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50425-2025</t>
        </is>
      </c>
      <c r="B519" s="1" t="n">
        <v>45944.67199074074</v>
      </c>
      <c r="C519" s="1" t="n">
        <v>45987</v>
      </c>
      <c r="D519" t="inlineStr">
        <is>
          <t>JÄMTLANDS LÄN</t>
        </is>
      </c>
      <c r="E519" t="inlineStr">
        <is>
          <t>HÄRJEDALEN</t>
        </is>
      </c>
      <c r="G519" t="n">
        <v>1.8</v>
      </c>
      <c r="H519" t="n">
        <v>0</v>
      </c>
      <c r="I519" t="n">
        <v>0</v>
      </c>
      <c r="J519" t="n">
        <v>0</v>
      </c>
      <c r="K519" t="n">
        <v>0</v>
      </c>
      <c r="L519" t="n">
        <v>0</v>
      </c>
      <c r="M519" t="n">
        <v>0</v>
      </c>
      <c r="N519" t="n">
        <v>0</v>
      </c>
      <c r="O519" t="n">
        <v>0</v>
      </c>
      <c r="P519" t="n">
        <v>0</v>
      </c>
      <c r="Q519" t="n">
        <v>0</v>
      </c>
      <c r="R519" s="2" t="inlineStr"/>
    </row>
    <row r="520" ht="15" customHeight="1">
      <c r="A520" t="inlineStr">
        <is>
          <t>A 35253-2025</t>
        </is>
      </c>
      <c r="B520" s="1" t="n">
        <v>45853</v>
      </c>
      <c r="C520" s="1" t="n">
        <v>45987</v>
      </c>
      <c r="D520" t="inlineStr">
        <is>
          <t>JÄMTLANDS LÄN</t>
        </is>
      </c>
      <c r="E520" t="inlineStr">
        <is>
          <t>HÄRJEDALEN</t>
        </is>
      </c>
      <c r="G520" t="n">
        <v>1.8</v>
      </c>
      <c r="H520" t="n">
        <v>0</v>
      </c>
      <c r="I520" t="n">
        <v>0</v>
      </c>
      <c r="J520" t="n">
        <v>0</v>
      </c>
      <c r="K520" t="n">
        <v>0</v>
      </c>
      <c r="L520" t="n">
        <v>0</v>
      </c>
      <c r="M520" t="n">
        <v>0</v>
      </c>
      <c r="N520" t="n">
        <v>0</v>
      </c>
      <c r="O520" t="n">
        <v>0</v>
      </c>
      <c r="P520" t="n">
        <v>0</v>
      </c>
      <c r="Q520" t="n">
        <v>0</v>
      </c>
      <c r="R520" s="2" t="inlineStr"/>
    </row>
    <row r="521" ht="15" customHeight="1">
      <c r="A521" t="inlineStr">
        <is>
          <t>A 31586-2024</t>
        </is>
      </c>
      <c r="B521" s="1" t="n">
        <v>45506.3637962963</v>
      </c>
      <c r="C521" s="1" t="n">
        <v>45987</v>
      </c>
      <c r="D521" t="inlineStr">
        <is>
          <t>JÄMTLANDS LÄN</t>
        </is>
      </c>
      <c r="E521" t="inlineStr">
        <is>
          <t>HÄRJEDALEN</t>
        </is>
      </c>
      <c r="G521" t="n">
        <v>9</v>
      </c>
      <c r="H521" t="n">
        <v>0</v>
      </c>
      <c r="I521" t="n">
        <v>0</v>
      </c>
      <c r="J521" t="n">
        <v>0</v>
      </c>
      <c r="K521" t="n">
        <v>0</v>
      </c>
      <c r="L521" t="n">
        <v>0</v>
      </c>
      <c r="M521" t="n">
        <v>0</v>
      </c>
      <c r="N521" t="n">
        <v>0</v>
      </c>
      <c r="O521" t="n">
        <v>0</v>
      </c>
      <c r="P521" t="n">
        <v>0</v>
      </c>
      <c r="Q521" t="n">
        <v>0</v>
      </c>
      <c r="R521" s="2" t="inlineStr"/>
    </row>
    <row r="522" ht="15" customHeight="1">
      <c r="A522" t="inlineStr">
        <is>
          <t>A 41769-2025</t>
        </is>
      </c>
      <c r="B522" s="1" t="n">
        <v>45902.55119212963</v>
      </c>
      <c r="C522" s="1" t="n">
        <v>45987</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41821-2025</t>
        </is>
      </c>
      <c r="B523" s="1" t="n">
        <v>45902.66265046296</v>
      </c>
      <c r="C523" s="1" t="n">
        <v>45987</v>
      </c>
      <c r="D523" t="inlineStr">
        <is>
          <t>JÄMTLANDS LÄN</t>
        </is>
      </c>
      <c r="E523" t="inlineStr">
        <is>
          <t>HÄRJEDALEN</t>
        </is>
      </c>
      <c r="F523" t="inlineStr">
        <is>
          <t>Holmen skog AB</t>
        </is>
      </c>
      <c r="G523" t="n">
        <v>30</v>
      </c>
      <c r="H523" t="n">
        <v>0</v>
      </c>
      <c r="I523" t="n">
        <v>0</v>
      </c>
      <c r="J523" t="n">
        <v>0</v>
      </c>
      <c r="K523" t="n">
        <v>0</v>
      </c>
      <c r="L523" t="n">
        <v>0</v>
      </c>
      <c r="M523" t="n">
        <v>0</v>
      </c>
      <c r="N523" t="n">
        <v>0</v>
      </c>
      <c r="O523" t="n">
        <v>0</v>
      </c>
      <c r="P523" t="n">
        <v>0</v>
      </c>
      <c r="Q523" t="n">
        <v>0</v>
      </c>
      <c r="R523" s="2" t="inlineStr"/>
    </row>
    <row r="524" ht="15" customHeight="1">
      <c r="A524" t="inlineStr">
        <is>
          <t>A 54661-2022</t>
        </is>
      </c>
      <c r="B524" s="1" t="n">
        <v>44883</v>
      </c>
      <c r="C524" s="1" t="n">
        <v>45987</v>
      </c>
      <c r="D524" t="inlineStr">
        <is>
          <t>JÄMTLANDS LÄN</t>
        </is>
      </c>
      <c r="E524" t="inlineStr">
        <is>
          <t>HÄRJEDALEN</t>
        </is>
      </c>
      <c r="G524" t="n">
        <v>5.9</v>
      </c>
      <c r="H524" t="n">
        <v>0</v>
      </c>
      <c r="I524" t="n">
        <v>0</v>
      </c>
      <c r="J524" t="n">
        <v>0</v>
      </c>
      <c r="K524" t="n">
        <v>0</v>
      </c>
      <c r="L524" t="n">
        <v>0</v>
      </c>
      <c r="M524" t="n">
        <v>0</v>
      </c>
      <c r="N524" t="n">
        <v>0</v>
      </c>
      <c r="O524" t="n">
        <v>0</v>
      </c>
      <c r="P524" t="n">
        <v>0</v>
      </c>
      <c r="Q524" t="n">
        <v>0</v>
      </c>
      <c r="R524" s="2" t="inlineStr"/>
    </row>
    <row r="525" ht="15" customHeight="1">
      <c r="A525" t="inlineStr">
        <is>
          <t>A 41491-2025</t>
        </is>
      </c>
      <c r="B525" s="1" t="n">
        <v>45901.4881712963</v>
      </c>
      <c r="C525" s="1" t="n">
        <v>45987</v>
      </c>
      <c r="D525" t="inlineStr">
        <is>
          <t>JÄMTLANDS LÄN</t>
        </is>
      </c>
      <c r="E525" t="inlineStr">
        <is>
          <t>HÄRJEDALEN</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63133-2020</t>
        </is>
      </c>
      <c r="B526" s="1" t="n">
        <v>44162.65819444445</v>
      </c>
      <c r="C526" s="1" t="n">
        <v>45987</v>
      </c>
      <c r="D526" t="inlineStr">
        <is>
          <t>JÄMTLANDS LÄN</t>
        </is>
      </c>
      <c r="E526" t="inlineStr">
        <is>
          <t>HÄRJEDALEN</t>
        </is>
      </c>
      <c r="F526" t="inlineStr">
        <is>
          <t>Sveaskog</t>
        </is>
      </c>
      <c r="G526" t="n">
        <v>2.6</v>
      </c>
      <c r="H526" t="n">
        <v>0</v>
      </c>
      <c r="I526" t="n">
        <v>0</v>
      </c>
      <c r="J526" t="n">
        <v>0</v>
      </c>
      <c r="K526" t="n">
        <v>0</v>
      </c>
      <c r="L526" t="n">
        <v>0</v>
      </c>
      <c r="M526" t="n">
        <v>0</v>
      </c>
      <c r="N526" t="n">
        <v>0</v>
      </c>
      <c r="O526" t="n">
        <v>0</v>
      </c>
      <c r="P526" t="n">
        <v>0</v>
      </c>
      <c r="Q526" t="n">
        <v>0</v>
      </c>
      <c r="R526" s="2" t="inlineStr"/>
    </row>
    <row r="527" ht="15" customHeight="1">
      <c r="A527" t="inlineStr">
        <is>
          <t>A 31920-2024</t>
        </is>
      </c>
      <c r="B527" s="1" t="n">
        <v>45510</v>
      </c>
      <c r="C527" s="1" t="n">
        <v>45987</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43287-2024</t>
        </is>
      </c>
      <c r="B528" s="1" t="n">
        <v>45568</v>
      </c>
      <c r="C528" s="1" t="n">
        <v>45987</v>
      </c>
      <c r="D528" t="inlineStr">
        <is>
          <t>JÄMTLANDS LÄN</t>
        </is>
      </c>
      <c r="E528" t="inlineStr">
        <is>
          <t>HÄRJEDALEN</t>
        </is>
      </c>
      <c r="F528" t="inlineStr">
        <is>
          <t>SCA</t>
        </is>
      </c>
      <c r="G528" t="n">
        <v>19.7</v>
      </c>
      <c r="H528" t="n">
        <v>0</v>
      </c>
      <c r="I528" t="n">
        <v>0</v>
      </c>
      <c r="J528" t="n">
        <v>0</v>
      </c>
      <c r="K528" t="n">
        <v>0</v>
      </c>
      <c r="L528" t="n">
        <v>0</v>
      </c>
      <c r="M528" t="n">
        <v>0</v>
      </c>
      <c r="N528" t="n">
        <v>0</v>
      </c>
      <c r="O528" t="n">
        <v>0</v>
      </c>
      <c r="P528" t="n">
        <v>0</v>
      </c>
      <c r="Q528" t="n">
        <v>0</v>
      </c>
      <c r="R528" s="2" t="inlineStr"/>
    </row>
    <row r="529" ht="15" customHeight="1">
      <c r="A529" t="inlineStr">
        <is>
          <t>A 16842-2025</t>
        </is>
      </c>
      <c r="B529" s="1" t="n">
        <v>45754.67329861111</v>
      </c>
      <c r="C529" s="1" t="n">
        <v>45987</v>
      </c>
      <c r="D529" t="inlineStr">
        <is>
          <t>JÄMTLANDS LÄN</t>
        </is>
      </c>
      <c r="E529" t="inlineStr">
        <is>
          <t>HÄRJEDALEN</t>
        </is>
      </c>
      <c r="G529" t="n">
        <v>18.6</v>
      </c>
      <c r="H529" t="n">
        <v>0</v>
      </c>
      <c r="I529" t="n">
        <v>0</v>
      </c>
      <c r="J529" t="n">
        <v>0</v>
      </c>
      <c r="K529" t="n">
        <v>0</v>
      </c>
      <c r="L529" t="n">
        <v>0</v>
      </c>
      <c r="M529" t="n">
        <v>0</v>
      </c>
      <c r="N529" t="n">
        <v>0</v>
      </c>
      <c r="O529" t="n">
        <v>0</v>
      </c>
      <c r="P529" t="n">
        <v>0</v>
      </c>
      <c r="Q529" t="n">
        <v>0</v>
      </c>
      <c r="R529" s="2" t="inlineStr"/>
    </row>
    <row r="530" ht="15" customHeight="1">
      <c r="A530" t="inlineStr">
        <is>
          <t>A 27820-2025</t>
        </is>
      </c>
      <c r="B530" s="1" t="n">
        <v>45817.33819444444</v>
      </c>
      <c r="C530" s="1" t="n">
        <v>45987</v>
      </c>
      <c r="D530" t="inlineStr">
        <is>
          <t>JÄMTLANDS LÄN</t>
        </is>
      </c>
      <c r="E530" t="inlineStr">
        <is>
          <t>HÄRJEDALEN</t>
        </is>
      </c>
      <c r="F530" t="inlineStr">
        <is>
          <t>Övriga statliga verk och myndigheter</t>
        </is>
      </c>
      <c r="G530" t="n">
        <v>42.8</v>
      </c>
      <c r="H530" t="n">
        <v>0</v>
      </c>
      <c r="I530" t="n">
        <v>0</v>
      </c>
      <c r="J530" t="n">
        <v>0</v>
      </c>
      <c r="K530" t="n">
        <v>0</v>
      </c>
      <c r="L530" t="n">
        <v>0</v>
      </c>
      <c r="M530" t="n">
        <v>0</v>
      </c>
      <c r="N530" t="n">
        <v>0</v>
      </c>
      <c r="O530" t="n">
        <v>0</v>
      </c>
      <c r="P530" t="n">
        <v>0</v>
      </c>
      <c r="Q530" t="n">
        <v>0</v>
      </c>
      <c r="R530" s="2" t="inlineStr"/>
    </row>
    <row r="531" ht="15" customHeight="1">
      <c r="A531" t="inlineStr">
        <is>
          <t>A 28026-2025</t>
        </is>
      </c>
      <c r="B531" s="1" t="n">
        <v>45817.62439814815</v>
      </c>
      <c r="C531" s="1" t="n">
        <v>45987</v>
      </c>
      <c r="D531" t="inlineStr">
        <is>
          <t>JÄMTLANDS LÄN</t>
        </is>
      </c>
      <c r="E531" t="inlineStr">
        <is>
          <t>HÄRJEDALEN</t>
        </is>
      </c>
      <c r="G531" t="n">
        <v>2.2</v>
      </c>
      <c r="H531" t="n">
        <v>0</v>
      </c>
      <c r="I531" t="n">
        <v>0</v>
      </c>
      <c r="J531" t="n">
        <v>0</v>
      </c>
      <c r="K531" t="n">
        <v>0</v>
      </c>
      <c r="L531" t="n">
        <v>0</v>
      </c>
      <c r="M531" t="n">
        <v>0</v>
      </c>
      <c r="N531" t="n">
        <v>0</v>
      </c>
      <c r="O531" t="n">
        <v>0</v>
      </c>
      <c r="P531" t="n">
        <v>0</v>
      </c>
      <c r="Q531" t="n">
        <v>0</v>
      </c>
      <c r="R531" s="2" t="inlineStr"/>
    </row>
    <row r="532" ht="15" customHeight="1">
      <c r="A532" t="inlineStr">
        <is>
          <t>A 55669-2024</t>
        </is>
      </c>
      <c r="B532" s="1" t="n">
        <v>45622.64627314815</v>
      </c>
      <c r="C532" s="1" t="n">
        <v>45987</v>
      </c>
      <c r="D532" t="inlineStr">
        <is>
          <t>JÄMTLANDS LÄN</t>
        </is>
      </c>
      <c r="E532" t="inlineStr">
        <is>
          <t>HÄRJEDALEN</t>
        </is>
      </c>
      <c r="G532" t="n">
        <v>1.7</v>
      </c>
      <c r="H532" t="n">
        <v>0</v>
      </c>
      <c r="I532" t="n">
        <v>0</v>
      </c>
      <c r="J532" t="n">
        <v>0</v>
      </c>
      <c r="K532" t="n">
        <v>0</v>
      </c>
      <c r="L532" t="n">
        <v>0</v>
      </c>
      <c r="M532" t="n">
        <v>0</v>
      </c>
      <c r="N532" t="n">
        <v>0</v>
      </c>
      <c r="O532" t="n">
        <v>0</v>
      </c>
      <c r="P532" t="n">
        <v>0</v>
      </c>
      <c r="Q532" t="n">
        <v>0</v>
      </c>
      <c r="R532" s="2" t="inlineStr"/>
    </row>
    <row r="533" ht="15" customHeight="1">
      <c r="A533" t="inlineStr">
        <is>
          <t>A 41788-2025</t>
        </is>
      </c>
      <c r="B533" s="1" t="n">
        <v>45902.59438657408</v>
      </c>
      <c r="C533" s="1" t="n">
        <v>45987</v>
      </c>
      <c r="D533" t="inlineStr">
        <is>
          <t>JÄMTLANDS LÄN</t>
        </is>
      </c>
      <c r="E533" t="inlineStr">
        <is>
          <t>HÄRJEDALEN</t>
        </is>
      </c>
      <c r="F533" t="inlineStr">
        <is>
          <t>SCA</t>
        </is>
      </c>
      <c r="G533" t="n">
        <v>9.9</v>
      </c>
      <c r="H533" t="n">
        <v>0</v>
      </c>
      <c r="I533" t="n">
        <v>0</v>
      </c>
      <c r="J533" t="n">
        <v>0</v>
      </c>
      <c r="K533" t="n">
        <v>0</v>
      </c>
      <c r="L533" t="n">
        <v>0</v>
      </c>
      <c r="M533" t="n">
        <v>0</v>
      </c>
      <c r="N533" t="n">
        <v>0</v>
      </c>
      <c r="O533" t="n">
        <v>0</v>
      </c>
      <c r="P533" t="n">
        <v>0</v>
      </c>
      <c r="Q533" t="n">
        <v>0</v>
      </c>
      <c r="R533" s="2" t="inlineStr"/>
    </row>
    <row r="534" ht="15" customHeight="1">
      <c r="A534" t="inlineStr">
        <is>
          <t>A 2935-2025</t>
        </is>
      </c>
      <c r="B534" s="1" t="n">
        <v>45678.37956018518</v>
      </c>
      <c r="C534" s="1" t="n">
        <v>45987</v>
      </c>
      <c r="D534" t="inlineStr">
        <is>
          <t>JÄMTLANDS LÄN</t>
        </is>
      </c>
      <c r="E534" t="inlineStr">
        <is>
          <t>HÄRJEDALEN</t>
        </is>
      </c>
      <c r="G534" t="n">
        <v>1.7</v>
      </c>
      <c r="H534" t="n">
        <v>0</v>
      </c>
      <c r="I534" t="n">
        <v>0</v>
      </c>
      <c r="J534" t="n">
        <v>0</v>
      </c>
      <c r="K534" t="n">
        <v>0</v>
      </c>
      <c r="L534" t="n">
        <v>0</v>
      </c>
      <c r="M534" t="n">
        <v>0</v>
      </c>
      <c r="N534" t="n">
        <v>0</v>
      </c>
      <c r="O534" t="n">
        <v>0</v>
      </c>
      <c r="P534" t="n">
        <v>0</v>
      </c>
      <c r="Q534" t="n">
        <v>0</v>
      </c>
      <c r="R534" s="2" t="inlineStr"/>
    </row>
    <row r="535" ht="15" customHeight="1">
      <c r="A535" t="inlineStr">
        <is>
          <t>A 4590-2025</t>
        </is>
      </c>
      <c r="B535" s="1" t="n">
        <v>45687.53689814815</v>
      </c>
      <c r="C535" s="1" t="n">
        <v>45987</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19677-2024</t>
        </is>
      </c>
      <c r="B536" s="1" t="n">
        <v>45432</v>
      </c>
      <c r="C536" s="1" t="n">
        <v>45987</v>
      </c>
      <c r="D536" t="inlineStr">
        <is>
          <t>JÄMTLANDS LÄN</t>
        </is>
      </c>
      <c r="E536" t="inlineStr">
        <is>
          <t>HÄRJEDALEN</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42189-2025</t>
        </is>
      </c>
      <c r="B537" s="1" t="n">
        <v>45904.47059027778</v>
      </c>
      <c r="C537" s="1" t="n">
        <v>45987</v>
      </c>
      <c r="D537" t="inlineStr">
        <is>
          <t>JÄMTLANDS LÄN</t>
        </is>
      </c>
      <c r="E537" t="inlineStr">
        <is>
          <t>HÄRJEDALEN</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50764-2025</t>
        </is>
      </c>
      <c r="B538" s="1" t="n">
        <v>45946.43961805556</v>
      </c>
      <c r="C538" s="1" t="n">
        <v>45987</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7731-2021</t>
        </is>
      </c>
      <c r="B539" s="1" t="n">
        <v>44242</v>
      </c>
      <c r="C539" s="1" t="n">
        <v>45987</v>
      </c>
      <c r="D539" t="inlineStr">
        <is>
          <t>JÄMTLANDS LÄN</t>
        </is>
      </c>
      <c r="E539" t="inlineStr">
        <is>
          <t>HÄRJEDALEN</t>
        </is>
      </c>
      <c r="G539" t="n">
        <v>13.6</v>
      </c>
      <c r="H539" t="n">
        <v>0</v>
      </c>
      <c r="I539" t="n">
        <v>0</v>
      </c>
      <c r="J539" t="n">
        <v>0</v>
      </c>
      <c r="K539" t="n">
        <v>0</v>
      </c>
      <c r="L539" t="n">
        <v>0</v>
      </c>
      <c r="M539" t="n">
        <v>0</v>
      </c>
      <c r="N539" t="n">
        <v>0</v>
      </c>
      <c r="O539" t="n">
        <v>0</v>
      </c>
      <c r="P539" t="n">
        <v>0</v>
      </c>
      <c r="Q539" t="n">
        <v>0</v>
      </c>
      <c r="R539" s="2" t="inlineStr"/>
    </row>
    <row r="540" ht="15" customHeight="1">
      <c r="A540" t="inlineStr">
        <is>
          <t>A 38266-2025</t>
        </is>
      </c>
      <c r="B540" s="1" t="n">
        <v>45883.40538194445</v>
      </c>
      <c r="C540" s="1" t="n">
        <v>45987</v>
      </c>
      <c r="D540" t="inlineStr">
        <is>
          <t>JÄMTLANDS LÄN</t>
        </is>
      </c>
      <c r="E540" t="inlineStr">
        <is>
          <t>HÄRJEDALEN</t>
        </is>
      </c>
      <c r="G540" t="n">
        <v>1.1</v>
      </c>
      <c r="H540" t="n">
        <v>0</v>
      </c>
      <c r="I540" t="n">
        <v>0</v>
      </c>
      <c r="J540" t="n">
        <v>0</v>
      </c>
      <c r="K540" t="n">
        <v>0</v>
      </c>
      <c r="L540" t="n">
        <v>0</v>
      </c>
      <c r="M540" t="n">
        <v>0</v>
      </c>
      <c r="N540" t="n">
        <v>0</v>
      </c>
      <c r="O540" t="n">
        <v>0</v>
      </c>
      <c r="P540" t="n">
        <v>0</v>
      </c>
      <c r="Q540" t="n">
        <v>0</v>
      </c>
      <c r="R540" s="2" t="inlineStr"/>
    </row>
    <row r="541" ht="15" customHeight="1">
      <c r="A541" t="inlineStr">
        <is>
          <t>A 1954-2023</t>
        </is>
      </c>
      <c r="B541" s="1" t="n">
        <v>44939.45376157408</v>
      </c>
      <c r="C541" s="1" t="n">
        <v>45987</v>
      </c>
      <c r="D541" t="inlineStr">
        <is>
          <t>JÄMTLANDS LÄN</t>
        </is>
      </c>
      <c r="E541" t="inlineStr">
        <is>
          <t>HÄRJEDALEN</t>
        </is>
      </c>
      <c r="G541" t="n">
        <v>0.6</v>
      </c>
      <c r="H541" t="n">
        <v>0</v>
      </c>
      <c r="I541" t="n">
        <v>0</v>
      </c>
      <c r="J541" t="n">
        <v>0</v>
      </c>
      <c r="K541" t="n">
        <v>0</v>
      </c>
      <c r="L541" t="n">
        <v>0</v>
      </c>
      <c r="M541" t="n">
        <v>0</v>
      </c>
      <c r="N541" t="n">
        <v>0</v>
      </c>
      <c r="O541" t="n">
        <v>0</v>
      </c>
      <c r="P541" t="n">
        <v>0</v>
      </c>
      <c r="Q541" t="n">
        <v>0</v>
      </c>
      <c r="R541" s="2" t="inlineStr"/>
    </row>
    <row r="542" ht="15" customHeight="1">
      <c r="A542" t="inlineStr">
        <is>
          <t>A 50631-2025</t>
        </is>
      </c>
      <c r="B542" s="1" t="n">
        <v>45945.64795138889</v>
      </c>
      <c r="C542" s="1" t="n">
        <v>45987</v>
      </c>
      <c r="D542" t="inlineStr">
        <is>
          <t>JÄMTLANDS LÄN</t>
        </is>
      </c>
      <c r="E542" t="inlineStr">
        <is>
          <t>HÄRJEDALEN</t>
        </is>
      </c>
      <c r="G542" t="n">
        <v>7.1</v>
      </c>
      <c r="H542" t="n">
        <v>0</v>
      </c>
      <c r="I542" t="n">
        <v>0</v>
      </c>
      <c r="J542" t="n">
        <v>0</v>
      </c>
      <c r="K542" t="n">
        <v>0</v>
      </c>
      <c r="L542" t="n">
        <v>0</v>
      </c>
      <c r="M542" t="n">
        <v>0</v>
      </c>
      <c r="N542" t="n">
        <v>0</v>
      </c>
      <c r="O542" t="n">
        <v>0</v>
      </c>
      <c r="P542" t="n">
        <v>0</v>
      </c>
      <c r="Q542" t="n">
        <v>0</v>
      </c>
      <c r="R542" s="2" t="inlineStr"/>
    </row>
    <row r="543" ht="15" customHeight="1">
      <c r="A543" t="inlineStr">
        <is>
          <t>A 11818-2023</t>
        </is>
      </c>
      <c r="B543" s="1" t="n">
        <v>44994</v>
      </c>
      <c r="C543" s="1" t="n">
        <v>45987</v>
      </c>
      <c r="D543" t="inlineStr">
        <is>
          <t>JÄMTLANDS LÄN</t>
        </is>
      </c>
      <c r="E543" t="inlineStr">
        <is>
          <t>HÄRJEDALEN</t>
        </is>
      </c>
      <c r="G543" t="n">
        <v>8.9</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45987</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50588-2025</t>
        </is>
      </c>
      <c r="B545" s="1" t="n">
        <v>45945.59920138889</v>
      </c>
      <c r="C545" s="1" t="n">
        <v>45987</v>
      </c>
      <c r="D545" t="inlineStr">
        <is>
          <t>JÄMTLANDS LÄN</t>
        </is>
      </c>
      <c r="E545" t="inlineStr">
        <is>
          <t>HÄRJEDALEN</t>
        </is>
      </c>
      <c r="F545" t="inlineStr">
        <is>
          <t>Bergvik skog väst AB</t>
        </is>
      </c>
      <c r="G545" t="n">
        <v>17.9</v>
      </c>
      <c r="H545" t="n">
        <v>0</v>
      </c>
      <c r="I545" t="n">
        <v>0</v>
      </c>
      <c r="J545" t="n">
        <v>0</v>
      </c>
      <c r="K545" t="n">
        <v>0</v>
      </c>
      <c r="L545" t="n">
        <v>0</v>
      </c>
      <c r="M545" t="n">
        <v>0</v>
      </c>
      <c r="N545" t="n">
        <v>0</v>
      </c>
      <c r="O545" t="n">
        <v>0</v>
      </c>
      <c r="P545" t="n">
        <v>0</v>
      </c>
      <c r="Q545" t="n">
        <v>0</v>
      </c>
      <c r="R545" s="2" t="inlineStr"/>
    </row>
    <row r="546" ht="15" customHeight="1">
      <c r="A546" t="inlineStr">
        <is>
          <t>A 42504-2025</t>
        </is>
      </c>
      <c r="B546" s="1" t="n">
        <v>45904</v>
      </c>
      <c r="C546" s="1" t="n">
        <v>45987</v>
      </c>
      <c r="D546" t="inlineStr">
        <is>
          <t>JÄMTLANDS LÄN</t>
        </is>
      </c>
      <c r="E546" t="inlineStr">
        <is>
          <t>HÄRJEDALEN</t>
        </is>
      </c>
      <c r="F546" t="inlineStr">
        <is>
          <t>Bergvik skog väst AB</t>
        </is>
      </c>
      <c r="G546" t="n">
        <v>6.4</v>
      </c>
      <c r="H546" t="n">
        <v>0</v>
      </c>
      <c r="I546" t="n">
        <v>0</v>
      </c>
      <c r="J546" t="n">
        <v>0</v>
      </c>
      <c r="K546" t="n">
        <v>0</v>
      </c>
      <c r="L546" t="n">
        <v>0</v>
      </c>
      <c r="M546" t="n">
        <v>0</v>
      </c>
      <c r="N546" t="n">
        <v>0</v>
      </c>
      <c r="O546" t="n">
        <v>0</v>
      </c>
      <c r="P546" t="n">
        <v>0</v>
      </c>
      <c r="Q546" t="n">
        <v>0</v>
      </c>
      <c r="R546" s="2" t="inlineStr"/>
    </row>
    <row r="547" ht="15" customHeight="1">
      <c r="A547" t="inlineStr">
        <is>
          <t>A 45363-2024</t>
        </is>
      </c>
      <c r="B547" s="1" t="n">
        <v>45576.48657407407</v>
      </c>
      <c r="C547" s="1" t="n">
        <v>45987</v>
      </c>
      <c r="D547" t="inlineStr">
        <is>
          <t>JÄMTLANDS LÄN</t>
        </is>
      </c>
      <c r="E547" t="inlineStr">
        <is>
          <t>HÄRJEDALEN</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50464-2025</t>
        </is>
      </c>
      <c r="B548" s="1" t="n">
        <v>45945.34971064814</v>
      </c>
      <c r="C548" s="1" t="n">
        <v>45987</v>
      </c>
      <c r="D548" t="inlineStr">
        <is>
          <t>JÄMTLANDS LÄN</t>
        </is>
      </c>
      <c r="E548" t="inlineStr">
        <is>
          <t>HÄRJEDALEN</t>
        </is>
      </c>
      <c r="G548" t="n">
        <v>3.8</v>
      </c>
      <c r="H548" t="n">
        <v>0</v>
      </c>
      <c r="I548" t="n">
        <v>0</v>
      </c>
      <c r="J548" t="n">
        <v>0</v>
      </c>
      <c r="K548" t="n">
        <v>0</v>
      </c>
      <c r="L548" t="n">
        <v>0</v>
      </c>
      <c r="M548" t="n">
        <v>0</v>
      </c>
      <c r="N548" t="n">
        <v>0</v>
      </c>
      <c r="O548" t="n">
        <v>0</v>
      </c>
      <c r="P548" t="n">
        <v>0</v>
      </c>
      <c r="Q548" t="n">
        <v>0</v>
      </c>
      <c r="R548" s="2" t="inlineStr"/>
    </row>
    <row r="549" ht="15" customHeight="1">
      <c r="A549" t="inlineStr">
        <is>
          <t>A 30499-2025</t>
        </is>
      </c>
      <c r="B549" s="1" t="n">
        <v>45830</v>
      </c>
      <c r="C549" s="1" t="n">
        <v>45987</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42163-2025</t>
        </is>
      </c>
      <c r="B550" s="1" t="n">
        <v>45904.41844907407</v>
      </c>
      <c r="C550" s="1" t="n">
        <v>45987</v>
      </c>
      <c r="D550" t="inlineStr">
        <is>
          <t>JÄMTLANDS LÄN</t>
        </is>
      </c>
      <c r="E550" t="inlineStr">
        <is>
          <t>HÄRJEDALEN</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50570-2025</t>
        </is>
      </c>
      <c r="B551" s="1" t="n">
        <v>45945.57354166666</v>
      </c>
      <c r="C551" s="1" t="n">
        <v>45987</v>
      </c>
      <c r="D551" t="inlineStr">
        <is>
          <t>JÄMTLANDS LÄN</t>
        </is>
      </c>
      <c r="E551" t="inlineStr">
        <is>
          <t>HÄRJEDALEN</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42032-2025</t>
        </is>
      </c>
      <c r="B552" s="1" t="n">
        <v>45903.6066087963</v>
      </c>
      <c r="C552" s="1" t="n">
        <v>45987</v>
      </c>
      <c r="D552" t="inlineStr">
        <is>
          <t>JÄMTLANDS LÄN</t>
        </is>
      </c>
      <c r="E552" t="inlineStr">
        <is>
          <t>HÄRJEDALEN</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42031-2025</t>
        </is>
      </c>
      <c r="B553" s="1" t="n">
        <v>45903.60319444445</v>
      </c>
      <c r="C553" s="1" t="n">
        <v>45987</v>
      </c>
      <c r="D553" t="inlineStr">
        <is>
          <t>JÄMTLANDS LÄN</t>
        </is>
      </c>
      <c r="E553" t="inlineStr">
        <is>
          <t>HÄRJEDALEN</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45987</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29187-2025</t>
        </is>
      </c>
      <c r="B555" s="1" t="n">
        <v>45821.77903935185</v>
      </c>
      <c r="C555" s="1" t="n">
        <v>45987</v>
      </c>
      <c r="D555" t="inlineStr">
        <is>
          <t>JÄMTLANDS LÄN</t>
        </is>
      </c>
      <c r="E555" t="inlineStr">
        <is>
          <t>HÄRJEDALEN</t>
        </is>
      </c>
      <c r="G555" t="n">
        <v>7.5</v>
      </c>
      <c r="H555" t="n">
        <v>0</v>
      </c>
      <c r="I555" t="n">
        <v>0</v>
      </c>
      <c r="J555" t="n">
        <v>0</v>
      </c>
      <c r="K555" t="n">
        <v>0</v>
      </c>
      <c r="L555" t="n">
        <v>0</v>
      </c>
      <c r="M555" t="n">
        <v>0</v>
      </c>
      <c r="N555" t="n">
        <v>0</v>
      </c>
      <c r="O555" t="n">
        <v>0</v>
      </c>
      <c r="P555" t="n">
        <v>0</v>
      </c>
      <c r="Q555" t="n">
        <v>0</v>
      </c>
      <c r="R555" s="2" t="inlineStr"/>
    </row>
    <row r="556" ht="15" customHeight="1">
      <c r="A556" t="inlineStr">
        <is>
          <t>A 50803-2025</t>
        </is>
      </c>
      <c r="B556" s="1" t="n">
        <v>45946.49534722222</v>
      </c>
      <c r="C556" s="1" t="n">
        <v>45987</v>
      </c>
      <c r="D556" t="inlineStr">
        <is>
          <t>JÄMTLANDS LÄN</t>
        </is>
      </c>
      <c r="E556" t="inlineStr">
        <is>
          <t>HÄRJEDALEN</t>
        </is>
      </c>
      <c r="F556" t="inlineStr">
        <is>
          <t>Holmen skog AB</t>
        </is>
      </c>
      <c r="G556" t="n">
        <v>2.7</v>
      </c>
      <c r="H556" t="n">
        <v>0</v>
      </c>
      <c r="I556" t="n">
        <v>0</v>
      </c>
      <c r="J556" t="n">
        <v>0</v>
      </c>
      <c r="K556" t="n">
        <v>0</v>
      </c>
      <c r="L556" t="n">
        <v>0</v>
      </c>
      <c r="M556" t="n">
        <v>0</v>
      </c>
      <c r="N556" t="n">
        <v>0</v>
      </c>
      <c r="O556" t="n">
        <v>0</v>
      </c>
      <c r="P556" t="n">
        <v>0</v>
      </c>
      <c r="Q556" t="n">
        <v>0</v>
      </c>
      <c r="R556" s="2" t="inlineStr"/>
    </row>
    <row r="557" ht="15" customHeight="1">
      <c r="A557" t="inlineStr">
        <is>
          <t>A 41604-2024</t>
        </is>
      </c>
      <c r="B557" s="1" t="n">
        <v>45560</v>
      </c>
      <c r="C557" s="1" t="n">
        <v>45987</v>
      </c>
      <c r="D557" t="inlineStr">
        <is>
          <t>JÄMTLANDS LÄN</t>
        </is>
      </c>
      <c r="E557" t="inlineStr">
        <is>
          <t>HÄRJEDALEN</t>
        </is>
      </c>
      <c r="G557" t="n">
        <v>6.3</v>
      </c>
      <c r="H557" t="n">
        <v>0</v>
      </c>
      <c r="I557" t="n">
        <v>0</v>
      </c>
      <c r="J557" t="n">
        <v>0</v>
      </c>
      <c r="K557" t="n">
        <v>0</v>
      </c>
      <c r="L557" t="n">
        <v>0</v>
      </c>
      <c r="M557" t="n">
        <v>0</v>
      </c>
      <c r="N557" t="n">
        <v>0</v>
      </c>
      <c r="O557" t="n">
        <v>0</v>
      </c>
      <c r="P557" t="n">
        <v>0</v>
      </c>
      <c r="Q557" t="n">
        <v>0</v>
      </c>
      <c r="R557" s="2" t="inlineStr"/>
    </row>
    <row r="558" ht="15" customHeight="1">
      <c r="A558" t="inlineStr">
        <is>
          <t>A 29102-2025</t>
        </is>
      </c>
      <c r="B558" s="1" t="n">
        <v>45821.57201388889</v>
      </c>
      <c r="C558" s="1" t="n">
        <v>45987</v>
      </c>
      <c r="D558" t="inlineStr">
        <is>
          <t>JÄMTLANDS LÄN</t>
        </is>
      </c>
      <c r="E558" t="inlineStr">
        <is>
          <t>HÄRJEDALEN</t>
        </is>
      </c>
      <c r="F558" t="inlineStr">
        <is>
          <t>Sveaskog</t>
        </is>
      </c>
      <c r="G558" t="n">
        <v>5.5</v>
      </c>
      <c r="H558" t="n">
        <v>0</v>
      </c>
      <c r="I558" t="n">
        <v>0</v>
      </c>
      <c r="J558" t="n">
        <v>0</v>
      </c>
      <c r="K558" t="n">
        <v>0</v>
      </c>
      <c r="L558" t="n">
        <v>0</v>
      </c>
      <c r="M558" t="n">
        <v>0</v>
      </c>
      <c r="N558" t="n">
        <v>0</v>
      </c>
      <c r="O558" t="n">
        <v>0</v>
      </c>
      <c r="P558" t="n">
        <v>0</v>
      </c>
      <c r="Q558" t="n">
        <v>0</v>
      </c>
      <c r="R558" s="2" t="inlineStr"/>
    </row>
    <row r="559" ht="15" customHeight="1">
      <c r="A559" t="inlineStr">
        <is>
          <t>A 50639-2025</t>
        </is>
      </c>
      <c r="B559" s="1" t="n">
        <v>45945.65363425926</v>
      </c>
      <c r="C559" s="1" t="n">
        <v>45987</v>
      </c>
      <c r="D559" t="inlineStr">
        <is>
          <t>JÄMTLANDS LÄN</t>
        </is>
      </c>
      <c r="E559" t="inlineStr">
        <is>
          <t>HÄRJEDALEN</t>
        </is>
      </c>
      <c r="G559" t="n">
        <v>5.3</v>
      </c>
      <c r="H559" t="n">
        <v>0</v>
      </c>
      <c r="I559" t="n">
        <v>0</v>
      </c>
      <c r="J559" t="n">
        <v>0</v>
      </c>
      <c r="K559" t="n">
        <v>0</v>
      </c>
      <c r="L559" t="n">
        <v>0</v>
      </c>
      <c r="M559" t="n">
        <v>0</v>
      </c>
      <c r="N559" t="n">
        <v>0</v>
      </c>
      <c r="O559" t="n">
        <v>0</v>
      </c>
      <c r="P559" t="n">
        <v>0</v>
      </c>
      <c r="Q559" t="n">
        <v>0</v>
      </c>
      <c r="R559" s="2" t="inlineStr"/>
    </row>
    <row r="560" ht="15" customHeight="1">
      <c r="A560" t="inlineStr">
        <is>
          <t>A 30498-2025</t>
        </is>
      </c>
      <c r="B560" s="1" t="n">
        <v>45830</v>
      </c>
      <c r="C560" s="1" t="n">
        <v>45987</v>
      </c>
      <c r="D560" t="inlineStr">
        <is>
          <t>JÄMTLANDS LÄN</t>
        </is>
      </c>
      <c r="E560" t="inlineStr">
        <is>
          <t>HÄRJEDALEN</t>
        </is>
      </c>
      <c r="G560" t="n">
        <v>0.8</v>
      </c>
      <c r="H560" t="n">
        <v>0</v>
      </c>
      <c r="I560" t="n">
        <v>0</v>
      </c>
      <c r="J560" t="n">
        <v>0</v>
      </c>
      <c r="K560" t="n">
        <v>0</v>
      </c>
      <c r="L560" t="n">
        <v>0</v>
      </c>
      <c r="M560" t="n">
        <v>0</v>
      </c>
      <c r="N560" t="n">
        <v>0</v>
      </c>
      <c r="O560" t="n">
        <v>0</v>
      </c>
      <c r="P560" t="n">
        <v>0</v>
      </c>
      <c r="Q560" t="n">
        <v>0</v>
      </c>
      <c r="R560" s="2" t="inlineStr"/>
    </row>
    <row r="561" ht="15" customHeight="1">
      <c r="A561" t="inlineStr">
        <is>
          <t>A 30500-2025</t>
        </is>
      </c>
      <c r="B561" s="1" t="n">
        <v>45830</v>
      </c>
      <c r="C561" s="1" t="n">
        <v>45987</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30501-2025</t>
        </is>
      </c>
      <c r="B562" s="1" t="n">
        <v>45830</v>
      </c>
      <c r="C562" s="1" t="n">
        <v>45987</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61571-2022</t>
        </is>
      </c>
      <c r="B563" s="1" t="n">
        <v>44916</v>
      </c>
      <c r="C563" s="1" t="n">
        <v>45987</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45409-2021</t>
        </is>
      </c>
      <c r="B564" s="1" t="n">
        <v>44440</v>
      </c>
      <c r="C564" s="1" t="n">
        <v>45987</v>
      </c>
      <c r="D564" t="inlineStr">
        <is>
          <t>JÄMTLANDS LÄN</t>
        </is>
      </c>
      <c r="E564" t="inlineStr">
        <is>
          <t>HÄRJEDALEN</t>
        </is>
      </c>
      <c r="G564" t="n">
        <v>18.9</v>
      </c>
      <c r="H564" t="n">
        <v>0</v>
      </c>
      <c r="I564" t="n">
        <v>0</v>
      </c>
      <c r="J564" t="n">
        <v>0</v>
      </c>
      <c r="K564" t="n">
        <v>0</v>
      </c>
      <c r="L564" t="n">
        <v>0</v>
      </c>
      <c r="M564" t="n">
        <v>0</v>
      </c>
      <c r="N564" t="n">
        <v>0</v>
      </c>
      <c r="O564" t="n">
        <v>0</v>
      </c>
      <c r="P564" t="n">
        <v>0</v>
      </c>
      <c r="Q564" t="n">
        <v>0</v>
      </c>
      <c r="R564" s="2" t="inlineStr"/>
    </row>
    <row r="565" ht="15" customHeight="1">
      <c r="A565" t="inlineStr">
        <is>
          <t>A 23446-2025</t>
        </is>
      </c>
      <c r="B565" s="1" t="n">
        <v>45791</v>
      </c>
      <c r="C565" s="1" t="n">
        <v>45987</v>
      </c>
      <c r="D565" t="inlineStr">
        <is>
          <t>JÄMTLANDS LÄN</t>
        </is>
      </c>
      <c r="E565" t="inlineStr">
        <is>
          <t>HÄRJEDALEN</t>
        </is>
      </c>
      <c r="G565" t="n">
        <v>20.5</v>
      </c>
      <c r="H565" t="n">
        <v>0</v>
      </c>
      <c r="I565" t="n">
        <v>0</v>
      </c>
      <c r="J565" t="n">
        <v>0</v>
      </c>
      <c r="K565" t="n">
        <v>0</v>
      </c>
      <c r="L565" t="n">
        <v>0</v>
      </c>
      <c r="M565" t="n">
        <v>0</v>
      </c>
      <c r="N565" t="n">
        <v>0</v>
      </c>
      <c r="O565" t="n">
        <v>0</v>
      </c>
      <c r="P565" t="n">
        <v>0</v>
      </c>
      <c r="Q565" t="n">
        <v>0</v>
      </c>
      <c r="R565" s="2" t="inlineStr"/>
    </row>
    <row r="566" ht="15" customHeight="1">
      <c r="A566" t="inlineStr">
        <is>
          <t>A 8420-2023</t>
        </is>
      </c>
      <c r="B566" s="1" t="n">
        <v>44977.44643518519</v>
      </c>
      <c r="C566" s="1" t="n">
        <v>45987</v>
      </c>
      <c r="D566" t="inlineStr">
        <is>
          <t>JÄMTLANDS LÄN</t>
        </is>
      </c>
      <c r="E566" t="inlineStr">
        <is>
          <t>HÄRJEDALEN</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42729-2025</t>
        </is>
      </c>
      <c r="B567" s="1" t="n">
        <v>45908.40557870371</v>
      </c>
      <c r="C567" s="1" t="n">
        <v>45987</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4694-2023</t>
        </is>
      </c>
      <c r="B568" s="1" t="n">
        <v>44957</v>
      </c>
      <c r="C568" s="1" t="n">
        <v>45987</v>
      </c>
      <c r="D568" t="inlineStr">
        <is>
          <t>JÄMTLANDS LÄN</t>
        </is>
      </c>
      <c r="E568" t="inlineStr">
        <is>
          <t>HÄRJEDALEN</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53002-2024</t>
        </is>
      </c>
      <c r="B569" s="1" t="n">
        <v>45611.38759259259</v>
      </c>
      <c r="C569" s="1" t="n">
        <v>45987</v>
      </c>
      <c r="D569" t="inlineStr">
        <is>
          <t>JÄMTLANDS LÄN</t>
        </is>
      </c>
      <c r="E569" t="inlineStr">
        <is>
          <t>HÄRJEDALEN</t>
        </is>
      </c>
      <c r="G569" t="n">
        <v>7.7</v>
      </c>
      <c r="H569" t="n">
        <v>0</v>
      </c>
      <c r="I569" t="n">
        <v>0</v>
      </c>
      <c r="J569" t="n">
        <v>0</v>
      </c>
      <c r="K569" t="n">
        <v>0</v>
      </c>
      <c r="L569" t="n">
        <v>0</v>
      </c>
      <c r="M569" t="n">
        <v>0</v>
      </c>
      <c r="N569" t="n">
        <v>0</v>
      </c>
      <c r="O569" t="n">
        <v>0</v>
      </c>
      <c r="P569" t="n">
        <v>0</v>
      </c>
      <c r="Q569" t="n">
        <v>0</v>
      </c>
      <c r="R569" s="2" t="inlineStr"/>
    </row>
    <row r="570" ht="15" customHeight="1">
      <c r="A570" t="inlineStr">
        <is>
          <t>A 10536-2021</t>
        </is>
      </c>
      <c r="B570" s="1" t="n">
        <v>44258</v>
      </c>
      <c r="C570" s="1" t="n">
        <v>45987</v>
      </c>
      <c r="D570" t="inlineStr">
        <is>
          <t>JÄMTLANDS LÄN</t>
        </is>
      </c>
      <c r="E570" t="inlineStr">
        <is>
          <t>HÄRJEDALEN</t>
        </is>
      </c>
      <c r="G570" t="n">
        <v>18.7</v>
      </c>
      <c r="H570" t="n">
        <v>0</v>
      </c>
      <c r="I570" t="n">
        <v>0</v>
      </c>
      <c r="J570" t="n">
        <v>0</v>
      </c>
      <c r="K570" t="n">
        <v>0</v>
      </c>
      <c r="L570" t="n">
        <v>0</v>
      </c>
      <c r="M570" t="n">
        <v>0</v>
      </c>
      <c r="N570" t="n">
        <v>0</v>
      </c>
      <c r="O570" t="n">
        <v>0</v>
      </c>
      <c r="P570" t="n">
        <v>0</v>
      </c>
      <c r="Q570" t="n">
        <v>0</v>
      </c>
      <c r="R570" s="2" t="inlineStr"/>
    </row>
    <row r="571" ht="15" customHeight="1">
      <c r="A571" t="inlineStr">
        <is>
          <t>A 42773-2025</t>
        </is>
      </c>
      <c r="B571" s="1" t="n">
        <v>45908.48638888889</v>
      </c>
      <c r="C571" s="1" t="n">
        <v>45987</v>
      </c>
      <c r="D571" t="inlineStr">
        <is>
          <t>JÄMTLANDS LÄN</t>
        </is>
      </c>
      <c r="E571" t="inlineStr">
        <is>
          <t>HÄRJEDALEN</t>
        </is>
      </c>
      <c r="F571" t="inlineStr">
        <is>
          <t>Holmen skog AB</t>
        </is>
      </c>
      <c r="G571" t="n">
        <v>13.2</v>
      </c>
      <c r="H571" t="n">
        <v>0</v>
      </c>
      <c r="I571" t="n">
        <v>0</v>
      </c>
      <c r="J571" t="n">
        <v>0</v>
      </c>
      <c r="K571" t="n">
        <v>0</v>
      </c>
      <c r="L571" t="n">
        <v>0</v>
      </c>
      <c r="M571" t="n">
        <v>0</v>
      </c>
      <c r="N571" t="n">
        <v>0</v>
      </c>
      <c r="O571" t="n">
        <v>0</v>
      </c>
      <c r="P571" t="n">
        <v>0</v>
      </c>
      <c r="Q571" t="n">
        <v>0</v>
      </c>
      <c r="R571" s="2" t="inlineStr"/>
      <c r="U571">
        <f>HYPERLINK("https://klasma.github.io/Logging_2361/knärot/A 42773-2025 karta knärot.png", "A 42773-2025")</f>
        <v/>
      </c>
      <c r="V571">
        <f>HYPERLINK("https://klasma.github.io/Logging_2361/klagomål/A 42773-2025 FSC-klagomål.docx", "A 42773-2025")</f>
        <v/>
      </c>
      <c r="W571">
        <f>HYPERLINK("https://klasma.github.io/Logging_2361/klagomålsmail/A 42773-2025 FSC-klagomål mail.docx", "A 42773-2025")</f>
        <v/>
      </c>
      <c r="X571">
        <f>HYPERLINK("https://klasma.github.io/Logging_2361/tillsyn/A 42773-2025 tillsynsbegäran.docx", "A 42773-2025")</f>
        <v/>
      </c>
      <c r="Y571">
        <f>HYPERLINK("https://klasma.github.io/Logging_2361/tillsynsmail/A 42773-2025 tillsynsbegäran mail.docx", "A 42773-2025")</f>
        <v/>
      </c>
    </row>
    <row r="572" ht="15" customHeight="1">
      <c r="A572" t="inlineStr">
        <is>
          <t>A 42816-2025</t>
        </is>
      </c>
      <c r="B572" s="1" t="n">
        <v>45908.56461805556</v>
      </c>
      <c r="C572" s="1" t="n">
        <v>45987</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30742-2024</t>
        </is>
      </c>
      <c r="B573" s="1" t="n">
        <v>45496.66903935185</v>
      </c>
      <c r="C573" s="1" t="n">
        <v>45987</v>
      </c>
      <c r="D573" t="inlineStr">
        <is>
          <t>JÄMTLANDS LÄN</t>
        </is>
      </c>
      <c r="E573" t="inlineStr">
        <is>
          <t>HÄRJEDALEN</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51270-2025</t>
        </is>
      </c>
      <c r="B574" s="1" t="n">
        <v>45949.84528935186</v>
      </c>
      <c r="C574" s="1" t="n">
        <v>45987</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42605-2025</t>
        </is>
      </c>
      <c r="B575" s="1" t="n">
        <v>45905.67454861111</v>
      </c>
      <c r="C575" s="1" t="n">
        <v>45987</v>
      </c>
      <c r="D575" t="inlineStr">
        <is>
          <t>JÄMTLANDS LÄN</t>
        </is>
      </c>
      <c r="E575" t="inlineStr">
        <is>
          <t>HÄRJEDALEN</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29927-2025</t>
        </is>
      </c>
      <c r="B576" s="1" t="n">
        <v>45826.43267361111</v>
      </c>
      <c r="C576" s="1" t="n">
        <v>45987</v>
      </c>
      <c r="D576" t="inlineStr">
        <is>
          <t>JÄMTLANDS LÄN</t>
        </is>
      </c>
      <c r="E576" t="inlineStr">
        <is>
          <t>HÄRJEDALEN</t>
        </is>
      </c>
      <c r="F576" t="inlineStr">
        <is>
          <t>Bergvik skog väst AB</t>
        </is>
      </c>
      <c r="G576" t="n">
        <v>12.8</v>
      </c>
      <c r="H576" t="n">
        <v>0</v>
      </c>
      <c r="I576" t="n">
        <v>0</v>
      </c>
      <c r="J576" t="n">
        <v>0</v>
      </c>
      <c r="K576" t="n">
        <v>0</v>
      </c>
      <c r="L576" t="n">
        <v>0</v>
      </c>
      <c r="M576" t="n">
        <v>0</v>
      </c>
      <c r="N576" t="n">
        <v>0</v>
      </c>
      <c r="O576" t="n">
        <v>0</v>
      </c>
      <c r="P576" t="n">
        <v>0</v>
      </c>
      <c r="Q576" t="n">
        <v>0</v>
      </c>
      <c r="R576" s="2" t="inlineStr"/>
    </row>
    <row r="577" ht="15" customHeight="1">
      <c r="A577" t="inlineStr">
        <is>
          <t>A 42333-2024</t>
        </is>
      </c>
      <c r="B577" s="1" t="n">
        <v>45562.65759259259</v>
      </c>
      <c r="C577" s="1" t="n">
        <v>45987</v>
      </c>
      <c r="D577" t="inlineStr">
        <is>
          <t>JÄMTLANDS LÄN</t>
        </is>
      </c>
      <c r="E577" t="inlineStr">
        <is>
          <t>HÄRJEDALEN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51016-2025</t>
        </is>
      </c>
      <c r="B578" s="1" t="n">
        <v>45947.3843287037</v>
      </c>
      <c r="C578" s="1" t="n">
        <v>45987</v>
      </c>
      <c r="D578" t="inlineStr">
        <is>
          <t>JÄMTLANDS LÄN</t>
        </is>
      </c>
      <c r="E578" t="inlineStr">
        <is>
          <t>HÄRJEDALEN</t>
        </is>
      </c>
      <c r="F578" t="inlineStr">
        <is>
          <t>Bergvik skog väst AB</t>
        </is>
      </c>
      <c r="G578" t="n">
        <v>19.1</v>
      </c>
      <c r="H578" t="n">
        <v>0</v>
      </c>
      <c r="I578" t="n">
        <v>0</v>
      </c>
      <c r="J578" t="n">
        <v>0</v>
      </c>
      <c r="K578" t="n">
        <v>0</v>
      </c>
      <c r="L578" t="n">
        <v>0</v>
      </c>
      <c r="M578" t="n">
        <v>0</v>
      </c>
      <c r="N578" t="n">
        <v>0</v>
      </c>
      <c r="O578" t="n">
        <v>0</v>
      </c>
      <c r="P578" t="n">
        <v>0</v>
      </c>
      <c r="Q578" t="n">
        <v>0</v>
      </c>
      <c r="R578" s="2" t="inlineStr"/>
    </row>
    <row r="579" ht="15" customHeight="1">
      <c r="A579" t="inlineStr">
        <is>
          <t>A 30255-2025</t>
        </is>
      </c>
      <c r="B579" s="1" t="n">
        <v>45827.42467592593</v>
      </c>
      <c r="C579" s="1" t="n">
        <v>45987</v>
      </c>
      <c r="D579" t="inlineStr">
        <is>
          <t>JÄMTLANDS LÄN</t>
        </is>
      </c>
      <c r="E579" t="inlineStr">
        <is>
          <t>HÄRJEDALEN</t>
        </is>
      </c>
      <c r="F579" t="inlineStr">
        <is>
          <t>Holmen skog AB</t>
        </is>
      </c>
      <c r="G579" t="n">
        <v>2.3</v>
      </c>
      <c r="H579" t="n">
        <v>0</v>
      </c>
      <c r="I579" t="n">
        <v>0</v>
      </c>
      <c r="J579" t="n">
        <v>0</v>
      </c>
      <c r="K579" t="n">
        <v>0</v>
      </c>
      <c r="L579" t="n">
        <v>0</v>
      </c>
      <c r="M579" t="n">
        <v>0</v>
      </c>
      <c r="N579" t="n">
        <v>0</v>
      </c>
      <c r="O579" t="n">
        <v>0</v>
      </c>
      <c r="P579" t="n">
        <v>0</v>
      </c>
      <c r="Q579" t="n">
        <v>0</v>
      </c>
      <c r="R579" s="2" t="inlineStr"/>
    </row>
    <row r="580" ht="15" customHeight="1">
      <c r="A580" t="inlineStr">
        <is>
          <t>A 58404-2024</t>
        </is>
      </c>
      <c r="B580" s="1" t="n">
        <v>45634.65831018519</v>
      </c>
      <c r="C580" s="1" t="n">
        <v>45987</v>
      </c>
      <c r="D580" t="inlineStr">
        <is>
          <t>JÄMTLANDS LÄN</t>
        </is>
      </c>
      <c r="E580" t="inlineStr">
        <is>
          <t>HÄRJEDALEN</t>
        </is>
      </c>
      <c r="G580" t="n">
        <v>3.9</v>
      </c>
      <c r="H580" t="n">
        <v>0</v>
      </c>
      <c r="I580" t="n">
        <v>0</v>
      </c>
      <c r="J580" t="n">
        <v>0</v>
      </c>
      <c r="K580" t="n">
        <v>0</v>
      </c>
      <c r="L580" t="n">
        <v>0</v>
      </c>
      <c r="M580" t="n">
        <v>0</v>
      </c>
      <c r="N580" t="n">
        <v>0</v>
      </c>
      <c r="O580" t="n">
        <v>0</v>
      </c>
      <c r="P580" t="n">
        <v>0</v>
      </c>
      <c r="Q580" t="n">
        <v>0</v>
      </c>
      <c r="R580" s="2" t="inlineStr"/>
    </row>
    <row r="581" ht="15" customHeight="1">
      <c r="A581" t="inlineStr">
        <is>
          <t>A 20935-2023</t>
        </is>
      </c>
      <c r="B581" s="1" t="n">
        <v>45061.36835648148</v>
      </c>
      <c r="C581" s="1" t="n">
        <v>45987</v>
      </c>
      <c r="D581" t="inlineStr">
        <is>
          <t>JÄMTLANDS LÄN</t>
        </is>
      </c>
      <c r="E581" t="inlineStr">
        <is>
          <t>HÄRJEDALEN</t>
        </is>
      </c>
      <c r="G581" t="n">
        <v>7.3</v>
      </c>
      <c r="H581" t="n">
        <v>0</v>
      </c>
      <c r="I581" t="n">
        <v>0</v>
      </c>
      <c r="J581" t="n">
        <v>0</v>
      </c>
      <c r="K581" t="n">
        <v>0</v>
      </c>
      <c r="L581" t="n">
        <v>0</v>
      </c>
      <c r="M581" t="n">
        <v>0</v>
      </c>
      <c r="N581" t="n">
        <v>0</v>
      </c>
      <c r="O581" t="n">
        <v>0</v>
      </c>
      <c r="P581" t="n">
        <v>0</v>
      </c>
      <c r="Q581" t="n">
        <v>0</v>
      </c>
      <c r="R581" s="2" t="inlineStr"/>
    </row>
    <row r="582" ht="15" customHeight="1">
      <c r="A582" t="inlineStr">
        <is>
          <t>A 51082-2025</t>
        </is>
      </c>
      <c r="B582" s="1" t="n">
        <v>45947</v>
      </c>
      <c r="C582" s="1" t="n">
        <v>45987</v>
      </c>
      <c r="D582" t="inlineStr">
        <is>
          <t>JÄMTLANDS LÄN</t>
        </is>
      </c>
      <c r="E582" t="inlineStr">
        <is>
          <t>HÄRJEDALEN</t>
        </is>
      </c>
      <c r="F582" t="inlineStr">
        <is>
          <t>Bergvik skog väst AB</t>
        </is>
      </c>
      <c r="G582" t="n">
        <v>26.4</v>
      </c>
      <c r="H582" t="n">
        <v>0</v>
      </c>
      <c r="I582" t="n">
        <v>0</v>
      </c>
      <c r="J582" t="n">
        <v>0</v>
      </c>
      <c r="K582" t="n">
        <v>0</v>
      </c>
      <c r="L582" t="n">
        <v>0</v>
      </c>
      <c r="M582" t="n">
        <v>0</v>
      </c>
      <c r="N582" t="n">
        <v>0</v>
      </c>
      <c r="O582" t="n">
        <v>0</v>
      </c>
      <c r="P582" t="n">
        <v>0</v>
      </c>
      <c r="Q582" t="n">
        <v>0</v>
      </c>
      <c r="R582" s="2" t="inlineStr"/>
    </row>
    <row r="583" ht="15" customHeight="1">
      <c r="A583" t="inlineStr">
        <is>
          <t>A 30363-2025</t>
        </is>
      </c>
      <c r="B583" s="1" t="n">
        <v>45827</v>
      </c>
      <c r="C583" s="1" t="n">
        <v>45987</v>
      </c>
      <c r="D583" t="inlineStr">
        <is>
          <t>JÄMTLANDS LÄN</t>
        </is>
      </c>
      <c r="E583" t="inlineStr">
        <is>
          <t>HÄRJEDALEN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30251-2025</t>
        </is>
      </c>
      <c r="B584" s="1" t="n">
        <v>45827.41753472222</v>
      </c>
      <c r="C584" s="1" t="n">
        <v>45987</v>
      </c>
      <c r="D584" t="inlineStr">
        <is>
          <t>JÄMTLANDS LÄN</t>
        </is>
      </c>
      <c r="E584" t="inlineStr">
        <is>
          <t>HÄRJEDALEN</t>
        </is>
      </c>
      <c r="F584" t="inlineStr">
        <is>
          <t>Bergvik skog väst AB</t>
        </is>
      </c>
      <c r="G584" t="n">
        <v>32.1</v>
      </c>
      <c r="H584" t="n">
        <v>0</v>
      </c>
      <c r="I584" t="n">
        <v>0</v>
      </c>
      <c r="J584" t="n">
        <v>0</v>
      </c>
      <c r="K584" t="n">
        <v>0</v>
      </c>
      <c r="L584" t="n">
        <v>0</v>
      </c>
      <c r="M584" t="n">
        <v>0</v>
      </c>
      <c r="N584" t="n">
        <v>0</v>
      </c>
      <c r="O584" t="n">
        <v>0</v>
      </c>
      <c r="P584" t="n">
        <v>0</v>
      </c>
      <c r="Q584" t="n">
        <v>0</v>
      </c>
      <c r="R584" s="2" t="inlineStr"/>
    </row>
    <row r="585" ht="15" customHeight="1">
      <c r="A585" t="inlineStr">
        <is>
          <t>A 12677-2025</t>
        </is>
      </c>
      <c r="B585" s="1" t="n">
        <v>45733.43663194445</v>
      </c>
      <c r="C585" s="1" t="n">
        <v>45987</v>
      </c>
      <c r="D585" t="inlineStr">
        <is>
          <t>JÄMTLANDS LÄN</t>
        </is>
      </c>
      <c r="E585" t="inlineStr">
        <is>
          <t>HÄRJEDALEN</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10015-2023</t>
        </is>
      </c>
      <c r="B586" s="1" t="n">
        <v>44985</v>
      </c>
      <c r="C586" s="1" t="n">
        <v>45987</v>
      </c>
      <c r="D586" t="inlineStr">
        <is>
          <t>JÄMTLANDS LÄN</t>
        </is>
      </c>
      <c r="E586" t="inlineStr">
        <is>
          <t>HÄRJEDALEN</t>
        </is>
      </c>
      <c r="F586" t="inlineStr">
        <is>
          <t>Holmen skog AB</t>
        </is>
      </c>
      <c r="G586" t="n">
        <v>3.2</v>
      </c>
      <c r="H586" t="n">
        <v>0</v>
      </c>
      <c r="I586" t="n">
        <v>0</v>
      </c>
      <c r="J586" t="n">
        <v>0</v>
      </c>
      <c r="K586" t="n">
        <v>0</v>
      </c>
      <c r="L586" t="n">
        <v>0</v>
      </c>
      <c r="M586" t="n">
        <v>0</v>
      </c>
      <c r="N586" t="n">
        <v>0</v>
      </c>
      <c r="O586" t="n">
        <v>0</v>
      </c>
      <c r="P586" t="n">
        <v>0</v>
      </c>
      <c r="Q586" t="n">
        <v>0</v>
      </c>
      <c r="R586" s="2" t="inlineStr"/>
    </row>
    <row r="587" ht="15" customHeight="1">
      <c r="A587" t="inlineStr">
        <is>
          <t>A 55219-2021</t>
        </is>
      </c>
      <c r="B587" s="1" t="n">
        <v>44475</v>
      </c>
      <c r="C587" s="1" t="n">
        <v>45987</v>
      </c>
      <c r="D587" t="inlineStr">
        <is>
          <t>JÄMTLANDS LÄN</t>
        </is>
      </c>
      <c r="E587" t="inlineStr">
        <is>
          <t>HÄRJEDALEN</t>
        </is>
      </c>
      <c r="G587" t="n">
        <v>2.5</v>
      </c>
      <c r="H587" t="n">
        <v>0</v>
      </c>
      <c r="I587" t="n">
        <v>0</v>
      </c>
      <c r="J587" t="n">
        <v>0</v>
      </c>
      <c r="K587" t="n">
        <v>0</v>
      </c>
      <c r="L587" t="n">
        <v>0</v>
      </c>
      <c r="M587" t="n">
        <v>0</v>
      </c>
      <c r="N587" t="n">
        <v>0</v>
      </c>
      <c r="O587" t="n">
        <v>0</v>
      </c>
      <c r="P587" t="n">
        <v>0</v>
      </c>
      <c r="Q587" t="n">
        <v>0</v>
      </c>
      <c r="R587" s="2" t="inlineStr"/>
    </row>
    <row r="588" ht="15" customHeight="1">
      <c r="A588" t="inlineStr">
        <is>
          <t>A 45123-2024</t>
        </is>
      </c>
      <c r="B588" s="1" t="n">
        <v>45575.6125925926</v>
      </c>
      <c r="C588" s="1" t="n">
        <v>45987</v>
      </c>
      <c r="D588" t="inlineStr">
        <is>
          <t>JÄMTLANDS LÄN</t>
        </is>
      </c>
      <c r="E588" t="inlineStr">
        <is>
          <t>HÄRJEDALEN</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42745-2025</t>
        </is>
      </c>
      <c r="B589" s="1" t="n">
        <v>45908.43237268519</v>
      </c>
      <c r="C589" s="1" t="n">
        <v>45987</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67180-2020</t>
        </is>
      </c>
      <c r="B590" s="1" t="n">
        <v>44180</v>
      </c>
      <c r="C590" s="1" t="n">
        <v>45987</v>
      </c>
      <c r="D590" t="inlineStr">
        <is>
          <t>JÄMTLANDS LÄN</t>
        </is>
      </c>
      <c r="E590" t="inlineStr">
        <is>
          <t>HÄRJEDALEN</t>
        </is>
      </c>
      <c r="G590" t="n">
        <v>0</v>
      </c>
      <c r="H590" t="n">
        <v>0</v>
      </c>
      <c r="I590" t="n">
        <v>0</v>
      </c>
      <c r="J590" t="n">
        <v>0</v>
      </c>
      <c r="K590" t="n">
        <v>0</v>
      </c>
      <c r="L590" t="n">
        <v>0</v>
      </c>
      <c r="M590" t="n">
        <v>0</v>
      </c>
      <c r="N590" t="n">
        <v>0</v>
      </c>
      <c r="O590" t="n">
        <v>0</v>
      </c>
      <c r="P590" t="n">
        <v>0</v>
      </c>
      <c r="Q590" t="n">
        <v>0</v>
      </c>
      <c r="R590" s="2" t="inlineStr"/>
    </row>
    <row r="591" ht="15" customHeight="1">
      <c r="A591" t="inlineStr">
        <is>
          <t>A 42815-2025</t>
        </is>
      </c>
      <c r="B591" s="1" t="n">
        <v>45908.56354166667</v>
      </c>
      <c r="C591" s="1" t="n">
        <v>45987</v>
      </c>
      <c r="D591" t="inlineStr">
        <is>
          <t>JÄMTLANDS LÄN</t>
        </is>
      </c>
      <c r="E591" t="inlineStr">
        <is>
          <t>HÄRJEDALEN</t>
        </is>
      </c>
      <c r="G591" t="n">
        <v>2.7</v>
      </c>
      <c r="H591" t="n">
        <v>0</v>
      </c>
      <c r="I591" t="n">
        <v>0</v>
      </c>
      <c r="J591" t="n">
        <v>0</v>
      </c>
      <c r="K591" t="n">
        <v>0</v>
      </c>
      <c r="L591" t="n">
        <v>0</v>
      </c>
      <c r="M591" t="n">
        <v>0</v>
      </c>
      <c r="N591" t="n">
        <v>0</v>
      </c>
      <c r="O591" t="n">
        <v>0</v>
      </c>
      <c r="P591" t="n">
        <v>0</v>
      </c>
      <c r="Q591" t="n">
        <v>0</v>
      </c>
      <c r="R591" s="2" t="inlineStr"/>
    </row>
    <row r="592" ht="15" customHeight="1">
      <c r="A592" t="inlineStr">
        <is>
          <t>A 49319-2024</t>
        </is>
      </c>
      <c r="B592" s="1" t="n">
        <v>45595.5666550926</v>
      </c>
      <c r="C592" s="1" t="n">
        <v>45987</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31148-2025</t>
        </is>
      </c>
      <c r="B593" s="1" t="n">
        <v>45832.64047453704</v>
      </c>
      <c r="C593" s="1" t="n">
        <v>45987</v>
      </c>
      <c r="D593" t="inlineStr">
        <is>
          <t>JÄMTLANDS LÄN</t>
        </is>
      </c>
      <c r="E593" t="inlineStr">
        <is>
          <t>HÄRJEDALEN</t>
        </is>
      </c>
      <c r="G593" t="n">
        <v>3.9</v>
      </c>
      <c r="H593" t="n">
        <v>0</v>
      </c>
      <c r="I593" t="n">
        <v>0</v>
      </c>
      <c r="J593" t="n">
        <v>0</v>
      </c>
      <c r="K593" t="n">
        <v>0</v>
      </c>
      <c r="L593" t="n">
        <v>0</v>
      </c>
      <c r="M593" t="n">
        <v>0</v>
      </c>
      <c r="N593" t="n">
        <v>0</v>
      </c>
      <c r="O593" t="n">
        <v>0</v>
      </c>
      <c r="P593" t="n">
        <v>0</v>
      </c>
      <c r="Q593" t="n">
        <v>0</v>
      </c>
      <c r="R593" s="2" t="inlineStr"/>
    </row>
    <row r="594" ht="15" customHeight="1">
      <c r="A594" t="inlineStr">
        <is>
          <t>A 31096-2025</t>
        </is>
      </c>
      <c r="B594" s="1" t="n">
        <v>45831</v>
      </c>
      <c r="C594" s="1" t="n">
        <v>45987</v>
      </c>
      <c r="D594" t="inlineStr">
        <is>
          <t>JÄMTLANDS LÄN</t>
        </is>
      </c>
      <c r="E594" t="inlineStr">
        <is>
          <t>HÄRJEDALEN</t>
        </is>
      </c>
      <c r="F594" t="inlineStr">
        <is>
          <t>Bergvik skog väst AB</t>
        </is>
      </c>
      <c r="G594" t="n">
        <v>11.4</v>
      </c>
      <c r="H594" t="n">
        <v>0</v>
      </c>
      <c r="I594" t="n">
        <v>0</v>
      </c>
      <c r="J594" t="n">
        <v>0</v>
      </c>
      <c r="K594" t="n">
        <v>0</v>
      </c>
      <c r="L594" t="n">
        <v>0</v>
      </c>
      <c r="M594" t="n">
        <v>0</v>
      </c>
      <c r="N594" t="n">
        <v>0</v>
      </c>
      <c r="O594" t="n">
        <v>0</v>
      </c>
      <c r="P594" t="n">
        <v>0</v>
      </c>
      <c r="Q594" t="n">
        <v>0</v>
      </c>
      <c r="R594" s="2" t="inlineStr"/>
    </row>
    <row r="595" ht="15" customHeight="1">
      <c r="A595" t="inlineStr">
        <is>
          <t>A 28906-2025</t>
        </is>
      </c>
      <c r="B595" s="1" t="n">
        <v>45820.64821759259</v>
      </c>
      <c r="C595" s="1" t="n">
        <v>45987</v>
      </c>
      <c r="D595" t="inlineStr">
        <is>
          <t>JÄMTLANDS LÄN</t>
        </is>
      </c>
      <c r="E595" t="inlineStr">
        <is>
          <t>HÄRJEDALEN</t>
        </is>
      </c>
      <c r="G595" t="n">
        <v>29.4</v>
      </c>
      <c r="H595" t="n">
        <v>0</v>
      </c>
      <c r="I595" t="n">
        <v>0</v>
      </c>
      <c r="J595" t="n">
        <v>0</v>
      </c>
      <c r="K595" t="n">
        <v>0</v>
      </c>
      <c r="L595" t="n">
        <v>0</v>
      </c>
      <c r="M595" t="n">
        <v>0</v>
      </c>
      <c r="N595" t="n">
        <v>0</v>
      </c>
      <c r="O595" t="n">
        <v>0</v>
      </c>
      <c r="P595" t="n">
        <v>0</v>
      </c>
      <c r="Q595" t="n">
        <v>0</v>
      </c>
      <c r="R595" s="2" t="inlineStr"/>
    </row>
    <row r="596" ht="15" customHeight="1">
      <c r="A596" t="inlineStr">
        <is>
          <t>A 42805-2025</t>
        </is>
      </c>
      <c r="B596" s="1" t="n">
        <v>45908.54806712963</v>
      </c>
      <c r="C596" s="1" t="n">
        <v>45987</v>
      </c>
      <c r="D596" t="inlineStr">
        <is>
          <t>JÄMTLANDS LÄN</t>
        </is>
      </c>
      <c r="E596" t="inlineStr">
        <is>
          <t>HÄRJEDALEN</t>
        </is>
      </c>
      <c r="G596" t="n">
        <v>9.9</v>
      </c>
      <c r="H596" t="n">
        <v>0</v>
      </c>
      <c r="I596" t="n">
        <v>0</v>
      </c>
      <c r="J596" t="n">
        <v>0</v>
      </c>
      <c r="K596" t="n">
        <v>0</v>
      </c>
      <c r="L596" t="n">
        <v>0</v>
      </c>
      <c r="M596" t="n">
        <v>0</v>
      </c>
      <c r="N596" t="n">
        <v>0</v>
      </c>
      <c r="O596" t="n">
        <v>0</v>
      </c>
      <c r="P596" t="n">
        <v>0</v>
      </c>
      <c r="Q596" t="n">
        <v>0</v>
      </c>
      <c r="R596" s="2" t="inlineStr"/>
    </row>
    <row r="597" ht="15" customHeight="1">
      <c r="A597" t="inlineStr">
        <is>
          <t>A 4196-2023</t>
        </is>
      </c>
      <c r="B597" s="1" t="n">
        <v>44953</v>
      </c>
      <c r="C597" s="1" t="n">
        <v>45987</v>
      </c>
      <c r="D597" t="inlineStr">
        <is>
          <t>JÄMTLANDS LÄN</t>
        </is>
      </c>
      <c r="E597" t="inlineStr">
        <is>
          <t>HÄRJEDALEN</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42963-2025</t>
        </is>
      </c>
      <c r="B598" s="1" t="n">
        <v>45909.37046296296</v>
      </c>
      <c r="C598" s="1" t="n">
        <v>45987</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42982-2025</t>
        </is>
      </c>
      <c r="B599" s="1" t="n">
        <v>45909.4393287037</v>
      </c>
      <c r="C599" s="1" t="n">
        <v>45987</v>
      </c>
      <c r="D599" t="inlineStr">
        <is>
          <t>JÄMTLANDS LÄN</t>
        </is>
      </c>
      <c r="E599" t="inlineStr">
        <is>
          <t>HÄRJEDALEN</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31255-2025</t>
        </is>
      </c>
      <c r="B600" s="1" t="n">
        <v>45832</v>
      </c>
      <c r="C600" s="1" t="n">
        <v>45987</v>
      </c>
      <c r="D600" t="inlineStr">
        <is>
          <t>JÄMTLANDS LÄN</t>
        </is>
      </c>
      <c r="E600" t="inlineStr">
        <is>
          <t>HÄRJEDALEN</t>
        </is>
      </c>
      <c r="F600" t="inlineStr">
        <is>
          <t>Bergvik skog väst AB</t>
        </is>
      </c>
      <c r="G600" t="n">
        <v>12.9</v>
      </c>
      <c r="H600" t="n">
        <v>0</v>
      </c>
      <c r="I600" t="n">
        <v>0</v>
      </c>
      <c r="J600" t="n">
        <v>0</v>
      </c>
      <c r="K600" t="n">
        <v>0</v>
      </c>
      <c r="L600" t="n">
        <v>0</v>
      </c>
      <c r="M600" t="n">
        <v>0</v>
      </c>
      <c r="N600" t="n">
        <v>0</v>
      </c>
      <c r="O600" t="n">
        <v>0</v>
      </c>
      <c r="P600" t="n">
        <v>0</v>
      </c>
      <c r="Q600" t="n">
        <v>0</v>
      </c>
      <c r="R600" s="2" t="inlineStr"/>
    </row>
    <row r="601" ht="15" customHeight="1">
      <c r="A601" t="inlineStr">
        <is>
          <t>A 31252-2025</t>
        </is>
      </c>
      <c r="B601" s="1" t="n">
        <v>45832</v>
      </c>
      <c r="C601" s="1" t="n">
        <v>45987</v>
      </c>
      <c r="D601" t="inlineStr">
        <is>
          <t>JÄMTLANDS LÄN</t>
        </is>
      </c>
      <c r="E601" t="inlineStr">
        <is>
          <t>HÄRJEDALEN</t>
        </is>
      </c>
      <c r="F601" t="inlineStr">
        <is>
          <t>Bergvik skog väst AB</t>
        </is>
      </c>
      <c r="G601" t="n">
        <v>8</v>
      </c>
      <c r="H601" t="n">
        <v>0</v>
      </c>
      <c r="I601" t="n">
        <v>0</v>
      </c>
      <c r="J601" t="n">
        <v>0</v>
      </c>
      <c r="K601" t="n">
        <v>0</v>
      </c>
      <c r="L601" t="n">
        <v>0</v>
      </c>
      <c r="M601" t="n">
        <v>0</v>
      </c>
      <c r="N601" t="n">
        <v>0</v>
      </c>
      <c r="O601" t="n">
        <v>0</v>
      </c>
      <c r="P601" t="n">
        <v>0</v>
      </c>
      <c r="Q601" t="n">
        <v>0</v>
      </c>
      <c r="R601" s="2" t="inlineStr"/>
    </row>
    <row r="602" ht="15" customHeight="1">
      <c r="A602" t="inlineStr">
        <is>
          <t>A 30922-2025</t>
        </is>
      </c>
      <c r="B602" s="1" t="n">
        <v>45832.3859837963</v>
      </c>
      <c r="C602" s="1" t="n">
        <v>45987</v>
      </c>
      <c r="D602" t="inlineStr">
        <is>
          <t>JÄMTLANDS LÄN</t>
        </is>
      </c>
      <c r="E602" t="inlineStr">
        <is>
          <t>HÄRJEDALEN</t>
        </is>
      </c>
      <c r="F602" t="inlineStr">
        <is>
          <t>SCA</t>
        </is>
      </c>
      <c r="G602" t="n">
        <v>17.7</v>
      </c>
      <c r="H602" t="n">
        <v>0</v>
      </c>
      <c r="I602" t="n">
        <v>0</v>
      </c>
      <c r="J602" t="n">
        <v>0</v>
      </c>
      <c r="K602" t="n">
        <v>0</v>
      </c>
      <c r="L602" t="n">
        <v>0</v>
      </c>
      <c r="M602" t="n">
        <v>0</v>
      </c>
      <c r="N602" t="n">
        <v>0</v>
      </c>
      <c r="O602" t="n">
        <v>0</v>
      </c>
      <c r="P602" t="n">
        <v>0</v>
      </c>
      <c r="Q602" t="n">
        <v>0</v>
      </c>
      <c r="R602" s="2" t="inlineStr"/>
    </row>
    <row r="603" ht="15" customHeight="1">
      <c r="A603" t="inlineStr">
        <is>
          <t>A 31253-2025</t>
        </is>
      </c>
      <c r="B603" s="1" t="n">
        <v>45832</v>
      </c>
      <c r="C603" s="1" t="n">
        <v>45987</v>
      </c>
      <c r="D603" t="inlineStr">
        <is>
          <t>JÄMTLANDS LÄN</t>
        </is>
      </c>
      <c r="E603" t="inlineStr">
        <is>
          <t>HÄRJEDALEN</t>
        </is>
      </c>
      <c r="F603" t="inlineStr">
        <is>
          <t>Bergvik skog väst AB</t>
        </is>
      </c>
      <c r="G603" t="n">
        <v>24.9</v>
      </c>
      <c r="H603" t="n">
        <v>0</v>
      </c>
      <c r="I603" t="n">
        <v>0</v>
      </c>
      <c r="J603" t="n">
        <v>0</v>
      </c>
      <c r="K603" t="n">
        <v>0</v>
      </c>
      <c r="L603" t="n">
        <v>0</v>
      </c>
      <c r="M603" t="n">
        <v>0</v>
      </c>
      <c r="N603" t="n">
        <v>0</v>
      </c>
      <c r="O603" t="n">
        <v>0</v>
      </c>
      <c r="P603" t="n">
        <v>0</v>
      </c>
      <c r="Q603" t="n">
        <v>0</v>
      </c>
      <c r="R603" s="2" t="inlineStr"/>
    </row>
    <row r="604" ht="15" customHeight="1">
      <c r="A604" t="inlineStr">
        <is>
          <t>A 43323-2025</t>
        </is>
      </c>
      <c r="B604" s="1" t="n">
        <v>45910.66498842592</v>
      </c>
      <c r="C604" s="1" t="n">
        <v>45987</v>
      </c>
      <c r="D604" t="inlineStr">
        <is>
          <t>JÄMTLANDS LÄN</t>
        </is>
      </c>
      <c r="E604" t="inlineStr">
        <is>
          <t>HÄRJEDALEN</t>
        </is>
      </c>
      <c r="F604" t="inlineStr">
        <is>
          <t>Sveaskog</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69271-2021</t>
        </is>
      </c>
      <c r="B605" s="1" t="n">
        <v>44531.43927083333</v>
      </c>
      <c r="C605" s="1" t="n">
        <v>45987</v>
      </c>
      <c r="D605" t="inlineStr">
        <is>
          <t>JÄMTLANDS LÄN</t>
        </is>
      </c>
      <c r="E605" t="inlineStr">
        <is>
          <t>HÄRJEDALEN</t>
        </is>
      </c>
      <c r="F605" t="inlineStr">
        <is>
          <t>Bergvik skog väst AB</t>
        </is>
      </c>
      <c r="G605" t="n">
        <v>6.3</v>
      </c>
      <c r="H605" t="n">
        <v>0</v>
      </c>
      <c r="I605" t="n">
        <v>0</v>
      </c>
      <c r="J605" t="n">
        <v>0</v>
      </c>
      <c r="K605" t="n">
        <v>0</v>
      </c>
      <c r="L605" t="n">
        <v>0</v>
      </c>
      <c r="M605" t="n">
        <v>0</v>
      </c>
      <c r="N605" t="n">
        <v>0</v>
      </c>
      <c r="O605" t="n">
        <v>0</v>
      </c>
      <c r="P605" t="n">
        <v>0</v>
      </c>
      <c r="Q605" t="n">
        <v>0</v>
      </c>
      <c r="R605" s="2" t="inlineStr"/>
    </row>
    <row r="606" ht="15" customHeight="1">
      <c r="A606" t="inlineStr">
        <is>
          <t>A 48669-2023</t>
        </is>
      </c>
      <c r="B606" s="1" t="n">
        <v>45203</v>
      </c>
      <c r="C606" s="1" t="n">
        <v>45987</v>
      </c>
      <c r="D606" t="inlineStr">
        <is>
          <t>JÄMTLANDS LÄN</t>
        </is>
      </c>
      <c r="E606" t="inlineStr">
        <is>
          <t>HÄRJEDALEN</t>
        </is>
      </c>
      <c r="G606" t="n">
        <v>4</v>
      </c>
      <c r="H606" t="n">
        <v>0</v>
      </c>
      <c r="I606" t="n">
        <v>0</v>
      </c>
      <c r="J606" t="n">
        <v>0</v>
      </c>
      <c r="K606" t="n">
        <v>0</v>
      </c>
      <c r="L606" t="n">
        <v>0</v>
      </c>
      <c r="M606" t="n">
        <v>0</v>
      </c>
      <c r="N606" t="n">
        <v>0</v>
      </c>
      <c r="O606" t="n">
        <v>0</v>
      </c>
      <c r="P606" t="n">
        <v>0</v>
      </c>
      <c r="Q606" t="n">
        <v>0</v>
      </c>
      <c r="R606" s="2" t="inlineStr"/>
    </row>
    <row r="607" ht="15" customHeight="1">
      <c r="A607" t="inlineStr">
        <is>
          <t>A 48708-2023</t>
        </is>
      </c>
      <c r="B607" s="1" t="n">
        <v>45208</v>
      </c>
      <c r="C607" s="1" t="n">
        <v>45987</v>
      </c>
      <c r="D607" t="inlineStr">
        <is>
          <t>JÄMTLANDS LÄN</t>
        </is>
      </c>
      <c r="E607" t="inlineStr">
        <is>
          <t>HÄRJEDALEN</t>
        </is>
      </c>
      <c r="G607" t="n">
        <v>0.5</v>
      </c>
      <c r="H607" t="n">
        <v>0</v>
      </c>
      <c r="I607" t="n">
        <v>0</v>
      </c>
      <c r="J607" t="n">
        <v>0</v>
      </c>
      <c r="K607" t="n">
        <v>0</v>
      </c>
      <c r="L607" t="n">
        <v>0</v>
      </c>
      <c r="M607" t="n">
        <v>0</v>
      </c>
      <c r="N607" t="n">
        <v>0</v>
      </c>
      <c r="O607" t="n">
        <v>0</v>
      </c>
      <c r="P607" t="n">
        <v>0</v>
      </c>
      <c r="Q607" t="n">
        <v>0</v>
      </c>
      <c r="R607" s="2" t="inlineStr"/>
    </row>
    <row r="608" ht="15" customHeight="1">
      <c r="A608" t="inlineStr">
        <is>
          <t>A 20103-2025</t>
        </is>
      </c>
      <c r="B608" s="1" t="n">
        <v>45772.46951388889</v>
      </c>
      <c r="C608" s="1" t="n">
        <v>45987</v>
      </c>
      <c r="D608" t="inlineStr">
        <is>
          <t>JÄMTLANDS LÄN</t>
        </is>
      </c>
      <c r="E608" t="inlineStr">
        <is>
          <t>HÄRJEDALEN</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31772-2025</t>
        </is>
      </c>
      <c r="B609" s="1" t="n">
        <v>45834.51079861111</v>
      </c>
      <c r="C609" s="1" t="n">
        <v>45987</v>
      </c>
      <c r="D609" t="inlineStr">
        <is>
          <t>JÄMTLANDS LÄN</t>
        </is>
      </c>
      <c r="E609" t="inlineStr">
        <is>
          <t>HÄRJEDALEN</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42943-2025</t>
        </is>
      </c>
      <c r="B610" s="1" t="n">
        <v>45909</v>
      </c>
      <c r="C610" s="1" t="n">
        <v>45987</v>
      </c>
      <c r="D610" t="inlineStr">
        <is>
          <t>JÄMTLANDS LÄN</t>
        </is>
      </c>
      <c r="E610" t="inlineStr">
        <is>
          <t>HÄRJEDALEN</t>
        </is>
      </c>
      <c r="F610" t="inlineStr">
        <is>
          <t>Bergvik skog väst AB</t>
        </is>
      </c>
      <c r="G610" t="n">
        <v>10.4</v>
      </c>
      <c r="H610" t="n">
        <v>0</v>
      </c>
      <c r="I610" t="n">
        <v>0</v>
      </c>
      <c r="J610" t="n">
        <v>0</v>
      </c>
      <c r="K610" t="n">
        <v>0</v>
      </c>
      <c r="L610" t="n">
        <v>0</v>
      </c>
      <c r="M610" t="n">
        <v>0</v>
      </c>
      <c r="N610" t="n">
        <v>0</v>
      </c>
      <c r="O610" t="n">
        <v>0</v>
      </c>
      <c r="P610" t="n">
        <v>0</v>
      </c>
      <c r="Q610" t="n">
        <v>0</v>
      </c>
      <c r="R610" s="2" t="inlineStr"/>
    </row>
    <row r="611" ht="15" customHeight="1">
      <c r="A611" t="inlineStr">
        <is>
          <t>A 31910-2025</t>
        </is>
      </c>
      <c r="B611" s="1" t="n">
        <v>45834.69577546296</v>
      </c>
      <c r="C611" s="1" t="n">
        <v>45987</v>
      </c>
      <c r="D611" t="inlineStr">
        <is>
          <t>JÄMTLANDS LÄN</t>
        </is>
      </c>
      <c r="E611" t="inlineStr">
        <is>
          <t>HÄRJEDALEN</t>
        </is>
      </c>
      <c r="G611" t="n">
        <v>0.4</v>
      </c>
      <c r="H611" t="n">
        <v>0</v>
      </c>
      <c r="I611" t="n">
        <v>0</v>
      </c>
      <c r="J611" t="n">
        <v>0</v>
      </c>
      <c r="K611" t="n">
        <v>0</v>
      </c>
      <c r="L611" t="n">
        <v>0</v>
      </c>
      <c r="M611" t="n">
        <v>0</v>
      </c>
      <c r="N611" t="n">
        <v>0</v>
      </c>
      <c r="O611" t="n">
        <v>0</v>
      </c>
      <c r="P611" t="n">
        <v>0</v>
      </c>
      <c r="Q611" t="n">
        <v>0</v>
      </c>
      <c r="R611" s="2" t="inlineStr"/>
    </row>
    <row r="612" ht="15" customHeight="1">
      <c r="A612" t="inlineStr">
        <is>
          <t>A 31915-2025</t>
        </is>
      </c>
      <c r="B612" s="1" t="n">
        <v>45834.71440972222</v>
      </c>
      <c r="C612" s="1" t="n">
        <v>45987</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31498-2025</t>
        </is>
      </c>
      <c r="B613" s="1" t="n">
        <v>45833</v>
      </c>
      <c r="C613" s="1" t="n">
        <v>45987</v>
      </c>
      <c r="D613" t="inlineStr">
        <is>
          <t>JÄMTLANDS LÄN</t>
        </is>
      </c>
      <c r="E613" t="inlineStr">
        <is>
          <t>HÄRJEDALEN</t>
        </is>
      </c>
      <c r="F613" t="inlineStr">
        <is>
          <t>Bergvik skog väst AB</t>
        </is>
      </c>
      <c r="G613" t="n">
        <v>9.6</v>
      </c>
      <c r="H613" t="n">
        <v>0</v>
      </c>
      <c r="I613" t="n">
        <v>0</v>
      </c>
      <c r="J613" t="n">
        <v>0</v>
      </c>
      <c r="K613" t="n">
        <v>0</v>
      </c>
      <c r="L613" t="n">
        <v>0</v>
      </c>
      <c r="M613" t="n">
        <v>0</v>
      </c>
      <c r="N613" t="n">
        <v>0</v>
      </c>
      <c r="O613" t="n">
        <v>0</v>
      </c>
      <c r="P613" t="n">
        <v>0</v>
      </c>
      <c r="Q613" t="n">
        <v>0</v>
      </c>
      <c r="R613" s="2" t="inlineStr"/>
    </row>
    <row r="614" ht="15" customHeight="1">
      <c r="A614" t="inlineStr">
        <is>
          <t>A 31294-2025</t>
        </is>
      </c>
      <c r="B614" s="1" t="n">
        <v>45833.36467592593</v>
      </c>
      <c r="C614" s="1" t="n">
        <v>45987</v>
      </c>
      <c r="D614" t="inlineStr">
        <is>
          <t>JÄMTLANDS LÄN</t>
        </is>
      </c>
      <c r="E614" t="inlineStr">
        <is>
          <t>HÄRJEDALEN</t>
        </is>
      </c>
      <c r="F614" t="inlineStr">
        <is>
          <t>Bergvik skog väst AB</t>
        </is>
      </c>
      <c r="G614" t="n">
        <v>22.1</v>
      </c>
      <c r="H614" t="n">
        <v>0</v>
      </c>
      <c r="I614" t="n">
        <v>0</v>
      </c>
      <c r="J614" t="n">
        <v>0</v>
      </c>
      <c r="K614" t="n">
        <v>0</v>
      </c>
      <c r="L614" t="n">
        <v>0</v>
      </c>
      <c r="M614" t="n">
        <v>0</v>
      </c>
      <c r="N614" t="n">
        <v>0</v>
      </c>
      <c r="O614" t="n">
        <v>0</v>
      </c>
      <c r="P614" t="n">
        <v>0</v>
      </c>
      <c r="Q614" t="n">
        <v>0</v>
      </c>
      <c r="R614" s="2" t="inlineStr"/>
    </row>
    <row r="615" ht="15" customHeight="1">
      <c r="A615" t="inlineStr">
        <is>
          <t>A 31522-2025</t>
        </is>
      </c>
      <c r="B615" s="1" t="n">
        <v>45833.6081712963</v>
      </c>
      <c r="C615" s="1" t="n">
        <v>45987</v>
      </c>
      <c r="D615" t="inlineStr">
        <is>
          <t>JÄMTLANDS LÄN</t>
        </is>
      </c>
      <c r="E615" t="inlineStr">
        <is>
          <t>HÄRJEDALEN</t>
        </is>
      </c>
      <c r="F615" t="inlineStr">
        <is>
          <t>Bergvik skog väst AB</t>
        </is>
      </c>
      <c r="G615" t="n">
        <v>2.8</v>
      </c>
      <c r="H615" t="n">
        <v>0</v>
      </c>
      <c r="I615" t="n">
        <v>0</v>
      </c>
      <c r="J615" t="n">
        <v>0</v>
      </c>
      <c r="K615" t="n">
        <v>0</v>
      </c>
      <c r="L615" t="n">
        <v>0</v>
      </c>
      <c r="M615" t="n">
        <v>0</v>
      </c>
      <c r="N615" t="n">
        <v>0</v>
      </c>
      <c r="O615" t="n">
        <v>0</v>
      </c>
      <c r="P615" t="n">
        <v>0</v>
      </c>
      <c r="Q615" t="n">
        <v>0</v>
      </c>
      <c r="R615" s="2" t="inlineStr"/>
    </row>
    <row r="616" ht="15" customHeight="1">
      <c r="A616" t="inlineStr">
        <is>
          <t>A 31526-2025</t>
        </is>
      </c>
      <c r="B616" s="1" t="n">
        <v>45833</v>
      </c>
      <c r="C616" s="1" t="n">
        <v>45987</v>
      </c>
      <c r="D616" t="inlineStr">
        <is>
          <t>JÄMTLANDS LÄN</t>
        </is>
      </c>
      <c r="E616" t="inlineStr">
        <is>
          <t>HÄRJEDALEN</t>
        </is>
      </c>
      <c r="F616" t="inlineStr">
        <is>
          <t>Bergvik skog väst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31570-2025</t>
        </is>
      </c>
      <c r="B617" s="1" t="n">
        <v>45833</v>
      </c>
      <c r="C617" s="1" t="n">
        <v>45987</v>
      </c>
      <c r="D617" t="inlineStr">
        <is>
          <t>JÄMTLANDS LÄN</t>
        </is>
      </c>
      <c r="E617" t="inlineStr">
        <is>
          <t>HÄRJEDALEN</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31884-2025</t>
        </is>
      </c>
      <c r="B618" s="1" t="n">
        <v>45834.6568287037</v>
      </c>
      <c r="C618" s="1" t="n">
        <v>45987</v>
      </c>
      <c r="D618" t="inlineStr">
        <is>
          <t>JÄMTLANDS LÄN</t>
        </is>
      </c>
      <c r="E618" t="inlineStr">
        <is>
          <t>HÄRJEDALEN</t>
        </is>
      </c>
      <c r="G618" t="n">
        <v>7.9</v>
      </c>
      <c r="H618" t="n">
        <v>0</v>
      </c>
      <c r="I618" t="n">
        <v>0</v>
      </c>
      <c r="J618" t="n">
        <v>0</v>
      </c>
      <c r="K618" t="n">
        <v>0</v>
      </c>
      <c r="L618" t="n">
        <v>0</v>
      </c>
      <c r="M618" t="n">
        <v>0</v>
      </c>
      <c r="N618" t="n">
        <v>0</v>
      </c>
      <c r="O618" t="n">
        <v>0</v>
      </c>
      <c r="P618" t="n">
        <v>0</v>
      </c>
      <c r="Q618" t="n">
        <v>0</v>
      </c>
      <c r="R618" s="2" t="inlineStr"/>
    </row>
    <row r="619" ht="15" customHeight="1">
      <c r="A619" t="inlineStr">
        <is>
          <t>A 31913-2025</t>
        </is>
      </c>
      <c r="B619" s="1" t="n">
        <v>45834.7087962963</v>
      </c>
      <c r="C619" s="1" t="n">
        <v>45987</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43136-2025</t>
        </is>
      </c>
      <c r="B620" s="1" t="n">
        <v>45909.85402777778</v>
      </c>
      <c r="C620" s="1" t="n">
        <v>45987</v>
      </c>
      <c r="D620" t="inlineStr">
        <is>
          <t>JÄMTLANDS LÄN</t>
        </is>
      </c>
      <c r="E620" t="inlineStr">
        <is>
          <t>HÄRJEDALEN</t>
        </is>
      </c>
      <c r="F620" t="inlineStr">
        <is>
          <t>Övriga statliga verk och myndigheter</t>
        </is>
      </c>
      <c r="G620" t="n">
        <v>34.2</v>
      </c>
      <c r="H620" t="n">
        <v>0</v>
      </c>
      <c r="I620" t="n">
        <v>0</v>
      </c>
      <c r="J620" t="n">
        <v>0</v>
      </c>
      <c r="K620" t="n">
        <v>0</v>
      </c>
      <c r="L620" t="n">
        <v>0</v>
      </c>
      <c r="M620" t="n">
        <v>0</v>
      </c>
      <c r="N620" t="n">
        <v>0</v>
      </c>
      <c r="O620" t="n">
        <v>0</v>
      </c>
      <c r="P620" t="n">
        <v>0</v>
      </c>
      <c r="Q620" t="n">
        <v>0</v>
      </c>
      <c r="R620" s="2" t="inlineStr"/>
    </row>
    <row r="621" ht="15" customHeight="1">
      <c r="A621" t="inlineStr">
        <is>
          <t>A 51653-2025</t>
        </is>
      </c>
      <c r="B621" s="1" t="n">
        <v>45951.46152777778</v>
      </c>
      <c r="C621" s="1" t="n">
        <v>45987</v>
      </c>
      <c r="D621" t="inlineStr">
        <is>
          <t>JÄMTLANDS LÄN</t>
        </is>
      </c>
      <c r="E621" t="inlineStr">
        <is>
          <t>HÄRJEDALEN</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36097-2024</t>
        </is>
      </c>
      <c r="B622" s="1" t="n">
        <v>45533.75398148148</v>
      </c>
      <c r="C622" s="1" t="n">
        <v>45987</v>
      </c>
      <c r="D622" t="inlineStr">
        <is>
          <t>JÄMTLANDS LÄN</t>
        </is>
      </c>
      <c r="E622" t="inlineStr">
        <is>
          <t>HÄRJEDALEN</t>
        </is>
      </c>
      <c r="G622" t="n">
        <v>2.9</v>
      </c>
      <c r="H622" t="n">
        <v>0</v>
      </c>
      <c r="I622" t="n">
        <v>0</v>
      </c>
      <c r="J622" t="n">
        <v>0</v>
      </c>
      <c r="K622" t="n">
        <v>0</v>
      </c>
      <c r="L622" t="n">
        <v>0</v>
      </c>
      <c r="M622" t="n">
        <v>0</v>
      </c>
      <c r="N622" t="n">
        <v>0</v>
      </c>
      <c r="O622" t="n">
        <v>0</v>
      </c>
      <c r="P622" t="n">
        <v>0</v>
      </c>
      <c r="Q622" t="n">
        <v>0</v>
      </c>
      <c r="R622" s="2" t="inlineStr"/>
    </row>
    <row r="623" ht="15" customHeight="1">
      <c r="A623" t="inlineStr">
        <is>
          <t>A 52015-2025</t>
        </is>
      </c>
      <c r="B623" s="1" t="n">
        <v>45952.59693287037</v>
      </c>
      <c r="C623" s="1" t="n">
        <v>45987</v>
      </c>
      <c r="D623" t="inlineStr">
        <is>
          <t>JÄMTLANDS LÄN</t>
        </is>
      </c>
      <c r="E623" t="inlineStr">
        <is>
          <t>HÄRJEDALEN</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51931-2025</t>
        </is>
      </c>
      <c r="B624" s="1" t="n">
        <v>45952.50177083333</v>
      </c>
      <c r="C624" s="1" t="n">
        <v>45987</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43517-2025</t>
        </is>
      </c>
      <c r="B625" s="1" t="n">
        <v>45911.5727662037</v>
      </c>
      <c r="C625" s="1" t="n">
        <v>45987</v>
      </c>
      <c r="D625" t="inlineStr">
        <is>
          <t>JÄMTLANDS LÄN</t>
        </is>
      </c>
      <c r="E625" t="inlineStr">
        <is>
          <t>HÄRJEDALEN</t>
        </is>
      </c>
      <c r="F625" t="inlineStr">
        <is>
          <t>Bergvik skog väst AB</t>
        </is>
      </c>
      <c r="G625" t="n">
        <v>6.8</v>
      </c>
      <c r="H625" t="n">
        <v>0</v>
      </c>
      <c r="I625" t="n">
        <v>0</v>
      </c>
      <c r="J625" t="n">
        <v>0</v>
      </c>
      <c r="K625" t="n">
        <v>0</v>
      </c>
      <c r="L625" t="n">
        <v>0</v>
      </c>
      <c r="M625" t="n">
        <v>0</v>
      </c>
      <c r="N625" t="n">
        <v>0</v>
      </c>
      <c r="O625" t="n">
        <v>0</v>
      </c>
      <c r="P625" t="n">
        <v>0</v>
      </c>
      <c r="Q625" t="n">
        <v>0</v>
      </c>
      <c r="R625" s="2" t="inlineStr"/>
    </row>
    <row r="626" ht="15" customHeight="1">
      <c r="A626" t="inlineStr">
        <is>
          <t>A 43470-2025</t>
        </is>
      </c>
      <c r="B626" s="1" t="n">
        <v>45911.48010416667</v>
      </c>
      <c r="C626" s="1" t="n">
        <v>45987</v>
      </c>
      <c r="D626" t="inlineStr">
        <is>
          <t>JÄMTLANDS LÄN</t>
        </is>
      </c>
      <c r="E626" t="inlineStr">
        <is>
          <t>HÄRJEDALEN</t>
        </is>
      </c>
      <c r="G626" t="n">
        <v>10.9</v>
      </c>
      <c r="H626" t="n">
        <v>0</v>
      </c>
      <c r="I626" t="n">
        <v>0</v>
      </c>
      <c r="J626" t="n">
        <v>0</v>
      </c>
      <c r="K626" t="n">
        <v>0</v>
      </c>
      <c r="L626" t="n">
        <v>0</v>
      </c>
      <c r="M626" t="n">
        <v>0</v>
      </c>
      <c r="N626" t="n">
        <v>0</v>
      </c>
      <c r="O626" t="n">
        <v>0</v>
      </c>
      <c r="P626" t="n">
        <v>0</v>
      </c>
      <c r="Q626" t="n">
        <v>0</v>
      </c>
      <c r="R626" s="2" t="inlineStr"/>
    </row>
    <row r="627" ht="15" customHeight="1">
      <c r="A627" t="inlineStr">
        <is>
          <t>A 32180-2025</t>
        </is>
      </c>
      <c r="B627" s="1" t="n">
        <v>45835.55998842593</v>
      </c>
      <c r="C627" s="1" t="n">
        <v>45987</v>
      </c>
      <c r="D627" t="inlineStr">
        <is>
          <t>JÄMTLANDS LÄN</t>
        </is>
      </c>
      <c r="E627" t="inlineStr">
        <is>
          <t>HÄRJEDALEN</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43740-2025</t>
        </is>
      </c>
      <c r="B628" s="1" t="n">
        <v>45912.45496527778</v>
      </c>
      <c r="C628" s="1" t="n">
        <v>45987</v>
      </c>
      <c r="D628" t="inlineStr">
        <is>
          <t>JÄMTLANDS LÄN</t>
        </is>
      </c>
      <c r="E628" t="inlineStr">
        <is>
          <t>HÄRJEDALEN</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7384-2025</t>
        </is>
      </c>
      <c r="B629" s="1" t="n">
        <v>45705.32456018519</v>
      </c>
      <c r="C629" s="1" t="n">
        <v>45987</v>
      </c>
      <c r="D629" t="inlineStr">
        <is>
          <t>JÄMTLANDS LÄN</t>
        </is>
      </c>
      <c r="E629" t="inlineStr">
        <is>
          <t>HÄRJEDALEN</t>
        </is>
      </c>
      <c r="G629" t="n">
        <v>6.4</v>
      </c>
      <c r="H629" t="n">
        <v>0</v>
      </c>
      <c r="I629" t="n">
        <v>0</v>
      </c>
      <c r="J629" t="n">
        <v>0</v>
      </c>
      <c r="K629" t="n">
        <v>0</v>
      </c>
      <c r="L629" t="n">
        <v>0</v>
      </c>
      <c r="M629" t="n">
        <v>0</v>
      </c>
      <c r="N629" t="n">
        <v>0</v>
      </c>
      <c r="O629" t="n">
        <v>0</v>
      </c>
      <c r="P629" t="n">
        <v>0</v>
      </c>
      <c r="Q629" t="n">
        <v>0</v>
      </c>
      <c r="R629" s="2" t="inlineStr"/>
    </row>
    <row r="630" ht="15" customHeight="1">
      <c r="A630" t="inlineStr">
        <is>
          <t>A 31921-2025</t>
        </is>
      </c>
      <c r="B630" s="1" t="n">
        <v>45834.80229166667</v>
      </c>
      <c r="C630" s="1" t="n">
        <v>45987</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52230-2025</t>
        </is>
      </c>
      <c r="B631" s="1" t="n">
        <v>45953</v>
      </c>
      <c r="C631" s="1" t="n">
        <v>45987</v>
      </c>
      <c r="D631" t="inlineStr">
        <is>
          <t>JÄMTLANDS LÄN</t>
        </is>
      </c>
      <c r="E631" t="inlineStr">
        <is>
          <t>HÄRJEDALEN</t>
        </is>
      </c>
      <c r="G631" t="n">
        <v>1.4</v>
      </c>
      <c r="H631" t="n">
        <v>0</v>
      </c>
      <c r="I631" t="n">
        <v>0</v>
      </c>
      <c r="J631" t="n">
        <v>0</v>
      </c>
      <c r="K631" t="n">
        <v>0</v>
      </c>
      <c r="L631" t="n">
        <v>0</v>
      </c>
      <c r="M631" t="n">
        <v>0</v>
      </c>
      <c r="N631" t="n">
        <v>0</v>
      </c>
      <c r="O631" t="n">
        <v>0</v>
      </c>
      <c r="P631" t="n">
        <v>0</v>
      </c>
      <c r="Q631" t="n">
        <v>0</v>
      </c>
      <c r="R631" s="2" t="inlineStr"/>
    </row>
    <row r="632" ht="15" customHeight="1">
      <c r="A632" t="inlineStr">
        <is>
          <t>A 43597-2025</t>
        </is>
      </c>
      <c r="B632" s="1" t="n">
        <v>45911.66243055555</v>
      </c>
      <c r="C632" s="1" t="n">
        <v>45987</v>
      </c>
      <c r="D632" t="inlineStr">
        <is>
          <t>JÄMTLANDS LÄN</t>
        </is>
      </c>
      <c r="E632" t="inlineStr">
        <is>
          <t>HÄRJEDALEN</t>
        </is>
      </c>
      <c r="F632" t="inlineStr">
        <is>
          <t>Bergvik skog väst AB</t>
        </is>
      </c>
      <c r="G632" t="n">
        <v>7</v>
      </c>
      <c r="H632" t="n">
        <v>0</v>
      </c>
      <c r="I632" t="n">
        <v>0</v>
      </c>
      <c r="J632" t="n">
        <v>0</v>
      </c>
      <c r="K632" t="n">
        <v>0</v>
      </c>
      <c r="L632" t="n">
        <v>0</v>
      </c>
      <c r="M632" t="n">
        <v>0</v>
      </c>
      <c r="N632" t="n">
        <v>0</v>
      </c>
      <c r="O632" t="n">
        <v>0</v>
      </c>
      <c r="P632" t="n">
        <v>0</v>
      </c>
      <c r="Q632" t="n">
        <v>0</v>
      </c>
      <c r="R632" s="2" t="inlineStr"/>
    </row>
    <row r="633" ht="15" customHeight="1">
      <c r="A633" t="inlineStr">
        <is>
          <t>A 32178-2025</t>
        </is>
      </c>
      <c r="B633" s="1" t="n">
        <v>45835.5583912037</v>
      </c>
      <c r="C633" s="1" t="n">
        <v>45987</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32190-2025</t>
        </is>
      </c>
      <c r="B634" s="1" t="n">
        <v>45835.57069444445</v>
      </c>
      <c r="C634" s="1" t="n">
        <v>45987</v>
      </c>
      <c r="D634" t="inlineStr">
        <is>
          <t>JÄMTLANDS LÄN</t>
        </is>
      </c>
      <c r="E634" t="inlineStr">
        <is>
          <t>HÄRJEDALEN</t>
        </is>
      </c>
      <c r="G634" t="n">
        <v>6.4</v>
      </c>
      <c r="H634" t="n">
        <v>0</v>
      </c>
      <c r="I634" t="n">
        <v>0</v>
      </c>
      <c r="J634" t="n">
        <v>0</v>
      </c>
      <c r="K634" t="n">
        <v>0</v>
      </c>
      <c r="L634" t="n">
        <v>0</v>
      </c>
      <c r="M634" t="n">
        <v>0</v>
      </c>
      <c r="N634" t="n">
        <v>0</v>
      </c>
      <c r="O634" t="n">
        <v>0</v>
      </c>
      <c r="P634" t="n">
        <v>0</v>
      </c>
      <c r="Q634" t="n">
        <v>0</v>
      </c>
      <c r="R634" s="2" t="inlineStr"/>
    </row>
    <row r="635" ht="15" customHeight="1">
      <c r="A635" t="inlineStr">
        <is>
          <t>A 48867-2023</t>
        </is>
      </c>
      <c r="B635" s="1" t="n">
        <v>45209.45420138889</v>
      </c>
      <c r="C635" s="1" t="n">
        <v>45987</v>
      </c>
      <c r="D635" t="inlineStr">
        <is>
          <t>JÄMTLANDS LÄN</t>
        </is>
      </c>
      <c r="E635" t="inlineStr">
        <is>
          <t>HÄRJEDALEN</t>
        </is>
      </c>
      <c r="G635" t="n">
        <v>9.1</v>
      </c>
      <c r="H635" t="n">
        <v>0</v>
      </c>
      <c r="I635" t="n">
        <v>0</v>
      </c>
      <c r="J635" t="n">
        <v>0</v>
      </c>
      <c r="K635" t="n">
        <v>0</v>
      </c>
      <c r="L635" t="n">
        <v>0</v>
      </c>
      <c r="M635" t="n">
        <v>0</v>
      </c>
      <c r="N635" t="n">
        <v>0</v>
      </c>
      <c r="O635" t="n">
        <v>0</v>
      </c>
      <c r="P635" t="n">
        <v>0</v>
      </c>
      <c r="Q635" t="n">
        <v>0</v>
      </c>
      <c r="R635" s="2" t="inlineStr"/>
    </row>
    <row r="636" ht="15" customHeight="1">
      <c r="A636" t="inlineStr">
        <is>
          <t>A 5277-2021</t>
        </is>
      </c>
      <c r="B636" s="1" t="n">
        <v>44225</v>
      </c>
      <c r="C636" s="1" t="n">
        <v>45987</v>
      </c>
      <c r="D636" t="inlineStr">
        <is>
          <t>JÄMTLANDS LÄN</t>
        </is>
      </c>
      <c r="E636" t="inlineStr">
        <is>
          <t>HÄRJEDALEN</t>
        </is>
      </c>
      <c r="G636" t="n">
        <v>20</v>
      </c>
      <c r="H636" t="n">
        <v>0</v>
      </c>
      <c r="I636" t="n">
        <v>0</v>
      </c>
      <c r="J636" t="n">
        <v>0</v>
      </c>
      <c r="K636" t="n">
        <v>0</v>
      </c>
      <c r="L636" t="n">
        <v>0</v>
      </c>
      <c r="M636" t="n">
        <v>0</v>
      </c>
      <c r="N636" t="n">
        <v>0</v>
      </c>
      <c r="O636" t="n">
        <v>0</v>
      </c>
      <c r="P636" t="n">
        <v>0</v>
      </c>
      <c r="Q636" t="n">
        <v>0</v>
      </c>
      <c r="R636" s="2" t="inlineStr"/>
    </row>
    <row r="637" ht="15" customHeight="1">
      <c r="A637" t="inlineStr">
        <is>
          <t>A 32841-2025</t>
        </is>
      </c>
      <c r="B637" s="1" t="n">
        <v>45839.5658912037</v>
      </c>
      <c r="C637" s="1" t="n">
        <v>45987</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4220-2025</t>
        </is>
      </c>
      <c r="B638" s="1" t="n">
        <v>45685</v>
      </c>
      <c r="C638" s="1" t="n">
        <v>45987</v>
      </c>
      <c r="D638" t="inlineStr">
        <is>
          <t>JÄMTLANDS LÄN</t>
        </is>
      </c>
      <c r="E638" t="inlineStr">
        <is>
          <t>HÄRJEDALEN</t>
        </is>
      </c>
      <c r="F638" t="inlineStr">
        <is>
          <t>Bergvik skog väst AB</t>
        </is>
      </c>
      <c r="G638" t="n">
        <v>19.8</v>
      </c>
      <c r="H638" t="n">
        <v>0</v>
      </c>
      <c r="I638" t="n">
        <v>0</v>
      </c>
      <c r="J638" t="n">
        <v>0</v>
      </c>
      <c r="K638" t="n">
        <v>0</v>
      </c>
      <c r="L638" t="n">
        <v>0</v>
      </c>
      <c r="M638" t="n">
        <v>0</v>
      </c>
      <c r="N638" t="n">
        <v>0</v>
      </c>
      <c r="O638" t="n">
        <v>0</v>
      </c>
      <c r="P638" t="n">
        <v>0</v>
      </c>
      <c r="Q638" t="n">
        <v>0</v>
      </c>
      <c r="R638" s="2" t="inlineStr"/>
    </row>
    <row r="639" ht="15" customHeight="1">
      <c r="A639" t="inlineStr">
        <is>
          <t>A 33235-2025</t>
        </is>
      </c>
      <c r="B639" s="1" t="n">
        <v>45840.64394675926</v>
      </c>
      <c r="C639" s="1" t="n">
        <v>45987</v>
      </c>
      <c r="D639" t="inlineStr">
        <is>
          <t>JÄMTLANDS LÄN</t>
        </is>
      </c>
      <c r="E639" t="inlineStr">
        <is>
          <t>HÄRJEDALEN</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52520-2025</t>
        </is>
      </c>
      <c r="B640" s="1" t="n">
        <v>45954.51769675926</v>
      </c>
      <c r="C640" s="1" t="n">
        <v>45987</v>
      </c>
      <c r="D640" t="inlineStr">
        <is>
          <t>JÄMTLANDS LÄN</t>
        </is>
      </c>
      <c r="E640" t="inlineStr">
        <is>
          <t>HÄRJEDALEN</t>
        </is>
      </c>
      <c r="G640" t="n">
        <v>3.7</v>
      </c>
      <c r="H640" t="n">
        <v>0</v>
      </c>
      <c r="I640" t="n">
        <v>0</v>
      </c>
      <c r="J640" t="n">
        <v>0</v>
      </c>
      <c r="K640" t="n">
        <v>0</v>
      </c>
      <c r="L640" t="n">
        <v>0</v>
      </c>
      <c r="M640" t="n">
        <v>0</v>
      </c>
      <c r="N640" t="n">
        <v>0</v>
      </c>
      <c r="O640" t="n">
        <v>0</v>
      </c>
      <c r="P640" t="n">
        <v>0</v>
      </c>
      <c r="Q640" t="n">
        <v>0</v>
      </c>
      <c r="R640" s="2" t="inlineStr"/>
    </row>
    <row r="641" ht="15" customHeight="1">
      <c r="A641" t="inlineStr">
        <is>
          <t>A 43382-2025</t>
        </is>
      </c>
      <c r="B641" s="1" t="n">
        <v>45911</v>
      </c>
      <c r="C641" s="1" t="n">
        <v>45987</v>
      </c>
      <c r="D641" t="inlineStr">
        <is>
          <t>JÄMTLANDS LÄN</t>
        </is>
      </c>
      <c r="E641" t="inlineStr">
        <is>
          <t>HÄRJEDALEN</t>
        </is>
      </c>
      <c r="G641" t="n">
        <v>2.2</v>
      </c>
      <c r="H641" t="n">
        <v>0</v>
      </c>
      <c r="I641" t="n">
        <v>0</v>
      </c>
      <c r="J641" t="n">
        <v>0</v>
      </c>
      <c r="K641" t="n">
        <v>0</v>
      </c>
      <c r="L641" t="n">
        <v>0</v>
      </c>
      <c r="M641" t="n">
        <v>0</v>
      </c>
      <c r="N641" t="n">
        <v>0</v>
      </c>
      <c r="O641" t="n">
        <v>0</v>
      </c>
      <c r="P641" t="n">
        <v>0</v>
      </c>
      <c r="Q641" t="n">
        <v>0</v>
      </c>
      <c r="R641" s="2" t="inlineStr"/>
    </row>
    <row r="642" ht="15" customHeight="1">
      <c r="A642" t="inlineStr">
        <is>
          <t>A 33690-2025</t>
        </is>
      </c>
      <c r="B642" s="1" t="n">
        <v>45841.69273148148</v>
      </c>
      <c r="C642" s="1" t="n">
        <v>45987</v>
      </c>
      <c r="D642" t="inlineStr">
        <is>
          <t>JÄMTLANDS LÄN</t>
        </is>
      </c>
      <c r="E642" t="inlineStr">
        <is>
          <t>HÄRJEDALEN</t>
        </is>
      </c>
      <c r="G642" t="n">
        <v>1.5</v>
      </c>
      <c r="H642" t="n">
        <v>0</v>
      </c>
      <c r="I642" t="n">
        <v>0</v>
      </c>
      <c r="J642" t="n">
        <v>0</v>
      </c>
      <c r="K642" t="n">
        <v>0</v>
      </c>
      <c r="L642" t="n">
        <v>0</v>
      </c>
      <c r="M642" t="n">
        <v>0</v>
      </c>
      <c r="N642" t="n">
        <v>0</v>
      </c>
      <c r="O642" t="n">
        <v>0</v>
      </c>
      <c r="P642" t="n">
        <v>0</v>
      </c>
      <c r="Q642" t="n">
        <v>0</v>
      </c>
      <c r="R642" s="2" t="inlineStr"/>
    </row>
    <row r="643" ht="15" customHeight="1">
      <c r="A643" t="inlineStr">
        <is>
          <t>A 33447-2025</t>
        </is>
      </c>
      <c r="B643" s="1" t="n">
        <v>45841.46512731481</v>
      </c>
      <c r="C643" s="1" t="n">
        <v>45987</v>
      </c>
      <c r="D643" t="inlineStr">
        <is>
          <t>JÄMTLANDS LÄN</t>
        </is>
      </c>
      <c r="E643" t="inlineStr">
        <is>
          <t>HÄRJEDALEN</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51311-2024</t>
        </is>
      </c>
      <c r="B644" s="1" t="n">
        <v>45604.31657407407</v>
      </c>
      <c r="C644" s="1" t="n">
        <v>45987</v>
      </c>
      <c r="D644" t="inlineStr">
        <is>
          <t>JÄMTLANDS LÄN</t>
        </is>
      </c>
      <c r="E644" t="inlineStr">
        <is>
          <t>HÄRJEDALEN</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33438-2025</t>
        </is>
      </c>
      <c r="B645" s="1" t="n">
        <v>45841.45137731481</v>
      </c>
      <c r="C645" s="1" t="n">
        <v>45987</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53265-2025</t>
        </is>
      </c>
      <c r="B646" s="1" t="n">
        <v>45958.6809375</v>
      </c>
      <c r="C646" s="1" t="n">
        <v>45987</v>
      </c>
      <c r="D646" t="inlineStr">
        <is>
          <t>JÄMTLANDS LÄN</t>
        </is>
      </c>
      <c r="E646" t="inlineStr">
        <is>
          <t>HÄRJEDALEN</t>
        </is>
      </c>
      <c r="G646" t="n">
        <v>2.4</v>
      </c>
      <c r="H646" t="n">
        <v>0</v>
      </c>
      <c r="I646" t="n">
        <v>0</v>
      </c>
      <c r="J646" t="n">
        <v>0</v>
      </c>
      <c r="K646" t="n">
        <v>0</v>
      </c>
      <c r="L646" t="n">
        <v>0</v>
      </c>
      <c r="M646" t="n">
        <v>0</v>
      </c>
      <c r="N646" t="n">
        <v>0</v>
      </c>
      <c r="O646" t="n">
        <v>0</v>
      </c>
      <c r="P646" t="n">
        <v>0</v>
      </c>
      <c r="Q646" t="n">
        <v>0</v>
      </c>
      <c r="R646" s="2" t="inlineStr"/>
    </row>
    <row r="647" ht="15" customHeight="1">
      <c r="A647" t="inlineStr">
        <is>
          <t>A 53267-2025</t>
        </is>
      </c>
      <c r="B647" s="1" t="n">
        <v>45958.69079861111</v>
      </c>
      <c r="C647" s="1" t="n">
        <v>45987</v>
      </c>
      <c r="D647" t="inlineStr">
        <is>
          <t>JÄMTLANDS LÄN</t>
        </is>
      </c>
      <c r="E647" t="inlineStr">
        <is>
          <t>HÄRJEDALEN</t>
        </is>
      </c>
      <c r="G647" t="n">
        <v>3.3</v>
      </c>
      <c r="H647" t="n">
        <v>0</v>
      </c>
      <c r="I647" t="n">
        <v>0</v>
      </c>
      <c r="J647" t="n">
        <v>0</v>
      </c>
      <c r="K647" t="n">
        <v>0</v>
      </c>
      <c r="L647" t="n">
        <v>0</v>
      </c>
      <c r="M647" t="n">
        <v>0</v>
      </c>
      <c r="N647" t="n">
        <v>0</v>
      </c>
      <c r="O647" t="n">
        <v>0</v>
      </c>
      <c r="P647" t="n">
        <v>0</v>
      </c>
      <c r="Q647" t="n">
        <v>0</v>
      </c>
      <c r="R647" s="2" t="inlineStr"/>
    </row>
    <row r="648" ht="15" customHeight="1">
      <c r="A648" t="inlineStr">
        <is>
          <t>A 53268-2025</t>
        </is>
      </c>
      <c r="B648" s="1" t="n">
        <v>45958.69850694444</v>
      </c>
      <c r="C648" s="1" t="n">
        <v>45987</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53175-2025</t>
        </is>
      </c>
      <c r="B649" s="1" t="n">
        <v>45958.52390046296</v>
      </c>
      <c r="C649" s="1" t="n">
        <v>45987</v>
      </c>
      <c r="D649" t="inlineStr">
        <is>
          <t>JÄMTLANDS LÄN</t>
        </is>
      </c>
      <c r="E649" t="inlineStr">
        <is>
          <t>HÄRJEDALEN</t>
        </is>
      </c>
      <c r="G649" t="n">
        <v>16.8</v>
      </c>
      <c r="H649" t="n">
        <v>0</v>
      </c>
      <c r="I649" t="n">
        <v>0</v>
      </c>
      <c r="J649" t="n">
        <v>0</v>
      </c>
      <c r="K649" t="n">
        <v>0</v>
      </c>
      <c r="L649" t="n">
        <v>0</v>
      </c>
      <c r="M649" t="n">
        <v>0</v>
      </c>
      <c r="N649" t="n">
        <v>0</v>
      </c>
      <c r="O649" t="n">
        <v>0</v>
      </c>
      <c r="P649" t="n">
        <v>0</v>
      </c>
      <c r="Q649" t="n">
        <v>0</v>
      </c>
      <c r="R649" s="2" t="inlineStr"/>
    </row>
    <row r="650" ht="15" customHeight="1">
      <c r="A650" t="inlineStr">
        <is>
          <t>A 33406-2025</t>
        </is>
      </c>
      <c r="B650" s="1" t="n">
        <v>45841.4312037037</v>
      </c>
      <c r="C650" s="1" t="n">
        <v>45987</v>
      </c>
      <c r="D650" t="inlineStr">
        <is>
          <t>JÄMTLANDS LÄN</t>
        </is>
      </c>
      <c r="E650" t="inlineStr">
        <is>
          <t>HÄRJEDALEN</t>
        </is>
      </c>
      <c r="G650" t="n">
        <v>1.4</v>
      </c>
      <c r="H650" t="n">
        <v>0</v>
      </c>
      <c r="I650" t="n">
        <v>0</v>
      </c>
      <c r="J650" t="n">
        <v>0</v>
      </c>
      <c r="K650" t="n">
        <v>0</v>
      </c>
      <c r="L650" t="n">
        <v>0</v>
      </c>
      <c r="M650" t="n">
        <v>0</v>
      </c>
      <c r="N650" t="n">
        <v>0</v>
      </c>
      <c r="O650" t="n">
        <v>0</v>
      </c>
      <c r="P650" t="n">
        <v>0</v>
      </c>
      <c r="Q650" t="n">
        <v>0</v>
      </c>
      <c r="R650" s="2" t="inlineStr"/>
    </row>
    <row r="651" ht="15" customHeight="1">
      <c r="A651" t="inlineStr">
        <is>
          <t>A 33845-2025</t>
        </is>
      </c>
      <c r="B651" s="1" t="n">
        <v>45842.48990740741</v>
      </c>
      <c r="C651" s="1" t="n">
        <v>45987</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53253-2025</t>
        </is>
      </c>
      <c r="B652" s="1" t="n">
        <v>45958.66732638889</v>
      </c>
      <c r="C652" s="1" t="n">
        <v>45987</v>
      </c>
      <c r="D652" t="inlineStr">
        <is>
          <t>JÄMTLANDS LÄN</t>
        </is>
      </c>
      <c r="E652" t="inlineStr">
        <is>
          <t>HÄRJEDALEN</t>
        </is>
      </c>
      <c r="G652" t="n">
        <v>4.4</v>
      </c>
      <c r="H652" t="n">
        <v>0</v>
      </c>
      <c r="I652" t="n">
        <v>0</v>
      </c>
      <c r="J652" t="n">
        <v>0</v>
      </c>
      <c r="K652" t="n">
        <v>0</v>
      </c>
      <c r="L652" t="n">
        <v>0</v>
      </c>
      <c r="M652" t="n">
        <v>0</v>
      </c>
      <c r="N652" t="n">
        <v>0</v>
      </c>
      <c r="O652" t="n">
        <v>0</v>
      </c>
      <c r="P652" t="n">
        <v>0</v>
      </c>
      <c r="Q652" t="n">
        <v>0</v>
      </c>
      <c r="R652" s="2" t="inlineStr"/>
    </row>
    <row r="653" ht="15" customHeight="1">
      <c r="A653" t="inlineStr">
        <is>
          <t>A 43905-2025</t>
        </is>
      </c>
      <c r="B653" s="1" t="n">
        <v>45913.74344907407</v>
      </c>
      <c r="C653" s="1" t="n">
        <v>45987</v>
      </c>
      <c r="D653" t="inlineStr">
        <is>
          <t>JÄMTLANDS LÄN</t>
        </is>
      </c>
      <c r="E653" t="inlineStr">
        <is>
          <t>HÄRJEDALEN</t>
        </is>
      </c>
      <c r="G653" t="n">
        <v>7.4</v>
      </c>
      <c r="H653" t="n">
        <v>0</v>
      </c>
      <c r="I653" t="n">
        <v>0</v>
      </c>
      <c r="J653" t="n">
        <v>0</v>
      </c>
      <c r="K653" t="n">
        <v>0</v>
      </c>
      <c r="L653" t="n">
        <v>0</v>
      </c>
      <c r="M653" t="n">
        <v>0</v>
      </c>
      <c r="N653" t="n">
        <v>0</v>
      </c>
      <c r="O653" t="n">
        <v>0</v>
      </c>
      <c r="P653" t="n">
        <v>0</v>
      </c>
      <c r="Q653" t="n">
        <v>0</v>
      </c>
      <c r="R653" s="2" t="inlineStr"/>
    </row>
    <row r="654" ht="15" customHeight="1">
      <c r="A654" t="inlineStr">
        <is>
          <t>A 43906-2025</t>
        </is>
      </c>
      <c r="B654" s="1" t="n">
        <v>45913.82180555556</v>
      </c>
      <c r="C654" s="1" t="n">
        <v>45987</v>
      </c>
      <c r="D654" t="inlineStr">
        <is>
          <t>JÄMTLANDS LÄN</t>
        </is>
      </c>
      <c r="E654" t="inlineStr">
        <is>
          <t>HÄRJEDALEN</t>
        </is>
      </c>
      <c r="G654" t="n">
        <v>10.5</v>
      </c>
      <c r="H654" t="n">
        <v>0</v>
      </c>
      <c r="I654" t="n">
        <v>0</v>
      </c>
      <c r="J654" t="n">
        <v>0</v>
      </c>
      <c r="K654" t="n">
        <v>0</v>
      </c>
      <c r="L654" t="n">
        <v>0</v>
      </c>
      <c r="M654" t="n">
        <v>0</v>
      </c>
      <c r="N654" t="n">
        <v>0</v>
      </c>
      <c r="O654" t="n">
        <v>0</v>
      </c>
      <c r="P654" t="n">
        <v>0</v>
      </c>
      <c r="Q654" t="n">
        <v>0</v>
      </c>
      <c r="R654" s="2" t="inlineStr"/>
    </row>
    <row r="655" ht="15" customHeight="1">
      <c r="A655" t="inlineStr">
        <is>
          <t>A 7328-2024</t>
        </is>
      </c>
      <c r="B655" s="1" t="n">
        <v>45345</v>
      </c>
      <c r="C655" s="1" t="n">
        <v>45987</v>
      </c>
      <c r="D655" t="inlineStr">
        <is>
          <t>JÄMTLANDS LÄN</t>
        </is>
      </c>
      <c r="E655" t="inlineStr">
        <is>
          <t>HÄRJEDALEN</t>
        </is>
      </c>
      <c r="F655" t="inlineStr">
        <is>
          <t>Sveaskog</t>
        </is>
      </c>
      <c r="G655" t="n">
        <v>0.1</v>
      </c>
      <c r="H655" t="n">
        <v>0</v>
      </c>
      <c r="I655" t="n">
        <v>0</v>
      </c>
      <c r="J655" t="n">
        <v>0</v>
      </c>
      <c r="K655" t="n">
        <v>0</v>
      </c>
      <c r="L655" t="n">
        <v>0</v>
      </c>
      <c r="M655" t="n">
        <v>0</v>
      </c>
      <c r="N655" t="n">
        <v>0</v>
      </c>
      <c r="O655" t="n">
        <v>0</v>
      </c>
      <c r="P655" t="n">
        <v>0</v>
      </c>
      <c r="Q655" t="n">
        <v>0</v>
      </c>
      <c r="R655" s="2" t="inlineStr"/>
    </row>
    <row r="656" ht="15" customHeight="1">
      <c r="A656" t="inlineStr">
        <is>
          <t>A 16304-2025</t>
        </is>
      </c>
      <c r="B656" s="1" t="n">
        <v>45751.34636574074</v>
      </c>
      <c r="C656" s="1" t="n">
        <v>45987</v>
      </c>
      <c r="D656" t="inlineStr">
        <is>
          <t>JÄMTLANDS LÄN</t>
        </is>
      </c>
      <c r="E656" t="inlineStr">
        <is>
          <t>HÄRJEDALEN</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14204-2025</t>
        </is>
      </c>
      <c r="B657" s="1" t="n">
        <v>45740.57487268518</v>
      </c>
      <c r="C657" s="1" t="n">
        <v>45987</v>
      </c>
      <c r="D657" t="inlineStr">
        <is>
          <t>JÄMTLANDS LÄN</t>
        </is>
      </c>
      <c r="E657" t="inlineStr">
        <is>
          <t>HÄRJEDALEN</t>
        </is>
      </c>
      <c r="F657" t="inlineStr">
        <is>
          <t>Övriga Aktiebolag</t>
        </is>
      </c>
      <c r="G657" t="n">
        <v>10.2</v>
      </c>
      <c r="H657" t="n">
        <v>0</v>
      </c>
      <c r="I657" t="n">
        <v>0</v>
      </c>
      <c r="J657" t="n">
        <v>0</v>
      </c>
      <c r="K657" t="n">
        <v>0</v>
      </c>
      <c r="L657" t="n">
        <v>0</v>
      </c>
      <c r="M657" t="n">
        <v>0</v>
      </c>
      <c r="N657" t="n">
        <v>0</v>
      </c>
      <c r="O657" t="n">
        <v>0</v>
      </c>
      <c r="P657" t="n">
        <v>0</v>
      </c>
      <c r="Q657" t="n">
        <v>0</v>
      </c>
      <c r="R657" s="2" t="inlineStr"/>
    </row>
    <row r="658" ht="15" customHeight="1">
      <c r="A658" t="inlineStr">
        <is>
          <t>A 53256-2025</t>
        </is>
      </c>
      <c r="B658" s="1" t="n">
        <v>45958.6740625</v>
      </c>
      <c r="C658" s="1" t="n">
        <v>45987</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32910-2022</t>
        </is>
      </c>
      <c r="B659" s="1" t="n">
        <v>44784.60677083334</v>
      </c>
      <c r="C659" s="1" t="n">
        <v>45987</v>
      </c>
      <c r="D659" t="inlineStr">
        <is>
          <t>JÄMTLANDS LÄN</t>
        </is>
      </c>
      <c r="E659" t="inlineStr">
        <is>
          <t>HÄRJEDALEN</t>
        </is>
      </c>
      <c r="F659" t="inlineStr">
        <is>
          <t>Bergvik skog väst AB</t>
        </is>
      </c>
      <c r="G659" t="n">
        <v>14.4</v>
      </c>
      <c r="H659" t="n">
        <v>0</v>
      </c>
      <c r="I659" t="n">
        <v>0</v>
      </c>
      <c r="J659" t="n">
        <v>0</v>
      </c>
      <c r="K659" t="n">
        <v>0</v>
      </c>
      <c r="L659" t="n">
        <v>0</v>
      </c>
      <c r="M659" t="n">
        <v>0</v>
      </c>
      <c r="N659" t="n">
        <v>0</v>
      </c>
      <c r="O659" t="n">
        <v>0</v>
      </c>
      <c r="P659" t="n">
        <v>0</v>
      </c>
      <c r="Q659" t="n">
        <v>0</v>
      </c>
      <c r="R659" s="2" t="inlineStr"/>
    </row>
    <row r="660" ht="15" customHeight="1">
      <c r="A660" t="inlineStr">
        <is>
          <t>A 53260-2025</t>
        </is>
      </c>
      <c r="B660" s="1" t="n">
        <v>45958.67776620371</v>
      </c>
      <c r="C660" s="1" t="n">
        <v>45987</v>
      </c>
      <c r="D660" t="inlineStr">
        <is>
          <t>JÄMTLANDS LÄN</t>
        </is>
      </c>
      <c r="E660" t="inlineStr">
        <is>
          <t>HÄRJEDALEN</t>
        </is>
      </c>
      <c r="G660" t="n">
        <v>3.3</v>
      </c>
      <c r="H660" t="n">
        <v>0</v>
      </c>
      <c r="I660" t="n">
        <v>0</v>
      </c>
      <c r="J660" t="n">
        <v>0</v>
      </c>
      <c r="K660" t="n">
        <v>0</v>
      </c>
      <c r="L660" t="n">
        <v>0</v>
      </c>
      <c r="M660" t="n">
        <v>0</v>
      </c>
      <c r="N660" t="n">
        <v>0</v>
      </c>
      <c r="O660" t="n">
        <v>0</v>
      </c>
      <c r="P660" t="n">
        <v>0</v>
      </c>
      <c r="Q660" t="n">
        <v>0</v>
      </c>
      <c r="R660" s="2" t="inlineStr"/>
    </row>
    <row r="661" ht="15" customHeight="1">
      <c r="A661" t="inlineStr">
        <is>
          <t>A 36528-2025</t>
        </is>
      </c>
      <c r="B661" s="1" t="n">
        <v>45869</v>
      </c>
      <c r="C661" s="1" t="n">
        <v>45987</v>
      </c>
      <c r="D661" t="inlineStr">
        <is>
          <t>JÄMTLANDS LÄN</t>
        </is>
      </c>
      <c r="E661" t="inlineStr">
        <is>
          <t>HÄRJEDALEN</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37290-2025</t>
        </is>
      </c>
      <c r="B662" s="1" t="n">
        <v>45876</v>
      </c>
      <c r="C662" s="1" t="n">
        <v>45987</v>
      </c>
      <c r="D662" t="inlineStr">
        <is>
          <t>JÄMTLANDS LÄN</t>
        </is>
      </c>
      <c r="E662" t="inlineStr">
        <is>
          <t>HÄRJEDALEN</t>
        </is>
      </c>
      <c r="F662" t="inlineStr">
        <is>
          <t>Bergvik skog väst AB</t>
        </is>
      </c>
      <c r="G662" t="n">
        <v>3.2</v>
      </c>
      <c r="H662" t="n">
        <v>0</v>
      </c>
      <c r="I662" t="n">
        <v>0</v>
      </c>
      <c r="J662" t="n">
        <v>0</v>
      </c>
      <c r="K662" t="n">
        <v>0</v>
      </c>
      <c r="L662" t="n">
        <v>0</v>
      </c>
      <c r="M662" t="n">
        <v>0</v>
      </c>
      <c r="N662" t="n">
        <v>0</v>
      </c>
      <c r="O662" t="n">
        <v>0</v>
      </c>
      <c r="P662" t="n">
        <v>0</v>
      </c>
      <c r="Q662" t="n">
        <v>0</v>
      </c>
      <c r="R662" s="2" t="inlineStr"/>
    </row>
    <row r="663" ht="15" customHeight="1">
      <c r="A663" t="inlineStr">
        <is>
          <t>A 34254-2025</t>
        </is>
      </c>
      <c r="B663" s="1" t="n">
        <v>45845.6920949074</v>
      </c>
      <c r="C663" s="1" t="n">
        <v>45987</v>
      </c>
      <c r="D663" t="inlineStr">
        <is>
          <t>JÄMTLANDS LÄN</t>
        </is>
      </c>
      <c r="E663" t="inlineStr">
        <is>
          <t>HÄRJEDALEN</t>
        </is>
      </c>
      <c r="F663" t="inlineStr">
        <is>
          <t>Kyrkan</t>
        </is>
      </c>
      <c r="G663" t="n">
        <v>1.6</v>
      </c>
      <c r="H663" t="n">
        <v>0</v>
      </c>
      <c r="I663" t="n">
        <v>0</v>
      </c>
      <c r="J663" t="n">
        <v>0</v>
      </c>
      <c r="K663" t="n">
        <v>0</v>
      </c>
      <c r="L663" t="n">
        <v>0</v>
      </c>
      <c r="M663" t="n">
        <v>0</v>
      </c>
      <c r="N663" t="n">
        <v>0</v>
      </c>
      <c r="O663" t="n">
        <v>0</v>
      </c>
      <c r="P663" t="n">
        <v>0</v>
      </c>
      <c r="Q663" t="n">
        <v>0</v>
      </c>
      <c r="R663" s="2" t="inlineStr"/>
    </row>
    <row r="664" ht="15" customHeight="1">
      <c r="A664" t="inlineStr">
        <is>
          <t>A 41711-2022</t>
        </is>
      </c>
      <c r="B664" s="1" t="n">
        <v>44827</v>
      </c>
      <c r="C664" s="1" t="n">
        <v>45987</v>
      </c>
      <c r="D664" t="inlineStr">
        <is>
          <t>JÄMTLANDS LÄN</t>
        </is>
      </c>
      <c r="E664" t="inlineStr">
        <is>
          <t>HÄRJEDALEN</t>
        </is>
      </c>
      <c r="G664" t="n">
        <v>18.3</v>
      </c>
      <c r="H664" t="n">
        <v>0</v>
      </c>
      <c r="I664" t="n">
        <v>0</v>
      </c>
      <c r="J664" t="n">
        <v>0</v>
      </c>
      <c r="K664" t="n">
        <v>0</v>
      </c>
      <c r="L664" t="n">
        <v>0</v>
      </c>
      <c r="M664" t="n">
        <v>0</v>
      </c>
      <c r="N664" t="n">
        <v>0</v>
      </c>
      <c r="O664" t="n">
        <v>0</v>
      </c>
      <c r="P664" t="n">
        <v>0</v>
      </c>
      <c r="Q664" t="n">
        <v>0</v>
      </c>
      <c r="R664" s="2" t="inlineStr"/>
    </row>
    <row r="665" ht="15" customHeight="1">
      <c r="A665" t="inlineStr">
        <is>
          <t>A 34144-2025</t>
        </is>
      </c>
      <c r="B665" s="1" t="n">
        <v>45845.55270833334</v>
      </c>
      <c r="C665" s="1" t="n">
        <v>45987</v>
      </c>
      <c r="D665" t="inlineStr">
        <is>
          <t>JÄMTLANDS LÄN</t>
        </is>
      </c>
      <c r="E665" t="inlineStr">
        <is>
          <t>HÄRJEDALEN</t>
        </is>
      </c>
      <c r="G665" t="n">
        <v>8.5</v>
      </c>
      <c r="H665" t="n">
        <v>0</v>
      </c>
      <c r="I665" t="n">
        <v>0</v>
      </c>
      <c r="J665" t="n">
        <v>0</v>
      </c>
      <c r="K665" t="n">
        <v>0</v>
      </c>
      <c r="L665" t="n">
        <v>0</v>
      </c>
      <c r="M665" t="n">
        <v>0</v>
      </c>
      <c r="N665" t="n">
        <v>0</v>
      </c>
      <c r="O665" t="n">
        <v>0</v>
      </c>
      <c r="P665" t="n">
        <v>0</v>
      </c>
      <c r="Q665" t="n">
        <v>0</v>
      </c>
      <c r="R665" s="2" t="inlineStr"/>
    </row>
    <row r="666" ht="15" customHeight="1">
      <c r="A666" t="inlineStr">
        <is>
          <t>A 34143-2025</t>
        </is>
      </c>
      <c r="B666" s="1" t="n">
        <v>45845.55266203704</v>
      </c>
      <c r="C666" s="1" t="n">
        <v>45987</v>
      </c>
      <c r="D666" t="inlineStr">
        <is>
          <t>JÄMTLANDS LÄN</t>
        </is>
      </c>
      <c r="E666" t="inlineStr">
        <is>
          <t>HÄRJEDALEN</t>
        </is>
      </c>
      <c r="G666" t="n">
        <v>5.9</v>
      </c>
      <c r="H666" t="n">
        <v>0</v>
      </c>
      <c r="I666" t="n">
        <v>0</v>
      </c>
      <c r="J666" t="n">
        <v>0</v>
      </c>
      <c r="K666" t="n">
        <v>0</v>
      </c>
      <c r="L666" t="n">
        <v>0</v>
      </c>
      <c r="M666" t="n">
        <v>0</v>
      </c>
      <c r="N666" t="n">
        <v>0</v>
      </c>
      <c r="O666" t="n">
        <v>0</v>
      </c>
      <c r="P666" t="n">
        <v>0</v>
      </c>
      <c r="Q666" t="n">
        <v>0</v>
      </c>
      <c r="R666" s="2" t="inlineStr"/>
    </row>
    <row r="667" ht="15" customHeight="1">
      <c r="A667" t="inlineStr">
        <is>
          <t>A 46058-2024</t>
        </is>
      </c>
      <c r="B667" s="1" t="n">
        <v>45580.92037037037</v>
      </c>
      <c r="C667" s="1" t="n">
        <v>45987</v>
      </c>
      <c r="D667" t="inlineStr">
        <is>
          <t>JÄMTLANDS LÄN</t>
        </is>
      </c>
      <c r="E667" t="inlineStr">
        <is>
          <t>HÄRJEDALEN</t>
        </is>
      </c>
      <c r="G667" t="n">
        <v>7.5</v>
      </c>
      <c r="H667" t="n">
        <v>0</v>
      </c>
      <c r="I667" t="n">
        <v>0</v>
      </c>
      <c r="J667" t="n">
        <v>0</v>
      </c>
      <c r="K667" t="n">
        <v>0</v>
      </c>
      <c r="L667" t="n">
        <v>0</v>
      </c>
      <c r="M667" t="n">
        <v>0</v>
      </c>
      <c r="N667" t="n">
        <v>0</v>
      </c>
      <c r="O667" t="n">
        <v>0</v>
      </c>
      <c r="P667" t="n">
        <v>0</v>
      </c>
      <c r="Q667" t="n">
        <v>0</v>
      </c>
      <c r="R667" s="2" t="inlineStr"/>
    </row>
    <row r="668" ht="15" customHeight="1">
      <c r="A668" t="inlineStr">
        <is>
          <t>A 34142-2025</t>
        </is>
      </c>
      <c r="B668" s="1" t="n">
        <v>45845.55259259259</v>
      </c>
      <c r="C668" s="1" t="n">
        <v>45987</v>
      </c>
      <c r="D668" t="inlineStr">
        <is>
          <t>JÄMTLANDS LÄN</t>
        </is>
      </c>
      <c r="E668" t="inlineStr">
        <is>
          <t>HÄRJEDALEN</t>
        </is>
      </c>
      <c r="G668" t="n">
        <v>10.7</v>
      </c>
      <c r="H668" t="n">
        <v>0</v>
      </c>
      <c r="I668" t="n">
        <v>0</v>
      </c>
      <c r="J668" t="n">
        <v>0</v>
      </c>
      <c r="K668" t="n">
        <v>0</v>
      </c>
      <c r="L668" t="n">
        <v>0</v>
      </c>
      <c r="M668" t="n">
        <v>0</v>
      </c>
      <c r="N668" t="n">
        <v>0</v>
      </c>
      <c r="O668" t="n">
        <v>0</v>
      </c>
      <c r="P668" t="n">
        <v>0</v>
      </c>
      <c r="Q668" t="n">
        <v>0</v>
      </c>
      <c r="R668" s="2" t="inlineStr"/>
    </row>
    <row r="669" ht="15" customHeight="1">
      <c r="A669" t="inlineStr">
        <is>
          <t>A 34726-2025</t>
        </is>
      </c>
      <c r="B669" s="1" t="n">
        <v>45848.57644675926</v>
      </c>
      <c r="C669" s="1" t="n">
        <v>45987</v>
      </c>
      <c r="D669" t="inlineStr">
        <is>
          <t>JÄMTLANDS LÄN</t>
        </is>
      </c>
      <c r="E669" t="inlineStr">
        <is>
          <t>HÄRJEDALEN</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34757-2025</t>
        </is>
      </c>
      <c r="B670" s="1" t="n">
        <v>45848.62873842593</v>
      </c>
      <c r="C670" s="1" t="n">
        <v>45987</v>
      </c>
      <c r="D670" t="inlineStr">
        <is>
          <t>JÄMTLANDS LÄN</t>
        </is>
      </c>
      <c r="E670" t="inlineStr">
        <is>
          <t>HÄRJEDALEN</t>
        </is>
      </c>
      <c r="G670" t="n">
        <v>19.6</v>
      </c>
      <c r="H670" t="n">
        <v>0</v>
      </c>
      <c r="I670" t="n">
        <v>0</v>
      </c>
      <c r="J670" t="n">
        <v>0</v>
      </c>
      <c r="K670" t="n">
        <v>0</v>
      </c>
      <c r="L670" t="n">
        <v>0</v>
      </c>
      <c r="M670" t="n">
        <v>0</v>
      </c>
      <c r="N670" t="n">
        <v>0</v>
      </c>
      <c r="O670" t="n">
        <v>0</v>
      </c>
      <c r="P670" t="n">
        <v>0</v>
      </c>
      <c r="Q670" t="n">
        <v>0</v>
      </c>
      <c r="R670" s="2" t="inlineStr"/>
    </row>
    <row r="671" ht="15" customHeight="1">
      <c r="A671" t="inlineStr">
        <is>
          <t>A 34761-2025</t>
        </is>
      </c>
      <c r="B671" s="1" t="n">
        <v>45848.639375</v>
      </c>
      <c r="C671" s="1" t="n">
        <v>45987</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34775-2025</t>
        </is>
      </c>
      <c r="B672" s="1" t="n">
        <v>45848.6568287037</v>
      </c>
      <c r="C672" s="1" t="n">
        <v>45987</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34790-2025</t>
        </is>
      </c>
      <c r="B673" s="1" t="n">
        <v>45848.68640046296</v>
      </c>
      <c r="C673" s="1" t="n">
        <v>45987</v>
      </c>
      <c r="D673" t="inlineStr">
        <is>
          <t>JÄMTLANDS LÄN</t>
        </is>
      </c>
      <c r="E673" t="inlineStr">
        <is>
          <t>HÄRJEDALEN</t>
        </is>
      </c>
      <c r="F673" t="inlineStr">
        <is>
          <t>Bergvik skog väst AB</t>
        </is>
      </c>
      <c r="G673" t="n">
        <v>32.2</v>
      </c>
      <c r="H673" t="n">
        <v>0</v>
      </c>
      <c r="I673" t="n">
        <v>0</v>
      </c>
      <c r="J673" t="n">
        <v>0</v>
      </c>
      <c r="K673" t="n">
        <v>0</v>
      </c>
      <c r="L673" t="n">
        <v>0</v>
      </c>
      <c r="M673" t="n">
        <v>0</v>
      </c>
      <c r="N673" t="n">
        <v>0</v>
      </c>
      <c r="O673" t="n">
        <v>0</v>
      </c>
      <c r="P673" t="n">
        <v>0</v>
      </c>
      <c r="Q673" t="n">
        <v>0</v>
      </c>
      <c r="R673" s="2" t="inlineStr"/>
    </row>
    <row r="674" ht="15" customHeight="1">
      <c r="A674" t="inlineStr">
        <is>
          <t>A 34702-2025</t>
        </is>
      </c>
      <c r="B674" s="1" t="n">
        <v>45848</v>
      </c>
      <c r="C674" s="1" t="n">
        <v>45987</v>
      </c>
      <c r="D674" t="inlineStr">
        <is>
          <t>JÄMTLANDS LÄN</t>
        </is>
      </c>
      <c r="E674" t="inlineStr">
        <is>
          <t>HÄRJEDALEN</t>
        </is>
      </c>
      <c r="F674" t="inlineStr">
        <is>
          <t>Bergvik skog väst AB</t>
        </is>
      </c>
      <c r="G674" t="n">
        <v>2.3</v>
      </c>
      <c r="H674" t="n">
        <v>0</v>
      </c>
      <c r="I674" t="n">
        <v>0</v>
      </c>
      <c r="J674" t="n">
        <v>0</v>
      </c>
      <c r="K674" t="n">
        <v>0</v>
      </c>
      <c r="L674" t="n">
        <v>0</v>
      </c>
      <c r="M674" t="n">
        <v>0</v>
      </c>
      <c r="N674" t="n">
        <v>0</v>
      </c>
      <c r="O674" t="n">
        <v>0</v>
      </c>
      <c r="P674" t="n">
        <v>0</v>
      </c>
      <c r="Q674" t="n">
        <v>0</v>
      </c>
      <c r="R674" s="2" t="inlineStr"/>
    </row>
    <row r="675" ht="15" customHeight="1">
      <c r="A675" t="inlineStr">
        <is>
          <t>A 34653-2025</t>
        </is>
      </c>
      <c r="B675" s="1" t="n">
        <v>45848.35400462963</v>
      </c>
      <c r="C675" s="1" t="n">
        <v>45987</v>
      </c>
      <c r="D675" t="inlineStr">
        <is>
          <t>JÄMTLANDS LÄN</t>
        </is>
      </c>
      <c r="E675" t="inlineStr">
        <is>
          <t>HÄRJEDALEN</t>
        </is>
      </c>
      <c r="G675" t="n">
        <v>26.8</v>
      </c>
      <c r="H675" t="n">
        <v>0</v>
      </c>
      <c r="I675" t="n">
        <v>0</v>
      </c>
      <c r="J675" t="n">
        <v>0</v>
      </c>
      <c r="K675" t="n">
        <v>0</v>
      </c>
      <c r="L675" t="n">
        <v>0</v>
      </c>
      <c r="M675" t="n">
        <v>0</v>
      </c>
      <c r="N675" t="n">
        <v>0</v>
      </c>
      <c r="O675" t="n">
        <v>0</v>
      </c>
      <c r="P675" t="n">
        <v>0</v>
      </c>
      <c r="Q675" t="n">
        <v>0</v>
      </c>
      <c r="R675" s="2" t="inlineStr"/>
    </row>
    <row r="676" ht="15" customHeight="1">
      <c r="A676" t="inlineStr">
        <is>
          <t>A 14798-2021</t>
        </is>
      </c>
      <c r="B676" s="1" t="n">
        <v>44280</v>
      </c>
      <c r="C676" s="1" t="n">
        <v>45987</v>
      </c>
      <c r="D676" t="inlineStr">
        <is>
          <t>JÄMTLANDS LÄN</t>
        </is>
      </c>
      <c r="E676" t="inlineStr">
        <is>
          <t>HÄRJEDALEN</t>
        </is>
      </c>
      <c r="G676" t="n">
        <v>2.6</v>
      </c>
      <c r="H676" t="n">
        <v>0</v>
      </c>
      <c r="I676" t="n">
        <v>0</v>
      </c>
      <c r="J676" t="n">
        <v>0</v>
      </c>
      <c r="K676" t="n">
        <v>0</v>
      </c>
      <c r="L676" t="n">
        <v>0</v>
      </c>
      <c r="M676" t="n">
        <v>0</v>
      </c>
      <c r="N676" t="n">
        <v>0</v>
      </c>
      <c r="O676" t="n">
        <v>0</v>
      </c>
      <c r="P676" t="n">
        <v>0</v>
      </c>
      <c r="Q676" t="n">
        <v>0</v>
      </c>
      <c r="R676" s="2" t="inlineStr"/>
    </row>
    <row r="677" ht="15" customHeight="1">
      <c r="A677" t="inlineStr">
        <is>
          <t>A 53631-2025</t>
        </is>
      </c>
      <c r="B677" s="1" t="n">
        <v>45960.49898148148</v>
      </c>
      <c r="C677" s="1" t="n">
        <v>45987</v>
      </c>
      <c r="D677" t="inlineStr">
        <is>
          <t>JÄMTLANDS LÄN</t>
        </is>
      </c>
      <c r="E677" t="inlineStr">
        <is>
          <t>HÄRJEDALEN</t>
        </is>
      </c>
      <c r="F677" t="inlineStr">
        <is>
          <t>Bergvik skog väst AB</t>
        </is>
      </c>
      <c r="G677" t="n">
        <v>10</v>
      </c>
      <c r="H677" t="n">
        <v>0</v>
      </c>
      <c r="I677" t="n">
        <v>0</v>
      </c>
      <c r="J677" t="n">
        <v>0</v>
      </c>
      <c r="K677" t="n">
        <v>0</v>
      </c>
      <c r="L677" t="n">
        <v>0</v>
      </c>
      <c r="M677" t="n">
        <v>0</v>
      </c>
      <c r="N677" t="n">
        <v>0</v>
      </c>
      <c r="O677" t="n">
        <v>0</v>
      </c>
      <c r="P677" t="n">
        <v>0</v>
      </c>
      <c r="Q677" t="n">
        <v>0</v>
      </c>
      <c r="R677" s="2" t="inlineStr"/>
    </row>
    <row r="678" ht="15" customHeight="1">
      <c r="A678" t="inlineStr">
        <is>
          <t>A 34691-2025</t>
        </is>
      </c>
      <c r="B678" s="1" t="n">
        <v>45848.45113425926</v>
      </c>
      <c r="C678" s="1" t="n">
        <v>45987</v>
      </c>
      <c r="D678" t="inlineStr">
        <is>
          <t>JÄMTLANDS LÄN</t>
        </is>
      </c>
      <c r="E678" t="inlineStr">
        <is>
          <t>HÄRJEDALEN</t>
        </is>
      </c>
      <c r="F678" t="inlineStr">
        <is>
          <t>Bergvik skog väst AB</t>
        </is>
      </c>
      <c r="G678" t="n">
        <v>6.1</v>
      </c>
      <c r="H678" t="n">
        <v>0</v>
      </c>
      <c r="I678" t="n">
        <v>0</v>
      </c>
      <c r="J678" t="n">
        <v>0</v>
      </c>
      <c r="K678" t="n">
        <v>0</v>
      </c>
      <c r="L678" t="n">
        <v>0</v>
      </c>
      <c r="M678" t="n">
        <v>0</v>
      </c>
      <c r="N678" t="n">
        <v>0</v>
      </c>
      <c r="O678" t="n">
        <v>0</v>
      </c>
      <c r="P678" t="n">
        <v>0</v>
      </c>
      <c r="Q678" t="n">
        <v>0</v>
      </c>
      <c r="R678" s="2" t="inlineStr"/>
    </row>
    <row r="679" ht="15" customHeight="1">
      <c r="A679" t="inlineStr">
        <is>
          <t>A 34767-2025</t>
        </is>
      </c>
      <c r="B679" s="1" t="n">
        <v>45848.65003472222</v>
      </c>
      <c r="C679" s="1" t="n">
        <v>45987</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34570-2025</t>
        </is>
      </c>
      <c r="B680" s="1" t="n">
        <v>45847.58865740741</v>
      </c>
      <c r="C680" s="1" t="n">
        <v>45987</v>
      </c>
      <c r="D680" t="inlineStr">
        <is>
          <t>JÄMTLANDS LÄN</t>
        </is>
      </c>
      <c r="E680" t="inlineStr">
        <is>
          <t>HÄRJEDALEN</t>
        </is>
      </c>
      <c r="F680" t="inlineStr">
        <is>
          <t>Bergvik skog väst AB</t>
        </is>
      </c>
      <c r="G680" t="n">
        <v>19.1</v>
      </c>
      <c r="H680" t="n">
        <v>0</v>
      </c>
      <c r="I680" t="n">
        <v>0</v>
      </c>
      <c r="J680" t="n">
        <v>0</v>
      </c>
      <c r="K680" t="n">
        <v>0</v>
      </c>
      <c r="L680" t="n">
        <v>0</v>
      </c>
      <c r="M680" t="n">
        <v>0</v>
      </c>
      <c r="N680" t="n">
        <v>0</v>
      </c>
      <c r="O680" t="n">
        <v>0</v>
      </c>
      <c r="P680" t="n">
        <v>0</v>
      </c>
      <c r="Q680" t="n">
        <v>0</v>
      </c>
      <c r="R680" s="2" t="inlineStr"/>
    </row>
    <row r="681" ht="15" customHeight="1">
      <c r="A681" t="inlineStr">
        <is>
          <t>A 55661-2024</t>
        </is>
      </c>
      <c r="B681" s="1" t="n">
        <v>45622.64012731481</v>
      </c>
      <c r="C681" s="1" t="n">
        <v>45987</v>
      </c>
      <c r="D681" t="inlineStr">
        <is>
          <t>JÄMTLANDS LÄN</t>
        </is>
      </c>
      <c r="E681" t="inlineStr">
        <is>
          <t>HÄRJEDALEN</t>
        </is>
      </c>
      <c r="F681" t="inlineStr">
        <is>
          <t>Bergvik skog väst AB</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53523-2025</t>
        </is>
      </c>
      <c r="B682" s="1" t="n">
        <v>45960.36037037037</v>
      </c>
      <c r="C682" s="1" t="n">
        <v>45987</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28627-2024</t>
        </is>
      </c>
      <c r="B683" s="1" t="n">
        <v>45478.44497685185</v>
      </c>
      <c r="C683" s="1" t="n">
        <v>45987</v>
      </c>
      <c r="D683" t="inlineStr">
        <is>
          <t>JÄMTLANDS LÄN</t>
        </is>
      </c>
      <c r="E683" t="inlineStr">
        <is>
          <t>HÄRJEDALEN</t>
        </is>
      </c>
      <c r="F683" t="inlineStr">
        <is>
          <t>Bergvik skog väst AB</t>
        </is>
      </c>
      <c r="G683" t="n">
        <v>0.2</v>
      </c>
      <c r="H683" t="n">
        <v>0</v>
      </c>
      <c r="I683" t="n">
        <v>0</v>
      </c>
      <c r="J683" t="n">
        <v>0</v>
      </c>
      <c r="K683" t="n">
        <v>0</v>
      </c>
      <c r="L683" t="n">
        <v>0</v>
      </c>
      <c r="M683" t="n">
        <v>0</v>
      </c>
      <c r="N683" t="n">
        <v>0</v>
      </c>
      <c r="O683" t="n">
        <v>0</v>
      </c>
      <c r="P683" t="n">
        <v>0</v>
      </c>
      <c r="Q683" t="n">
        <v>0</v>
      </c>
      <c r="R683" s="2" t="inlineStr"/>
    </row>
    <row r="684" ht="15" customHeight="1">
      <c r="A684" t="inlineStr">
        <is>
          <t>A 35154-2025</t>
        </is>
      </c>
      <c r="B684" s="1" t="n">
        <v>45852</v>
      </c>
      <c r="C684" s="1" t="n">
        <v>45987</v>
      </c>
      <c r="D684" t="inlineStr">
        <is>
          <t>JÄMTLANDS LÄN</t>
        </is>
      </c>
      <c r="E684" t="inlineStr">
        <is>
          <t>HÄRJEDALEN</t>
        </is>
      </c>
      <c r="G684" t="n">
        <v>14.1</v>
      </c>
      <c r="H684" t="n">
        <v>0</v>
      </c>
      <c r="I684" t="n">
        <v>0</v>
      </c>
      <c r="J684" t="n">
        <v>0</v>
      </c>
      <c r="K684" t="n">
        <v>0</v>
      </c>
      <c r="L684" t="n">
        <v>0</v>
      </c>
      <c r="M684" t="n">
        <v>0</v>
      </c>
      <c r="N684" t="n">
        <v>0</v>
      </c>
      <c r="O684" t="n">
        <v>0</v>
      </c>
      <c r="P684" t="n">
        <v>0</v>
      </c>
      <c r="Q684" t="n">
        <v>0</v>
      </c>
      <c r="R684" s="2" t="inlineStr"/>
    </row>
    <row r="685" ht="15" customHeight="1">
      <c r="A685" t="inlineStr">
        <is>
          <t>A 53613-2025</t>
        </is>
      </c>
      <c r="B685" s="1" t="n">
        <v>45960.47413194444</v>
      </c>
      <c r="C685" s="1" t="n">
        <v>45987</v>
      </c>
      <c r="D685" t="inlineStr">
        <is>
          <t>JÄMTLANDS LÄN</t>
        </is>
      </c>
      <c r="E685" t="inlineStr">
        <is>
          <t>HÄRJEDALEN</t>
        </is>
      </c>
      <c r="F685" t="inlineStr">
        <is>
          <t>Holmen skog AB</t>
        </is>
      </c>
      <c r="G685" t="n">
        <v>4.3</v>
      </c>
      <c r="H685" t="n">
        <v>0</v>
      </c>
      <c r="I685" t="n">
        <v>0</v>
      </c>
      <c r="J685" t="n">
        <v>0</v>
      </c>
      <c r="K685" t="n">
        <v>0</v>
      </c>
      <c r="L685" t="n">
        <v>0</v>
      </c>
      <c r="M685" t="n">
        <v>0</v>
      </c>
      <c r="N685" t="n">
        <v>0</v>
      </c>
      <c r="O685" t="n">
        <v>0</v>
      </c>
      <c r="P685" t="n">
        <v>0</v>
      </c>
      <c r="Q685" t="n">
        <v>0</v>
      </c>
      <c r="R685" s="2" t="inlineStr"/>
    </row>
    <row r="686" ht="15" customHeight="1">
      <c r="A686" t="inlineStr">
        <is>
          <t>A 59462-2024</t>
        </is>
      </c>
      <c r="B686" s="1" t="n">
        <v>45638</v>
      </c>
      <c r="C686" s="1" t="n">
        <v>45987</v>
      </c>
      <c r="D686" t="inlineStr">
        <is>
          <t>JÄMTLANDS LÄN</t>
        </is>
      </c>
      <c r="E686" t="inlineStr">
        <is>
          <t>HÄRJEDALEN</t>
        </is>
      </c>
      <c r="F686" t="inlineStr">
        <is>
          <t>Holmen skog AB</t>
        </is>
      </c>
      <c r="G686" t="n">
        <v>9.6</v>
      </c>
      <c r="H686" t="n">
        <v>0</v>
      </c>
      <c r="I686" t="n">
        <v>0</v>
      </c>
      <c r="J686" t="n">
        <v>0</v>
      </c>
      <c r="K686" t="n">
        <v>0</v>
      </c>
      <c r="L686" t="n">
        <v>0</v>
      </c>
      <c r="M686" t="n">
        <v>0</v>
      </c>
      <c r="N686" t="n">
        <v>0</v>
      </c>
      <c r="O686" t="n">
        <v>0</v>
      </c>
      <c r="P686" t="n">
        <v>0</v>
      </c>
      <c r="Q686" t="n">
        <v>0</v>
      </c>
      <c r="R686" s="2" t="inlineStr"/>
    </row>
    <row r="687" ht="15" customHeight="1">
      <c r="A687" t="inlineStr">
        <is>
          <t>A 51191-2024</t>
        </is>
      </c>
      <c r="B687" s="1" t="n">
        <v>45603</v>
      </c>
      <c r="C687" s="1" t="n">
        <v>45987</v>
      </c>
      <c r="D687" t="inlineStr">
        <is>
          <t>JÄMTLANDS LÄN</t>
        </is>
      </c>
      <c r="E687" t="inlineStr">
        <is>
          <t>HÄRJEDALEN</t>
        </is>
      </c>
      <c r="F687" t="inlineStr">
        <is>
          <t>Holmen skog AB</t>
        </is>
      </c>
      <c r="G687" t="n">
        <v>9.1</v>
      </c>
      <c r="H687" t="n">
        <v>0</v>
      </c>
      <c r="I687" t="n">
        <v>0</v>
      </c>
      <c r="J687" t="n">
        <v>0</v>
      </c>
      <c r="K687" t="n">
        <v>0</v>
      </c>
      <c r="L687" t="n">
        <v>0</v>
      </c>
      <c r="M687" t="n">
        <v>0</v>
      </c>
      <c r="N687" t="n">
        <v>0</v>
      </c>
      <c r="O687" t="n">
        <v>0</v>
      </c>
      <c r="P687" t="n">
        <v>0</v>
      </c>
      <c r="Q687" t="n">
        <v>0</v>
      </c>
      <c r="R687" s="2" t="inlineStr"/>
    </row>
    <row r="688" ht="15" customHeight="1">
      <c r="A688" t="inlineStr">
        <is>
          <t>A 35076-2025</t>
        </is>
      </c>
      <c r="B688" s="1" t="n">
        <v>45852.48290509259</v>
      </c>
      <c r="C688" s="1" t="n">
        <v>45987</v>
      </c>
      <c r="D688" t="inlineStr">
        <is>
          <t>JÄMTLANDS LÄN</t>
        </is>
      </c>
      <c r="E688" t="inlineStr">
        <is>
          <t>HÄRJEDALEN</t>
        </is>
      </c>
      <c r="G688" t="n">
        <v>2.9</v>
      </c>
      <c r="H688" t="n">
        <v>0</v>
      </c>
      <c r="I688" t="n">
        <v>0</v>
      </c>
      <c r="J688" t="n">
        <v>0</v>
      </c>
      <c r="K688" t="n">
        <v>0</v>
      </c>
      <c r="L688" t="n">
        <v>0</v>
      </c>
      <c r="M688" t="n">
        <v>0</v>
      </c>
      <c r="N688" t="n">
        <v>0</v>
      </c>
      <c r="O688" t="n">
        <v>0</v>
      </c>
      <c r="P688" t="n">
        <v>0</v>
      </c>
      <c r="Q688" t="n">
        <v>0</v>
      </c>
      <c r="R688" s="2" t="inlineStr"/>
    </row>
    <row r="689" ht="15" customHeight="1">
      <c r="A689" t="inlineStr">
        <is>
          <t>A 34807-2025</t>
        </is>
      </c>
      <c r="B689" s="1" t="n">
        <v>45849</v>
      </c>
      <c r="C689" s="1" t="n">
        <v>45987</v>
      </c>
      <c r="D689" t="inlineStr">
        <is>
          <t>JÄMTLANDS LÄN</t>
        </is>
      </c>
      <c r="E689" t="inlineStr">
        <is>
          <t>HÄRJEDALEN</t>
        </is>
      </c>
      <c r="G689" t="n">
        <v>6.6</v>
      </c>
      <c r="H689" t="n">
        <v>0</v>
      </c>
      <c r="I689" t="n">
        <v>0</v>
      </c>
      <c r="J689" t="n">
        <v>0</v>
      </c>
      <c r="K689" t="n">
        <v>0</v>
      </c>
      <c r="L689" t="n">
        <v>0</v>
      </c>
      <c r="M689" t="n">
        <v>0</v>
      </c>
      <c r="N689" t="n">
        <v>0</v>
      </c>
      <c r="O689" t="n">
        <v>0</v>
      </c>
      <c r="P689" t="n">
        <v>0</v>
      </c>
      <c r="Q689" t="n">
        <v>0</v>
      </c>
      <c r="R689" s="2" t="inlineStr"/>
    </row>
    <row r="690" ht="15" customHeight="1">
      <c r="A690" t="inlineStr">
        <is>
          <t>A 53010-2024</t>
        </is>
      </c>
      <c r="B690" s="1" t="n">
        <v>45611.4021875</v>
      </c>
      <c r="C690" s="1" t="n">
        <v>45987</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35241-2025</t>
        </is>
      </c>
      <c r="B691" s="1" t="n">
        <v>45853.61865740741</v>
      </c>
      <c r="C691" s="1" t="n">
        <v>45987</v>
      </c>
      <c r="D691" t="inlineStr">
        <is>
          <t>JÄMTLANDS LÄN</t>
        </is>
      </c>
      <c r="E691" t="inlineStr">
        <is>
          <t>HÄRJEDALEN</t>
        </is>
      </c>
      <c r="G691" t="n">
        <v>8.6</v>
      </c>
      <c r="H691" t="n">
        <v>0</v>
      </c>
      <c r="I691" t="n">
        <v>0</v>
      </c>
      <c r="J691" t="n">
        <v>0</v>
      </c>
      <c r="K691" t="n">
        <v>0</v>
      </c>
      <c r="L691" t="n">
        <v>0</v>
      </c>
      <c r="M691" t="n">
        <v>0</v>
      </c>
      <c r="N691" t="n">
        <v>0</v>
      </c>
      <c r="O691" t="n">
        <v>0</v>
      </c>
      <c r="P691" t="n">
        <v>0</v>
      </c>
      <c r="Q691" t="n">
        <v>0</v>
      </c>
      <c r="R691" s="2" t="inlineStr"/>
    </row>
    <row r="692" ht="15" customHeight="1">
      <c r="A692" t="inlineStr">
        <is>
          <t>A 35243-2025</t>
        </is>
      </c>
      <c r="B692" s="1" t="n">
        <v>45853.62415509259</v>
      </c>
      <c r="C692" s="1" t="n">
        <v>45987</v>
      </c>
      <c r="D692" t="inlineStr">
        <is>
          <t>JÄMTLANDS LÄN</t>
        </is>
      </c>
      <c r="E692" t="inlineStr">
        <is>
          <t>HÄRJEDALEN</t>
        </is>
      </c>
      <c r="F692" t="inlineStr">
        <is>
          <t>Bergvik skog väst AB</t>
        </is>
      </c>
      <c r="G692" t="n">
        <v>12</v>
      </c>
      <c r="H692" t="n">
        <v>0</v>
      </c>
      <c r="I692" t="n">
        <v>0</v>
      </c>
      <c r="J692" t="n">
        <v>0</v>
      </c>
      <c r="K692" t="n">
        <v>0</v>
      </c>
      <c r="L692" t="n">
        <v>0</v>
      </c>
      <c r="M692" t="n">
        <v>0</v>
      </c>
      <c r="N692" t="n">
        <v>0</v>
      </c>
      <c r="O692" t="n">
        <v>0</v>
      </c>
      <c r="P692" t="n">
        <v>0</v>
      </c>
      <c r="Q692" t="n">
        <v>0</v>
      </c>
      <c r="R692" s="2" t="inlineStr"/>
    </row>
    <row r="693" ht="15" customHeight="1">
      <c r="A693" t="inlineStr">
        <is>
          <t>A 55867-2024</t>
        </is>
      </c>
      <c r="B693" s="1" t="n">
        <v>45622</v>
      </c>
      <c r="C693" s="1" t="n">
        <v>45987</v>
      </c>
      <c r="D693" t="inlineStr">
        <is>
          <t>JÄMTLANDS LÄN</t>
        </is>
      </c>
      <c r="E693" t="inlineStr">
        <is>
          <t>HÄRJEDALEN</t>
        </is>
      </c>
      <c r="F693" t="inlineStr">
        <is>
          <t>Bergvik skog väst AB</t>
        </is>
      </c>
      <c r="G693" t="n">
        <v>14.4</v>
      </c>
      <c r="H693" t="n">
        <v>0</v>
      </c>
      <c r="I693" t="n">
        <v>0</v>
      </c>
      <c r="J693" t="n">
        <v>0</v>
      </c>
      <c r="K693" t="n">
        <v>0</v>
      </c>
      <c r="L693" t="n">
        <v>0</v>
      </c>
      <c r="M693" t="n">
        <v>0</v>
      </c>
      <c r="N693" t="n">
        <v>0</v>
      </c>
      <c r="O693" t="n">
        <v>0</v>
      </c>
      <c r="P693" t="n">
        <v>0</v>
      </c>
      <c r="Q693" t="n">
        <v>0</v>
      </c>
      <c r="R693" s="2" t="inlineStr"/>
    </row>
    <row r="694" ht="15" customHeight="1">
      <c r="A694" t="inlineStr">
        <is>
          <t>A 35182-2025</t>
        </is>
      </c>
      <c r="B694" s="1" t="n">
        <v>45853.28325231482</v>
      </c>
      <c r="C694" s="1" t="n">
        <v>45987</v>
      </c>
      <c r="D694" t="inlineStr">
        <is>
          <t>JÄMTLANDS LÄN</t>
        </is>
      </c>
      <c r="E694" t="inlineStr">
        <is>
          <t>HÄRJEDALEN</t>
        </is>
      </c>
      <c r="G694" t="n">
        <v>32.6</v>
      </c>
      <c r="H694" t="n">
        <v>0</v>
      </c>
      <c r="I694" t="n">
        <v>0</v>
      </c>
      <c r="J694" t="n">
        <v>0</v>
      </c>
      <c r="K694" t="n">
        <v>0</v>
      </c>
      <c r="L694" t="n">
        <v>0</v>
      </c>
      <c r="M694" t="n">
        <v>0</v>
      </c>
      <c r="N694" t="n">
        <v>0</v>
      </c>
      <c r="O694" t="n">
        <v>0</v>
      </c>
      <c r="P694" t="n">
        <v>0</v>
      </c>
      <c r="Q694" t="n">
        <v>0</v>
      </c>
      <c r="R694" s="2" t="inlineStr"/>
    </row>
    <row r="695" ht="15" customHeight="1">
      <c r="A695" t="inlineStr">
        <is>
          <t>A 54682-2024</t>
        </is>
      </c>
      <c r="B695" s="1" t="n">
        <v>45618</v>
      </c>
      <c r="C695" s="1" t="n">
        <v>45987</v>
      </c>
      <c r="D695" t="inlineStr">
        <is>
          <t>JÄMTLANDS LÄN</t>
        </is>
      </c>
      <c r="E695" t="inlineStr">
        <is>
          <t>HÄRJEDALEN</t>
        </is>
      </c>
      <c r="G695" t="n">
        <v>14.2</v>
      </c>
      <c r="H695" t="n">
        <v>0</v>
      </c>
      <c r="I695" t="n">
        <v>0</v>
      </c>
      <c r="J695" t="n">
        <v>0</v>
      </c>
      <c r="K695" t="n">
        <v>0</v>
      </c>
      <c r="L695" t="n">
        <v>0</v>
      </c>
      <c r="M695" t="n">
        <v>0</v>
      </c>
      <c r="N695" t="n">
        <v>0</v>
      </c>
      <c r="O695" t="n">
        <v>0</v>
      </c>
      <c r="P695" t="n">
        <v>0</v>
      </c>
      <c r="Q695" t="n">
        <v>0</v>
      </c>
      <c r="R695" s="2" t="inlineStr"/>
    </row>
    <row r="696" ht="15" customHeight="1">
      <c r="A696" t="inlineStr">
        <is>
          <t>A 35297-2025</t>
        </is>
      </c>
      <c r="B696" s="1" t="n">
        <v>45854.40662037037</v>
      </c>
      <c r="C696" s="1" t="n">
        <v>45987</v>
      </c>
      <c r="D696" t="inlineStr">
        <is>
          <t>JÄMTLANDS LÄN</t>
        </is>
      </c>
      <c r="E696" t="inlineStr">
        <is>
          <t>HÄRJEDALEN</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45562-2025</t>
        </is>
      </c>
      <c r="B697" s="1" t="n">
        <v>45922.64740740741</v>
      </c>
      <c r="C697" s="1" t="n">
        <v>45987</v>
      </c>
      <c r="D697" t="inlineStr">
        <is>
          <t>JÄMTLANDS LÄN</t>
        </is>
      </c>
      <c r="E697" t="inlineStr">
        <is>
          <t>HÄRJEDALEN</t>
        </is>
      </c>
      <c r="G697" t="n">
        <v>11.6</v>
      </c>
      <c r="H697" t="n">
        <v>0</v>
      </c>
      <c r="I697" t="n">
        <v>0</v>
      </c>
      <c r="J697" t="n">
        <v>0</v>
      </c>
      <c r="K697" t="n">
        <v>0</v>
      </c>
      <c r="L697" t="n">
        <v>0</v>
      </c>
      <c r="M697" t="n">
        <v>0</v>
      </c>
      <c r="N697" t="n">
        <v>0</v>
      </c>
      <c r="O697" t="n">
        <v>0</v>
      </c>
      <c r="P697" t="n">
        <v>0</v>
      </c>
      <c r="Q697" t="n">
        <v>0</v>
      </c>
      <c r="R697" s="2" t="inlineStr"/>
    </row>
    <row r="698" ht="15" customHeight="1">
      <c r="A698" t="inlineStr">
        <is>
          <t>A 35309-2025</t>
        </is>
      </c>
      <c r="B698" s="1" t="n">
        <v>45854.44850694444</v>
      </c>
      <c r="C698" s="1" t="n">
        <v>45987</v>
      </c>
      <c r="D698" t="inlineStr">
        <is>
          <t>JÄMTLANDS LÄN</t>
        </is>
      </c>
      <c r="E698" t="inlineStr">
        <is>
          <t>HÄRJEDALEN</t>
        </is>
      </c>
      <c r="F698" t="inlineStr">
        <is>
          <t>SCA</t>
        </is>
      </c>
      <c r="G698" t="n">
        <v>10.2</v>
      </c>
      <c r="H698" t="n">
        <v>0</v>
      </c>
      <c r="I698" t="n">
        <v>0</v>
      </c>
      <c r="J698" t="n">
        <v>0</v>
      </c>
      <c r="K698" t="n">
        <v>0</v>
      </c>
      <c r="L698" t="n">
        <v>0</v>
      </c>
      <c r="M698" t="n">
        <v>0</v>
      </c>
      <c r="N698" t="n">
        <v>0</v>
      </c>
      <c r="O698" t="n">
        <v>0</v>
      </c>
      <c r="P698" t="n">
        <v>0</v>
      </c>
      <c r="Q698" t="n">
        <v>0</v>
      </c>
      <c r="R698" s="2" t="inlineStr"/>
    </row>
    <row r="699" ht="15" customHeight="1">
      <c r="A699" t="inlineStr">
        <is>
          <t>A 35310-2025</t>
        </is>
      </c>
      <c r="B699" s="1" t="n">
        <v>45854.44864583333</v>
      </c>
      <c r="C699" s="1" t="n">
        <v>45987</v>
      </c>
      <c r="D699" t="inlineStr">
        <is>
          <t>JÄMTLANDS LÄN</t>
        </is>
      </c>
      <c r="E699" t="inlineStr">
        <is>
          <t>HÄRJEDALEN</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43623-2024</t>
        </is>
      </c>
      <c r="B700" s="1" t="n">
        <v>45569.48626157407</v>
      </c>
      <c r="C700" s="1" t="n">
        <v>45987</v>
      </c>
      <c r="D700" t="inlineStr">
        <is>
          <t>JÄMTLANDS LÄN</t>
        </is>
      </c>
      <c r="E700" t="inlineStr">
        <is>
          <t>HÄRJEDALEN</t>
        </is>
      </c>
      <c r="G700" t="n">
        <v>3.4</v>
      </c>
      <c r="H700" t="n">
        <v>0</v>
      </c>
      <c r="I700" t="n">
        <v>0</v>
      </c>
      <c r="J700" t="n">
        <v>0</v>
      </c>
      <c r="K700" t="n">
        <v>0</v>
      </c>
      <c r="L700" t="n">
        <v>0</v>
      </c>
      <c r="M700" t="n">
        <v>0</v>
      </c>
      <c r="N700" t="n">
        <v>0</v>
      </c>
      <c r="O700" t="n">
        <v>0</v>
      </c>
      <c r="P700" t="n">
        <v>0</v>
      </c>
      <c r="Q700" t="n">
        <v>0</v>
      </c>
      <c r="R700" s="2" t="inlineStr"/>
    </row>
    <row r="701" ht="15" customHeight="1">
      <c r="A701" t="inlineStr">
        <is>
          <t>A 45455-2025</t>
        </is>
      </c>
      <c r="B701" s="1" t="n">
        <v>45922.49034722222</v>
      </c>
      <c r="C701" s="1" t="n">
        <v>45987</v>
      </c>
      <c r="D701" t="inlineStr">
        <is>
          <t>JÄMTLANDS LÄN</t>
        </is>
      </c>
      <c r="E701" t="inlineStr">
        <is>
          <t>HÄRJEDALEN</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53980-2025</t>
        </is>
      </c>
      <c r="B702" s="1" t="n">
        <v>45961.56611111111</v>
      </c>
      <c r="C702" s="1" t="n">
        <v>45987</v>
      </c>
      <c r="D702" t="inlineStr">
        <is>
          <t>JÄMTLANDS LÄN</t>
        </is>
      </c>
      <c r="E702" t="inlineStr">
        <is>
          <t>HÄRJEDALEN</t>
        </is>
      </c>
      <c r="G702" t="n">
        <v>2.3</v>
      </c>
      <c r="H702" t="n">
        <v>0</v>
      </c>
      <c r="I702" t="n">
        <v>0</v>
      </c>
      <c r="J702" t="n">
        <v>0</v>
      </c>
      <c r="K702" t="n">
        <v>0</v>
      </c>
      <c r="L702" t="n">
        <v>0</v>
      </c>
      <c r="M702" t="n">
        <v>0</v>
      </c>
      <c r="N702" t="n">
        <v>0</v>
      </c>
      <c r="O702" t="n">
        <v>0</v>
      </c>
      <c r="P702" t="n">
        <v>0</v>
      </c>
      <c r="Q702" t="n">
        <v>0</v>
      </c>
      <c r="R702" s="2" t="inlineStr"/>
    </row>
    <row r="703" ht="15" customHeight="1">
      <c r="A703" t="inlineStr">
        <is>
          <t>A 45457-2025</t>
        </is>
      </c>
      <c r="B703" s="1" t="n">
        <v>45922.49168981481</v>
      </c>
      <c r="C703" s="1" t="n">
        <v>45987</v>
      </c>
      <c r="D703" t="inlineStr">
        <is>
          <t>JÄMTLANDS LÄN</t>
        </is>
      </c>
      <c r="E703" t="inlineStr">
        <is>
          <t>HÄRJEDALEN</t>
        </is>
      </c>
      <c r="F703" t="inlineStr">
        <is>
          <t>Bergvik skog väst AB</t>
        </is>
      </c>
      <c r="G703" t="n">
        <v>45.8</v>
      </c>
      <c r="H703" t="n">
        <v>0</v>
      </c>
      <c r="I703" t="n">
        <v>0</v>
      </c>
      <c r="J703" t="n">
        <v>0</v>
      </c>
      <c r="K703" t="n">
        <v>0</v>
      </c>
      <c r="L703" t="n">
        <v>0</v>
      </c>
      <c r="M703" t="n">
        <v>0</v>
      </c>
      <c r="N703" t="n">
        <v>0</v>
      </c>
      <c r="O703" t="n">
        <v>0</v>
      </c>
      <c r="P703" t="n">
        <v>0</v>
      </c>
      <c r="Q703" t="n">
        <v>0</v>
      </c>
      <c r="R703" s="2" t="inlineStr"/>
    </row>
    <row r="704" ht="15" customHeight="1">
      <c r="A704" t="inlineStr">
        <is>
          <t>A 29772-2023</t>
        </is>
      </c>
      <c r="B704" s="1" t="n">
        <v>45107</v>
      </c>
      <c r="C704" s="1" t="n">
        <v>45987</v>
      </c>
      <c r="D704" t="inlineStr">
        <is>
          <t>JÄMTLANDS LÄN</t>
        </is>
      </c>
      <c r="E704" t="inlineStr">
        <is>
          <t>HÄRJEDALEN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45100-2025</t>
        </is>
      </c>
      <c r="B705" s="1" t="n">
        <v>45919</v>
      </c>
      <c r="C705" s="1" t="n">
        <v>45987</v>
      </c>
      <c r="D705" t="inlineStr">
        <is>
          <t>JÄMTLANDS LÄN</t>
        </is>
      </c>
      <c r="E705" t="inlineStr">
        <is>
          <t>HÄRJEDALEN</t>
        </is>
      </c>
      <c r="F705" t="inlineStr">
        <is>
          <t>Bergvik skog väst AB</t>
        </is>
      </c>
      <c r="G705" t="n">
        <v>22.4</v>
      </c>
      <c r="H705" t="n">
        <v>0</v>
      </c>
      <c r="I705" t="n">
        <v>0</v>
      </c>
      <c r="J705" t="n">
        <v>0</v>
      </c>
      <c r="K705" t="n">
        <v>0</v>
      </c>
      <c r="L705" t="n">
        <v>0</v>
      </c>
      <c r="M705" t="n">
        <v>0</v>
      </c>
      <c r="N705" t="n">
        <v>0</v>
      </c>
      <c r="O705" t="n">
        <v>0</v>
      </c>
      <c r="P705" t="n">
        <v>0</v>
      </c>
      <c r="Q705" t="n">
        <v>0</v>
      </c>
      <c r="R705" s="2" t="inlineStr"/>
    </row>
    <row r="706" ht="15" customHeight="1">
      <c r="A706" t="inlineStr">
        <is>
          <t>A 35634-2025</t>
        </is>
      </c>
      <c r="B706" s="1" t="n">
        <v>45859</v>
      </c>
      <c r="C706" s="1" t="n">
        <v>45987</v>
      </c>
      <c r="D706" t="inlineStr">
        <is>
          <t>JÄMTLANDS LÄN</t>
        </is>
      </c>
      <c r="E706" t="inlineStr">
        <is>
          <t>HÄRJEDALEN</t>
        </is>
      </c>
      <c r="G706" t="n">
        <v>9.1</v>
      </c>
      <c r="H706" t="n">
        <v>0</v>
      </c>
      <c r="I706" t="n">
        <v>0</v>
      </c>
      <c r="J706" t="n">
        <v>0</v>
      </c>
      <c r="K706" t="n">
        <v>0</v>
      </c>
      <c r="L706" t="n">
        <v>0</v>
      </c>
      <c r="M706" t="n">
        <v>0</v>
      </c>
      <c r="N706" t="n">
        <v>0</v>
      </c>
      <c r="O706" t="n">
        <v>0</v>
      </c>
      <c r="P706" t="n">
        <v>0</v>
      </c>
      <c r="Q706" t="n">
        <v>0</v>
      </c>
      <c r="R706" s="2" t="inlineStr"/>
    </row>
    <row r="707" ht="15" customHeight="1">
      <c r="A707" t="inlineStr">
        <is>
          <t>A 45179-2025</t>
        </is>
      </c>
      <c r="B707" s="1" t="n">
        <v>45919.52993055555</v>
      </c>
      <c r="C707" s="1" t="n">
        <v>45987</v>
      </c>
      <c r="D707" t="inlineStr">
        <is>
          <t>JÄMTLANDS LÄN</t>
        </is>
      </c>
      <c r="E707" t="inlineStr">
        <is>
          <t>HÄRJEDALEN</t>
        </is>
      </c>
      <c r="F707" t="inlineStr">
        <is>
          <t>Bergvik skog väst AB</t>
        </is>
      </c>
      <c r="G707" t="n">
        <v>7.7</v>
      </c>
      <c r="H707" t="n">
        <v>0</v>
      </c>
      <c r="I707" t="n">
        <v>0</v>
      </c>
      <c r="J707" t="n">
        <v>0</v>
      </c>
      <c r="K707" t="n">
        <v>0</v>
      </c>
      <c r="L707" t="n">
        <v>0</v>
      </c>
      <c r="M707" t="n">
        <v>0</v>
      </c>
      <c r="N707" t="n">
        <v>0</v>
      </c>
      <c r="O707" t="n">
        <v>0</v>
      </c>
      <c r="P707" t="n">
        <v>0</v>
      </c>
      <c r="Q707" t="n">
        <v>0</v>
      </c>
      <c r="R707" s="2" t="inlineStr"/>
    </row>
    <row r="708" ht="15" customHeight="1">
      <c r="A708" t="inlineStr">
        <is>
          <t>A 12450-2025</t>
        </is>
      </c>
      <c r="B708" s="1" t="n">
        <v>45730</v>
      </c>
      <c r="C708" s="1" t="n">
        <v>45987</v>
      </c>
      <c r="D708" t="inlineStr">
        <is>
          <t>JÄMTLANDS LÄN</t>
        </is>
      </c>
      <c r="E708" t="inlineStr">
        <is>
          <t>HÄRJEDALEN</t>
        </is>
      </c>
      <c r="G708" t="n">
        <v>7.6</v>
      </c>
      <c r="H708" t="n">
        <v>0</v>
      </c>
      <c r="I708" t="n">
        <v>0</v>
      </c>
      <c r="J708" t="n">
        <v>0</v>
      </c>
      <c r="K708" t="n">
        <v>0</v>
      </c>
      <c r="L708" t="n">
        <v>0</v>
      </c>
      <c r="M708" t="n">
        <v>0</v>
      </c>
      <c r="N708" t="n">
        <v>0</v>
      </c>
      <c r="O708" t="n">
        <v>0</v>
      </c>
      <c r="P708" t="n">
        <v>0</v>
      </c>
      <c r="Q708" t="n">
        <v>0</v>
      </c>
      <c r="R708" s="2" t="inlineStr"/>
    </row>
    <row r="709" ht="15" customHeight="1">
      <c r="A709" t="inlineStr">
        <is>
          <t>A 35810-2025</t>
        </is>
      </c>
      <c r="B709" s="1" t="n">
        <v>45861</v>
      </c>
      <c r="C709" s="1" t="n">
        <v>45987</v>
      </c>
      <c r="D709" t="inlineStr">
        <is>
          <t>JÄMTLANDS LÄN</t>
        </is>
      </c>
      <c r="E709" t="inlineStr">
        <is>
          <t>HÄRJEDALEN</t>
        </is>
      </c>
      <c r="F709" t="inlineStr">
        <is>
          <t>Bergvik skog väst AB</t>
        </is>
      </c>
      <c r="G709" t="n">
        <v>41.3</v>
      </c>
      <c r="H709" t="n">
        <v>0</v>
      </c>
      <c r="I709" t="n">
        <v>0</v>
      </c>
      <c r="J709" t="n">
        <v>0</v>
      </c>
      <c r="K709" t="n">
        <v>0</v>
      </c>
      <c r="L709" t="n">
        <v>0</v>
      </c>
      <c r="M709" t="n">
        <v>0</v>
      </c>
      <c r="N709" t="n">
        <v>0</v>
      </c>
      <c r="O709" t="n">
        <v>0</v>
      </c>
      <c r="P709" t="n">
        <v>0</v>
      </c>
      <c r="Q709" t="n">
        <v>0</v>
      </c>
      <c r="R709" s="2" t="inlineStr"/>
    </row>
    <row r="710" ht="15" customHeight="1">
      <c r="A710" t="inlineStr">
        <is>
          <t>A 53992-2025</t>
        </is>
      </c>
      <c r="B710" s="1" t="n">
        <v>45961.58226851852</v>
      </c>
      <c r="C710" s="1" t="n">
        <v>45987</v>
      </c>
      <c r="D710" t="inlineStr">
        <is>
          <t>JÄMTLANDS LÄN</t>
        </is>
      </c>
      <c r="E710" t="inlineStr">
        <is>
          <t>HÄRJEDALEN</t>
        </is>
      </c>
      <c r="G710" t="n">
        <v>1.9</v>
      </c>
      <c r="H710" t="n">
        <v>0</v>
      </c>
      <c r="I710" t="n">
        <v>0</v>
      </c>
      <c r="J710" t="n">
        <v>0</v>
      </c>
      <c r="K710" t="n">
        <v>0</v>
      </c>
      <c r="L710" t="n">
        <v>0</v>
      </c>
      <c r="M710" t="n">
        <v>0</v>
      </c>
      <c r="N710" t="n">
        <v>0</v>
      </c>
      <c r="O710" t="n">
        <v>0</v>
      </c>
      <c r="P710" t="n">
        <v>0</v>
      </c>
      <c r="Q710" t="n">
        <v>0</v>
      </c>
      <c r="R710" s="2" t="inlineStr"/>
    </row>
    <row r="711" ht="15" customHeight="1">
      <c r="A711" t="inlineStr">
        <is>
          <t>A 17037-2025</t>
        </is>
      </c>
      <c r="B711" s="1" t="n">
        <v>45755</v>
      </c>
      <c r="C711" s="1" t="n">
        <v>45987</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12449-2025</t>
        </is>
      </c>
      <c r="B712" s="1" t="n">
        <v>45730</v>
      </c>
      <c r="C712" s="1" t="n">
        <v>45987</v>
      </c>
      <c r="D712" t="inlineStr">
        <is>
          <t>JÄMTLANDS LÄN</t>
        </is>
      </c>
      <c r="E712" t="inlineStr">
        <is>
          <t>HÄRJEDALEN</t>
        </is>
      </c>
      <c r="G712" t="n">
        <v>10.7</v>
      </c>
      <c r="H712" t="n">
        <v>0</v>
      </c>
      <c r="I712" t="n">
        <v>0</v>
      </c>
      <c r="J712" t="n">
        <v>0</v>
      </c>
      <c r="K712" t="n">
        <v>0</v>
      </c>
      <c r="L712" t="n">
        <v>0</v>
      </c>
      <c r="M712" t="n">
        <v>0</v>
      </c>
      <c r="N712" t="n">
        <v>0</v>
      </c>
      <c r="O712" t="n">
        <v>0</v>
      </c>
      <c r="P712" t="n">
        <v>0</v>
      </c>
      <c r="Q712" t="n">
        <v>0</v>
      </c>
      <c r="R712" s="2" t="inlineStr"/>
    </row>
    <row r="713" ht="15" customHeight="1">
      <c r="A713" t="inlineStr">
        <is>
          <t>A 58106-2024</t>
        </is>
      </c>
      <c r="B713" s="1" t="n">
        <v>45632</v>
      </c>
      <c r="C713" s="1" t="n">
        <v>45987</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12017-2025</t>
        </is>
      </c>
      <c r="B714" s="1" t="n">
        <v>45728</v>
      </c>
      <c r="C714" s="1" t="n">
        <v>45987</v>
      </c>
      <c r="D714" t="inlineStr">
        <is>
          <t>JÄMTLANDS LÄN</t>
        </is>
      </c>
      <c r="E714" t="inlineStr">
        <is>
          <t>HÄRJEDALEN</t>
        </is>
      </c>
      <c r="G714" t="n">
        <v>35.4</v>
      </c>
      <c r="H714" t="n">
        <v>0</v>
      </c>
      <c r="I714" t="n">
        <v>0</v>
      </c>
      <c r="J714" t="n">
        <v>0</v>
      </c>
      <c r="K714" t="n">
        <v>0</v>
      </c>
      <c r="L714" t="n">
        <v>0</v>
      </c>
      <c r="M714" t="n">
        <v>0</v>
      </c>
      <c r="N714" t="n">
        <v>0</v>
      </c>
      <c r="O714" t="n">
        <v>0</v>
      </c>
      <c r="P714" t="n">
        <v>0</v>
      </c>
      <c r="Q714" t="n">
        <v>0</v>
      </c>
      <c r="R714" s="2" t="inlineStr"/>
    </row>
    <row r="715" ht="15" customHeight="1">
      <c r="A715" t="inlineStr">
        <is>
          <t>A 36066-2025</t>
        </is>
      </c>
      <c r="B715" s="1" t="n">
        <v>45866.40701388889</v>
      </c>
      <c r="C715" s="1" t="n">
        <v>45987</v>
      </c>
      <c r="D715" t="inlineStr">
        <is>
          <t>JÄMTLANDS LÄN</t>
        </is>
      </c>
      <c r="E715" t="inlineStr">
        <is>
          <t>HÄRJEDALEN</t>
        </is>
      </c>
      <c r="G715" t="n">
        <v>21.8</v>
      </c>
      <c r="H715" t="n">
        <v>0</v>
      </c>
      <c r="I715" t="n">
        <v>0</v>
      </c>
      <c r="J715" t="n">
        <v>0</v>
      </c>
      <c r="K715" t="n">
        <v>0</v>
      </c>
      <c r="L715" t="n">
        <v>0</v>
      </c>
      <c r="M715" t="n">
        <v>0</v>
      </c>
      <c r="N715" t="n">
        <v>0</v>
      </c>
      <c r="O715" t="n">
        <v>0</v>
      </c>
      <c r="P715" t="n">
        <v>0</v>
      </c>
      <c r="Q715" t="n">
        <v>0</v>
      </c>
      <c r="R715" s="2" t="inlineStr"/>
    </row>
    <row r="716" ht="15" customHeight="1">
      <c r="A716" t="inlineStr">
        <is>
          <t>A 36133-2025</t>
        </is>
      </c>
      <c r="B716" s="1" t="n">
        <v>45866.62908564815</v>
      </c>
      <c r="C716" s="1" t="n">
        <v>45987</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52794-2024</t>
        </is>
      </c>
      <c r="B717" s="1" t="n">
        <v>45610.55846064815</v>
      </c>
      <c r="C717" s="1" t="n">
        <v>45987</v>
      </c>
      <c r="D717" t="inlineStr">
        <is>
          <t>JÄMTLANDS LÄN</t>
        </is>
      </c>
      <c r="E717" t="inlineStr">
        <is>
          <t>HÄRJEDALEN</t>
        </is>
      </c>
      <c r="F717" t="inlineStr">
        <is>
          <t>Holmen skog AB</t>
        </is>
      </c>
      <c r="G717" t="n">
        <v>5.9</v>
      </c>
      <c r="H717" t="n">
        <v>0</v>
      </c>
      <c r="I717" t="n">
        <v>0</v>
      </c>
      <c r="J717" t="n">
        <v>0</v>
      </c>
      <c r="K717" t="n">
        <v>0</v>
      </c>
      <c r="L717" t="n">
        <v>0</v>
      </c>
      <c r="M717" t="n">
        <v>0</v>
      </c>
      <c r="N717" t="n">
        <v>0</v>
      </c>
      <c r="O717" t="n">
        <v>0</v>
      </c>
      <c r="P717" t="n">
        <v>0</v>
      </c>
      <c r="Q717" t="n">
        <v>0</v>
      </c>
      <c r="R717" s="2" t="inlineStr"/>
    </row>
    <row r="718" ht="15" customHeight="1">
      <c r="A718" t="inlineStr">
        <is>
          <t>A 37638-2023</t>
        </is>
      </c>
      <c r="B718" s="1" t="n">
        <v>45159.46996527778</v>
      </c>
      <c r="C718" s="1" t="n">
        <v>45987</v>
      </c>
      <c r="D718" t="inlineStr">
        <is>
          <t>JÄMTLANDS LÄN</t>
        </is>
      </c>
      <c r="E718" t="inlineStr">
        <is>
          <t>HÄRJEDALEN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62708-2022</t>
        </is>
      </c>
      <c r="B719" s="1" t="n">
        <v>44925.60457175926</v>
      </c>
      <c r="C719" s="1" t="n">
        <v>45987</v>
      </c>
      <c r="D719" t="inlineStr">
        <is>
          <t>JÄMTLANDS LÄN</t>
        </is>
      </c>
      <c r="E719" t="inlineStr">
        <is>
          <t>HÄRJEDALEN</t>
        </is>
      </c>
      <c r="F719" t="inlineStr">
        <is>
          <t>Holmen skog AB</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62724-2022</t>
        </is>
      </c>
      <c r="B720" s="1" t="n">
        <v>44925.64309027778</v>
      </c>
      <c r="C720" s="1" t="n">
        <v>45987</v>
      </c>
      <c r="D720" t="inlineStr">
        <is>
          <t>JÄMTLANDS LÄN</t>
        </is>
      </c>
      <c r="E720" t="inlineStr">
        <is>
          <t>HÄRJEDALEN</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36399-2025</t>
        </is>
      </c>
      <c r="B721" s="1" t="n">
        <v>45868.639375</v>
      </c>
      <c r="C721" s="1" t="n">
        <v>45987</v>
      </c>
      <c r="D721" t="inlineStr">
        <is>
          <t>JÄMTLANDS LÄN</t>
        </is>
      </c>
      <c r="E721" t="inlineStr">
        <is>
          <t>HÄRJEDALEN</t>
        </is>
      </c>
      <c r="G721" t="n">
        <v>4.8</v>
      </c>
      <c r="H721" t="n">
        <v>0</v>
      </c>
      <c r="I721" t="n">
        <v>0</v>
      </c>
      <c r="J721" t="n">
        <v>0</v>
      </c>
      <c r="K721" t="n">
        <v>0</v>
      </c>
      <c r="L721" t="n">
        <v>0</v>
      </c>
      <c r="M721" t="n">
        <v>0</v>
      </c>
      <c r="N721" t="n">
        <v>0</v>
      </c>
      <c r="O721" t="n">
        <v>0</v>
      </c>
      <c r="P721" t="n">
        <v>0</v>
      </c>
      <c r="Q721" t="n">
        <v>0</v>
      </c>
      <c r="R721" s="2" t="inlineStr"/>
    </row>
    <row r="722" ht="15" customHeight="1">
      <c r="A722" t="inlineStr">
        <is>
          <t>A 36241-2025</t>
        </is>
      </c>
      <c r="B722" s="1" t="n">
        <v>45867.55305555555</v>
      </c>
      <c r="C722" s="1" t="n">
        <v>45987</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52909-2025</t>
        </is>
      </c>
      <c r="B723" s="1" t="n">
        <v>45957</v>
      </c>
      <c r="C723" s="1" t="n">
        <v>45987</v>
      </c>
      <c r="D723" t="inlineStr">
        <is>
          <t>JÄMTLANDS LÄN</t>
        </is>
      </c>
      <c r="E723" t="inlineStr">
        <is>
          <t>HÄRJEDALEN</t>
        </is>
      </c>
      <c r="G723" t="n">
        <v>16.8</v>
      </c>
      <c r="H723" t="n">
        <v>0</v>
      </c>
      <c r="I723" t="n">
        <v>0</v>
      </c>
      <c r="J723" t="n">
        <v>0</v>
      </c>
      <c r="K723" t="n">
        <v>0</v>
      </c>
      <c r="L723" t="n">
        <v>0</v>
      </c>
      <c r="M723" t="n">
        <v>0</v>
      </c>
      <c r="N723" t="n">
        <v>0</v>
      </c>
      <c r="O723" t="n">
        <v>0</v>
      </c>
      <c r="P723" t="n">
        <v>0</v>
      </c>
      <c r="Q723" t="n">
        <v>0</v>
      </c>
      <c r="R723" s="2" t="inlineStr"/>
    </row>
    <row r="724" ht="15" customHeight="1">
      <c r="A724" t="inlineStr">
        <is>
          <t>A 54476-2025</t>
        </is>
      </c>
      <c r="B724" s="1" t="n">
        <v>45965.57791666667</v>
      </c>
      <c r="C724" s="1" t="n">
        <v>45987</v>
      </c>
      <c r="D724" t="inlineStr">
        <is>
          <t>JÄMTLANDS LÄN</t>
        </is>
      </c>
      <c r="E724" t="inlineStr">
        <is>
          <t>HÄRJEDALEN</t>
        </is>
      </c>
      <c r="F724" t="inlineStr">
        <is>
          <t>Bergvik skog väst AB</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54358-2025</t>
        </is>
      </c>
      <c r="B725" s="1" t="n">
        <v>45965.38599537037</v>
      </c>
      <c r="C725" s="1" t="n">
        <v>45987</v>
      </c>
      <c r="D725" t="inlineStr">
        <is>
          <t>JÄMTLANDS LÄN</t>
        </is>
      </c>
      <c r="E725" t="inlineStr">
        <is>
          <t>HÄRJEDALEN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54354-2025</t>
        </is>
      </c>
      <c r="B726" s="1" t="n">
        <v>45965.37909722222</v>
      </c>
      <c r="C726" s="1" t="n">
        <v>45987</v>
      </c>
      <c r="D726" t="inlineStr">
        <is>
          <t>JÄMTLANDS LÄN</t>
        </is>
      </c>
      <c r="E726" t="inlineStr">
        <is>
          <t>HÄRJEDALEN</t>
        </is>
      </c>
      <c r="F726" t="inlineStr">
        <is>
          <t>Bergvik skog väst AB</t>
        </is>
      </c>
      <c r="G726" t="n">
        <v>10.9</v>
      </c>
      <c r="H726" t="n">
        <v>0</v>
      </c>
      <c r="I726" t="n">
        <v>0</v>
      </c>
      <c r="J726" t="n">
        <v>0</v>
      </c>
      <c r="K726" t="n">
        <v>0</v>
      </c>
      <c r="L726" t="n">
        <v>0</v>
      </c>
      <c r="M726" t="n">
        <v>0</v>
      </c>
      <c r="N726" t="n">
        <v>0</v>
      </c>
      <c r="O726" t="n">
        <v>0</v>
      </c>
      <c r="P726" t="n">
        <v>0</v>
      </c>
      <c r="Q726" t="n">
        <v>0</v>
      </c>
      <c r="R726" s="2" t="inlineStr"/>
    </row>
    <row r="727" ht="15" customHeight="1">
      <c r="A727" t="inlineStr">
        <is>
          <t>A 36083-2024</t>
        </is>
      </c>
      <c r="B727" s="1" t="n">
        <v>45533.67138888889</v>
      </c>
      <c r="C727" s="1" t="n">
        <v>45987</v>
      </c>
      <c r="D727" t="inlineStr">
        <is>
          <t>JÄMTLANDS LÄN</t>
        </is>
      </c>
      <c r="E727" t="inlineStr">
        <is>
          <t>HÄRJEDALEN</t>
        </is>
      </c>
      <c r="G727" t="n">
        <v>0.9</v>
      </c>
      <c r="H727" t="n">
        <v>0</v>
      </c>
      <c r="I727" t="n">
        <v>0</v>
      </c>
      <c r="J727" t="n">
        <v>0</v>
      </c>
      <c r="K727" t="n">
        <v>0</v>
      </c>
      <c r="L727" t="n">
        <v>0</v>
      </c>
      <c r="M727" t="n">
        <v>0</v>
      </c>
      <c r="N727" t="n">
        <v>0</v>
      </c>
      <c r="O727" t="n">
        <v>0</v>
      </c>
      <c r="P727" t="n">
        <v>0</v>
      </c>
      <c r="Q727" t="n">
        <v>0</v>
      </c>
      <c r="R727" s="2" t="inlineStr"/>
    </row>
    <row r="728" ht="15" customHeight="1">
      <c r="A728" t="inlineStr">
        <is>
          <t>A 17896-2025</t>
        </is>
      </c>
      <c r="B728" s="1" t="n">
        <v>45758.69638888889</v>
      </c>
      <c r="C728" s="1" t="n">
        <v>45987</v>
      </c>
      <c r="D728" t="inlineStr">
        <is>
          <t>JÄMTLANDS LÄN</t>
        </is>
      </c>
      <c r="E728" t="inlineStr">
        <is>
          <t>HÄRJEDALEN</t>
        </is>
      </c>
      <c r="G728" t="n">
        <v>5</v>
      </c>
      <c r="H728" t="n">
        <v>0</v>
      </c>
      <c r="I728" t="n">
        <v>0</v>
      </c>
      <c r="J728" t="n">
        <v>0</v>
      </c>
      <c r="K728" t="n">
        <v>0</v>
      </c>
      <c r="L728" t="n">
        <v>0</v>
      </c>
      <c r="M728" t="n">
        <v>0</v>
      </c>
      <c r="N728" t="n">
        <v>0</v>
      </c>
      <c r="O728" t="n">
        <v>0</v>
      </c>
      <c r="P728" t="n">
        <v>0</v>
      </c>
      <c r="Q728" t="n">
        <v>0</v>
      </c>
      <c r="R728" s="2" t="inlineStr"/>
    </row>
    <row r="729" ht="15" customHeight="1">
      <c r="A729" t="inlineStr">
        <is>
          <t>A 37747-2023</t>
        </is>
      </c>
      <c r="B729" s="1" t="n">
        <v>45159</v>
      </c>
      <c r="C729" s="1" t="n">
        <v>45987</v>
      </c>
      <c r="D729" t="inlineStr">
        <is>
          <t>JÄMTLANDS LÄN</t>
        </is>
      </c>
      <c r="E729" t="inlineStr">
        <is>
          <t>HÄRJEDALEN</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54764-2025</t>
        </is>
      </c>
      <c r="B730" s="1" t="n">
        <v>45966.60278935185</v>
      </c>
      <c r="C730" s="1" t="n">
        <v>45987</v>
      </c>
      <c r="D730" t="inlineStr">
        <is>
          <t>JÄMTLANDS LÄN</t>
        </is>
      </c>
      <c r="E730" t="inlineStr">
        <is>
          <t>HÄRJEDALEN</t>
        </is>
      </c>
      <c r="F730" t="inlineStr">
        <is>
          <t>Bergvik skog väst AB</t>
        </is>
      </c>
      <c r="G730" t="n">
        <v>6.9</v>
      </c>
      <c r="H730" t="n">
        <v>0</v>
      </c>
      <c r="I730" t="n">
        <v>0</v>
      </c>
      <c r="J730" t="n">
        <v>0</v>
      </c>
      <c r="K730" t="n">
        <v>0</v>
      </c>
      <c r="L730" t="n">
        <v>0</v>
      </c>
      <c r="M730" t="n">
        <v>0</v>
      </c>
      <c r="N730" t="n">
        <v>0</v>
      </c>
      <c r="O730" t="n">
        <v>0</v>
      </c>
      <c r="P730" t="n">
        <v>0</v>
      </c>
      <c r="Q730" t="n">
        <v>0</v>
      </c>
      <c r="R730" s="2" t="inlineStr"/>
    </row>
    <row r="731" ht="15" customHeight="1">
      <c r="A731" t="inlineStr">
        <is>
          <t>A 37762-2023</t>
        </is>
      </c>
      <c r="B731" s="1" t="n">
        <v>45159</v>
      </c>
      <c r="C731" s="1" t="n">
        <v>45987</v>
      </c>
      <c r="D731" t="inlineStr">
        <is>
          <t>JÄMTLANDS LÄN</t>
        </is>
      </c>
      <c r="E731" t="inlineStr">
        <is>
          <t>HÄRJEDALEN</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61140-2024</t>
        </is>
      </c>
      <c r="B732" s="1" t="n">
        <v>45644</v>
      </c>
      <c r="C732" s="1" t="n">
        <v>45987</v>
      </c>
      <c r="D732" t="inlineStr">
        <is>
          <t>JÄMTLANDS LÄN</t>
        </is>
      </c>
      <c r="E732" t="inlineStr">
        <is>
          <t>HÄRJEDALEN</t>
        </is>
      </c>
      <c r="G732" t="n">
        <v>29.7</v>
      </c>
      <c r="H732" t="n">
        <v>0</v>
      </c>
      <c r="I732" t="n">
        <v>0</v>
      </c>
      <c r="J732" t="n">
        <v>0</v>
      </c>
      <c r="K732" t="n">
        <v>0</v>
      </c>
      <c r="L732" t="n">
        <v>0</v>
      </c>
      <c r="M732" t="n">
        <v>0</v>
      </c>
      <c r="N732" t="n">
        <v>0</v>
      </c>
      <c r="O732" t="n">
        <v>0</v>
      </c>
      <c r="P732" t="n">
        <v>0</v>
      </c>
      <c r="Q732" t="n">
        <v>0</v>
      </c>
      <c r="R732" s="2" t="inlineStr"/>
    </row>
    <row r="733" ht="15" customHeight="1">
      <c r="A733" t="inlineStr">
        <is>
          <t>A 21596-2021</t>
        </is>
      </c>
      <c r="B733" s="1" t="n">
        <v>44314</v>
      </c>
      <c r="C733" s="1" t="n">
        <v>45987</v>
      </c>
      <c r="D733" t="inlineStr">
        <is>
          <t>JÄMTLANDS LÄN</t>
        </is>
      </c>
      <c r="E733" t="inlineStr">
        <is>
          <t>HÄRJEDALEN</t>
        </is>
      </c>
      <c r="G733" t="n">
        <v>18.2</v>
      </c>
      <c r="H733" t="n">
        <v>0</v>
      </c>
      <c r="I733" t="n">
        <v>0</v>
      </c>
      <c r="J733" t="n">
        <v>0</v>
      </c>
      <c r="K733" t="n">
        <v>0</v>
      </c>
      <c r="L733" t="n">
        <v>0</v>
      </c>
      <c r="M733" t="n">
        <v>0</v>
      </c>
      <c r="N733" t="n">
        <v>0</v>
      </c>
      <c r="O733" t="n">
        <v>0</v>
      </c>
      <c r="P733" t="n">
        <v>0</v>
      </c>
      <c r="Q733" t="n">
        <v>0</v>
      </c>
      <c r="R733" s="2" t="inlineStr"/>
    </row>
    <row r="734" ht="15" customHeight="1">
      <c r="A734" t="inlineStr">
        <is>
          <t>A 54336-2025</t>
        </is>
      </c>
      <c r="B734" s="1" t="n">
        <v>45965.35207175926</v>
      </c>
      <c r="C734" s="1" t="n">
        <v>45987</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12484-2023</t>
        </is>
      </c>
      <c r="B735" s="1" t="n">
        <v>44998</v>
      </c>
      <c r="C735" s="1" t="n">
        <v>45987</v>
      </c>
      <c r="D735" t="inlineStr">
        <is>
          <t>JÄMTLANDS LÄN</t>
        </is>
      </c>
      <c r="E735" t="inlineStr">
        <is>
          <t>HÄRJEDALEN</t>
        </is>
      </c>
      <c r="G735" t="n">
        <v>43.1</v>
      </c>
      <c r="H735" t="n">
        <v>0</v>
      </c>
      <c r="I735" t="n">
        <v>0</v>
      </c>
      <c r="J735" t="n">
        <v>0</v>
      </c>
      <c r="K735" t="n">
        <v>0</v>
      </c>
      <c r="L735" t="n">
        <v>0</v>
      </c>
      <c r="M735" t="n">
        <v>0</v>
      </c>
      <c r="N735" t="n">
        <v>0</v>
      </c>
      <c r="O735" t="n">
        <v>0</v>
      </c>
      <c r="P735" t="n">
        <v>0</v>
      </c>
      <c r="Q735" t="n">
        <v>0</v>
      </c>
      <c r="R735" s="2" t="inlineStr"/>
    </row>
    <row r="736" ht="15" customHeight="1">
      <c r="A736" t="inlineStr">
        <is>
          <t>A 46681-2025</t>
        </is>
      </c>
      <c r="B736" s="1" t="n">
        <v>45926.54697916667</v>
      </c>
      <c r="C736" s="1" t="n">
        <v>45987</v>
      </c>
      <c r="D736" t="inlineStr">
        <is>
          <t>JÄMTLANDS LÄN</t>
        </is>
      </c>
      <c r="E736" t="inlineStr">
        <is>
          <t>HÄRJEDALEN</t>
        </is>
      </c>
      <c r="G736" t="n">
        <v>6.4</v>
      </c>
      <c r="H736" t="n">
        <v>0</v>
      </c>
      <c r="I736" t="n">
        <v>0</v>
      </c>
      <c r="J736" t="n">
        <v>0</v>
      </c>
      <c r="K736" t="n">
        <v>0</v>
      </c>
      <c r="L736" t="n">
        <v>0</v>
      </c>
      <c r="M736" t="n">
        <v>0</v>
      </c>
      <c r="N736" t="n">
        <v>0</v>
      </c>
      <c r="O736" t="n">
        <v>0</v>
      </c>
      <c r="P736" t="n">
        <v>0</v>
      </c>
      <c r="Q736" t="n">
        <v>0</v>
      </c>
      <c r="R736" s="2" t="inlineStr"/>
    </row>
    <row r="737" ht="15" customHeight="1">
      <c r="A737" t="inlineStr">
        <is>
          <t>A 55034-2025</t>
        </is>
      </c>
      <c r="B737" s="1" t="n">
        <v>45967.64570601852</v>
      </c>
      <c r="C737" s="1" t="n">
        <v>45987</v>
      </c>
      <c r="D737" t="inlineStr">
        <is>
          <t>JÄMTLANDS LÄN</t>
        </is>
      </c>
      <c r="E737" t="inlineStr">
        <is>
          <t>HÄRJEDALEN</t>
        </is>
      </c>
      <c r="G737" t="n">
        <v>9.1</v>
      </c>
      <c r="H737" t="n">
        <v>0</v>
      </c>
      <c r="I737" t="n">
        <v>0</v>
      </c>
      <c r="J737" t="n">
        <v>0</v>
      </c>
      <c r="K737" t="n">
        <v>0</v>
      </c>
      <c r="L737" t="n">
        <v>0</v>
      </c>
      <c r="M737" t="n">
        <v>0</v>
      </c>
      <c r="N737" t="n">
        <v>0</v>
      </c>
      <c r="O737" t="n">
        <v>0</v>
      </c>
      <c r="P737" t="n">
        <v>0</v>
      </c>
      <c r="Q737" t="n">
        <v>0</v>
      </c>
      <c r="R737" s="2" t="inlineStr"/>
    </row>
    <row r="738" ht="15" customHeight="1">
      <c r="A738" t="inlineStr">
        <is>
          <t>A 36976-2025</t>
        </is>
      </c>
      <c r="B738" s="1" t="n">
        <v>45874.64199074074</v>
      </c>
      <c r="C738" s="1" t="n">
        <v>45987</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36777-2025</t>
        </is>
      </c>
      <c r="B739" s="1" t="n">
        <v>45873.59511574074</v>
      </c>
      <c r="C739" s="1" t="n">
        <v>45987</v>
      </c>
      <c r="D739" t="inlineStr">
        <is>
          <t>JÄMTLANDS LÄN</t>
        </is>
      </c>
      <c r="E739" t="inlineStr">
        <is>
          <t>HÄRJEDALEN</t>
        </is>
      </c>
      <c r="F739" t="inlineStr">
        <is>
          <t>Bergvik skog väst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36978-2025</t>
        </is>
      </c>
      <c r="B740" s="1" t="n">
        <v>45874.64513888889</v>
      </c>
      <c r="C740" s="1" t="n">
        <v>45987</v>
      </c>
      <c r="D740" t="inlineStr">
        <is>
          <t>JÄMTLANDS LÄN</t>
        </is>
      </c>
      <c r="E740" t="inlineStr">
        <is>
          <t>HÄRJEDALEN</t>
        </is>
      </c>
      <c r="G740" t="n">
        <v>2.7</v>
      </c>
      <c r="H740" t="n">
        <v>0</v>
      </c>
      <c r="I740" t="n">
        <v>0</v>
      </c>
      <c r="J740" t="n">
        <v>0</v>
      </c>
      <c r="K740" t="n">
        <v>0</v>
      </c>
      <c r="L740" t="n">
        <v>0</v>
      </c>
      <c r="M740" t="n">
        <v>0</v>
      </c>
      <c r="N740" t="n">
        <v>0</v>
      </c>
      <c r="O740" t="n">
        <v>0</v>
      </c>
      <c r="P740" t="n">
        <v>0</v>
      </c>
      <c r="Q740" t="n">
        <v>0</v>
      </c>
      <c r="R740" s="2" t="inlineStr"/>
    </row>
    <row r="741" ht="15" customHeight="1">
      <c r="A741" t="inlineStr">
        <is>
          <t>A 46429-2025</t>
        </is>
      </c>
      <c r="B741" s="1" t="n">
        <v>45925.6144212963</v>
      </c>
      <c r="C741" s="1" t="n">
        <v>45987</v>
      </c>
      <c r="D741" t="inlineStr">
        <is>
          <t>JÄMTLANDS LÄN</t>
        </is>
      </c>
      <c r="E741" t="inlineStr">
        <is>
          <t>HÄRJEDALEN</t>
        </is>
      </c>
      <c r="F741" t="inlineStr">
        <is>
          <t>Bergvik skog öst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46447-2024</t>
        </is>
      </c>
      <c r="B742" s="1" t="n">
        <v>45582.49792824074</v>
      </c>
      <c r="C742" s="1" t="n">
        <v>45987</v>
      </c>
      <c r="D742" t="inlineStr">
        <is>
          <t>JÄMTLANDS LÄN</t>
        </is>
      </c>
      <c r="E742" t="inlineStr">
        <is>
          <t>HÄRJEDALEN</t>
        </is>
      </c>
      <c r="F742" t="inlineStr">
        <is>
          <t>Bergvik skog väst AB</t>
        </is>
      </c>
      <c r="G742" t="n">
        <v>19.2</v>
      </c>
      <c r="H742" t="n">
        <v>0</v>
      </c>
      <c r="I742" t="n">
        <v>0</v>
      </c>
      <c r="J742" t="n">
        <v>0</v>
      </c>
      <c r="K742" t="n">
        <v>0</v>
      </c>
      <c r="L742" t="n">
        <v>0</v>
      </c>
      <c r="M742" t="n">
        <v>0</v>
      </c>
      <c r="N742" t="n">
        <v>0</v>
      </c>
      <c r="O742" t="n">
        <v>0</v>
      </c>
      <c r="P742" t="n">
        <v>0</v>
      </c>
      <c r="Q742" t="n">
        <v>0</v>
      </c>
      <c r="R742" s="2" t="inlineStr"/>
    </row>
    <row r="743" ht="15" customHeight="1">
      <c r="A743" t="inlineStr">
        <is>
          <t>A 37244-2025</t>
        </is>
      </c>
      <c r="B743" s="1" t="n">
        <v>45876.39362268519</v>
      </c>
      <c r="C743" s="1" t="n">
        <v>45987</v>
      </c>
      <c r="D743" t="inlineStr">
        <is>
          <t>JÄMTLANDS LÄN</t>
        </is>
      </c>
      <c r="E743" t="inlineStr">
        <is>
          <t>HÄRJEDALEN</t>
        </is>
      </c>
      <c r="F743" t="inlineStr">
        <is>
          <t>Bergvik skog väst AB</t>
        </is>
      </c>
      <c r="G743" t="n">
        <v>14.4</v>
      </c>
      <c r="H743" t="n">
        <v>0</v>
      </c>
      <c r="I743" t="n">
        <v>0</v>
      </c>
      <c r="J743" t="n">
        <v>0</v>
      </c>
      <c r="K743" t="n">
        <v>0</v>
      </c>
      <c r="L743" t="n">
        <v>0</v>
      </c>
      <c r="M743" t="n">
        <v>0</v>
      </c>
      <c r="N743" t="n">
        <v>0</v>
      </c>
      <c r="O743" t="n">
        <v>0</v>
      </c>
      <c r="P743" t="n">
        <v>0</v>
      </c>
      <c r="Q743" t="n">
        <v>0</v>
      </c>
      <c r="R743" s="2" t="inlineStr"/>
    </row>
    <row r="744" ht="15" customHeight="1">
      <c r="A744" t="inlineStr">
        <is>
          <t>A 55582-2024</t>
        </is>
      </c>
      <c r="B744" s="1" t="n">
        <v>45622</v>
      </c>
      <c r="C744" s="1" t="n">
        <v>45987</v>
      </c>
      <c r="D744" t="inlineStr">
        <is>
          <t>JÄMTLANDS LÄN</t>
        </is>
      </c>
      <c r="E744" t="inlineStr">
        <is>
          <t>HÄRJEDALEN</t>
        </is>
      </c>
      <c r="G744" t="n">
        <v>6.9</v>
      </c>
      <c r="H744" t="n">
        <v>0</v>
      </c>
      <c r="I744" t="n">
        <v>0</v>
      </c>
      <c r="J744" t="n">
        <v>0</v>
      </c>
      <c r="K744" t="n">
        <v>0</v>
      </c>
      <c r="L744" t="n">
        <v>0</v>
      </c>
      <c r="M744" t="n">
        <v>0</v>
      </c>
      <c r="N744" t="n">
        <v>0</v>
      </c>
      <c r="O744" t="n">
        <v>0</v>
      </c>
      <c r="P744" t="n">
        <v>0</v>
      </c>
      <c r="Q744" t="n">
        <v>0</v>
      </c>
      <c r="R744" s="2" t="inlineStr"/>
    </row>
    <row r="745" ht="15" customHeight="1">
      <c r="A745" t="inlineStr">
        <is>
          <t>A 40578-2023</t>
        </is>
      </c>
      <c r="B745" s="1" t="n">
        <v>45170.46923611111</v>
      </c>
      <c r="C745" s="1" t="n">
        <v>45987</v>
      </c>
      <c r="D745" t="inlineStr">
        <is>
          <t>JÄMTLANDS LÄN</t>
        </is>
      </c>
      <c r="E745" t="inlineStr">
        <is>
          <t>HÄRJEDALEN</t>
        </is>
      </c>
      <c r="F745" t="inlineStr">
        <is>
          <t>Holmen skog AB</t>
        </is>
      </c>
      <c r="G745" t="n">
        <v>5.3</v>
      </c>
      <c r="H745" t="n">
        <v>0</v>
      </c>
      <c r="I745" t="n">
        <v>0</v>
      </c>
      <c r="J745" t="n">
        <v>0</v>
      </c>
      <c r="K745" t="n">
        <v>0</v>
      </c>
      <c r="L745" t="n">
        <v>0</v>
      </c>
      <c r="M745" t="n">
        <v>0</v>
      </c>
      <c r="N745" t="n">
        <v>0</v>
      </c>
      <c r="O745" t="n">
        <v>0</v>
      </c>
      <c r="P745" t="n">
        <v>0</v>
      </c>
      <c r="Q745" t="n">
        <v>0</v>
      </c>
      <c r="R745" s="2" t="inlineStr"/>
    </row>
    <row r="746" ht="15" customHeight="1">
      <c r="A746" t="inlineStr">
        <is>
          <t>A 37106-2025</t>
        </is>
      </c>
      <c r="B746" s="1" t="n">
        <v>45875.47854166666</v>
      </c>
      <c r="C746" s="1" t="n">
        <v>45987</v>
      </c>
      <c r="D746" t="inlineStr">
        <is>
          <t>JÄMTLANDS LÄN</t>
        </is>
      </c>
      <c r="E746" t="inlineStr">
        <is>
          <t>HÄRJEDALEN</t>
        </is>
      </c>
      <c r="F746" t="inlineStr">
        <is>
          <t>Holmen skog AB</t>
        </is>
      </c>
      <c r="G746" t="n">
        <v>4.3</v>
      </c>
      <c r="H746" t="n">
        <v>0</v>
      </c>
      <c r="I746" t="n">
        <v>0</v>
      </c>
      <c r="J746" t="n">
        <v>0</v>
      </c>
      <c r="K746" t="n">
        <v>0</v>
      </c>
      <c r="L746" t="n">
        <v>0</v>
      </c>
      <c r="M746" t="n">
        <v>0</v>
      </c>
      <c r="N746" t="n">
        <v>0</v>
      </c>
      <c r="O746" t="n">
        <v>0</v>
      </c>
      <c r="P746" t="n">
        <v>0</v>
      </c>
      <c r="Q746" t="n">
        <v>0</v>
      </c>
      <c r="R746" s="2" t="inlineStr"/>
    </row>
    <row r="747" ht="15" customHeight="1">
      <c r="A747" t="inlineStr">
        <is>
          <t>A 37122-2025</t>
        </is>
      </c>
      <c r="B747" s="1" t="n">
        <v>45875.5196875</v>
      </c>
      <c r="C747" s="1" t="n">
        <v>45987</v>
      </c>
      <c r="D747" t="inlineStr">
        <is>
          <t>JÄMTLANDS LÄN</t>
        </is>
      </c>
      <c r="E747" t="inlineStr">
        <is>
          <t>HÄRJEDALEN</t>
        </is>
      </c>
      <c r="G747" t="n">
        <v>6.9</v>
      </c>
      <c r="H747" t="n">
        <v>0</v>
      </c>
      <c r="I747" t="n">
        <v>0</v>
      </c>
      <c r="J747" t="n">
        <v>0</v>
      </c>
      <c r="K747" t="n">
        <v>0</v>
      </c>
      <c r="L747" t="n">
        <v>0</v>
      </c>
      <c r="M747" t="n">
        <v>0</v>
      </c>
      <c r="N747" t="n">
        <v>0</v>
      </c>
      <c r="O747" t="n">
        <v>0</v>
      </c>
      <c r="P747" t="n">
        <v>0</v>
      </c>
      <c r="Q747" t="n">
        <v>0</v>
      </c>
      <c r="R747" s="2" t="inlineStr"/>
    </row>
    <row r="748" ht="15" customHeight="1">
      <c r="A748" t="inlineStr">
        <is>
          <t>A 9980-2025</t>
        </is>
      </c>
      <c r="B748" s="1" t="n">
        <v>45719.40480324074</v>
      </c>
      <c r="C748" s="1" t="n">
        <v>45987</v>
      </c>
      <c r="D748" t="inlineStr">
        <is>
          <t>JÄMTLANDS LÄN</t>
        </is>
      </c>
      <c r="E748" t="inlineStr">
        <is>
          <t>HÄRJEDALEN</t>
        </is>
      </c>
      <c r="G748" t="n">
        <v>1.2</v>
      </c>
      <c r="H748" t="n">
        <v>0</v>
      </c>
      <c r="I748" t="n">
        <v>0</v>
      </c>
      <c r="J748" t="n">
        <v>0</v>
      </c>
      <c r="K748" t="n">
        <v>0</v>
      </c>
      <c r="L748" t="n">
        <v>0</v>
      </c>
      <c r="M748" t="n">
        <v>0</v>
      </c>
      <c r="N748" t="n">
        <v>0</v>
      </c>
      <c r="O748" t="n">
        <v>0</v>
      </c>
      <c r="P748" t="n">
        <v>0</v>
      </c>
      <c r="Q748" t="n">
        <v>0</v>
      </c>
      <c r="R748" s="2" t="inlineStr"/>
    </row>
    <row r="749" ht="15" customHeight="1">
      <c r="A749" t="inlineStr">
        <is>
          <t>A 37281-2025</t>
        </is>
      </c>
      <c r="B749" s="1" t="n">
        <v>45876.49113425926</v>
      </c>
      <c r="C749" s="1" t="n">
        <v>45987</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46716-2025</t>
        </is>
      </c>
      <c r="B750" s="1" t="n">
        <v>45926.57876157408</v>
      </c>
      <c r="C750" s="1" t="n">
        <v>45987</v>
      </c>
      <c r="D750" t="inlineStr">
        <is>
          <t>JÄMTLANDS LÄN</t>
        </is>
      </c>
      <c r="E750" t="inlineStr">
        <is>
          <t>HÄRJEDALEN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55362-2025</t>
        </is>
      </c>
      <c r="B751" s="1" t="n">
        <v>45971.39665509259</v>
      </c>
      <c r="C751" s="1" t="n">
        <v>45987</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54640-2024</t>
        </is>
      </c>
      <c r="B752" s="1" t="n">
        <v>45617.89371527778</v>
      </c>
      <c r="C752" s="1" t="n">
        <v>45987</v>
      </c>
      <c r="D752" t="inlineStr">
        <is>
          <t>JÄMTLANDS LÄN</t>
        </is>
      </c>
      <c r="E752" t="inlineStr">
        <is>
          <t>HÄRJEDALEN</t>
        </is>
      </c>
      <c r="G752" t="n">
        <v>3.9</v>
      </c>
      <c r="H752" t="n">
        <v>0</v>
      </c>
      <c r="I752" t="n">
        <v>0</v>
      </c>
      <c r="J752" t="n">
        <v>0</v>
      </c>
      <c r="K752" t="n">
        <v>0</v>
      </c>
      <c r="L752" t="n">
        <v>0</v>
      </c>
      <c r="M752" t="n">
        <v>0</v>
      </c>
      <c r="N752" t="n">
        <v>0</v>
      </c>
      <c r="O752" t="n">
        <v>0</v>
      </c>
      <c r="P752" t="n">
        <v>0</v>
      </c>
      <c r="Q752" t="n">
        <v>0</v>
      </c>
      <c r="R752" s="2" t="inlineStr"/>
    </row>
    <row r="753" ht="15" customHeight="1">
      <c r="A753" t="inlineStr">
        <is>
          <t>A 55115-2024</t>
        </is>
      </c>
      <c r="B753" s="1" t="n">
        <v>45621</v>
      </c>
      <c r="C753" s="1" t="n">
        <v>45987</v>
      </c>
      <c r="D753" t="inlineStr">
        <is>
          <t>JÄMTLANDS LÄN</t>
        </is>
      </c>
      <c r="E753" t="inlineStr">
        <is>
          <t>HÄRJEDALEN</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37571-2025</t>
        </is>
      </c>
      <c r="B754" s="1" t="n">
        <v>45880.37472222222</v>
      </c>
      <c r="C754" s="1" t="n">
        <v>45987</v>
      </c>
      <c r="D754" t="inlineStr">
        <is>
          <t>JÄMTLANDS LÄN</t>
        </is>
      </c>
      <c r="E754" t="inlineStr">
        <is>
          <t>HÄRJEDALEN</t>
        </is>
      </c>
      <c r="G754" t="n">
        <v>2.7</v>
      </c>
      <c r="H754" t="n">
        <v>0</v>
      </c>
      <c r="I754" t="n">
        <v>0</v>
      </c>
      <c r="J754" t="n">
        <v>0</v>
      </c>
      <c r="K754" t="n">
        <v>0</v>
      </c>
      <c r="L754" t="n">
        <v>0</v>
      </c>
      <c r="M754" t="n">
        <v>0</v>
      </c>
      <c r="N754" t="n">
        <v>0</v>
      </c>
      <c r="O754" t="n">
        <v>0</v>
      </c>
      <c r="P754" t="n">
        <v>0</v>
      </c>
      <c r="Q754" t="n">
        <v>0</v>
      </c>
      <c r="R754" s="2" t="inlineStr"/>
    </row>
    <row r="755" ht="15" customHeight="1">
      <c r="A755" t="inlineStr">
        <is>
          <t>A 36921-2023</t>
        </is>
      </c>
      <c r="B755" s="1" t="n">
        <v>45154</v>
      </c>
      <c r="C755" s="1" t="n">
        <v>45987</v>
      </c>
      <c r="D755" t="inlineStr">
        <is>
          <t>JÄMTLANDS LÄN</t>
        </is>
      </c>
      <c r="E755" t="inlineStr">
        <is>
          <t>HÄRJEDALEN</t>
        </is>
      </c>
      <c r="G755" t="n">
        <v>1.7</v>
      </c>
      <c r="H755" t="n">
        <v>0</v>
      </c>
      <c r="I755" t="n">
        <v>0</v>
      </c>
      <c r="J755" t="n">
        <v>0</v>
      </c>
      <c r="K755" t="n">
        <v>0</v>
      </c>
      <c r="L755" t="n">
        <v>0</v>
      </c>
      <c r="M755" t="n">
        <v>0</v>
      </c>
      <c r="N755" t="n">
        <v>0</v>
      </c>
      <c r="O755" t="n">
        <v>0</v>
      </c>
      <c r="P755" t="n">
        <v>0</v>
      </c>
      <c r="Q755" t="n">
        <v>0</v>
      </c>
      <c r="R755" s="2" t="inlineStr"/>
    </row>
    <row r="756" ht="15" customHeight="1">
      <c r="A756" t="inlineStr">
        <is>
          <t>A 55680-2025</t>
        </is>
      </c>
      <c r="B756" s="1" t="n">
        <v>45972</v>
      </c>
      <c r="C756" s="1" t="n">
        <v>45987</v>
      </c>
      <c r="D756" t="inlineStr">
        <is>
          <t>JÄMTLANDS LÄN</t>
        </is>
      </c>
      <c r="E756" t="inlineStr">
        <is>
          <t>HÄRJEDALEN</t>
        </is>
      </c>
      <c r="F756" t="inlineStr">
        <is>
          <t>Bergvik skog väst AB</t>
        </is>
      </c>
      <c r="G756" t="n">
        <v>15.1</v>
      </c>
      <c r="H756" t="n">
        <v>0</v>
      </c>
      <c r="I756" t="n">
        <v>0</v>
      </c>
      <c r="J756" t="n">
        <v>0</v>
      </c>
      <c r="K756" t="n">
        <v>0</v>
      </c>
      <c r="L756" t="n">
        <v>0</v>
      </c>
      <c r="M756" t="n">
        <v>0</v>
      </c>
      <c r="N756" t="n">
        <v>0</v>
      </c>
      <c r="O756" t="n">
        <v>0</v>
      </c>
      <c r="P756" t="n">
        <v>0</v>
      </c>
      <c r="Q756" t="n">
        <v>0</v>
      </c>
      <c r="R756" s="2" t="inlineStr"/>
    </row>
    <row r="757" ht="15" customHeight="1">
      <c r="A757" t="inlineStr">
        <is>
          <t>A 10002-2025</t>
        </is>
      </c>
      <c r="B757" s="1" t="n">
        <v>45719.45215277778</v>
      </c>
      <c r="C757" s="1" t="n">
        <v>45987</v>
      </c>
      <c r="D757" t="inlineStr">
        <is>
          <t>JÄMTLANDS LÄN</t>
        </is>
      </c>
      <c r="E757" t="inlineStr">
        <is>
          <t>HÄRJEDALEN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51601-2024</t>
        </is>
      </c>
      <c r="B758" s="1" t="n">
        <v>45604.66936342593</v>
      </c>
      <c r="C758" s="1" t="n">
        <v>45987</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31910-2023</t>
        </is>
      </c>
      <c r="B759" s="1" t="n">
        <v>45118.91633101852</v>
      </c>
      <c r="C759" s="1" t="n">
        <v>45987</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31961-2023</t>
        </is>
      </c>
      <c r="B760" s="1" t="n">
        <v>45119</v>
      </c>
      <c r="C760" s="1" t="n">
        <v>45987</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21778-2022</t>
        </is>
      </c>
      <c r="B761" s="1" t="n">
        <v>44708.48859953704</v>
      </c>
      <c r="C761" s="1" t="n">
        <v>45987</v>
      </c>
      <c r="D761" t="inlineStr">
        <is>
          <t>JÄMTLANDS LÄN</t>
        </is>
      </c>
      <c r="E761" t="inlineStr">
        <is>
          <t>HÄRJEDALEN</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58352-2024</t>
        </is>
      </c>
      <c r="B762" s="1" t="n">
        <v>45632.65197916667</v>
      </c>
      <c r="C762" s="1" t="n">
        <v>45987</v>
      </c>
      <c r="D762" t="inlineStr">
        <is>
          <t>JÄMTLANDS LÄN</t>
        </is>
      </c>
      <c r="E762" t="inlineStr">
        <is>
          <t>HÄRJEDALEN</t>
        </is>
      </c>
      <c r="G762" t="n">
        <v>12</v>
      </c>
      <c r="H762" t="n">
        <v>0</v>
      </c>
      <c r="I762" t="n">
        <v>0</v>
      </c>
      <c r="J762" t="n">
        <v>0</v>
      </c>
      <c r="K762" t="n">
        <v>0</v>
      </c>
      <c r="L762" t="n">
        <v>0</v>
      </c>
      <c r="M762" t="n">
        <v>0</v>
      </c>
      <c r="N762" t="n">
        <v>0</v>
      </c>
      <c r="O762" t="n">
        <v>0</v>
      </c>
      <c r="P762" t="n">
        <v>0</v>
      </c>
      <c r="Q762" t="n">
        <v>0</v>
      </c>
      <c r="R762" s="2" t="inlineStr"/>
    </row>
    <row r="763" ht="15" customHeight="1">
      <c r="A763" t="inlineStr">
        <is>
          <t>A 47232-2025</t>
        </is>
      </c>
      <c r="B763" s="1" t="n">
        <v>45930</v>
      </c>
      <c r="C763" s="1" t="n">
        <v>45987</v>
      </c>
      <c r="D763" t="inlineStr">
        <is>
          <t>JÄMTLANDS LÄN</t>
        </is>
      </c>
      <c r="E763" t="inlineStr">
        <is>
          <t>HÄRJEDALEN</t>
        </is>
      </c>
      <c r="G763" t="n">
        <v>2.7</v>
      </c>
      <c r="H763" t="n">
        <v>0</v>
      </c>
      <c r="I763" t="n">
        <v>0</v>
      </c>
      <c r="J763" t="n">
        <v>0</v>
      </c>
      <c r="K763" t="n">
        <v>0</v>
      </c>
      <c r="L763" t="n">
        <v>0</v>
      </c>
      <c r="M763" t="n">
        <v>0</v>
      </c>
      <c r="N763" t="n">
        <v>0</v>
      </c>
      <c r="O763" t="n">
        <v>0</v>
      </c>
      <c r="P763" t="n">
        <v>0</v>
      </c>
      <c r="Q763" t="n">
        <v>0</v>
      </c>
      <c r="R763" s="2" t="inlineStr"/>
    </row>
    <row r="764" ht="15" customHeight="1">
      <c r="A764" t="inlineStr">
        <is>
          <t>A 47314-2025</t>
        </is>
      </c>
      <c r="B764" s="1" t="n">
        <v>45930.54700231482</v>
      </c>
      <c r="C764" s="1" t="n">
        <v>45987</v>
      </c>
      <c r="D764" t="inlineStr">
        <is>
          <t>JÄMTLANDS LÄN</t>
        </is>
      </c>
      <c r="E764" t="inlineStr">
        <is>
          <t>HÄRJEDALEN</t>
        </is>
      </c>
      <c r="G764" t="n">
        <v>4.7</v>
      </c>
      <c r="H764" t="n">
        <v>0</v>
      </c>
      <c r="I764" t="n">
        <v>0</v>
      </c>
      <c r="J764" t="n">
        <v>0</v>
      </c>
      <c r="K764" t="n">
        <v>0</v>
      </c>
      <c r="L764" t="n">
        <v>0</v>
      </c>
      <c r="M764" t="n">
        <v>0</v>
      </c>
      <c r="N764" t="n">
        <v>0</v>
      </c>
      <c r="O764" t="n">
        <v>0</v>
      </c>
      <c r="P764" t="n">
        <v>0</v>
      </c>
      <c r="Q764" t="n">
        <v>0</v>
      </c>
      <c r="R764" s="2" t="inlineStr"/>
    </row>
    <row r="765" ht="15" customHeight="1">
      <c r="A765" t="inlineStr">
        <is>
          <t>A 1602-2021</t>
        </is>
      </c>
      <c r="B765" s="1" t="n">
        <v>44209</v>
      </c>
      <c r="C765" s="1" t="n">
        <v>45987</v>
      </c>
      <c r="D765" t="inlineStr">
        <is>
          <t>JÄMTLANDS LÄN</t>
        </is>
      </c>
      <c r="E765" t="inlineStr">
        <is>
          <t>HÄRJEDALEN</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14039-2025</t>
        </is>
      </c>
      <c r="B766" s="1" t="n">
        <v>45740.36546296296</v>
      </c>
      <c r="C766" s="1" t="n">
        <v>45987</v>
      </c>
      <c r="D766" t="inlineStr">
        <is>
          <t>JÄMTLANDS LÄN</t>
        </is>
      </c>
      <c r="E766" t="inlineStr">
        <is>
          <t>HÄRJEDALEN</t>
        </is>
      </c>
      <c r="F766" t="inlineStr">
        <is>
          <t>Holmen skog AB</t>
        </is>
      </c>
      <c r="G766" t="n">
        <v>7.5</v>
      </c>
      <c r="H766" t="n">
        <v>0</v>
      </c>
      <c r="I766" t="n">
        <v>0</v>
      </c>
      <c r="J766" t="n">
        <v>0</v>
      </c>
      <c r="K766" t="n">
        <v>0</v>
      </c>
      <c r="L766" t="n">
        <v>0</v>
      </c>
      <c r="M766" t="n">
        <v>0</v>
      </c>
      <c r="N766" t="n">
        <v>0</v>
      </c>
      <c r="O766" t="n">
        <v>0</v>
      </c>
      <c r="P766" t="n">
        <v>0</v>
      </c>
      <c r="Q766" t="n">
        <v>0</v>
      </c>
      <c r="R766" s="2" t="inlineStr"/>
    </row>
    <row r="767" ht="15" customHeight="1">
      <c r="A767" t="inlineStr">
        <is>
          <t>A 47021-2025</t>
        </is>
      </c>
      <c r="B767" s="1" t="n">
        <v>45929.57756944445</v>
      </c>
      <c r="C767" s="1" t="n">
        <v>45987</v>
      </c>
      <c r="D767" t="inlineStr">
        <is>
          <t>JÄMTLANDS LÄN</t>
        </is>
      </c>
      <c r="E767" t="inlineStr">
        <is>
          <t>HÄRJEDALEN</t>
        </is>
      </c>
      <c r="G767" t="n">
        <v>5</v>
      </c>
      <c r="H767" t="n">
        <v>0</v>
      </c>
      <c r="I767" t="n">
        <v>0</v>
      </c>
      <c r="J767" t="n">
        <v>0</v>
      </c>
      <c r="K767" t="n">
        <v>0</v>
      </c>
      <c r="L767" t="n">
        <v>0</v>
      </c>
      <c r="M767" t="n">
        <v>0</v>
      </c>
      <c r="N767" t="n">
        <v>0</v>
      </c>
      <c r="O767" t="n">
        <v>0</v>
      </c>
      <c r="P767" t="n">
        <v>0</v>
      </c>
      <c r="Q767" t="n">
        <v>0</v>
      </c>
      <c r="R767" s="2" t="inlineStr"/>
    </row>
    <row r="768" ht="15" customHeight="1">
      <c r="A768" t="inlineStr">
        <is>
          <t>A 38183-2025</t>
        </is>
      </c>
      <c r="B768" s="1" t="n">
        <v>45882.64755787037</v>
      </c>
      <c r="C768" s="1" t="n">
        <v>45987</v>
      </c>
      <c r="D768" t="inlineStr">
        <is>
          <t>JÄMTLANDS LÄN</t>
        </is>
      </c>
      <c r="E768" t="inlineStr">
        <is>
          <t>HÄRJEDALEN</t>
        </is>
      </c>
      <c r="F768" t="inlineStr">
        <is>
          <t>Bergvik skog väst AB</t>
        </is>
      </c>
      <c r="G768" t="n">
        <v>30.9</v>
      </c>
      <c r="H768" t="n">
        <v>0</v>
      </c>
      <c r="I768" t="n">
        <v>0</v>
      </c>
      <c r="J768" t="n">
        <v>0</v>
      </c>
      <c r="K768" t="n">
        <v>0</v>
      </c>
      <c r="L768" t="n">
        <v>0</v>
      </c>
      <c r="M768" t="n">
        <v>0</v>
      </c>
      <c r="N768" t="n">
        <v>0</v>
      </c>
      <c r="O768" t="n">
        <v>0</v>
      </c>
      <c r="P768" t="n">
        <v>0</v>
      </c>
      <c r="Q768" t="n">
        <v>0</v>
      </c>
      <c r="R768" s="2" t="inlineStr"/>
    </row>
    <row r="769" ht="15" customHeight="1">
      <c r="A769" t="inlineStr">
        <is>
          <t>A 46128-2025</t>
        </is>
      </c>
      <c r="B769" s="1" t="n">
        <v>45924.59215277778</v>
      </c>
      <c r="C769" s="1" t="n">
        <v>45987</v>
      </c>
      <c r="D769" t="inlineStr">
        <is>
          <t>JÄMTLANDS LÄN</t>
        </is>
      </c>
      <c r="E769" t="inlineStr">
        <is>
          <t>HÄRJEDALEN</t>
        </is>
      </c>
      <c r="G769" t="n">
        <v>3.2</v>
      </c>
      <c r="H769" t="n">
        <v>0</v>
      </c>
      <c r="I769" t="n">
        <v>0</v>
      </c>
      <c r="J769" t="n">
        <v>0</v>
      </c>
      <c r="K769" t="n">
        <v>0</v>
      </c>
      <c r="L769" t="n">
        <v>0</v>
      </c>
      <c r="M769" t="n">
        <v>0</v>
      </c>
      <c r="N769" t="n">
        <v>0</v>
      </c>
      <c r="O769" t="n">
        <v>0</v>
      </c>
      <c r="P769" t="n">
        <v>0</v>
      </c>
      <c r="Q769" t="n">
        <v>0</v>
      </c>
      <c r="R769" s="2" t="inlineStr"/>
    </row>
    <row r="770" ht="15" customHeight="1">
      <c r="A770" t="inlineStr">
        <is>
          <t>A 47236-2025</t>
        </is>
      </c>
      <c r="B770" s="1" t="n">
        <v>45930</v>
      </c>
      <c r="C770" s="1" t="n">
        <v>45987</v>
      </c>
      <c r="D770" t="inlineStr">
        <is>
          <t>JÄMTLANDS LÄN</t>
        </is>
      </c>
      <c r="E770" t="inlineStr">
        <is>
          <t>HÄRJEDALEN</t>
        </is>
      </c>
      <c r="G770" t="n">
        <v>5.3</v>
      </c>
      <c r="H770" t="n">
        <v>0</v>
      </c>
      <c r="I770" t="n">
        <v>0</v>
      </c>
      <c r="J770" t="n">
        <v>0</v>
      </c>
      <c r="K770" t="n">
        <v>0</v>
      </c>
      <c r="L770" t="n">
        <v>0</v>
      </c>
      <c r="M770" t="n">
        <v>0</v>
      </c>
      <c r="N770" t="n">
        <v>0</v>
      </c>
      <c r="O770" t="n">
        <v>0</v>
      </c>
      <c r="P770" t="n">
        <v>0</v>
      </c>
      <c r="Q770" t="n">
        <v>0</v>
      </c>
      <c r="R770" s="2" t="inlineStr"/>
    </row>
    <row r="771" ht="15" customHeight="1">
      <c r="A771" t="inlineStr">
        <is>
          <t>A 55339-2025</t>
        </is>
      </c>
      <c r="B771" s="1" t="n">
        <v>45971.34488425926</v>
      </c>
      <c r="C771" s="1" t="n">
        <v>45987</v>
      </c>
      <c r="D771" t="inlineStr">
        <is>
          <t>JÄMTLANDS LÄN</t>
        </is>
      </c>
      <c r="E771" t="inlineStr">
        <is>
          <t>HÄRJEDALEN</t>
        </is>
      </c>
      <c r="G771" t="n">
        <v>10</v>
      </c>
      <c r="H771" t="n">
        <v>0</v>
      </c>
      <c r="I771" t="n">
        <v>0</v>
      </c>
      <c r="J771" t="n">
        <v>0</v>
      </c>
      <c r="K771" t="n">
        <v>0</v>
      </c>
      <c r="L771" t="n">
        <v>0</v>
      </c>
      <c r="M771" t="n">
        <v>0</v>
      </c>
      <c r="N771" t="n">
        <v>0</v>
      </c>
      <c r="O771" t="n">
        <v>0</v>
      </c>
      <c r="P771" t="n">
        <v>0</v>
      </c>
      <c r="Q771" t="n">
        <v>0</v>
      </c>
      <c r="R771" s="2" t="inlineStr"/>
    </row>
    <row r="772" ht="15" customHeight="1">
      <c r="A772" t="inlineStr">
        <is>
          <t>A 37957-2025</t>
        </is>
      </c>
      <c r="B772" s="1" t="n">
        <v>45881.64365740741</v>
      </c>
      <c r="C772" s="1" t="n">
        <v>45987</v>
      </c>
      <c r="D772" t="inlineStr">
        <is>
          <t>JÄMTLANDS LÄN</t>
        </is>
      </c>
      <c r="E772" t="inlineStr">
        <is>
          <t>HÄRJEDALEN</t>
        </is>
      </c>
      <c r="G772" t="n">
        <v>4.2</v>
      </c>
      <c r="H772" t="n">
        <v>0</v>
      </c>
      <c r="I772" t="n">
        <v>0</v>
      </c>
      <c r="J772" t="n">
        <v>0</v>
      </c>
      <c r="K772" t="n">
        <v>0</v>
      </c>
      <c r="L772" t="n">
        <v>0</v>
      </c>
      <c r="M772" t="n">
        <v>0</v>
      </c>
      <c r="N772" t="n">
        <v>0</v>
      </c>
      <c r="O772" t="n">
        <v>0</v>
      </c>
      <c r="P772" t="n">
        <v>0</v>
      </c>
      <c r="Q772" t="n">
        <v>0</v>
      </c>
      <c r="R772" s="2" t="inlineStr"/>
    </row>
    <row r="773" ht="15" customHeight="1">
      <c r="A773" t="inlineStr">
        <is>
          <t>A 35813-2023</t>
        </is>
      </c>
      <c r="B773" s="1" t="n">
        <v>45147</v>
      </c>
      <c r="C773" s="1" t="n">
        <v>45987</v>
      </c>
      <c r="D773" t="inlineStr">
        <is>
          <t>JÄMTLANDS LÄN</t>
        </is>
      </c>
      <c r="E773" t="inlineStr">
        <is>
          <t>HÄRJEDALEN</t>
        </is>
      </c>
      <c r="G773" t="n">
        <v>15.1</v>
      </c>
      <c r="H773" t="n">
        <v>0</v>
      </c>
      <c r="I773" t="n">
        <v>0</v>
      </c>
      <c r="J773" t="n">
        <v>0</v>
      </c>
      <c r="K773" t="n">
        <v>0</v>
      </c>
      <c r="L773" t="n">
        <v>0</v>
      </c>
      <c r="M773" t="n">
        <v>0</v>
      </c>
      <c r="N773" t="n">
        <v>0</v>
      </c>
      <c r="O773" t="n">
        <v>0</v>
      </c>
      <c r="P773" t="n">
        <v>0</v>
      </c>
      <c r="Q773" t="n">
        <v>0</v>
      </c>
      <c r="R773" s="2" t="inlineStr"/>
    </row>
    <row r="774" ht="15" customHeight="1">
      <c r="A774" t="inlineStr">
        <is>
          <t>A 38169-2025</t>
        </is>
      </c>
      <c r="B774" s="1" t="n">
        <v>45882.63179398148</v>
      </c>
      <c r="C774" s="1" t="n">
        <v>45987</v>
      </c>
      <c r="D774" t="inlineStr">
        <is>
          <t>JÄMTLANDS LÄN</t>
        </is>
      </c>
      <c r="E774" t="inlineStr">
        <is>
          <t>HÄRJEDALEN</t>
        </is>
      </c>
      <c r="F774" t="inlineStr">
        <is>
          <t>Bergvik skog väst AB</t>
        </is>
      </c>
      <c r="G774" t="n">
        <v>18.4</v>
      </c>
      <c r="H774" t="n">
        <v>0</v>
      </c>
      <c r="I774" t="n">
        <v>0</v>
      </c>
      <c r="J774" t="n">
        <v>0</v>
      </c>
      <c r="K774" t="n">
        <v>0</v>
      </c>
      <c r="L774" t="n">
        <v>0</v>
      </c>
      <c r="M774" t="n">
        <v>0</v>
      </c>
      <c r="N774" t="n">
        <v>0</v>
      </c>
      <c r="O774" t="n">
        <v>0</v>
      </c>
      <c r="P774" t="n">
        <v>0</v>
      </c>
      <c r="Q774" t="n">
        <v>0</v>
      </c>
      <c r="R774" s="2" t="inlineStr"/>
    </row>
    <row r="775" ht="15" customHeight="1">
      <c r="A775" t="inlineStr">
        <is>
          <t>A 37808-2025</t>
        </is>
      </c>
      <c r="B775" s="1" t="n">
        <v>45881.36469907407</v>
      </c>
      <c r="C775" s="1" t="n">
        <v>45987</v>
      </c>
      <c r="D775" t="inlineStr">
        <is>
          <t>JÄMTLANDS LÄN</t>
        </is>
      </c>
      <c r="E775" t="inlineStr">
        <is>
          <t>HÄRJEDALEN</t>
        </is>
      </c>
      <c r="G775" t="n">
        <v>2.6</v>
      </c>
      <c r="H775" t="n">
        <v>0</v>
      </c>
      <c r="I775" t="n">
        <v>0</v>
      </c>
      <c r="J775" t="n">
        <v>0</v>
      </c>
      <c r="K775" t="n">
        <v>0</v>
      </c>
      <c r="L775" t="n">
        <v>0</v>
      </c>
      <c r="M775" t="n">
        <v>0</v>
      </c>
      <c r="N775" t="n">
        <v>0</v>
      </c>
      <c r="O775" t="n">
        <v>0</v>
      </c>
      <c r="P775" t="n">
        <v>0</v>
      </c>
      <c r="Q775" t="n">
        <v>0</v>
      </c>
      <c r="R775" s="2" t="inlineStr"/>
    </row>
    <row r="776" ht="15" customHeight="1">
      <c r="A776" t="inlineStr">
        <is>
          <t>A 21530-2023</t>
        </is>
      </c>
      <c r="B776" s="1" t="n">
        <v>45063</v>
      </c>
      <c r="C776" s="1" t="n">
        <v>45987</v>
      </c>
      <c r="D776" t="inlineStr">
        <is>
          <t>JÄMTLANDS LÄN</t>
        </is>
      </c>
      <c r="E776" t="inlineStr">
        <is>
          <t>HÄRJEDALEN</t>
        </is>
      </c>
      <c r="G776" t="n">
        <v>15.3</v>
      </c>
      <c r="H776" t="n">
        <v>0</v>
      </c>
      <c r="I776" t="n">
        <v>0</v>
      </c>
      <c r="J776" t="n">
        <v>0</v>
      </c>
      <c r="K776" t="n">
        <v>0</v>
      </c>
      <c r="L776" t="n">
        <v>0</v>
      </c>
      <c r="M776" t="n">
        <v>0</v>
      </c>
      <c r="N776" t="n">
        <v>0</v>
      </c>
      <c r="O776" t="n">
        <v>0</v>
      </c>
      <c r="P776" t="n">
        <v>0</v>
      </c>
      <c r="Q776" t="n">
        <v>0</v>
      </c>
      <c r="R776" s="2" t="inlineStr"/>
    </row>
    <row r="777" ht="15" customHeight="1">
      <c r="A777" t="inlineStr">
        <is>
          <t>A 37839-2025</t>
        </is>
      </c>
      <c r="B777" s="1" t="n">
        <v>45881.43114583333</v>
      </c>
      <c r="C777" s="1" t="n">
        <v>45987</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37865-2025</t>
        </is>
      </c>
      <c r="B778" s="1" t="n">
        <v>45881.46869212963</v>
      </c>
      <c r="C778" s="1" t="n">
        <v>45987</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55761-2025</t>
        </is>
      </c>
      <c r="B779" s="1" t="n">
        <v>45972.60201388889</v>
      </c>
      <c r="C779" s="1" t="n">
        <v>45987</v>
      </c>
      <c r="D779" t="inlineStr">
        <is>
          <t>JÄMTLANDS LÄN</t>
        </is>
      </c>
      <c r="E779" t="inlineStr">
        <is>
          <t>HÄRJEDALEN</t>
        </is>
      </c>
      <c r="F779" t="inlineStr">
        <is>
          <t>Bergvik skog väst AB</t>
        </is>
      </c>
      <c r="G779" t="n">
        <v>20.8</v>
      </c>
      <c r="H779" t="n">
        <v>0</v>
      </c>
      <c r="I779" t="n">
        <v>0</v>
      </c>
      <c r="J779" t="n">
        <v>0</v>
      </c>
      <c r="K779" t="n">
        <v>0</v>
      </c>
      <c r="L779" t="n">
        <v>0</v>
      </c>
      <c r="M779" t="n">
        <v>0</v>
      </c>
      <c r="N779" t="n">
        <v>0</v>
      </c>
      <c r="O779" t="n">
        <v>0</v>
      </c>
      <c r="P779" t="n">
        <v>0</v>
      </c>
      <c r="Q779" t="n">
        <v>0</v>
      </c>
      <c r="R779" s="2" t="inlineStr"/>
    </row>
    <row r="780" ht="15" customHeight="1">
      <c r="A780" t="inlineStr">
        <is>
          <t>A 47231-2025</t>
        </is>
      </c>
      <c r="B780" s="1" t="n">
        <v>45930</v>
      </c>
      <c r="C780" s="1" t="n">
        <v>45987</v>
      </c>
      <c r="D780" t="inlineStr">
        <is>
          <t>JÄMTLANDS LÄN</t>
        </is>
      </c>
      <c r="E780" t="inlineStr">
        <is>
          <t>HÄRJEDALEN</t>
        </is>
      </c>
      <c r="G780" t="n">
        <v>2.7</v>
      </c>
      <c r="H780" t="n">
        <v>0</v>
      </c>
      <c r="I780" t="n">
        <v>0</v>
      </c>
      <c r="J780" t="n">
        <v>0</v>
      </c>
      <c r="K780" t="n">
        <v>0</v>
      </c>
      <c r="L780" t="n">
        <v>0</v>
      </c>
      <c r="M780" t="n">
        <v>0</v>
      </c>
      <c r="N780" t="n">
        <v>0</v>
      </c>
      <c r="O780" t="n">
        <v>0</v>
      </c>
      <c r="P780" t="n">
        <v>0</v>
      </c>
      <c r="Q780" t="n">
        <v>0</v>
      </c>
      <c r="R780" s="2" t="inlineStr"/>
    </row>
    <row r="781" ht="15" customHeight="1">
      <c r="A781" t="inlineStr">
        <is>
          <t>A 46946-2025</t>
        </is>
      </c>
      <c r="B781" s="1" t="n">
        <v>45929.4609837963</v>
      </c>
      <c r="C781" s="1" t="n">
        <v>45987</v>
      </c>
      <c r="D781" t="inlineStr">
        <is>
          <t>JÄMTLANDS LÄN</t>
        </is>
      </c>
      <c r="E781" t="inlineStr">
        <is>
          <t>HÄRJEDALEN</t>
        </is>
      </c>
      <c r="F781" t="inlineStr">
        <is>
          <t>Bergvik skog öst AB</t>
        </is>
      </c>
      <c r="G781" t="n">
        <v>10.5</v>
      </c>
      <c r="H781" t="n">
        <v>0</v>
      </c>
      <c r="I781" t="n">
        <v>0</v>
      </c>
      <c r="J781" t="n">
        <v>0</v>
      </c>
      <c r="K781" t="n">
        <v>0</v>
      </c>
      <c r="L781" t="n">
        <v>0</v>
      </c>
      <c r="M781" t="n">
        <v>0</v>
      </c>
      <c r="N781" t="n">
        <v>0</v>
      </c>
      <c r="O781" t="n">
        <v>0</v>
      </c>
      <c r="P781" t="n">
        <v>0</v>
      </c>
      <c r="Q781" t="n">
        <v>0</v>
      </c>
      <c r="R781" s="2" t="inlineStr"/>
    </row>
    <row r="782" ht="15" customHeight="1">
      <c r="A782" t="inlineStr">
        <is>
          <t>A 37963-2025</t>
        </is>
      </c>
      <c r="B782" s="1" t="n">
        <v>45881.6609375</v>
      </c>
      <c r="C782" s="1" t="n">
        <v>45987</v>
      </c>
      <c r="D782" t="inlineStr">
        <is>
          <t>JÄMTLANDS LÄN</t>
        </is>
      </c>
      <c r="E782" t="inlineStr">
        <is>
          <t>HÄRJEDALEN</t>
        </is>
      </c>
      <c r="G782" t="n">
        <v>15.6</v>
      </c>
      <c r="H782" t="n">
        <v>0</v>
      </c>
      <c r="I782" t="n">
        <v>0</v>
      </c>
      <c r="J782" t="n">
        <v>0</v>
      </c>
      <c r="K782" t="n">
        <v>0</v>
      </c>
      <c r="L782" t="n">
        <v>0</v>
      </c>
      <c r="M782" t="n">
        <v>0</v>
      </c>
      <c r="N782" t="n">
        <v>0</v>
      </c>
      <c r="O782" t="n">
        <v>0</v>
      </c>
      <c r="P782" t="n">
        <v>0</v>
      </c>
      <c r="Q782" t="n">
        <v>0</v>
      </c>
      <c r="R782" s="2" t="inlineStr"/>
    </row>
    <row r="783" ht="15" customHeight="1">
      <c r="A783" t="inlineStr">
        <is>
          <t>A 57668-2024</t>
        </is>
      </c>
      <c r="B783" s="1" t="n">
        <v>45630.62513888889</v>
      </c>
      <c r="C783" s="1" t="n">
        <v>45987</v>
      </c>
      <c r="D783" t="inlineStr">
        <is>
          <t>JÄMTLANDS LÄN</t>
        </is>
      </c>
      <c r="E783" t="inlineStr">
        <is>
          <t>HÄRJEDALEN</t>
        </is>
      </c>
      <c r="G783" t="n">
        <v>15.7</v>
      </c>
      <c r="H783" t="n">
        <v>0</v>
      </c>
      <c r="I783" t="n">
        <v>0</v>
      </c>
      <c r="J783" t="n">
        <v>0</v>
      </c>
      <c r="K783" t="n">
        <v>0</v>
      </c>
      <c r="L783" t="n">
        <v>0</v>
      </c>
      <c r="M783" t="n">
        <v>0</v>
      </c>
      <c r="N783" t="n">
        <v>0</v>
      </c>
      <c r="O783" t="n">
        <v>0</v>
      </c>
      <c r="P783" t="n">
        <v>0</v>
      </c>
      <c r="Q783" t="n">
        <v>0</v>
      </c>
      <c r="R783" s="2" t="inlineStr"/>
    </row>
    <row r="784" ht="15" customHeight="1">
      <c r="A784" t="inlineStr">
        <is>
          <t>A 57836-2024</t>
        </is>
      </c>
      <c r="B784" s="1" t="n">
        <v>45631.39950231482</v>
      </c>
      <c r="C784" s="1" t="n">
        <v>45987</v>
      </c>
      <c r="D784" t="inlineStr">
        <is>
          <t>JÄMTLANDS LÄN</t>
        </is>
      </c>
      <c r="E784" t="inlineStr">
        <is>
          <t>HÄRJEDALEN</t>
        </is>
      </c>
      <c r="F784" t="inlineStr">
        <is>
          <t>Bergvik skog väst AB</t>
        </is>
      </c>
      <c r="G784" t="n">
        <v>7.5</v>
      </c>
      <c r="H784" t="n">
        <v>0</v>
      </c>
      <c r="I784" t="n">
        <v>0</v>
      </c>
      <c r="J784" t="n">
        <v>0</v>
      </c>
      <c r="K784" t="n">
        <v>0</v>
      </c>
      <c r="L784" t="n">
        <v>0</v>
      </c>
      <c r="M784" t="n">
        <v>0</v>
      </c>
      <c r="N784" t="n">
        <v>0</v>
      </c>
      <c r="O784" t="n">
        <v>0</v>
      </c>
      <c r="P784" t="n">
        <v>0</v>
      </c>
      <c r="Q784" t="n">
        <v>0</v>
      </c>
      <c r="R784" s="2" t="inlineStr"/>
    </row>
    <row r="785" ht="15" customHeight="1">
      <c r="A785" t="inlineStr">
        <is>
          <t>A 55640-2025</t>
        </is>
      </c>
      <c r="B785" s="1" t="n">
        <v>45972.34667824074</v>
      </c>
      <c r="C785" s="1" t="n">
        <v>45987</v>
      </c>
      <c r="D785" t="inlineStr">
        <is>
          <t>JÄMTLANDS LÄN</t>
        </is>
      </c>
      <c r="E785" t="inlineStr">
        <is>
          <t>HÄRJEDALEN</t>
        </is>
      </c>
      <c r="G785" t="n">
        <v>12.9</v>
      </c>
      <c r="H785" t="n">
        <v>0</v>
      </c>
      <c r="I785" t="n">
        <v>0</v>
      </c>
      <c r="J785" t="n">
        <v>0</v>
      </c>
      <c r="K785" t="n">
        <v>0</v>
      </c>
      <c r="L785" t="n">
        <v>0</v>
      </c>
      <c r="M785" t="n">
        <v>0</v>
      </c>
      <c r="N785" t="n">
        <v>0</v>
      </c>
      <c r="O785" t="n">
        <v>0</v>
      </c>
      <c r="P785" t="n">
        <v>0</v>
      </c>
      <c r="Q785" t="n">
        <v>0</v>
      </c>
      <c r="R785" s="2" t="inlineStr"/>
    </row>
    <row r="786" ht="15" customHeight="1">
      <c r="A786" t="inlineStr">
        <is>
          <t>A 55715-2025</t>
        </is>
      </c>
      <c r="B786" s="1" t="n">
        <v>45972.49532407407</v>
      </c>
      <c r="C786" s="1" t="n">
        <v>45987</v>
      </c>
      <c r="D786" t="inlineStr">
        <is>
          <t>JÄMTLANDS LÄN</t>
        </is>
      </c>
      <c r="E786" t="inlineStr">
        <is>
          <t>HÄRJEDALEN</t>
        </is>
      </c>
      <c r="G786" t="n">
        <v>10.7</v>
      </c>
      <c r="H786" t="n">
        <v>0</v>
      </c>
      <c r="I786" t="n">
        <v>0</v>
      </c>
      <c r="J786" t="n">
        <v>0</v>
      </c>
      <c r="K786" t="n">
        <v>0</v>
      </c>
      <c r="L786" t="n">
        <v>0</v>
      </c>
      <c r="M786" t="n">
        <v>0</v>
      </c>
      <c r="N786" t="n">
        <v>0</v>
      </c>
      <c r="O786" t="n">
        <v>0</v>
      </c>
      <c r="P786" t="n">
        <v>0</v>
      </c>
      <c r="Q786" t="n">
        <v>0</v>
      </c>
      <c r="R786" s="2" t="inlineStr"/>
    </row>
    <row r="787" ht="15" customHeight="1">
      <c r="A787" t="inlineStr">
        <is>
          <t>A 55758-2025</t>
        </is>
      </c>
      <c r="B787" s="1" t="n">
        <v>45972.59815972222</v>
      </c>
      <c r="C787" s="1" t="n">
        <v>45987</v>
      </c>
      <c r="D787" t="inlineStr">
        <is>
          <t>JÄMTLANDS LÄN</t>
        </is>
      </c>
      <c r="E787" t="inlineStr">
        <is>
          <t>HÄRJEDALEN</t>
        </is>
      </c>
      <c r="F787" t="inlineStr">
        <is>
          <t>Bergvik skog väst AB</t>
        </is>
      </c>
      <c r="G787" t="n">
        <v>6.4</v>
      </c>
      <c r="H787" t="n">
        <v>0</v>
      </c>
      <c r="I787" t="n">
        <v>0</v>
      </c>
      <c r="J787" t="n">
        <v>0</v>
      </c>
      <c r="K787" t="n">
        <v>0</v>
      </c>
      <c r="L787" t="n">
        <v>0</v>
      </c>
      <c r="M787" t="n">
        <v>0</v>
      </c>
      <c r="N787" t="n">
        <v>0</v>
      </c>
      <c r="O787" t="n">
        <v>0</v>
      </c>
      <c r="P787" t="n">
        <v>0</v>
      </c>
      <c r="Q787" t="n">
        <v>0</v>
      </c>
      <c r="R787" s="2" t="inlineStr"/>
    </row>
    <row r="788" ht="15" customHeight="1">
      <c r="A788" t="inlineStr">
        <is>
          <t>A 41146-2021</t>
        </is>
      </c>
      <c r="B788" s="1" t="n">
        <v>44423</v>
      </c>
      <c r="C788" s="1" t="n">
        <v>45987</v>
      </c>
      <c r="D788" t="inlineStr">
        <is>
          <t>JÄMTLANDS LÄN</t>
        </is>
      </c>
      <c r="E788" t="inlineStr">
        <is>
          <t>HÄRJEDALEN</t>
        </is>
      </c>
      <c r="G788" t="n">
        <v>14.9</v>
      </c>
      <c r="H788" t="n">
        <v>0</v>
      </c>
      <c r="I788" t="n">
        <v>0</v>
      </c>
      <c r="J788" t="n">
        <v>0</v>
      </c>
      <c r="K788" t="n">
        <v>0</v>
      </c>
      <c r="L788" t="n">
        <v>0</v>
      </c>
      <c r="M788" t="n">
        <v>0</v>
      </c>
      <c r="N788" t="n">
        <v>0</v>
      </c>
      <c r="O788" t="n">
        <v>0</v>
      </c>
      <c r="P788" t="n">
        <v>0</v>
      </c>
      <c r="Q788" t="n">
        <v>0</v>
      </c>
      <c r="R788" s="2" t="inlineStr"/>
    </row>
    <row r="789" ht="15" customHeight="1">
      <c r="A789" t="inlineStr">
        <is>
          <t>A 55465-2025</t>
        </is>
      </c>
      <c r="B789" s="1" t="n">
        <v>45971.52674768519</v>
      </c>
      <c r="C789" s="1" t="n">
        <v>45987</v>
      </c>
      <c r="D789" t="inlineStr">
        <is>
          <t>JÄMTLANDS LÄN</t>
        </is>
      </c>
      <c r="E789" t="inlineStr">
        <is>
          <t>HÄRJEDALEN</t>
        </is>
      </c>
      <c r="G789" t="n">
        <v>6.1</v>
      </c>
      <c r="H789" t="n">
        <v>0</v>
      </c>
      <c r="I789" t="n">
        <v>0</v>
      </c>
      <c r="J789" t="n">
        <v>0</v>
      </c>
      <c r="K789" t="n">
        <v>0</v>
      </c>
      <c r="L789" t="n">
        <v>0</v>
      </c>
      <c r="M789" t="n">
        <v>0</v>
      </c>
      <c r="N789" t="n">
        <v>0</v>
      </c>
      <c r="O789" t="n">
        <v>0</v>
      </c>
      <c r="P789" t="n">
        <v>0</v>
      </c>
      <c r="Q789" t="n">
        <v>0</v>
      </c>
      <c r="R789" s="2" t="inlineStr"/>
    </row>
    <row r="790" ht="15" customHeight="1">
      <c r="A790" t="inlineStr">
        <is>
          <t>A 8095-2025</t>
        </is>
      </c>
      <c r="B790" s="1" t="n">
        <v>45707</v>
      </c>
      <c r="C790" s="1" t="n">
        <v>45987</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47701-2025</t>
        </is>
      </c>
      <c r="B791" s="1" t="n">
        <v>45931.60657407407</v>
      </c>
      <c r="C791" s="1" t="n">
        <v>45987</v>
      </c>
      <c r="D791" t="inlineStr">
        <is>
          <t>JÄMTLANDS LÄN</t>
        </is>
      </c>
      <c r="E791" t="inlineStr">
        <is>
          <t>HÄRJEDALEN</t>
        </is>
      </c>
      <c r="G791" t="n">
        <v>17.2</v>
      </c>
      <c r="H791" t="n">
        <v>0</v>
      </c>
      <c r="I791" t="n">
        <v>0</v>
      </c>
      <c r="J791" t="n">
        <v>0</v>
      </c>
      <c r="K791" t="n">
        <v>0</v>
      </c>
      <c r="L791" t="n">
        <v>0</v>
      </c>
      <c r="M791" t="n">
        <v>0</v>
      </c>
      <c r="N791" t="n">
        <v>0</v>
      </c>
      <c r="O791" t="n">
        <v>0</v>
      </c>
      <c r="P791" t="n">
        <v>0</v>
      </c>
      <c r="Q791" t="n">
        <v>0</v>
      </c>
      <c r="R791" s="2" t="inlineStr"/>
    </row>
    <row r="792" ht="15" customHeight="1">
      <c r="A792" t="inlineStr">
        <is>
          <t>A 44632-2025</t>
        </is>
      </c>
      <c r="B792" s="1" t="n">
        <v>45917</v>
      </c>
      <c r="C792" s="1" t="n">
        <v>45987</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41955-2023</t>
        </is>
      </c>
      <c r="B793" s="1" t="n">
        <v>45174</v>
      </c>
      <c r="C793" s="1" t="n">
        <v>45987</v>
      </c>
      <c r="D793" t="inlineStr">
        <is>
          <t>JÄMTLANDS LÄN</t>
        </is>
      </c>
      <c r="E793" t="inlineStr">
        <is>
          <t>HÄRJEDALEN</t>
        </is>
      </c>
      <c r="G793" t="n">
        <v>60.5</v>
      </c>
      <c r="H793" t="n">
        <v>0</v>
      </c>
      <c r="I793" t="n">
        <v>0</v>
      </c>
      <c r="J793" t="n">
        <v>0</v>
      </c>
      <c r="K793" t="n">
        <v>0</v>
      </c>
      <c r="L793" t="n">
        <v>0</v>
      </c>
      <c r="M793" t="n">
        <v>0</v>
      </c>
      <c r="N793" t="n">
        <v>0</v>
      </c>
      <c r="O793" t="n">
        <v>0</v>
      </c>
      <c r="P793" t="n">
        <v>0</v>
      </c>
      <c r="Q793" t="n">
        <v>0</v>
      </c>
      <c r="R793" s="2" t="inlineStr"/>
    </row>
    <row r="794" ht="15" customHeight="1">
      <c r="A794" t="inlineStr">
        <is>
          <t>A 18896-2025</t>
        </is>
      </c>
      <c r="B794" s="1" t="n">
        <v>45764.44861111111</v>
      </c>
      <c r="C794" s="1" t="n">
        <v>45987</v>
      </c>
      <c r="D794" t="inlineStr">
        <is>
          <t>JÄMTLANDS LÄN</t>
        </is>
      </c>
      <c r="E794" t="inlineStr">
        <is>
          <t>HÄRJEDALEN</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11555-2025</t>
        </is>
      </c>
      <c r="B795" s="1" t="n">
        <v>45727.35621527778</v>
      </c>
      <c r="C795" s="1" t="n">
        <v>45987</v>
      </c>
      <c r="D795" t="inlineStr">
        <is>
          <t>JÄMTLANDS LÄN</t>
        </is>
      </c>
      <c r="E795" t="inlineStr">
        <is>
          <t>HÄRJEDALEN</t>
        </is>
      </c>
      <c r="F795" t="inlineStr">
        <is>
          <t>Bergvik skog väst AB</t>
        </is>
      </c>
      <c r="G795" t="n">
        <v>14.2</v>
      </c>
      <c r="H795" t="n">
        <v>0</v>
      </c>
      <c r="I795" t="n">
        <v>0</v>
      </c>
      <c r="J795" t="n">
        <v>0</v>
      </c>
      <c r="K795" t="n">
        <v>0</v>
      </c>
      <c r="L795" t="n">
        <v>0</v>
      </c>
      <c r="M795" t="n">
        <v>0</v>
      </c>
      <c r="N795" t="n">
        <v>0</v>
      </c>
      <c r="O795" t="n">
        <v>0</v>
      </c>
      <c r="P795" t="n">
        <v>0</v>
      </c>
      <c r="Q795" t="n">
        <v>0</v>
      </c>
      <c r="R795" s="2" t="inlineStr"/>
    </row>
    <row r="796" ht="15" customHeight="1">
      <c r="A796" t="inlineStr">
        <is>
          <t>A 32064-2024</t>
        </is>
      </c>
      <c r="B796" s="1" t="n">
        <v>45510</v>
      </c>
      <c r="C796" s="1" t="n">
        <v>45987</v>
      </c>
      <c r="D796" t="inlineStr">
        <is>
          <t>JÄMTLANDS LÄN</t>
        </is>
      </c>
      <c r="E796" t="inlineStr">
        <is>
          <t>HÄRJEDALEN</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38349-2025</t>
        </is>
      </c>
      <c r="B797" s="1" t="n">
        <v>45883.51854166666</v>
      </c>
      <c r="C797" s="1" t="n">
        <v>45987</v>
      </c>
      <c r="D797" t="inlineStr">
        <is>
          <t>JÄMTLANDS LÄN</t>
        </is>
      </c>
      <c r="E797" t="inlineStr">
        <is>
          <t>HÄRJEDALEN</t>
        </is>
      </c>
      <c r="G797" t="n">
        <v>6.8</v>
      </c>
      <c r="H797" t="n">
        <v>0</v>
      </c>
      <c r="I797" t="n">
        <v>0</v>
      </c>
      <c r="J797" t="n">
        <v>0</v>
      </c>
      <c r="K797" t="n">
        <v>0</v>
      </c>
      <c r="L797" t="n">
        <v>0</v>
      </c>
      <c r="M797" t="n">
        <v>0</v>
      </c>
      <c r="N797" t="n">
        <v>0</v>
      </c>
      <c r="O797" t="n">
        <v>0</v>
      </c>
      <c r="P797" t="n">
        <v>0</v>
      </c>
      <c r="Q797" t="n">
        <v>0</v>
      </c>
      <c r="R797" s="2" t="inlineStr"/>
    </row>
    <row r="798" ht="15" customHeight="1">
      <c r="A798" t="inlineStr">
        <is>
          <t>A 29624-2024</t>
        </is>
      </c>
      <c r="B798" s="1" t="n">
        <v>45484.65768518519</v>
      </c>
      <c r="C798" s="1" t="n">
        <v>45987</v>
      </c>
      <c r="D798" t="inlineStr">
        <is>
          <t>JÄMTLANDS LÄN</t>
        </is>
      </c>
      <c r="E798" t="inlineStr">
        <is>
          <t>HÄRJEDALEN</t>
        </is>
      </c>
      <c r="F798" t="inlineStr">
        <is>
          <t>Holmen skog AB</t>
        </is>
      </c>
      <c r="G798" t="n">
        <v>7.7</v>
      </c>
      <c r="H798" t="n">
        <v>0</v>
      </c>
      <c r="I798" t="n">
        <v>0</v>
      </c>
      <c r="J798" t="n">
        <v>0</v>
      </c>
      <c r="K798" t="n">
        <v>0</v>
      </c>
      <c r="L798" t="n">
        <v>0</v>
      </c>
      <c r="M798" t="n">
        <v>0</v>
      </c>
      <c r="N798" t="n">
        <v>0</v>
      </c>
      <c r="O798" t="n">
        <v>0</v>
      </c>
      <c r="P798" t="n">
        <v>0</v>
      </c>
      <c r="Q798" t="n">
        <v>0</v>
      </c>
      <c r="R798" s="2" t="inlineStr"/>
    </row>
    <row r="799" ht="15" customHeight="1">
      <c r="A799" t="inlineStr">
        <is>
          <t>A 47727-2025</t>
        </is>
      </c>
      <c r="B799" s="1" t="n">
        <v>45931.63174768518</v>
      </c>
      <c r="C799" s="1" t="n">
        <v>45987</v>
      </c>
      <c r="D799" t="inlineStr">
        <is>
          <t>JÄMTLANDS LÄN</t>
        </is>
      </c>
      <c r="E799" t="inlineStr">
        <is>
          <t>HÄRJEDALEN</t>
        </is>
      </c>
      <c r="F799" t="inlineStr">
        <is>
          <t>Bergvik skog väst AB</t>
        </is>
      </c>
      <c r="G799" t="n">
        <v>34</v>
      </c>
      <c r="H799" t="n">
        <v>0</v>
      </c>
      <c r="I799" t="n">
        <v>0</v>
      </c>
      <c r="J799" t="n">
        <v>0</v>
      </c>
      <c r="K799" t="n">
        <v>0</v>
      </c>
      <c r="L799" t="n">
        <v>0</v>
      </c>
      <c r="M799" t="n">
        <v>0</v>
      </c>
      <c r="N799" t="n">
        <v>0</v>
      </c>
      <c r="O799" t="n">
        <v>0</v>
      </c>
      <c r="P799" t="n">
        <v>0</v>
      </c>
      <c r="Q799" t="n">
        <v>0</v>
      </c>
      <c r="R799" s="2" t="inlineStr"/>
    </row>
    <row r="800" ht="15" customHeight="1">
      <c r="A800" t="inlineStr">
        <is>
          <t>A 56213-2025</t>
        </is>
      </c>
      <c r="B800" s="1" t="n">
        <v>45974.47983796296</v>
      </c>
      <c r="C800" s="1" t="n">
        <v>45987</v>
      </c>
      <c r="D800" t="inlineStr">
        <is>
          <t>JÄMTLANDS LÄN</t>
        </is>
      </c>
      <c r="E800" t="inlineStr">
        <is>
          <t>HÄRJEDALEN</t>
        </is>
      </c>
      <c r="F800" t="inlineStr">
        <is>
          <t>Bergvik skog väst AB</t>
        </is>
      </c>
      <c r="G800" t="n">
        <v>3.4</v>
      </c>
      <c r="H800" t="n">
        <v>0</v>
      </c>
      <c r="I800" t="n">
        <v>0</v>
      </c>
      <c r="J800" t="n">
        <v>0</v>
      </c>
      <c r="K800" t="n">
        <v>0</v>
      </c>
      <c r="L800" t="n">
        <v>0</v>
      </c>
      <c r="M800" t="n">
        <v>0</v>
      </c>
      <c r="N800" t="n">
        <v>0</v>
      </c>
      <c r="O800" t="n">
        <v>0</v>
      </c>
      <c r="P800" t="n">
        <v>0</v>
      </c>
      <c r="Q800" t="n">
        <v>0</v>
      </c>
      <c r="R800" s="2" t="inlineStr"/>
    </row>
    <row r="801" ht="15" customHeight="1">
      <c r="A801" t="inlineStr">
        <is>
          <t>A 47503-2025</t>
        </is>
      </c>
      <c r="B801" s="1" t="n">
        <v>45930.85418981482</v>
      </c>
      <c r="C801" s="1" t="n">
        <v>45987</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5101-2025</t>
        </is>
      </c>
      <c r="B802" s="1" t="n">
        <v>45691</v>
      </c>
      <c r="C802" s="1" t="n">
        <v>45987</v>
      </c>
      <c r="D802" t="inlineStr">
        <is>
          <t>JÄMTLANDS LÄN</t>
        </is>
      </c>
      <c r="E802" t="inlineStr">
        <is>
          <t>HÄRJEDALEN</t>
        </is>
      </c>
      <c r="F802" t="inlineStr">
        <is>
          <t>Holmen skog AB</t>
        </is>
      </c>
      <c r="G802" t="n">
        <v>33.5</v>
      </c>
      <c r="H802" t="n">
        <v>0</v>
      </c>
      <c r="I802" t="n">
        <v>0</v>
      </c>
      <c r="J802" t="n">
        <v>0</v>
      </c>
      <c r="K802" t="n">
        <v>0</v>
      </c>
      <c r="L802" t="n">
        <v>0</v>
      </c>
      <c r="M802" t="n">
        <v>0</v>
      </c>
      <c r="N802" t="n">
        <v>0</v>
      </c>
      <c r="O802" t="n">
        <v>0</v>
      </c>
      <c r="P802" t="n">
        <v>0</v>
      </c>
      <c r="Q802" t="n">
        <v>0</v>
      </c>
      <c r="R802" s="2" t="inlineStr"/>
    </row>
    <row r="803" ht="15" customHeight="1">
      <c r="A803" t="inlineStr">
        <is>
          <t>A 5113-2025</t>
        </is>
      </c>
      <c r="B803" s="1" t="n">
        <v>45691</v>
      </c>
      <c r="C803" s="1" t="n">
        <v>45987</v>
      </c>
      <c r="D803" t="inlineStr">
        <is>
          <t>JÄMTLANDS LÄN</t>
        </is>
      </c>
      <c r="E803" t="inlineStr">
        <is>
          <t>HÄRJEDALEN</t>
        </is>
      </c>
      <c r="F803" t="inlineStr">
        <is>
          <t>Holmen skog AB</t>
        </is>
      </c>
      <c r="G803" t="n">
        <v>25.9</v>
      </c>
      <c r="H803" t="n">
        <v>0</v>
      </c>
      <c r="I803" t="n">
        <v>0</v>
      </c>
      <c r="J803" t="n">
        <v>0</v>
      </c>
      <c r="K803" t="n">
        <v>0</v>
      </c>
      <c r="L803" t="n">
        <v>0</v>
      </c>
      <c r="M803" t="n">
        <v>0</v>
      </c>
      <c r="N803" t="n">
        <v>0</v>
      </c>
      <c r="O803" t="n">
        <v>0</v>
      </c>
      <c r="P803" t="n">
        <v>0</v>
      </c>
      <c r="Q803" t="n">
        <v>0</v>
      </c>
      <c r="R803" s="2" t="inlineStr"/>
    </row>
    <row r="804" ht="15" customHeight="1">
      <c r="A804" t="inlineStr">
        <is>
          <t>A 47501-2025</t>
        </is>
      </c>
      <c r="B804" s="1" t="n">
        <v>45930.85032407408</v>
      </c>
      <c r="C804" s="1" t="n">
        <v>45987</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46693-2025</t>
        </is>
      </c>
      <c r="B805" s="1" t="n">
        <v>45926</v>
      </c>
      <c r="C805" s="1" t="n">
        <v>45987</v>
      </c>
      <c r="D805" t="inlineStr">
        <is>
          <t>JÄMTLANDS LÄN</t>
        </is>
      </c>
      <c r="E805" t="inlineStr">
        <is>
          <t>HÄRJEDALEN</t>
        </is>
      </c>
      <c r="G805" t="n">
        <v>4.9</v>
      </c>
      <c r="H805" t="n">
        <v>0</v>
      </c>
      <c r="I805" t="n">
        <v>0</v>
      </c>
      <c r="J805" t="n">
        <v>0</v>
      </c>
      <c r="K805" t="n">
        <v>0</v>
      </c>
      <c r="L805" t="n">
        <v>0</v>
      </c>
      <c r="M805" t="n">
        <v>0</v>
      </c>
      <c r="N805" t="n">
        <v>0</v>
      </c>
      <c r="O805" t="n">
        <v>0</v>
      </c>
      <c r="P805" t="n">
        <v>0</v>
      </c>
      <c r="Q805" t="n">
        <v>0</v>
      </c>
      <c r="R805" s="2" t="inlineStr"/>
    </row>
    <row r="806" ht="15" customHeight="1">
      <c r="A806" t="inlineStr">
        <is>
          <t>A 56176-2025</t>
        </is>
      </c>
      <c r="B806" s="1" t="n">
        <v>45974.39936342592</v>
      </c>
      <c r="C806" s="1" t="n">
        <v>45987</v>
      </c>
      <c r="D806" t="inlineStr">
        <is>
          <t>JÄMTLANDS LÄN</t>
        </is>
      </c>
      <c r="E806" t="inlineStr">
        <is>
          <t>HÄRJEDALEN</t>
        </is>
      </c>
      <c r="F806" t="inlineStr">
        <is>
          <t>Bergvik skog väst AB</t>
        </is>
      </c>
      <c r="G806" t="n">
        <v>15.7</v>
      </c>
      <c r="H806" t="n">
        <v>0</v>
      </c>
      <c r="I806" t="n">
        <v>0</v>
      </c>
      <c r="J806" t="n">
        <v>0</v>
      </c>
      <c r="K806" t="n">
        <v>0</v>
      </c>
      <c r="L806" t="n">
        <v>0</v>
      </c>
      <c r="M806" t="n">
        <v>0</v>
      </c>
      <c r="N806" t="n">
        <v>0</v>
      </c>
      <c r="O806" t="n">
        <v>0</v>
      </c>
      <c r="P806" t="n">
        <v>0</v>
      </c>
      <c r="Q806" t="n">
        <v>0</v>
      </c>
      <c r="R806" s="2" t="inlineStr"/>
    </row>
    <row r="807" ht="15" customHeight="1">
      <c r="A807" t="inlineStr">
        <is>
          <t>A 19962-2021</t>
        </is>
      </c>
      <c r="B807" s="1" t="n">
        <v>44312</v>
      </c>
      <c r="C807" s="1" t="n">
        <v>45987</v>
      </c>
      <c r="D807" t="inlineStr">
        <is>
          <t>JÄMTLANDS LÄN</t>
        </is>
      </c>
      <c r="E807" t="inlineStr">
        <is>
          <t>HÄRJEDALEN</t>
        </is>
      </c>
      <c r="G807" t="n">
        <v>3.7</v>
      </c>
      <c r="H807" t="n">
        <v>0</v>
      </c>
      <c r="I807" t="n">
        <v>0</v>
      </c>
      <c r="J807" t="n">
        <v>0</v>
      </c>
      <c r="K807" t="n">
        <v>0</v>
      </c>
      <c r="L807" t="n">
        <v>0</v>
      </c>
      <c r="M807" t="n">
        <v>0</v>
      </c>
      <c r="N807" t="n">
        <v>0</v>
      </c>
      <c r="O807" t="n">
        <v>0</v>
      </c>
      <c r="P807" t="n">
        <v>0</v>
      </c>
      <c r="Q807" t="n">
        <v>0</v>
      </c>
      <c r="R807" s="2" t="inlineStr"/>
    </row>
    <row r="808" ht="15" customHeight="1">
      <c r="A808" t="inlineStr">
        <is>
          <t>A 55228-2024</t>
        </is>
      </c>
      <c r="B808" s="1" t="n">
        <v>45621</v>
      </c>
      <c r="C808" s="1" t="n">
        <v>45987</v>
      </c>
      <c r="D808" t="inlineStr">
        <is>
          <t>JÄMTLANDS LÄN</t>
        </is>
      </c>
      <c r="E808" t="inlineStr">
        <is>
          <t>HÄRJEDALEN</t>
        </is>
      </c>
      <c r="G808" t="n">
        <v>4.8</v>
      </c>
      <c r="H808" t="n">
        <v>0</v>
      </c>
      <c r="I808" t="n">
        <v>0</v>
      </c>
      <c r="J808" t="n">
        <v>0</v>
      </c>
      <c r="K808" t="n">
        <v>0</v>
      </c>
      <c r="L808" t="n">
        <v>0</v>
      </c>
      <c r="M808" t="n">
        <v>0</v>
      </c>
      <c r="N808" t="n">
        <v>0</v>
      </c>
      <c r="O808" t="n">
        <v>0</v>
      </c>
      <c r="P808" t="n">
        <v>0</v>
      </c>
      <c r="Q808" t="n">
        <v>0</v>
      </c>
      <c r="R808" s="2" t="inlineStr"/>
    </row>
    <row r="809" ht="15" customHeight="1">
      <c r="A809" t="inlineStr">
        <is>
          <t>A 55246-2024</t>
        </is>
      </c>
      <c r="B809" s="1" t="n">
        <v>45621</v>
      </c>
      <c r="C809" s="1" t="n">
        <v>45987</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29791-2024</t>
        </is>
      </c>
      <c r="B810" s="1" t="n">
        <v>45485</v>
      </c>
      <c r="C810" s="1" t="n">
        <v>45987</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55852-2025</t>
        </is>
      </c>
      <c r="B811" s="1" t="n">
        <v>45973</v>
      </c>
      <c r="C811" s="1" t="n">
        <v>45987</v>
      </c>
      <c r="D811" t="inlineStr">
        <is>
          <t>JÄMTLANDS LÄN</t>
        </is>
      </c>
      <c r="E811" t="inlineStr">
        <is>
          <t>HÄRJEDALEN</t>
        </is>
      </c>
      <c r="G811" t="n">
        <v>11.7</v>
      </c>
      <c r="H811" t="n">
        <v>0</v>
      </c>
      <c r="I811" t="n">
        <v>0</v>
      </c>
      <c r="J811" t="n">
        <v>0</v>
      </c>
      <c r="K811" t="n">
        <v>0</v>
      </c>
      <c r="L811" t="n">
        <v>0</v>
      </c>
      <c r="M811" t="n">
        <v>0</v>
      </c>
      <c r="N811" t="n">
        <v>0</v>
      </c>
      <c r="O811" t="n">
        <v>0</v>
      </c>
      <c r="P811" t="n">
        <v>0</v>
      </c>
      <c r="Q811" t="n">
        <v>0</v>
      </c>
      <c r="R811" s="2" t="inlineStr"/>
    </row>
    <row r="812" ht="15" customHeight="1">
      <c r="A812" t="inlineStr">
        <is>
          <t>A 56134-2025</t>
        </is>
      </c>
      <c r="B812" s="1" t="n">
        <v>45974</v>
      </c>
      <c r="C812" s="1" t="n">
        <v>45987</v>
      </c>
      <c r="D812" t="inlineStr">
        <is>
          <t>JÄMTLANDS LÄN</t>
        </is>
      </c>
      <c r="E812" t="inlineStr">
        <is>
          <t>HÄRJEDALEN</t>
        </is>
      </c>
      <c r="G812" t="n">
        <v>4.4</v>
      </c>
      <c r="H812" t="n">
        <v>0</v>
      </c>
      <c r="I812" t="n">
        <v>0</v>
      </c>
      <c r="J812" t="n">
        <v>0</v>
      </c>
      <c r="K812" t="n">
        <v>0</v>
      </c>
      <c r="L812" t="n">
        <v>0</v>
      </c>
      <c r="M812" t="n">
        <v>0</v>
      </c>
      <c r="N812" t="n">
        <v>0</v>
      </c>
      <c r="O812" t="n">
        <v>0</v>
      </c>
      <c r="P812" t="n">
        <v>0</v>
      </c>
      <c r="Q812" t="n">
        <v>0</v>
      </c>
      <c r="R812" s="2" t="inlineStr"/>
    </row>
    <row r="813" ht="15" customHeight="1">
      <c r="A813" t="inlineStr">
        <is>
          <t>A 38276-2025</t>
        </is>
      </c>
      <c r="B813" s="1" t="n">
        <v>45883.4108912037</v>
      </c>
      <c r="C813" s="1" t="n">
        <v>45987</v>
      </c>
      <c r="D813" t="inlineStr">
        <is>
          <t>JÄMTLANDS LÄN</t>
        </is>
      </c>
      <c r="E813" t="inlineStr">
        <is>
          <t>HÄRJEDALEN</t>
        </is>
      </c>
      <c r="G813" t="n">
        <v>1.1</v>
      </c>
      <c r="H813" t="n">
        <v>0</v>
      </c>
      <c r="I813" t="n">
        <v>0</v>
      </c>
      <c r="J813" t="n">
        <v>0</v>
      </c>
      <c r="K813" t="n">
        <v>0</v>
      </c>
      <c r="L813" t="n">
        <v>0</v>
      </c>
      <c r="M813" t="n">
        <v>0</v>
      </c>
      <c r="N813" t="n">
        <v>0</v>
      </c>
      <c r="O813" t="n">
        <v>0</v>
      </c>
      <c r="P813" t="n">
        <v>0</v>
      </c>
      <c r="Q813" t="n">
        <v>0</v>
      </c>
      <c r="R813" s="2" t="inlineStr"/>
    </row>
    <row r="814" ht="15" customHeight="1">
      <c r="A814" t="inlineStr">
        <is>
          <t>A 55890-2025</t>
        </is>
      </c>
      <c r="B814" s="1" t="n">
        <v>45973.3788425926</v>
      </c>
      <c r="C814" s="1" t="n">
        <v>45987</v>
      </c>
      <c r="D814" t="inlineStr">
        <is>
          <t>JÄMTLANDS LÄN</t>
        </is>
      </c>
      <c r="E814" t="inlineStr">
        <is>
          <t>HÄRJEDALEN</t>
        </is>
      </c>
      <c r="F814" t="inlineStr">
        <is>
          <t>Holmen skog AB</t>
        </is>
      </c>
      <c r="G814" t="n">
        <v>2</v>
      </c>
      <c r="H814" t="n">
        <v>0</v>
      </c>
      <c r="I814" t="n">
        <v>0</v>
      </c>
      <c r="J814" t="n">
        <v>0</v>
      </c>
      <c r="K814" t="n">
        <v>0</v>
      </c>
      <c r="L814" t="n">
        <v>0</v>
      </c>
      <c r="M814" t="n">
        <v>0</v>
      </c>
      <c r="N814" t="n">
        <v>0</v>
      </c>
      <c r="O814" t="n">
        <v>0</v>
      </c>
      <c r="P814" t="n">
        <v>0</v>
      </c>
      <c r="Q814" t="n">
        <v>0</v>
      </c>
      <c r="R814" s="2" t="inlineStr"/>
    </row>
    <row r="815" ht="15" customHeight="1">
      <c r="A815" t="inlineStr">
        <is>
          <t>A 55940-2025</t>
        </is>
      </c>
      <c r="B815" s="1" t="n">
        <v>45973.45135416667</v>
      </c>
      <c r="C815" s="1" t="n">
        <v>45987</v>
      </c>
      <c r="D815" t="inlineStr">
        <is>
          <t>JÄMTLANDS LÄN</t>
        </is>
      </c>
      <c r="E815" t="inlineStr">
        <is>
          <t>HÄRJEDALEN</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55965-2025</t>
        </is>
      </c>
      <c r="B816" s="1" t="n">
        <v>45973.48260416667</v>
      </c>
      <c r="C816" s="1" t="n">
        <v>45987</v>
      </c>
      <c r="D816" t="inlineStr">
        <is>
          <t>JÄMTLANDS LÄN</t>
        </is>
      </c>
      <c r="E816" t="inlineStr">
        <is>
          <t>HÄRJEDALEN</t>
        </is>
      </c>
      <c r="F816" t="inlineStr">
        <is>
          <t>Holmen skog AB</t>
        </is>
      </c>
      <c r="G816" t="n">
        <v>3.9</v>
      </c>
      <c r="H816" t="n">
        <v>0</v>
      </c>
      <c r="I816" t="n">
        <v>0</v>
      </c>
      <c r="J816" t="n">
        <v>0</v>
      </c>
      <c r="K816" t="n">
        <v>0</v>
      </c>
      <c r="L816" t="n">
        <v>0</v>
      </c>
      <c r="M816" t="n">
        <v>0</v>
      </c>
      <c r="N816" t="n">
        <v>0</v>
      </c>
      <c r="O816" t="n">
        <v>0</v>
      </c>
      <c r="P816" t="n">
        <v>0</v>
      </c>
      <c r="Q816" t="n">
        <v>0</v>
      </c>
      <c r="R816" s="2" t="inlineStr"/>
    </row>
    <row r="817" ht="15" customHeight="1">
      <c r="A817" t="inlineStr">
        <is>
          <t>A 55877-2025</t>
        </is>
      </c>
      <c r="B817" s="1" t="n">
        <v>45973.36349537037</v>
      </c>
      <c r="C817" s="1" t="n">
        <v>45987</v>
      </c>
      <c r="D817" t="inlineStr">
        <is>
          <t>JÄMTLANDS LÄN</t>
        </is>
      </c>
      <c r="E817" t="inlineStr">
        <is>
          <t>HÄRJEDALEN</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47699-2025</t>
        </is>
      </c>
      <c r="B818" s="1" t="n">
        <v>45931.60063657408</v>
      </c>
      <c r="C818" s="1" t="n">
        <v>45987</v>
      </c>
      <c r="D818" t="inlineStr">
        <is>
          <t>JÄMTLANDS LÄN</t>
        </is>
      </c>
      <c r="E818" t="inlineStr">
        <is>
          <t>HÄRJEDALEN</t>
        </is>
      </c>
      <c r="G818" t="n">
        <v>11.5</v>
      </c>
      <c r="H818" t="n">
        <v>0</v>
      </c>
      <c r="I818" t="n">
        <v>0</v>
      </c>
      <c r="J818" t="n">
        <v>0</v>
      </c>
      <c r="K818" t="n">
        <v>0</v>
      </c>
      <c r="L818" t="n">
        <v>0</v>
      </c>
      <c r="M818" t="n">
        <v>0</v>
      </c>
      <c r="N818" t="n">
        <v>0</v>
      </c>
      <c r="O818" t="n">
        <v>0</v>
      </c>
      <c r="P818" t="n">
        <v>0</v>
      </c>
      <c r="Q818" t="n">
        <v>0</v>
      </c>
      <c r="R818" s="2" t="inlineStr"/>
    </row>
    <row r="819" ht="15" customHeight="1">
      <c r="A819" t="inlineStr">
        <is>
          <t>A 35-2023</t>
        </is>
      </c>
      <c r="B819" s="1" t="n">
        <v>44928.36418981481</v>
      </c>
      <c r="C819" s="1" t="n">
        <v>45987</v>
      </c>
      <c r="D819" t="inlineStr">
        <is>
          <t>JÄMTLANDS LÄN</t>
        </is>
      </c>
      <c r="E819" t="inlineStr">
        <is>
          <t>HÄRJEDALEN</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56197-2025</t>
        </is>
      </c>
      <c r="B820" s="1" t="n">
        <v>45974.45393518519</v>
      </c>
      <c r="C820" s="1" t="n">
        <v>45987</v>
      </c>
      <c r="D820" t="inlineStr">
        <is>
          <t>JÄMTLANDS LÄN</t>
        </is>
      </c>
      <c r="E820" t="inlineStr">
        <is>
          <t>HÄRJEDALEN</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5993-2021</t>
        </is>
      </c>
      <c r="B821" s="1" t="n">
        <v>44231</v>
      </c>
      <c r="C821" s="1" t="n">
        <v>45987</v>
      </c>
      <c r="D821" t="inlineStr">
        <is>
          <t>JÄMTLANDS LÄN</t>
        </is>
      </c>
      <c r="E821" t="inlineStr">
        <is>
          <t>HÄRJEDALEN</t>
        </is>
      </c>
      <c r="F821" t="inlineStr">
        <is>
          <t>Kyrkan</t>
        </is>
      </c>
      <c r="G821" t="n">
        <v>2.6</v>
      </c>
      <c r="H821" t="n">
        <v>0</v>
      </c>
      <c r="I821" t="n">
        <v>0</v>
      </c>
      <c r="J821" t="n">
        <v>0</v>
      </c>
      <c r="K821" t="n">
        <v>0</v>
      </c>
      <c r="L821" t="n">
        <v>0</v>
      </c>
      <c r="M821" t="n">
        <v>0</v>
      </c>
      <c r="N821" t="n">
        <v>0</v>
      </c>
      <c r="O821" t="n">
        <v>0</v>
      </c>
      <c r="P821" t="n">
        <v>0</v>
      </c>
      <c r="Q821" t="n">
        <v>0</v>
      </c>
      <c r="R821" s="2" t="inlineStr"/>
    </row>
    <row r="822" ht="15" customHeight="1">
      <c r="A822" t="inlineStr">
        <is>
          <t>A 56646-2025</t>
        </is>
      </c>
      <c r="B822" s="1" t="n">
        <v>45975.634375</v>
      </c>
      <c r="C822" s="1" t="n">
        <v>45987</v>
      </c>
      <c r="D822" t="inlineStr">
        <is>
          <t>JÄMTLANDS LÄN</t>
        </is>
      </c>
      <c r="E822" t="inlineStr">
        <is>
          <t>HÄRJEDALEN</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8091-2025</t>
        </is>
      </c>
      <c r="B823" s="1" t="n">
        <v>45707</v>
      </c>
      <c r="C823" s="1" t="n">
        <v>45987</v>
      </c>
      <c r="D823" t="inlineStr">
        <is>
          <t>JÄMTLANDS LÄN</t>
        </is>
      </c>
      <c r="E823" t="inlineStr">
        <is>
          <t>HÄRJEDALEN</t>
        </is>
      </c>
      <c r="G823" t="n">
        <v>3.3</v>
      </c>
      <c r="H823" t="n">
        <v>0</v>
      </c>
      <c r="I823" t="n">
        <v>0</v>
      </c>
      <c r="J823" t="n">
        <v>0</v>
      </c>
      <c r="K823" t="n">
        <v>0</v>
      </c>
      <c r="L823" t="n">
        <v>0</v>
      </c>
      <c r="M823" t="n">
        <v>0</v>
      </c>
      <c r="N823" t="n">
        <v>0</v>
      </c>
      <c r="O823" t="n">
        <v>0</v>
      </c>
      <c r="P823" t="n">
        <v>0</v>
      </c>
      <c r="Q823" t="n">
        <v>0</v>
      </c>
      <c r="R823" s="2" t="inlineStr"/>
    </row>
    <row r="824" ht="15" customHeight="1">
      <c r="A824" t="inlineStr">
        <is>
          <t>A 34627-2022</t>
        </is>
      </c>
      <c r="B824" s="1" t="n">
        <v>44795</v>
      </c>
      <c r="C824" s="1" t="n">
        <v>45987</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55318-2024</t>
        </is>
      </c>
      <c r="B825" s="1" t="n">
        <v>45621</v>
      </c>
      <c r="C825" s="1" t="n">
        <v>45987</v>
      </c>
      <c r="D825" t="inlineStr">
        <is>
          <t>JÄMTLANDS LÄN</t>
        </is>
      </c>
      <c r="E825" t="inlineStr">
        <is>
          <t>HÄRJEDALEN</t>
        </is>
      </c>
      <c r="F825" t="inlineStr">
        <is>
          <t>Bergvik skog väst AB</t>
        </is>
      </c>
      <c r="G825" t="n">
        <v>136.1</v>
      </c>
      <c r="H825" t="n">
        <v>0</v>
      </c>
      <c r="I825" t="n">
        <v>0</v>
      </c>
      <c r="J825" t="n">
        <v>0</v>
      </c>
      <c r="K825" t="n">
        <v>0</v>
      </c>
      <c r="L825" t="n">
        <v>0</v>
      </c>
      <c r="M825" t="n">
        <v>0</v>
      </c>
      <c r="N825" t="n">
        <v>0</v>
      </c>
      <c r="O825" t="n">
        <v>0</v>
      </c>
      <c r="P825" t="n">
        <v>0</v>
      </c>
      <c r="Q825" t="n">
        <v>0</v>
      </c>
      <c r="R825" s="2" t="inlineStr"/>
    </row>
    <row r="826" ht="15" customHeight="1">
      <c r="A826" t="inlineStr">
        <is>
          <t>A 14632-2025</t>
        </is>
      </c>
      <c r="B826" s="1" t="n">
        <v>45742.42793981481</v>
      </c>
      <c r="C826" s="1" t="n">
        <v>45987</v>
      </c>
      <c r="D826" t="inlineStr">
        <is>
          <t>JÄMTLANDS LÄN</t>
        </is>
      </c>
      <c r="E826" t="inlineStr">
        <is>
          <t>HÄRJEDALEN</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7622-2025</t>
        </is>
      </c>
      <c r="B827" s="1" t="n">
        <v>45705.72106481482</v>
      </c>
      <c r="C827" s="1" t="n">
        <v>45987</v>
      </c>
      <c r="D827" t="inlineStr">
        <is>
          <t>JÄMTLANDS LÄN</t>
        </is>
      </c>
      <c r="E827" t="inlineStr">
        <is>
          <t>HÄRJEDALEN</t>
        </is>
      </c>
      <c r="G827" t="n">
        <v>2.7</v>
      </c>
      <c r="H827" t="n">
        <v>0</v>
      </c>
      <c r="I827" t="n">
        <v>0</v>
      </c>
      <c r="J827" t="n">
        <v>0</v>
      </c>
      <c r="K827" t="n">
        <v>0</v>
      </c>
      <c r="L827" t="n">
        <v>0</v>
      </c>
      <c r="M827" t="n">
        <v>0</v>
      </c>
      <c r="N827" t="n">
        <v>0</v>
      </c>
      <c r="O827" t="n">
        <v>0</v>
      </c>
      <c r="P827" t="n">
        <v>0</v>
      </c>
      <c r="Q827" t="n">
        <v>0</v>
      </c>
      <c r="R827" s="2" t="inlineStr"/>
    </row>
    <row r="828" ht="15" customHeight="1">
      <c r="A828" t="inlineStr">
        <is>
          <t>A 48284-2025</t>
        </is>
      </c>
      <c r="B828" s="1" t="n">
        <v>45933</v>
      </c>
      <c r="C828" s="1" t="n">
        <v>45987</v>
      </c>
      <c r="D828" t="inlineStr">
        <is>
          <t>JÄMTLANDS LÄN</t>
        </is>
      </c>
      <c r="E828" t="inlineStr">
        <is>
          <t>HÄRJEDALEN</t>
        </is>
      </c>
      <c r="G828" t="n">
        <v>6.3</v>
      </c>
      <c r="H828" t="n">
        <v>0</v>
      </c>
      <c r="I828" t="n">
        <v>0</v>
      </c>
      <c r="J828" t="n">
        <v>0</v>
      </c>
      <c r="K828" t="n">
        <v>0</v>
      </c>
      <c r="L828" t="n">
        <v>0</v>
      </c>
      <c r="M828" t="n">
        <v>0</v>
      </c>
      <c r="N828" t="n">
        <v>0</v>
      </c>
      <c r="O828" t="n">
        <v>0</v>
      </c>
      <c r="P828" t="n">
        <v>0</v>
      </c>
      <c r="Q828" t="n">
        <v>0</v>
      </c>
      <c r="R828" s="2" t="inlineStr"/>
    </row>
    <row r="829" ht="15" customHeight="1">
      <c r="A829" t="inlineStr">
        <is>
          <t>A 35532-2021</t>
        </is>
      </c>
      <c r="B829" s="1" t="n">
        <v>44385</v>
      </c>
      <c r="C829" s="1" t="n">
        <v>45987</v>
      </c>
      <c r="D829" t="inlineStr">
        <is>
          <t>JÄMTLANDS LÄN</t>
        </is>
      </c>
      <c r="E829" t="inlineStr">
        <is>
          <t>HÄRJEDALEN</t>
        </is>
      </c>
      <c r="G829" t="n">
        <v>4.3</v>
      </c>
      <c r="H829" t="n">
        <v>0</v>
      </c>
      <c r="I829" t="n">
        <v>0</v>
      </c>
      <c r="J829" t="n">
        <v>0</v>
      </c>
      <c r="K829" t="n">
        <v>0</v>
      </c>
      <c r="L829" t="n">
        <v>0</v>
      </c>
      <c r="M829" t="n">
        <v>0</v>
      </c>
      <c r="N829" t="n">
        <v>0</v>
      </c>
      <c r="O829" t="n">
        <v>0</v>
      </c>
      <c r="P829" t="n">
        <v>0</v>
      </c>
      <c r="Q829" t="n">
        <v>0</v>
      </c>
      <c r="R829" s="2" t="inlineStr"/>
    </row>
    <row r="830" ht="15" customHeight="1">
      <c r="A830" t="inlineStr">
        <is>
          <t>A 30082-2022</t>
        </is>
      </c>
      <c r="B830" s="1" t="n">
        <v>44757.37524305555</v>
      </c>
      <c r="C830" s="1" t="n">
        <v>45987</v>
      </c>
      <c r="D830" t="inlineStr">
        <is>
          <t>JÄMTLANDS LÄN</t>
        </is>
      </c>
      <c r="E830" t="inlineStr">
        <is>
          <t>HÄRJEDALEN</t>
        </is>
      </c>
      <c r="G830" t="n">
        <v>3</v>
      </c>
      <c r="H830" t="n">
        <v>0</v>
      </c>
      <c r="I830" t="n">
        <v>0</v>
      </c>
      <c r="J830" t="n">
        <v>0</v>
      </c>
      <c r="K830" t="n">
        <v>0</v>
      </c>
      <c r="L830" t="n">
        <v>0</v>
      </c>
      <c r="M830" t="n">
        <v>0</v>
      </c>
      <c r="N830" t="n">
        <v>0</v>
      </c>
      <c r="O830" t="n">
        <v>0</v>
      </c>
      <c r="P830" t="n">
        <v>0</v>
      </c>
      <c r="Q830" t="n">
        <v>0</v>
      </c>
      <c r="R830" s="2" t="inlineStr"/>
    </row>
    <row r="831" ht="15" customHeight="1">
      <c r="A831" t="inlineStr">
        <is>
          <t>A 18893-2025</t>
        </is>
      </c>
      <c r="B831" s="1" t="n">
        <v>45764.44825231482</v>
      </c>
      <c r="C831" s="1" t="n">
        <v>45987</v>
      </c>
      <c r="D831" t="inlineStr">
        <is>
          <t>JÄMTLANDS LÄN</t>
        </is>
      </c>
      <c r="E831" t="inlineStr">
        <is>
          <t>HÄRJEDALEN</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29710-2024</t>
        </is>
      </c>
      <c r="B832" s="1" t="n">
        <v>45485</v>
      </c>
      <c r="C832" s="1" t="n">
        <v>45987</v>
      </c>
      <c r="D832" t="inlineStr">
        <is>
          <t>JÄMTLANDS LÄN</t>
        </is>
      </c>
      <c r="E832" t="inlineStr">
        <is>
          <t>HÄRJEDALEN</t>
        </is>
      </c>
      <c r="F832" t="inlineStr">
        <is>
          <t>Holmen skog AB</t>
        </is>
      </c>
      <c r="G832" t="n">
        <v>4</v>
      </c>
      <c r="H832" t="n">
        <v>0</v>
      </c>
      <c r="I832" t="n">
        <v>0</v>
      </c>
      <c r="J832" t="n">
        <v>0</v>
      </c>
      <c r="K832" t="n">
        <v>0</v>
      </c>
      <c r="L832" t="n">
        <v>0</v>
      </c>
      <c r="M832" t="n">
        <v>0</v>
      </c>
      <c r="N832" t="n">
        <v>0</v>
      </c>
      <c r="O832" t="n">
        <v>0</v>
      </c>
      <c r="P832" t="n">
        <v>0</v>
      </c>
      <c r="Q832" t="n">
        <v>0</v>
      </c>
      <c r="R832" s="2" t="inlineStr"/>
    </row>
    <row r="833" ht="15" customHeight="1">
      <c r="A833" t="inlineStr">
        <is>
          <t>A 29717-2024</t>
        </is>
      </c>
      <c r="B833" s="1" t="n">
        <v>45485</v>
      </c>
      <c r="C833" s="1" t="n">
        <v>45987</v>
      </c>
      <c r="D833" t="inlineStr">
        <is>
          <t>JÄMTLANDS LÄN</t>
        </is>
      </c>
      <c r="E833" t="inlineStr">
        <is>
          <t>HÄRJEDALEN</t>
        </is>
      </c>
      <c r="F833" t="inlineStr">
        <is>
          <t>Holmen skog AB</t>
        </is>
      </c>
      <c r="G833" t="n">
        <v>25.7</v>
      </c>
      <c r="H833" t="n">
        <v>0</v>
      </c>
      <c r="I833" t="n">
        <v>0</v>
      </c>
      <c r="J833" t="n">
        <v>0</v>
      </c>
      <c r="K833" t="n">
        <v>0</v>
      </c>
      <c r="L833" t="n">
        <v>0</v>
      </c>
      <c r="M833" t="n">
        <v>0</v>
      </c>
      <c r="N833" t="n">
        <v>0</v>
      </c>
      <c r="O833" t="n">
        <v>0</v>
      </c>
      <c r="P833" t="n">
        <v>0</v>
      </c>
      <c r="Q833" t="n">
        <v>0</v>
      </c>
      <c r="R833" s="2" t="inlineStr"/>
    </row>
    <row r="834" ht="15" customHeight="1">
      <c r="A834" t="inlineStr">
        <is>
          <t>A 44519-2021</t>
        </is>
      </c>
      <c r="B834" s="1" t="n">
        <v>44435</v>
      </c>
      <c r="C834" s="1" t="n">
        <v>45987</v>
      </c>
      <c r="D834" t="inlineStr">
        <is>
          <t>JÄMTLANDS LÄN</t>
        </is>
      </c>
      <c r="E834" t="inlineStr">
        <is>
          <t>HÄRJEDALEN</t>
        </is>
      </c>
      <c r="F834" t="inlineStr">
        <is>
          <t>Kyrkan</t>
        </is>
      </c>
      <c r="G834" t="n">
        <v>6.7</v>
      </c>
      <c r="H834" t="n">
        <v>0</v>
      </c>
      <c r="I834" t="n">
        <v>0</v>
      </c>
      <c r="J834" t="n">
        <v>0</v>
      </c>
      <c r="K834" t="n">
        <v>0</v>
      </c>
      <c r="L834" t="n">
        <v>0</v>
      </c>
      <c r="M834" t="n">
        <v>0</v>
      </c>
      <c r="N834" t="n">
        <v>0</v>
      </c>
      <c r="O834" t="n">
        <v>0</v>
      </c>
      <c r="P834" t="n">
        <v>0</v>
      </c>
      <c r="Q834" t="n">
        <v>0</v>
      </c>
      <c r="R834" s="2" t="inlineStr"/>
    </row>
    <row r="835" ht="15" customHeight="1">
      <c r="A835" t="inlineStr">
        <is>
          <t>A 57013-2025</t>
        </is>
      </c>
      <c r="B835" s="1" t="n">
        <v>45978.82456018519</v>
      </c>
      <c r="C835" s="1" t="n">
        <v>45987</v>
      </c>
      <c r="D835" t="inlineStr">
        <is>
          <t>JÄMTLANDS LÄN</t>
        </is>
      </c>
      <c r="E835" t="inlineStr">
        <is>
          <t>HÄRJEDALEN</t>
        </is>
      </c>
      <c r="F835" t="inlineStr">
        <is>
          <t>Bergvik skog väst AB</t>
        </is>
      </c>
      <c r="G835" t="n">
        <v>36.5</v>
      </c>
      <c r="H835" t="n">
        <v>0</v>
      </c>
      <c r="I835" t="n">
        <v>0</v>
      </c>
      <c r="J835" t="n">
        <v>0</v>
      </c>
      <c r="K835" t="n">
        <v>0</v>
      </c>
      <c r="L835" t="n">
        <v>0</v>
      </c>
      <c r="M835" t="n">
        <v>0</v>
      </c>
      <c r="N835" t="n">
        <v>0</v>
      </c>
      <c r="O835" t="n">
        <v>0</v>
      </c>
      <c r="P835" t="n">
        <v>0</v>
      </c>
      <c r="Q835" t="n">
        <v>0</v>
      </c>
      <c r="R835" s="2" t="inlineStr"/>
    </row>
    <row r="836" ht="15" customHeight="1">
      <c r="A836" t="inlineStr">
        <is>
          <t>A 56451-2025</t>
        </is>
      </c>
      <c r="B836" s="1" t="n">
        <v>45975.3537037037</v>
      </c>
      <c r="C836" s="1" t="n">
        <v>45987</v>
      </c>
      <c r="D836" t="inlineStr">
        <is>
          <t>JÄMTLANDS LÄN</t>
        </is>
      </c>
      <c r="E836" t="inlineStr">
        <is>
          <t>HÄRJEDALEN</t>
        </is>
      </c>
      <c r="F836" t="inlineStr">
        <is>
          <t>Bergvik skog väst AB</t>
        </is>
      </c>
      <c r="G836" t="n">
        <v>10.5</v>
      </c>
      <c r="H836" t="n">
        <v>0</v>
      </c>
      <c r="I836" t="n">
        <v>0</v>
      </c>
      <c r="J836" t="n">
        <v>0</v>
      </c>
      <c r="K836" t="n">
        <v>0</v>
      </c>
      <c r="L836" t="n">
        <v>0</v>
      </c>
      <c r="M836" t="n">
        <v>0</v>
      </c>
      <c r="N836" t="n">
        <v>0</v>
      </c>
      <c r="O836" t="n">
        <v>0</v>
      </c>
      <c r="P836" t="n">
        <v>0</v>
      </c>
      <c r="Q836" t="n">
        <v>0</v>
      </c>
      <c r="R836" s="2" t="inlineStr"/>
    </row>
    <row r="837" ht="15" customHeight="1">
      <c r="A837" t="inlineStr">
        <is>
          <t>A 44060-2024</t>
        </is>
      </c>
      <c r="B837" s="1" t="n">
        <v>45572.60001157408</v>
      </c>
      <c r="C837" s="1" t="n">
        <v>45987</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56595-2025</t>
        </is>
      </c>
      <c r="B838" s="1" t="n">
        <v>45975.56932870371</v>
      </c>
      <c r="C838" s="1" t="n">
        <v>45987</v>
      </c>
      <c r="D838" t="inlineStr">
        <is>
          <t>JÄMTLANDS LÄN</t>
        </is>
      </c>
      <c r="E838" t="inlineStr">
        <is>
          <t>HÄRJEDALEN</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48243-2025</t>
        </is>
      </c>
      <c r="B839" s="1" t="n">
        <v>45933.53942129629</v>
      </c>
      <c r="C839" s="1" t="n">
        <v>45987</v>
      </c>
      <c r="D839" t="inlineStr">
        <is>
          <t>JÄMTLANDS LÄN</t>
        </is>
      </c>
      <c r="E839" t="inlineStr">
        <is>
          <t>HÄRJEDALEN</t>
        </is>
      </c>
      <c r="G839" t="n">
        <v>10.6</v>
      </c>
      <c r="H839" t="n">
        <v>0</v>
      </c>
      <c r="I839" t="n">
        <v>0</v>
      </c>
      <c r="J839" t="n">
        <v>0</v>
      </c>
      <c r="K839" t="n">
        <v>0</v>
      </c>
      <c r="L839" t="n">
        <v>0</v>
      </c>
      <c r="M839" t="n">
        <v>0</v>
      </c>
      <c r="N839" t="n">
        <v>0</v>
      </c>
      <c r="O839" t="n">
        <v>0</v>
      </c>
      <c r="P839" t="n">
        <v>0</v>
      </c>
      <c r="Q839" t="n">
        <v>0</v>
      </c>
      <c r="R839" s="2" t="inlineStr"/>
    </row>
    <row r="840" ht="15" customHeight="1">
      <c r="A840" t="inlineStr">
        <is>
          <t>A 56868-2025</t>
        </is>
      </c>
      <c r="B840" s="1" t="n">
        <v>45978.5205324074</v>
      </c>
      <c r="C840" s="1" t="n">
        <v>45987</v>
      </c>
      <c r="D840" t="inlineStr">
        <is>
          <t>JÄMTLANDS LÄN</t>
        </is>
      </c>
      <c r="E840" t="inlineStr">
        <is>
          <t>HÄRJEDALEN</t>
        </is>
      </c>
      <c r="G840" t="n">
        <v>4.7</v>
      </c>
      <c r="H840" t="n">
        <v>0</v>
      </c>
      <c r="I840" t="n">
        <v>0</v>
      </c>
      <c r="J840" t="n">
        <v>0</v>
      </c>
      <c r="K840" t="n">
        <v>0</v>
      </c>
      <c r="L840" t="n">
        <v>0</v>
      </c>
      <c r="M840" t="n">
        <v>0</v>
      </c>
      <c r="N840" t="n">
        <v>0</v>
      </c>
      <c r="O840" t="n">
        <v>0</v>
      </c>
      <c r="P840" t="n">
        <v>0</v>
      </c>
      <c r="Q840" t="n">
        <v>0</v>
      </c>
      <c r="R840" s="2" t="inlineStr"/>
    </row>
    <row r="841" ht="15" customHeight="1">
      <c r="A841" t="inlineStr">
        <is>
          <t>A 19099-2025</t>
        </is>
      </c>
      <c r="B841" s="1" t="n">
        <v>45768.29469907407</v>
      </c>
      <c r="C841" s="1" t="n">
        <v>45987</v>
      </c>
      <c r="D841" t="inlineStr">
        <is>
          <t>JÄMTLANDS LÄN</t>
        </is>
      </c>
      <c r="E841" t="inlineStr">
        <is>
          <t>HÄRJEDALEN</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19102-2025</t>
        </is>
      </c>
      <c r="B842" s="1" t="n">
        <v>45768.30260416667</v>
      </c>
      <c r="C842" s="1" t="n">
        <v>45987</v>
      </c>
      <c r="D842" t="inlineStr">
        <is>
          <t>JÄMTLANDS LÄN</t>
        </is>
      </c>
      <c r="E842" t="inlineStr">
        <is>
          <t>HÄRJEDALEN</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19103-2025</t>
        </is>
      </c>
      <c r="B843" s="1" t="n">
        <v>45768.30388888889</v>
      </c>
      <c r="C843" s="1" t="n">
        <v>45987</v>
      </c>
      <c r="D843" t="inlineStr">
        <is>
          <t>JÄMTLANDS LÄN</t>
        </is>
      </c>
      <c r="E843" t="inlineStr">
        <is>
          <t>HÄRJEDALEN</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56452-2025</t>
        </is>
      </c>
      <c r="B844" s="1" t="n">
        <v>45975.35422453703</v>
      </c>
      <c r="C844" s="1" t="n">
        <v>45987</v>
      </c>
      <c r="D844" t="inlineStr">
        <is>
          <t>JÄMTLANDS LÄN</t>
        </is>
      </c>
      <c r="E844" t="inlineStr">
        <is>
          <t>HÄRJEDALEN</t>
        </is>
      </c>
      <c r="G844" t="n">
        <v>8.4</v>
      </c>
      <c r="H844" t="n">
        <v>0</v>
      </c>
      <c r="I844" t="n">
        <v>0</v>
      </c>
      <c r="J844" t="n">
        <v>0</v>
      </c>
      <c r="K844" t="n">
        <v>0</v>
      </c>
      <c r="L844" t="n">
        <v>0</v>
      </c>
      <c r="M844" t="n">
        <v>0</v>
      </c>
      <c r="N844" t="n">
        <v>0</v>
      </c>
      <c r="O844" t="n">
        <v>0</v>
      </c>
      <c r="P844" t="n">
        <v>0</v>
      </c>
      <c r="Q844" t="n">
        <v>0</v>
      </c>
      <c r="R844" s="2" t="inlineStr"/>
    </row>
    <row r="845" ht="15" customHeight="1">
      <c r="A845" t="inlineStr">
        <is>
          <t>A 4217-2025</t>
        </is>
      </c>
      <c r="B845" s="1" t="n">
        <v>45685.50063657408</v>
      </c>
      <c r="C845" s="1" t="n">
        <v>45987</v>
      </c>
      <c r="D845" t="inlineStr">
        <is>
          <t>JÄMTLANDS LÄN</t>
        </is>
      </c>
      <c r="E845" t="inlineStr">
        <is>
          <t>HÄRJEDALEN</t>
        </is>
      </c>
      <c r="F845" t="inlineStr">
        <is>
          <t>Bergvik skog väst AB</t>
        </is>
      </c>
      <c r="G845" t="n">
        <v>24.6</v>
      </c>
      <c r="H845" t="n">
        <v>0</v>
      </c>
      <c r="I845" t="n">
        <v>0</v>
      </c>
      <c r="J845" t="n">
        <v>0</v>
      </c>
      <c r="K845" t="n">
        <v>0</v>
      </c>
      <c r="L845" t="n">
        <v>0</v>
      </c>
      <c r="M845" t="n">
        <v>0</v>
      </c>
      <c r="N845" t="n">
        <v>0</v>
      </c>
      <c r="O845" t="n">
        <v>0</v>
      </c>
      <c r="P845" t="n">
        <v>0</v>
      </c>
      <c r="Q845" t="n">
        <v>0</v>
      </c>
      <c r="R845" s="2" t="inlineStr"/>
    </row>
    <row r="846" ht="15" customHeight="1">
      <c r="A846" t="inlineStr">
        <is>
          <t>A 4593-2025</t>
        </is>
      </c>
      <c r="B846" s="1" t="n">
        <v>45687.54329861111</v>
      </c>
      <c r="C846" s="1" t="n">
        <v>45987</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21531-2023</t>
        </is>
      </c>
      <c r="B847" s="1" t="n">
        <v>45063</v>
      </c>
      <c r="C847" s="1" t="n">
        <v>45987</v>
      </c>
      <c r="D847" t="inlineStr">
        <is>
          <t>JÄMTLANDS LÄN</t>
        </is>
      </c>
      <c r="E847" t="inlineStr">
        <is>
          <t>HÄRJEDALEN</t>
        </is>
      </c>
      <c r="G847" t="n">
        <v>14.6</v>
      </c>
      <c r="H847" t="n">
        <v>0</v>
      </c>
      <c r="I847" t="n">
        <v>0</v>
      </c>
      <c r="J847" t="n">
        <v>0</v>
      </c>
      <c r="K847" t="n">
        <v>0</v>
      </c>
      <c r="L847" t="n">
        <v>0</v>
      </c>
      <c r="M847" t="n">
        <v>0</v>
      </c>
      <c r="N847" t="n">
        <v>0</v>
      </c>
      <c r="O847" t="n">
        <v>0</v>
      </c>
      <c r="P847" t="n">
        <v>0</v>
      </c>
      <c r="Q847" t="n">
        <v>0</v>
      </c>
      <c r="R847" s="2" t="inlineStr"/>
    </row>
    <row r="848" ht="15" customHeight="1">
      <c r="A848" t="inlineStr">
        <is>
          <t>A 49163-2025</t>
        </is>
      </c>
      <c r="B848" s="1" t="n">
        <v>45938.35490740741</v>
      </c>
      <c r="C848" s="1" t="n">
        <v>45987</v>
      </c>
      <c r="D848" t="inlineStr">
        <is>
          <t>JÄMTLANDS LÄN</t>
        </is>
      </c>
      <c r="E848" t="inlineStr">
        <is>
          <t>HÄRJEDALEN</t>
        </is>
      </c>
      <c r="G848" t="n">
        <v>5.2</v>
      </c>
      <c r="H848" t="n">
        <v>0</v>
      </c>
      <c r="I848" t="n">
        <v>0</v>
      </c>
      <c r="J848" t="n">
        <v>0</v>
      </c>
      <c r="K848" t="n">
        <v>0</v>
      </c>
      <c r="L848" t="n">
        <v>0</v>
      </c>
      <c r="M848" t="n">
        <v>0</v>
      </c>
      <c r="N848" t="n">
        <v>0</v>
      </c>
      <c r="O848" t="n">
        <v>0</v>
      </c>
      <c r="P848" t="n">
        <v>0</v>
      </c>
      <c r="Q848" t="n">
        <v>0</v>
      </c>
      <c r="R848" s="2" t="inlineStr"/>
    </row>
    <row r="849" ht="15" customHeight="1">
      <c r="A849" t="inlineStr">
        <is>
          <t>A 55029-2021</t>
        </is>
      </c>
      <c r="B849" s="1" t="n">
        <v>44474.59423611111</v>
      </c>
      <c r="C849" s="1" t="n">
        <v>45987</v>
      </c>
      <c r="D849" t="inlineStr">
        <is>
          <t>JÄMTLANDS LÄN</t>
        </is>
      </c>
      <c r="E849" t="inlineStr">
        <is>
          <t>HÄRJEDALEN</t>
        </is>
      </c>
      <c r="G849" t="n">
        <v>6.2</v>
      </c>
      <c r="H849" t="n">
        <v>0</v>
      </c>
      <c r="I849" t="n">
        <v>0</v>
      </c>
      <c r="J849" t="n">
        <v>0</v>
      </c>
      <c r="K849" t="n">
        <v>0</v>
      </c>
      <c r="L849" t="n">
        <v>0</v>
      </c>
      <c r="M849" t="n">
        <v>0</v>
      </c>
      <c r="N849" t="n">
        <v>0</v>
      </c>
      <c r="O849" t="n">
        <v>0</v>
      </c>
      <c r="P849" t="n">
        <v>0</v>
      </c>
      <c r="Q849" t="n">
        <v>0</v>
      </c>
      <c r="R849" s="2" t="inlineStr"/>
    </row>
    <row r="850" ht="15" customHeight="1">
      <c r="A850" t="inlineStr">
        <is>
          <t>A 57109-2025</t>
        </is>
      </c>
      <c r="B850" s="1" t="n">
        <v>45979.45319444445</v>
      </c>
      <c r="C850" s="1" t="n">
        <v>45987</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15003-2025</t>
        </is>
      </c>
      <c r="B851" s="1" t="n">
        <v>45743.61899305556</v>
      </c>
      <c r="C851" s="1" t="n">
        <v>45987</v>
      </c>
      <c r="D851" t="inlineStr">
        <is>
          <t>JÄMTLANDS LÄN</t>
        </is>
      </c>
      <c r="E851" t="inlineStr">
        <is>
          <t>HÄRJEDALEN</t>
        </is>
      </c>
      <c r="G851" t="n">
        <v>0.3</v>
      </c>
      <c r="H851" t="n">
        <v>0</v>
      </c>
      <c r="I851" t="n">
        <v>0</v>
      </c>
      <c r="J851" t="n">
        <v>0</v>
      </c>
      <c r="K851" t="n">
        <v>0</v>
      </c>
      <c r="L851" t="n">
        <v>0</v>
      </c>
      <c r="M851" t="n">
        <v>0</v>
      </c>
      <c r="N851" t="n">
        <v>0</v>
      </c>
      <c r="O851" t="n">
        <v>0</v>
      </c>
      <c r="P851" t="n">
        <v>0</v>
      </c>
      <c r="Q851" t="n">
        <v>0</v>
      </c>
      <c r="R851" s="2" t="inlineStr"/>
    </row>
    <row r="852" ht="15" customHeight="1">
      <c r="A852" t="inlineStr">
        <is>
          <t>A 15004-2025</t>
        </is>
      </c>
      <c r="B852" s="1" t="n">
        <v>45743.62116898148</v>
      </c>
      <c r="C852" s="1" t="n">
        <v>45987</v>
      </c>
      <c r="D852" t="inlineStr">
        <is>
          <t>JÄMTLANDS LÄN</t>
        </is>
      </c>
      <c r="E852" t="inlineStr">
        <is>
          <t>HÄRJEDALEN</t>
        </is>
      </c>
      <c r="G852" t="n">
        <v>2.1</v>
      </c>
      <c r="H852" t="n">
        <v>0</v>
      </c>
      <c r="I852" t="n">
        <v>0</v>
      </c>
      <c r="J852" t="n">
        <v>0</v>
      </c>
      <c r="K852" t="n">
        <v>0</v>
      </c>
      <c r="L852" t="n">
        <v>0</v>
      </c>
      <c r="M852" t="n">
        <v>0</v>
      </c>
      <c r="N852" t="n">
        <v>0</v>
      </c>
      <c r="O852" t="n">
        <v>0</v>
      </c>
      <c r="P852" t="n">
        <v>0</v>
      </c>
      <c r="Q852" t="n">
        <v>0</v>
      </c>
      <c r="R852" s="2" t="inlineStr"/>
    </row>
    <row r="853" ht="15" customHeight="1">
      <c r="A853" t="inlineStr">
        <is>
          <t>A 57070-2025</t>
        </is>
      </c>
      <c r="B853" s="1" t="n">
        <v>45979.38703703704</v>
      </c>
      <c r="C853" s="1" t="n">
        <v>45987</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45195-2025</t>
        </is>
      </c>
      <c r="B854" s="1" t="n">
        <v>45919</v>
      </c>
      <c r="C854" s="1" t="n">
        <v>45987</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48771-2025</t>
        </is>
      </c>
      <c r="B855" s="1" t="n">
        <v>45936.92728009259</v>
      </c>
      <c r="C855" s="1" t="n">
        <v>45987</v>
      </c>
      <c r="D855" t="inlineStr">
        <is>
          <t>JÄMTLANDS LÄN</t>
        </is>
      </c>
      <c r="E855" t="inlineStr">
        <is>
          <t>HÄRJEDALEN</t>
        </is>
      </c>
      <c r="G855" t="n">
        <v>0.2</v>
      </c>
      <c r="H855" t="n">
        <v>0</v>
      </c>
      <c r="I855" t="n">
        <v>0</v>
      </c>
      <c r="J855" t="n">
        <v>0</v>
      </c>
      <c r="K855" t="n">
        <v>0</v>
      </c>
      <c r="L855" t="n">
        <v>0</v>
      </c>
      <c r="M855" t="n">
        <v>0</v>
      </c>
      <c r="N855" t="n">
        <v>0</v>
      </c>
      <c r="O855" t="n">
        <v>0</v>
      </c>
      <c r="P855" t="n">
        <v>0</v>
      </c>
      <c r="Q855" t="n">
        <v>0</v>
      </c>
      <c r="R855" s="2" t="inlineStr"/>
    </row>
    <row r="856" ht="15" customHeight="1">
      <c r="A856" t="inlineStr">
        <is>
          <t>A 18953-2025</t>
        </is>
      </c>
      <c r="B856" s="1" t="n">
        <v>45764</v>
      </c>
      <c r="C856" s="1" t="n">
        <v>45987</v>
      </c>
      <c r="D856" t="inlineStr">
        <is>
          <t>JÄMTLANDS LÄN</t>
        </is>
      </c>
      <c r="E856" t="inlineStr">
        <is>
          <t>HÄRJEDALEN</t>
        </is>
      </c>
      <c r="G856" t="n">
        <v>14.3</v>
      </c>
      <c r="H856" t="n">
        <v>0</v>
      </c>
      <c r="I856" t="n">
        <v>0</v>
      </c>
      <c r="J856" t="n">
        <v>0</v>
      </c>
      <c r="K856" t="n">
        <v>0</v>
      </c>
      <c r="L856" t="n">
        <v>0</v>
      </c>
      <c r="M856" t="n">
        <v>0</v>
      </c>
      <c r="N856" t="n">
        <v>0</v>
      </c>
      <c r="O856" t="n">
        <v>0</v>
      </c>
      <c r="P856" t="n">
        <v>0</v>
      </c>
      <c r="Q856" t="n">
        <v>0</v>
      </c>
      <c r="R856" s="2" t="inlineStr"/>
    </row>
    <row r="857" ht="15" customHeight="1">
      <c r="A857" t="inlineStr">
        <is>
          <t>A 43309-2024</t>
        </is>
      </c>
      <c r="B857" s="1" t="n">
        <v>45568</v>
      </c>
      <c r="C857" s="1" t="n">
        <v>45987</v>
      </c>
      <c r="D857" t="inlineStr">
        <is>
          <t>JÄMTLANDS LÄN</t>
        </is>
      </c>
      <c r="E857" t="inlineStr">
        <is>
          <t>HÄRJEDALEN</t>
        </is>
      </c>
      <c r="F857" t="inlineStr">
        <is>
          <t>Bergvik skog väst AB</t>
        </is>
      </c>
      <c r="G857" t="n">
        <v>79.8</v>
      </c>
      <c r="H857" t="n">
        <v>0</v>
      </c>
      <c r="I857" t="n">
        <v>0</v>
      </c>
      <c r="J857" t="n">
        <v>0</v>
      </c>
      <c r="K857" t="n">
        <v>0</v>
      </c>
      <c r="L857" t="n">
        <v>0</v>
      </c>
      <c r="M857" t="n">
        <v>0</v>
      </c>
      <c r="N857" t="n">
        <v>0</v>
      </c>
      <c r="O857" t="n">
        <v>0</v>
      </c>
      <c r="P857" t="n">
        <v>0</v>
      </c>
      <c r="Q857" t="n">
        <v>0</v>
      </c>
      <c r="R857" s="2" t="inlineStr"/>
    </row>
    <row r="858" ht="15" customHeight="1">
      <c r="A858" t="inlineStr">
        <is>
          <t>A 57518-2025</t>
        </is>
      </c>
      <c r="B858" s="1" t="n">
        <v>45979</v>
      </c>
      <c r="C858" s="1" t="n">
        <v>45987</v>
      </c>
      <c r="D858" t="inlineStr">
        <is>
          <t>JÄMTLANDS LÄN</t>
        </is>
      </c>
      <c r="E858" t="inlineStr">
        <is>
          <t>HÄRJEDALEN</t>
        </is>
      </c>
      <c r="G858" t="n">
        <v>0.5</v>
      </c>
      <c r="H858" t="n">
        <v>0</v>
      </c>
      <c r="I858" t="n">
        <v>0</v>
      </c>
      <c r="J858" t="n">
        <v>0</v>
      </c>
      <c r="K858" t="n">
        <v>0</v>
      </c>
      <c r="L858" t="n">
        <v>0</v>
      </c>
      <c r="M858" t="n">
        <v>0</v>
      </c>
      <c r="N858" t="n">
        <v>0</v>
      </c>
      <c r="O858" t="n">
        <v>0</v>
      </c>
      <c r="P858" t="n">
        <v>0</v>
      </c>
      <c r="Q858" t="n">
        <v>0</v>
      </c>
      <c r="R858" s="2" t="inlineStr"/>
    </row>
    <row r="859" ht="15" customHeight="1">
      <c r="A859" t="inlineStr">
        <is>
          <t>A 16626-2025</t>
        </is>
      </c>
      <c r="B859" s="1" t="n">
        <v>45754.35055555555</v>
      </c>
      <c r="C859" s="1" t="n">
        <v>45987</v>
      </c>
      <c r="D859" t="inlineStr">
        <is>
          <t>JÄMTLANDS LÄN</t>
        </is>
      </c>
      <c r="E859" t="inlineStr">
        <is>
          <t>HÄRJEDALEN</t>
        </is>
      </c>
      <c r="G859" t="n">
        <v>2.7</v>
      </c>
      <c r="H859" t="n">
        <v>0</v>
      </c>
      <c r="I859" t="n">
        <v>0</v>
      </c>
      <c r="J859" t="n">
        <v>0</v>
      </c>
      <c r="K859" t="n">
        <v>0</v>
      </c>
      <c r="L859" t="n">
        <v>0</v>
      </c>
      <c r="M859" t="n">
        <v>0</v>
      </c>
      <c r="N859" t="n">
        <v>0</v>
      </c>
      <c r="O859" t="n">
        <v>0</v>
      </c>
      <c r="P859" t="n">
        <v>0</v>
      </c>
      <c r="Q859" t="n">
        <v>0</v>
      </c>
      <c r="R859" s="2" t="inlineStr"/>
    </row>
    <row r="860" ht="15" customHeight="1">
      <c r="A860" t="inlineStr">
        <is>
          <t>A 37054-2024</t>
        </is>
      </c>
      <c r="B860" s="1" t="n">
        <v>45539.43545138889</v>
      </c>
      <c r="C860" s="1" t="n">
        <v>45987</v>
      </c>
      <c r="D860" t="inlineStr">
        <is>
          <t>JÄMTLANDS LÄN</t>
        </is>
      </c>
      <c r="E860" t="inlineStr">
        <is>
          <t>HÄRJEDALEN</t>
        </is>
      </c>
      <c r="G860" t="n">
        <v>1.8</v>
      </c>
      <c r="H860" t="n">
        <v>0</v>
      </c>
      <c r="I860" t="n">
        <v>0</v>
      </c>
      <c r="J860" t="n">
        <v>0</v>
      </c>
      <c r="K860" t="n">
        <v>0</v>
      </c>
      <c r="L860" t="n">
        <v>0</v>
      </c>
      <c r="M860" t="n">
        <v>0</v>
      </c>
      <c r="N860" t="n">
        <v>0</v>
      </c>
      <c r="O860" t="n">
        <v>0</v>
      </c>
      <c r="P860" t="n">
        <v>0</v>
      </c>
      <c r="Q860" t="n">
        <v>0</v>
      </c>
      <c r="R860" s="2" t="inlineStr"/>
    </row>
    <row r="861" ht="15" customHeight="1">
      <c r="A861" t="inlineStr">
        <is>
          <t>A 57015-2025</t>
        </is>
      </c>
      <c r="B861" s="1" t="n">
        <v>45978.83375</v>
      </c>
      <c r="C861" s="1" t="n">
        <v>45987</v>
      </c>
      <c r="D861" t="inlineStr">
        <is>
          <t>JÄMTLANDS LÄN</t>
        </is>
      </c>
      <c r="E861" t="inlineStr">
        <is>
          <t>HÄRJEDALEN</t>
        </is>
      </c>
      <c r="F861" t="inlineStr">
        <is>
          <t>Bergvik skog väst AB</t>
        </is>
      </c>
      <c r="G861" t="n">
        <v>5.6</v>
      </c>
      <c r="H861" t="n">
        <v>0</v>
      </c>
      <c r="I861" t="n">
        <v>0</v>
      </c>
      <c r="J861" t="n">
        <v>0</v>
      </c>
      <c r="K861" t="n">
        <v>0</v>
      </c>
      <c r="L861" t="n">
        <v>0</v>
      </c>
      <c r="M861" t="n">
        <v>0</v>
      </c>
      <c r="N861" t="n">
        <v>0</v>
      </c>
      <c r="O861" t="n">
        <v>0</v>
      </c>
      <c r="P861" t="n">
        <v>0</v>
      </c>
      <c r="Q861" t="n">
        <v>0</v>
      </c>
      <c r="R861" s="2" t="inlineStr"/>
    </row>
    <row r="862" ht="15" customHeight="1">
      <c r="A862" t="inlineStr">
        <is>
          <t>A 54502-2024</t>
        </is>
      </c>
      <c r="B862" s="1" t="n">
        <v>45617</v>
      </c>
      <c r="C862" s="1" t="n">
        <v>45987</v>
      </c>
      <c r="D862" t="inlineStr">
        <is>
          <t>JÄMTLANDS LÄN</t>
        </is>
      </c>
      <c r="E862" t="inlineStr">
        <is>
          <t>HÄRJEDALEN</t>
        </is>
      </c>
      <c r="F862" t="inlineStr">
        <is>
          <t>Holmen skog AB</t>
        </is>
      </c>
      <c r="G862" t="n">
        <v>8.4</v>
      </c>
      <c r="H862" t="n">
        <v>0</v>
      </c>
      <c r="I862" t="n">
        <v>0</v>
      </c>
      <c r="J862" t="n">
        <v>0</v>
      </c>
      <c r="K862" t="n">
        <v>0</v>
      </c>
      <c r="L862" t="n">
        <v>0</v>
      </c>
      <c r="M862" t="n">
        <v>0</v>
      </c>
      <c r="N862" t="n">
        <v>0</v>
      </c>
      <c r="O862" t="n">
        <v>0</v>
      </c>
      <c r="P862" t="n">
        <v>0</v>
      </c>
      <c r="Q862" t="n">
        <v>0</v>
      </c>
      <c r="R862" s="2" t="inlineStr"/>
    </row>
    <row r="863" ht="15" customHeight="1">
      <c r="A863" t="inlineStr">
        <is>
          <t>A 48051-2023</t>
        </is>
      </c>
      <c r="B863" s="1" t="n">
        <v>45204</v>
      </c>
      <c r="C863" s="1" t="n">
        <v>45987</v>
      </c>
      <c r="D863" t="inlineStr">
        <is>
          <t>JÄMTLANDS LÄN</t>
        </is>
      </c>
      <c r="E863" t="inlineStr">
        <is>
          <t>HÄRJEDALEN</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4862-2025</t>
        </is>
      </c>
      <c r="B864" s="1" t="n">
        <v>45688.6749537037</v>
      </c>
      <c r="C864" s="1" t="n">
        <v>45987</v>
      </c>
      <c r="D864" t="inlineStr">
        <is>
          <t>JÄMTLANDS LÄN</t>
        </is>
      </c>
      <c r="E864" t="inlineStr">
        <is>
          <t>HÄRJEDALEN</t>
        </is>
      </c>
      <c r="F864" t="inlineStr">
        <is>
          <t>SCA</t>
        </is>
      </c>
      <c r="G864" t="n">
        <v>10.6</v>
      </c>
      <c r="H864" t="n">
        <v>0</v>
      </c>
      <c r="I864" t="n">
        <v>0</v>
      </c>
      <c r="J864" t="n">
        <v>0</v>
      </c>
      <c r="K864" t="n">
        <v>0</v>
      </c>
      <c r="L864" t="n">
        <v>0</v>
      </c>
      <c r="M864" t="n">
        <v>0</v>
      </c>
      <c r="N864" t="n">
        <v>0</v>
      </c>
      <c r="O864" t="n">
        <v>0</v>
      </c>
      <c r="P864" t="n">
        <v>0</v>
      </c>
      <c r="Q864" t="n">
        <v>0</v>
      </c>
      <c r="R864" s="2" t="inlineStr"/>
    </row>
    <row r="865" ht="15" customHeight="1">
      <c r="A865" t="inlineStr">
        <is>
          <t>A 49168-2025</t>
        </is>
      </c>
      <c r="B865" s="1" t="n">
        <v>45938.36853009259</v>
      </c>
      <c r="C865" s="1" t="n">
        <v>45987</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38709-2025</t>
        </is>
      </c>
      <c r="B866" s="1" t="n">
        <v>45885</v>
      </c>
      <c r="C866" s="1" t="n">
        <v>45987</v>
      </c>
      <c r="D866" t="inlineStr">
        <is>
          <t>JÄMTLANDS LÄN</t>
        </is>
      </c>
      <c r="E866" t="inlineStr">
        <is>
          <t>HÄRJEDALEN</t>
        </is>
      </c>
      <c r="G866" t="n">
        <v>70</v>
      </c>
      <c r="H866" t="n">
        <v>0</v>
      </c>
      <c r="I866" t="n">
        <v>0</v>
      </c>
      <c r="J866" t="n">
        <v>0</v>
      </c>
      <c r="K866" t="n">
        <v>0</v>
      </c>
      <c r="L866" t="n">
        <v>0</v>
      </c>
      <c r="M866" t="n">
        <v>0</v>
      </c>
      <c r="N866" t="n">
        <v>0</v>
      </c>
      <c r="O866" t="n">
        <v>0</v>
      </c>
      <c r="P866" t="n">
        <v>0</v>
      </c>
      <c r="Q866" t="n">
        <v>0</v>
      </c>
      <c r="R866" s="2" t="inlineStr"/>
    </row>
    <row r="867" ht="15" customHeight="1">
      <c r="A867" t="inlineStr">
        <is>
          <t>A 43316-2024</t>
        </is>
      </c>
      <c r="B867" s="1" t="n">
        <v>45568</v>
      </c>
      <c r="C867" s="1" t="n">
        <v>45987</v>
      </c>
      <c r="D867" t="inlineStr">
        <is>
          <t>JÄMTLANDS LÄN</t>
        </is>
      </c>
      <c r="E867" t="inlineStr">
        <is>
          <t>HÄRJEDALEN</t>
        </is>
      </c>
      <c r="F867" t="inlineStr">
        <is>
          <t>Bergvik skog väst AB</t>
        </is>
      </c>
      <c r="G867" t="n">
        <v>79.90000000000001</v>
      </c>
      <c r="H867" t="n">
        <v>0</v>
      </c>
      <c r="I867" t="n">
        <v>0</v>
      </c>
      <c r="J867" t="n">
        <v>0</v>
      </c>
      <c r="K867" t="n">
        <v>0</v>
      </c>
      <c r="L867" t="n">
        <v>0</v>
      </c>
      <c r="M867" t="n">
        <v>0</v>
      </c>
      <c r="N867" t="n">
        <v>0</v>
      </c>
      <c r="O867" t="n">
        <v>0</v>
      </c>
      <c r="P867" t="n">
        <v>0</v>
      </c>
      <c r="Q867" t="n">
        <v>0</v>
      </c>
      <c r="R867" s="2" t="inlineStr"/>
    </row>
    <row r="868" ht="15" customHeight="1">
      <c r="A868" t="inlineStr">
        <is>
          <t>A 41766-2022</t>
        </is>
      </c>
      <c r="B868" s="1" t="n">
        <v>44827</v>
      </c>
      <c r="C868" s="1" t="n">
        <v>45987</v>
      </c>
      <c r="D868" t="inlineStr">
        <is>
          <t>JÄMTLANDS LÄN</t>
        </is>
      </c>
      <c r="E868" t="inlineStr">
        <is>
          <t>HÄRJEDALEN</t>
        </is>
      </c>
      <c r="G868" t="n">
        <v>12.5</v>
      </c>
      <c r="H868" t="n">
        <v>0</v>
      </c>
      <c r="I868" t="n">
        <v>0</v>
      </c>
      <c r="J868" t="n">
        <v>0</v>
      </c>
      <c r="K868" t="n">
        <v>0</v>
      </c>
      <c r="L868" t="n">
        <v>0</v>
      </c>
      <c r="M868" t="n">
        <v>0</v>
      </c>
      <c r="N868" t="n">
        <v>0</v>
      </c>
      <c r="O868" t="n">
        <v>0</v>
      </c>
      <c r="P868" t="n">
        <v>0</v>
      </c>
      <c r="Q868" t="n">
        <v>0</v>
      </c>
      <c r="R868" s="2" t="inlineStr"/>
    </row>
    <row r="869" ht="15" customHeight="1">
      <c r="A869" t="inlineStr">
        <is>
          <t>A 57068-2025</t>
        </is>
      </c>
      <c r="B869" s="1" t="n">
        <v>45979.38599537037</v>
      </c>
      <c r="C869" s="1" t="n">
        <v>45987</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41771-2022</t>
        </is>
      </c>
      <c r="B870" s="1" t="n">
        <v>44827</v>
      </c>
      <c r="C870" s="1" t="n">
        <v>45987</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49325-2025</t>
        </is>
      </c>
      <c r="B871" s="1" t="n">
        <v>45938.57407407407</v>
      </c>
      <c r="C871" s="1" t="n">
        <v>45987</v>
      </c>
      <c r="D871" t="inlineStr">
        <is>
          <t>JÄMTLANDS LÄN</t>
        </is>
      </c>
      <c r="E871" t="inlineStr">
        <is>
          <t>HÄRJEDALEN</t>
        </is>
      </c>
      <c r="F871" t="inlineStr">
        <is>
          <t>Bergvik skog väst AB</t>
        </is>
      </c>
      <c r="G871" t="n">
        <v>2.2</v>
      </c>
      <c r="H871" t="n">
        <v>0</v>
      </c>
      <c r="I871" t="n">
        <v>0</v>
      </c>
      <c r="J871" t="n">
        <v>0</v>
      </c>
      <c r="K871" t="n">
        <v>0</v>
      </c>
      <c r="L871" t="n">
        <v>0</v>
      </c>
      <c r="M871" t="n">
        <v>0</v>
      </c>
      <c r="N871" t="n">
        <v>0</v>
      </c>
      <c r="O871" t="n">
        <v>0</v>
      </c>
      <c r="P871" t="n">
        <v>0</v>
      </c>
      <c r="Q871" t="n">
        <v>0</v>
      </c>
      <c r="R871" s="2" t="inlineStr"/>
    </row>
    <row r="872" ht="15" customHeight="1">
      <c r="A872" t="inlineStr">
        <is>
          <t>A 49389-2025</t>
        </is>
      </c>
      <c r="B872" s="1" t="n">
        <v>45938.64905092592</v>
      </c>
      <c r="C872" s="1" t="n">
        <v>45987</v>
      </c>
      <c r="D872" t="inlineStr">
        <is>
          <t>JÄMTLANDS LÄN</t>
        </is>
      </c>
      <c r="E872" t="inlineStr">
        <is>
          <t>HÄRJEDALEN</t>
        </is>
      </c>
      <c r="G872" t="n">
        <v>14.9</v>
      </c>
      <c r="H872" t="n">
        <v>0</v>
      </c>
      <c r="I872" t="n">
        <v>0</v>
      </c>
      <c r="J872" t="n">
        <v>0</v>
      </c>
      <c r="K872" t="n">
        <v>0</v>
      </c>
      <c r="L872" t="n">
        <v>0</v>
      </c>
      <c r="M872" t="n">
        <v>0</v>
      </c>
      <c r="N872" t="n">
        <v>0</v>
      </c>
      <c r="O872" t="n">
        <v>0</v>
      </c>
      <c r="P872" t="n">
        <v>0</v>
      </c>
      <c r="Q872" t="n">
        <v>0</v>
      </c>
      <c r="R872" s="2" t="inlineStr"/>
    </row>
    <row r="873" ht="15" customHeight="1">
      <c r="A873" t="inlineStr">
        <is>
          <t>A 49426-2025</t>
        </is>
      </c>
      <c r="B873" s="1" t="n">
        <v>45938.74932870371</v>
      </c>
      <c r="C873" s="1" t="n">
        <v>45987</v>
      </c>
      <c r="D873" t="inlineStr">
        <is>
          <t>JÄMTLANDS LÄN</t>
        </is>
      </c>
      <c r="E873" t="inlineStr">
        <is>
          <t>HÄRJEDALEN</t>
        </is>
      </c>
      <c r="G873" t="n">
        <v>8.4</v>
      </c>
      <c r="H873" t="n">
        <v>0</v>
      </c>
      <c r="I873" t="n">
        <v>0</v>
      </c>
      <c r="J873" t="n">
        <v>0</v>
      </c>
      <c r="K873" t="n">
        <v>0</v>
      </c>
      <c r="L873" t="n">
        <v>0</v>
      </c>
      <c r="M873" t="n">
        <v>0</v>
      </c>
      <c r="N873" t="n">
        <v>0</v>
      </c>
      <c r="O873" t="n">
        <v>0</v>
      </c>
      <c r="P873" t="n">
        <v>0</v>
      </c>
      <c r="Q873" t="n">
        <v>0</v>
      </c>
      <c r="R873" s="2" t="inlineStr"/>
    </row>
    <row r="874" ht="15" customHeight="1">
      <c r="A874" t="inlineStr">
        <is>
          <t>A 55463-2023</t>
        </is>
      </c>
      <c r="B874" s="1" t="n">
        <v>45238.46430555556</v>
      </c>
      <c r="C874" s="1" t="n">
        <v>45987</v>
      </c>
      <c r="D874" t="inlineStr">
        <is>
          <t>JÄMTLANDS LÄN</t>
        </is>
      </c>
      <c r="E874" t="inlineStr">
        <is>
          <t>HÄRJEDALEN</t>
        </is>
      </c>
      <c r="G874" t="n">
        <v>0.6</v>
      </c>
      <c r="H874" t="n">
        <v>0</v>
      </c>
      <c r="I874" t="n">
        <v>0</v>
      </c>
      <c r="J874" t="n">
        <v>0</v>
      </c>
      <c r="K874" t="n">
        <v>0</v>
      </c>
      <c r="L874" t="n">
        <v>0</v>
      </c>
      <c r="M874" t="n">
        <v>0</v>
      </c>
      <c r="N874" t="n">
        <v>0</v>
      </c>
      <c r="O874" t="n">
        <v>0</v>
      </c>
      <c r="P874" t="n">
        <v>0</v>
      </c>
      <c r="Q874" t="n">
        <v>0</v>
      </c>
      <c r="R874" s="2" t="inlineStr"/>
    </row>
    <row r="875" ht="15" customHeight="1">
      <c r="A875" t="inlineStr">
        <is>
          <t>A 54527-2024</t>
        </is>
      </c>
      <c r="B875" s="1" t="n">
        <v>45617</v>
      </c>
      <c r="C875" s="1" t="n">
        <v>45987</v>
      </c>
      <c r="D875" t="inlineStr">
        <is>
          <t>JÄMTLANDS LÄN</t>
        </is>
      </c>
      <c r="E875" t="inlineStr">
        <is>
          <t>HÄRJEDALEN</t>
        </is>
      </c>
      <c r="F875" t="inlineStr">
        <is>
          <t>Holmen skog AB</t>
        </is>
      </c>
      <c r="G875" t="n">
        <v>8.5</v>
      </c>
      <c r="H875" t="n">
        <v>0</v>
      </c>
      <c r="I875" t="n">
        <v>0</v>
      </c>
      <c r="J875" t="n">
        <v>0</v>
      </c>
      <c r="K875" t="n">
        <v>0</v>
      </c>
      <c r="L875" t="n">
        <v>0</v>
      </c>
      <c r="M875" t="n">
        <v>0</v>
      </c>
      <c r="N875" t="n">
        <v>0</v>
      </c>
      <c r="O875" t="n">
        <v>0</v>
      </c>
      <c r="P875" t="n">
        <v>0</v>
      </c>
      <c r="Q875" t="n">
        <v>0</v>
      </c>
      <c r="R875" s="2" t="inlineStr"/>
    </row>
    <row r="876" ht="15" customHeight="1">
      <c r="A876" t="inlineStr">
        <is>
          <t>A 48804-2025</t>
        </is>
      </c>
      <c r="B876" s="1" t="n">
        <v>45937.35050925926</v>
      </c>
      <c r="C876" s="1" t="n">
        <v>45987</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43591-2024</t>
        </is>
      </c>
      <c r="B877" s="1" t="n">
        <v>45569</v>
      </c>
      <c r="C877" s="1" t="n">
        <v>45987</v>
      </c>
      <c r="D877" t="inlineStr">
        <is>
          <t>JÄMTLANDS LÄN</t>
        </is>
      </c>
      <c r="E877" t="inlineStr">
        <is>
          <t>HÄRJEDALEN</t>
        </is>
      </c>
      <c r="F877" t="inlineStr">
        <is>
          <t>Bergvik skog väst AB</t>
        </is>
      </c>
      <c r="G877" t="n">
        <v>50.5</v>
      </c>
      <c r="H877" t="n">
        <v>0</v>
      </c>
      <c r="I877" t="n">
        <v>0</v>
      </c>
      <c r="J877" t="n">
        <v>0</v>
      </c>
      <c r="K877" t="n">
        <v>0</v>
      </c>
      <c r="L877" t="n">
        <v>0</v>
      </c>
      <c r="M877" t="n">
        <v>0</v>
      </c>
      <c r="N877" t="n">
        <v>0</v>
      </c>
      <c r="O877" t="n">
        <v>0</v>
      </c>
      <c r="P877" t="n">
        <v>0</v>
      </c>
      <c r="Q877" t="n">
        <v>0</v>
      </c>
      <c r="R877" s="2" t="inlineStr"/>
    </row>
    <row r="878" ht="15" customHeight="1">
      <c r="A878" t="inlineStr">
        <is>
          <t>A 43574-2024</t>
        </is>
      </c>
      <c r="B878" s="1" t="n">
        <v>45569</v>
      </c>
      <c r="C878" s="1" t="n">
        <v>45987</v>
      </c>
      <c r="D878" t="inlineStr">
        <is>
          <t>JÄMTLANDS LÄN</t>
        </is>
      </c>
      <c r="E878" t="inlineStr">
        <is>
          <t>HÄRJEDALEN</t>
        </is>
      </c>
      <c r="F878" t="inlineStr">
        <is>
          <t>Bergvik skog väst AB</t>
        </is>
      </c>
      <c r="G878" t="n">
        <v>254.2</v>
      </c>
      <c r="H878" t="n">
        <v>0</v>
      </c>
      <c r="I878" t="n">
        <v>0</v>
      </c>
      <c r="J878" t="n">
        <v>0</v>
      </c>
      <c r="K878" t="n">
        <v>0</v>
      </c>
      <c r="L878" t="n">
        <v>0</v>
      </c>
      <c r="M878" t="n">
        <v>0</v>
      </c>
      <c r="N878" t="n">
        <v>0</v>
      </c>
      <c r="O878" t="n">
        <v>0</v>
      </c>
      <c r="P878" t="n">
        <v>0</v>
      </c>
      <c r="Q878" t="n">
        <v>0</v>
      </c>
      <c r="R878" s="2" t="inlineStr"/>
    </row>
    <row r="879" ht="15" customHeight="1">
      <c r="A879" t="inlineStr">
        <is>
          <t>A 43607-2024</t>
        </is>
      </c>
      <c r="B879" s="1" t="n">
        <v>45569</v>
      </c>
      <c r="C879" s="1" t="n">
        <v>45987</v>
      </c>
      <c r="D879" t="inlineStr">
        <is>
          <t>JÄMTLANDS LÄN</t>
        </is>
      </c>
      <c r="E879" t="inlineStr">
        <is>
          <t>HÄRJEDALEN</t>
        </is>
      </c>
      <c r="F879" t="inlineStr">
        <is>
          <t>Bergvik skog väst AB</t>
        </is>
      </c>
      <c r="G879" t="n">
        <v>189.8</v>
      </c>
      <c r="H879" t="n">
        <v>0</v>
      </c>
      <c r="I879" t="n">
        <v>0</v>
      </c>
      <c r="J879" t="n">
        <v>0</v>
      </c>
      <c r="K879" t="n">
        <v>0</v>
      </c>
      <c r="L879" t="n">
        <v>0</v>
      </c>
      <c r="M879" t="n">
        <v>0</v>
      </c>
      <c r="N879" t="n">
        <v>0</v>
      </c>
      <c r="O879" t="n">
        <v>0</v>
      </c>
      <c r="P879" t="n">
        <v>0</v>
      </c>
      <c r="Q879" t="n">
        <v>0</v>
      </c>
      <c r="R879" s="2" t="inlineStr"/>
    </row>
    <row r="880" ht="15" customHeight="1">
      <c r="A880" t="inlineStr">
        <is>
          <t>A 35726-2024</t>
        </is>
      </c>
      <c r="B880" s="1" t="n">
        <v>45532</v>
      </c>
      <c r="C880" s="1" t="n">
        <v>45987</v>
      </c>
      <c r="D880" t="inlineStr">
        <is>
          <t>JÄMTLANDS LÄN</t>
        </is>
      </c>
      <c r="E880" t="inlineStr">
        <is>
          <t>HÄRJEDALEN</t>
        </is>
      </c>
      <c r="G880" t="n">
        <v>14.3</v>
      </c>
      <c r="H880" t="n">
        <v>0</v>
      </c>
      <c r="I880" t="n">
        <v>0</v>
      </c>
      <c r="J880" t="n">
        <v>0</v>
      </c>
      <c r="K880" t="n">
        <v>0</v>
      </c>
      <c r="L880" t="n">
        <v>0</v>
      </c>
      <c r="M880" t="n">
        <v>0</v>
      </c>
      <c r="N880" t="n">
        <v>0</v>
      </c>
      <c r="O880" t="n">
        <v>0</v>
      </c>
      <c r="P880" t="n">
        <v>0</v>
      </c>
      <c r="Q880" t="n">
        <v>0</v>
      </c>
      <c r="R880" s="2" t="inlineStr"/>
    </row>
    <row r="881" ht="15" customHeight="1">
      <c r="A881" t="inlineStr">
        <is>
          <t>A 1172-2025</t>
        </is>
      </c>
      <c r="B881" s="1" t="n">
        <v>45667</v>
      </c>
      <c r="C881" s="1" t="n">
        <v>45987</v>
      </c>
      <c r="D881" t="inlineStr">
        <is>
          <t>JÄMTLANDS LÄN</t>
        </is>
      </c>
      <c r="E881" t="inlineStr">
        <is>
          <t>HÄRJEDALEN</t>
        </is>
      </c>
      <c r="F881" t="inlineStr">
        <is>
          <t>Bergvik skog väst AB</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58024-2025</t>
        </is>
      </c>
      <c r="B882" s="1" t="n">
        <v>45982.48206018518</v>
      </c>
      <c r="C882" s="1" t="n">
        <v>45987</v>
      </c>
      <c r="D882" t="inlineStr">
        <is>
          <t>JÄMTLANDS LÄN</t>
        </is>
      </c>
      <c r="E882" t="inlineStr">
        <is>
          <t>HÄRJEDALEN</t>
        </is>
      </c>
      <c r="F882" t="inlineStr">
        <is>
          <t>Bergvik skog väst AB</t>
        </is>
      </c>
      <c r="G882" t="n">
        <v>6.3</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45987</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49427-2025</t>
        </is>
      </c>
      <c r="B884" s="1" t="n">
        <v>45938.76107638889</v>
      </c>
      <c r="C884" s="1" t="n">
        <v>45987</v>
      </c>
      <c r="D884" t="inlineStr">
        <is>
          <t>JÄMTLANDS LÄN</t>
        </is>
      </c>
      <c r="E884" t="inlineStr">
        <is>
          <t>HÄRJEDALEN</t>
        </is>
      </c>
      <c r="G884" t="n">
        <v>4.5</v>
      </c>
      <c r="H884" t="n">
        <v>0</v>
      </c>
      <c r="I884" t="n">
        <v>0</v>
      </c>
      <c r="J884" t="n">
        <v>0</v>
      </c>
      <c r="K884" t="n">
        <v>0</v>
      </c>
      <c r="L884" t="n">
        <v>0</v>
      </c>
      <c r="M884" t="n">
        <v>0</v>
      </c>
      <c r="N884" t="n">
        <v>0</v>
      </c>
      <c r="O884" t="n">
        <v>0</v>
      </c>
      <c r="P884" t="n">
        <v>0</v>
      </c>
      <c r="Q884" t="n">
        <v>0</v>
      </c>
      <c r="R884" s="2" t="inlineStr"/>
    </row>
    <row r="885" ht="15" customHeight="1">
      <c r="A885" t="inlineStr">
        <is>
          <t>A 57839-2025</t>
        </is>
      </c>
      <c r="B885" s="1" t="n">
        <v>45981.62309027778</v>
      </c>
      <c r="C885" s="1" t="n">
        <v>45987</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49717-2025</t>
        </is>
      </c>
      <c r="B886" s="1" t="n">
        <v>45939.74859953704</v>
      </c>
      <c r="C886" s="1" t="n">
        <v>45987</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49537-2025</t>
        </is>
      </c>
      <c r="B887" s="1" t="n">
        <v>45939.42302083333</v>
      </c>
      <c r="C887" s="1" t="n">
        <v>45987</v>
      </c>
      <c r="D887" t="inlineStr">
        <is>
          <t>JÄMTLANDS LÄN</t>
        </is>
      </c>
      <c r="E887" t="inlineStr">
        <is>
          <t>HÄRJEDALEN</t>
        </is>
      </c>
      <c r="G887" t="n">
        <v>1.7</v>
      </c>
      <c r="H887" t="n">
        <v>0</v>
      </c>
      <c r="I887" t="n">
        <v>0</v>
      </c>
      <c r="J887" t="n">
        <v>0</v>
      </c>
      <c r="K887" t="n">
        <v>0</v>
      </c>
      <c r="L887" t="n">
        <v>0</v>
      </c>
      <c r="M887" t="n">
        <v>0</v>
      </c>
      <c r="N887" t="n">
        <v>0</v>
      </c>
      <c r="O887" t="n">
        <v>0</v>
      </c>
      <c r="P887" t="n">
        <v>0</v>
      </c>
      <c r="Q887" t="n">
        <v>0</v>
      </c>
      <c r="R887" s="2" t="inlineStr"/>
    </row>
    <row r="888" ht="15" customHeight="1">
      <c r="A888" t="inlineStr">
        <is>
          <t>A 49569-2025</t>
        </is>
      </c>
      <c r="B888" s="1" t="n">
        <v>45939.47834490741</v>
      </c>
      <c r="C888" s="1" t="n">
        <v>45987</v>
      </c>
      <c r="D888" t="inlineStr">
        <is>
          <t>JÄMTLANDS LÄN</t>
        </is>
      </c>
      <c r="E888" t="inlineStr">
        <is>
          <t>HÄRJEDALEN</t>
        </is>
      </c>
      <c r="F888" t="inlineStr">
        <is>
          <t>Sveaskog</t>
        </is>
      </c>
      <c r="G888" t="n">
        <v>0.5</v>
      </c>
      <c r="H888" t="n">
        <v>0</v>
      </c>
      <c r="I888" t="n">
        <v>0</v>
      </c>
      <c r="J888" t="n">
        <v>0</v>
      </c>
      <c r="K888" t="n">
        <v>0</v>
      </c>
      <c r="L888" t="n">
        <v>0</v>
      </c>
      <c r="M888" t="n">
        <v>0</v>
      </c>
      <c r="N888" t="n">
        <v>0</v>
      </c>
      <c r="O888" t="n">
        <v>0</v>
      </c>
      <c r="P888" t="n">
        <v>0</v>
      </c>
      <c r="Q888" t="n">
        <v>0</v>
      </c>
      <c r="R888" s="2" t="inlineStr"/>
    </row>
    <row r="889" ht="15" customHeight="1">
      <c r="A889" t="inlineStr">
        <is>
          <t>A 17885-2025</t>
        </is>
      </c>
      <c r="B889" s="1" t="n">
        <v>45758.66108796297</v>
      </c>
      <c r="C889" s="1" t="n">
        <v>45987</v>
      </c>
      <c r="D889" t="inlineStr">
        <is>
          <t>JÄMTLANDS LÄN</t>
        </is>
      </c>
      <c r="E889" t="inlineStr">
        <is>
          <t>HÄRJEDALEN</t>
        </is>
      </c>
      <c r="G889" t="n">
        <v>5</v>
      </c>
      <c r="H889" t="n">
        <v>0</v>
      </c>
      <c r="I889" t="n">
        <v>0</v>
      </c>
      <c r="J889" t="n">
        <v>0</v>
      </c>
      <c r="K889" t="n">
        <v>0</v>
      </c>
      <c r="L889" t="n">
        <v>0</v>
      </c>
      <c r="M889" t="n">
        <v>0</v>
      </c>
      <c r="N889" t="n">
        <v>0</v>
      </c>
      <c r="O889" t="n">
        <v>0</v>
      </c>
      <c r="P889" t="n">
        <v>0</v>
      </c>
      <c r="Q889" t="n">
        <v>0</v>
      </c>
      <c r="R889" s="2" t="inlineStr"/>
    </row>
    <row r="890" ht="15" customHeight="1">
      <c r="A890" t="inlineStr">
        <is>
          <t>A 17895-2025</t>
        </is>
      </c>
      <c r="B890" s="1" t="n">
        <v>45758.69123842593</v>
      </c>
      <c r="C890" s="1" t="n">
        <v>45987</v>
      </c>
      <c r="D890" t="inlineStr">
        <is>
          <t>JÄMTLANDS LÄN</t>
        </is>
      </c>
      <c r="E890" t="inlineStr">
        <is>
          <t>HÄRJEDALEN</t>
        </is>
      </c>
      <c r="G890" t="n">
        <v>5.4</v>
      </c>
      <c r="H890" t="n">
        <v>0</v>
      </c>
      <c r="I890" t="n">
        <v>0</v>
      </c>
      <c r="J890" t="n">
        <v>0</v>
      </c>
      <c r="K890" t="n">
        <v>0</v>
      </c>
      <c r="L890" t="n">
        <v>0</v>
      </c>
      <c r="M890" t="n">
        <v>0</v>
      </c>
      <c r="N890" t="n">
        <v>0</v>
      </c>
      <c r="O890" t="n">
        <v>0</v>
      </c>
      <c r="P890" t="n">
        <v>0</v>
      </c>
      <c r="Q890" t="n">
        <v>0</v>
      </c>
      <c r="R890" s="2" t="inlineStr"/>
    </row>
    <row r="891" ht="15" customHeight="1">
      <c r="A891" t="inlineStr">
        <is>
          <t>A 58141-2025</t>
        </is>
      </c>
      <c r="B891" s="1" t="n">
        <v>45982.63611111111</v>
      </c>
      <c r="C891" s="1" t="n">
        <v>45987</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58081-2025</t>
        </is>
      </c>
      <c r="B892" s="1" t="n">
        <v>45982.56142361111</v>
      </c>
      <c r="C892" s="1" t="n">
        <v>45987</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47450-2022</t>
        </is>
      </c>
      <c r="B893" s="1" t="n">
        <v>44853</v>
      </c>
      <c r="C893" s="1" t="n">
        <v>45987</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45987</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7744-2025</t>
        </is>
      </c>
      <c r="B895" s="1" t="n">
        <v>45706</v>
      </c>
      <c r="C895" s="1" t="n">
        <v>45987</v>
      </c>
      <c r="D895" t="inlineStr">
        <is>
          <t>JÄMTLANDS LÄN</t>
        </is>
      </c>
      <c r="E895" t="inlineStr">
        <is>
          <t>HÄRJEDALEN</t>
        </is>
      </c>
      <c r="G895" t="n">
        <v>5.5</v>
      </c>
      <c r="H895" t="n">
        <v>0</v>
      </c>
      <c r="I895" t="n">
        <v>0</v>
      </c>
      <c r="J895" t="n">
        <v>0</v>
      </c>
      <c r="K895" t="n">
        <v>0</v>
      </c>
      <c r="L895" t="n">
        <v>0</v>
      </c>
      <c r="M895" t="n">
        <v>0</v>
      </c>
      <c r="N895" t="n">
        <v>0</v>
      </c>
      <c r="O895" t="n">
        <v>0</v>
      </c>
      <c r="P895" t="n">
        <v>0</v>
      </c>
      <c r="Q895" t="n">
        <v>0</v>
      </c>
      <c r="R895" s="2" t="inlineStr"/>
    </row>
    <row r="896" ht="15" customHeight="1">
      <c r="A896" t="inlineStr">
        <is>
          <t>A 58120-2025</t>
        </is>
      </c>
      <c r="B896" s="1" t="n">
        <v>45982.60930555555</v>
      </c>
      <c r="C896" s="1" t="n">
        <v>45987</v>
      </c>
      <c r="D896" t="inlineStr">
        <is>
          <t>JÄMTLANDS LÄN</t>
        </is>
      </c>
      <c r="E896" t="inlineStr">
        <is>
          <t>HÄRJEDALEN</t>
        </is>
      </c>
      <c r="G896" t="n">
        <v>2.2</v>
      </c>
      <c r="H896" t="n">
        <v>0</v>
      </c>
      <c r="I896" t="n">
        <v>0</v>
      </c>
      <c r="J896" t="n">
        <v>0</v>
      </c>
      <c r="K896" t="n">
        <v>0</v>
      </c>
      <c r="L896" t="n">
        <v>0</v>
      </c>
      <c r="M896" t="n">
        <v>0</v>
      </c>
      <c r="N896" t="n">
        <v>0</v>
      </c>
      <c r="O896" t="n">
        <v>0</v>
      </c>
      <c r="P896" t="n">
        <v>0</v>
      </c>
      <c r="Q896" t="n">
        <v>0</v>
      </c>
      <c r="R896" s="2" t="inlineStr"/>
    </row>
    <row r="897" ht="15" customHeight="1">
      <c r="A897" t="inlineStr">
        <is>
          <t>A 49716-2025</t>
        </is>
      </c>
      <c r="B897" s="1" t="n">
        <v>45939.73686342593</v>
      </c>
      <c r="C897" s="1" t="n">
        <v>45987</v>
      </c>
      <c r="D897" t="inlineStr">
        <is>
          <t>JÄMTLANDS LÄN</t>
        </is>
      </c>
      <c r="E897" t="inlineStr">
        <is>
          <t>HÄRJEDALEN</t>
        </is>
      </c>
      <c r="G897" t="n">
        <v>1.1</v>
      </c>
      <c r="H897" t="n">
        <v>0</v>
      </c>
      <c r="I897" t="n">
        <v>0</v>
      </c>
      <c r="J897" t="n">
        <v>0</v>
      </c>
      <c r="K897" t="n">
        <v>0</v>
      </c>
      <c r="L897" t="n">
        <v>0</v>
      </c>
      <c r="M897" t="n">
        <v>0</v>
      </c>
      <c r="N897" t="n">
        <v>0</v>
      </c>
      <c r="O897" t="n">
        <v>0</v>
      </c>
      <c r="P897" t="n">
        <v>0</v>
      </c>
      <c r="Q897" t="n">
        <v>0</v>
      </c>
      <c r="R897" s="2" t="inlineStr"/>
    </row>
    <row r="898" ht="15" customHeight="1">
      <c r="A898" t="inlineStr">
        <is>
          <t>A 14368-2025</t>
        </is>
      </c>
      <c r="B898" s="1" t="n">
        <v>45741.39084490741</v>
      </c>
      <c r="C898" s="1" t="n">
        <v>45987</v>
      </c>
      <c r="D898" t="inlineStr">
        <is>
          <t>JÄMTLANDS LÄN</t>
        </is>
      </c>
      <c r="E898" t="inlineStr">
        <is>
          <t>HÄRJEDALEN</t>
        </is>
      </c>
      <c r="G898" t="n">
        <v>6.5</v>
      </c>
      <c r="H898" t="n">
        <v>0</v>
      </c>
      <c r="I898" t="n">
        <v>0</v>
      </c>
      <c r="J898" t="n">
        <v>0</v>
      </c>
      <c r="K898" t="n">
        <v>0</v>
      </c>
      <c r="L898" t="n">
        <v>0</v>
      </c>
      <c r="M898" t="n">
        <v>0</v>
      </c>
      <c r="N898" t="n">
        <v>0</v>
      </c>
      <c r="O898" t="n">
        <v>0</v>
      </c>
      <c r="P898" t="n">
        <v>0</v>
      </c>
      <c r="Q898" t="n">
        <v>0</v>
      </c>
      <c r="R898" s="2" t="inlineStr"/>
    </row>
    <row r="899" ht="15" customHeight="1">
      <c r="A899" t="inlineStr">
        <is>
          <t>A 49515-2025</t>
        </is>
      </c>
      <c r="B899" s="1" t="n">
        <v>45939.38605324074</v>
      </c>
      <c r="C899" s="1" t="n">
        <v>45987</v>
      </c>
      <c r="D899" t="inlineStr">
        <is>
          <t>JÄMTLANDS LÄN</t>
        </is>
      </c>
      <c r="E899" t="inlineStr">
        <is>
          <t>HÄRJEDALEN</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10012-2023</t>
        </is>
      </c>
      <c r="B900" s="1" t="n">
        <v>44985.6125</v>
      </c>
      <c r="C900" s="1" t="n">
        <v>45987</v>
      </c>
      <c r="D900" t="inlineStr">
        <is>
          <t>JÄMTLANDS LÄN</t>
        </is>
      </c>
      <c r="E900" t="inlineStr">
        <is>
          <t>HÄRJEDALEN</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57868-2025</t>
        </is>
      </c>
      <c r="B901" s="1" t="n">
        <v>45981.65143518519</v>
      </c>
      <c r="C901" s="1" t="n">
        <v>45987</v>
      </c>
      <c r="D901" t="inlineStr">
        <is>
          <t>JÄMTLANDS LÄN</t>
        </is>
      </c>
      <c r="E901" t="inlineStr">
        <is>
          <t>HÄRJEDALEN</t>
        </is>
      </c>
      <c r="G901" t="n">
        <v>8</v>
      </c>
      <c r="H901" t="n">
        <v>0</v>
      </c>
      <c r="I901" t="n">
        <v>0</v>
      </c>
      <c r="J901" t="n">
        <v>0</v>
      </c>
      <c r="K901" t="n">
        <v>0</v>
      </c>
      <c r="L901" t="n">
        <v>0</v>
      </c>
      <c r="M901" t="n">
        <v>0</v>
      </c>
      <c r="N901" t="n">
        <v>0</v>
      </c>
      <c r="O901" t="n">
        <v>0</v>
      </c>
      <c r="P901" t="n">
        <v>0</v>
      </c>
      <c r="Q901" t="n">
        <v>0</v>
      </c>
      <c r="R901" s="2" t="inlineStr"/>
    </row>
    <row r="902" ht="15" customHeight="1">
      <c r="A902" t="inlineStr">
        <is>
          <t>A 57849-2024</t>
        </is>
      </c>
      <c r="B902" s="1" t="n">
        <v>45631</v>
      </c>
      <c r="C902" s="1" t="n">
        <v>45987</v>
      </c>
      <c r="D902" t="inlineStr">
        <is>
          <t>JÄMTLANDS LÄN</t>
        </is>
      </c>
      <c r="E902" t="inlineStr">
        <is>
          <t>HÄRJEDALEN</t>
        </is>
      </c>
      <c r="F902" t="inlineStr">
        <is>
          <t>Bergvik skog väst AB</t>
        </is>
      </c>
      <c r="G902" t="n">
        <v>36.7</v>
      </c>
      <c r="H902" t="n">
        <v>0</v>
      </c>
      <c r="I902" t="n">
        <v>0</v>
      </c>
      <c r="J902" t="n">
        <v>0</v>
      </c>
      <c r="K902" t="n">
        <v>0</v>
      </c>
      <c r="L902" t="n">
        <v>0</v>
      </c>
      <c r="M902" t="n">
        <v>0</v>
      </c>
      <c r="N902" t="n">
        <v>0</v>
      </c>
      <c r="O902" t="n">
        <v>0</v>
      </c>
      <c r="P902" t="n">
        <v>0</v>
      </c>
      <c r="Q902" t="n">
        <v>0</v>
      </c>
      <c r="R902" s="2" t="inlineStr"/>
    </row>
    <row r="903" ht="15" customHeight="1">
      <c r="A903" t="inlineStr">
        <is>
          <t>A 18546-2025</t>
        </is>
      </c>
      <c r="B903" s="1" t="n">
        <v>45763.4266087963</v>
      </c>
      <c r="C903" s="1" t="n">
        <v>45987</v>
      </c>
      <c r="D903" t="inlineStr">
        <is>
          <t>JÄMTLANDS LÄN</t>
        </is>
      </c>
      <c r="E903" t="inlineStr">
        <is>
          <t>HÄRJEDALEN</t>
        </is>
      </c>
      <c r="G903" t="n">
        <v>1.7</v>
      </c>
      <c r="H903" t="n">
        <v>0</v>
      </c>
      <c r="I903" t="n">
        <v>0</v>
      </c>
      <c r="J903" t="n">
        <v>0</v>
      </c>
      <c r="K903" t="n">
        <v>0</v>
      </c>
      <c r="L903" t="n">
        <v>0</v>
      </c>
      <c r="M903" t="n">
        <v>0</v>
      </c>
      <c r="N903" t="n">
        <v>0</v>
      </c>
      <c r="O903" t="n">
        <v>0</v>
      </c>
      <c r="P903" t="n">
        <v>0</v>
      </c>
      <c r="Q903" t="n">
        <v>0</v>
      </c>
      <c r="R903" s="2" t="inlineStr"/>
    </row>
    <row r="904" ht="15" customHeight="1">
      <c r="A904" t="inlineStr">
        <is>
          <t>A 49715-2025</t>
        </is>
      </c>
      <c r="B904" s="1" t="n">
        <v>45939.7344212963</v>
      </c>
      <c r="C904" s="1" t="n">
        <v>45987</v>
      </c>
      <c r="D904" t="inlineStr">
        <is>
          <t>JÄMTLANDS LÄN</t>
        </is>
      </c>
      <c r="E904" t="inlineStr">
        <is>
          <t>HÄRJEDALEN</t>
        </is>
      </c>
      <c r="G904" t="n">
        <v>3.9</v>
      </c>
      <c r="H904" t="n">
        <v>0</v>
      </c>
      <c r="I904" t="n">
        <v>0</v>
      </c>
      <c r="J904" t="n">
        <v>0</v>
      </c>
      <c r="K904" t="n">
        <v>0</v>
      </c>
      <c r="L904" t="n">
        <v>0</v>
      </c>
      <c r="M904" t="n">
        <v>0</v>
      </c>
      <c r="N904" t="n">
        <v>0</v>
      </c>
      <c r="O904" t="n">
        <v>0</v>
      </c>
      <c r="P904" t="n">
        <v>0</v>
      </c>
      <c r="Q904" t="n">
        <v>0</v>
      </c>
      <c r="R904" s="2" t="inlineStr"/>
    </row>
    <row r="905" ht="15" customHeight="1">
      <c r="A905" t="inlineStr">
        <is>
          <t>A 7430-2024</t>
        </is>
      </c>
      <c r="B905" s="1" t="n">
        <v>45345.65929398148</v>
      </c>
      <c r="C905" s="1" t="n">
        <v>45987</v>
      </c>
      <c r="D905" t="inlineStr">
        <is>
          <t>JÄMTLANDS LÄN</t>
        </is>
      </c>
      <c r="E905" t="inlineStr">
        <is>
          <t>HÄRJEDALEN</t>
        </is>
      </c>
      <c r="F905" t="inlineStr">
        <is>
          <t>Holmen skog AB</t>
        </is>
      </c>
      <c r="G905" t="n">
        <v>12.1</v>
      </c>
      <c r="H905" t="n">
        <v>0</v>
      </c>
      <c r="I905" t="n">
        <v>0</v>
      </c>
      <c r="J905" t="n">
        <v>0</v>
      </c>
      <c r="K905" t="n">
        <v>0</v>
      </c>
      <c r="L905" t="n">
        <v>0</v>
      </c>
      <c r="M905" t="n">
        <v>0</v>
      </c>
      <c r="N905" t="n">
        <v>0</v>
      </c>
      <c r="O905" t="n">
        <v>0</v>
      </c>
      <c r="P905" t="n">
        <v>0</v>
      </c>
      <c r="Q905" t="n">
        <v>0</v>
      </c>
      <c r="R905" s="2" t="inlineStr"/>
    </row>
    <row r="906" ht="15" customHeight="1">
      <c r="A906" t="inlineStr">
        <is>
          <t>A 50423-2025</t>
        </is>
      </c>
      <c r="B906" s="1" t="n">
        <v>45944.66243055555</v>
      </c>
      <c r="C906" s="1" t="n">
        <v>45987</v>
      </c>
      <c r="D906" t="inlineStr">
        <is>
          <t>JÄMTLANDS LÄN</t>
        </is>
      </c>
      <c r="E906" t="inlineStr">
        <is>
          <t>HÄRJEDALEN</t>
        </is>
      </c>
      <c r="G906" t="n">
        <v>6.9</v>
      </c>
      <c r="H906" t="n">
        <v>0</v>
      </c>
      <c r="I906" t="n">
        <v>0</v>
      </c>
      <c r="J906" t="n">
        <v>0</v>
      </c>
      <c r="K906" t="n">
        <v>0</v>
      </c>
      <c r="L906" t="n">
        <v>0</v>
      </c>
      <c r="M906" t="n">
        <v>0</v>
      </c>
      <c r="N906" t="n">
        <v>0</v>
      </c>
      <c r="O906" t="n">
        <v>0</v>
      </c>
      <c r="P906" t="n">
        <v>0</v>
      </c>
      <c r="Q906" t="n">
        <v>0</v>
      </c>
      <c r="R906" s="2" t="inlineStr"/>
    </row>
    <row r="907" ht="15" customHeight="1">
      <c r="A907" t="inlineStr">
        <is>
          <t>A 50424-2025</t>
        </is>
      </c>
      <c r="B907" s="1" t="n">
        <v>45944.66541666666</v>
      </c>
      <c r="C907" s="1" t="n">
        <v>45987</v>
      </c>
      <c r="D907" t="inlineStr">
        <is>
          <t>JÄMTLANDS LÄN</t>
        </is>
      </c>
      <c r="E907" t="inlineStr">
        <is>
          <t>HÄRJEDALEN</t>
        </is>
      </c>
      <c r="G907" t="n">
        <v>0.8</v>
      </c>
      <c r="H907" t="n">
        <v>0</v>
      </c>
      <c r="I907" t="n">
        <v>0</v>
      </c>
      <c r="J907" t="n">
        <v>0</v>
      </c>
      <c r="K907" t="n">
        <v>0</v>
      </c>
      <c r="L907" t="n">
        <v>0</v>
      </c>
      <c r="M907" t="n">
        <v>0</v>
      </c>
      <c r="N907" t="n">
        <v>0</v>
      </c>
      <c r="O907" t="n">
        <v>0</v>
      </c>
      <c r="P907" t="n">
        <v>0</v>
      </c>
      <c r="Q907" t="n">
        <v>0</v>
      </c>
      <c r="R907" s="2" t="inlineStr"/>
    </row>
    <row r="908" ht="15" customHeight="1">
      <c r="A908" t="inlineStr">
        <is>
          <t>A 58645-2025</t>
        </is>
      </c>
      <c r="B908" s="1" t="n">
        <v>45986.49688657407</v>
      </c>
      <c r="C908" s="1" t="n">
        <v>45987</v>
      </c>
      <c r="D908" t="inlineStr">
        <is>
          <t>JÄMTLANDS LÄN</t>
        </is>
      </c>
      <c r="E908" t="inlineStr">
        <is>
          <t>HÄRJEDALEN</t>
        </is>
      </c>
      <c r="F908" t="inlineStr">
        <is>
          <t>Bergvik skog väst AB</t>
        </is>
      </c>
      <c r="G908" t="n">
        <v>23.4</v>
      </c>
      <c r="H908" t="n">
        <v>0</v>
      </c>
      <c r="I908" t="n">
        <v>0</v>
      </c>
      <c r="J908" t="n">
        <v>0</v>
      </c>
      <c r="K908" t="n">
        <v>0</v>
      </c>
      <c r="L908" t="n">
        <v>0</v>
      </c>
      <c r="M908" t="n">
        <v>0</v>
      </c>
      <c r="N908" t="n">
        <v>0</v>
      </c>
      <c r="O908" t="n">
        <v>0</v>
      </c>
      <c r="P908" t="n">
        <v>0</v>
      </c>
      <c r="Q908" t="n">
        <v>0</v>
      </c>
      <c r="R908" s="2" t="inlineStr"/>
    </row>
    <row r="909" ht="15" customHeight="1">
      <c r="A909" t="inlineStr">
        <is>
          <t>A 4879-2025</t>
        </is>
      </c>
      <c r="B909" s="1" t="n">
        <v>45688.6769212963</v>
      </c>
      <c r="C909" s="1" t="n">
        <v>45987</v>
      </c>
      <c r="D909" t="inlineStr">
        <is>
          <t>JÄMTLANDS LÄN</t>
        </is>
      </c>
      <c r="E909" t="inlineStr">
        <is>
          <t>HÄRJEDALEN</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20865-2024</t>
        </is>
      </c>
      <c r="B910" s="1" t="n">
        <v>45439.43106481482</v>
      </c>
      <c r="C910" s="1" t="n">
        <v>45987</v>
      </c>
      <c r="D910" t="inlineStr">
        <is>
          <t>JÄMTLANDS LÄN</t>
        </is>
      </c>
      <c r="E910" t="inlineStr">
        <is>
          <t>HÄRJEDALEN</t>
        </is>
      </c>
      <c r="F910" t="inlineStr">
        <is>
          <t>Holmen skog AB</t>
        </is>
      </c>
      <c r="G910" t="n">
        <v>7.2</v>
      </c>
      <c r="H910" t="n">
        <v>0</v>
      </c>
      <c r="I910" t="n">
        <v>0</v>
      </c>
      <c r="J910" t="n">
        <v>0</v>
      </c>
      <c r="K910" t="n">
        <v>0</v>
      </c>
      <c r="L910" t="n">
        <v>0</v>
      </c>
      <c r="M910" t="n">
        <v>0</v>
      </c>
      <c r="N910" t="n">
        <v>0</v>
      </c>
      <c r="O910" t="n">
        <v>0</v>
      </c>
      <c r="P910" t="n">
        <v>0</v>
      </c>
      <c r="Q910" t="n">
        <v>0</v>
      </c>
      <c r="R910" s="2" t="inlineStr"/>
    </row>
    <row r="911" ht="15" customHeight="1">
      <c r="A911" t="inlineStr">
        <is>
          <t>A 7636-2023</t>
        </is>
      </c>
      <c r="B911" s="1" t="n">
        <v>44972.57449074074</v>
      </c>
      <c r="C911" s="1" t="n">
        <v>45987</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57755-2021</t>
        </is>
      </c>
      <c r="B912" s="1" t="n">
        <v>44484.55535879629</v>
      </c>
      <c r="C912" s="1" t="n">
        <v>45987</v>
      </c>
      <c r="D912" t="inlineStr">
        <is>
          <t>JÄMTLANDS LÄN</t>
        </is>
      </c>
      <c r="E912" t="inlineStr">
        <is>
          <t>HÄRJEDALEN</t>
        </is>
      </c>
      <c r="G912" t="n">
        <v>3.9</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45987</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31723-2025</t>
        </is>
      </c>
      <c r="B914" s="1" t="n">
        <v>45834</v>
      </c>
      <c r="C914" s="1" t="n">
        <v>45987</v>
      </c>
      <c r="D914" t="inlineStr">
        <is>
          <t>JÄMTLANDS LÄN</t>
        </is>
      </c>
      <c r="E914" t="inlineStr">
        <is>
          <t>HÄRJEDALEN</t>
        </is>
      </c>
      <c r="G914" t="n">
        <v>8.9</v>
      </c>
      <c r="H914" t="n">
        <v>0</v>
      </c>
      <c r="I914" t="n">
        <v>0</v>
      </c>
      <c r="J914" t="n">
        <v>0</v>
      </c>
      <c r="K914" t="n">
        <v>0</v>
      </c>
      <c r="L914" t="n">
        <v>0</v>
      </c>
      <c r="M914" t="n">
        <v>0</v>
      </c>
      <c r="N914" t="n">
        <v>0</v>
      </c>
      <c r="O914" t="n">
        <v>0</v>
      </c>
      <c r="P914" t="n">
        <v>0</v>
      </c>
      <c r="Q914" t="n">
        <v>0</v>
      </c>
      <c r="R914" s="2" t="inlineStr"/>
    </row>
    <row r="915" ht="15" customHeight="1">
      <c r="A915" t="inlineStr">
        <is>
          <t>A 56043-2022</t>
        </is>
      </c>
      <c r="B915" s="1" t="n">
        <v>44889.56582175926</v>
      </c>
      <c r="C915" s="1" t="n">
        <v>45987</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35599-2024</t>
        </is>
      </c>
      <c r="B916" s="1" t="n">
        <v>45531.66196759259</v>
      </c>
      <c r="C916" s="1" t="n">
        <v>45987</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58539-2025</t>
        </is>
      </c>
      <c r="B917" s="1" t="n">
        <v>45985.89577546297</v>
      </c>
      <c r="C917" s="1" t="n">
        <v>45987</v>
      </c>
      <c r="D917" t="inlineStr">
        <is>
          <t>JÄMTLANDS LÄN</t>
        </is>
      </c>
      <c r="E917" t="inlineStr">
        <is>
          <t>HÄRJEDALEN</t>
        </is>
      </c>
      <c r="G917" t="n">
        <v>2.3</v>
      </c>
      <c r="H917" t="n">
        <v>0</v>
      </c>
      <c r="I917" t="n">
        <v>0</v>
      </c>
      <c r="J917" t="n">
        <v>0</v>
      </c>
      <c r="K917" t="n">
        <v>0</v>
      </c>
      <c r="L917" t="n">
        <v>0</v>
      </c>
      <c r="M917" t="n">
        <v>0</v>
      </c>
      <c r="N917" t="n">
        <v>0</v>
      </c>
      <c r="O917" t="n">
        <v>0</v>
      </c>
      <c r="P917" t="n">
        <v>0</v>
      </c>
      <c r="Q917" t="n">
        <v>0</v>
      </c>
      <c r="R917" s="2" t="inlineStr"/>
    </row>
    <row r="918" ht="15" customHeight="1">
      <c r="A918" t="inlineStr">
        <is>
          <t>A 58716-2025</t>
        </is>
      </c>
      <c r="B918" s="1" t="n">
        <v>45986.61413194444</v>
      </c>
      <c r="C918" s="1" t="n">
        <v>45987</v>
      </c>
      <c r="D918" t="inlineStr">
        <is>
          <t>JÄMTLANDS LÄN</t>
        </is>
      </c>
      <c r="E918" t="inlineStr">
        <is>
          <t>HÄRJEDALEN</t>
        </is>
      </c>
      <c r="G918" t="n">
        <v>3.8</v>
      </c>
      <c r="H918" t="n">
        <v>0</v>
      </c>
      <c r="I918" t="n">
        <v>0</v>
      </c>
      <c r="J918" t="n">
        <v>0</v>
      </c>
      <c r="K918" t="n">
        <v>0</v>
      </c>
      <c r="L918" t="n">
        <v>0</v>
      </c>
      <c r="M918" t="n">
        <v>0</v>
      </c>
      <c r="N918" t="n">
        <v>0</v>
      </c>
      <c r="O918" t="n">
        <v>0</v>
      </c>
      <c r="P918" t="n">
        <v>0</v>
      </c>
      <c r="Q918" t="n">
        <v>0</v>
      </c>
      <c r="R918" s="2" t="inlineStr"/>
    </row>
    <row r="919" ht="15" customHeight="1">
      <c r="A919" t="inlineStr">
        <is>
          <t>A 103-2023</t>
        </is>
      </c>
      <c r="B919" s="1" t="n">
        <v>44928</v>
      </c>
      <c r="C919" s="1" t="n">
        <v>45987</v>
      </c>
      <c r="D919" t="inlineStr">
        <is>
          <t>JÄMTLANDS LÄN</t>
        </is>
      </c>
      <c r="E919" t="inlineStr">
        <is>
          <t>HÄRJEDALEN</t>
        </is>
      </c>
      <c r="F919" t="inlineStr">
        <is>
          <t>Holmen skog AB</t>
        </is>
      </c>
      <c r="G919" t="n">
        <v>6.9</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45987</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58694-2025</t>
        </is>
      </c>
      <c r="B921" s="1" t="n">
        <v>45986.585</v>
      </c>
      <c r="C921" s="1" t="n">
        <v>45987</v>
      </c>
      <c r="D921" t="inlineStr">
        <is>
          <t>JÄMTLANDS LÄN</t>
        </is>
      </c>
      <c r="E921" t="inlineStr">
        <is>
          <t>HÄRJEDALEN</t>
        </is>
      </c>
      <c r="G921" t="n">
        <v>0.6</v>
      </c>
      <c r="H921" t="n">
        <v>0</v>
      </c>
      <c r="I921" t="n">
        <v>0</v>
      </c>
      <c r="J921" t="n">
        <v>0</v>
      </c>
      <c r="K921" t="n">
        <v>0</v>
      </c>
      <c r="L921" t="n">
        <v>0</v>
      </c>
      <c r="M921" t="n">
        <v>0</v>
      </c>
      <c r="N921" t="n">
        <v>0</v>
      </c>
      <c r="O921" t="n">
        <v>0</v>
      </c>
      <c r="P921" t="n">
        <v>0</v>
      </c>
      <c r="Q921" t="n">
        <v>0</v>
      </c>
      <c r="R921" s="2" t="inlineStr"/>
    </row>
    <row r="922" ht="15" customHeight="1">
      <c r="A922" t="inlineStr">
        <is>
          <t>A 49979-2025</t>
        </is>
      </c>
      <c r="B922" s="1" t="n">
        <v>45942.62457175926</v>
      </c>
      <c r="C922" s="1" t="n">
        <v>45987</v>
      </c>
      <c r="D922" t="inlineStr">
        <is>
          <t>JÄMTLANDS LÄN</t>
        </is>
      </c>
      <c r="E922" t="inlineStr">
        <is>
          <t>HÄRJEDALEN</t>
        </is>
      </c>
      <c r="F922" t="inlineStr">
        <is>
          <t>Kyrkan</t>
        </is>
      </c>
      <c r="G922" t="n">
        <v>2.4</v>
      </c>
      <c r="H922" t="n">
        <v>0</v>
      </c>
      <c r="I922" t="n">
        <v>0</v>
      </c>
      <c r="J922" t="n">
        <v>0</v>
      </c>
      <c r="K922" t="n">
        <v>0</v>
      </c>
      <c r="L922" t="n">
        <v>0</v>
      </c>
      <c r="M922" t="n">
        <v>0</v>
      </c>
      <c r="N922" t="n">
        <v>0</v>
      </c>
      <c r="O922" t="n">
        <v>0</v>
      </c>
      <c r="P922" t="n">
        <v>0</v>
      </c>
      <c r="Q922" t="n">
        <v>0</v>
      </c>
      <c r="R922" s="2" t="inlineStr"/>
    </row>
    <row r="923" ht="15" customHeight="1">
      <c r="A923" t="inlineStr">
        <is>
          <t>A 58607-2025</t>
        </is>
      </c>
      <c r="B923" s="1" t="n">
        <v>45986.44212962963</v>
      </c>
      <c r="C923" s="1" t="n">
        <v>45987</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12569-2025</t>
        </is>
      </c>
      <c r="B924" s="1" t="n">
        <v>45731.69629629629</v>
      </c>
      <c r="C924" s="1" t="n">
        <v>45987</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58723-2025</t>
        </is>
      </c>
      <c r="B925" s="1" t="n">
        <v>45986.61724537037</v>
      </c>
      <c r="C925" s="1" t="n">
        <v>45987</v>
      </c>
      <c r="D925" t="inlineStr">
        <is>
          <t>JÄMTLANDS LÄN</t>
        </is>
      </c>
      <c r="E925" t="inlineStr">
        <is>
          <t>HÄRJEDALEN</t>
        </is>
      </c>
      <c r="G925" t="n">
        <v>0.5</v>
      </c>
      <c r="H925" t="n">
        <v>0</v>
      </c>
      <c r="I925" t="n">
        <v>0</v>
      </c>
      <c r="J925" t="n">
        <v>0</v>
      </c>
      <c r="K925" t="n">
        <v>0</v>
      </c>
      <c r="L925" t="n">
        <v>0</v>
      </c>
      <c r="M925" t="n">
        <v>0</v>
      </c>
      <c r="N925" t="n">
        <v>0</v>
      </c>
      <c r="O925" t="n">
        <v>0</v>
      </c>
      <c r="P925" t="n">
        <v>0</v>
      </c>
      <c r="Q925" t="n">
        <v>0</v>
      </c>
      <c r="R925" s="2" t="inlineStr"/>
    </row>
    <row r="926" ht="15" customHeight="1">
      <c r="A926" t="inlineStr">
        <is>
          <t>A 50051-2025</t>
        </is>
      </c>
      <c r="B926" s="1" t="n">
        <v>45943.420625</v>
      </c>
      <c r="C926" s="1" t="n">
        <v>45987</v>
      </c>
      <c r="D926" t="inlineStr">
        <is>
          <t>JÄMTLANDS LÄN</t>
        </is>
      </c>
      <c r="E926" t="inlineStr">
        <is>
          <t>HÄRJEDALEN</t>
        </is>
      </c>
      <c r="G926" t="n">
        <v>1.1</v>
      </c>
      <c r="H926" t="n">
        <v>0</v>
      </c>
      <c r="I926" t="n">
        <v>0</v>
      </c>
      <c r="J926" t="n">
        <v>0</v>
      </c>
      <c r="K926" t="n">
        <v>0</v>
      </c>
      <c r="L926" t="n">
        <v>0</v>
      </c>
      <c r="M926" t="n">
        <v>0</v>
      </c>
      <c r="N926" t="n">
        <v>0</v>
      </c>
      <c r="O926" t="n">
        <v>0</v>
      </c>
      <c r="P926" t="n">
        <v>0</v>
      </c>
      <c r="Q926" t="n">
        <v>0</v>
      </c>
      <c r="R926" s="2" t="inlineStr"/>
    </row>
    <row r="927" ht="15" customHeight="1">
      <c r="A927" t="inlineStr">
        <is>
          <t>A 39820-2022</t>
        </is>
      </c>
      <c r="B927" s="1" t="n">
        <v>44819.56722222222</v>
      </c>
      <c r="C927" s="1" t="n">
        <v>45987</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58296-2025</t>
        </is>
      </c>
      <c r="B928" s="1" t="n">
        <v>45985.45633101852</v>
      </c>
      <c r="C928" s="1" t="n">
        <v>45987</v>
      </c>
      <c r="D928" t="inlineStr">
        <is>
          <t>JÄMTLANDS LÄN</t>
        </is>
      </c>
      <c r="E928" t="inlineStr">
        <is>
          <t>HÄRJEDALEN</t>
        </is>
      </c>
      <c r="F928" t="inlineStr">
        <is>
          <t>Bergvik skog väst AB</t>
        </is>
      </c>
      <c r="G928" t="n">
        <v>4.6</v>
      </c>
      <c r="H928" t="n">
        <v>0</v>
      </c>
      <c r="I928" t="n">
        <v>0</v>
      </c>
      <c r="J928" t="n">
        <v>0</v>
      </c>
      <c r="K928" t="n">
        <v>0</v>
      </c>
      <c r="L928" t="n">
        <v>0</v>
      </c>
      <c r="M928" t="n">
        <v>0</v>
      </c>
      <c r="N928" t="n">
        <v>0</v>
      </c>
      <c r="O928" t="n">
        <v>0</v>
      </c>
      <c r="P928" t="n">
        <v>0</v>
      </c>
      <c r="Q928" t="n">
        <v>0</v>
      </c>
      <c r="R928" s="2" t="inlineStr"/>
    </row>
    <row r="929" ht="15" customHeight="1">
      <c r="A929" t="inlineStr">
        <is>
          <t>A 1665-2025</t>
        </is>
      </c>
      <c r="B929" s="1" t="n">
        <v>45670</v>
      </c>
      <c r="C929" s="1" t="n">
        <v>45987</v>
      </c>
      <c r="D929" t="inlineStr">
        <is>
          <t>JÄMTLANDS LÄN</t>
        </is>
      </c>
      <c r="E929" t="inlineStr">
        <is>
          <t>HÄRJEDALEN</t>
        </is>
      </c>
      <c r="F929" t="inlineStr">
        <is>
          <t>Bergvik skog väst AB</t>
        </is>
      </c>
      <c r="G929" t="n">
        <v>1.3</v>
      </c>
      <c r="H929" t="n">
        <v>0</v>
      </c>
      <c r="I929" t="n">
        <v>0</v>
      </c>
      <c r="J929" t="n">
        <v>0</v>
      </c>
      <c r="K929" t="n">
        <v>0</v>
      </c>
      <c r="L929" t="n">
        <v>0</v>
      </c>
      <c r="M929" t="n">
        <v>0</v>
      </c>
      <c r="N929" t="n">
        <v>0</v>
      </c>
      <c r="O929" t="n">
        <v>0</v>
      </c>
      <c r="P929" t="n">
        <v>0</v>
      </c>
      <c r="Q929" t="n">
        <v>0</v>
      </c>
      <c r="R929" s="2" t="inlineStr"/>
    </row>
    <row r="930" ht="15" customHeight="1">
      <c r="A930" t="inlineStr">
        <is>
          <t>A 57840-2024</t>
        </is>
      </c>
      <c r="B930" s="1" t="n">
        <v>45631</v>
      </c>
      <c r="C930" s="1" t="n">
        <v>45987</v>
      </c>
      <c r="D930" t="inlineStr">
        <is>
          <t>JÄMTLANDS LÄN</t>
        </is>
      </c>
      <c r="E930" t="inlineStr">
        <is>
          <t>HÄRJEDALEN</t>
        </is>
      </c>
      <c r="F930" t="inlineStr">
        <is>
          <t>Bergvik skog väst AB</t>
        </is>
      </c>
      <c r="G930" t="n">
        <v>98.8</v>
      </c>
      <c r="H930" t="n">
        <v>0</v>
      </c>
      <c r="I930" t="n">
        <v>0</v>
      </c>
      <c r="J930" t="n">
        <v>0</v>
      </c>
      <c r="K930" t="n">
        <v>0</v>
      </c>
      <c r="L930" t="n">
        <v>0</v>
      </c>
      <c r="M930" t="n">
        <v>0</v>
      </c>
      <c r="N930" t="n">
        <v>0</v>
      </c>
      <c r="O930" t="n">
        <v>0</v>
      </c>
      <c r="P930" t="n">
        <v>0</v>
      </c>
      <c r="Q930" t="n">
        <v>0</v>
      </c>
      <c r="R930" s="2" t="inlineStr"/>
    </row>
    <row r="931" ht="15" customHeight="1">
      <c r="A931" t="inlineStr">
        <is>
          <t>A 58602-2025</t>
        </is>
      </c>
      <c r="B931" s="1" t="n">
        <v>45986.42805555555</v>
      </c>
      <c r="C931" s="1" t="n">
        <v>45987</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43586-2024</t>
        </is>
      </c>
      <c r="B932" s="1" t="n">
        <v>45569</v>
      </c>
      <c r="C932" s="1" t="n">
        <v>45987</v>
      </c>
      <c r="D932" t="inlineStr">
        <is>
          <t>JÄMTLANDS LÄN</t>
        </is>
      </c>
      <c r="E932" t="inlineStr">
        <is>
          <t>HÄRJEDALEN</t>
        </is>
      </c>
      <c r="F932" t="inlineStr">
        <is>
          <t>Bergvik skog väst AB</t>
        </is>
      </c>
      <c r="G932" t="n">
        <v>96.2</v>
      </c>
      <c r="H932" t="n">
        <v>0</v>
      </c>
      <c r="I932" t="n">
        <v>0</v>
      </c>
      <c r="J932" t="n">
        <v>0</v>
      </c>
      <c r="K932" t="n">
        <v>0</v>
      </c>
      <c r="L932" t="n">
        <v>0</v>
      </c>
      <c r="M932" t="n">
        <v>0</v>
      </c>
      <c r="N932" t="n">
        <v>0</v>
      </c>
      <c r="O932" t="n">
        <v>0</v>
      </c>
      <c r="P932" t="n">
        <v>0</v>
      </c>
      <c r="Q932" t="n">
        <v>0</v>
      </c>
      <c r="R932" s="2" t="inlineStr"/>
    </row>
    <row r="933" ht="15" customHeight="1">
      <c r="A933" t="inlineStr">
        <is>
          <t>A 58431-2025</t>
        </is>
      </c>
      <c r="B933" s="1" t="n">
        <v>45985.60621527778</v>
      </c>
      <c r="C933" s="1" t="n">
        <v>45987</v>
      </c>
      <c r="D933" t="inlineStr">
        <is>
          <t>JÄMTLANDS LÄN</t>
        </is>
      </c>
      <c r="E933" t="inlineStr">
        <is>
          <t>HÄRJEDALEN</t>
        </is>
      </c>
      <c r="G933" t="n">
        <v>3.7</v>
      </c>
      <c r="H933" t="n">
        <v>0</v>
      </c>
      <c r="I933" t="n">
        <v>0</v>
      </c>
      <c r="J933" t="n">
        <v>0</v>
      </c>
      <c r="K933" t="n">
        <v>0</v>
      </c>
      <c r="L933" t="n">
        <v>0</v>
      </c>
      <c r="M933" t="n">
        <v>0</v>
      </c>
      <c r="N933" t="n">
        <v>0</v>
      </c>
      <c r="O933" t="n">
        <v>0</v>
      </c>
      <c r="P933" t="n">
        <v>0</v>
      </c>
      <c r="Q933" t="n">
        <v>0</v>
      </c>
      <c r="R933" s="2" t="inlineStr"/>
    </row>
    <row r="934" ht="15" customHeight="1">
      <c r="A934" t="inlineStr">
        <is>
          <t>A 47738-2022</t>
        </is>
      </c>
      <c r="B934" s="1" t="n">
        <v>44854</v>
      </c>
      <c r="C934" s="1" t="n">
        <v>45987</v>
      </c>
      <c r="D934" t="inlineStr">
        <is>
          <t>JÄMTLANDS LÄN</t>
        </is>
      </c>
      <c r="E934" t="inlineStr">
        <is>
          <t>HÄRJEDALEN</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6304-2024</t>
        </is>
      </c>
      <c r="B935" s="1" t="n">
        <v>45338</v>
      </c>
      <c r="C935" s="1" t="n">
        <v>45987</v>
      </c>
      <c r="D935" t="inlineStr">
        <is>
          <t>JÄMTLANDS LÄN</t>
        </is>
      </c>
      <c r="E935" t="inlineStr">
        <is>
          <t>HÄRJEDALEN</t>
        </is>
      </c>
      <c r="F935" t="inlineStr">
        <is>
          <t>Bergvik skog väst AB</t>
        </is>
      </c>
      <c r="G935" t="n">
        <v>23.5</v>
      </c>
      <c r="H935" t="n">
        <v>0</v>
      </c>
      <c r="I935" t="n">
        <v>0</v>
      </c>
      <c r="J935" t="n">
        <v>0</v>
      </c>
      <c r="K935" t="n">
        <v>0</v>
      </c>
      <c r="L935" t="n">
        <v>0</v>
      </c>
      <c r="M935" t="n">
        <v>0</v>
      </c>
      <c r="N935" t="n">
        <v>0</v>
      </c>
      <c r="O935" t="n">
        <v>0</v>
      </c>
      <c r="P935" t="n">
        <v>0</v>
      </c>
      <c r="Q935" t="n">
        <v>0</v>
      </c>
      <c r="R935" s="2" t="inlineStr"/>
    </row>
    <row r="936" ht="15" customHeight="1">
      <c r="A936" t="inlineStr">
        <is>
          <t>A 30729-2024</t>
        </is>
      </c>
      <c r="B936" s="1" t="n">
        <v>45496.59202546296</v>
      </c>
      <c r="C936" s="1" t="n">
        <v>45987</v>
      </c>
      <c r="D936" t="inlineStr">
        <is>
          <t>JÄMTLANDS LÄN</t>
        </is>
      </c>
      <c r="E936" t="inlineStr">
        <is>
          <t>HÄRJEDALEN</t>
        </is>
      </c>
      <c r="F936" t="inlineStr">
        <is>
          <t>Bergvik skog väst AB</t>
        </is>
      </c>
      <c r="G936" t="n">
        <v>5.9</v>
      </c>
      <c r="H936" t="n">
        <v>0</v>
      </c>
      <c r="I936" t="n">
        <v>0</v>
      </c>
      <c r="J936" t="n">
        <v>0</v>
      </c>
      <c r="K936" t="n">
        <v>0</v>
      </c>
      <c r="L936" t="n">
        <v>0</v>
      </c>
      <c r="M936" t="n">
        <v>0</v>
      </c>
      <c r="N936" t="n">
        <v>0</v>
      </c>
      <c r="O936" t="n">
        <v>0</v>
      </c>
      <c r="P936" t="n">
        <v>0</v>
      </c>
      <c r="Q936" t="n">
        <v>0</v>
      </c>
      <c r="R936" s="2" t="inlineStr"/>
    </row>
    <row r="937" ht="15" customHeight="1">
      <c r="A937" t="inlineStr">
        <is>
          <t>A 17291-2025</t>
        </is>
      </c>
      <c r="B937" s="1" t="n">
        <v>45756</v>
      </c>
      <c r="C937" s="1" t="n">
        <v>45987</v>
      </c>
      <c r="D937" t="inlineStr">
        <is>
          <t>JÄMTLANDS LÄN</t>
        </is>
      </c>
      <c r="E937" t="inlineStr">
        <is>
          <t>HÄRJEDALEN</t>
        </is>
      </c>
      <c r="G937" t="n">
        <v>7.1</v>
      </c>
      <c r="H937" t="n">
        <v>0</v>
      </c>
      <c r="I937" t="n">
        <v>0</v>
      </c>
      <c r="J937" t="n">
        <v>0</v>
      </c>
      <c r="K937" t="n">
        <v>0</v>
      </c>
      <c r="L937" t="n">
        <v>0</v>
      </c>
      <c r="M937" t="n">
        <v>0</v>
      </c>
      <c r="N937" t="n">
        <v>0</v>
      </c>
      <c r="O937" t="n">
        <v>0</v>
      </c>
      <c r="P937" t="n">
        <v>0</v>
      </c>
      <c r="Q937" t="n">
        <v>0</v>
      </c>
      <c r="R937" s="2" t="inlineStr"/>
    </row>
    <row r="938" ht="15" customHeight="1">
      <c r="A938" t="inlineStr">
        <is>
          <t>A 22499-2024</t>
        </is>
      </c>
      <c r="B938" s="1" t="n">
        <v>45447.35144675926</v>
      </c>
      <c r="C938" s="1" t="n">
        <v>45987</v>
      </c>
      <c r="D938" t="inlineStr">
        <is>
          <t>JÄMTLANDS LÄN</t>
        </is>
      </c>
      <c r="E938" t="inlineStr">
        <is>
          <t>HÄRJEDALEN</t>
        </is>
      </c>
      <c r="G938" t="n">
        <v>14.1</v>
      </c>
      <c r="H938" t="n">
        <v>0</v>
      </c>
      <c r="I938" t="n">
        <v>0</v>
      </c>
      <c r="J938" t="n">
        <v>0</v>
      </c>
      <c r="K938" t="n">
        <v>0</v>
      </c>
      <c r="L938" t="n">
        <v>0</v>
      </c>
      <c r="M938" t="n">
        <v>0</v>
      </c>
      <c r="N938" t="n">
        <v>0</v>
      </c>
      <c r="O938" t="n">
        <v>0</v>
      </c>
      <c r="P938" t="n">
        <v>0</v>
      </c>
      <c r="Q938" t="n">
        <v>0</v>
      </c>
      <c r="R938" s="2" t="inlineStr"/>
    </row>
    <row r="939" ht="15" customHeight="1">
      <c r="A939" t="inlineStr">
        <is>
          <t>A 19915-2023</t>
        </is>
      </c>
      <c r="B939" s="1" t="n">
        <v>45054</v>
      </c>
      <c r="C939" s="1" t="n">
        <v>45987</v>
      </c>
      <c r="D939" t="inlineStr">
        <is>
          <t>JÄMTLANDS LÄN</t>
        </is>
      </c>
      <c r="E939" t="inlineStr">
        <is>
          <t>HÄRJEDALEN</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18144-2025</t>
        </is>
      </c>
      <c r="B940" s="1" t="n">
        <v>45761.61501157407</v>
      </c>
      <c r="C940" s="1" t="n">
        <v>45987</v>
      </c>
      <c r="D940" t="inlineStr">
        <is>
          <t>JÄMTLANDS LÄN</t>
        </is>
      </c>
      <c r="E940" t="inlineStr">
        <is>
          <t>HÄRJEDALEN</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59125-2024</t>
        </is>
      </c>
      <c r="B941" s="1" t="n">
        <v>45637.39587962963</v>
      </c>
      <c r="C941" s="1" t="n">
        <v>45987</v>
      </c>
      <c r="D941" t="inlineStr">
        <is>
          <t>JÄMTLANDS LÄN</t>
        </is>
      </c>
      <c r="E941" t="inlineStr">
        <is>
          <t>HÄRJEDALEN</t>
        </is>
      </c>
      <c r="F941" t="inlineStr">
        <is>
          <t>Bergvik skog väst AB</t>
        </is>
      </c>
      <c r="G941" t="n">
        <v>7.3</v>
      </c>
      <c r="H941" t="n">
        <v>0</v>
      </c>
      <c r="I941" t="n">
        <v>0</v>
      </c>
      <c r="J941" t="n">
        <v>0</v>
      </c>
      <c r="K941" t="n">
        <v>0</v>
      </c>
      <c r="L941" t="n">
        <v>0</v>
      </c>
      <c r="M941" t="n">
        <v>0</v>
      </c>
      <c r="N941" t="n">
        <v>0</v>
      </c>
      <c r="O941" t="n">
        <v>0</v>
      </c>
      <c r="P941" t="n">
        <v>0</v>
      </c>
      <c r="Q941" t="n">
        <v>0</v>
      </c>
      <c r="R941" s="2" t="inlineStr"/>
    </row>
    <row r="942" ht="15" customHeight="1">
      <c r="A942" t="inlineStr">
        <is>
          <t>A 41101-2024</t>
        </is>
      </c>
      <c r="B942" s="1" t="n">
        <v>45559.43645833333</v>
      </c>
      <c r="C942" s="1" t="n">
        <v>45987</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33096-2024</t>
        </is>
      </c>
      <c r="B943" s="1" t="n">
        <v>45517.69590277778</v>
      </c>
      <c r="C943" s="1" t="n">
        <v>45987</v>
      </c>
      <c r="D943" t="inlineStr">
        <is>
          <t>JÄMTLANDS LÄN</t>
        </is>
      </c>
      <c r="E943" t="inlineStr">
        <is>
          <t>HÄRJEDALEN</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48198-2024</t>
        </is>
      </c>
      <c r="B944" s="1" t="n">
        <v>45590.31899305555</v>
      </c>
      <c r="C944" s="1" t="n">
        <v>45987</v>
      </c>
      <c r="D944" t="inlineStr">
        <is>
          <t>JÄMTLANDS LÄN</t>
        </is>
      </c>
      <c r="E944" t="inlineStr">
        <is>
          <t>HÄRJEDALEN</t>
        </is>
      </c>
      <c r="G944" t="n">
        <v>1.9</v>
      </c>
      <c r="H944" t="n">
        <v>0</v>
      </c>
      <c r="I944" t="n">
        <v>0</v>
      </c>
      <c r="J944" t="n">
        <v>0</v>
      </c>
      <c r="K944" t="n">
        <v>0</v>
      </c>
      <c r="L944" t="n">
        <v>0</v>
      </c>
      <c r="M944" t="n">
        <v>0</v>
      </c>
      <c r="N944" t="n">
        <v>0</v>
      </c>
      <c r="O944" t="n">
        <v>0</v>
      </c>
      <c r="P944" t="n">
        <v>0</v>
      </c>
      <c r="Q944" t="n">
        <v>0</v>
      </c>
      <c r="R944" s="2" t="inlineStr"/>
    </row>
    <row r="945" ht="15" customHeight="1">
      <c r="A945" t="inlineStr">
        <is>
          <t>A 60006-2024</t>
        </is>
      </c>
      <c r="B945" s="1" t="n">
        <v>45642.41907407407</v>
      </c>
      <c r="C945" s="1" t="n">
        <v>45987</v>
      </c>
      <c r="D945" t="inlineStr">
        <is>
          <t>JÄMTLANDS LÄN</t>
        </is>
      </c>
      <c r="E945" t="inlineStr">
        <is>
          <t>HÄRJEDALEN</t>
        </is>
      </c>
      <c r="G945" t="n">
        <v>7.3</v>
      </c>
      <c r="H945" t="n">
        <v>0</v>
      </c>
      <c r="I945" t="n">
        <v>0</v>
      </c>
      <c r="J945" t="n">
        <v>0</v>
      </c>
      <c r="K945" t="n">
        <v>0</v>
      </c>
      <c r="L945" t="n">
        <v>0</v>
      </c>
      <c r="M945" t="n">
        <v>0</v>
      </c>
      <c r="N945" t="n">
        <v>0</v>
      </c>
      <c r="O945" t="n">
        <v>0</v>
      </c>
      <c r="P945" t="n">
        <v>0</v>
      </c>
      <c r="Q945" t="n">
        <v>0</v>
      </c>
      <c r="R945" s="2" t="inlineStr"/>
    </row>
    <row r="946" ht="15" customHeight="1">
      <c r="A946" t="inlineStr">
        <is>
          <t>A 19353-2023</t>
        </is>
      </c>
      <c r="B946" s="1" t="n">
        <v>45049.59826388889</v>
      </c>
      <c r="C946" s="1" t="n">
        <v>45987</v>
      </c>
      <c r="D946" t="inlineStr">
        <is>
          <t>JÄMTLANDS LÄN</t>
        </is>
      </c>
      <c r="E946" t="inlineStr">
        <is>
          <t>HÄRJEDALEN</t>
        </is>
      </c>
      <c r="G946" t="n">
        <v>3.9</v>
      </c>
      <c r="H946" t="n">
        <v>0</v>
      </c>
      <c r="I946" t="n">
        <v>0</v>
      </c>
      <c r="J946" t="n">
        <v>0</v>
      </c>
      <c r="K946" t="n">
        <v>0</v>
      </c>
      <c r="L946" t="n">
        <v>0</v>
      </c>
      <c r="M946" t="n">
        <v>0</v>
      </c>
      <c r="N946" t="n">
        <v>0</v>
      </c>
      <c r="O946" t="n">
        <v>0</v>
      </c>
      <c r="P946" t="n">
        <v>0</v>
      </c>
      <c r="Q946" t="n">
        <v>0</v>
      </c>
      <c r="R946" s="2" t="inlineStr"/>
    </row>
    <row r="947" ht="15" customHeight="1">
      <c r="A947" t="inlineStr">
        <is>
          <t>A 3965-2025</t>
        </is>
      </c>
      <c r="B947" s="1" t="n">
        <v>45684.51006944444</v>
      </c>
      <c r="C947" s="1" t="n">
        <v>45987</v>
      </c>
      <c r="D947" t="inlineStr">
        <is>
          <t>JÄMTLANDS LÄN</t>
        </is>
      </c>
      <c r="E947" t="inlineStr">
        <is>
          <t>HÄRJEDALEN</t>
        </is>
      </c>
      <c r="G947" t="n">
        <v>1.3</v>
      </c>
      <c r="H947" t="n">
        <v>0</v>
      </c>
      <c r="I947" t="n">
        <v>0</v>
      </c>
      <c r="J947" t="n">
        <v>0</v>
      </c>
      <c r="K947" t="n">
        <v>0</v>
      </c>
      <c r="L947" t="n">
        <v>0</v>
      </c>
      <c r="M947" t="n">
        <v>0</v>
      </c>
      <c r="N947" t="n">
        <v>0</v>
      </c>
      <c r="O947" t="n">
        <v>0</v>
      </c>
      <c r="P947" t="n">
        <v>0</v>
      </c>
      <c r="Q947" t="n">
        <v>0</v>
      </c>
      <c r="R947" s="2" t="inlineStr"/>
    </row>
    <row r="948" ht="15" customHeight="1">
      <c r="A948" t="inlineStr">
        <is>
          <t>A 45705-2024</t>
        </is>
      </c>
      <c r="B948" s="1" t="n">
        <v>45579.57390046296</v>
      </c>
      <c r="C948" s="1" t="n">
        <v>45987</v>
      </c>
      <c r="D948" t="inlineStr">
        <is>
          <t>JÄMTLANDS LÄN</t>
        </is>
      </c>
      <c r="E948" t="inlineStr">
        <is>
          <t>HÄRJEDALEN</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13081-2022</t>
        </is>
      </c>
      <c r="B949" s="1" t="n">
        <v>44643.81518518519</v>
      </c>
      <c r="C949" s="1" t="n">
        <v>45987</v>
      </c>
      <c r="D949" t="inlineStr">
        <is>
          <t>JÄMTLANDS LÄN</t>
        </is>
      </c>
      <c r="E949" t="inlineStr">
        <is>
          <t>HÄRJEDALEN</t>
        </is>
      </c>
      <c r="G949" t="n">
        <v>1</v>
      </c>
      <c r="H949" t="n">
        <v>0</v>
      </c>
      <c r="I949" t="n">
        <v>0</v>
      </c>
      <c r="J949" t="n">
        <v>0</v>
      </c>
      <c r="K949" t="n">
        <v>0</v>
      </c>
      <c r="L949" t="n">
        <v>0</v>
      </c>
      <c r="M949" t="n">
        <v>0</v>
      </c>
      <c r="N949" t="n">
        <v>0</v>
      </c>
      <c r="O949" t="n">
        <v>0</v>
      </c>
      <c r="P949" t="n">
        <v>0</v>
      </c>
      <c r="Q949" t="n">
        <v>0</v>
      </c>
      <c r="R949" s="2" t="inlineStr"/>
    </row>
    <row r="950" ht="15" customHeight="1">
      <c r="A950" t="inlineStr">
        <is>
          <t>A 12462-2023</t>
        </is>
      </c>
      <c r="B950" s="1" t="n">
        <v>44999.60127314815</v>
      </c>
      <c r="C950" s="1" t="n">
        <v>45987</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2855-2021</t>
        </is>
      </c>
      <c r="B951" s="1" t="n">
        <v>44216</v>
      </c>
      <c r="C951" s="1" t="n">
        <v>45987</v>
      </c>
      <c r="D951" t="inlineStr">
        <is>
          <t>JÄMTLANDS LÄN</t>
        </is>
      </c>
      <c r="E951" t="inlineStr">
        <is>
          <t>HÄRJEDALEN</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44955-2024</t>
        </is>
      </c>
      <c r="B952" s="1" t="n">
        <v>45575</v>
      </c>
      <c r="C952" s="1" t="n">
        <v>45987</v>
      </c>
      <c r="D952" t="inlineStr">
        <is>
          <t>JÄMTLANDS LÄN</t>
        </is>
      </c>
      <c r="E952" t="inlineStr">
        <is>
          <t>HÄRJEDALEN</t>
        </is>
      </c>
      <c r="G952" t="n">
        <v>0.4</v>
      </c>
      <c r="H952" t="n">
        <v>0</v>
      </c>
      <c r="I952" t="n">
        <v>0</v>
      </c>
      <c r="J952" t="n">
        <v>0</v>
      </c>
      <c r="K952" t="n">
        <v>0</v>
      </c>
      <c r="L952" t="n">
        <v>0</v>
      </c>
      <c r="M952" t="n">
        <v>0</v>
      </c>
      <c r="N952" t="n">
        <v>0</v>
      </c>
      <c r="O952" t="n">
        <v>0</v>
      </c>
      <c r="P952" t="n">
        <v>0</v>
      </c>
      <c r="Q952" t="n">
        <v>0</v>
      </c>
      <c r="R952" s="2" t="inlineStr"/>
    </row>
    <row r="953" ht="15" customHeight="1">
      <c r="A953" t="inlineStr">
        <is>
          <t>A 54331-2021</t>
        </is>
      </c>
      <c r="B953" s="1" t="n">
        <v>44472</v>
      </c>
      <c r="C953" s="1" t="n">
        <v>45987</v>
      </c>
      <c r="D953" t="inlineStr">
        <is>
          <t>JÄMTLANDS LÄN</t>
        </is>
      </c>
      <c r="E953" t="inlineStr">
        <is>
          <t>HÄRJEDALEN</t>
        </is>
      </c>
      <c r="G953" t="n">
        <v>0.7</v>
      </c>
      <c r="H953" t="n">
        <v>0</v>
      </c>
      <c r="I953" t="n">
        <v>0</v>
      </c>
      <c r="J953" t="n">
        <v>0</v>
      </c>
      <c r="K953" t="n">
        <v>0</v>
      </c>
      <c r="L953" t="n">
        <v>0</v>
      </c>
      <c r="M953" t="n">
        <v>0</v>
      </c>
      <c r="N953" t="n">
        <v>0</v>
      </c>
      <c r="O953" t="n">
        <v>0</v>
      </c>
      <c r="P953" t="n">
        <v>0</v>
      </c>
      <c r="Q953" t="n">
        <v>0</v>
      </c>
      <c r="R953" s="2" t="inlineStr"/>
    </row>
    <row r="954" ht="15" customHeight="1">
      <c r="A954" t="inlineStr">
        <is>
          <t>A 59424-2023</t>
        </is>
      </c>
      <c r="B954" s="1" t="n">
        <v>45254</v>
      </c>
      <c r="C954" s="1" t="n">
        <v>45987</v>
      </c>
      <c r="D954" t="inlineStr">
        <is>
          <t>JÄMTLANDS LÄN</t>
        </is>
      </c>
      <c r="E954" t="inlineStr">
        <is>
          <t>HÄRJEDALEN</t>
        </is>
      </c>
      <c r="G954" t="n">
        <v>3.3</v>
      </c>
      <c r="H954" t="n">
        <v>0</v>
      </c>
      <c r="I954" t="n">
        <v>0</v>
      </c>
      <c r="J954" t="n">
        <v>0</v>
      </c>
      <c r="K954" t="n">
        <v>0</v>
      </c>
      <c r="L954" t="n">
        <v>0</v>
      </c>
      <c r="M954" t="n">
        <v>0</v>
      </c>
      <c r="N954" t="n">
        <v>0</v>
      </c>
      <c r="O954" t="n">
        <v>0</v>
      </c>
      <c r="P954" t="n">
        <v>0</v>
      </c>
      <c r="Q954" t="n">
        <v>0</v>
      </c>
      <c r="R954" s="2" t="inlineStr"/>
    </row>
    <row r="955" ht="15" customHeight="1">
      <c r="A955" t="inlineStr">
        <is>
          <t>A 7313-2024</t>
        </is>
      </c>
      <c r="B955" s="1" t="n">
        <v>45345.35003472222</v>
      </c>
      <c r="C955" s="1" t="n">
        <v>45987</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36645-2024</t>
        </is>
      </c>
      <c r="B956" s="1" t="n">
        <v>45537.60471064815</v>
      </c>
      <c r="C956" s="1" t="n">
        <v>45987</v>
      </c>
      <c r="D956" t="inlineStr">
        <is>
          <t>JÄMTLANDS LÄN</t>
        </is>
      </c>
      <c r="E956" t="inlineStr">
        <is>
          <t>HÄRJEDALEN</t>
        </is>
      </c>
      <c r="F956" t="inlineStr">
        <is>
          <t>Holmen skog AB</t>
        </is>
      </c>
      <c r="G956" t="n">
        <v>16.8</v>
      </c>
      <c r="H956" t="n">
        <v>0</v>
      </c>
      <c r="I956" t="n">
        <v>0</v>
      </c>
      <c r="J956" t="n">
        <v>0</v>
      </c>
      <c r="K956" t="n">
        <v>0</v>
      </c>
      <c r="L956" t="n">
        <v>0</v>
      </c>
      <c r="M956" t="n">
        <v>0</v>
      </c>
      <c r="N956" t="n">
        <v>0</v>
      </c>
      <c r="O956" t="n">
        <v>0</v>
      </c>
      <c r="P956" t="n">
        <v>0</v>
      </c>
      <c r="Q956" t="n">
        <v>0</v>
      </c>
      <c r="R956" s="2" t="inlineStr"/>
    </row>
    <row r="957" ht="15" customHeight="1">
      <c r="A957" t="inlineStr">
        <is>
          <t>A 19100-2025</t>
        </is>
      </c>
      <c r="B957" s="1" t="n">
        <v>45768.29630787037</v>
      </c>
      <c r="C957" s="1" t="n">
        <v>45987</v>
      </c>
      <c r="D957" t="inlineStr">
        <is>
          <t>JÄMTLANDS LÄN</t>
        </is>
      </c>
      <c r="E957" t="inlineStr">
        <is>
          <t>HÄRJEDALEN</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19106-2025</t>
        </is>
      </c>
      <c r="B958" s="1" t="n">
        <v>45768.30954861111</v>
      </c>
      <c r="C958" s="1" t="n">
        <v>45987</v>
      </c>
      <c r="D958" t="inlineStr">
        <is>
          <t>JÄMTLANDS LÄN</t>
        </is>
      </c>
      <c r="E958" t="inlineStr">
        <is>
          <t>HÄRJEDALEN</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63546-2023</t>
        </is>
      </c>
      <c r="B959" s="1" t="n">
        <v>45275</v>
      </c>
      <c r="C959" s="1" t="n">
        <v>45987</v>
      </c>
      <c r="D959" t="inlineStr">
        <is>
          <t>JÄMTLANDS LÄN</t>
        </is>
      </c>
      <c r="E959" t="inlineStr">
        <is>
          <t>HÄRJEDALEN</t>
        </is>
      </c>
      <c r="G959" t="n">
        <v>4.5</v>
      </c>
      <c r="H959" t="n">
        <v>0</v>
      </c>
      <c r="I959" t="n">
        <v>0</v>
      </c>
      <c r="J959" t="n">
        <v>0</v>
      </c>
      <c r="K959" t="n">
        <v>0</v>
      </c>
      <c r="L959" t="n">
        <v>0</v>
      </c>
      <c r="M959" t="n">
        <v>0</v>
      </c>
      <c r="N959" t="n">
        <v>0</v>
      </c>
      <c r="O959" t="n">
        <v>0</v>
      </c>
      <c r="P959" t="n">
        <v>0</v>
      </c>
      <c r="Q959" t="n">
        <v>0</v>
      </c>
      <c r="R959" s="2" t="inlineStr"/>
    </row>
    <row r="960" ht="15" customHeight="1">
      <c r="A960" t="inlineStr">
        <is>
          <t>A 43294-2024</t>
        </is>
      </c>
      <c r="B960" s="1" t="n">
        <v>45568</v>
      </c>
      <c r="C960" s="1" t="n">
        <v>45987</v>
      </c>
      <c r="D960" t="inlineStr">
        <is>
          <t>JÄMTLANDS LÄN</t>
        </is>
      </c>
      <c r="E960" t="inlineStr">
        <is>
          <t>HÄRJEDALEN</t>
        </is>
      </c>
      <c r="F960" t="inlineStr">
        <is>
          <t>SCA</t>
        </is>
      </c>
      <c r="G960" t="n">
        <v>18.5</v>
      </c>
      <c r="H960" t="n">
        <v>0</v>
      </c>
      <c r="I960" t="n">
        <v>0</v>
      </c>
      <c r="J960" t="n">
        <v>0</v>
      </c>
      <c r="K960" t="n">
        <v>0</v>
      </c>
      <c r="L960" t="n">
        <v>0</v>
      </c>
      <c r="M960" t="n">
        <v>0</v>
      </c>
      <c r="N960" t="n">
        <v>0</v>
      </c>
      <c r="O960" t="n">
        <v>0</v>
      </c>
      <c r="P960" t="n">
        <v>0</v>
      </c>
      <c r="Q960" t="n">
        <v>0</v>
      </c>
      <c r="R960" s="2" t="inlineStr"/>
    </row>
    <row r="961" ht="15" customHeight="1">
      <c r="A961" t="inlineStr">
        <is>
          <t>A 62641-2022</t>
        </is>
      </c>
      <c r="B961" s="1" t="n">
        <v>44925</v>
      </c>
      <c r="C961" s="1" t="n">
        <v>45987</v>
      </c>
      <c r="D961" t="inlineStr">
        <is>
          <t>JÄMTLANDS LÄN</t>
        </is>
      </c>
      <c r="E961" t="inlineStr">
        <is>
          <t>HÄRJEDALEN</t>
        </is>
      </c>
      <c r="G961" t="n">
        <v>2.7</v>
      </c>
      <c r="H961" t="n">
        <v>0</v>
      </c>
      <c r="I961" t="n">
        <v>0</v>
      </c>
      <c r="J961" t="n">
        <v>0</v>
      </c>
      <c r="K961" t="n">
        <v>0</v>
      </c>
      <c r="L961" t="n">
        <v>0</v>
      </c>
      <c r="M961" t="n">
        <v>0</v>
      </c>
      <c r="N961" t="n">
        <v>0</v>
      </c>
      <c r="O961" t="n">
        <v>0</v>
      </c>
      <c r="P961" t="n">
        <v>0</v>
      </c>
      <c r="Q961" t="n">
        <v>0</v>
      </c>
      <c r="R961" s="2" t="inlineStr"/>
    </row>
    <row r="962" ht="15" customHeight="1">
      <c r="A962" t="inlineStr">
        <is>
          <t>A 25500-2022</t>
        </is>
      </c>
      <c r="B962" s="1" t="n">
        <v>44732</v>
      </c>
      <c r="C962" s="1" t="n">
        <v>45987</v>
      </c>
      <c r="D962" t="inlineStr">
        <is>
          <t>JÄMTLANDS LÄN</t>
        </is>
      </c>
      <c r="E962" t="inlineStr">
        <is>
          <t>HÄRJEDALEN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41401-2024</t>
        </is>
      </c>
      <c r="B963" s="1" t="n">
        <v>45560.33311342593</v>
      </c>
      <c r="C963" s="1" t="n">
        <v>45987</v>
      </c>
      <c r="D963" t="inlineStr">
        <is>
          <t>JÄMTLANDS LÄN</t>
        </is>
      </c>
      <c r="E963" t="inlineStr">
        <is>
          <t>HÄRJEDALEN</t>
        </is>
      </c>
      <c r="F963" t="inlineStr">
        <is>
          <t>Bergvik skog väst AB</t>
        </is>
      </c>
      <c r="G963" t="n">
        <v>6.6</v>
      </c>
      <c r="H963" t="n">
        <v>0</v>
      </c>
      <c r="I963" t="n">
        <v>0</v>
      </c>
      <c r="J963" t="n">
        <v>0</v>
      </c>
      <c r="K963" t="n">
        <v>0</v>
      </c>
      <c r="L963" t="n">
        <v>0</v>
      </c>
      <c r="M963" t="n">
        <v>0</v>
      </c>
      <c r="N963" t="n">
        <v>0</v>
      </c>
      <c r="O963" t="n">
        <v>0</v>
      </c>
      <c r="P963" t="n">
        <v>0</v>
      </c>
      <c r="Q963" t="n">
        <v>0</v>
      </c>
      <c r="R963" s="2" t="inlineStr"/>
    </row>
    <row r="964" ht="15" customHeight="1">
      <c r="A964" t="inlineStr">
        <is>
          <t>A 37281-2024</t>
        </is>
      </c>
      <c r="B964" s="1" t="n">
        <v>45540.4264699074</v>
      </c>
      <c r="C964" s="1" t="n">
        <v>45987</v>
      </c>
      <c r="D964" t="inlineStr">
        <is>
          <t>JÄMTLANDS LÄN</t>
        </is>
      </c>
      <c r="E964" t="inlineStr">
        <is>
          <t>HÄRJEDALEN</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52798-2024</t>
        </is>
      </c>
      <c r="B965" s="1" t="n">
        <v>45610.56706018518</v>
      </c>
      <c r="C965" s="1" t="n">
        <v>45987</v>
      </c>
      <c r="D965" t="inlineStr">
        <is>
          <t>JÄMTLANDS LÄN</t>
        </is>
      </c>
      <c r="E965" t="inlineStr">
        <is>
          <t>HÄRJEDALEN</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10000-2023</t>
        </is>
      </c>
      <c r="B966" s="1" t="n">
        <v>44985</v>
      </c>
      <c r="C966" s="1" t="n">
        <v>45987</v>
      </c>
      <c r="D966" t="inlineStr">
        <is>
          <t>JÄMTLANDS LÄN</t>
        </is>
      </c>
      <c r="E966" t="inlineStr">
        <is>
          <t>HÄRJEDALEN</t>
        </is>
      </c>
      <c r="F966" t="inlineStr">
        <is>
          <t>Holmen skog AB</t>
        </is>
      </c>
      <c r="G966" t="n">
        <v>12.6</v>
      </c>
      <c r="H966" t="n">
        <v>0</v>
      </c>
      <c r="I966" t="n">
        <v>0</v>
      </c>
      <c r="J966" t="n">
        <v>0</v>
      </c>
      <c r="K966" t="n">
        <v>0</v>
      </c>
      <c r="L966" t="n">
        <v>0</v>
      </c>
      <c r="M966" t="n">
        <v>0</v>
      </c>
      <c r="N966" t="n">
        <v>0</v>
      </c>
      <c r="O966" t="n">
        <v>0</v>
      </c>
      <c r="P966" t="n">
        <v>0</v>
      </c>
      <c r="Q966" t="n">
        <v>0</v>
      </c>
      <c r="R966" s="2" t="inlineStr"/>
    </row>
    <row r="967" ht="15" customHeight="1">
      <c r="A967" t="inlineStr">
        <is>
          <t>A 58866-2023</t>
        </is>
      </c>
      <c r="B967" s="1" t="n">
        <v>45252.45481481482</v>
      </c>
      <c r="C967" s="1" t="n">
        <v>45987</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46499-2024</t>
        </is>
      </c>
      <c r="B968" s="1" t="n">
        <v>45582.59753472222</v>
      </c>
      <c r="C968" s="1" t="n">
        <v>45987</v>
      </c>
      <c r="D968" t="inlineStr">
        <is>
          <t>JÄMTLANDS LÄN</t>
        </is>
      </c>
      <c r="E968" t="inlineStr">
        <is>
          <t>HÄRJEDALEN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42143-2023</t>
        </is>
      </c>
      <c r="B969" s="1" t="n">
        <v>45177.9224537037</v>
      </c>
      <c r="C969" s="1" t="n">
        <v>45987</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58105-2024</t>
        </is>
      </c>
      <c r="B970" s="1" t="n">
        <v>45632</v>
      </c>
      <c r="C970" s="1" t="n">
        <v>45987</v>
      </c>
      <c r="D970" t="inlineStr">
        <is>
          <t>JÄMTLANDS LÄN</t>
        </is>
      </c>
      <c r="E970" t="inlineStr">
        <is>
          <t>HÄRJEDALEN</t>
        </is>
      </c>
      <c r="G970" t="n">
        <v>0.3</v>
      </c>
      <c r="H970" t="n">
        <v>0</v>
      </c>
      <c r="I970" t="n">
        <v>0</v>
      </c>
      <c r="J970" t="n">
        <v>0</v>
      </c>
      <c r="K970" t="n">
        <v>0</v>
      </c>
      <c r="L970" t="n">
        <v>0</v>
      </c>
      <c r="M970" t="n">
        <v>0</v>
      </c>
      <c r="N970" t="n">
        <v>0</v>
      </c>
      <c r="O970" t="n">
        <v>0</v>
      </c>
      <c r="P970" t="n">
        <v>0</v>
      </c>
      <c r="Q970" t="n">
        <v>0</v>
      </c>
      <c r="R970" s="2" t="inlineStr"/>
    </row>
    <row r="971" ht="15" customHeight="1">
      <c r="A971" t="inlineStr">
        <is>
          <t>A 56061-2024</t>
        </is>
      </c>
      <c r="B971" s="1" t="n">
        <v>45624.36858796296</v>
      </c>
      <c r="C971" s="1" t="n">
        <v>45987</v>
      </c>
      <c r="D971" t="inlineStr">
        <is>
          <t>JÄMTLANDS LÄN</t>
        </is>
      </c>
      <c r="E971" t="inlineStr">
        <is>
          <t>HÄRJEDALEN</t>
        </is>
      </c>
      <c r="G971" t="n">
        <v>7.9</v>
      </c>
      <c r="H971" t="n">
        <v>0</v>
      </c>
      <c r="I971" t="n">
        <v>0</v>
      </c>
      <c r="J971" t="n">
        <v>0</v>
      </c>
      <c r="K971" t="n">
        <v>0</v>
      </c>
      <c r="L971" t="n">
        <v>0</v>
      </c>
      <c r="M971" t="n">
        <v>0</v>
      </c>
      <c r="N971" t="n">
        <v>0</v>
      </c>
      <c r="O971" t="n">
        <v>0</v>
      </c>
      <c r="P971" t="n">
        <v>0</v>
      </c>
      <c r="Q971" t="n">
        <v>0</v>
      </c>
      <c r="R971" s="2" t="inlineStr"/>
    </row>
    <row r="972" ht="15" customHeight="1">
      <c r="A972" t="inlineStr">
        <is>
          <t>A 59427-2024</t>
        </is>
      </c>
      <c r="B972" s="1" t="n">
        <v>45638.416875</v>
      </c>
      <c r="C972" s="1" t="n">
        <v>45987</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44987.35282407407</v>
      </c>
      <c r="C973" s="1" t="n">
        <v>45987</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20238-2025</t>
        </is>
      </c>
      <c r="B974" s="1" t="n">
        <v>45772.69290509259</v>
      </c>
      <c r="C974" s="1" t="n">
        <v>45987</v>
      </c>
      <c r="D974" t="inlineStr">
        <is>
          <t>JÄMTLANDS LÄN</t>
        </is>
      </c>
      <c r="E974" t="inlineStr">
        <is>
          <t>HÄRJEDALEN</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29774-2024</t>
        </is>
      </c>
      <c r="B975" s="1" t="n">
        <v>45485</v>
      </c>
      <c r="C975" s="1" t="n">
        <v>45987</v>
      </c>
      <c r="D975" t="inlineStr">
        <is>
          <t>JÄMTLANDS LÄN</t>
        </is>
      </c>
      <c r="E975" t="inlineStr">
        <is>
          <t>HÄRJEDALEN</t>
        </is>
      </c>
      <c r="G975" t="n">
        <v>4.5</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45987</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41058-2023</t>
        </is>
      </c>
      <c r="B977" s="1" t="n">
        <v>45173</v>
      </c>
      <c r="C977" s="1" t="n">
        <v>45987</v>
      </c>
      <c r="D977" t="inlineStr">
        <is>
          <t>JÄMTLANDS LÄN</t>
        </is>
      </c>
      <c r="E977" t="inlineStr">
        <is>
          <t>HÄRJEDALEN</t>
        </is>
      </c>
      <c r="G977" t="n">
        <v>6</v>
      </c>
      <c r="H977" t="n">
        <v>0</v>
      </c>
      <c r="I977" t="n">
        <v>0</v>
      </c>
      <c r="J977" t="n">
        <v>0</v>
      </c>
      <c r="K977" t="n">
        <v>0</v>
      </c>
      <c r="L977" t="n">
        <v>0</v>
      </c>
      <c r="M977" t="n">
        <v>0</v>
      </c>
      <c r="N977" t="n">
        <v>0</v>
      </c>
      <c r="O977" t="n">
        <v>0</v>
      </c>
      <c r="P977" t="n">
        <v>0</v>
      </c>
      <c r="Q977" t="n">
        <v>0</v>
      </c>
      <c r="R977" s="2" t="inlineStr"/>
    </row>
    <row r="978" ht="15" customHeight="1">
      <c r="A978" t="inlineStr">
        <is>
          <t>A 40569-2023</t>
        </is>
      </c>
      <c r="B978" s="1" t="n">
        <v>45170.4643287037</v>
      </c>
      <c r="C978" s="1" t="n">
        <v>45987</v>
      </c>
      <c r="D978" t="inlineStr">
        <is>
          <t>JÄMTLANDS LÄN</t>
        </is>
      </c>
      <c r="E978" t="inlineStr">
        <is>
          <t>HÄRJEDALEN</t>
        </is>
      </c>
      <c r="F978" t="inlineStr">
        <is>
          <t>Holmen skog AB</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59293-2024</t>
        </is>
      </c>
      <c r="B979" s="1" t="n">
        <v>45637</v>
      </c>
      <c r="C979" s="1" t="n">
        <v>45987</v>
      </c>
      <c r="D979" t="inlineStr">
        <is>
          <t>JÄMTLANDS LÄN</t>
        </is>
      </c>
      <c r="E979" t="inlineStr">
        <is>
          <t>HÄRJEDALEN</t>
        </is>
      </c>
      <c r="G979" t="n">
        <v>1.6</v>
      </c>
      <c r="H979" t="n">
        <v>0</v>
      </c>
      <c r="I979" t="n">
        <v>0</v>
      </c>
      <c r="J979" t="n">
        <v>0</v>
      </c>
      <c r="K979" t="n">
        <v>0</v>
      </c>
      <c r="L979" t="n">
        <v>0</v>
      </c>
      <c r="M979" t="n">
        <v>0</v>
      </c>
      <c r="N979" t="n">
        <v>0</v>
      </c>
      <c r="O979" t="n">
        <v>0</v>
      </c>
      <c r="P979" t="n">
        <v>0</v>
      </c>
      <c r="Q979" t="n">
        <v>0</v>
      </c>
      <c r="R979" s="2" t="inlineStr"/>
    </row>
    <row r="980" ht="15" customHeight="1">
      <c r="A980" t="inlineStr">
        <is>
          <t>A 28930-2024</t>
        </is>
      </c>
      <c r="B980" s="1" t="n">
        <v>45481.3330787037</v>
      </c>
      <c r="C980" s="1" t="n">
        <v>45987</v>
      </c>
      <c r="D980" t="inlineStr">
        <is>
          <t>JÄMTLANDS LÄN</t>
        </is>
      </c>
      <c r="E980" t="inlineStr">
        <is>
          <t>HÄRJEDALEN</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31588-2024</t>
        </is>
      </c>
      <c r="B981" s="1" t="n">
        <v>45506.36702546296</v>
      </c>
      <c r="C981" s="1" t="n">
        <v>45987</v>
      </c>
      <c r="D981" t="inlineStr">
        <is>
          <t>JÄMTLANDS LÄN</t>
        </is>
      </c>
      <c r="E981" t="inlineStr">
        <is>
          <t>HÄRJEDALEN</t>
        </is>
      </c>
      <c r="G981" t="n">
        <v>11</v>
      </c>
      <c r="H981" t="n">
        <v>0</v>
      </c>
      <c r="I981" t="n">
        <v>0</v>
      </c>
      <c r="J981" t="n">
        <v>0</v>
      </c>
      <c r="K981" t="n">
        <v>0</v>
      </c>
      <c r="L981" t="n">
        <v>0</v>
      </c>
      <c r="M981" t="n">
        <v>0</v>
      </c>
      <c r="N981" t="n">
        <v>0</v>
      </c>
      <c r="O981" t="n">
        <v>0</v>
      </c>
      <c r="P981" t="n">
        <v>0</v>
      </c>
      <c r="Q981" t="n">
        <v>0</v>
      </c>
      <c r="R981" s="2" t="inlineStr"/>
    </row>
    <row r="982" ht="15" customHeight="1">
      <c r="A982" t="inlineStr">
        <is>
          <t>A 31783-2024</t>
        </is>
      </c>
      <c r="B982" s="1" t="n">
        <v>45509</v>
      </c>
      <c r="C982" s="1" t="n">
        <v>45987</v>
      </c>
      <c r="D982" t="inlineStr">
        <is>
          <t>JÄMTLANDS LÄN</t>
        </is>
      </c>
      <c r="E982" t="inlineStr">
        <is>
          <t>HÄRJEDALEN</t>
        </is>
      </c>
      <c r="F982" t="inlineStr">
        <is>
          <t>Övriga statliga verk och myndigheter</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31834-2024</t>
        </is>
      </c>
      <c r="B983" s="1" t="n">
        <v>45509.6427662037</v>
      </c>
      <c r="C983" s="1" t="n">
        <v>45987</v>
      </c>
      <c r="D983" t="inlineStr">
        <is>
          <t>JÄMTLANDS LÄN</t>
        </is>
      </c>
      <c r="E983" t="inlineStr">
        <is>
          <t>HÄRJEDALEN</t>
        </is>
      </c>
      <c r="F983" t="inlineStr">
        <is>
          <t>Kommuner</t>
        </is>
      </c>
      <c r="G983" t="n">
        <v>5.2</v>
      </c>
      <c r="H983" t="n">
        <v>0</v>
      </c>
      <c r="I983" t="n">
        <v>0</v>
      </c>
      <c r="J983" t="n">
        <v>0</v>
      </c>
      <c r="K983" t="n">
        <v>0</v>
      </c>
      <c r="L983" t="n">
        <v>0</v>
      </c>
      <c r="M983" t="n">
        <v>0</v>
      </c>
      <c r="N983" t="n">
        <v>0</v>
      </c>
      <c r="O983" t="n">
        <v>0</v>
      </c>
      <c r="P983" t="n">
        <v>0</v>
      </c>
      <c r="Q983" t="n">
        <v>0</v>
      </c>
      <c r="R983" s="2" t="inlineStr"/>
    </row>
    <row r="984" ht="15" customHeight="1">
      <c r="A984" t="inlineStr">
        <is>
          <t>A 29343-2024</t>
        </is>
      </c>
      <c r="B984" s="1" t="n">
        <v>45483.47207175926</v>
      </c>
      <c r="C984" s="1" t="n">
        <v>45987</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48818-2024</t>
        </is>
      </c>
      <c r="B985" s="1" t="n">
        <v>45593.67809027778</v>
      </c>
      <c r="C985" s="1" t="n">
        <v>45987</v>
      </c>
      <c r="D985" t="inlineStr">
        <is>
          <t>JÄMTLANDS LÄN</t>
        </is>
      </c>
      <c r="E985" t="inlineStr">
        <is>
          <t>HÄRJEDALEN</t>
        </is>
      </c>
      <c r="G985" t="n">
        <v>0.1</v>
      </c>
      <c r="H985" t="n">
        <v>0</v>
      </c>
      <c r="I985" t="n">
        <v>0</v>
      </c>
      <c r="J985" t="n">
        <v>0</v>
      </c>
      <c r="K985" t="n">
        <v>0</v>
      </c>
      <c r="L985" t="n">
        <v>0</v>
      </c>
      <c r="M985" t="n">
        <v>0</v>
      </c>
      <c r="N985" t="n">
        <v>0</v>
      </c>
      <c r="O985" t="n">
        <v>0</v>
      </c>
      <c r="P985" t="n">
        <v>0</v>
      </c>
      <c r="Q985" t="n">
        <v>0</v>
      </c>
      <c r="R985" s="2" t="inlineStr"/>
    </row>
    <row r="986" ht="15" customHeight="1">
      <c r="A986" t="inlineStr">
        <is>
          <t>A 10959-2022</t>
        </is>
      </c>
      <c r="B986" s="1" t="n">
        <v>44628.36402777778</v>
      </c>
      <c r="C986" s="1" t="n">
        <v>45987</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60709-2024</t>
        </is>
      </c>
      <c r="B987" s="1" t="n">
        <v>45644.50141203704</v>
      </c>
      <c r="C987" s="1" t="n">
        <v>45987</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7362-2024</t>
        </is>
      </c>
      <c r="B988" s="1" t="n">
        <v>45345.47642361111</v>
      </c>
      <c r="C988" s="1" t="n">
        <v>45987</v>
      </c>
      <c r="D988" t="inlineStr">
        <is>
          <t>JÄMTLANDS LÄN</t>
        </is>
      </c>
      <c r="E988" t="inlineStr">
        <is>
          <t>HÄRJEDALEN</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7368-2024</t>
        </is>
      </c>
      <c r="B989" s="1" t="n">
        <v>45345.48181712963</v>
      </c>
      <c r="C989" s="1" t="n">
        <v>45987</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7371-2024</t>
        </is>
      </c>
      <c r="B990" s="1" t="n">
        <v>45345.4940625</v>
      </c>
      <c r="C990" s="1" t="n">
        <v>45987</v>
      </c>
      <c r="D990" t="inlineStr">
        <is>
          <t>JÄMTLANDS LÄN</t>
        </is>
      </c>
      <c r="E990" t="inlineStr">
        <is>
          <t>HÄRJEDALEN</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816-2025</t>
        </is>
      </c>
      <c r="B991" s="1" t="n">
        <v>45665.563125</v>
      </c>
      <c r="C991" s="1" t="n">
        <v>45987</v>
      </c>
      <c r="D991" t="inlineStr">
        <is>
          <t>JÄMTLANDS LÄN</t>
        </is>
      </c>
      <c r="E991" t="inlineStr">
        <is>
          <t>HÄRJEDALEN</t>
        </is>
      </c>
      <c r="F991" t="inlineStr">
        <is>
          <t>Bergvik skog väst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9784-2024</t>
        </is>
      </c>
      <c r="B992" s="1" t="n">
        <v>45362.67293981482</v>
      </c>
      <c r="C992" s="1" t="n">
        <v>45987</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53386-2024</t>
        </is>
      </c>
      <c r="B993" s="1" t="n">
        <v>45614.47960648148</v>
      </c>
      <c r="C993" s="1" t="n">
        <v>45987</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18389-2021</t>
        </is>
      </c>
      <c r="B994" s="1" t="n">
        <v>44305</v>
      </c>
      <c r="C994" s="1" t="n">
        <v>45987</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32962-2024</t>
        </is>
      </c>
      <c r="B995" s="1" t="n">
        <v>45517.38320601852</v>
      </c>
      <c r="C995" s="1" t="n">
        <v>45987</v>
      </c>
      <c r="D995" t="inlineStr">
        <is>
          <t>JÄMTLANDS LÄN</t>
        </is>
      </c>
      <c r="E995" t="inlineStr">
        <is>
          <t>HÄRJEDALEN</t>
        </is>
      </c>
      <c r="G995" t="n">
        <v>7</v>
      </c>
      <c r="H995" t="n">
        <v>0</v>
      </c>
      <c r="I995" t="n">
        <v>0</v>
      </c>
      <c r="J995" t="n">
        <v>0</v>
      </c>
      <c r="K995" t="n">
        <v>0</v>
      </c>
      <c r="L995" t="n">
        <v>0</v>
      </c>
      <c r="M995" t="n">
        <v>0</v>
      </c>
      <c r="N995" t="n">
        <v>0</v>
      </c>
      <c r="O995" t="n">
        <v>0</v>
      </c>
      <c r="P995" t="n">
        <v>0</v>
      </c>
      <c r="Q995" t="n">
        <v>0</v>
      </c>
      <c r="R995" s="2" t="inlineStr"/>
    </row>
    <row r="996" ht="15" customHeight="1">
      <c r="A996" t="inlineStr">
        <is>
          <t>A 7318-2024</t>
        </is>
      </c>
      <c r="B996" s="1" t="n">
        <v>45345</v>
      </c>
      <c r="C996" s="1" t="n">
        <v>45987</v>
      </c>
      <c r="D996" t="inlineStr">
        <is>
          <t>JÄMTLANDS LÄN</t>
        </is>
      </c>
      <c r="E996" t="inlineStr">
        <is>
          <t>HÄRJEDALEN</t>
        </is>
      </c>
      <c r="F996" t="inlineStr">
        <is>
          <t>Holmen skog AB</t>
        </is>
      </c>
      <c r="G996" t="n">
        <v>3.6</v>
      </c>
      <c r="H996" t="n">
        <v>0</v>
      </c>
      <c r="I996" t="n">
        <v>0</v>
      </c>
      <c r="J996" t="n">
        <v>0</v>
      </c>
      <c r="K996" t="n">
        <v>0</v>
      </c>
      <c r="L996" t="n">
        <v>0</v>
      </c>
      <c r="M996" t="n">
        <v>0</v>
      </c>
      <c r="N996" t="n">
        <v>0</v>
      </c>
      <c r="O996" t="n">
        <v>0</v>
      </c>
      <c r="P996" t="n">
        <v>0</v>
      </c>
      <c r="Q996" t="n">
        <v>0</v>
      </c>
      <c r="R996" s="2" t="inlineStr"/>
    </row>
    <row r="997" ht="15" customHeight="1">
      <c r="A997" t="inlineStr">
        <is>
          <t>A 60752-2024</t>
        </is>
      </c>
      <c r="B997" s="1" t="n">
        <v>45644.56674768519</v>
      </c>
      <c r="C997" s="1" t="n">
        <v>45987</v>
      </c>
      <c r="D997" t="inlineStr">
        <is>
          <t>JÄMTLANDS LÄN</t>
        </is>
      </c>
      <c r="E997" t="inlineStr">
        <is>
          <t>HÄRJEDALEN</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29749-2024</t>
        </is>
      </c>
      <c r="B998" s="1" t="n">
        <v>45485.42287037037</v>
      </c>
      <c r="C998" s="1" t="n">
        <v>45987</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29766-2024</t>
        </is>
      </c>
      <c r="B999" s="1" t="n">
        <v>45485</v>
      </c>
      <c r="C999" s="1" t="n">
        <v>45987</v>
      </c>
      <c r="D999" t="inlineStr">
        <is>
          <t>JÄMTLANDS LÄN</t>
        </is>
      </c>
      <c r="E999" t="inlineStr">
        <is>
          <t>HÄRJEDALEN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29768-2024</t>
        </is>
      </c>
      <c r="B1000" s="1" t="n">
        <v>45485.44258101852</v>
      </c>
      <c r="C1000" s="1" t="n">
        <v>45987</v>
      </c>
      <c r="D1000" t="inlineStr">
        <is>
          <t>JÄMTLANDS LÄN</t>
        </is>
      </c>
      <c r="E1000" t="inlineStr">
        <is>
          <t>HÄRJEDALEN</t>
        </is>
      </c>
      <c r="F1000" t="inlineStr">
        <is>
          <t>Holmen skog AB</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37719-2023</t>
        </is>
      </c>
      <c r="B1001" s="1" t="n">
        <v>45159.60288194445</v>
      </c>
      <c r="C1001" s="1" t="n">
        <v>45987</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51223-2024</t>
        </is>
      </c>
      <c r="B1002" s="1" t="n">
        <v>45603</v>
      </c>
      <c r="C1002" s="1" t="n">
        <v>45987</v>
      </c>
      <c r="D1002" t="inlineStr">
        <is>
          <t>JÄMTLANDS LÄN</t>
        </is>
      </c>
      <c r="E1002" t="inlineStr">
        <is>
          <t>HÄRJEDALEN</t>
        </is>
      </c>
      <c r="F1002" t="inlineStr">
        <is>
          <t>Holmen skog AB</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55859-2024</t>
        </is>
      </c>
      <c r="B1003" s="1" t="n">
        <v>45622</v>
      </c>
      <c r="C1003" s="1" t="n">
        <v>45987</v>
      </c>
      <c r="D1003" t="inlineStr">
        <is>
          <t>JÄMTLANDS LÄN</t>
        </is>
      </c>
      <c r="E1003" t="inlineStr">
        <is>
          <t>HÄRJEDALEN</t>
        </is>
      </c>
      <c r="F1003" t="inlineStr">
        <is>
          <t>Bergvik skog väst AB</t>
        </is>
      </c>
      <c r="G1003" t="n">
        <v>28.1</v>
      </c>
      <c r="H1003" t="n">
        <v>0</v>
      </c>
      <c r="I1003" t="n">
        <v>0</v>
      </c>
      <c r="J1003" t="n">
        <v>0</v>
      </c>
      <c r="K1003" t="n">
        <v>0</v>
      </c>
      <c r="L1003" t="n">
        <v>0</v>
      </c>
      <c r="M1003" t="n">
        <v>0</v>
      </c>
      <c r="N1003" t="n">
        <v>0</v>
      </c>
      <c r="O1003" t="n">
        <v>0</v>
      </c>
      <c r="P1003" t="n">
        <v>0</v>
      </c>
      <c r="Q1003" t="n">
        <v>0</v>
      </c>
      <c r="R1003" s="2" t="inlineStr"/>
    </row>
    <row r="1004" ht="15" customHeight="1">
      <c r="A1004" t="inlineStr">
        <is>
          <t>A 52565-2023</t>
        </is>
      </c>
      <c r="B1004" s="1" t="n">
        <v>45225.58005787037</v>
      </c>
      <c r="C1004" s="1" t="n">
        <v>45987</v>
      </c>
      <c r="D1004" t="inlineStr">
        <is>
          <t>JÄMTLANDS LÄN</t>
        </is>
      </c>
      <c r="E1004" t="inlineStr">
        <is>
          <t>HÄRJEDALEN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16535-2024</t>
        </is>
      </c>
      <c r="B1005" s="1" t="n">
        <v>45408</v>
      </c>
      <c r="C1005" s="1" t="n">
        <v>45987</v>
      </c>
      <c r="D1005" t="inlineStr">
        <is>
          <t>JÄMTLANDS LÄN</t>
        </is>
      </c>
      <c r="E1005" t="inlineStr">
        <is>
          <t>HÄRJEDALEN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62134-2024</t>
        </is>
      </c>
      <c r="B1006" s="1" t="n">
        <v>45646</v>
      </c>
      <c r="C1006" s="1" t="n">
        <v>45987</v>
      </c>
      <c r="D1006" t="inlineStr">
        <is>
          <t>JÄMTLANDS LÄN</t>
        </is>
      </c>
      <c r="E1006" t="inlineStr">
        <is>
          <t>HÄRJEDALEN</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8178-2024</t>
        </is>
      </c>
      <c r="B1007" s="1" t="n">
        <v>45350</v>
      </c>
      <c r="C1007" s="1" t="n">
        <v>45987</v>
      </c>
      <c r="D1007" t="inlineStr">
        <is>
          <t>JÄMTLANDS LÄN</t>
        </is>
      </c>
      <c r="E1007" t="inlineStr">
        <is>
          <t>HÄRJEDALEN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8215-2024</t>
        </is>
      </c>
      <c r="B1008" s="1" t="n">
        <v>45351</v>
      </c>
      <c r="C1008" s="1" t="n">
        <v>45987</v>
      </c>
      <c r="D1008" t="inlineStr">
        <is>
          <t>JÄMTLANDS LÄN</t>
        </is>
      </c>
      <c r="E1008" t="inlineStr">
        <is>
          <t>HÄRJEDALEN</t>
        </is>
      </c>
      <c r="G1008" t="n">
        <v>49.2</v>
      </c>
      <c r="H1008" t="n">
        <v>0</v>
      </c>
      <c r="I1008" t="n">
        <v>0</v>
      </c>
      <c r="J1008" t="n">
        <v>0</v>
      </c>
      <c r="K1008" t="n">
        <v>0</v>
      </c>
      <c r="L1008" t="n">
        <v>0</v>
      </c>
      <c r="M1008" t="n">
        <v>0</v>
      </c>
      <c r="N1008" t="n">
        <v>0</v>
      </c>
      <c r="O1008" t="n">
        <v>0</v>
      </c>
      <c r="P1008" t="n">
        <v>0</v>
      </c>
      <c r="Q1008" t="n">
        <v>0</v>
      </c>
      <c r="R1008" s="2" t="inlineStr"/>
    </row>
    <row r="1009" ht="15" customHeight="1">
      <c r="A1009" t="inlineStr">
        <is>
          <t>A 7311-2024</t>
        </is>
      </c>
      <c r="B1009" s="1" t="n">
        <v>45345.34219907408</v>
      </c>
      <c r="C1009" s="1" t="n">
        <v>45987</v>
      </c>
      <c r="D1009" t="inlineStr">
        <is>
          <t>JÄMTLANDS LÄN</t>
        </is>
      </c>
      <c r="E1009" t="inlineStr">
        <is>
          <t>HÄRJEDALEN</t>
        </is>
      </c>
      <c r="F1009" t="inlineStr">
        <is>
          <t>Holmen skog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12428-2025</t>
        </is>
      </c>
      <c r="B1010" s="1" t="n">
        <v>45730</v>
      </c>
      <c r="C1010" s="1" t="n">
        <v>45987</v>
      </c>
      <c r="D1010" t="inlineStr">
        <is>
          <t>JÄMTLANDS LÄN</t>
        </is>
      </c>
      <c r="E1010" t="inlineStr">
        <is>
          <t>HÄRJEDALEN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40567-2023</t>
        </is>
      </c>
      <c r="B1011" s="1" t="n">
        <v>45170.46134259259</v>
      </c>
      <c r="C1011" s="1" t="n">
        <v>45987</v>
      </c>
      <c r="D1011" t="inlineStr">
        <is>
          <t>JÄMTLANDS LÄN</t>
        </is>
      </c>
      <c r="E1011" t="inlineStr">
        <is>
          <t>HÄRJEDALEN</t>
        </is>
      </c>
      <c r="F1011" t="inlineStr">
        <is>
          <t>Holmen skog AB</t>
        </is>
      </c>
      <c r="G1011" t="n">
        <v>19.4</v>
      </c>
      <c r="H1011" t="n">
        <v>0</v>
      </c>
      <c r="I1011" t="n">
        <v>0</v>
      </c>
      <c r="J1011" t="n">
        <v>0</v>
      </c>
      <c r="K1011" t="n">
        <v>0</v>
      </c>
      <c r="L1011" t="n">
        <v>0</v>
      </c>
      <c r="M1011" t="n">
        <v>0</v>
      </c>
      <c r="N1011" t="n">
        <v>0</v>
      </c>
      <c r="O1011" t="n">
        <v>0</v>
      </c>
      <c r="P1011" t="n">
        <v>0</v>
      </c>
      <c r="Q1011" t="n">
        <v>0</v>
      </c>
      <c r="R1011" s="2" t="inlineStr"/>
    </row>
    <row r="1012" ht="15" customHeight="1">
      <c r="A1012" t="inlineStr">
        <is>
          <t>A 30435-2023</t>
        </is>
      </c>
      <c r="B1012" s="1" t="n">
        <v>45111</v>
      </c>
      <c r="C1012" s="1" t="n">
        <v>45987</v>
      </c>
      <c r="D1012" t="inlineStr">
        <is>
          <t>JÄMTLANDS LÄN</t>
        </is>
      </c>
      <c r="E1012" t="inlineStr">
        <is>
          <t>HÄRJEDALEN</t>
        </is>
      </c>
      <c r="G1012" t="n">
        <v>20</v>
      </c>
      <c r="H1012" t="n">
        <v>0</v>
      </c>
      <c r="I1012" t="n">
        <v>0</v>
      </c>
      <c r="J1012" t="n">
        <v>0</v>
      </c>
      <c r="K1012" t="n">
        <v>0</v>
      </c>
      <c r="L1012" t="n">
        <v>0</v>
      </c>
      <c r="M1012" t="n">
        <v>0</v>
      </c>
      <c r="N1012" t="n">
        <v>0</v>
      </c>
      <c r="O1012" t="n">
        <v>0</v>
      </c>
      <c r="P1012" t="n">
        <v>0</v>
      </c>
      <c r="Q1012" t="n">
        <v>0</v>
      </c>
      <c r="R1012" s="2" t="inlineStr"/>
    </row>
    <row r="1013" ht="15" customHeight="1">
      <c r="A1013" t="inlineStr">
        <is>
          <t>A 19098-2025</t>
        </is>
      </c>
      <c r="B1013" s="1" t="n">
        <v>45768.29289351852</v>
      </c>
      <c r="C1013" s="1" t="n">
        <v>45987</v>
      </c>
      <c r="D1013" t="inlineStr">
        <is>
          <t>JÄMTLANDS LÄN</t>
        </is>
      </c>
      <c r="E1013" t="inlineStr">
        <is>
          <t>HÄRJEDALEN</t>
        </is>
      </c>
      <c r="F1013" t="inlineStr">
        <is>
          <t>Sveaskog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19101-2025</t>
        </is>
      </c>
      <c r="B1014" s="1" t="n">
        <v>45768.30086805556</v>
      </c>
      <c r="C1014" s="1" t="n">
        <v>45987</v>
      </c>
      <c r="D1014" t="inlineStr">
        <is>
          <t>JÄMTLANDS LÄN</t>
        </is>
      </c>
      <c r="E1014" t="inlineStr">
        <is>
          <t>HÄRJEDALEN</t>
        </is>
      </c>
      <c r="F1014" t="inlineStr">
        <is>
          <t>Sveaskog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31958-2023</t>
        </is>
      </c>
      <c r="B1015" s="1" t="n">
        <v>45119.38675925926</v>
      </c>
      <c r="C1015" s="1" t="n">
        <v>45987</v>
      </c>
      <c r="D1015" t="inlineStr">
        <is>
          <t>JÄMTLANDS LÄN</t>
        </is>
      </c>
      <c r="E1015" t="inlineStr">
        <is>
          <t>HÄRJEDALEN</t>
        </is>
      </c>
      <c r="F1015" t="inlineStr">
        <is>
          <t>Bergvik skog väst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12468-2022</t>
        </is>
      </c>
      <c r="B1016" s="1" t="n">
        <v>44638.44958333333</v>
      </c>
      <c r="C1016" s="1" t="n">
        <v>45987</v>
      </c>
      <c r="D1016" t="inlineStr">
        <is>
          <t>JÄMTLANDS LÄN</t>
        </is>
      </c>
      <c r="E1016" t="inlineStr">
        <is>
          <t>HÄRJEDALEN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59946-2024</t>
        </is>
      </c>
      <c r="B1017" s="1" t="n">
        <v>45642.33616898148</v>
      </c>
      <c r="C1017" s="1" t="n">
        <v>45987</v>
      </c>
      <c r="D1017" t="inlineStr">
        <is>
          <t>JÄMTLANDS LÄN</t>
        </is>
      </c>
      <c r="E1017" t="inlineStr">
        <is>
          <t>HÄRJEDALEN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21054-2023</t>
        </is>
      </c>
      <c r="B1018" s="1" t="n">
        <v>45061.61002314815</v>
      </c>
      <c r="C1018" s="1" t="n">
        <v>45987</v>
      </c>
      <c r="D1018" t="inlineStr">
        <is>
          <t>JÄMTLANDS LÄN</t>
        </is>
      </c>
      <c r="E1018" t="inlineStr">
        <is>
          <t>HÄRJEDALEN</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18362-2025</t>
        </is>
      </c>
      <c r="B1019" s="1" t="n">
        <v>45762.55899305556</v>
      </c>
      <c r="C1019" s="1" t="n">
        <v>45987</v>
      </c>
      <c r="D1019" t="inlineStr">
        <is>
          <t>JÄMTLANDS LÄN</t>
        </is>
      </c>
      <c r="E1019" t="inlineStr">
        <is>
          <t>HÄRJEDALEN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53993-2023</t>
        </is>
      </c>
      <c r="B1020" s="1" t="n">
        <v>45231</v>
      </c>
      <c r="C1020" s="1" t="n">
        <v>45987</v>
      </c>
      <c r="D1020" t="inlineStr">
        <is>
          <t>JÄMTLANDS LÄN</t>
        </is>
      </c>
      <c r="E1020" t="inlineStr">
        <is>
          <t>HÄRJEDALEN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4155-2025</t>
        </is>
      </c>
      <c r="B1021" s="1" t="n">
        <v>45685.38901620371</v>
      </c>
      <c r="C1021" s="1" t="n">
        <v>45987</v>
      </c>
      <c r="D1021" t="inlineStr">
        <is>
          <t>JÄMTLANDS LÄN</t>
        </is>
      </c>
      <c r="E1021" t="inlineStr">
        <is>
          <t>HÄRJEDALEN</t>
        </is>
      </c>
      <c r="F1021" t="inlineStr">
        <is>
          <t>Bergvik skog väst AB</t>
        </is>
      </c>
      <c r="G1021" t="n">
        <v>22.2</v>
      </c>
      <c r="H1021" t="n">
        <v>0</v>
      </c>
      <c r="I1021" t="n">
        <v>0</v>
      </c>
      <c r="J1021" t="n">
        <v>0</v>
      </c>
      <c r="K1021" t="n">
        <v>0</v>
      </c>
      <c r="L1021" t="n">
        <v>0</v>
      </c>
      <c r="M1021" t="n">
        <v>0</v>
      </c>
      <c r="N1021" t="n">
        <v>0</v>
      </c>
      <c r="O1021" t="n">
        <v>0</v>
      </c>
      <c r="P1021" t="n">
        <v>0</v>
      </c>
      <c r="Q1021" t="n">
        <v>0</v>
      </c>
      <c r="R1021" s="2" t="inlineStr"/>
    </row>
    <row r="1022" ht="15" customHeight="1">
      <c r="A1022" t="inlineStr">
        <is>
          <t>A 2728-2025</t>
        </is>
      </c>
      <c r="B1022" s="1" t="n">
        <v>45677.44273148148</v>
      </c>
      <c r="C1022" s="1" t="n">
        <v>45987</v>
      </c>
      <c r="D1022" t="inlineStr">
        <is>
          <t>JÄMTLANDS LÄN</t>
        </is>
      </c>
      <c r="E1022" t="inlineStr">
        <is>
          <t>HÄRJEDALEN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21011-2024</t>
        </is>
      </c>
      <c r="B1023" s="1" t="n">
        <v>45439.62893518519</v>
      </c>
      <c r="C1023" s="1" t="n">
        <v>45987</v>
      </c>
      <c r="D1023" t="inlineStr">
        <is>
          <t>JÄMTLANDS LÄN</t>
        </is>
      </c>
      <c r="E1023" t="inlineStr">
        <is>
          <t>HÄRJEDALEN</t>
        </is>
      </c>
      <c r="G1023" t="n">
        <v>92.40000000000001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45864-2023</t>
        </is>
      </c>
      <c r="B1024" s="1" t="n">
        <v>45195.61476851852</v>
      </c>
      <c r="C1024" s="1" t="n">
        <v>45987</v>
      </c>
      <c r="D1024" t="inlineStr">
        <is>
          <t>JÄMTLANDS LÄN</t>
        </is>
      </c>
      <c r="E1024" t="inlineStr">
        <is>
          <t>HÄRJEDALEN</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56013-2023</t>
        </is>
      </c>
      <c r="B1025" s="1" t="n">
        <v>45240</v>
      </c>
      <c r="C1025" s="1" t="n">
        <v>45987</v>
      </c>
      <c r="D1025" t="inlineStr">
        <is>
          <t>JÄMTLANDS LÄN</t>
        </is>
      </c>
      <c r="E1025" t="inlineStr">
        <is>
          <t>HÄRJEDALEN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49969-2023</t>
        </is>
      </c>
      <c r="B1026" s="1" t="n">
        <v>45215</v>
      </c>
      <c r="C1026" s="1" t="n">
        <v>45987</v>
      </c>
      <c r="D1026" t="inlineStr">
        <is>
          <t>JÄMTLANDS LÄN</t>
        </is>
      </c>
      <c r="E1026" t="inlineStr">
        <is>
          <t>HÄRJEDALEN</t>
        </is>
      </c>
      <c r="G1026" t="n">
        <v>43.7</v>
      </c>
      <c r="H1026" t="n">
        <v>0</v>
      </c>
      <c r="I1026" t="n">
        <v>0</v>
      </c>
      <c r="J1026" t="n">
        <v>0</v>
      </c>
      <c r="K1026" t="n">
        <v>0</v>
      </c>
      <c r="L1026" t="n">
        <v>0</v>
      </c>
      <c r="M1026" t="n">
        <v>0</v>
      </c>
      <c r="N1026" t="n">
        <v>0</v>
      </c>
      <c r="O1026" t="n">
        <v>0</v>
      </c>
      <c r="P1026" t="n">
        <v>0</v>
      </c>
      <c r="Q1026" t="n">
        <v>0</v>
      </c>
      <c r="R1026" s="2" t="inlineStr"/>
    </row>
    <row r="1027" ht="15" customHeight="1">
      <c r="A1027" t="inlineStr">
        <is>
          <t>A 45999-2023</t>
        </is>
      </c>
      <c r="B1027" s="1" t="n">
        <v>45196</v>
      </c>
      <c r="C1027" s="1" t="n">
        <v>45987</v>
      </c>
      <c r="D1027" t="inlineStr">
        <is>
          <t>JÄMTLANDS LÄN</t>
        </is>
      </c>
      <c r="E1027" t="inlineStr">
        <is>
          <t>HÄRJEDALEN</t>
        </is>
      </c>
      <c r="F1027" t="inlineStr">
        <is>
          <t>Bergvik skog väst AB</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21767-2022</t>
        </is>
      </c>
      <c r="B1028" s="1" t="n">
        <v>44708.45504629629</v>
      </c>
      <c r="C1028" s="1" t="n">
        <v>45987</v>
      </c>
      <c r="D1028" t="inlineStr">
        <is>
          <t>JÄMTLANDS LÄN</t>
        </is>
      </c>
      <c r="E1028" t="inlineStr">
        <is>
          <t>HÄRJEDALEN</t>
        </is>
      </c>
      <c r="F1028" t="inlineStr">
        <is>
          <t>Holmen skog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21796-2022</t>
        </is>
      </c>
      <c r="B1029" s="1" t="n">
        <v>44708</v>
      </c>
      <c r="C1029" s="1" t="n">
        <v>45987</v>
      </c>
      <c r="D1029" t="inlineStr">
        <is>
          <t>JÄMTLANDS LÄN</t>
        </is>
      </c>
      <c r="E1029" t="inlineStr">
        <is>
          <t>HÄRJEDALEN</t>
        </is>
      </c>
      <c r="F1029" t="inlineStr">
        <is>
          <t>Holmen skog AB</t>
        </is>
      </c>
      <c r="G1029" t="n">
        <v>22.3</v>
      </c>
      <c r="H1029" t="n">
        <v>0</v>
      </c>
      <c r="I1029" t="n">
        <v>0</v>
      </c>
      <c r="J1029" t="n">
        <v>0</v>
      </c>
      <c r="K1029" t="n">
        <v>0</v>
      </c>
      <c r="L1029" t="n">
        <v>0</v>
      </c>
      <c r="M1029" t="n">
        <v>0</v>
      </c>
      <c r="N1029" t="n">
        <v>0</v>
      </c>
      <c r="O1029" t="n">
        <v>0</v>
      </c>
      <c r="P1029" t="n">
        <v>0</v>
      </c>
      <c r="Q1029" t="n">
        <v>0</v>
      </c>
      <c r="R1029" s="2" t="inlineStr"/>
    </row>
    <row r="1030" ht="15" customHeight="1">
      <c r="A1030" t="inlineStr">
        <is>
          <t>A 31811-2023</t>
        </is>
      </c>
      <c r="B1030" s="1" t="n">
        <v>45118.47491898148</v>
      </c>
      <c r="C1030" s="1" t="n">
        <v>45987</v>
      </c>
      <c r="D1030" t="inlineStr">
        <is>
          <t>JÄMTLANDS LÄN</t>
        </is>
      </c>
      <c r="E1030" t="inlineStr">
        <is>
          <t>HÄRJEDALEN</t>
        </is>
      </c>
      <c r="F1030" t="inlineStr">
        <is>
          <t>Bergvik skog väst AB</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50331-2023</t>
        </is>
      </c>
      <c r="B1031" s="1" t="n">
        <v>45216</v>
      </c>
      <c r="C1031" s="1" t="n">
        <v>45987</v>
      </c>
      <c r="D1031" t="inlineStr">
        <is>
          <t>JÄMTLANDS LÄN</t>
        </is>
      </c>
      <c r="E1031" t="inlineStr">
        <is>
          <t>HÄRJEDALEN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11877-2025</t>
        </is>
      </c>
      <c r="B1032" s="1" t="n">
        <v>45728.44329861111</v>
      </c>
      <c r="C1032" s="1" t="n">
        <v>45987</v>
      </c>
      <c r="D1032" t="inlineStr">
        <is>
          <t>JÄMTLANDS LÄN</t>
        </is>
      </c>
      <c r="E1032" t="inlineStr">
        <is>
          <t>HÄRJEDALEN</t>
        </is>
      </c>
      <c r="F1032" t="inlineStr">
        <is>
          <t>Bergvik skog väst AB</t>
        </is>
      </c>
      <c r="G1032" t="n">
        <v>11.2</v>
      </c>
      <c r="H1032" t="n">
        <v>0</v>
      </c>
      <c r="I1032" t="n">
        <v>0</v>
      </c>
      <c r="J1032" t="n">
        <v>0</v>
      </c>
      <c r="K1032" t="n">
        <v>0</v>
      </c>
      <c r="L1032" t="n">
        <v>0</v>
      </c>
      <c r="M1032" t="n">
        <v>0</v>
      </c>
      <c r="N1032" t="n">
        <v>0</v>
      </c>
      <c r="O1032" t="n">
        <v>0</v>
      </c>
      <c r="P1032" t="n">
        <v>0</v>
      </c>
      <c r="Q1032" t="n">
        <v>0</v>
      </c>
      <c r="R1032" s="2" t="inlineStr"/>
    </row>
    <row r="1033" ht="15" customHeight="1">
      <c r="A1033" t="inlineStr">
        <is>
          <t>A 11917-2025</t>
        </is>
      </c>
      <c r="B1033" s="1" t="n">
        <v>45728.49267361111</v>
      </c>
      <c r="C1033" s="1" t="n">
        <v>45987</v>
      </c>
      <c r="D1033" t="inlineStr">
        <is>
          <t>JÄMTLANDS LÄN</t>
        </is>
      </c>
      <c r="E1033" t="inlineStr">
        <is>
          <t>HÄRJEDALEN</t>
        </is>
      </c>
      <c r="F1033" t="inlineStr">
        <is>
          <t>Kommuner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31527-2024</t>
        </is>
      </c>
      <c r="B1034" s="1" t="n">
        <v>45505</v>
      </c>
      <c r="C1034" s="1" t="n">
        <v>45987</v>
      </c>
      <c r="D1034" t="inlineStr">
        <is>
          <t>JÄMTLANDS LÄN</t>
        </is>
      </c>
      <c r="E1034" t="inlineStr">
        <is>
          <t>HÄRJEDALEN</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61042-2024</t>
        </is>
      </c>
      <c r="B1035" s="1" t="n">
        <v>45645.47609953704</v>
      </c>
      <c r="C1035" s="1" t="n">
        <v>45987</v>
      </c>
      <c r="D1035" t="inlineStr">
        <is>
          <t>JÄMTLANDS LÄN</t>
        </is>
      </c>
      <c r="E1035" t="inlineStr">
        <is>
          <t>HÄRJEDALEN</t>
        </is>
      </c>
      <c r="F1035" t="inlineStr">
        <is>
          <t>Bergvik skog väst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2531-2021</t>
        </is>
      </c>
      <c r="B1036" s="1" t="n">
        <v>44214</v>
      </c>
      <c r="C1036" s="1" t="n">
        <v>45987</v>
      </c>
      <c r="D1036" t="inlineStr">
        <is>
          <t>JÄMTLANDS LÄN</t>
        </is>
      </c>
      <c r="E1036" t="inlineStr">
        <is>
          <t>HÄRJEDALEN</t>
        </is>
      </c>
      <c r="F1036" t="inlineStr">
        <is>
          <t>Holmen skog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48213-2023</t>
        </is>
      </c>
      <c r="B1037" s="1" t="n">
        <v>45205</v>
      </c>
      <c r="C1037" s="1" t="n">
        <v>45987</v>
      </c>
      <c r="D1037" t="inlineStr">
        <is>
          <t>JÄMTLANDS LÄN</t>
        </is>
      </c>
      <c r="E1037" t="inlineStr">
        <is>
          <t>HÄRJEDALEN</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53537-2024</t>
        </is>
      </c>
      <c r="B1038" s="1" t="n">
        <v>45614.62445601852</v>
      </c>
      <c r="C1038" s="1" t="n">
        <v>45987</v>
      </c>
      <c r="D1038" t="inlineStr">
        <is>
          <t>JÄMTLANDS LÄN</t>
        </is>
      </c>
      <c r="E1038" t="inlineStr">
        <is>
          <t>HÄRJEDALEN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24834-2022</t>
        </is>
      </c>
      <c r="B1039" s="1" t="n">
        <v>44728</v>
      </c>
      <c r="C1039" s="1" t="n">
        <v>45987</v>
      </c>
      <c r="D1039" t="inlineStr">
        <is>
          <t>JÄMTLANDS LÄN</t>
        </is>
      </c>
      <c r="E1039" t="inlineStr">
        <is>
          <t>HÄRJEDALEN</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1658-2025</t>
        </is>
      </c>
      <c r="B1040" s="1" t="n">
        <v>45670.66085648148</v>
      </c>
      <c r="C1040" s="1" t="n">
        <v>45987</v>
      </c>
      <c r="D1040" t="inlineStr">
        <is>
          <t>JÄMTLANDS LÄN</t>
        </is>
      </c>
      <c r="E1040" t="inlineStr">
        <is>
          <t>HÄRJEDALEN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46383-2023</t>
        </is>
      </c>
      <c r="B1041" s="1" t="n">
        <v>45197.46966435185</v>
      </c>
      <c r="C1041" s="1" t="n">
        <v>45987</v>
      </c>
      <c r="D1041" t="inlineStr">
        <is>
          <t>JÄMTLANDS LÄN</t>
        </is>
      </c>
      <c r="E1041" t="inlineStr">
        <is>
          <t>HÄRJEDALEN</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41955-2023</t>
        </is>
      </c>
      <c r="B1042" s="1" t="n">
        <v>45174</v>
      </c>
      <c r="C1042" s="1" t="n">
        <v>45987</v>
      </c>
      <c r="D1042" t="inlineStr">
        <is>
          <t>JÄMTLANDS LÄN</t>
        </is>
      </c>
      <c r="E1042" t="inlineStr">
        <is>
          <t>HÄRJEDALEN</t>
        </is>
      </c>
      <c r="G1042" t="n">
        <v>60.5</v>
      </c>
      <c r="H1042" t="n">
        <v>0</v>
      </c>
      <c r="I1042" t="n">
        <v>0</v>
      </c>
      <c r="J1042" t="n">
        <v>0</v>
      </c>
      <c r="K1042" t="n">
        <v>0</v>
      </c>
      <c r="L1042" t="n">
        <v>0</v>
      </c>
      <c r="M1042" t="n">
        <v>0</v>
      </c>
      <c r="N1042" t="n">
        <v>0</v>
      </c>
      <c r="O1042" t="n">
        <v>0</v>
      </c>
      <c r="P1042" t="n">
        <v>0</v>
      </c>
      <c r="Q1042" t="n">
        <v>0</v>
      </c>
      <c r="R1042" s="2" t="inlineStr"/>
    </row>
    <row r="1043" ht="15" customHeight="1">
      <c r="A1043" t="inlineStr">
        <is>
          <t>A 16517-2025</t>
        </is>
      </c>
      <c r="B1043" s="1" t="n">
        <v>45751.63266203704</v>
      </c>
      <c r="C1043" s="1" t="n">
        <v>45987</v>
      </c>
      <c r="D1043" t="inlineStr">
        <is>
          <t>JÄMTLANDS LÄN</t>
        </is>
      </c>
      <c r="E1043" t="inlineStr">
        <is>
          <t>HÄRJEDALEN</t>
        </is>
      </c>
      <c r="F1043" t="inlineStr">
        <is>
          <t>Övriga Aktiebolag</t>
        </is>
      </c>
      <c r="G1043" t="n">
        <v>18.6</v>
      </c>
      <c r="H1043" t="n">
        <v>0</v>
      </c>
      <c r="I1043" t="n">
        <v>0</v>
      </c>
      <c r="J1043" t="n">
        <v>0</v>
      </c>
      <c r="K1043" t="n">
        <v>0</v>
      </c>
      <c r="L1043" t="n">
        <v>0</v>
      </c>
      <c r="M1043" t="n">
        <v>0</v>
      </c>
      <c r="N1043" t="n">
        <v>0</v>
      </c>
      <c r="O1043" t="n">
        <v>0</v>
      </c>
      <c r="P1043" t="n">
        <v>0</v>
      </c>
      <c r="Q1043" t="n">
        <v>0</v>
      </c>
      <c r="R1043" s="2" t="inlineStr"/>
    </row>
    <row r="1044" ht="15" customHeight="1">
      <c r="A1044" t="inlineStr">
        <is>
          <t>A 55562-2023</t>
        </is>
      </c>
      <c r="B1044" s="1" t="n">
        <v>45238.64153935185</v>
      </c>
      <c r="C1044" s="1" t="n">
        <v>45987</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61751-2023</t>
        </is>
      </c>
      <c r="B1045" s="1" t="n">
        <v>45265</v>
      </c>
      <c r="C1045" s="1" t="n">
        <v>45987</v>
      </c>
      <c r="D1045" t="inlineStr">
        <is>
          <t>JÄMTLANDS LÄN</t>
        </is>
      </c>
      <c r="E1045" t="inlineStr">
        <is>
          <t>HÄRJEDALEN</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45716-2023</t>
        </is>
      </c>
      <c r="B1046" s="1" t="n">
        <v>45195.35877314815</v>
      </c>
      <c r="C1046" s="1" t="n">
        <v>45987</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45747-2023</t>
        </is>
      </c>
      <c r="B1047" s="1" t="n">
        <v>45195.3878125</v>
      </c>
      <c r="C1047" s="1" t="n">
        <v>45987</v>
      </c>
      <c r="D1047" t="inlineStr">
        <is>
          <t>JÄMTLANDS LÄN</t>
        </is>
      </c>
      <c r="E1047" t="inlineStr">
        <is>
          <t>HÄRJEDALEN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24494-2024</t>
        </is>
      </c>
      <c r="B1048" s="1" t="n">
        <v>45459</v>
      </c>
      <c r="C1048" s="1" t="n">
        <v>45987</v>
      </c>
      <c r="D1048" t="inlineStr">
        <is>
          <t>JÄMTLANDS LÄN</t>
        </is>
      </c>
      <c r="E1048" t="inlineStr">
        <is>
          <t>HÄRJEDALEN</t>
        </is>
      </c>
      <c r="G1048" t="n">
        <v>20.1</v>
      </c>
      <c r="H1048" t="n">
        <v>0</v>
      </c>
      <c r="I1048" t="n">
        <v>0</v>
      </c>
      <c r="J1048" t="n">
        <v>0</v>
      </c>
      <c r="K1048" t="n">
        <v>0</v>
      </c>
      <c r="L1048" t="n">
        <v>0</v>
      </c>
      <c r="M1048" t="n">
        <v>0</v>
      </c>
      <c r="N1048" t="n">
        <v>0</v>
      </c>
      <c r="O1048" t="n">
        <v>0</v>
      </c>
      <c r="P1048" t="n">
        <v>0</v>
      </c>
      <c r="Q1048" t="n">
        <v>0</v>
      </c>
      <c r="R1048" s="2" t="inlineStr"/>
    </row>
    <row r="1049" ht="15" customHeight="1">
      <c r="A1049" t="inlineStr">
        <is>
          <t>A 51017-2023</t>
        </is>
      </c>
      <c r="B1049" s="1" t="n">
        <v>45218.58609953704</v>
      </c>
      <c r="C1049" s="1" t="n">
        <v>45987</v>
      </c>
      <c r="D1049" t="inlineStr">
        <is>
          <t>JÄMTLANDS LÄN</t>
        </is>
      </c>
      <c r="E1049" t="inlineStr">
        <is>
          <t>HÄRJEDALEN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16552-2025</t>
        </is>
      </c>
      <c r="B1050" s="1" t="n">
        <v>45751.69827546296</v>
      </c>
      <c r="C1050" s="1" t="n">
        <v>45987</v>
      </c>
      <c r="D1050" t="inlineStr">
        <is>
          <t>JÄMTLANDS LÄN</t>
        </is>
      </c>
      <c r="E1050" t="inlineStr">
        <is>
          <t>HÄRJEDALEN</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10483-2025</t>
        </is>
      </c>
      <c r="B1051" s="1" t="n">
        <v>45721.33868055556</v>
      </c>
      <c r="C1051" s="1" t="n">
        <v>45987</v>
      </c>
      <c r="D1051" t="inlineStr">
        <is>
          <t>JÄMTLANDS LÄN</t>
        </is>
      </c>
      <c r="E1051" t="inlineStr">
        <is>
          <t>HÄRJEDALEN</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27512-2024</t>
        </is>
      </c>
      <c r="B1052" s="1" t="n">
        <v>45474.54432870371</v>
      </c>
      <c r="C1052" s="1" t="n">
        <v>45987</v>
      </c>
      <c r="D1052" t="inlineStr">
        <is>
          <t>JÄMTLANDS LÄN</t>
        </is>
      </c>
      <c r="E1052" t="inlineStr">
        <is>
          <t>HÄRJEDALEN</t>
        </is>
      </c>
      <c r="G1052" t="n">
        <v>19.3</v>
      </c>
      <c r="H1052" t="n">
        <v>0</v>
      </c>
      <c r="I1052" t="n">
        <v>0</v>
      </c>
      <c r="J1052" t="n">
        <v>0</v>
      </c>
      <c r="K1052" t="n">
        <v>0</v>
      </c>
      <c r="L1052" t="n">
        <v>0</v>
      </c>
      <c r="M1052" t="n">
        <v>0</v>
      </c>
      <c r="N1052" t="n">
        <v>0</v>
      </c>
      <c r="O1052" t="n">
        <v>0</v>
      </c>
      <c r="P1052" t="n">
        <v>0</v>
      </c>
      <c r="Q1052" t="n">
        <v>0</v>
      </c>
      <c r="R1052" s="2" t="inlineStr"/>
    </row>
    <row r="1053" ht="15" customHeight="1">
      <c r="A1053" t="inlineStr">
        <is>
          <t>A 24426-2022</t>
        </is>
      </c>
      <c r="B1053" s="1" t="n">
        <v>44726</v>
      </c>
      <c r="C1053" s="1" t="n">
        <v>45987</v>
      </c>
      <c r="D1053" t="inlineStr">
        <is>
          <t>JÄMTLANDS LÄN</t>
        </is>
      </c>
      <c r="E1053" t="inlineStr">
        <is>
          <t>HÄRJEDALEN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41146-2021</t>
        </is>
      </c>
      <c r="B1054" s="1" t="n">
        <v>44423</v>
      </c>
      <c r="C1054" s="1" t="n">
        <v>45987</v>
      </c>
      <c r="D1054" t="inlineStr">
        <is>
          <t>JÄMTLANDS LÄN</t>
        </is>
      </c>
      <c r="E1054" t="inlineStr">
        <is>
          <t>HÄRJEDALEN</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67821-2020</t>
        </is>
      </c>
      <c r="B1055" s="1" t="n">
        <v>44182</v>
      </c>
      <c r="C1055" s="1" t="n">
        <v>45987</v>
      </c>
      <c r="D1055" t="inlineStr">
        <is>
          <t>JÄMTLANDS LÄN</t>
        </is>
      </c>
      <c r="E1055" t="inlineStr">
        <is>
          <t>HÄRJEDALEN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16014-2022</t>
        </is>
      </c>
      <c r="B1056" s="1" t="n">
        <v>44665</v>
      </c>
      <c r="C1056" s="1" t="n">
        <v>45987</v>
      </c>
      <c r="D1056" t="inlineStr">
        <is>
          <t>JÄMTLANDS LÄN</t>
        </is>
      </c>
      <c r="E1056" t="inlineStr">
        <is>
          <t>HÄRJEDALEN</t>
        </is>
      </c>
      <c r="G1056" t="n">
        <v>38.7</v>
      </c>
      <c r="H1056" t="n">
        <v>0</v>
      </c>
      <c r="I1056" t="n">
        <v>0</v>
      </c>
      <c r="J1056" t="n">
        <v>0</v>
      </c>
      <c r="K1056" t="n">
        <v>0</v>
      </c>
      <c r="L1056" t="n">
        <v>0</v>
      </c>
      <c r="M1056" t="n">
        <v>0</v>
      </c>
      <c r="N1056" t="n">
        <v>0</v>
      </c>
      <c r="O1056" t="n">
        <v>0</v>
      </c>
      <c r="P1056" t="n">
        <v>0</v>
      </c>
      <c r="Q1056" t="n">
        <v>0</v>
      </c>
      <c r="R1056" s="2" t="inlineStr"/>
    </row>
    <row r="1057" ht="15" customHeight="1">
      <c r="A1057" t="inlineStr">
        <is>
          <t>A 41094-2023</t>
        </is>
      </c>
      <c r="B1057" s="1" t="n">
        <v>45173</v>
      </c>
      <c r="C1057" s="1" t="n">
        <v>45987</v>
      </c>
      <c r="D1057" t="inlineStr">
        <is>
          <t>JÄMTLANDS LÄN</t>
        </is>
      </c>
      <c r="E1057" t="inlineStr">
        <is>
          <t>HÄRJEDALEN</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11096-2025</t>
        </is>
      </c>
      <c r="B1058" s="1" t="n">
        <v>45723.58140046296</v>
      </c>
      <c r="C1058" s="1" t="n">
        <v>45987</v>
      </c>
      <c r="D1058" t="inlineStr">
        <is>
          <t>JÄMTLANDS LÄN</t>
        </is>
      </c>
      <c r="E1058" t="inlineStr">
        <is>
          <t>HÄRJEDALEN</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57202-2023</t>
        </is>
      </c>
      <c r="B1059" s="1" t="n">
        <v>45245</v>
      </c>
      <c r="C1059" s="1" t="n">
        <v>45987</v>
      </c>
      <c r="D1059" t="inlineStr">
        <is>
          <t>JÄMTLANDS LÄN</t>
        </is>
      </c>
      <c r="E1059" t="inlineStr">
        <is>
          <t>HÄRJEDALEN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5273-2021</t>
        </is>
      </c>
      <c r="B1060" s="1" t="n">
        <v>44229</v>
      </c>
      <c r="C1060" s="1" t="n">
        <v>45987</v>
      </c>
      <c r="D1060" t="inlineStr">
        <is>
          <t>JÄMTLANDS LÄN</t>
        </is>
      </c>
      <c r="E1060" t="inlineStr">
        <is>
          <t>HÄRJEDALEN</t>
        </is>
      </c>
      <c r="F1060" t="inlineStr">
        <is>
          <t>Holmen skog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5283-2021</t>
        </is>
      </c>
      <c r="B1061" s="1" t="n">
        <v>44225</v>
      </c>
      <c r="C1061" s="1" t="n">
        <v>45987</v>
      </c>
      <c r="D1061" t="inlineStr">
        <is>
          <t>JÄMTLANDS LÄN</t>
        </is>
      </c>
      <c r="E1061" t="inlineStr">
        <is>
          <t>HÄRJEDALEN</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14752-2024</t>
        </is>
      </c>
      <c r="B1062" s="1" t="n">
        <v>45397.64855324074</v>
      </c>
      <c r="C1062" s="1" t="n">
        <v>45987</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39625-2022</t>
        </is>
      </c>
      <c r="B1063" s="1" t="n">
        <v>44818</v>
      </c>
      <c r="C1063" s="1" t="n">
        <v>45987</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57637-2024</t>
        </is>
      </c>
      <c r="B1064" s="1" t="n">
        <v>45630.5731712963</v>
      </c>
      <c r="C1064" s="1" t="n">
        <v>45987</v>
      </c>
      <c r="D1064" t="inlineStr">
        <is>
          <t>JÄMTLANDS LÄN</t>
        </is>
      </c>
      <c r="E1064" t="inlineStr">
        <is>
          <t>HÄRJEDALEN</t>
        </is>
      </c>
      <c r="F1064" t="inlineStr">
        <is>
          <t>Bergvik skog väst AB</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45118.3959375</v>
      </c>
      <c r="C1065" s="1" t="n">
        <v>45987</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12781-2025</t>
        </is>
      </c>
      <c r="B1066" s="1" t="n">
        <v>45733.59667824074</v>
      </c>
      <c r="C1066" s="1" t="n">
        <v>45987</v>
      </c>
      <c r="D1066" t="inlineStr">
        <is>
          <t>JÄMTLANDS LÄN</t>
        </is>
      </c>
      <c r="E1066" t="inlineStr">
        <is>
          <t>HÄRJEDALEN</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27812-2023</t>
        </is>
      </c>
      <c r="B1067" s="1" t="n">
        <v>45098.48666666666</v>
      </c>
      <c r="C1067" s="1" t="n">
        <v>45987</v>
      </c>
      <c r="D1067" t="inlineStr">
        <is>
          <t>JÄMTLANDS LÄN</t>
        </is>
      </c>
      <c r="E1067" t="inlineStr">
        <is>
          <t>HÄRJEDALEN</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62639-2022</t>
        </is>
      </c>
      <c r="B1068" s="1" t="n">
        <v>44925</v>
      </c>
      <c r="C1068" s="1" t="n">
        <v>45987</v>
      </c>
      <c r="D1068" t="inlineStr">
        <is>
          <t>JÄMTLANDS LÄN</t>
        </is>
      </c>
      <c r="E1068" t="inlineStr">
        <is>
          <t>HÄRJEDALEN</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30744-2024</t>
        </is>
      </c>
      <c r="B1069" s="1" t="n">
        <v>45496.67342592592</v>
      </c>
      <c r="C1069" s="1" t="n">
        <v>45987</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31747-2024</t>
        </is>
      </c>
      <c r="B1070" s="1" t="n">
        <v>45509</v>
      </c>
      <c r="C1070" s="1" t="n">
        <v>45987</v>
      </c>
      <c r="D1070" t="inlineStr">
        <is>
          <t>JÄMTLANDS LÄN</t>
        </is>
      </c>
      <c r="E1070" t="inlineStr">
        <is>
          <t>HÄRJEDALEN</t>
        </is>
      </c>
      <c r="F1070" t="inlineStr">
        <is>
          <t>Övriga statliga verk och myndigheter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5013-2023</t>
        </is>
      </c>
      <c r="B1071" s="1" t="n">
        <v>44958</v>
      </c>
      <c r="C1071" s="1" t="n">
        <v>45987</v>
      </c>
      <c r="D1071" t="inlineStr">
        <is>
          <t>JÄMTLANDS LÄN</t>
        </is>
      </c>
      <c r="E1071" t="inlineStr">
        <is>
          <t>HÄRJEDALEN</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14837-2025</t>
        </is>
      </c>
      <c r="B1072" s="1" t="n">
        <v>45743.38449074074</v>
      </c>
      <c r="C1072" s="1" t="n">
        <v>45987</v>
      </c>
      <c r="D1072" t="inlineStr">
        <is>
          <t>JÄMTLANDS LÄN</t>
        </is>
      </c>
      <c r="E1072" t="inlineStr">
        <is>
          <t>HÄRJEDALEN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4898-2025</t>
        </is>
      </c>
      <c r="B1073" s="1" t="n">
        <v>45688.67932870371</v>
      </c>
      <c r="C1073" s="1" t="n">
        <v>45987</v>
      </c>
      <c r="D1073" t="inlineStr">
        <is>
          <t>JÄMTLANDS LÄN</t>
        </is>
      </c>
      <c r="E1073" t="inlineStr">
        <is>
          <t>HÄRJEDALEN</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20341-2025</t>
        </is>
      </c>
      <c r="B1074" s="1" t="n">
        <v>45775.36587962963</v>
      </c>
      <c r="C1074" s="1" t="n">
        <v>45987</v>
      </c>
      <c r="D1074" t="inlineStr">
        <is>
          <t>JÄMTLANDS LÄN</t>
        </is>
      </c>
      <c r="E1074" t="inlineStr">
        <is>
          <t>HÄRJEDALEN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20342-2025</t>
        </is>
      </c>
      <c r="B1075" s="1" t="n">
        <v>45775.36589120371</v>
      </c>
      <c r="C1075" s="1" t="n">
        <v>45987</v>
      </c>
      <c r="D1075" t="inlineStr">
        <is>
          <t>JÄMTLANDS LÄN</t>
        </is>
      </c>
      <c r="E1075" t="inlineStr">
        <is>
          <t>HÄRJEDALEN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57373-2021</t>
        </is>
      </c>
      <c r="B1076" s="1" t="n">
        <v>44483</v>
      </c>
      <c r="C1076" s="1" t="n">
        <v>45987</v>
      </c>
      <c r="D1076" t="inlineStr">
        <is>
          <t>JÄMTLANDS LÄN</t>
        </is>
      </c>
      <c r="E1076" t="inlineStr">
        <is>
          <t>HÄRJEDALEN</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576-2025</t>
        </is>
      </c>
      <c r="B1077" s="1" t="n">
        <v>45664.56502314815</v>
      </c>
      <c r="C1077" s="1" t="n">
        <v>45987</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29536-2024</t>
        </is>
      </c>
      <c r="B1078" s="1" t="n">
        <v>45484.48854166667</v>
      </c>
      <c r="C1078" s="1" t="n">
        <v>45987</v>
      </c>
      <c r="D1078" t="inlineStr">
        <is>
          <t>JÄMTLANDS LÄN</t>
        </is>
      </c>
      <c r="E1078" t="inlineStr">
        <is>
          <t>HÄRJEDALEN</t>
        </is>
      </c>
      <c r="F1078" t="inlineStr">
        <is>
          <t>Holmen skog AB</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29935-2024</t>
        </is>
      </c>
      <c r="B1079" s="1" t="n">
        <v>45488</v>
      </c>
      <c r="C1079" s="1" t="n">
        <v>45987</v>
      </c>
      <c r="D1079" t="inlineStr">
        <is>
          <t>JÄMTLANDS LÄN</t>
        </is>
      </c>
      <c r="E1079" t="inlineStr">
        <is>
          <t>HÄRJEDALEN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48438-2022</t>
        </is>
      </c>
      <c r="B1080" s="1" t="n">
        <v>44858</v>
      </c>
      <c r="C1080" s="1" t="n">
        <v>45987</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65150-2023</t>
        </is>
      </c>
      <c r="B1081" s="1" t="n">
        <v>45288.58685185185</v>
      </c>
      <c r="C1081" s="1" t="n">
        <v>45987</v>
      </c>
      <c r="D1081" t="inlineStr">
        <is>
          <t>JÄMTLANDS LÄN</t>
        </is>
      </c>
      <c r="E1081" t="inlineStr">
        <is>
          <t>HÄRJEDALEN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38840-2024</t>
        </is>
      </c>
      <c r="B1082" s="1" t="n">
        <v>45547.59543981482</v>
      </c>
      <c r="C1082" s="1" t="n">
        <v>45987</v>
      </c>
      <c r="D1082" t="inlineStr">
        <is>
          <t>JÄMTLANDS LÄN</t>
        </is>
      </c>
      <c r="E1082" t="inlineStr">
        <is>
          <t>HÄRJEDALEN</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31816-2024</t>
        </is>
      </c>
      <c r="B1083" s="1" t="n">
        <v>45509.5980787037</v>
      </c>
      <c r="C1083" s="1" t="n">
        <v>45987</v>
      </c>
      <c r="D1083" t="inlineStr">
        <is>
          <t>JÄMTLANDS LÄN</t>
        </is>
      </c>
      <c r="E1083" t="inlineStr">
        <is>
          <t>HÄRJEDALEN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34453-2021</t>
        </is>
      </c>
      <c r="B1084" s="1" t="n">
        <v>44381</v>
      </c>
      <c r="C1084" s="1" t="n">
        <v>45987</v>
      </c>
      <c r="D1084" t="inlineStr">
        <is>
          <t>JÄMTLANDS LÄN</t>
        </is>
      </c>
      <c r="E1084" t="inlineStr">
        <is>
          <t>HÄRJEDALEN</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19105-2025</t>
        </is>
      </c>
      <c r="B1085" s="1" t="n">
        <v>45768.30814814815</v>
      </c>
      <c r="C1085" s="1" t="n">
        <v>45987</v>
      </c>
      <c r="D1085" t="inlineStr">
        <is>
          <t>JÄMTLANDS LÄN</t>
        </is>
      </c>
      <c r="E1085" t="inlineStr">
        <is>
          <t>HÄRJEDALEN</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62104-2024</t>
        </is>
      </c>
      <c r="B1086" s="1" t="n">
        <v>45656.51157407407</v>
      </c>
      <c r="C1086" s="1" t="n">
        <v>45987</v>
      </c>
      <c r="D1086" t="inlineStr">
        <is>
          <t>JÄMTLANDS LÄN</t>
        </is>
      </c>
      <c r="E1086" t="inlineStr">
        <is>
          <t>HÄRJEDALEN</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6001-2023</t>
        </is>
      </c>
      <c r="B1087" s="1" t="n">
        <v>44964</v>
      </c>
      <c r="C1087" s="1" t="n">
        <v>45987</v>
      </c>
      <c r="D1087" t="inlineStr">
        <is>
          <t>JÄMTLANDS LÄN</t>
        </is>
      </c>
      <c r="E1087" t="inlineStr">
        <is>
          <t>HÄRJEDALEN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62699-2022</t>
        </is>
      </c>
      <c r="B1088" s="1" t="n">
        <v>44925.59333333333</v>
      </c>
      <c r="C1088" s="1" t="n">
        <v>45987</v>
      </c>
      <c r="D1088" t="inlineStr">
        <is>
          <t>JÄMTLANDS LÄN</t>
        </is>
      </c>
      <c r="E1088" t="inlineStr">
        <is>
          <t>HÄRJEDALEN</t>
        </is>
      </c>
      <c r="F1088" t="inlineStr">
        <is>
          <t>Holmen skog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12929-2024</t>
        </is>
      </c>
      <c r="B1089" s="1" t="n">
        <v>45385</v>
      </c>
      <c r="C1089" s="1" t="n">
        <v>45987</v>
      </c>
      <c r="D1089" t="inlineStr">
        <is>
          <t>JÄMTLANDS LÄN</t>
        </is>
      </c>
      <c r="E1089" t="inlineStr">
        <is>
          <t>HÄRJEDALEN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2862-2021</t>
        </is>
      </c>
      <c r="B1090" s="1" t="n">
        <v>44216</v>
      </c>
      <c r="C1090" s="1" t="n">
        <v>45987</v>
      </c>
      <c r="D1090" t="inlineStr">
        <is>
          <t>JÄMTLANDS LÄN</t>
        </is>
      </c>
      <c r="E1090" t="inlineStr">
        <is>
          <t>HÄRJEDALEN</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64579-2020</t>
        </is>
      </c>
      <c r="B1091" s="1" t="n">
        <v>44169</v>
      </c>
      <c r="C1091" s="1" t="n">
        <v>45987</v>
      </c>
      <c r="D1091" t="inlineStr">
        <is>
          <t>JÄMTLANDS LÄN</t>
        </is>
      </c>
      <c r="E1091" t="inlineStr">
        <is>
          <t>HÄRJEDALEN</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10014-2023</t>
        </is>
      </c>
      <c r="B1092" s="1" t="n">
        <v>44985.61403935185</v>
      </c>
      <c r="C1092" s="1" t="n">
        <v>45987</v>
      </c>
      <c r="D1092" t="inlineStr">
        <is>
          <t>JÄMTLANDS LÄN</t>
        </is>
      </c>
      <c r="E1092" t="inlineStr">
        <is>
          <t>HÄRJEDALEN</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19863-2024</t>
        </is>
      </c>
      <c r="B1093" s="1" t="n">
        <v>45433</v>
      </c>
      <c r="C1093" s="1" t="n">
        <v>45987</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39158-2023</t>
        </is>
      </c>
      <c r="B1094" s="1" t="n">
        <v>45166.34795138889</v>
      </c>
      <c r="C1094" s="1" t="n">
        <v>45987</v>
      </c>
      <c r="D1094" t="inlineStr">
        <is>
          <t>JÄMTLANDS LÄN</t>
        </is>
      </c>
      <c r="E1094" t="inlineStr">
        <is>
          <t>HÄRJEDALEN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78-2023</t>
        </is>
      </c>
      <c r="B1095" s="1" t="n">
        <v>44928</v>
      </c>
      <c r="C1095" s="1" t="n">
        <v>45987</v>
      </c>
      <c r="D1095" t="inlineStr">
        <is>
          <t>JÄMTLANDS LÄN</t>
        </is>
      </c>
      <c r="E1095" t="inlineStr">
        <is>
          <t>HÄRJEDALEN</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10348-2023</t>
        </is>
      </c>
      <c r="B1096" s="1" t="n">
        <v>44987.35637731481</v>
      </c>
      <c r="C1096" s="1" t="n">
        <v>45987</v>
      </c>
      <c r="D1096" t="inlineStr">
        <is>
          <t>JÄMTLANDS LÄN</t>
        </is>
      </c>
      <c r="E1096" t="inlineStr">
        <is>
          <t>HÄRJEDALEN</t>
        </is>
      </c>
      <c r="F1096" t="inlineStr">
        <is>
          <t>Holmen skog AB</t>
        </is>
      </c>
      <c r="G1096" t="n">
        <v>17.8</v>
      </c>
      <c r="H1096" t="n">
        <v>0</v>
      </c>
      <c r="I1096" t="n">
        <v>0</v>
      </c>
      <c r="J1096" t="n">
        <v>0</v>
      </c>
      <c r="K1096" t="n">
        <v>0</v>
      </c>
      <c r="L1096" t="n">
        <v>0</v>
      </c>
      <c r="M1096" t="n">
        <v>0</v>
      </c>
      <c r="N1096" t="n">
        <v>0</v>
      </c>
      <c r="O1096" t="n">
        <v>0</v>
      </c>
      <c r="P1096" t="n">
        <v>0</v>
      </c>
      <c r="Q1096" t="n">
        <v>0</v>
      </c>
      <c r="R1096" s="2" t="inlineStr"/>
    </row>
    <row r="1097" ht="15" customHeight="1">
      <c r="A1097" t="inlineStr">
        <is>
          <t>A 10353-2023</t>
        </is>
      </c>
      <c r="B1097" s="1" t="n">
        <v>44987</v>
      </c>
      <c r="C1097" s="1" t="n">
        <v>45987</v>
      </c>
      <c r="D1097" t="inlineStr">
        <is>
          <t>JÄMTLANDS LÄN</t>
        </is>
      </c>
      <c r="E1097" t="inlineStr">
        <is>
          <t>HÄRJEDALEN</t>
        </is>
      </c>
      <c r="F1097" t="inlineStr">
        <is>
          <t>Holmen skog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1515-2025</t>
        </is>
      </c>
      <c r="B1098" s="1" t="n">
        <v>45670.4570949074</v>
      </c>
      <c r="C1098" s="1" t="n">
        <v>45987</v>
      </c>
      <c r="D1098" t="inlineStr">
        <is>
          <t>JÄMTLANDS LÄN</t>
        </is>
      </c>
      <c r="E1098" t="inlineStr">
        <is>
          <t>HÄRJEDALEN</t>
        </is>
      </c>
      <c r="F1098" t="inlineStr">
        <is>
          <t>Bergvik skog väst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28408-2024</t>
        </is>
      </c>
      <c r="B1099" s="1" t="n">
        <v>45477.62255787037</v>
      </c>
      <c r="C1099" s="1" t="n">
        <v>45987</v>
      </c>
      <c r="D1099" t="inlineStr">
        <is>
          <t>JÄMTLANDS LÄN</t>
        </is>
      </c>
      <c r="E1099" t="inlineStr">
        <is>
          <t>HÄRJEDALEN</t>
        </is>
      </c>
      <c r="F1099" t="inlineStr">
        <is>
          <t>Holmen skog AB</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56251-2024</t>
        </is>
      </c>
      <c r="B1100" s="1" t="n">
        <v>45624.63614583333</v>
      </c>
      <c r="C1100" s="1" t="n">
        <v>45987</v>
      </c>
      <c r="D1100" t="inlineStr">
        <is>
          <t>JÄMTLANDS LÄN</t>
        </is>
      </c>
      <c r="E1100" t="inlineStr">
        <is>
          <t>HÄRJEDALEN</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18646-2023</t>
        </is>
      </c>
      <c r="B1101" s="1" t="n">
        <v>45041</v>
      </c>
      <c r="C1101" s="1" t="n">
        <v>45987</v>
      </c>
      <c r="D1101" t="inlineStr">
        <is>
          <t>JÄMTLANDS LÄN</t>
        </is>
      </c>
      <c r="E1101" t="inlineStr">
        <is>
          <t>HÄRJEDALEN</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18659-2023</t>
        </is>
      </c>
      <c r="B1102" s="1" t="n">
        <v>45041</v>
      </c>
      <c r="C1102" s="1" t="n">
        <v>45987</v>
      </c>
      <c r="D1102" t="inlineStr">
        <is>
          <t>JÄMTLANDS LÄN</t>
        </is>
      </c>
      <c r="E1102" t="inlineStr">
        <is>
          <t>HÄRJEDALEN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73051-2021</t>
        </is>
      </c>
      <c r="B1103" s="1" t="n">
        <v>44550.39550925926</v>
      </c>
      <c r="C1103" s="1" t="n">
        <v>45987</v>
      </c>
      <c r="D1103" t="inlineStr">
        <is>
          <t>JÄMTLANDS LÄN</t>
        </is>
      </c>
      <c r="E1103" t="inlineStr">
        <is>
          <t>HÄRJEDALEN</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23358-2025</t>
        </is>
      </c>
      <c r="B1104" s="1" t="n">
        <v>45791</v>
      </c>
      <c r="C1104" s="1" t="n">
        <v>45987</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23731-2022</t>
        </is>
      </c>
      <c r="B1105" s="1" t="n">
        <v>44722</v>
      </c>
      <c r="C1105" s="1" t="n">
        <v>45987</v>
      </c>
      <c r="D1105" t="inlineStr">
        <is>
          <t>JÄMTLANDS LÄN</t>
        </is>
      </c>
      <c r="E1105" t="inlineStr">
        <is>
          <t>HÄRJEDALEN</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37054-2023</t>
        </is>
      </c>
      <c r="B1106" s="1" t="n">
        <v>45154</v>
      </c>
      <c r="C1106" s="1" t="n">
        <v>45987</v>
      </c>
      <c r="D1106" t="inlineStr">
        <is>
          <t>JÄMTLANDS LÄN</t>
        </is>
      </c>
      <c r="E1106" t="inlineStr">
        <is>
          <t>HÄRJEDALEN</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30743-2024</t>
        </is>
      </c>
      <c r="B1107" s="1" t="n">
        <v>45496.67178240741</v>
      </c>
      <c r="C1107" s="1" t="n">
        <v>45987</v>
      </c>
      <c r="D1107" t="inlineStr">
        <is>
          <t>JÄMTLANDS LÄN</t>
        </is>
      </c>
      <c r="E1107" t="inlineStr">
        <is>
          <t>HÄRJEDALEN</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64909-2023</t>
        </is>
      </c>
      <c r="B1108" s="1" t="n">
        <v>45282.64012731481</v>
      </c>
      <c r="C1108" s="1" t="n">
        <v>45987</v>
      </c>
      <c r="D1108" t="inlineStr">
        <is>
          <t>JÄMTLANDS LÄN</t>
        </is>
      </c>
      <c r="E1108" t="inlineStr">
        <is>
          <t>HÄRJEDALEN</t>
        </is>
      </c>
      <c r="F1108" t="inlineStr">
        <is>
          <t>Holmen skog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2336-2025</t>
        </is>
      </c>
      <c r="B1109" s="1" t="n">
        <v>45673.65925925926</v>
      </c>
      <c r="C1109" s="1" t="n">
        <v>45987</v>
      </c>
      <c r="D1109" t="inlineStr">
        <is>
          <t>JÄMTLANDS LÄN</t>
        </is>
      </c>
      <c r="E1109" t="inlineStr">
        <is>
          <t>HÄRJEDALEN</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18080-2024</t>
        </is>
      </c>
      <c r="B1110" s="1" t="n">
        <v>45420.44414351852</v>
      </c>
      <c r="C1110" s="1" t="n">
        <v>45987</v>
      </c>
      <c r="D1110" t="inlineStr">
        <is>
          <t>JÄMTLANDS LÄN</t>
        </is>
      </c>
      <c r="E1110" t="inlineStr">
        <is>
          <t>HÄRJEDALEN</t>
        </is>
      </c>
      <c r="F1110" t="inlineStr">
        <is>
          <t>Holmen skog AB</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2718-2025</t>
        </is>
      </c>
      <c r="B1111" s="1" t="n">
        <v>45677.43028935185</v>
      </c>
      <c r="C1111" s="1" t="n">
        <v>45987</v>
      </c>
      <c r="D1111" t="inlineStr">
        <is>
          <t>JÄMTLANDS LÄN</t>
        </is>
      </c>
      <c r="E1111" t="inlineStr">
        <is>
          <t>HÄRJEDALEN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50775-2021</t>
        </is>
      </c>
      <c r="B1112" s="1" t="n">
        <v>44460.44315972222</v>
      </c>
      <c r="C1112" s="1" t="n">
        <v>45987</v>
      </c>
      <c r="D1112" t="inlineStr">
        <is>
          <t>JÄMTLANDS LÄN</t>
        </is>
      </c>
      <c r="E1112" t="inlineStr">
        <is>
          <t>HÄRJEDALEN</t>
        </is>
      </c>
      <c r="F1112" t="inlineStr">
        <is>
          <t>Bergvik skog väst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55736-2023</t>
        </is>
      </c>
      <c r="B1113" s="1" t="n">
        <v>45239.43173611111</v>
      </c>
      <c r="C1113" s="1" t="n">
        <v>45987</v>
      </c>
      <c r="D1113" t="inlineStr">
        <is>
          <t>JÄMTLANDS LÄN</t>
        </is>
      </c>
      <c r="E1113" t="inlineStr">
        <is>
          <t>HÄRJEDALEN</t>
        </is>
      </c>
      <c r="F1113" t="inlineStr">
        <is>
          <t>Holmen skog AB</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56054-2024</t>
        </is>
      </c>
      <c r="B1114" s="1" t="n">
        <v>45624.36090277778</v>
      </c>
      <c r="C1114" s="1" t="n">
        <v>45987</v>
      </c>
      <c r="D1114" t="inlineStr">
        <is>
          <t>JÄMTLANDS LÄN</t>
        </is>
      </c>
      <c r="E1114" t="inlineStr">
        <is>
          <t>HÄRJEDALEN</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15747-2023</t>
        </is>
      </c>
      <c r="B1115" s="1" t="n">
        <v>45020</v>
      </c>
      <c r="C1115" s="1" t="n">
        <v>45987</v>
      </c>
      <c r="D1115" t="inlineStr">
        <is>
          <t>JÄMTLANDS LÄN</t>
        </is>
      </c>
      <c r="E1115" t="inlineStr">
        <is>
          <t>HÄRJEDALEN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52867-2022</t>
        </is>
      </c>
      <c r="B1116" s="1" t="n">
        <v>44872</v>
      </c>
      <c r="C1116" s="1" t="n">
        <v>45987</v>
      </c>
      <c r="D1116" t="inlineStr">
        <is>
          <t>JÄMTLANDS LÄN</t>
        </is>
      </c>
      <c r="E1116" t="inlineStr">
        <is>
          <t>HÄRJEDALEN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23186-2023</t>
        </is>
      </c>
      <c r="B1117" s="1" t="n">
        <v>45075.59358796296</v>
      </c>
      <c r="C1117" s="1" t="n">
        <v>45987</v>
      </c>
      <c r="D1117" t="inlineStr">
        <is>
          <t>JÄMTLANDS LÄN</t>
        </is>
      </c>
      <c r="E1117" t="inlineStr">
        <is>
          <t>HÄRJEDALEN</t>
        </is>
      </c>
      <c r="F1117" t="inlineStr">
        <is>
          <t>Bergvik skog väst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4221-2025</t>
        </is>
      </c>
      <c r="B1118" s="1" t="n">
        <v>45685.52405092592</v>
      </c>
      <c r="C1118" s="1" t="n">
        <v>45987</v>
      </c>
      <c r="D1118" t="inlineStr">
        <is>
          <t>JÄMTLANDS LÄN</t>
        </is>
      </c>
      <c r="E1118" t="inlineStr">
        <is>
          <t>HÄRJEDALEN</t>
        </is>
      </c>
      <c r="F1118" t="inlineStr">
        <is>
          <t>Bergvik skog väst AB</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4225-2025</t>
        </is>
      </c>
      <c r="B1119" s="1" t="n">
        <v>45685.5349074074</v>
      </c>
      <c r="C1119" s="1" t="n">
        <v>45987</v>
      </c>
      <c r="D1119" t="inlineStr">
        <is>
          <t>JÄMTLANDS LÄN</t>
        </is>
      </c>
      <c r="E1119" t="inlineStr">
        <is>
          <t>HÄRJEDALEN</t>
        </is>
      </c>
      <c r="F1119" t="inlineStr">
        <is>
          <t>Bergvik skog väst AB</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2106-2025</t>
        </is>
      </c>
      <c r="B1120" s="1" t="n">
        <v>45672.61748842592</v>
      </c>
      <c r="C1120" s="1" t="n">
        <v>45987</v>
      </c>
      <c r="D1120" t="inlineStr">
        <is>
          <t>JÄMTLANDS LÄN</t>
        </is>
      </c>
      <c r="E1120" t="inlineStr">
        <is>
          <t>HÄRJEDALEN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13723-2024</t>
        </is>
      </c>
      <c r="B1121" s="1" t="n">
        <v>45390</v>
      </c>
      <c r="C1121" s="1" t="n">
        <v>45987</v>
      </c>
      <c r="D1121" t="inlineStr">
        <is>
          <t>JÄMTLANDS LÄN</t>
        </is>
      </c>
      <c r="E1121" t="inlineStr">
        <is>
          <t>HÄRJEDALEN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13328-2025</t>
        </is>
      </c>
      <c r="B1122" s="1" t="n">
        <v>45735.60342592592</v>
      </c>
      <c r="C1122" s="1" t="n">
        <v>45987</v>
      </c>
      <c r="D1122" t="inlineStr">
        <is>
          <t>JÄMTLANDS LÄN</t>
        </is>
      </c>
      <c r="E1122" t="inlineStr">
        <is>
          <t>HÄRJEDALEN</t>
        </is>
      </c>
      <c r="G1122" t="n">
        <v>30.8</v>
      </c>
      <c r="H1122" t="n">
        <v>0</v>
      </c>
      <c r="I1122" t="n">
        <v>0</v>
      </c>
      <c r="J1122" t="n">
        <v>0</v>
      </c>
      <c r="K1122" t="n">
        <v>0</v>
      </c>
      <c r="L1122" t="n">
        <v>0</v>
      </c>
      <c r="M1122" t="n">
        <v>0</v>
      </c>
      <c r="N1122" t="n">
        <v>0</v>
      </c>
      <c r="O1122" t="n">
        <v>0</v>
      </c>
      <c r="P1122" t="n">
        <v>0</v>
      </c>
      <c r="Q1122" t="n">
        <v>0</v>
      </c>
      <c r="R1122" s="2" t="inlineStr"/>
    </row>
    <row r="1123" ht="15" customHeight="1">
      <c r="A1123" t="inlineStr">
        <is>
          <t>A 10004-2025</t>
        </is>
      </c>
      <c r="B1123" s="1" t="n">
        <v>45719.45277777778</v>
      </c>
      <c r="C1123" s="1" t="n">
        <v>45987</v>
      </c>
      <c r="D1123" t="inlineStr">
        <is>
          <t>JÄMTLANDS LÄN</t>
        </is>
      </c>
      <c r="E1123" t="inlineStr">
        <is>
          <t>HÄRJEDALEN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18542-2025</t>
        </is>
      </c>
      <c r="B1124" s="1" t="n">
        <v>45763.4178587963</v>
      </c>
      <c r="C1124" s="1" t="n">
        <v>45987</v>
      </c>
      <c r="D1124" t="inlineStr">
        <is>
          <t>JÄMTLANDS LÄN</t>
        </is>
      </c>
      <c r="E1124" t="inlineStr">
        <is>
          <t>HÄRJEDALEN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8136-2024</t>
        </is>
      </c>
      <c r="B1125" s="1" t="n">
        <v>45351</v>
      </c>
      <c r="C1125" s="1" t="n">
        <v>45987</v>
      </c>
      <c r="D1125" t="inlineStr">
        <is>
          <t>JÄMTLANDS LÄN</t>
        </is>
      </c>
      <c r="E1125" t="inlineStr">
        <is>
          <t>HÄRJEDALEN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44967-2024</t>
        </is>
      </c>
      <c r="B1126" s="1" t="n">
        <v>45575</v>
      </c>
      <c r="C1126" s="1" t="n">
        <v>45987</v>
      </c>
      <c r="D1126" t="inlineStr">
        <is>
          <t>JÄMTLANDS LÄN</t>
        </is>
      </c>
      <c r="E1126" t="inlineStr">
        <is>
          <t>HÄRJEDALEN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54079-2024</t>
        </is>
      </c>
      <c r="B1127" s="1" t="n">
        <v>45616.49530092593</v>
      </c>
      <c r="C1127" s="1" t="n">
        <v>45987</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36926-2023</t>
        </is>
      </c>
      <c r="B1128" s="1" t="n">
        <v>45154</v>
      </c>
      <c r="C1128" s="1" t="n">
        <v>45987</v>
      </c>
      <c r="D1128" t="inlineStr">
        <is>
          <t>JÄMTLANDS LÄN</t>
        </is>
      </c>
      <c r="E1128" t="inlineStr">
        <is>
          <t>HÄRJEDALEN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4752-2025</t>
        </is>
      </c>
      <c r="B1129" s="1" t="n">
        <v>45688.46570601852</v>
      </c>
      <c r="C1129" s="1" t="n">
        <v>45987</v>
      </c>
      <c r="D1129" t="inlineStr">
        <is>
          <t>JÄMTLANDS LÄN</t>
        </is>
      </c>
      <c r="E1129" t="inlineStr">
        <is>
          <t>HÄRJEDALEN</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60050-2024</t>
        </is>
      </c>
      <c r="B1130" s="1" t="n">
        <v>45642</v>
      </c>
      <c r="C1130" s="1" t="n">
        <v>45987</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29594-2024</t>
        </is>
      </c>
      <c r="B1131" s="1" t="n">
        <v>45484.58422453704</v>
      </c>
      <c r="C1131" s="1" t="n">
        <v>45987</v>
      </c>
      <c r="D1131" t="inlineStr">
        <is>
          <t>JÄMTLANDS LÄN</t>
        </is>
      </c>
      <c r="E1131" t="inlineStr">
        <is>
          <t>HÄRJEDALEN</t>
        </is>
      </c>
      <c r="F1131" t="inlineStr">
        <is>
          <t>Holmen skog AB</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11255-2024</t>
        </is>
      </c>
      <c r="B1132" s="1" t="n">
        <v>45371.66217592593</v>
      </c>
      <c r="C1132" s="1" t="n">
        <v>45987</v>
      </c>
      <c r="D1132" t="inlineStr">
        <is>
          <t>JÄMTLANDS LÄN</t>
        </is>
      </c>
      <c r="E1132" t="inlineStr">
        <is>
          <t>HÄRJEDALEN</t>
        </is>
      </c>
      <c r="F1132" t="inlineStr">
        <is>
          <t>Holmen skog AB</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55931-2022</t>
        </is>
      </c>
      <c r="B1133" s="1" t="n">
        <v>44886</v>
      </c>
      <c r="C1133" s="1" t="n">
        <v>45987</v>
      </c>
      <c r="D1133" t="inlineStr">
        <is>
          <t>JÄMTLANDS LÄN</t>
        </is>
      </c>
      <c r="E1133" t="inlineStr">
        <is>
          <t>HÄRJEDALEN</t>
        </is>
      </c>
      <c r="F1133" t="inlineStr">
        <is>
          <t>Övriga statliga verk och myndigheter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1361-2024</t>
        </is>
      </c>
      <c r="B1134" s="1" t="n">
        <v>45303.5047337963</v>
      </c>
      <c r="C1134" s="1" t="n">
        <v>45987</v>
      </c>
      <c r="D1134" t="inlineStr">
        <is>
          <t>JÄMTLANDS LÄN</t>
        </is>
      </c>
      <c r="E1134" t="inlineStr">
        <is>
          <t>HÄRJEDALEN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13297-2025</t>
        </is>
      </c>
      <c r="B1135" s="1" t="n">
        <v>45735.57390046296</v>
      </c>
      <c r="C1135" s="1" t="n">
        <v>45987</v>
      </c>
      <c r="D1135" t="inlineStr">
        <is>
          <t>JÄMTLANDS LÄN</t>
        </is>
      </c>
      <c r="E1135" t="inlineStr">
        <is>
          <t>HÄRJEDALEN</t>
        </is>
      </c>
      <c r="G1135" t="n">
        <v>24.7</v>
      </c>
      <c r="H1135" t="n">
        <v>0</v>
      </c>
      <c r="I1135" t="n">
        <v>0</v>
      </c>
      <c r="J1135" t="n">
        <v>0</v>
      </c>
      <c r="K1135" t="n">
        <v>0</v>
      </c>
      <c r="L1135" t="n">
        <v>0</v>
      </c>
      <c r="M1135" t="n">
        <v>0</v>
      </c>
      <c r="N1135" t="n">
        <v>0</v>
      </c>
      <c r="O1135" t="n">
        <v>0</v>
      </c>
      <c r="P1135" t="n">
        <v>0</v>
      </c>
      <c r="Q1135" t="n">
        <v>0</v>
      </c>
      <c r="R1135" s="2" t="inlineStr"/>
    </row>
    <row r="1136" ht="15" customHeight="1">
      <c r="A1136" t="inlineStr">
        <is>
          <t>A 31956-2023</t>
        </is>
      </c>
      <c r="B1136" s="1" t="n">
        <v>45119.38151620371</v>
      </c>
      <c r="C1136" s="1" t="n">
        <v>45987</v>
      </c>
      <c r="D1136" t="inlineStr">
        <is>
          <t>JÄMTLANDS LÄN</t>
        </is>
      </c>
      <c r="E1136" t="inlineStr">
        <is>
          <t>HÄRJEDALEN</t>
        </is>
      </c>
      <c r="F1136" t="inlineStr">
        <is>
          <t>Bergvik skog väst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848-2025</t>
        </is>
      </c>
      <c r="B1137" s="1" t="n">
        <v>45665.59925925926</v>
      </c>
      <c r="C1137" s="1" t="n">
        <v>45987</v>
      </c>
      <c r="D1137" t="inlineStr">
        <is>
          <t>JÄMTLANDS LÄN</t>
        </is>
      </c>
      <c r="E1137" t="inlineStr">
        <is>
          <t>HÄRJEDALEN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48822-2024</t>
        </is>
      </c>
      <c r="B1138" s="1" t="n">
        <v>45593.6821412037</v>
      </c>
      <c r="C1138" s="1" t="n">
        <v>45987</v>
      </c>
      <c r="D1138" t="inlineStr">
        <is>
          <t>JÄMTLANDS LÄN</t>
        </is>
      </c>
      <c r="E1138" t="inlineStr">
        <is>
          <t>HÄRJEDALEN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48823-2024</t>
        </is>
      </c>
      <c r="B1139" s="1" t="n">
        <v>45593.68434027778</v>
      </c>
      <c r="C1139" s="1" t="n">
        <v>45987</v>
      </c>
      <c r="D1139" t="inlineStr">
        <is>
          <t>JÄMTLANDS LÄN</t>
        </is>
      </c>
      <c r="E1139" t="inlineStr">
        <is>
          <t>HÄRJEDALEN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56547-2024</t>
        </is>
      </c>
      <c r="B1140" s="1" t="n">
        <v>45625.56934027778</v>
      </c>
      <c r="C1140" s="1" t="n">
        <v>45987</v>
      </c>
      <c r="D1140" t="inlineStr">
        <is>
          <t>JÄMTLANDS LÄN</t>
        </is>
      </c>
      <c r="E1140" t="inlineStr">
        <is>
          <t>HÄRJEDALEN</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63323-2023</t>
        </is>
      </c>
      <c r="B1141" s="1" t="n">
        <v>45274</v>
      </c>
      <c r="C1141" s="1" t="n">
        <v>45987</v>
      </c>
      <c r="D1141" t="inlineStr">
        <is>
          <t>JÄMTLANDS LÄN</t>
        </is>
      </c>
      <c r="E1141" t="inlineStr">
        <is>
          <t>HÄRJEDALEN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16801-2024</t>
        </is>
      </c>
      <c r="B1142" s="1" t="n">
        <v>45411.44549768518</v>
      </c>
      <c r="C1142" s="1" t="n">
        <v>45987</v>
      </c>
      <c r="D1142" t="inlineStr">
        <is>
          <t>JÄMTLANDS LÄN</t>
        </is>
      </c>
      <c r="E1142" t="inlineStr">
        <is>
          <t>HÄRJEDALEN</t>
        </is>
      </c>
      <c r="F1142" t="inlineStr">
        <is>
          <t>Bergvik skog väst AB</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1364-2024</t>
        </is>
      </c>
      <c r="B1143" s="1" t="n">
        <v>45303.5187037037</v>
      </c>
      <c r="C1143" s="1" t="n">
        <v>45987</v>
      </c>
      <c r="D1143" t="inlineStr">
        <is>
          <t>JÄMTLANDS LÄN</t>
        </is>
      </c>
      <c r="E1143" t="inlineStr">
        <is>
          <t>HÄRJEDALEN</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58507-2024</t>
        </is>
      </c>
      <c r="B1144" s="1" t="n">
        <v>45635.42027777778</v>
      </c>
      <c r="C1144" s="1" t="n">
        <v>45987</v>
      </c>
      <c r="D1144" t="inlineStr">
        <is>
          <t>JÄMTLANDS LÄN</t>
        </is>
      </c>
      <c r="E1144" t="inlineStr">
        <is>
          <t>HÄRJEDALEN</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11997-2025</t>
        </is>
      </c>
      <c r="B1145" s="1" t="n">
        <v>45728.61006944445</v>
      </c>
      <c r="C1145" s="1" t="n">
        <v>45987</v>
      </c>
      <c r="D1145" t="inlineStr">
        <is>
          <t>JÄMTLANDS LÄN</t>
        </is>
      </c>
      <c r="E1145" t="inlineStr">
        <is>
          <t>HÄRJEDALEN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12810-2022</t>
        </is>
      </c>
      <c r="B1146" s="1" t="n">
        <v>44642</v>
      </c>
      <c r="C1146" s="1" t="n">
        <v>45987</v>
      </c>
      <c r="D1146" t="inlineStr">
        <is>
          <t>JÄMTLANDS LÄN</t>
        </is>
      </c>
      <c r="E1146" t="inlineStr">
        <is>
          <t>HÄRJEDALEN</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56906-2023</t>
        </is>
      </c>
      <c r="B1147" s="1" t="n">
        <v>45244</v>
      </c>
      <c r="C1147" s="1" t="n">
        <v>45987</v>
      </c>
      <c r="D1147" t="inlineStr">
        <is>
          <t>JÄMTLANDS LÄN</t>
        </is>
      </c>
      <c r="E1147" t="inlineStr">
        <is>
          <t>HÄRJEDALEN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58890-2023</t>
        </is>
      </c>
      <c r="B1148" s="1" t="n">
        <v>45252.48409722222</v>
      </c>
      <c r="C1148" s="1" t="n">
        <v>45987</v>
      </c>
      <c r="D1148" t="inlineStr">
        <is>
          <t>JÄMTLANDS LÄN</t>
        </is>
      </c>
      <c r="E1148" t="inlineStr">
        <is>
          <t>HÄRJEDALEN</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58930-2023</t>
        </is>
      </c>
      <c r="B1149" s="1" t="n">
        <v>45252</v>
      </c>
      <c r="C1149" s="1" t="n">
        <v>45987</v>
      </c>
      <c r="D1149" t="inlineStr">
        <is>
          <t>JÄMTLANDS LÄN</t>
        </is>
      </c>
      <c r="E1149" t="inlineStr">
        <is>
          <t>HÄRJEDALEN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1394-2025</t>
        </is>
      </c>
      <c r="B1150" s="1" t="n">
        <v>45667</v>
      </c>
      <c r="C1150" s="1" t="n">
        <v>45987</v>
      </c>
      <c r="D1150" t="inlineStr">
        <is>
          <t>JÄMTLANDS LÄN</t>
        </is>
      </c>
      <c r="E1150" t="inlineStr">
        <is>
          <t>HÄRJEDALEN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31791-2024</t>
        </is>
      </c>
      <c r="B1151" s="1" t="n">
        <v>45509</v>
      </c>
      <c r="C1151" s="1" t="n">
        <v>45987</v>
      </c>
      <c r="D1151" t="inlineStr">
        <is>
          <t>JÄMTLANDS LÄN</t>
        </is>
      </c>
      <c r="E1151" t="inlineStr">
        <is>
          <t>HÄRJEDALEN</t>
        </is>
      </c>
      <c r="F1151" t="inlineStr">
        <is>
          <t>Övriga statliga verk och myndigheter</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1366-2024</t>
        </is>
      </c>
      <c r="B1152" s="1" t="n">
        <v>45303.52626157407</v>
      </c>
      <c r="C1152" s="1" t="n">
        <v>45987</v>
      </c>
      <c r="D1152" t="inlineStr">
        <is>
          <t>JÄMTLANDS LÄN</t>
        </is>
      </c>
      <c r="E1152" t="inlineStr">
        <is>
          <t>HÄRJEDALEN</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10024-2025</t>
        </is>
      </c>
      <c r="B1153" s="1" t="n">
        <v>45719.48778935185</v>
      </c>
      <c r="C1153" s="1" t="n">
        <v>45987</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44819-2024</t>
        </is>
      </c>
      <c r="B1154" s="1" t="n">
        <v>45574.66106481481</v>
      </c>
      <c r="C1154" s="1" t="n">
        <v>45987</v>
      </c>
      <c r="D1154" t="inlineStr">
        <is>
          <t>JÄMTLANDS LÄN</t>
        </is>
      </c>
      <c r="E1154" t="inlineStr">
        <is>
          <t>HÄRJEDALEN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61465-2023</t>
        </is>
      </c>
      <c r="B1155" s="1" t="n">
        <v>45264.92637731481</v>
      </c>
      <c r="C1155" s="1" t="n">
        <v>45987</v>
      </c>
      <c r="D1155" t="inlineStr">
        <is>
          <t>JÄMTLANDS LÄN</t>
        </is>
      </c>
      <c r="E1155" t="inlineStr">
        <is>
          <t>HÄRJEDALEN</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60749-2023</t>
        </is>
      </c>
      <c r="B1156" s="1" t="n">
        <v>45260.59042824074</v>
      </c>
      <c r="C1156" s="1" t="n">
        <v>45987</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23185-2023</t>
        </is>
      </c>
      <c r="B1157" s="1" t="n">
        <v>45075.59148148148</v>
      </c>
      <c r="C1157" s="1" t="n">
        <v>45987</v>
      </c>
      <c r="D1157" t="inlineStr">
        <is>
          <t>JÄMTLANDS LÄN</t>
        </is>
      </c>
      <c r="E1157" t="inlineStr">
        <is>
          <t>HÄRJEDALEN</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21666-2023</t>
        </is>
      </c>
      <c r="B1158" s="1" t="n">
        <v>45063.92605324074</v>
      </c>
      <c r="C1158" s="1" t="n">
        <v>45987</v>
      </c>
      <c r="D1158" t="inlineStr">
        <is>
          <t>JÄMTLANDS LÄN</t>
        </is>
      </c>
      <c r="E1158" t="inlineStr">
        <is>
          <t>HÄRJEDALEN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45120-2024</t>
        </is>
      </c>
      <c r="B1159" s="1" t="n">
        <v>45575.60996527778</v>
      </c>
      <c r="C1159" s="1" t="n">
        <v>45987</v>
      </c>
      <c r="D1159" t="inlineStr">
        <is>
          <t>JÄMTLANDS LÄN</t>
        </is>
      </c>
      <c r="E1159" t="inlineStr">
        <is>
          <t>HÄRJEDALEN</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24613-2024</t>
        </is>
      </c>
      <c r="B1160" s="1" t="n">
        <v>45460.48582175926</v>
      </c>
      <c r="C1160" s="1" t="n">
        <v>45987</v>
      </c>
      <c r="D1160" t="inlineStr">
        <is>
          <t>JÄMTLANDS LÄN</t>
        </is>
      </c>
      <c r="E1160" t="inlineStr">
        <is>
          <t>HÄRJEDALEN</t>
        </is>
      </c>
      <c r="G1160" t="n">
        <v>10.3</v>
      </c>
      <c r="H1160" t="n">
        <v>0</v>
      </c>
      <c r="I1160" t="n">
        <v>0</v>
      </c>
      <c r="J1160" t="n">
        <v>0</v>
      </c>
      <c r="K1160" t="n">
        <v>0</v>
      </c>
      <c r="L1160" t="n">
        <v>0</v>
      </c>
      <c r="M1160" t="n">
        <v>0</v>
      </c>
      <c r="N1160" t="n">
        <v>0</v>
      </c>
      <c r="O1160" t="n">
        <v>0</v>
      </c>
      <c r="P1160" t="n">
        <v>0</v>
      </c>
      <c r="Q1160" t="n">
        <v>0</v>
      </c>
      <c r="R1160" s="2" t="inlineStr"/>
    </row>
    <row r="1161" ht="15" customHeight="1">
      <c r="A1161" t="inlineStr">
        <is>
          <t>A 3425-2025</t>
        </is>
      </c>
      <c r="B1161" s="1" t="n">
        <v>45680.42497685185</v>
      </c>
      <c r="C1161" s="1" t="n">
        <v>45987</v>
      </c>
      <c r="D1161" t="inlineStr">
        <is>
          <t>JÄMTLANDS LÄN</t>
        </is>
      </c>
      <c r="E1161" t="inlineStr">
        <is>
          <t>HÄRJEDALEN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36568-2023</t>
        </is>
      </c>
      <c r="B1162" s="1" t="n">
        <v>45153.42725694444</v>
      </c>
      <c r="C1162" s="1" t="n">
        <v>45987</v>
      </c>
      <c r="D1162" t="inlineStr">
        <is>
          <t>JÄMTLANDS LÄN</t>
        </is>
      </c>
      <c r="E1162" t="inlineStr">
        <is>
          <t>HÄRJEDALEN</t>
        </is>
      </c>
      <c r="F1162" t="inlineStr">
        <is>
          <t>Bergvik skog väst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43297-2024</t>
        </is>
      </c>
      <c r="B1163" s="1" t="n">
        <v>45568</v>
      </c>
      <c r="C1163" s="1" t="n">
        <v>45987</v>
      </c>
      <c r="D1163" t="inlineStr">
        <is>
          <t>JÄMTLANDS LÄN</t>
        </is>
      </c>
      <c r="E1163" t="inlineStr">
        <is>
          <t>HÄRJEDALEN</t>
        </is>
      </c>
      <c r="F1163" t="inlineStr">
        <is>
          <t>SCA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4252-2025</t>
        </is>
      </c>
      <c r="B1164" s="1" t="n">
        <v>45685</v>
      </c>
      <c r="C1164" s="1" t="n">
        <v>45987</v>
      </c>
      <c r="D1164" t="inlineStr">
        <is>
          <t>JÄMTLANDS LÄN</t>
        </is>
      </c>
      <c r="E1164" t="inlineStr">
        <is>
          <t>HÄRJEDALEN</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28444-2024</t>
        </is>
      </c>
      <c r="B1165" s="1" t="n">
        <v>45477.66773148148</v>
      </c>
      <c r="C1165" s="1" t="n">
        <v>45987</v>
      </c>
      <c r="D1165" t="inlineStr">
        <is>
          <t>JÄMTLANDS LÄN</t>
        </is>
      </c>
      <c r="E1165" t="inlineStr">
        <is>
          <t>HÄRJEDALEN</t>
        </is>
      </c>
      <c r="F1165" t="inlineStr">
        <is>
          <t>Holmen skog AB</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60062-2023</t>
        </is>
      </c>
      <c r="B1166" s="1" t="n">
        <v>45257</v>
      </c>
      <c r="C1166" s="1" t="n">
        <v>45987</v>
      </c>
      <c r="D1166" t="inlineStr">
        <is>
          <t>JÄMTLANDS LÄN</t>
        </is>
      </c>
      <c r="E1166" t="inlineStr">
        <is>
          <t>HÄRJEDALEN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50544-2024</t>
        </is>
      </c>
      <c r="B1167" s="1" t="n">
        <v>45601.58355324074</v>
      </c>
      <c r="C1167" s="1" t="n">
        <v>45987</v>
      </c>
      <c r="D1167" t="inlineStr">
        <is>
          <t>JÄMTLANDS LÄN</t>
        </is>
      </c>
      <c r="E1167" t="inlineStr">
        <is>
          <t>HÄRJEDALEN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19402-2024</t>
        </is>
      </c>
      <c r="B1168" s="1" t="n">
        <v>45429.39</v>
      </c>
      <c r="C1168" s="1" t="n">
        <v>45987</v>
      </c>
      <c r="D1168" t="inlineStr">
        <is>
          <t>JÄMTLANDS LÄN</t>
        </is>
      </c>
      <c r="E1168" t="inlineStr">
        <is>
          <t>HÄRJEDALEN</t>
        </is>
      </c>
      <c r="G1168" t="n">
        <v>9.800000000000001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58581-2024</t>
        </is>
      </c>
      <c r="B1169" s="1" t="n">
        <v>45635.4916087963</v>
      </c>
      <c r="C1169" s="1" t="n">
        <v>45987</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14631-2023</t>
        </is>
      </c>
      <c r="B1170" s="1" t="n">
        <v>45012</v>
      </c>
      <c r="C1170" s="1" t="n">
        <v>45987</v>
      </c>
      <c r="D1170" t="inlineStr">
        <is>
          <t>JÄMTLANDS LÄN</t>
        </is>
      </c>
      <c r="E1170" t="inlineStr">
        <is>
          <t>HÄRJEDALEN</t>
        </is>
      </c>
      <c r="F1170" t="inlineStr">
        <is>
          <t>Bergvik skog väst AB</t>
        </is>
      </c>
      <c r="G1170" t="n">
        <v>14.2</v>
      </c>
      <c r="H1170" t="n">
        <v>0</v>
      </c>
      <c r="I1170" t="n">
        <v>0</v>
      </c>
      <c r="J1170" t="n">
        <v>0</v>
      </c>
      <c r="K1170" t="n">
        <v>0</v>
      </c>
      <c r="L1170" t="n">
        <v>0</v>
      </c>
      <c r="M1170" t="n">
        <v>0</v>
      </c>
      <c r="N1170" t="n">
        <v>0</v>
      </c>
      <c r="O1170" t="n">
        <v>0</v>
      </c>
      <c r="P1170" t="n">
        <v>0</v>
      </c>
      <c r="Q1170" t="n">
        <v>0</v>
      </c>
      <c r="R1170" s="2" t="inlineStr"/>
    </row>
    <row r="1171" ht="15" customHeight="1">
      <c r="A1171" t="inlineStr">
        <is>
          <t>A 51994-2024</t>
        </is>
      </c>
      <c r="B1171" s="1" t="n">
        <v>45607</v>
      </c>
      <c r="C1171" s="1" t="n">
        <v>45987</v>
      </c>
      <c r="D1171" t="inlineStr">
        <is>
          <t>JÄMTLANDS LÄN</t>
        </is>
      </c>
      <c r="E1171" t="inlineStr">
        <is>
          <t>HÄRJEDALEN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859-2022</t>
        </is>
      </c>
      <c r="B1172" s="1" t="n">
        <v>44571</v>
      </c>
      <c r="C1172" s="1" t="n">
        <v>45987</v>
      </c>
      <c r="D1172" t="inlineStr">
        <is>
          <t>JÄMTLANDS LÄN</t>
        </is>
      </c>
      <c r="E1172" t="inlineStr">
        <is>
          <t>HÄRJEDALEN</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45731-2024</t>
        </is>
      </c>
      <c r="B1173" s="1" t="n">
        <v>45579.59980324074</v>
      </c>
      <c r="C1173" s="1" t="n">
        <v>45987</v>
      </c>
      <c r="D1173" t="inlineStr">
        <is>
          <t>JÄMTLANDS LÄN</t>
        </is>
      </c>
      <c r="E1173" t="inlineStr">
        <is>
          <t>HÄRJEDALEN</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58110-2024</t>
        </is>
      </c>
      <c r="B1174" s="1" t="n">
        <v>45632</v>
      </c>
      <c r="C1174" s="1" t="n">
        <v>45987</v>
      </c>
      <c r="D1174" t="inlineStr">
        <is>
          <t>JÄMTLANDS LÄN</t>
        </is>
      </c>
      <c r="E1174" t="inlineStr">
        <is>
          <t>HÄRJEDALEN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58117-2024</t>
        </is>
      </c>
      <c r="B1175" s="1" t="n">
        <v>45632</v>
      </c>
      <c r="C1175" s="1" t="n">
        <v>45987</v>
      </c>
      <c r="D1175" t="inlineStr">
        <is>
          <t>JÄMTLANDS LÄN</t>
        </is>
      </c>
      <c r="E1175" t="inlineStr">
        <is>
          <t>HÄRJEDALEN</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51315-2024</t>
        </is>
      </c>
      <c r="B1176" s="1" t="n">
        <v>45604.32543981481</v>
      </c>
      <c r="C1176" s="1" t="n">
        <v>45987</v>
      </c>
      <c r="D1176" t="inlineStr">
        <is>
          <t>JÄMTLANDS LÄN</t>
        </is>
      </c>
      <c r="E1176" t="inlineStr">
        <is>
          <t>HÄRJEDALEN</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51188-2024</t>
        </is>
      </c>
      <c r="B1177" s="1" t="n">
        <v>45603</v>
      </c>
      <c r="C1177" s="1" t="n">
        <v>45987</v>
      </c>
      <c r="D1177" t="inlineStr">
        <is>
          <t>JÄMTLANDS LÄN</t>
        </is>
      </c>
      <c r="E1177" t="inlineStr">
        <is>
          <t>HÄRJEDALEN</t>
        </is>
      </c>
      <c r="F1177" t="inlineStr">
        <is>
          <t>Holmen skog AB</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31764-2024</t>
        </is>
      </c>
      <c r="B1178" s="1" t="n">
        <v>45509</v>
      </c>
      <c r="C1178" s="1" t="n">
        <v>45987</v>
      </c>
      <c r="D1178" t="inlineStr">
        <is>
          <t>JÄMTLANDS LÄN</t>
        </is>
      </c>
      <c r="E1178" t="inlineStr">
        <is>
          <t>HÄRJEDALEN</t>
        </is>
      </c>
      <c r="F1178" t="inlineStr">
        <is>
          <t>Övriga statliga verk och myndigheter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12279-2025</t>
        </is>
      </c>
      <c r="B1179" s="1" t="n">
        <v>45729.65261574074</v>
      </c>
      <c r="C1179" s="1" t="n">
        <v>45987</v>
      </c>
      <c r="D1179" t="inlineStr">
        <is>
          <t>JÄMTLANDS LÄN</t>
        </is>
      </c>
      <c r="E1179" t="inlineStr">
        <is>
          <t>HÄRJEDALEN</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4642-2025</t>
        </is>
      </c>
      <c r="B1180" s="1" t="n">
        <v>45687.65449074074</v>
      </c>
      <c r="C1180" s="1" t="n">
        <v>45987</v>
      </c>
      <c r="D1180" t="inlineStr">
        <is>
          <t>JÄMTLANDS LÄN</t>
        </is>
      </c>
      <c r="E1180" t="inlineStr">
        <is>
          <t>HÄRJEDALEN</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29631-2024</t>
        </is>
      </c>
      <c r="B1181" s="1" t="n">
        <v>45484.66521990741</v>
      </c>
      <c r="C1181" s="1" t="n">
        <v>45987</v>
      </c>
      <c r="D1181" t="inlineStr">
        <is>
          <t>JÄMTLANDS LÄN</t>
        </is>
      </c>
      <c r="E1181" t="inlineStr">
        <is>
          <t>HÄRJEDALEN</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20672-2025</t>
        </is>
      </c>
      <c r="B1182" s="1" t="n">
        <v>45776.43898148148</v>
      </c>
      <c r="C1182" s="1" t="n">
        <v>45987</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21161-2025</t>
        </is>
      </c>
      <c r="B1183" s="1" t="n">
        <v>45779.38211805555</v>
      </c>
      <c r="C1183" s="1" t="n">
        <v>45987</v>
      </c>
      <c r="D1183" t="inlineStr">
        <is>
          <t>JÄMTLANDS LÄN</t>
        </is>
      </c>
      <c r="E1183" t="inlineStr">
        <is>
          <t>HÄRJEDALEN</t>
        </is>
      </c>
      <c r="F1183" t="inlineStr">
        <is>
          <t>Holmen skog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21221-2025</t>
        </is>
      </c>
      <c r="B1184" s="1" t="n">
        <v>45779.50052083333</v>
      </c>
      <c r="C1184" s="1" t="n">
        <v>45987</v>
      </c>
      <c r="D1184" t="inlineStr">
        <is>
          <t>JÄMTLANDS LÄN</t>
        </is>
      </c>
      <c r="E1184" t="inlineStr">
        <is>
          <t>HÄRJEDALEN</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21169-2025</t>
        </is>
      </c>
      <c r="B1185" s="1" t="n">
        <v>45779.41844907407</v>
      </c>
      <c r="C1185" s="1" t="n">
        <v>45987</v>
      </c>
      <c r="D1185" t="inlineStr">
        <is>
          <t>JÄMTLANDS LÄN</t>
        </is>
      </c>
      <c r="E1185" t="inlineStr">
        <is>
          <t>HÄRJEDALEN</t>
        </is>
      </c>
      <c r="F1185" t="inlineStr">
        <is>
          <t>Holmen skog AB</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13783-2025</t>
        </is>
      </c>
      <c r="B1186" s="1" t="n">
        <v>45737</v>
      </c>
      <c r="C1186" s="1" t="n">
        <v>45987</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21355-2025</t>
        </is>
      </c>
      <c r="B1187" s="1" t="n">
        <v>45782.41581018519</v>
      </c>
      <c r="C1187" s="1" t="n">
        <v>45987</v>
      </c>
      <c r="D1187" t="inlineStr">
        <is>
          <t>JÄMTLANDS LÄN</t>
        </is>
      </c>
      <c r="E1187" t="inlineStr">
        <is>
          <t>HÄRJEDALEN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21223-2025</t>
        </is>
      </c>
      <c r="B1188" s="1" t="n">
        <v>45779.50886574074</v>
      </c>
      <c r="C1188" s="1" t="n">
        <v>45987</v>
      </c>
      <c r="D1188" t="inlineStr">
        <is>
          <t>JÄMTLANDS LÄN</t>
        </is>
      </c>
      <c r="E1188" t="inlineStr">
        <is>
          <t>HÄRJEDALEN</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21226-2025</t>
        </is>
      </c>
      <c r="B1189" s="1" t="n">
        <v>45779.51943287037</v>
      </c>
      <c r="C1189" s="1" t="n">
        <v>45987</v>
      </c>
      <c r="D1189" t="inlineStr">
        <is>
          <t>JÄMTLANDS LÄN</t>
        </is>
      </c>
      <c r="E1189" t="inlineStr">
        <is>
          <t>HÄRJEDALEN</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21227-2025</t>
        </is>
      </c>
      <c r="B1190" s="1" t="n">
        <v>45779.52488425926</v>
      </c>
      <c r="C1190" s="1" t="n">
        <v>45987</v>
      </c>
      <c r="D1190" t="inlineStr">
        <is>
          <t>JÄMTLANDS LÄN</t>
        </is>
      </c>
      <c r="E1190" t="inlineStr">
        <is>
          <t>HÄRJEDALEN</t>
        </is>
      </c>
      <c r="F1190" t="inlineStr">
        <is>
          <t>Holmen skog AB</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21358-2025</t>
        </is>
      </c>
      <c r="B1191" s="1" t="n">
        <v>45782.42744212963</v>
      </c>
      <c r="C1191" s="1" t="n">
        <v>45987</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21225-2025</t>
        </is>
      </c>
      <c r="B1192" s="1" t="n">
        <v>45779.51357638889</v>
      </c>
      <c r="C1192" s="1" t="n">
        <v>45987</v>
      </c>
      <c r="D1192" t="inlineStr">
        <is>
          <t>JÄMTLANDS LÄN</t>
        </is>
      </c>
      <c r="E1192" t="inlineStr">
        <is>
          <t>HÄRJEDALEN</t>
        </is>
      </c>
      <c r="F1192" t="inlineStr">
        <is>
          <t>Holmen skog AB</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54684-2024</t>
        </is>
      </c>
      <c r="B1193" s="1" t="n">
        <v>45618.35961805555</v>
      </c>
      <c r="C1193" s="1" t="n">
        <v>45987</v>
      </c>
      <c r="D1193" t="inlineStr">
        <is>
          <t>JÄMTLANDS LÄN</t>
        </is>
      </c>
      <c r="E1193" t="inlineStr">
        <is>
          <t>HÄRJEDALEN</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21797-2025</t>
        </is>
      </c>
      <c r="B1194" s="1" t="n">
        <v>45783.68547453704</v>
      </c>
      <c r="C1194" s="1" t="n">
        <v>45987</v>
      </c>
      <c r="D1194" t="inlineStr">
        <is>
          <t>JÄMTLANDS LÄN</t>
        </is>
      </c>
      <c r="E1194" t="inlineStr">
        <is>
          <t>HÄRJEDALEN</t>
        </is>
      </c>
      <c r="F1194" t="inlineStr">
        <is>
          <t>Sveaskog</t>
        </is>
      </c>
      <c r="G1194" t="n">
        <v>15.1</v>
      </c>
      <c r="H1194" t="n">
        <v>0</v>
      </c>
      <c r="I1194" t="n">
        <v>0</v>
      </c>
      <c r="J1194" t="n">
        <v>0</v>
      </c>
      <c r="K1194" t="n">
        <v>0</v>
      </c>
      <c r="L1194" t="n">
        <v>0</v>
      </c>
      <c r="M1194" t="n">
        <v>0</v>
      </c>
      <c r="N1194" t="n">
        <v>0</v>
      </c>
      <c r="O1194" t="n">
        <v>0</v>
      </c>
      <c r="P1194" t="n">
        <v>0</v>
      </c>
      <c r="Q1194" t="n">
        <v>0</v>
      </c>
      <c r="R1194" s="2" t="inlineStr"/>
    </row>
    <row r="1195" ht="15" customHeight="1">
      <c r="A1195" t="inlineStr">
        <is>
          <t>A 58341-2024</t>
        </is>
      </c>
      <c r="B1195" s="1" t="n">
        <v>45632.64078703704</v>
      </c>
      <c r="C1195" s="1" t="n">
        <v>45987</v>
      </c>
      <c r="D1195" t="inlineStr">
        <is>
          <t>JÄMTLANDS LÄN</t>
        </is>
      </c>
      <c r="E1195" t="inlineStr">
        <is>
          <t>HÄRJEDALEN</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29347-2024</t>
        </is>
      </c>
      <c r="B1196" s="1" t="n">
        <v>45483.47572916667</v>
      </c>
      <c r="C1196" s="1" t="n">
        <v>45987</v>
      </c>
      <c r="D1196" t="inlineStr">
        <is>
          <t>JÄMTLANDS LÄN</t>
        </is>
      </c>
      <c r="E1196" t="inlineStr">
        <is>
          <t>HÄRJEDALEN</t>
        </is>
      </c>
      <c r="G1196" t="n">
        <v>35.8</v>
      </c>
      <c r="H1196" t="n">
        <v>0</v>
      </c>
      <c r="I1196" t="n">
        <v>0</v>
      </c>
      <c r="J1196" t="n">
        <v>0</v>
      </c>
      <c r="K1196" t="n">
        <v>0</v>
      </c>
      <c r="L1196" t="n">
        <v>0</v>
      </c>
      <c r="M1196" t="n">
        <v>0</v>
      </c>
      <c r="N1196" t="n">
        <v>0</v>
      </c>
      <c r="O1196" t="n">
        <v>0</v>
      </c>
      <c r="P1196" t="n">
        <v>0</v>
      </c>
      <c r="Q1196" t="n">
        <v>0</v>
      </c>
      <c r="R1196" s="2" t="inlineStr"/>
    </row>
    <row r="1197" ht="15" customHeight="1">
      <c r="A1197" t="inlineStr">
        <is>
          <t>A 60054-2024</t>
        </is>
      </c>
      <c r="B1197" s="1" t="n">
        <v>45642</v>
      </c>
      <c r="C1197" s="1" t="n">
        <v>45987</v>
      </c>
      <c r="D1197" t="inlineStr">
        <is>
          <t>JÄMTLANDS LÄN</t>
        </is>
      </c>
      <c r="E1197" t="inlineStr">
        <is>
          <t>HÄRJEDALEN</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43760-2024</t>
        </is>
      </c>
      <c r="B1198" s="1" t="n">
        <v>45569.6909837963</v>
      </c>
      <c r="C1198" s="1" t="n">
        <v>45987</v>
      </c>
      <c r="D1198" t="inlineStr">
        <is>
          <t>JÄMTLANDS LÄN</t>
        </is>
      </c>
      <c r="E1198" t="inlineStr">
        <is>
          <t>HÄRJEDALEN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22502-2025</t>
        </is>
      </c>
      <c r="B1199" s="1" t="n">
        <v>45786.66032407407</v>
      </c>
      <c r="C1199" s="1" t="n">
        <v>45987</v>
      </c>
      <c r="D1199" t="inlineStr">
        <is>
          <t>JÄMTLANDS LÄN</t>
        </is>
      </c>
      <c r="E1199" t="inlineStr">
        <is>
          <t>HÄRJEDALEN</t>
        </is>
      </c>
      <c r="F1199" t="inlineStr">
        <is>
          <t>Sveaskog</t>
        </is>
      </c>
      <c r="G1199" t="n">
        <v>20.1</v>
      </c>
      <c r="H1199" t="n">
        <v>0</v>
      </c>
      <c r="I1199" t="n">
        <v>0</v>
      </c>
      <c r="J1199" t="n">
        <v>0</v>
      </c>
      <c r="K1199" t="n">
        <v>0</v>
      </c>
      <c r="L1199" t="n">
        <v>0</v>
      </c>
      <c r="M1199" t="n">
        <v>0</v>
      </c>
      <c r="N1199" t="n">
        <v>0</v>
      </c>
      <c r="O1199" t="n">
        <v>0</v>
      </c>
      <c r="P1199" t="n">
        <v>0</v>
      </c>
      <c r="Q1199" t="n">
        <v>0</v>
      </c>
      <c r="R1199" s="2" t="inlineStr"/>
    </row>
    <row r="1200" ht="15" customHeight="1">
      <c r="A1200" t="inlineStr">
        <is>
          <t>A 22509-2025</t>
        </is>
      </c>
      <c r="B1200" s="1" t="n">
        <v>45786.66853009259</v>
      </c>
      <c r="C1200" s="1" t="n">
        <v>45987</v>
      </c>
      <c r="D1200" t="inlineStr">
        <is>
          <t>JÄMTLANDS LÄN</t>
        </is>
      </c>
      <c r="E1200" t="inlineStr">
        <is>
          <t>HÄRJEDALEN</t>
        </is>
      </c>
      <c r="F1200" t="inlineStr">
        <is>
          <t>Sveaskog</t>
        </is>
      </c>
      <c r="G1200" t="n">
        <v>9.4</v>
      </c>
      <c r="H1200" t="n">
        <v>0</v>
      </c>
      <c r="I1200" t="n">
        <v>0</v>
      </c>
      <c r="J1200" t="n">
        <v>0</v>
      </c>
      <c r="K1200" t="n">
        <v>0</v>
      </c>
      <c r="L1200" t="n">
        <v>0</v>
      </c>
      <c r="M1200" t="n">
        <v>0</v>
      </c>
      <c r="N1200" t="n">
        <v>0</v>
      </c>
      <c r="O1200" t="n">
        <v>0</v>
      </c>
      <c r="P1200" t="n">
        <v>0</v>
      </c>
      <c r="Q1200" t="n">
        <v>0</v>
      </c>
      <c r="R1200" s="2" t="inlineStr"/>
    </row>
    <row r="1201" ht="15" customHeight="1">
      <c r="A1201" t="inlineStr">
        <is>
          <t>A 23467-2024</t>
        </is>
      </c>
      <c r="B1201" s="1" t="n">
        <v>45453.6619212963</v>
      </c>
      <c r="C1201" s="1" t="n">
        <v>45987</v>
      </c>
      <c r="D1201" t="inlineStr">
        <is>
          <t>JÄMTLANDS LÄN</t>
        </is>
      </c>
      <c r="E1201" t="inlineStr">
        <is>
          <t>HÄRJEDALEN</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22504-2025</t>
        </is>
      </c>
      <c r="B1202" s="1" t="n">
        <v>45786.66209490741</v>
      </c>
      <c r="C1202" s="1" t="n">
        <v>45987</v>
      </c>
      <c r="D1202" t="inlineStr">
        <is>
          <t>JÄMTLANDS LÄN</t>
        </is>
      </c>
      <c r="E1202" t="inlineStr">
        <is>
          <t>HÄRJEDALEN</t>
        </is>
      </c>
      <c r="F1202" t="inlineStr">
        <is>
          <t>Sveaskog</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1459-2025</t>
        </is>
      </c>
      <c r="B1203" s="1" t="n">
        <v>45670.34313657408</v>
      </c>
      <c r="C1203" s="1" t="n">
        <v>45987</v>
      </c>
      <c r="D1203" t="inlineStr">
        <is>
          <t>JÄMTLANDS LÄN</t>
        </is>
      </c>
      <c r="E1203" t="inlineStr">
        <is>
          <t>HÄRJEDALEN</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22505-2025</t>
        </is>
      </c>
      <c r="B1204" s="1" t="n">
        <v>45786.66425925926</v>
      </c>
      <c r="C1204" s="1" t="n">
        <v>45987</v>
      </c>
      <c r="D1204" t="inlineStr">
        <is>
          <t>JÄMTLANDS LÄN</t>
        </is>
      </c>
      <c r="E1204" t="inlineStr">
        <is>
          <t>HÄRJEDALEN</t>
        </is>
      </c>
      <c r="F1204" t="inlineStr">
        <is>
          <t>Sveaskog</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13543-2024</t>
        </is>
      </c>
      <c r="B1205" s="1" t="n">
        <v>45387</v>
      </c>
      <c r="C1205" s="1" t="n">
        <v>45987</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24425-2024</t>
        </is>
      </c>
      <c r="B1206" s="1" t="n">
        <v>45457.92854166667</v>
      </c>
      <c r="C1206" s="1" t="n">
        <v>45987</v>
      </c>
      <c r="D1206" t="inlineStr">
        <is>
          <t>JÄMTLANDS LÄN</t>
        </is>
      </c>
      <c r="E1206" t="inlineStr">
        <is>
          <t>HÄRJEDALEN</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22045-2025</t>
        </is>
      </c>
      <c r="B1207" s="1" t="n">
        <v>45785.34165509259</v>
      </c>
      <c r="C1207" s="1" t="n">
        <v>45987</v>
      </c>
      <c r="D1207" t="inlineStr">
        <is>
          <t>JÄMTLANDS LÄN</t>
        </is>
      </c>
      <c r="E1207" t="inlineStr">
        <is>
          <t>HÄRJEDALEN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22040-2025</t>
        </is>
      </c>
      <c r="B1208" s="1" t="n">
        <v>45785.33164351852</v>
      </c>
      <c r="C1208" s="1" t="n">
        <v>45987</v>
      </c>
      <c r="D1208" t="inlineStr">
        <is>
          <t>JÄMTLANDS LÄN</t>
        </is>
      </c>
      <c r="E1208" t="inlineStr">
        <is>
          <t>HÄRJEDALEN</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22915-2025</t>
        </is>
      </c>
      <c r="B1209" s="1" t="n">
        <v>45790.43</v>
      </c>
      <c r="C1209" s="1" t="n">
        <v>45987</v>
      </c>
      <c r="D1209" t="inlineStr">
        <is>
          <t>JÄMTLANDS LÄN</t>
        </is>
      </c>
      <c r="E1209" t="inlineStr">
        <is>
          <t>HÄRJEDALEN</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23596-2025</t>
        </is>
      </c>
      <c r="B1210" s="1" t="n">
        <v>45792.64795138889</v>
      </c>
      <c r="C1210" s="1" t="n">
        <v>45987</v>
      </c>
      <c r="D1210" t="inlineStr">
        <is>
          <t>JÄMTLANDS LÄN</t>
        </is>
      </c>
      <c r="E1210" t="inlineStr">
        <is>
          <t>HÄRJEDALEN</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23068-2025</t>
        </is>
      </c>
      <c r="B1211" s="1" t="n">
        <v>45790.87653935186</v>
      </c>
      <c r="C1211" s="1" t="n">
        <v>45987</v>
      </c>
      <c r="D1211" t="inlineStr">
        <is>
          <t>JÄMTLANDS LÄN</t>
        </is>
      </c>
      <c r="E1211" t="inlineStr">
        <is>
          <t>HÄRJEDALEN</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23600-2025</t>
        </is>
      </c>
      <c r="B1212" s="1" t="n">
        <v>45792.65047453704</v>
      </c>
      <c r="C1212" s="1" t="n">
        <v>45987</v>
      </c>
      <c r="D1212" t="inlineStr">
        <is>
          <t>JÄMTLANDS LÄN</t>
        </is>
      </c>
      <c r="E1212" t="inlineStr">
        <is>
          <t>HÄRJEDALEN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32964-2024</t>
        </is>
      </c>
      <c r="B1213" s="1" t="n">
        <v>45517.39274305556</v>
      </c>
      <c r="C1213" s="1" t="n">
        <v>45987</v>
      </c>
      <c r="D1213" t="inlineStr">
        <is>
          <t>JÄMTLANDS LÄN</t>
        </is>
      </c>
      <c r="E1213" t="inlineStr">
        <is>
          <t>HÄRJEDALEN</t>
        </is>
      </c>
      <c r="F1213" t="inlineStr">
        <is>
          <t>Kommuner</t>
        </is>
      </c>
      <c r="G1213" t="n">
        <v>30.3</v>
      </c>
      <c r="H1213" t="n">
        <v>0</v>
      </c>
      <c r="I1213" t="n">
        <v>0</v>
      </c>
      <c r="J1213" t="n">
        <v>0</v>
      </c>
      <c r="K1213" t="n">
        <v>0</v>
      </c>
      <c r="L1213" t="n">
        <v>0</v>
      </c>
      <c r="M1213" t="n">
        <v>0</v>
      </c>
      <c r="N1213" t="n">
        <v>0</v>
      </c>
      <c r="O1213" t="n">
        <v>0</v>
      </c>
      <c r="P1213" t="n">
        <v>0</v>
      </c>
      <c r="Q1213" t="n">
        <v>0</v>
      </c>
      <c r="R1213" s="2" t="inlineStr"/>
    </row>
    <row r="1214" ht="15" customHeight="1">
      <c r="A1214" t="inlineStr">
        <is>
          <t>A 23518-2025</t>
        </is>
      </c>
      <c r="B1214" s="1" t="n">
        <v>45792.50942129629</v>
      </c>
      <c r="C1214" s="1" t="n">
        <v>45987</v>
      </c>
      <c r="D1214" t="inlineStr">
        <is>
          <t>JÄMTLANDS LÄN</t>
        </is>
      </c>
      <c r="E1214" t="inlineStr">
        <is>
          <t>HÄRJEDALEN</t>
        </is>
      </c>
      <c r="F1214" t="inlineStr">
        <is>
          <t>Sveaskog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41387-2021</t>
        </is>
      </c>
      <c r="B1215" s="1" t="n">
        <v>44424</v>
      </c>
      <c r="C1215" s="1" t="n">
        <v>45987</v>
      </c>
      <c r="D1215" t="inlineStr">
        <is>
          <t>JÄMTLANDS LÄN</t>
        </is>
      </c>
      <c r="E1215" t="inlineStr">
        <is>
          <t>HÄRJEDALEN</t>
        </is>
      </c>
      <c r="G1215" t="n">
        <v>9.5</v>
      </c>
      <c r="H1215" t="n">
        <v>0</v>
      </c>
      <c r="I1215" t="n">
        <v>0</v>
      </c>
      <c r="J1215" t="n">
        <v>0</v>
      </c>
      <c r="K1215" t="n">
        <v>0</v>
      </c>
      <c r="L1215" t="n">
        <v>0</v>
      </c>
      <c r="M1215" t="n">
        <v>0</v>
      </c>
      <c r="N1215" t="n">
        <v>0</v>
      </c>
      <c r="O1215" t="n">
        <v>0</v>
      </c>
      <c r="P1215" t="n">
        <v>0</v>
      </c>
      <c r="Q1215" t="n">
        <v>0</v>
      </c>
      <c r="R1215" s="2" t="inlineStr"/>
    </row>
    <row r="1216">
      <c r="A1216" t="inlineStr">
        <is>
          <t>A 54678-2024</t>
        </is>
      </c>
      <c r="B1216" s="1" t="n">
        <v>45618.35097222222</v>
      </c>
      <c r="C1216" s="1" t="n">
        <v>45987</v>
      </c>
      <c r="D1216" t="inlineStr">
        <is>
          <t>JÄMTLANDS LÄN</t>
        </is>
      </c>
      <c r="E1216" t="inlineStr">
        <is>
          <t>HÄRJEDALEN</t>
        </is>
      </c>
      <c r="G1216" t="n">
        <v>16.9</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2025-11-26T10:23:53Z</dcterms:created>
  <dcterms:modified xmlns:dcterms="http://purl.org/dc/terms/" xmlns:xsi="http://www.w3.org/2001/XMLSchema-instance" xsi:type="dcterms:W3CDTF">2025-11-26T10:23:54Z</dcterms:modified>
</cp:coreProperties>
</file>