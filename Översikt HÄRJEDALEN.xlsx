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46166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46166</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46166</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46166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43579-2025</t>
        </is>
      </c>
      <c r="B23" s="1" t="n">
        <v>45911</v>
      </c>
      <c r="C23" s="1" t="n">
        <v>46166</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58154-2023</t>
        </is>
      </c>
      <c r="B24" s="1" t="n">
        <v>45250</v>
      </c>
      <c r="C24" s="1" t="n">
        <v>46166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46166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13974-2022</t>
        </is>
      </c>
      <c r="B26" s="1" t="n">
        <v>44650</v>
      </c>
      <c r="C26" s="1" t="n">
        <v>46166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46166</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46166</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46166</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46166</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46166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18164-2026</t>
        </is>
      </c>
      <c r="B32" s="1" t="n">
        <v>46125</v>
      </c>
      <c r="C32" s="1" t="n">
        <v>46166</v>
      </c>
      <c r="D32" t="inlineStr">
        <is>
          <t>JÄMTLANDS LÄN</t>
        </is>
      </c>
      <c r="E32" t="inlineStr">
        <is>
          <t>HÄRJEDALEN</t>
        </is>
      </c>
      <c r="G32" t="n">
        <v>22.8</v>
      </c>
      <c r="H32" t="n">
        <v>3</v>
      </c>
      <c r="I32" t="n">
        <v>2</v>
      </c>
      <c r="J32" t="n">
        <v>12</v>
      </c>
      <c r="K32" t="n">
        <v>0</v>
      </c>
      <c r="L32" t="n">
        <v>0</v>
      </c>
      <c r="M32" t="n">
        <v>0</v>
      </c>
      <c r="N32" t="n">
        <v>0</v>
      </c>
      <c r="O32" t="n">
        <v>12</v>
      </c>
      <c r="P32" t="n">
        <v>0</v>
      </c>
      <c r="Q32" t="n">
        <v>15</v>
      </c>
      <c r="R32" s="2" t="inlineStr">
        <is>
          <t>Blågrå svartspik
Dvärgbägarlav
Garnlav
Granticka
Knottrig blåslav
Kolflarnlav
Mörk kolflarnlav
Tretåig hackspett
Varglav
Vedskivlav
Violettgrå tagellav
Vitgrynig nållav
Dropptaggsvamp
Stuplav
Tjäder</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18916-2022</t>
        </is>
      </c>
      <c r="B33" s="1" t="n">
        <v>44690</v>
      </c>
      <c r="C33" s="1" t="n">
        <v>46166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46166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46166</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46166</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46166</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56499-2024</t>
        </is>
      </c>
      <c r="B38" s="1" t="n">
        <v>45625.49736111111</v>
      </c>
      <c r="C38" s="1" t="n">
        <v>46166</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46166</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31911-2025</t>
        </is>
      </c>
      <c r="B40" s="1" t="n">
        <v>45834</v>
      </c>
      <c r="C40" s="1" t="n">
        <v>46166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38354-2021</t>
        </is>
      </c>
      <c r="B41" s="1" t="n">
        <v>44406</v>
      </c>
      <c r="C41" s="1" t="n">
        <v>46166</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46166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29434-2023</t>
        </is>
      </c>
      <c r="B43" s="1" t="n">
        <v>45106</v>
      </c>
      <c r="C43" s="1" t="n">
        <v>46166</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46166</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46166</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46166</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46166</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46166</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46166</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46166</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46166</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46166</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46166</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46166</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56437-2025</t>
        </is>
      </c>
      <c r="B55" s="1" t="n">
        <v>45975.34710648148</v>
      </c>
      <c r="C55" s="1" t="n">
        <v>46166</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5780-2025</t>
        </is>
      </c>
      <c r="B56" s="1" t="n">
        <v>45694</v>
      </c>
      <c r="C56" s="1" t="n">
        <v>46166</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46166</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16890-2024</t>
        </is>
      </c>
      <c r="B58" s="1" t="n">
        <v>45411</v>
      </c>
      <c r="C58" s="1" t="n">
        <v>46166</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46166</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31367-2025</t>
        </is>
      </c>
      <c r="B60" s="1" t="n">
        <v>45833.43898148148</v>
      </c>
      <c r="C60" s="1" t="n">
        <v>46166</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46166</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46166</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46166</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46166</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65905-2021</t>
        </is>
      </c>
      <c r="B65" s="1" t="n">
        <v>44517</v>
      </c>
      <c r="C65" s="1" t="n">
        <v>46166</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46166</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15256-2026</t>
        </is>
      </c>
      <c r="B67" s="1" t="n">
        <v>46105.58464120371</v>
      </c>
      <c r="C67" s="1" t="n">
        <v>46166</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74075-2021</t>
        </is>
      </c>
      <c r="B68" s="1" t="n">
        <v>44553</v>
      </c>
      <c r="C68" s="1" t="n">
        <v>46166</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46166</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46166</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agg.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42157-2025</t>
        </is>
      </c>
      <c r="B71" s="1" t="n">
        <v>45904.40663194445</v>
      </c>
      <c r="C71" s="1" t="n">
        <v>46166</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42828-2021</t>
        </is>
      </c>
      <c r="B72" s="1" t="n">
        <v>44430</v>
      </c>
      <c r="C72" s="1" t="n">
        <v>46166</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46166</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46166</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46166</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46166</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44450-2024</t>
        </is>
      </c>
      <c r="B77" s="1" t="n">
        <v>45574</v>
      </c>
      <c r="C77" s="1" t="n">
        <v>46166</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46166</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48699-2025</t>
        </is>
      </c>
      <c r="B79" s="1" t="n">
        <v>45936.61651620371</v>
      </c>
      <c r="C79" s="1" t="n">
        <v>46166</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56468-2024</t>
        </is>
      </c>
      <c r="B80" s="1" t="n">
        <v>45625.45384259259</v>
      </c>
      <c r="C80" s="1" t="n">
        <v>46166</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52548-2025</t>
        </is>
      </c>
      <c r="B81" s="1" t="n">
        <v>45954.5528125</v>
      </c>
      <c r="C81" s="1" t="n">
        <v>46166</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agg.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43278-2024</t>
        </is>
      </c>
      <c r="B82" s="1" t="n">
        <v>45568</v>
      </c>
      <c r="C82" s="1" t="n">
        <v>46166</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54196-2024</t>
        </is>
      </c>
      <c r="B83" s="1" t="n">
        <v>45616.6450462963</v>
      </c>
      <c r="C83" s="1" t="n">
        <v>46166</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46166</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31853-2025</t>
        </is>
      </c>
      <c r="B85" s="1" t="n">
        <v>45834</v>
      </c>
      <c r="C85" s="1" t="n">
        <v>46166</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10023-2023</t>
        </is>
      </c>
      <c r="B86" s="1" t="n">
        <v>44979</v>
      </c>
      <c r="C86" s="1" t="n">
        <v>46166</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36522-2025</t>
        </is>
      </c>
      <c r="B87" s="1" t="n">
        <v>45869</v>
      </c>
      <c r="C87" s="1" t="n">
        <v>46166</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55383-2022</t>
        </is>
      </c>
      <c r="B88" s="1" t="n">
        <v>44882</v>
      </c>
      <c r="C88" s="1" t="n">
        <v>46166</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19799-2024</t>
        </is>
      </c>
      <c r="B89" s="1" t="n">
        <v>45432.94736111111</v>
      </c>
      <c r="C89" s="1" t="n">
        <v>46166</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65899-2021</t>
        </is>
      </c>
      <c r="B90" s="1" t="n">
        <v>44517</v>
      </c>
      <c r="C90" s="1" t="n">
        <v>46166</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23570-2026</t>
        </is>
      </c>
      <c r="B91" s="1" t="n">
        <v>46163.5946875</v>
      </c>
      <c r="C91" s="1" t="n">
        <v>46166</v>
      </c>
      <c r="D91" t="inlineStr">
        <is>
          <t>JÄMTLANDS LÄN</t>
        </is>
      </c>
      <c r="E91" t="inlineStr">
        <is>
          <t>HÄRJEDALEN</t>
        </is>
      </c>
      <c r="F91" t="inlineStr">
        <is>
          <t>SCA</t>
        </is>
      </c>
      <c r="G91" t="n">
        <v>7.6</v>
      </c>
      <c r="H91" t="n">
        <v>1</v>
      </c>
      <c r="I91" t="n">
        <v>1</v>
      </c>
      <c r="J91" t="n">
        <v>3</v>
      </c>
      <c r="K91" t="n">
        <v>0</v>
      </c>
      <c r="L91" t="n">
        <v>0</v>
      </c>
      <c r="M91" t="n">
        <v>0</v>
      </c>
      <c r="N91" t="n">
        <v>0</v>
      </c>
      <c r="O91" t="n">
        <v>3</v>
      </c>
      <c r="P91" t="n">
        <v>0</v>
      </c>
      <c r="Q91" t="n">
        <v>5</v>
      </c>
      <c r="R91" s="2" t="inlineStr">
        <is>
          <t>Garnlav
Kolflarnlav
Lunglav
Stuplav
Revlummer</t>
        </is>
      </c>
      <c r="S91">
        <f>HYPERLINK("https://klasma.github.io/Logging_2361/artfynd/A 23570-2026 artfynd.xlsx", "A 23570-2026")</f>
        <v/>
      </c>
      <c r="T91">
        <f>HYPERLINK("https://klasma.github.io/Logging_2361/kartor/A 23570-2026 karta.png", "A 23570-2026")</f>
        <v/>
      </c>
      <c r="V91">
        <f>HYPERLINK("https://klasma.github.io/Logging_2361/klagomål/A 23570-2026 FSC-klagomål.docx", "A 23570-2026")</f>
        <v/>
      </c>
      <c r="W91">
        <f>HYPERLINK("https://klasma.github.io/Logging_2361/klagomålsmail/A 23570-2026 FSC-klagomål mail.docx", "A 23570-2026")</f>
        <v/>
      </c>
      <c r="X91">
        <f>HYPERLINK("https://klasma.github.io/Logging_2361/tillsyn/A 23570-2026 tillsynsbegäran.docx", "A 23570-2026")</f>
        <v/>
      </c>
      <c r="Y91">
        <f>HYPERLINK("https://klasma.github.io/Logging_2361/tillsynsmail/A 23570-2026 tillsynsbegäran mail.docx", "A 23570-2026")</f>
        <v/>
      </c>
    </row>
    <row r="92" ht="15" customHeight="1">
      <c r="A92" t="inlineStr">
        <is>
          <t>A 42982-2025</t>
        </is>
      </c>
      <c r="B92" s="1" t="n">
        <v>45909.4393287037</v>
      </c>
      <c r="C92" s="1" t="n">
        <v>46166</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56483-2023</t>
        </is>
      </c>
      <c r="B93" s="1" t="n">
        <v>45243</v>
      </c>
      <c r="C93" s="1" t="n">
        <v>46166</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56516-2025</t>
        </is>
      </c>
      <c r="B94" s="1" t="n">
        <v>45975.45591435185</v>
      </c>
      <c r="C94" s="1" t="n">
        <v>46166</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46166</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46166</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12663-2026</t>
        </is>
      </c>
      <c r="B97" s="1" t="n">
        <v>46091.51105324074</v>
      </c>
      <c r="C97" s="1" t="n">
        <v>46166</v>
      </c>
      <c r="D97" t="inlineStr">
        <is>
          <t>JÄMTLANDS LÄN</t>
        </is>
      </c>
      <c r="E97" t="inlineStr">
        <is>
          <t>HÄRJEDALEN</t>
        </is>
      </c>
      <c r="F97" t="inlineStr">
        <is>
          <t>SCA</t>
        </is>
      </c>
      <c r="G97" t="n">
        <v>20.1</v>
      </c>
      <c r="H97" t="n">
        <v>5</v>
      </c>
      <c r="I97" t="n">
        <v>0</v>
      </c>
      <c r="J97" t="n">
        <v>4</v>
      </c>
      <c r="K97" t="n">
        <v>0</v>
      </c>
      <c r="L97" t="n">
        <v>1</v>
      </c>
      <c r="M97" t="n">
        <v>0</v>
      </c>
      <c r="N97" t="n">
        <v>0</v>
      </c>
      <c r="O97" t="n">
        <v>5</v>
      </c>
      <c r="P97" t="n">
        <v>1</v>
      </c>
      <c r="Q97" t="n">
        <v>5</v>
      </c>
      <c r="R97" s="2" t="inlineStr">
        <is>
          <t>Grönfink
Järpe
Spillkråka
Talltita
Tretåig hackspett</t>
        </is>
      </c>
      <c r="S97">
        <f>HYPERLINK("https://klasma.github.io/Logging_2361/artfynd/A 12663-2026 artfynd.xlsx", "A 12663-2026")</f>
        <v/>
      </c>
      <c r="T97">
        <f>HYPERLINK("https://klasma.github.io/Logging_2361/kartor/A 12663-2026 karta.png", "A 12663-2026")</f>
        <v/>
      </c>
      <c r="V97">
        <f>HYPERLINK("https://klasma.github.io/Logging_2361/klagomål/A 12663-2026 FSC-klagomål.docx", "A 12663-2026")</f>
        <v/>
      </c>
      <c r="W97">
        <f>HYPERLINK("https://klasma.github.io/Logging_2361/klagomålsmail/A 12663-2026 FSC-klagomål mail.docx", "A 12663-2026")</f>
        <v/>
      </c>
      <c r="X97">
        <f>HYPERLINK("https://klasma.github.io/Logging_2361/tillsyn/A 12663-2026 tillsynsbegäran.docx", "A 12663-2026")</f>
        <v/>
      </c>
      <c r="Y97">
        <f>HYPERLINK("https://klasma.github.io/Logging_2361/tillsynsmail/A 12663-2026 tillsynsbegäran mail.docx", "A 12663-2026")</f>
        <v/>
      </c>
      <c r="Z97">
        <f>HYPERLINK("https://klasma.github.io/Logging_2361/fåglar/A 12663-2026 prioriterade fågelarter.docx", "A 12663-2026")</f>
        <v/>
      </c>
    </row>
    <row r="98" ht="15" customHeight="1">
      <c r="A98" t="inlineStr">
        <is>
          <t>A 19977-2026</t>
        </is>
      </c>
      <c r="B98" s="1" t="n">
        <v>46136.4434837963</v>
      </c>
      <c r="C98" s="1" t="n">
        <v>46166</v>
      </c>
      <c r="D98" t="inlineStr">
        <is>
          <t>JÄMTLANDS LÄN</t>
        </is>
      </c>
      <c r="E98" t="inlineStr">
        <is>
          <t>HÄRJEDALEN</t>
        </is>
      </c>
      <c r="F98" t="inlineStr">
        <is>
          <t>Holmen skog AB</t>
        </is>
      </c>
      <c r="G98" t="n">
        <v>2.9</v>
      </c>
      <c r="H98" t="n">
        <v>0</v>
      </c>
      <c r="I98" t="n">
        <v>2</v>
      </c>
      <c r="J98" t="n">
        <v>3</v>
      </c>
      <c r="K98" t="n">
        <v>0</v>
      </c>
      <c r="L98" t="n">
        <v>0</v>
      </c>
      <c r="M98" t="n">
        <v>0</v>
      </c>
      <c r="N98" t="n">
        <v>0</v>
      </c>
      <c r="O98" t="n">
        <v>3</v>
      </c>
      <c r="P98" t="n">
        <v>0</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42826-2021</t>
        </is>
      </c>
      <c r="B99" s="1" t="n">
        <v>44430</v>
      </c>
      <c r="C99" s="1" t="n">
        <v>46166</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36249-2022</t>
        </is>
      </c>
      <c r="B100" s="1" t="n">
        <v>44803</v>
      </c>
      <c r="C100" s="1" t="n">
        <v>46166</v>
      </c>
      <c r="D100" t="inlineStr">
        <is>
          <t>JÄMTLANDS LÄN</t>
        </is>
      </c>
      <c r="E100" t="inlineStr">
        <is>
          <t>HÄRJEDALEN</t>
        </is>
      </c>
      <c r="G100" t="n">
        <v>7.2</v>
      </c>
      <c r="H100" t="n">
        <v>1</v>
      </c>
      <c r="I100" t="n">
        <v>0</v>
      </c>
      <c r="J100" t="n">
        <v>4</v>
      </c>
      <c r="K100" t="n">
        <v>0</v>
      </c>
      <c r="L100" t="n">
        <v>0</v>
      </c>
      <c r="M100" t="n">
        <v>0</v>
      </c>
      <c r="N100" t="n">
        <v>0</v>
      </c>
      <c r="O100" t="n">
        <v>4</v>
      </c>
      <c r="P100" t="n">
        <v>0</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999-2025</t>
        </is>
      </c>
      <c r="B101" s="1" t="n">
        <v>45666</v>
      </c>
      <c r="C101" s="1" t="n">
        <v>46166</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46166</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24955-2023</t>
        </is>
      </c>
      <c r="B103" s="1" t="n">
        <v>45085</v>
      </c>
      <c r="C103" s="1" t="n">
        <v>46166</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8587-2023</t>
        </is>
      </c>
      <c r="B104" s="1" t="n">
        <v>44977</v>
      </c>
      <c r="C104" s="1" t="n">
        <v>46166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46166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46166</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4757-2023</t>
        </is>
      </c>
      <c r="B107" s="1" t="n">
        <v>44957</v>
      </c>
      <c r="C107" s="1" t="n">
        <v>46166</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41549-2025</t>
        </is>
      </c>
      <c r="B108" s="1" t="n">
        <v>45901.58591435185</v>
      </c>
      <c r="C108" s="1" t="n">
        <v>46166</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43906-2025</t>
        </is>
      </c>
      <c r="B109" s="1" t="n">
        <v>45913.82180555556</v>
      </c>
      <c r="C109" s="1" t="n">
        <v>46166</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55641-2021</t>
        </is>
      </c>
      <c r="B110" s="1" t="n">
        <v>44476</v>
      </c>
      <c r="C110" s="1" t="n">
        <v>46166</v>
      </c>
      <c r="D110" t="inlineStr">
        <is>
          <t>JÄMTLANDS LÄN</t>
        </is>
      </c>
      <c r="E110" t="inlineStr">
        <is>
          <t>HÄRJEDALEN</t>
        </is>
      </c>
      <c r="G110" t="n">
        <v>7.6</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55641-2021 artfynd.xlsx", "A 55641-2021")</f>
        <v/>
      </c>
      <c r="T110">
        <f>HYPERLINK("https://klasma.github.io/Logging_2361/kartor/A 55641-2021 karta.png", "A 55641-2021")</f>
        <v/>
      </c>
      <c r="V110">
        <f>HYPERLINK("https://klasma.github.io/Logging_2361/klagomål/A 55641-2021 FSC-klagomål.docx", "A 55641-2021")</f>
        <v/>
      </c>
      <c r="W110">
        <f>HYPERLINK("https://klasma.github.io/Logging_2361/klagomålsmail/A 55641-2021 FSC-klagomål mail.docx", "A 55641-2021")</f>
        <v/>
      </c>
      <c r="X110">
        <f>HYPERLINK("https://klasma.github.io/Logging_2361/tillsyn/A 55641-2021 tillsynsbegäran.docx", "A 55641-2021")</f>
        <v/>
      </c>
      <c r="Y110">
        <f>HYPERLINK("https://klasma.github.io/Logging_2361/tillsynsmail/A 55641-2021 tillsynsbegäran mail.docx", "A 55641-2021")</f>
        <v/>
      </c>
      <c r="Z110">
        <f>HYPERLINK("https://klasma.github.io/Logging_2361/fåglar/A 55641-2021 prioriterade fågelarter.docx", "A 55641-2021")</f>
        <v/>
      </c>
    </row>
    <row r="111" ht="15" customHeight="1">
      <c r="A111" t="inlineStr">
        <is>
          <t>A 52017-2025</t>
        </is>
      </c>
      <c r="B111" s="1" t="n">
        <v>45952.59800925926</v>
      </c>
      <c r="C111" s="1" t="n">
        <v>46166</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46166</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46166</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41068-2024</t>
        </is>
      </c>
      <c r="B114" s="1" t="n">
        <v>45559.38894675926</v>
      </c>
      <c r="C114" s="1" t="n">
        <v>46166</v>
      </c>
      <c r="D114" t="inlineStr">
        <is>
          <t>JÄMTLANDS LÄN</t>
        </is>
      </c>
      <c r="E114" t="inlineStr">
        <is>
          <t>HÄRJEDALEN</t>
        </is>
      </c>
      <c r="F114" t="inlineStr">
        <is>
          <t>Bergvik skog väst AB</t>
        </is>
      </c>
      <c r="G114" t="n">
        <v>51.1</v>
      </c>
      <c r="H114" t="n">
        <v>2</v>
      </c>
      <c r="I114" t="n">
        <v>0</v>
      </c>
      <c r="J114" t="n">
        <v>4</v>
      </c>
      <c r="K114" t="n">
        <v>0</v>
      </c>
      <c r="L114" t="n">
        <v>0</v>
      </c>
      <c r="M114" t="n">
        <v>0</v>
      </c>
      <c r="N114" t="n">
        <v>0</v>
      </c>
      <c r="O114" t="n">
        <v>4</v>
      </c>
      <c r="P114" t="n">
        <v>0</v>
      </c>
      <c r="Q114" t="n">
        <v>4</v>
      </c>
      <c r="R114" s="2" t="inlineStr">
        <is>
          <t>Granticka
Spillkråka
Tretåig hackspett
Ullticka</t>
        </is>
      </c>
      <c r="S114">
        <f>HYPERLINK("https://klasma.github.io/Logging_2361/artfynd/A 41068-2024 artfynd.xlsx", "A 41068-2024")</f>
        <v/>
      </c>
      <c r="T114">
        <f>HYPERLINK("https://klasma.github.io/Logging_2361/kartor/A 41068-2024 karta.png", "A 41068-2024")</f>
        <v/>
      </c>
      <c r="V114">
        <f>HYPERLINK("https://klasma.github.io/Logging_2361/klagomål/A 41068-2024 FSC-klagomål.docx", "A 41068-2024")</f>
        <v/>
      </c>
      <c r="W114">
        <f>HYPERLINK("https://klasma.github.io/Logging_2361/klagomålsmail/A 41068-2024 FSC-klagomål mail.docx", "A 41068-2024")</f>
        <v/>
      </c>
      <c r="X114">
        <f>HYPERLINK("https://klasma.github.io/Logging_2361/tillsyn/A 41068-2024 tillsynsbegäran.docx", "A 41068-2024")</f>
        <v/>
      </c>
      <c r="Y114">
        <f>HYPERLINK("https://klasma.github.io/Logging_2361/tillsynsmail/A 41068-2024 tillsynsbegäran mail.docx", "A 41068-2024")</f>
        <v/>
      </c>
      <c r="Z114">
        <f>HYPERLINK("https://klasma.github.io/Logging_2361/fåglar/A 41068-2024 prioriterade fågelarter.docx", "A 41068-2024")</f>
        <v/>
      </c>
    </row>
    <row r="115" ht="15" customHeight="1">
      <c r="A115" t="inlineStr">
        <is>
          <t>A 5795-2025</t>
        </is>
      </c>
      <c r="B115" s="1" t="n">
        <v>45694</v>
      </c>
      <c r="C115" s="1" t="n">
        <v>46166</v>
      </c>
      <c r="D115" t="inlineStr">
        <is>
          <t>JÄMTLANDS LÄN</t>
        </is>
      </c>
      <c r="E115" t="inlineStr">
        <is>
          <t>HÄRJEDALEN</t>
        </is>
      </c>
      <c r="G115" t="n">
        <v>8.4</v>
      </c>
      <c r="H115" t="n">
        <v>0</v>
      </c>
      <c r="I115" t="n">
        <v>1</v>
      </c>
      <c r="J115" t="n">
        <v>3</v>
      </c>
      <c r="K115" t="n">
        <v>0</v>
      </c>
      <c r="L115" t="n">
        <v>0</v>
      </c>
      <c r="M115" t="n">
        <v>0</v>
      </c>
      <c r="N115" t="n">
        <v>0</v>
      </c>
      <c r="O115" t="n">
        <v>3</v>
      </c>
      <c r="P115" t="n">
        <v>0</v>
      </c>
      <c r="Q115" t="n">
        <v>4</v>
      </c>
      <c r="R115" s="2" t="inlineStr">
        <is>
          <t>Garnlav
Granticka
Ullticka
Vedticka</t>
        </is>
      </c>
      <c r="S115">
        <f>HYPERLINK("https://klasma.github.io/Logging_2361/artfynd/A 5795-2025 artfynd.xlsx", "A 5795-2025")</f>
        <v/>
      </c>
      <c r="T115">
        <f>HYPERLINK("https://klasma.github.io/Logging_2361/kartor/A 5795-2025 karta.png", "A 5795-2025")</f>
        <v/>
      </c>
      <c r="V115">
        <f>HYPERLINK("https://klasma.github.io/Logging_2361/klagomål/A 5795-2025 FSC-klagomål.docx", "A 5795-2025")</f>
        <v/>
      </c>
      <c r="W115">
        <f>HYPERLINK("https://klasma.github.io/Logging_2361/klagomålsmail/A 5795-2025 FSC-klagomål mail.docx", "A 5795-2025")</f>
        <v/>
      </c>
      <c r="X115">
        <f>HYPERLINK("https://klasma.github.io/Logging_2361/tillsyn/A 5795-2025 tillsynsbegäran.docx", "A 5795-2025")</f>
        <v/>
      </c>
      <c r="Y115">
        <f>HYPERLINK("https://klasma.github.io/Logging_2361/tillsynsmail/A 5795-2025 tillsynsbegäran mail.docx", "A 5795-2025")</f>
        <v/>
      </c>
    </row>
    <row r="116" ht="15" customHeight="1">
      <c r="A116" t="inlineStr">
        <is>
          <t>A 33421-2021</t>
        </is>
      </c>
      <c r="B116" s="1" t="n">
        <v>44377</v>
      </c>
      <c r="C116" s="1" t="n">
        <v>46166</v>
      </c>
      <c r="D116" t="inlineStr">
        <is>
          <t>JÄMTLANDS LÄN</t>
        </is>
      </c>
      <c r="E116" t="inlineStr">
        <is>
          <t>HÄRJEDALEN</t>
        </is>
      </c>
      <c r="G116" t="n">
        <v>47.1</v>
      </c>
      <c r="H116" t="n">
        <v>3</v>
      </c>
      <c r="I116" t="n">
        <v>0</v>
      </c>
      <c r="J116" t="n">
        <v>3</v>
      </c>
      <c r="K116" t="n">
        <v>0</v>
      </c>
      <c r="L116" t="n">
        <v>0</v>
      </c>
      <c r="M116" t="n">
        <v>0</v>
      </c>
      <c r="N116" t="n">
        <v>0</v>
      </c>
      <c r="O116" t="n">
        <v>3</v>
      </c>
      <c r="P116" t="n">
        <v>0</v>
      </c>
      <c r="Q116" t="n">
        <v>4</v>
      </c>
      <c r="R116" s="2" t="inlineStr">
        <is>
          <t>Gultoppig fingersvamp
Svartvit flugsnappare
Talltita
Lavskrika</t>
        </is>
      </c>
      <c r="S116">
        <f>HYPERLINK("https://klasma.github.io/Logging_2361/artfynd/A 33421-2021 artfynd.xlsx", "A 33421-2021")</f>
        <v/>
      </c>
      <c r="T116">
        <f>HYPERLINK("https://klasma.github.io/Logging_2361/kartor/A 33421-2021 karta.png", "A 33421-2021")</f>
        <v/>
      </c>
      <c r="V116">
        <f>HYPERLINK("https://klasma.github.io/Logging_2361/klagomål/A 33421-2021 FSC-klagomål.docx", "A 33421-2021")</f>
        <v/>
      </c>
      <c r="W116">
        <f>HYPERLINK("https://klasma.github.io/Logging_2361/klagomålsmail/A 33421-2021 FSC-klagomål mail.docx", "A 33421-2021")</f>
        <v/>
      </c>
      <c r="X116">
        <f>HYPERLINK("https://klasma.github.io/Logging_2361/tillsyn/A 33421-2021 tillsynsbegäran.docx", "A 33421-2021")</f>
        <v/>
      </c>
      <c r="Y116">
        <f>HYPERLINK("https://klasma.github.io/Logging_2361/tillsynsmail/A 33421-2021 tillsynsbegäran mail.docx", "A 33421-2021")</f>
        <v/>
      </c>
      <c r="Z116">
        <f>HYPERLINK("https://klasma.github.io/Logging_2361/fåglar/A 33421-2021 prioriterade fågelarter.docx", "A 33421-2021")</f>
        <v/>
      </c>
    </row>
    <row r="117" ht="15" customHeight="1">
      <c r="A117" t="inlineStr">
        <is>
          <t>A 35457-2024</t>
        </is>
      </c>
      <c r="B117" s="1" t="n">
        <v>45531.45752314815</v>
      </c>
      <c r="C117" s="1" t="n">
        <v>46166</v>
      </c>
      <c r="D117" t="inlineStr">
        <is>
          <t>JÄMTLANDS LÄN</t>
        </is>
      </c>
      <c r="E117" t="inlineStr">
        <is>
          <t>HÄRJEDALEN</t>
        </is>
      </c>
      <c r="G117" t="n">
        <v>4.2</v>
      </c>
      <c r="H117" t="n">
        <v>1</v>
      </c>
      <c r="I117" t="n">
        <v>0</v>
      </c>
      <c r="J117" t="n">
        <v>4</v>
      </c>
      <c r="K117" t="n">
        <v>0</v>
      </c>
      <c r="L117" t="n">
        <v>0</v>
      </c>
      <c r="M117" t="n">
        <v>0</v>
      </c>
      <c r="N117" t="n">
        <v>0</v>
      </c>
      <c r="O117" t="n">
        <v>4</v>
      </c>
      <c r="P117" t="n">
        <v>0</v>
      </c>
      <c r="Q117" t="n">
        <v>4</v>
      </c>
      <c r="R117" s="2" t="inlineStr">
        <is>
          <t>Dvärgbägarlav
Kolflarnlav
Mörk kolflarnlav
Varglav</t>
        </is>
      </c>
      <c r="S117">
        <f>HYPERLINK("https://klasma.github.io/Logging_2361/artfynd/A 35457-2024 artfynd.xlsx", "A 35457-2024")</f>
        <v/>
      </c>
      <c r="T117">
        <f>HYPERLINK("https://klasma.github.io/Logging_2361/kartor/A 35457-2024 karta.png", "A 35457-2024")</f>
        <v/>
      </c>
      <c r="V117">
        <f>HYPERLINK("https://klasma.github.io/Logging_2361/klagomål/A 35457-2024 FSC-klagomål.docx", "A 35457-2024")</f>
        <v/>
      </c>
      <c r="W117">
        <f>HYPERLINK("https://klasma.github.io/Logging_2361/klagomålsmail/A 35457-2024 FSC-klagomål mail.docx", "A 35457-2024")</f>
        <v/>
      </c>
      <c r="X117">
        <f>HYPERLINK("https://klasma.github.io/Logging_2361/tillsyn/A 35457-2024 tillsynsbegäran.docx", "A 35457-2024")</f>
        <v/>
      </c>
      <c r="Y117">
        <f>HYPERLINK("https://klasma.github.io/Logging_2361/tillsynsmail/A 35457-2024 tillsynsbegäran mail.docx", "A 35457-2024")</f>
        <v/>
      </c>
    </row>
    <row r="118" ht="15" customHeight="1">
      <c r="A118" t="inlineStr">
        <is>
          <t>A 14059-2023</t>
        </is>
      </c>
      <c r="B118" s="1" t="n">
        <v>45007</v>
      </c>
      <c r="C118" s="1" t="n">
        <v>46166</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32676-2025</t>
        </is>
      </c>
      <c r="B119" s="1" t="n">
        <v>45838.73927083334</v>
      </c>
      <c r="C119" s="1" t="n">
        <v>46166</v>
      </c>
      <c r="D119" t="inlineStr">
        <is>
          <t>JÄMTLANDS LÄN</t>
        </is>
      </c>
      <c r="E119" t="inlineStr">
        <is>
          <t>HÄRJEDALEN</t>
        </is>
      </c>
      <c r="F119" t="inlineStr">
        <is>
          <t>Sveaskog</t>
        </is>
      </c>
      <c r="G119" t="n">
        <v>51</v>
      </c>
      <c r="H119" t="n">
        <v>1</v>
      </c>
      <c r="I119" t="n">
        <v>0</v>
      </c>
      <c r="J119" t="n">
        <v>2</v>
      </c>
      <c r="K119" t="n">
        <v>0</v>
      </c>
      <c r="L119" t="n">
        <v>1</v>
      </c>
      <c r="M119" t="n">
        <v>0</v>
      </c>
      <c r="N119" t="n">
        <v>0</v>
      </c>
      <c r="O119" t="n">
        <v>3</v>
      </c>
      <c r="P119" t="n">
        <v>1</v>
      </c>
      <c r="Q119" t="n">
        <v>4</v>
      </c>
      <c r="R119" s="2" t="inlineStr">
        <is>
          <t>Broktagel
Knottrig blåslav
Lunglav
Fläcknycklar</t>
        </is>
      </c>
      <c r="S119">
        <f>HYPERLINK("https://klasma.github.io/Logging_2361/artfynd/A 32676-2025 artfynd.xlsx", "A 32676-2025")</f>
        <v/>
      </c>
      <c r="T119">
        <f>HYPERLINK("https://klasma.github.io/Logging_2361/kartor/A 32676-2025 karta.png", "A 32676-2025")</f>
        <v/>
      </c>
      <c r="V119">
        <f>HYPERLINK("https://klasma.github.io/Logging_2361/klagomål/A 32676-2025 FSC-klagomål.docx", "A 32676-2025")</f>
        <v/>
      </c>
      <c r="W119">
        <f>HYPERLINK("https://klasma.github.io/Logging_2361/klagomålsmail/A 32676-2025 FSC-klagomål mail.docx", "A 32676-2025")</f>
        <v/>
      </c>
      <c r="X119">
        <f>HYPERLINK("https://klasma.github.io/Logging_2361/tillsyn/A 32676-2025 tillsynsbegäran.docx", "A 32676-2025")</f>
        <v/>
      </c>
      <c r="Y119">
        <f>HYPERLINK("https://klasma.github.io/Logging_2361/tillsynsmail/A 32676-2025 tillsynsbegäran mail.docx", "A 32676-2025")</f>
        <v/>
      </c>
    </row>
    <row r="120" ht="15" customHeight="1">
      <c r="A120" t="inlineStr">
        <is>
          <t>A 55244-2021</t>
        </is>
      </c>
      <c r="B120" s="1" t="n">
        <v>44475</v>
      </c>
      <c r="C120" s="1" t="n">
        <v>46166</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46166</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46166</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46166</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46166</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34814-2025</t>
        </is>
      </c>
      <c r="B125" s="1" t="n">
        <v>45849.35011574074</v>
      </c>
      <c r="C125" s="1" t="n">
        <v>46166</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55855-2025</t>
        </is>
      </c>
      <c r="B126" s="1" t="n">
        <v>45973</v>
      </c>
      <c r="C126" s="1" t="n">
        <v>46166</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46166</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46166</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26225-2024</t>
        </is>
      </c>
      <c r="B129" s="1" t="n">
        <v>45468</v>
      </c>
      <c r="C129" s="1" t="n">
        <v>46166</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23337-2025</t>
        </is>
      </c>
      <c r="B130" s="1" t="n">
        <v>45791</v>
      </c>
      <c r="C130" s="1" t="n">
        <v>46166</v>
      </c>
      <c r="D130" t="inlineStr">
        <is>
          <t>JÄMTLANDS LÄN</t>
        </is>
      </c>
      <c r="E130" t="inlineStr">
        <is>
          <t>HÄRJEDALEN</t>
        </is>
      </c>
      <c r="G130" t="n">
        <v>5.9</v>
      </c>
      <c r="H130" t="n">
        <v>0</v>
      </c>
      <c r="I130" t="n">
        <v>0</v>
      </c>
      <c r="J130" t="n">
        <v>3</v>
      </c>
      <c r="K130" t="n">
        <v>0</v>
      </c>
      <c r="L130" t="n">
        <v>0</v>
      </c>
      <c r="M130" t="n">
        <v>0</v>
      </c>
      <c r="N130" t="n">
        <v>0</v>
      </c>
      <c r="O130" t="n">
        <v>3</v>
      </c>
      <c r="P130" t="n">
        <v>0</v>
      </c>
      <c r="Q130" t="n">
        <v>3</v>
      </c>
      <c r="R130" s="2" t="inlineStr">
        <is>
          <t>Dvärgbägarlav
Knottrig blåslav
Vedskivlav</t>
        </is>
      </c>
      <c r="S130">
        <f>HYPERLINK("https://klasma.github.io/Logging_2361/artfynd/A 23337-2025 artfynd.xlsx", "A 23337-2025")</f>
        <v/>
      </c>
      <c r="T130">
        <f>HYPERLINK("https://klasma.github.io/Logging_2361/kartor/A 23337-2025 karta.png", "A 23337-2025")</f>
        <v/>
      </c>
      <c r="V130">
        <f>HYPERLINK("https://klasma.github.io/Logging_2361/klagomål/A 23337-2025 FSC-klagomål.docx", "A 23337-2025")</f>
        <v/>
      </c>
      <c r="W130">
        <f>HYPERLINK("https://klasma.github.io/Logging_2361/klagomålsmail/A 23337-2025 FSC-klagomål mail.docx", "A 23337-2025")</f>
        <v/>
      </c>
      <c r="X130">
        <f>HYPERLINK("https://klasma.github.io/Logging_2361/tillsyn/A 23337-2025 tillsynsbegäran.docx", "A 23337-2025")</f>
        <v/>
      </c>
      <c r="Y130">
        <f>HYPERLINK("https://klasma.github.io/Logging_2361/tillsynsmail/A 23337-2025 tillsynsbegäran mail.docx", "A 23337-2025")</f>
        <v/>
      </c>
    </row>
    <row r="131" ht="15" customHeight="1">
      <c r="A131" t="inlineStr">
        <is>
          <t>A 25107-2025</t>
        </is>
      </c>
      <c r="B131" s="1" t="n">
        <v>45800.3484375</v>
      </c>
      <c r="C131" s="1" t="n">
        <v>46166</v>
      </c>
      <c r="D131" t="inlineStr">
        <is>
          <t>JÄMTLANDS LÄN</t>
        </is>
      </c>
      <c r="E131" t="inlineStr">
        <is>
          <t>HÄRJEDALEN</t>
        </is>
      </c>
      <c r="F131" t="inlineStr">
        <is>
          <t>Holmen skog AB</t>
        </is>
      </c>
      <c r="G131" t="n">
        <v>2</v>
      </c>
      <c r="H131" t="n">
        <v>0</v>
      </c>
      <c r="I131" t="n">
        <v>0</v>
      </c>
      <c r="J131" t="n">
        <v>3</v>
      </c>
      <c r="K131" t="n">
        <v>0</v>
      </c>
      <c r="L131" t="n">
        <v>0</v>
      </c>
      <c r="M131" t="n">
        <v>0</v>
      </c>
      <c r="N131" t="n">
        <v>0</v>
      </c>
      <c r="O131" t="n">
        <v>3</v>
      </c>
      <c r="P131" t="n">
        <v>0</v>
      </c>
      <c r="Q131" t="n">
        <v>3</v>
      </c>
      <c r="R131" s="2" t="inlineStr">
        <is>
          <t>Blanksvart spiklav
Vedflamlav
Vedskivlav</t>
        </is>
      </c>
      <c r="S131">
        <f>HYPERLINK("https://klasma.github.io/Logging_2361/artfynd/A 25107-2025 artfynd.xlsx", "A 25107-2025")</f>
        <v/>
      </c>
      <c r="T131">
        <f>HYPERLINK("https://klasma.github.io/Logging_2361/kartor/A 25107-2025 karta.png", "A 25107-2025")</f>
        <v/>
      </c>
      <c r="V131">
        <f>HYPERLINK("https://klasma.github.io/Logging_2361/klagomål/A 25107-2025 FSC-klagomål.docx", "A 25107-2025")</f>
        <v/>
      </c>
      <c r="W131">
        <f>HYPERLINK("https://klasma.github.io/Logging_2361/klagomålsmail/A 25107-2025 FSC-klagomål mail.docx", "A 25107-2025")</f>
        <v/>
      </c>
      <c r="X131">
        <f>HYPERLINK("https://klasma.github.io/Logging_2361/tillsyn/A 25107-2025 tillsynsbegäran.docx", "A 25107-2025")</f>
        <v/>
      </c>
      <c r="Y131">
        <f>HYPERLINK("https://klasma.github.io/Logging_2361/tillsynsmail/A 25107-2025 tillsynsbegäran mail.docx", "A 25107-2025")</f>
        <v/>
      </c>
    </row>
    <row r="132" ht="15" customHeight="1">
      <c r="A132" t="inlineStr">
        <is>
          <t>A 29098-2025</t>
        </is>
      </c>
      <c r="B132" s="1" t="n">
        <v>45821.56523148148</v>
      </c>
      <c r="C132" s="1" t="n">
        <v>46166</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46166</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17082-2022</t>
        </is>
      </c>
      <c r="B134" s="1" t="n">
        <v>44677</v>
      </c>
      <c r="C134" s="1" t="n">
        <v>46166</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54364-2024</t>
        </is>
      </c>
      <c r="B135" s="1" t="n">
        <v>45617</v>
      </c>
      <c r="C135" s="1" t="n">
        <v>46166</v>
      </c>
      <c r="D135" t="inlineStr">
        <is>
          <t>JÄMTLANDS LÄN</t>
        </is>
      </c>
      <c r="E135" t="inlineStr">
        <is>
          <t>HÄRJEDALEN</t>
        </is>
      </c>
      <c r="F135" t="inlineStr">
        <is>
          <t>Holmen skog AB</t>
        </is>
      </c>
      <c r="G135" t="n">
        <v>41.1</v>
      </c>
      <c r="H135" t="n">
        <v>0</v>
      </c>
      <c r="I135" t="n">
        <v>0</v>
      </c>
      <c r="J135" t="n">
        <v>2</v>
      </c>
      <c r="K135" t="n">
        <v>0</v>
      </c>
      <c r="L135" t="n">
        <v>0</v>
      </c>
      <c r="M135" t="n">
        <v>0</v>
      </c>
      <c r="N135" t="n">
        <v>0</v>
      </c>
      <c r="O135" t="n">
        <v>2</v>
      </c>
      <c r="P135" t="n">
        <v>0</v>
      </c>
      <c r="Q135" t="n">
        <v>2</v>
      </c>
      <c r="R135" s="2" t="inlineStr">
        <is>
          <t>Garnlav
Vedskivlav</t>
        </is>
      </c>
      <c r="S135">
        <f>HYPERLINK("https://klasma.github.io/Logging_2361/artfynd/A 54364-2024 artfynd.xlsx", "A 54364-2024")</f>
        <v/>
      </c>
      <c r="T135">
        <f>HYPERLINK("https://klasma.github.io/Logging_2361/kartor/A 54364-2024 karta.png", "A 54364-2024")</f>
        <v/>
      </c>
      <c r="V135">
        <f>HYPERLINK("https://klasma.github.io/Logging_2361/klagomål/A 54364-2024 FSC-klagomål.docx", "A 54364-2024")</f>
        <v/>
      </c>
      <c r="W135">
        <f>HYPERLINK("https://klasma.github.io/Logging_2361/klagomålsmail/A 54364-2024 FSC-klagomål mail.docx", "A 54364-2024")</f>
        <v/>
      </c>
      <c r="X135">
        <f>HYPERLINK("https://klasma.github.io/Logging_2361/tillsyn/A 54364-2024 tillsynsbegäran.docx", "A 54364-2024")</f>
        <v/>
      </c>
      <c r="Y135">
        <f>HYPERLINK("https://klasma.github.io/Logging_2361/tillsynsmail/A 54364-2024 tillsynsbegäran mail.docx", "A 54364-2024")</f>
        <v/>
      </c>
    </row>
    <row r="136" ht="15" customHeight="1">
      <c r="A136" t="inlineStr">
        <is>
          <t>A 47348-2022</t>
        </is>
      </c>
      <c r="B136" s="1" t="n">
        <v>44853</v>
      </c>
      <c r="C136" s="1" t="n">
        <v>46166</v>
      </c>
      <c r="D136" t="inlineStr">
        <is>
          <t>JÄMTLANDS LÄN</t>
        </is>
      </c>
      <c r="E136" t="inlineStr">
        <is>
          <t>HÄRJEDALEN</t>
        </is>
      </c>
      <c r="G136" t="n">
        <v>2</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47348-2022 artfynd.xlsx", "A 47348-2022")</f>
        <v/>
      </c>
      <c r="T136">
        <f>HYPERLINK("https://klasma.github.io/Logging_2361/kartor/A 47348-2022 karta.png", "A 47348-2022")</f>
        <v/>
      </c>
      <c r="U136">
        <f>HYPERLINK("https://klasma.github.io/Logging_2361/knärot/A 47348-2022 karta knärot.png", "A 47348-2022")</f>
        <v/>
      </c>
      <c r="V136">
        <f>HYPERLINK("https://klasma.github.io/Logging_2361/klagomål/A 47348-2022 FSC-klagomål.docx", "A 47348-2022")</f>
        <v/>
      </c>
      <c r="W136">
        <f>HYPERLINK("https://klasma.github.io/Logging_2361/klagomålsmail/A 47348-2022 FSC-klagomål mail.docx", "A 47348-2022")</f>
        <v/>
      </c>
      <c r="X136">
        <f>HYPERLINK("https://klasma.github.io/Logging_2361/tillsyn/A 47348-2022 tillsynsbegäran.docx", "A 47348-2022")</f>
        <v/>
      </c>
      <c r="Y136">
        <f>HYPERLINK("https://klasma.github.io/Logging_2361/tillsynsmail/A 47348-2022 tillsynsbegäran mail.docx", "A 47348-2022")</f>
        <v/>
      </c>
    </row>
    <row r="137" ht="15" customHeight="1">
      <c r="A137" t="inlineStr">
        <is>
          <t>A 10344-2023</t>
        </is>
      </c>
      <c r="B137" s="1" t="n">
        <v>44987</v>
      </c>
      <c r="C137" s="1" t="n">
        <v>46166</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16185-2024</t>
        </is>
      </c>
      <c r="B138" s="1" t="n">
        <v>45406</v>
      </c>
      <c r="C138" s="1" t="n">
        <v>46166</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20035-2025</t>
        </is>
      </c>
      <c r="B139" s="1" t="n">
        <v>45772.36488425926</v>
      </c>
      <c r="C139" s="1" t="n">
        <v>46166</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46166</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22404-2026</t>
        </is>
      </c>
      <c r="B141" s="1" t="n">
        <v>46154.65898148148</v>
      </c>
      <c r="C141" s="1" t="n">
        <v>46166</v>
      </c>
      <c r="D141" t="inlineStr">
        <is>
          <t>JÄMTLANDS LÄN</t>
        </is>
      </c>
      <c r="E141" t="inlineStr">
        <is>
          <t>HÄRJEDALEN</t>
        </is>
      </c>
      <c r="F141" t="inlineStr">
        <is>
          <t>Holmen skog AB</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HYPERLINK("https://klasma.github.io/Logging_2361/artfynd/A 22404-2026 artfynd.xlsx", "A 22404-2026")</f>
        <v/>
      </c>
      <c r="T141">
        <f>HYPERLINK("https://klasma.github.io/Logging_2361/kartor/A 22404-2026 karta.png", "A 22404-2026")</f>
        <v/>
      </c>
      <c r="V141">
        <f>HYPERLINK("https://klasma.github.io/Logging_2361/klagomål/A 22404-2026 FSC-klagomål.docx", "A 22404-2026")</f>
        <v/>
      </c>
      <c r="W141">
        <f>HYPERLINK("https://klasma.github.io/Logging_2361/klagomålsmail/A 22404-2026 FSC-klagomål mail.docx", "A 22404-2026")</f>
        <v/>
      </c>
      <c r="X141">
        <f>HYPERLINK("https://klasma.github.io/Logging_2361/tillsyn/A 22404-2026 tillsynsbegäran.docx", "A 22404-2026")</f>
        <v/>
      </c>
      <c r="Y141">
        <f>HYPERLINK("https://klasma.github.io/Logging_2361/tillsynsmail/A 22404-2026 tillsynsbegäran mail.docx", "A 22404-2026")</f>
        <v/>
      </c>
    </row>
    <row r="142" ht="15" customHeight="1">
      <c r="A142" t="inlineStr">
        <is>
          <t>A 40789-2025</t>
        </is>
      </c>
      <c r="B142" s="1" t="n">
        <v>45897.44645833333</v>
      </c>
      <c r="C142" s="1" t="n">
        <v>46166</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29710-2024</t>
        </is>
      </c>
      <c r="B143" s="1" t="n">
        <v>45485</v>
      </c>
      <c r="C143" s="1" t="n">
        <v>46166</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46166</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29729-2024</t>
        </is>
      </c>
      <c r="B145" s="1" t="n">
        <v>45485</v>
      </c>
      <c r="C145" s="1" t="n">
        <v>46166</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42600-2025</t>
        </is>
      </c>
      <c r="B146" s="1" t="n">
        <v>45905.66966435185</v>
      </c>
      <c r="C146" s="1" t="n">
        <v>46166</v>
      </c>
      <c r="D146" t="inlineStr">
        <is>
          <t>JÄMTLANDS LÄN</t>
        </is>
      </c>
      <c r="E146" t="inlineStr">
        <is>
          <t>HÄRJEDALEN</t>
        </is>
      </c>
      <c r="F146" t="inlineStr">
        <is>
          <t>Holmen skog AB</t>
        </is>
      </c>
      <c r="G146" t="n">
        <v>3.8</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HYPERLINK("https://klasma.github.io/Logging_2361/artfynd/A 42600-2025 artfynd.xlsx", "A 42600-2025")</f>
        <v/>
      </c>
      <c r="T146">
        <f>HYPERLINK("https://klasma.github.io/Logging_2361/kartor/A 42600-2025 karta.png", "A 42600-2025")</f>
        <v/>
      </c>
      <c r="V146">
        <f>HYPERLINK("https://klasma.github.io/Logging_2361/klagomål/A 42600-2025 FSC-klagomål.docx", "A 42600-2025")</f>
        <v/>
      </c>
      <c r="W146">
        <f>HYPERLINK("https://klasma.github.io/Logging_2361/klagomålsmail/A 42600-2025 FSC-klagomål mail.docx", "A 42600-2025")</f>
        <v/>
      </c>
      <c r="X146">
        <f>HYPERLINK("https://klasma.github.io/Logging_2361/tillsyn/A 42600-2025 tillsynsbegäran.docx", "A 42600-2025")</f>
        <v/>
      </c>
      <c r="Y146">
        <f>HYPERLINK("https://klasma.github.io/Logging_2361/tillsynsmail/A 42600-2025 tillsynsbegäran mail.docx", "A 42600-2025")</f>
        <v/>
      </c>
    </row>
    <row r="147" ht="15" customHeight="1">
      <c r="A147" t="inlineStr">
        <is>
          <t>A 37572-2025</t>
        </is>
      </c>
      <c r="B147" s="1" t="n">
        <v>45880.37559027778</v>
      </c>
      <c r="C147" s="1" t="n">
        <v>46166</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48303-2025</t>
        </is>
      </c>
      <c r="B148" s="1" t="n">
        <v>45933.61240740741</v>
      </c>
      <c r="C148" s="1" t="n">
        <v>46166</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55298-2024</t>
        </is>
      </c>
      <c r="B149" s="1" t="n">
        <v>45621</v>
      </c>
      <c r="C149" s="1" t="n">
        <v>46166</v>
      </c>
      <c r="D149" t="inlineStr">
        <is>
          <t>JÄMTLANDS LÄN</t>
        </is>
      </c>
      <c r="E149" t="inlineStr">
        <is>
          <t>HÄRJEDALEN</t>
        </is>
      </c>
      <c r="F149" t="inlineStr">
        <is>
          <t>Sveaskog</t>
        </is>
      </c>
      <c r="G149" t="n">
        <v>1.6</v>
      </c>
      <c r="H149" t="n">
        <v>1</v>
      </c>
      <c r="I149" t="n">
        <v>0</v>
      </c>
      <c r="J149" t="n">
        <v>1</v>
      </c>
      <c r="K149" t="n">
        <v>1</v>
      </c>
      <c r="L149" t="n">
        <v>0</v>
      </c>
      <c r="M149" t="n">
        <v>0</v>
      </c>
      <c r="N149" t="n">
        <v>0</v>
      </c>
      <c r="O149" t="n">
        <v>2</v>
      </c>
      <c r="P149" t="n">
        <v>1</v>
      </c>
      <c r="Q149" t="n">
        <v>2</v>
      </c>
      <c r="R149" s="2" t="inlineStr">
        <is>
          <t>Knärot
Kolflarnlav</t>
        </is>
      </c>
      <c r="S149">
        <f>HYPERLINK("https://klasma.github.io/Logging_2361/artfynd/A 55298-2024 artfynd.xlsx", "A 55298-2024")</f>
        <v/>
      </c>
      <c r="T149">
        <f>HYPERLINK("https://klasma.github.io/Logging_2361/kartor/A 55298-2024 karta.png", "A 55298-2024")</f>
        <v/>
      </c>
      <c r="U149">
        <f>HYPERLINK("https://klasma.github.io/Logging_2361/knärot/A 55298-2024 karta knärot.png", "A 55298-2024")</f>
        <v/>
      </c>
      <c r="V149">
        <f>HYPERLINK("https://klasma.github.io/Logging_2361/klagomål/A 55298-2024 FSC-klagomål.docx", "A 55298-2024")</f>
        <v/>
      </c>
      <c r="W149">
        <f>HYPERLINK("https://klasma.github.io/Logging_2361/klagomålsmail/A 55298-2024 FSC-klagomål mail.docx", "A 55298-2024")</f>
        <v/>
      </c>
      <c r="X149">
        <f>HYPERLINK("https://klasma.github.io/Logging_2361/tillsyn/A 55298-2024 tillsynsbegäran.docx", "A 55298-2024")</f>
        <v/>
      </c>
      <c r="Y149">
        <f>HYPERLINK("https://klasma.github.io/Logging_2361/tillsynsmail/A 55298-2024 tillsynsbegäran mail.docx", "A 55298-2024")</f>
        <v/>
      </c>
    </row>
    <row r="150" ht="15" customHeight="1">
      <c r="A150" t="inlineStr">
        <is>
          <t>A 36924-2024</t>
        </is>
      </c>
      <c r="B150" s="1" t="n">
        <v>45538</v>
      </c>
      <c r="C150" s="1" t="n">
        <v>46166</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56616-2025</t>
        </is>
      </c>
      <c r="B151" s="1" t="n">
        <v>45975.59357638889</v>
      </c>
      <c r="C151" s="1" t="n">
        <v>46166</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55228-2021</t>
        </is>
      </c>
      <c r="B152" s="1" t="n">
        <v>44475</v>
      </c>
      <c r="C152" s="1" t="n">
        <v>46166</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59119-2025</t>
        </is>
      </c>
      <c r="B153" s="1" t="n">
        <v>45988.49024305555</v>
      </c>
      <c r="C153" s="1" t="n">
        <v>46166</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46166</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46166</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64110-2025</t>
        </is>
      </c>
      <c r="B156" s="1" t="n">
        <v>46013</v>
      </c>
      <c r="C156" s="1" t="n">
        <v>46166</v>
      </c>
      <c r="D156" t="inlineStr">
        <is>
          <t>JÄMTLANDS LÄN</t>
        </is>
      </c>
      <c r="E156" t="inlineStr">
        <is>
          <t>HÄRJEDALEN</t>
        </is>
      </c>
      <c r="G156" t="n">
        <v>3.6</v>
      </c>
      <c r="H156" t="n">
        <v>0</v>
      </c>
      <c r="I156" t="n">
        <v>0</v>
      </c>
      <c r="J156" t="n">
        <v>2</v>
      </c>
      <c r="K156" t="n">
        <v>0</v>
      </c>
      <c r="L156" t="n">
        <v>0</v>
      </c>
      <c r="M156" t="n">
        <v>0</v>
      </c>
      <c r="N156" t="n">
        <v>0</v>
      </c>
      <c r="O156" t="n">
        <v>2</v>
      </c>
      <c r="P156" t="n">
        <v>0</v>
      </c>
      <c r="Q156" t="n">
        <v>2</v>
      </c>
      <c r="R156" s="2" t="inlineStr">
        <is>
          <t>Knottrig blåslav
Lunglav</t>
        </is>
      </c>
      <c r="S156">
        <f>HYPERLINK("https://klasma.github.io/Logging_2361/artfynd/A 64110-2025 artfynd.xlsx", "A 64110-2025")</f>
        <v/>
      </c>
      <c r="T156">
        <f>HYPERLINK("https://klasma.github.io/Logging_2361/kartor/A 64110-2025 karta.png", "A 64110-2025")</f>
        <v/>
      </c>
      <c r="V156">
        <f>HYPERLINK("https://klasma.github.io/Logging_2361/klagomål/A 64110-2025 FSC-klagomål.docx", "A 64110-2025")</f>
        <v/>
      </c>
      <c r="W156">
        <f>HYPERLINK("https://klasma.github.io/Logging_2361/klagomålsmail/A 64110-2025 FSC-klagomål mail.docx", "A 64110-2025")</f>
        <v/>
      </c>
      <c r="X156">
        <f>HYPERLINK("https://klasma.github.io/Logging_2361/tillsyn/A 64110-2025 tillsynsbegäran.docx", "A 64110-2025")</f>
        <v/>
      </c>
      <c r="Y156">
        <f>HYPERLINK("https://klasma.github.io/Logging_2361/tillsynsmail/A 64110-2025 tillsynsbegäran mail.docx", "A 64110-2025")</f>
        <v/>
      </c>
    </row>
    <row r="157" ht="15" customHeight="1">
      <c r="A157" t="inlineStr">
        <is>
          <t>A 45191-2023</t>
        </is>
      </c>
      <c r="B157" s="1" t="n">
        <v>45191</v>
      </c>
      <c r="C157" s="1" t="n">
        <v>46166</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31414-2025</t>
        </is>
      </c>
      <c r="B158" s="1" t="n">
        <v>45833</v>
      </c>
      <c r="C158" s="1" t="n">
        <v>46166</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313-2026</t>
        </is>
      </c>
      <c r="B159" s="1" t="n">
        <v>46027.55914351852</v>
      </c>
      <c r="C159" s="1" t="n">
        <v>46166</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48065-2021</t>
        </is>
      </c>
      <c r="B160" s="1" t="n">
        <v>44449</v>
      </c>
      <c r="C160" s="1" t="n">
        <v>46166</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46166</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46166</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11357-2026</t>
        </is>
      </c>
      <c r="B163" s="1" t="n">
        <v>46083.3402662037</v>
      </c>
      <c r="C163" s="1" t="n">
        <v>46166</v>
      </c>
      <c r="D163" t="inlineStr">
        <is>
          <t>JÄMTLANDS LÄN</t>
        </is>
      </c>
      <c r="E163" t="inlineStr">
        <is>
          <t>HÄRJEDALEN</t>
        </is>
      </c>
      <c r="F163" t="inlineStr">
        <is>
          <t>Holmen skog AB</t>
        </is>
      </c>
      <c r="G163" t="n">
        <v>3.8</v>
      </c>
      <c r="H163" t="n">
        <v>0</v>
      </c>
      <c r="I163" t="n">
        <v>0</v>
      </c>
      <c r="J163" t="n">
        <v>2</v>
      </c>
      <c r="K163" t="n">
        <v>0</v>
      </c>
      <c r="L163" t="n">
        <v>0</v>
      </c>
      <c r="M163" t="n">
        <v>0</v>
      </c>
      <c r="N163" t="n">
        <v>0</v>
      </c>
      <c r="O163" t="n">
        <v>2</v>
      </c>
      <c r="P163" t="n">
        <v>0</v>
      </c>
      <c r="Q163" t="n">
        <v>2</v>
      </c>
      <c r="R163" s="2" t="inlineStr">
        <is>
          <t>Blanksvart spiklav
Kolflarnlav</t>
        </is>
      </c>
      <c r="S163">
        <f>HYPERLINK("https://klasma.github.io/Logging_2361/artfynd/A 11357-2026 artfynd.xlsx", "A 11357-2026")</f>
        <v/>
      </c>
      <c r="T163">
        <f>HYPERLINK("https://klasma.github.io/Logging_2361/kartor/A 11357-2026 karta.png", "A 11357-2026")</f>
        <v/>
      </c>
      <c r="V163">
        <f>HYPERLINK("https://klasma.github.io/Logging_2361/klagomål/A 11357-2026 FSC-klagomål.docx", "A 11357-2026")</f>
        <v/>
      </c>
      <c r="W163">
        <f>HYPERLINK("https://klasma.github.io/Logging_2361/klagomålsmail/A 11357-2026 FSC-klagomål mail.docx", "A 11357-2026")</f>
        <v/>
      </c>
      <c r="X163">
        <f>HYPERLINK("https://klasma.github.io/Logging_2361/tillsyn/A 11357-2026 tillsynsbegäran.docx", "A 11357-2026")</f>
        <v/>
      </c>
      <c r="Y163">
        <f>HYPERLINK("https://klasma.github.io/Logging_2361/tillsynsmail/A 11357-2026 tillsynsbegäran mail.docx", "A 11357-2026")</f>
        <v/>
      </c>
    </row>
    <row r="164" ht="15" customHeight="1">
      <c r="A164" t="inlineStr">
        <is>
          <t>A 11715-2026</t>
        </is>
      </c>
      <c r="B164" s="1" t="n">
        <v>46084.62425925926</v>
      </c>
      <c r="C164" s="1" t="n">
        <v>46166</v>
      </c>
      <c r="D164" t="inlineStr">
        <is>
          <t>JÄMTLANDS LÄN</t>
        </is>
      </c>
      <c r="E164" t="inlineStr">
        <is>
          <t>HÄRJEDALEN</t>
        </is>
      </c>
      <c r="F164" t="inlineStr">
        <is>
          <t>Sveaskog</t>
        </is>
      </c>
      <c r="G164" t="n">
        <v>11.2</v>
      </c>
      <c r="H164" t="n">
        <v>1</v>
      </c>
      <c r="I164" t="n">
        <v>0</v>
      </c>
      <c r="J164" t="n">
        <v>2</v>
      </c>
      <c r="K164" t="n">
        <v>0</v>
      </c>
      <c r="L164" t="n">
        <v>0</v>
      </c>
      <c r="M164" t="n">
        <v>0</v>
      </c>
      <c r="N164" t="n">
        <v>0</v>
      </c>
      <c r="O164" t="n">
        <v>2</v>
      </c>
      <c r="P164" t="n">
        <v>0</v>
      </c>
      <c r="Q164" t="n">
        <v>2</v>
      </c>
      <c r="R164" s="2" t="inlineStr">
        <is>
          <t>Lunglav
Varglav</t>
        </is>
      </c>
      <c r="S164">
        <f>HYPERLINK("https://klasma.github.io/Logging_2361/artfynd/A 11715-2026 artfynd.xlsx", "A 11715-2026")</f>
        <v/>
      </c>
      <c r="T164">
        <f>HYPERLINK("https://klasma.github.io/Logging_2361/kartor/A 11715-2026 karta.png", "A 11715-2026")</f>
        <v/>
      </c>
      <c r="V164">
        <f>HYPERLINK("https://klasma.github.io/Logging_2361/klagomål/A 11715-2026 FSC-klagomål.docx", "A 11715-2026")</f>
        <v/>
      </c>
      <c r="W164">
        <f>HYPERLINK("https://klasma.github.io/Logging_2361/klagomålsmail/A 11715-2026 FSC-klagomål mail.docx", "A 11715-2026")</f>
        <v/>
      </c>
      <c r="X164">
        <f>HYPERLINK("https://klasma.github.io/Logging_2361/tillsyn/A 11715-2026 tillsynsbegäran.docx", "A 11715-2026")</f>
        <v/>
      </c>
      <c r="Y164">
        <f>HYPERLINK("https://klasma.github.io/Logging_2361/tillsynsmail/A 11715-2026 tillsynsbegäran mail.docx", "A 11715-2026")</f>
        <v/>
      </c>
    </row>
    <row r="165" ht="15" customHeight="1">
      <c r="A165" t="inlineStr">
        <is>
          <t>A 5781-2025</t>
        </is>
      </c>
      <c r="B165" s="1" t="n">
        <v>45694</v>
      </c>
      <c r="C165" s="1" t="n">
        <v>46166</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17368-2023</t>
        </is>
      </c>
      <c r="B166" s="1" t="n">
        <v>45035</v>
      </c>
      <c r="C166" s="1" t="n">
        <v>46166</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46166</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20023-2026</t>
        </is>
      </c>
      <c r="B168" s="1" t="n">
        <v>46136.53180555555</v>
      </c>
      <c r="C168" s="1" t="n">
        <v>46166</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16151-2024</t>
        </is>
      </c>
      <c r="B169" s="1" t="n">
        <v>45406</v>
      </c>
      <c r="C169" s="1" t="n">
        <v>46166</v>
      </c>
      <c r="D169" t="inlineStr">
        <is>
          <t>JÄMTLANDS LÄN</t>
        </is>
      </c>
      <c r="E169" t="inlineStr">
        <is>
          <t>HÄRJEDALEN</t>
        </is>
      </c>
      <c r="F169" t="inlineStr">
        <is>
          <t>Holmen skog AB</t>
        </is>
      </c>
      <c r="G169" t="n">
        <v>21.6</v>
      </c>
      <c r="H169" t="n">
        <v>1</v>
      </c>
      <c r="I169" t="n">
        <v>0</v>
      </c>
      <c r="J169" t="n">
        <v>1</v>
      </c>
      <c r="K169" t="n">
        <v>1</v>
      </c>
      <c r="L169" t="n">
        <v>0</v>
      </c>
      <c r="M169" t="n">
        <v>0</v>
      </c>
      <c r="N169" t="n">
        <v>0</v>
      </c>
      <c r="O169" t="n">
        <v>2</v>
      </c>
      <c r="P169" t="n">
        <v>1</v>
      </c>
      <c r="Q169" t="n">
        <v>2</v>
      </c>
      <c r="R169" s="2" t="inlineStr">
        <is>
          <t>Knärot
Tallticka</t>
        </is>
      </c>
      <c r="S169">
        <f>HYPERLINK("https://klasma.github.io/Logging_2361/artfynd/A 16151-2024 artfynd.xlsx", "A 16151-2024")</f>
        <v/>
      </c>
      <c r="T169">
        <f>HYPERLINK("https://klasma.github.io/Logging_2361/kartor/A 16151-2024 karta.png", "A 16151-2024")</f>
        <v/>
      </c>
      <c r="U169">
        <f>HYPERLINK("https://klasma.github.io/Logging_2361/knärot/A 16151-2024 karta knärot.png", "A 16151-2024")</f>
        <v/>
      </c>
      <c r="V169">
        <f>HYPERLINK("https://klasma.github.io/Logging_2361/klagomål/A 16151-2024 FSC-klagomål.docx", "A 16151-2024")</f>
        <v/>
      </c>
      <c r="W169">
        <f>HYPERLINK("https://klasma.github.io/Logging_2361/klagomålsmail/A 16151-2024 FSC-klagomål mail.docx", "A 16151-2024")</f>
        <v/>
      </c>
      <c r="X169">
        <f>HYPERLINK("https://klasma.github.io/Logging_2361/tillsyn/A 16151-2024 tillsynsbegäran.docx", "A 16151-2024")</f>
        <v/>
      </c>
      <c r="Y169">
        <f>HYPERLINK("https://klasma.github.io/Logging_2361/tillsynsmail/A 16151-2024 tillsynsbegäran mail.docx", "A 16151-2024")</f>
        <v/>
      </c>
    </row>
    <row r="170" ht="15" customHeight="1">
      <c r="A170" t="inlineStr">
        <is>
          <t>A 55240-2021</t>
        </is>
      </c>
      <c r="B170" s="1" t="n">
        <v>44475</v>
      </c>
      <c r="C170" s="1" t="n">
        <v>46166</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21816-2024</t>
        </is>
      </c>
      <c r="B171" s="1" t="n">
        <v>45442</v>
      </c>
      <c r="C171" s="1" t="n">
        <v>46166</v>
      </c>
      <c r="D171" t="inlineStr">
        <is>
          <t>JÄMTLANDS LÄN</t>
        </is>
      </c>
      <c r="E171" t="inlineStr">
        <is>
          <t>HÄRJEDALEN</t>
        </is>
      </c>
      <c r="F171" t="inlineStr">
        <is>
          <t>Bergvik skog väst AB</t>
        </is>
      </c>
      <c r="G171" t="n">
        <v>2.9</v>
      </c>
      <c r="H171" t="n">
        <v>0</v>
      </c>
      <c r="I171" t="n">
        <v>0</v>
      </c>
      <c r="J171" t="n">
        <v>1</v>
      </c>
      <c r="K171" t="n">
        <v>1</v>
      </c>
      <c r="L171" t="n">
        <v>0</v>
      </c>
      <c r="M171" t="n">
        <v>0</v>
      </c>
      <c r="N171" t="n">
        <v>0</v>
      </c>
      <c r="O171" t="n">
        <v>2</v>
      </c>
      <c r="P171" t="n">
        <v>1</v>
      </c>
      <c r="Q171" t="n">
        <v>2</v>
      </c>
      <c r="R171" s="2" t="inlineStr">
        <is>
          <t>Gräddporing
Blanksvart spiklav</t>
        </is>
      </c>
      <c r="S171">
        <f>HYPERLINK("https://klasma.github.io/Logging_2361/artfynd/A 21816-2024 artfynd.xlsx", "A 21816-2024")</f>
        <v/>
      </c>
      <c r="T171">
        <f>HYPERLINK("https://klasma.github.io/Logging_2361/kartor/A 21816-2024 karta.png", "A 21816-2024")</f>
        <v/>
      </c>
      <c r="V171">
        <f>HYPERLINK("https://klasma.github.io/Logging_2361/klagomål/A 21816-2024 FSC-klagomål.docx", "A 21816-2024")</f>
        <v/>
      </c>
      <c r="W171">
        <f>HYPERLINK("https://klasma.github.io/Logging_2361/klagomålsmail/A 21816-2024 FSC-klagomål mail.docx", "A 21816-2024")</f>
        <v/>
      </c>
      <c r="X171">
        <f>HYPERLINK("https://klasma.github.io/Logging_2361/tillsyn/A 21816-2024 tillsynsbegäran.docx", "A 21816-2024")</f>
        <v/>
      </c>
      <c r="Y171">
        <f>HYPERLINK("https://klasma.github.io/Logging_2361/tillsynsmail/A 21816-2024 tillsynsbegäran mail.docx", "A 21816-2024")</f>
        <v/>
      </c>
    </row>
    <row r="172" ht="15" customHeight="1">
      <c r="A172" t="inlineStr">
        <is>
          <t>A 22508-2025</t>
        </is>
      </c>
      <c r="B172" s="1" t="n">
        <v>45786.66594907407</v>
      </c>
      <c r="C172" s="1" t="n">
        <v>46166</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22511-2025</t>
        </is>
      </c>
      <c r="B173" s="1" t="n">
        <v>45786.67016203704</v>
      </c>
      <c r="C173" s="1" t="n">
        <v>46166</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22511-2025 artfynd.xlsx", "A 22511-2025")</f>
        <v/>
      </c>
      <c r="T173">
        <f>HYPERLINK("https://klasma.github.io/Logging_2361/kartor/A 22511-2025 karta.png", "A 22511-2025")</f>
        <v/>
      </c>
      <c r="V173">
        <f>HYPERLINK("https://klasma.github.io/Logging_2361/klagomål/A 22511-2025 FSC-klagomål.docx", "A 22511-2025")</f>
        <v/>
      </c>
      <c r="W173">
        <f>HYPERLINK("https://klasma.github.io/Logging_2361/klagomålsmail/A 22511-2025 FSC-klagomål mail.docx", "A 22511-2025")</f>
        <v/>
      </c>
      <c r="X173">
        <f>HYPERLINK("https://klasma.github.io/Logging_2361/tillsyn/A 22511-2025 tillsynsbegäran.docx", "A 22511-2025")</f>
        <v/>
      </c>
      <c r="Y173">
        <f>HYPERLINK("https://klasma.github.io/Logging_2361/tillsynsmail/A 22511-2025 tillsynsbegäran mail.docx", "A 22511-2025")</f>
        <v/>
      </c>
    </row>
    <row r="174" ht="15" customHeight="1">
      <c r="A174" t="inlineStr">
        <is>
          <t>A 22513-2025</t>
        </is>
      </c>
      <c r="B174" s="1" t="n">
        <v>45786.6768287037</v>
      </c>
      <c r="C174" s="1" t="n">
        <v>46166</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22501-2025</t>
        </is>
      </c>
      <c r="B175" s="1" t="n">
        <v>45786.6590625</v>
      </c>
      <c r="C175" s="1" t="n">
        <v>46166</v>
      </c>
      <c r="D175" t="inlineStr">
        <is>
          <t>JÄMTLANDS LÄN</t>
        </is>
      </c>
      <c r="E175" t="inlineStr">
        <is>
          <t>HÄRJEDALEN</t>
        </is>
      </c>
      <c r="F175" t="inlineStr">
        <is>
          <t>Sveaskog</t>
        </is>
      </c>
      <c r="G175" t="n">
        <v>10.7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22501-2025 artfynd.xlsx", "A 22501-2025")</f>
        <v/>
      </c>
      <c r="T175">
        <f>HYPERLINK("https://klasma.github.io/Logging_2361/kartor/A 22501-2025 karta.png", "A 22501-2025")</f>
        <v/>
      </c>
      <c r="V175">
        <f>HYPERLINK("https://klasma.github.io/Logging_2361/klagomål/A 22501-2025 FSC-klagomål.docx", "A 22501-2025")</f>
        <v/>
      </c>
      <c r="W175">
        <f>HYPERLINK("https://klasma.github.io/Logging_2361/klagomålsmail/A 22501-2025 FSC-klagomål mail.docx", "A 22501-2025")</f>
        <v/>
      </c>
      <c r="X175">
        <f>HYPERLINK("https://klasma.github.io/Logging_2361/tillsyn/A 22501-2025 tillsynsbegäran.docx", "A 22501-2025")</f>
        <v/>
      </c>
      <c r="Y175">
        <f>HYPERLINK("https://klasma.github.io/Logging_2361/tillsynsmail/A 22501-2025 tillsynsbegäran mail.docx", "A 22501-2025")</f>
        <v/>
      </c>
    </row>
    <row r="176" ht="15" customHeight="1">
      <c r="A176" t="inlineStr">
        <is>
          <t>A 22494-2025</t>
        </is>
      </c>
      <c r="B176" s="1" t="n">
        <v>45786.65452546296</v>
      </c>
      <c r="C176" s="1" t="n">
        <v>46166</v>
      </c>
      <c r="D176" t="inlineStr">
        <is>
          <t>JÄMTLANDS LÄN</t>
        </is>
      </c>
      <c r="E176" t="inlineStr">
        <is>
          <t>HÄRJEDALEN</t>
        </is>
      </c>
      <c r="F176" t="inlineStr">
        <is>
          <t>Sveaskog</t>
        </is>
      </c>
      <c r="G176" t="n">
        <v>10.7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22494-2025 artfynd.xlsx", "A 22494-2025")</f>
        <v/>
      </c>
      <c r="T176">
        <f>HYPERLINK("https://klasma.github.io/Logging_2361/kartor/A 22494-2025 karta.png", "A 22494-2025")</f>
        <v/>
      </c>
      <c r="V176">
        <f>HYPERLINK("https://klasma.github.io/Logging_2361/klagomål/A 22494-2025 FSC-klagomål.docx", "A 22494-2025")</f>
        <v/>
      </c>
      <c r="W176">
        <f>HYPERLINK("https://klasma.github.io/Logging_2361/klagomålsmail/A 22494-2025 FSC-klagomål mail.docx", "A 22494-2025")</f>
        <v/>
      </c>
      <c r="X176">
        <f>HYPERLINK("https://klasma.github.io/Logging_2361/tillsyn/A 22494-2025 tillsynsbegäran.docx", "A 22494-2025")</f>
        <v/>
      </c>
      <c r="Y176">
        <f>HYPERLINK("https://klasma.github.io/Logging_2361/tillsynsmail/A 22494-2025 tillsynsbegäran mail.docx", "A 22494-2025")</f>
        <v/>
      </c>
    </row>
    <row r="177" ht="15" customHeight="1">
      <c r="A177" t="inlineStr">
        <is>
          <t>A 22512-2025</t>
        </is>
      </c>
      <c r="B177" s="1" t="n">
        <v>45786.67261574074</v>
      </c>
      <c r="C177" s="1" t="n">
        <v>46166</v>
      </c>
      <c r="D177" t="inlineStr">
        <is>
          <t>JÄMTLANDS LÄN</t>
        </is>
      </c>
      <c r="E177" t="inlineStr">
        <is>
          <t>HÄRJEDALEN</t>
        </is>
      </c>
      <c r="F177" t="inlineStr">
        <is>
          <t>Sveaskog</t>
        </is>
      </c>
      <c r="G177" t="n">
        <v>27.9</v>
      </c>
      <c r="H177" t="n">
        <v>0</v>
      </c>
      <c r="I177" t="n">
        <v>0</v>
      </c>
      <c r="J177" t="n">
        <v>2</v>
      </c>
      <c r="K177" t="n">
        <v>0</v>
      </c>
      <c r="L177" t="n">
        <v>0</v>
      </c>
      <c r="M177" t="n">
        <v>0</v>
      </c>
      <c r="N177" t="n">
        <v>0</v>
      </c>
      <c r="O177" t="n">
        <v>2</v>
      </c>
      <c r="P177" t="n">
        <v>0</v>
      </c>
      <c r="Q177" t="n">
        <v>2</v>
      </c>
      <c r="R177" s="2" t="inlineStr">
        <is>
          <t>Kolflarnlav
Vedflamlav</t>
        </is>
      </c>
      <c r="S177">
        <f>HYPERLINK("https://klasma.github.io/Logging_2361/artfynd/A 22512-2025 artfynd.xlsx", "A 22512-2025")</f>
        <v/>
      </c>
      <c r="T177">
        <f>HYPERLINK("https://klasma.github.io/Logging_2361/kartor/A 22512-2025 karta.png", "A 22512-2025")</f>
        <v/>
      </c>
      <c r="V177">
        <f>HYPERLINK("https://klasma.github.io/Logging_2361/klagomål/A 22512-2025 FSC-klagomål.docx", "A 22512-2025")</f>
        <v/>
      </c>
      <c r="W177">
        <f>HYPERLINK("https://klasma.github.io/Logging_2361/klagomålsmail/A 22512-2025 FSC-klagomål mail.docx", "A 22512-2025")</f>
        <v/>
      </c>
      <c r="X177">
        <f>HYPERLINK("https://klasma.github.io/Logging_2361/tillsyn/A 22512-2025 tillsynsbegäran.docx", "A 22512-2025")</f>
        <v/>
      </c>
      <c r="Y177">
        <f>HYPERLINK("https://klasma.github.io/Logging_2361/tillsynsmail/A 22512-2025 tillsynsbegäran mail.docx", "A 22512-2025")</f>
        <v/>
      </c>
    </row>
    <row r="178" ht="15" customHeight="1">
      <c r="A178" t="inlineStr">
        <is>
          <t>A 26346-2025</t>
        </is>
      </c>
      <c r="B178" s="1" t="n">
        <v>45805.73822916667</v>
      </c>
      <c r="C178" s="1" t="n">
        <v>46166</v>
      </c>
      <c r="D178" t="inlineStr">
        <is>
          <t>JÄMTLANDS LÄN</t>
        </is>
      </c>
      <c r="E178" t="inlineStr">
        <is>
          <t>HÄRJEDALEN</t>
        </is>
      </c>
      <c r="F178" t="inlineStr">
        <is>
          <t>Sveaskog</t>
        </is>
      </c>
      <c r="G178" t="n">
        <v>3.6</v>
      </c>
      <c r="H178" t="n">
        <v>0</v>
      </c>
      <c r="I178" t="n">
        <v>0</v>
      </c>
      <c r="J178" t="n">
        <v>2</v>
      </c>
      <c r="K178" t="n">
        <v>0</v>
      </c>
      <c r="L178" t="n">
        <v>0</v>
      </c>
      <c r="M178" t="n">
        <v>0</v>
      </c>
      <c r="N178" t="n">
        <v>0</v>
      </c>
      <c r="O178" t="n">
        <v>2</v>
      </c>
      <c r="P178" t="n">
        <v>0</v>
      </c>
      <c r="Q178" t="n">
        <v>2</v>
      </c>
      <c r="R178" s="2" t="inlineStr">
        <is>
          <t>Garnlav
Lunglav</t>
        </is>
      </c>
      <c r="S178">
        <f>HYPERLINK("https://klasma.github.io/Logging_2361/artfynd/A 26346-2025 artfynd.xlsx", "A 26346-2025")</f>
        <v/>
      </c>
      <c r="T178">
        <f>HYPERLINK("https://klasma.github.io/Logging_2361/kartor/A 26346-2025 karta.png", "A 26346-2025")</f>
        <v/>
      </c>
      <c r="V178">
        <f>HYPERLINK("https://klasma.github.io/Logging_2361/klagomål/A 26346-2025 FSC-klagomål.docx", "A 26346-2025")</f>
        <v/>
      </c>
      <c r="W178">
        <f>HYPERLINK("https://klasma.github.io/Logging_2361/klagomålsmail/A 26346-2025 FSC-klagomål mail.docx", "A 26346-2025")</f>
        <v/>
      </c>
      <c r="X178">
        <f>HYPERLINK("https://klasma.github.io/Logging_2361/tillsyn/A 26346-2025 tillsynsbegäran.docx", "A 26346-2025")</f>
        <v/>
      </c>
      <c r="Y178">
        <f>HYPERLINK("https://klasma.github.io/Logging_2361/tillsynsmail/A 26346-2025 tillsynsbegäran mail.docx", "A 26346-2025")</f>
        <v/>
      </c>
    </row>
    <row r="179" ht="15" customHeight="1">
      <c r="A179" t="inlineStr">
        <is>
          <t>A 55221-2021</t>
        </is>
      </c>
      <c r="B179" s="1" t="n">
        <v>44475</v>
      </c>
      <c r="C179" s="1" t="n">
        <v>46166</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55222-2021</t>
        </is>
      </c>
      <c r="B180" s="1" t="n">
        <v>44475</v>
      </c>
      <c r="C180" s="1" t="n">
        <v>46166</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55245-2021</t>
        </is>
      </c>
      <c r="B181" s="1" t="n">
        <v>44475</v>
      </c>
      <c r="C181" s="1" t="n">
        <v>46166</v>
      </c>
      <c r="D181" t="inlineStr">
        <is>
          <t>JÄMTLANDS LÄN</t>
        </is>
      </c>
      <c r="E181" t="inlineStr">
        <is>
          <t>HÄRJEDALEN</t>
        </is>
      </c>
      <c r="G181" t="n">
        <v>5.1</v>
      </c>
      <c r="H181" t="n">
        <v>0</v>
      </c>
      <c r="I181" t="n">
        <v>0</v>
      </c>
      <c r="J181" t="n">
        <v>1</v>
      </c>
      <c r="K181" t="n">
        <v>0</v>
      </c>
      <c r="L181" t="n">
        <v>0</v>
      </c>
      <c r="M181" t="n">
        <v>0</v>
      </c>
      <c r="N181" t="n">
        <v>0</v>
      </c>
      <c r="O181" t="n">
        <v>1</v>
      </c>
      <c r="P181" t="n">
        <v>0</v>
      </c>
      <c r="Q181" t="n">
        <v>1</v>
      </c>
      <c r="R181" s="2" t="inlineStr">
        <is>
          <t>Blanksvart spiklav</t>
        </is>
      </c>
      <c r="S181">
        <f>HYPERLINK("https://klasma.github.io/Logging_2361/artfynd/A 55245-2021 artfynd.xlsx", "A 55245-2021")</f>
        <v/>
      </c>
      <c r="T181">
        <f>HYPERLINK("https://klasma.github.io/Logging_2361/kartor/A 55245-2021 karta.png", "A 55245-2021")</f>
        <v/>
      </c>
      <c r="V181">
        <f>HYPERLINK("https://klasma.github.io/Logging_2361/klagomål/A 55245-2021 FSC-klagomål.docx", "A 55245-2021")</f>
        <v/>
      </c>
      <c r="W181">
        <f>HYPERLINK("https://klasma.github.io/Logging_2361/klagomålsmail/A 55245-2021 FSC-klagomål mail.docx", "A 55245-2021")</f>
        <v/>
      </c>
      <c r="X181">
        <f>HYPERLINK("https://klasma.github.io/Logging_2361/tillsyn/A 55245-2021 tillsynsbegäran.docx", "A 55245-2021")</f>
        <v/>
      </c>
      <c r="Y181">
        <f>HYPERLINK("https://klasma.github.io/Logging_2361/tillsynsmail/A 55245-2021 tillsynsbegäran mail.docx", "A 55245-2021")</f>
        <v/>
      </c>
    </row>
    <row r="182" ht="15" customHeight="1">
      <c r="A182" t="inlineStr">
        <is>
          <t>A 12274-2025</t>
        </is>
      </c>
      <c r="B182" s="1" t="n">
        <v>45729.64623842593</v>
      </c>
      <c r="C182" s="1" t="n">
        <v>46166</v>
      </c>
      <c r="D182" t="inlineStr">
        <is>
          <t>JÄMTLANDS LÄN</t>
        </is>
      </c>
      <c r="E182" t="inlineStr">
        <is>
          <t>HÄRJEDALEN</t>
        </is>
      </c>
      <c r="F182" t="inlineStr">
        <is>
          <t>Holmen skog AB</t>
        </is>
      </c>
      <c r="G182" t="n">
        <v>1</v>
      </c>
      <c r="H182" t="n">
        <v>0</v>
      </c>
      <c r="I182" t="n">
        <v>0</v>
      </c>
      <c r="J182" t="n">
        <v>1</v>
      </c>
      <c r="K182" t="n">
        <v>0</v>
      </c>
      <c r="L182" t="n">
        <v>0</v>
      </c>
      <c r="M182" t="n">
        <v>0</v>
      </c>
      <c r="N182" t="n">
        <v>0</v>
      </c>
      <c r="O182" t="n">
        <v>1</v>
      </c>
      <c r="P182" t="n">
        <v>0</v>
      </c>
      <c r="Q182" t="n">
        <v>1</v>
      </c>
      <c r="R182" s="2" t="inlineStr">
        <is>
          <t>Garnlav</t>
        </is>
      </c>
      <c r="S182">
        <f>HYPERLINK("https://klasma.github.io/Logging_2361/artfynd/A 12274-2025 artfynd.xlsx", "A 12274-2025")</f>
        <v/>
      </c>
      <c r="T182">
        <f>HYPERLINK("https://klasma.github.io/Logging_2361/kartor/A 12274-2025 karta.png", "A 12274-2025")</f>
        <v/>
      </c>
      <c r="V182">
        <f>HYPERLINK("https://klasma.github.io/Logging_2361/klagomål/A 12274-2025 FSC-klagomål.docx", "A 12274-2025")</f>
        <v/>
      </c>
      <c r="W182">
        <f>HYPERLINK("https://klasma.github.io/Logging_2361/klagomålsmail/A 12274-2025 FSC-klagomål mail.docx", "A 12274-2025")</f>
        <v/>
      </c>
      <c r="X182">
        <f>HYPERLINK("https://klasma.github.io/Logging_2361/tillsyn/A 12274-2025 tillsynsbegäran.docx", "A 12274-2025")</f>
        <v/>
      </c>
      <c r="Y182">
        <f>HYPERLINK("https://klasma.github.io/Logging_2361/tillsynsmail/A 12274-2025 tillsynsbegäran mail.docx", "A 12274-2025")</f>
        <v/>
      </c>
    </row>
    <row r="183" ht="15" customHeight="1">
      <c r="A183" t="inlineStr">
        <is>
          <t>A 30330-2023</t>
        </is>
      </c>
      <c r="B183" s="1" t="n">
        <v>45111</v>
      </c>
      <c r="C183" s="1" t="n">
        <v>46166</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9233-2025</t>
        </is>
      </c>
      <c r="B184" s="1" t="n">
        <v>45714.55248842593</v>
      </c>
      <c r="C184" s="1" t="n">
        <v>46166</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2066-2024</t>
        </is>
      </c>
      <c r="B185" s="1" t="n">
        <v>45308</v>
      </c>
      <c r="C185" s="1" t="n">
        <v>46166</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29706-2024</t>
        </is>
      </c>
      <c r="B186" s="1" t="n">
        <v>45485</v>
      </c>
      <c r="C186" s="1" t="n">
        <v>46166</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7318-2024</t>
        </is>
      </c>
      <c r="B187" s="1" t="n">
        <v>45345</v>
      </c>
      <c r="C187" s="1" t="n">
        <v>46166</v>
      </c>
      <c r="D187" t="inlineStr">
        <is>
          <t>JÄMTLANDS LÄN</t>
        </is>
      </c>
      <c r="E187" t="inlineStr">
        <is>
          <t>HÄRJEDALEN</t>
        </is>
      </c>
      <c r="F187" t="inlineStr">
        <is>
          <t>Holmen skog AB</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HYPERLINK("https://klasma.github.io/Logging_2361/artfynd/A 7318-2024 artfynd.xlsx", "A 7318-2024")</f>
        <v/>
      </c>
      <c r="T187">
        <f>HYPERLINK("https://klasma.github.io/Logging_2361/kartor/A 7318-2024 karta.png", "A 7318-2024")</f>
        <v/>
      </c>
      <c r="V187">
        <f>HYPERLINK("https://klasma.github.io/Logging_2361/klagomål/A 7318-2024 FSC-klagomål.docx", "A 7318-2024")</f>
        <v/>
      </c>
      <c r="W187">
        <f>HYPERLINK("https://klasma.github.io/Logging_2361/klagomålsmail/A 7318-2024 FSC-klagomål mail.docx", "A 7318-2024")</f>
        <v/>
      </c>
      <c r="X187">
        <f>HYPERLINK("https://klasma.github.io/Logging_2361/tillsyn/A 7318-2024 tillsynsbegäran.docx", "A 7318-2024")</f>
        <v/>
      </c>
      <c r="Y187">
        <f>HYPERLINK("https://klasma.github.io/Logging_2361/tillsynsmail/A 7318-2024 tillsynsbegäran mail.docx", "A 7318-2024")</f>
        <v/>
      </c>
    </row>
    <row r="188" ht="15" customHeight="1">
      <c r="A188" t="inlineStr">
        <is>
          <t>A 16597-2026</t>
        </is>
      </c>
      <c r="B188" s="1" t="n">
        <v>46112.59458333333</v>
      </c>
      <c r="C188" s="1" t="n">
        <v>46166</v>
      </c>
      <c r="D188" t="inlineStr">
        <is>
          <t>JÄMTLANDS LÄN</t>
        </is>
      </c>
      <c r="E188" t="inlineStr">
        <is>
          <t>HÄRJEDALEN</t>
        </is>
      </c>
      <c r="F188" t="inlineStr">
        <is>
          <t>SCA</t>
        </is>
      </c>
      <c r="G188" t="n">
        <v>1.3</v>
      </c>
      <c r="H188" t="n">
        <v>1</v>
      </c>
      <c r="I188" t="n">
        <v>0</v>
      </c>
      <c r="J188" t="n">
        <v>1</v>
      </c>
      <c r="K188" t="n">
        <v>0</v>
      </c>
      <c r="L188" t="n">
        <v>0</v>
      </c>
      <c r="M188" t="n">
        <v>0</v>
      </c>
      <c r="N188" t="n">
        <v>0</v>
      </c>
      <c r="O188" t="n">
        <v>1</v>
      </c>
      <c r="P188" t="n">
        <v>0</v>
      </c>
      <c r="Q188" t="n">
        <v>1</v>
      </c>
      <c r="R188" s="2" t="inlineStr">
        <is>
          <t>Kungsörn</t>
        </is>
      </c>
      <c r="S188">
        <f>HYPERLINK("https://klasma.github.io/Logging_2361/artfynd/A 16597-2026 artfynd.xlsx", "A 16597-2026")</f>
        <v/>
      </c>
      <c r="T188">
        <f>HYPERLINK("https://klasma.github.io/Logging_2361/kartor/A 16597-2026 karta.png", "A 16597-2026")</f>
        <v/>
      </c>
      <c r="V188">
        <f>HYPERLINK("https://klasma.github.io/Logging_2361/klagomål/A 16597-2026 FSC-klagomål.docx", "A 16597-2026")</f>
        <v/>
      </c>
      <c r="W188">
        <f>HYPERLINK("https://klasma.github.io/Logging_2361/klagomålsmail/A 16597-2026 FSC-klagomål mail.docx", "A 16597-2026")</f>
        <v/>
      </c>
      <c r="X188">
        <f>HYPERLINK("https://klasma.github.io/Logging_2361/tillsyn/A 16597-2026 tillsynsbegäran.docx", "A 16597-2026")</f>
        <v/>
      </c>
      <c r="Y188">
        <f>HYPERLINK("https://klasma.github.io/Logging_2361/tillsynsmail/A 16597-2026 tillsynsbegäran mail.docx", "A 16597-2026")</f>
        <v/>
      </c>
      <c r="Z188">
        <f>HYPERLINK("https://klasma.github.io/Logging_2361/fåglar/A 16597-2026 prioriterade fågelarter.docx", "A 16597-2026")</f>
        <v/>
      </c>
    </row>
    <row r="189" ht="15" customHeight="1">
      <c r="A189" t="inlineStr">
        <is>
          <t>A 39362-2025</t>
        </is>
      </c>
      <c r="B189" s="1" t="n">
        <v>45889.56214120371</v>
      </c>
      <c r="C189" s="1" t="n">
        <v>46166</v>
      </c>
      <c r="D189" t="inlineStr">
        <is>
          <t>JÄMTLANDS LÄN</t>
        </is>
      </c>
      <c r="E189" t="inlineStr">
        <is>
          <t>HÄRJEDALEN</t>
        </is>
      </c>
      <c r="F189" t="inlineStr">
        <is>
          <t>Sveaskog</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39362-2025 artfynd.xlsx", "A 39362-2025")</f>
        <v/>
      </c>
      <c r="T189">
        <f>HYPERLINK("https://klasma.github.io/Logging_2361/kartor/A 39362-2025 karta.png", "A 39362-2025")</f>
        <v/>
      </c>
      <c r="V189">
        <f>HYPERLINK("https://klasma.github.io/Logging_2361/klagomål/A 39362-2025 FSC-klagomål.docx", "A 39362-2025")</f>
        <v/>
      </c>
      <c r="W189">
        <f>HYPERLINK("https://klasma.github.io/Logging_2361/klagomålsmail/A 39362-2025 FSC-klagomål mail.docx", "A 39362-2025")</f>
        <v/>
      </c>
      <c r="X189">
        <f>HYPERLINK("https://klasma.github.io/Logging_2361/tillsyn/A 39362-2025 tillsynsbegäran.docx", "A 39362-2025")</f>
        <v/>
      </c>
      <c r="Y189">
        <f>HYPERLINK("https://klasma.github.io/Logging_2361/tillsynsmail/A 39362-2025 tillsynsbegäran mail.docx", "A 39362-2025")</f>
        <v/>
      </c>
    </row>
    <row r="190" ht="15" customHeight="1">
      <c r="A190" t="inlineStr">
        <is>
          <t>A 51964-2024</t>
        </is>
      </c>
      <c r="B190" s="1" t="n">
        <v>45607</v>
      </c>
      <c r="C190" s="1" t="n">
        <v>46166</v>
      </c>
      <c r="D190" t="inlineStr">
        <is>
          <t>JÄMTLANDS LÄN</t>
        </is>
      </c>
      <c r="E190" t="inlineStr">
        <is>
          <t>HÄRJEDALEN</t>
        </is>
      </c>
      <c r="F190" t="inlineStr">
        <is>
          <t>Holmen skog AB</t>
        </is>
      </c>
      <c r="G190" t="n">
        <v>5</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51964-2024 artfynd.xlsx", "A 51964-2024")</f>
        <v/>
      </c>
      <c r="T190">
        <f>HYPERLINK("https://klasma.github.io/Logging_2361/kartor/A 51964-2024 karta.png", "A 51964-2024")</f>
        <v/>
      </c>
      <c r="V190">
        <f>HYPERLINK("https://klasma.github.io/Logging_2361/klagomål/A 51964-2024 FSC-klagomål.docx", "A 51964-2024")</f>
        <v/>
      </c>
      <c r="W190">
        <f>HYPERLINK("https://klasma.github.io/Logging_2361/klagomålsmail/A 51964-2024 FSC-klagomål mail.docx", "A 51964-2024")</f>
        <v/>
      </c>
      <c r="X190">
        <f>HYPERLINK("https://klasma.github.io/Logging_2361/tillsyn/A 51964-2024 tillsynsbegäran.docx", "A 51964-2024")</f>
        <v/>
      </c>
      <c r="Y190">
        <f>HYPERLINK("https://klasma.github.io/Logging_2361/tillsynsmail/A 51964-2024 tillsynsbegäran mail.docx", "A 51964-2024")</f>
        <v/>
      </c>
      <c r="Z190">
        <f>HYPERLINK("https://klasma.github.io/Logging_2361/fåglar/A 51964-2024 prioriterade fågelarter.docx", "A 51964-2024")</f>
        <v/>
      </c>
    </row>
    <row r="191" ht="15" customHeight="1">
      <c r="A191" t="inlineStr">
        <is>
          <t>A 43322-2025</t>
        </is>
      </c>
      <c r="B191" s="1" t="n">
        <v>45910.66347222222</v>
      </c>
      <c r="C191" s="1" t="n">
        <v>46166</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55582-2024</t>
        </is>
      </c>
      <c r="B192" s="1" t="n">
        <v>45622</v>
      </c>
      <c r="C192" s="1" t="n">
        <v>46166</v>
      </c>
      <c r="D192" t="inlineStr">
        <is>
          <t>JÄMTLANDS LÄN</t>
        </is>
      </c>
      <c r="E192" t="inlineStr">
        <is>
          <t>HÄRJEDALEN</t>
        </is>
      </c>
      <c r="G192" t="n">
        <v>6.9</v>
      </c>
      <c r="H192" t="n">
        <v>0</v>
      </c>
      <c r="I192" t="n">
        <v>1</v>
      </c>
      <c r="J192" t="n">
        <v>0</v>
      </c>
      <c r="K192" t="n">
        <v>0</v>
      </c>
      <c r="L192" t="n">
        <v>0</v>
      </c>
      <c r="M192" t="n">
        <v>0</v>
      </c>
      <c r="N192" t="n">
        <v>0</v>
      </c>
      <c r="O192" t="n">
        <v>0</v>
      </c>
      <c r="P192" t="n">
        <v>0</v>
      </c>
      <c r="Q192" t="n">
        <v>1</v>
      </c>
      <c r="R192" s="2" t="inlineStr">
        <is>
          <t>Dropptaggsvamp</t>
        </is>
      </c>
      <c r="S192">
        <f>HYPERLINK("https://klasma.github.io/Logging_2361/artfynd/A 55582-2024 artfynd.xlsx", "A 55582-2024")</f>
        <v/>
      </c>
      <c r="T192">
        <f>HYPERLINK("https://klasma.github.io/Logging_2361/kartor/A 55582-2024 karta.png", "A 55582-2024")</f>
        <v/>
      </c>
      <c r="V192">
        <f>HYPERLINK("https://klasma.github.io/Logging_2361/klagomål/A 55582-2024 FSC-klagomål.docx", "A 55582-2024")</f>
        <v/>
      </c>
      <c r="W192">
        <f>HYPERLINK("https://klasma.github.io/Logging_2361/klagomålsmail/A 55582-2024 FSC-klagomål mail.docx", "A 55582-2024")</f>
        <v/>
      </c>
      <c r="X192">
        <f>HYPERLINK("https://klasma.github.io/Logging_2361/tillsyn/A 55582-2024 tillsynsbegäran.docx", "A 55582-2024")</f>
        <v/>
      </c>
      <c r="Y192">
        <f>HYPERLINK("https://klasma.github.io/Logging_2361/tillsynsmail/A 55582-2024 tillsynsbegäran mail.docx", "A 55582-2024")</f>
        <v/>
      </c>
    </row>
    <row r="193" ht="15" customHeight="1">
      <c r="A193" t="inlineStr">
        <is>
          <t>A 48281-2025</t>
        </is>
      </c>
      <c r="B193" s="1" t="n">
        <v>45933.58802083333</v>
      </c>
      <c r="C193" s="1" t="n">
        <v>46166</v>
      </c>
      <c r="D193" t="inlineStr">
        <is>
          <t>JÄMTLANDS LÄN</t>
        </is>
      </c>
      <c r="E193" t="inlineStr">
        <is>
          <t>HÄRJEDALEN</t>
        </is>
      </c>
      <c r="G193" t="n">
        <v>6.5</v>
      </c>
      <c r="H193" t="n">
        <v>0</v>
      </c>
      <c r="I193" t="n">
        <v>0</v>
      </c>
      <c r="J193" t="n">
        <v>1</v>
      </c>
      <c r="K193" t="n">
        <v>0</v>
      </c>
      <c r="L193" t="n">
        <v>0</v>
      </c>
      <c r="M193" t="n">
        <v>0</v>
      </c>
      <c r="N193" t="n">
        <v>0</v>
      </c>
      <c r="O193" t="n">
        <v>1</v>
      </c>
      <c r="P193" t="n">
        <v>0</v>
      </c>
      <c r="Q193" t="n">
        <v>1</v>
      </c>
      <c r="R193" s="2" t="inlineStr">
        <is>
          <t>Rosenfingersvamp</t>
        </is>
      </c>
      <c r="S193">
        <f>HYPERLINK("https://klasma.github.io/Logging_2361/artfynd/A 48281-2025 artfynd.xlsx", "A 48281-2025")</f>
        <v/>
      </c>
      <c r="T193">
        <f>HYPERLINK("https://klasma.github.io/Logging_2361/kartor/A 48281-2025 karta.png", "A 48281-2025")</f>
        <v/>
      </c>
      <c r="V193">
        <f>HYPERLINK("https://klasma.github.io/Logging_2361/klagomål/A 48281-2025 FSC-klagomål.docx", "A 48281-2025")</f>
        <v/>
      </c>
      <c r="W193">
        <f>HYPERLINK("https://klasma.github.io/Logging_2361/klagomålsmail/A 48281-2025 FSC-klagomål mail.docx", "A 48281-2025")</f>
        <v/>
      </c>
      <c r="X193">
        <f>HYPERLINK("https://klasma.github.io/Logging_2361/tillsyn/A 48281-2025 tillsynsbegäran.docx", "A 48281-2025")</f>
        <v/>
      </c>
      <c r="Y193">
        <f>HYPERLINK("https://klasma.github.io/Logging_2361/tillsynsmail/A 48281-2025 tillsynsbegäran mail.docx", "A 48281-2025")</f>
        <v/>
      </c>
    </row>
    <row r="194" ht="15" customHeight="1">
      <c r="A194" t="inlineStr">
        <is>
          <t>A 52307-2025</t>
        </is>
      </c>
      <c r="B194" s="1" t="n">
        <v>45953.63997685185</v>
      </c>
      <c r="C194" s="1" t="n">
        <v>46166</v>
      </c>
      <c r="D194" t="inlineStr">
        <is>
          <t>JÄMTLANDS LÄN</t>
        </is>
      </c>
      <c r="E194" t="inlineStr">
        <is>
          <t>HÄRJEDALEN</t>
        </is>
      </c>
      <c r="G194" t="n">
        <v>10.6</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52307-2025 artfynd.xlsx", "A 52307-2025")</f>
        <v/>
      </c>
      <c r="T194">
        <f>HYPERLINK("https://klasma.github.io/Logging_2361/kartor/A 52307-2025 karta.png", "A 52307-2025")</f>
        <v/>
      </c>
      <c r="V194">
        <f>HYPERLINK("https://klasma.github.io/Logging_2361/klagomål/A 52307-2025 FSC-klagomål.docx", "A 52307-2025")</f>
        <v/>
      </c>
      <c r="W194">
        <f>HYPERLINK("https://klasma.github.io/Logging_2361/klagomålsmail/A 52307-2025 FSC-klagomål mail.docx", "A 52307-2025")</f>
        <v/>
      </c>
      <c r="X194">
        <f>HYPERLINK("https://klasma.github.io/Logging_2361/tillsyn/A 52307-2025 tillsynsbegäran.docx", "A 52307-2025")</f>
        <v/>
      </c>
      <c r="Y194">
        <f>HYPERLINK("https://klasma.github.io/Logging_2361/tillsynsmail/A 52307-2025 tillsynsbegäran mail.docx", "A 52307-2025")</f>
        <v/>
      </c>
      <c r="Z194">
        <f>HYPERLINK("https://klasma.github.io/Logging_2361/fåglar/A 52307-2025 prioriterade fågelarter.docx", "A 52307-2025")</f>
        <v/>
      </c>
    </row>
    <row r="195" ht="15" customHeight="1">
      <c r="A195" t="inlineStr">
        <is>
          <t>A 36941-2024</t>
        </is>
      </c>
      <c r="B195" s="1" t="n">
        <v>45538.57630787037</v>
      </c>
      <c r="C195" s="1" t="n">
        <v>46166</v>
      </c>
      <c r="D195" t="inlineStr">
        <is>
          <t>JÄMTLANDS LÄN</t>
        </is>
      </c>
      <c r="E195" t="inlineStr">
        <is>
          <t>HÄRJEDALEN</t>
        </is>
      </c>
      <c r="G195" t="n">
        <v>2.2</v>
      </c>
      <c r="H195" t="n">
        <v>1</v>
      </c>
      <c r="I195" t="n">
        <v>0</v>
      </c>
      <c r="J195" t="n">
        <v>0</v>
      </c>
      <c r="K195" t="n">
        <v>0</v>
      </c>
      <c r="L195" t="n">
        <v>0</v>
      </c>
      <c r="M195" t="n">
        <v>0</v>
      </c>
      <c r="N195" t="n">
        <v>0</v>
      </c>
      <c r="O195" t="n">
        <v>0</v>
      </c>
      <c r="P195" t="n">
        <v>0</v>
      </c>
      <c r="Q195" t="n">
        <v>1</v>
      </c>
      <c r="R195" s="2" t="inlineStr">
        <is>
          <t>Orre</t>
        </is>
      </c>
      <c r="S195">
        <f>HYPERLINK("https://klasma.github.io/Logging_2361/artfynd/A 36941-2024 artfynd.xlsx", "A 36941-2024")</f>
        <v/>
      </c>
      <c r="T195">
        <f>HYPERLINK("https://klasma.github.io/Logging_2361/kartor/A 36941-2024 karta.png", "A 36941-2024")</f>
        <v/>
      </c>
      <c r="V195">
        <f>HYPERLINK("https://klasma.github.io/Logging_2361/klagomål/A 36941-2024 FSC-klagomål.docx", "A 36941-2024")</f>
        <v/>
      </c>
      <c r="W195">
        <f>HYPERLINK("https://klasma.github.io/Logging_2361/klagomålsmail/A 36941-2024 FSC-klagomål mail.docx", "A 36941-2024")</f>
        <v/>
      </c>
      <c r="X195">
        <f>HYPERLINK("https://klasma.github.io/Logging_2361/tillsyn/A 36941-2024 tillsynsbegäran.docx", "A 36941-2024")</f>
        <v/>
      </c>
      <c r="Y195">
        <f>HYPERLINK("https://klasma.github.io/Logging_2361/tillsynsmail/A 36941-2024 tillsynsbegäran mail.docx", "A 36941-2024")</f>
        <v/>
      </c>
      <c r="Z195">
        <f>HYPERLINK("https://klasma.github.io/Logging_2361/fåglar/A 36941-2024 prioriterade fågelarter.docx", "A 36941-2024")</f>
        <v/>
      </c>
    </row>
    <row r="196" ht="15" customHeight="1">
      <c r="A196" t="inlineStr">
        <is>
          <t>A 56521-2025</t>
        </is>
      </c>
      <c r="B196" s="1" t="n">
        <v>45975.46076388889</v>
      </c>
      <c r="C196" s="1" t="n">
        <v>46166</v>
      </c>
      <c r="D196" t="inlineStr">
        <is>
          <t>JÄMTLANDS LÄN</t>
        </is>
      </c>
      <c r="E196" t="inlineStr">
        <is>
          <t>HÄRJEDALEN</t>
        </is>
      </c>
      <c r="F196" t="inlineStr">
        <is>
          <t>Bergvik skog väst AB</t>
        </is>
      </c>
      <c r="G196" t="n">
        <v>4.5</v>
      </c>
      <c r="H196" t="n">
        <v>0</v>
      </c>
      <c r="I196" t="n">
        <v>0</v>
      </c>
      <c r="J196" t="n">
        <v>1</v>
      </c>
      <c r="K196" t="n">
        <v>0</v>
      </c>
      <c r="L196" t="n">
        <v>0</v>
      </c>
      <c r="M196" t="n">
        <v>0</v>
      </c>
      <c r="N196" t="n">
        <v>0</v>
      </c>
      <c r="O196" t="n">
        <v>1</v>
      </c>
      <c r="P196" t="n">
        <v>0</v>
      </c>
      <c r="Q196" t="n">
        <v>1</v>
      </c>
      <c r="R196" s="2" t="inlineStr">
        <is>
          <t>Vedskivlav</t>
        </is>
      </c>
      <c r="S196">
        <f>HYPERLINK("https://klasma.github.io/Logging_2361/artfynd/A 56521-2025 artfynd.xlsx", "A 56521-2025")</f>
        <v/>
      </c>
      <c r="T196">
        <f>HYPERLINK("https://klasma.github.io/Logging_2361/kartor/A 56521-2025 karta.png", "A 56521-2025")</f>
        <v/>
      </c>
      <c r="V196">
        <f>HYPERLINK("https://klasma.github.io/Logging_2361/klagomål/A 56521-2025 FSC-klagomål.docx", "A 56521-2025")</f>
        <v/>
      </c>
      <c r="W196">
        <f>HYPERLINK("https://klasma.github.io/Logging_2361/klagomålsmail/A 56521-2025 FSC-klagomål mail.docx", "A 56521-2025")</f>
        <v/>
      </c>
      <c r="X196">
        <f>HYPERLINK("https://klasma.github.io/Logging_2361/tillsyn/A 56521-2025 tillsynsbegäran.docx", "A 56521-2025")</f>
        <v/>
      </c>
      <c r="Y196">
        <f>HYPERLINK("https://klasma.github.io/Logging_2361/tillsynsmail/A 56521-2025 tillsynsbegäran mail.docx", "A 56521-2025")</f>
        <v/>
      </c>
    </row>
    <row r="197" ht="15" customHeight="1">
      <c r="A197" t="inlineStr">
        <is>
          <t>A 51234-2024</t>
        </is>
      </c>
      <c r="B197" s="1" t="n">
        <v>45603</v>
      </c>
      <c r="C197" s="1" t="n">
        <v>46166</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55223-2021</t>
        </is>
      </c>
      <c r="B198" s="1" t="n">
        <v>44475</v>
      </c>
      <c r="C198" s="1" t="n">
        <v>46166</v>
      </c>
      <c r="D198" t="inlineStr">
        <is>
          <t>JÄMTLANDS LÄN</t>
        </is>
      </c>
      <c r="E198" t="inlineStr">
        <is>
          <t>HÄRJEDALEN</t>
        </is>
      </c>
      <c r="G198" t="n">
        <v>18.2</v>
      </c>
      <c r="H198" t="n">
        <v>1</v>
      </c>
      <c r="I198" t="n">
        <v>0</v>
      </c>
      <c r="J198" t="n">
        <v>1</v>
      </c>
      <c r="K198" t="n">
        <v>0</v>
      </c>
      <c r="L198" t="n">
        <v>0</v>
      </c>
      <c r="M198" t="n">
        <v>0</v>
      </c>
      <c r="N198" t="n">
        <v>0</v>
      </c>
      <c r="O198" t="n">
        <v>1</v>
      </c>
      <c r="P198" t="n">
        <v>0</v>
      </c>
      <c r="Q198" t="n">
        <v>1</v>
      </c>
      <c r="R198" s="2" t="inlineStr">
        <is>
          <t>Varglav</t>
        </is>
      </c>
      <c r="S198">
        <f>HYPERLINK("https://klasma.github.io/Logging_2361/artfynd/A 55223-2021 artfynd.xlsx", "A 55223-2021")</f>
        <v/>
      </c>
      <c r="T198">
        <f>HYPERLINK("https://klasma.github.io/Logging_2361/kartor/A 55223-2021 karta.png", "A 55223-2021")</f>
        <v/>
      </c>
      <c r="V198">
        <f>HYPERLINK("https://klasma.github.io/Logging_2361/klagomål/A 55223-2021 FSC-klagomål.docx", "A 55223-2021")</f>
        <v/>
      </c>
      <c r="W198">
        <f>HYPERLINK("https://klasma.github.io/Logging_2361/klagomålsmail/A 55223-2021 FSC-klagomål mail.docx", "A 55223-2021")</f>
        <v/>
      </c>
      <c r="X198">
        <f>HYPERLINK("https://klasma.github.io/Logging_2361/tillsyn/A 55223-2021 tillsynsbegäran.docx", "A 55223-2021")</f>
        <v/>
      </c>
      <c r="Y198">
        <f>HYPERLINK("https://klasma.github.io/Logging_2361/tillsynsmail/A 55223-2021 tillsynsbegäran mail.docx", "A 55223-2021")</f>
        <v/>
      </c>
    </row>
    <row r="199" ht="15" customHeight="1">
      <c r="A199" t="inlineStr">
        <is>
          <t>A 54520-2024</t>
        </is>
      </c>
      <c r="B199" s="1" t="n">
        <v>45617</v>
      </c>
      <c r="C199" s="1" t="n">
        <v>46166</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31061-2022</t>
        </is>
      </c>
      <c r="B200" s="1" t="n">
        <v>44769.48783564815</v>
      </c>
      <c r="C200" s="1" t="n">
        <v>46166</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59367-2024</t>
        </is>
      </c>
      <c r="B201" s="1" t="n">
        <v>45638.33607638889</v>
      </c>
      <c r="C201" s="1" t="n">
        <v>46166</v>
      </c>
      <c r="D201" t="inlineStr">
        <is>
          <t>JÄMTLANDS LÄN</t>
        </is>
      </c>
      <c r="E201" t="inlineStr">
        <is>
          <t>HÄRJEDALEN</t>
        </is>
      </c>
      <c r="F201" t="inlineStr">
        <is>
          <t>Holmen skog AB</t>
        </is>
      </c>
      <c r="G201" t="n">
        <v>5.9</v>
      </c>
      <c r="H201" t="n">
        <v>0</v>
      </c>
      <c r="I201" t="n">
        <v>0</v>
      </c>
      <c r="J201" t="n">
        <v>1</v>
      </c>
      <c r="K201" t="n">
        <v>0</v>
      </c>
      <c r="L201" t="n">
        <v>0</v>
      </c>
      <c r="M201" t="n">
        <v>0</v>
      </c>
      <c r="N201" t="n">
        <v>0</v>
      </c>
      <c r="O201" t="n">
        <v>1</v>
      </c>
      <c r="P201" t="n">
        <v>0</v>
      </c>
      <c r="Q201" t="n">
        <v>1</v>
      </c>
      <c r="R201" s="2" t="inlineStr">
        <is>
          <t>Vedflamlav</t>
        </is>
      </c>
      <c r="S201">
        <f>HYPERLINK("https://klasma.github.io/Logging_2361/artfynd/A 59367-2024 artfynd.xlsx", "A 59367-2024")</f>
        <v/>
      </c>
      <c r="T201">
        <f>HYPERLINK("https://klasma.github.io/Logging_2361/kartor/A 59367-2024 karta.png", "A 59367-2024")</f>
        <v/>
      </c>
      <c r="V201">
        <f>HYPERLINK("https://klasma.github.io/Logging_2361/klagomål/A 59367-2024 FSC-klagomål.docx", "A 59367-2024")</f>
        <v/>
      </c>
      <c r="W201">
        <f>HYPERLINK("https://klasma.github.io/Logging_2361/klagomålsmail/A 59367-2024 FSC-klagomål mail.docx", "A 59367-2024")</f>
        <v/>
      </c>
      <c r="X201">
        <f>HYPERLINK("https://klasma.github.io/Logging_2361/tillsyn/A 59367-2024 tillsynsbegäran.docx", "A 59367-2024")</f>
        <v/>
      </c>
      <c r="Y201">
        <f>HYPERLINK("https://klasma.github.io/Logging_2361/tillsynsmail/A 59367-2024 tillsynsbegäran mail.docx", "A 59367-2024")</f>
        <v/>
      </c>
    </row>
    <row r="202" ht="15" customHeight="1">
      <c r="A202" t="inlineStr">
        <is>
          <t>A 3593-2024</t>
        </is>
      </c>
      <c r="B202" s="1" t="n">
        <v>45320</v>
      </c>
      <c r="C202" s="1" t="n">
        <v>46166</v>
      </c>
      <c r="D202" t="inlineStr">
        <is>
          <t>JÄMTLANDS LÄN</t>
        </is>
      </c>
      <c r="E202" t="inlineStr">
        <is>
          <t>HÄRJEDALEN</t>
        </is>
      </c>
      <c r="G202" t="n">
        <v>15.1</v>
      </c>
      <c r="H202" t="n">
        <v>0</v>
      </c>
      <c r="I202" t="n">
        <v>0</v>
      </c>
      <c r="J202" t="n">
        <v>1</v>
      </c>
      <c r="K202" t="n">
        <v>0</v>
      </c>
      <c r="L202" t="n">
        <v>0</v>
      </c>
      <c r="M202" t="n">
        <v>0</v>
      </c>
      <c r="N202" t="n">
        <v>0</v>
      </c>
      <c r="O202" t="n">
        <v>1</v>
      </c>
      <c r="P202" t="n">
        <v>0</v>
      </c>
      <c r="Q202" t="n">
        <v>1</v>
      </c>
      <c r="R202" s="2" t="inlineStr">
        <is>
          <t>Nordtagging</t>
        </is>
      </c>
      <c r="S202">
        <f>HYPERLINK("https://klasma.github.io/Logging_2361/artfynd/A 3593-2024 artfynd.xlsx", "A 3593-2024")</f>
        <v/>
      </c>
      <c r="T202">
        <f>HYPERLINK("https://klasma.github.io/Logging_2361/kartor/A 3593-2024 karta.png", "A 3593-2024")</f>
        <v/>
      </c>
      <c r="V202">
        <f>HYPERLINK("https://klasma.github.io/Logging_2361/klagomål/A 3593-2024 FSC-klagomål.docx", "A 3593-2024")</f>
        <v/>
      </c>
      <c r="W202">
        <f>HYPERLINK("https://klasma.github.io/Logging_2361/klagomålsmail/A 3593-2024 FSC-klagomål mail.docx", "A 3593-2024")</f>
        <v/>
      </c>
      <c r="X202">
        <f>HYPERLINK("https://klasma.github.io/Logging_2361/tillsyn/A 3593-2024 tillsynsbegäran.docx", "A 3593-2024")</f>
        <v/>
      </c>
      <c r="Y202">
        <f>HYPERLINK("https://klasma.github.io/Logging_2361/tillsynsmail/A 3593-2024 tillsynsbegäran mail.docx", "A 3593-2024")</f>
        <v/>
      </c>
    </row>
    <row r="203" ht="15" customHeight="1">
      <c r="A203" t="inlineStr">
        <is>
          <t>A 289-2026</t>
        </is>
      </c>
      <c r="B203" s="1" t="n">
        <v>46027.49865740741</v>
      </c>
      <c r="C203" s="1" t="n">
        <v>46166</v>
      </c>
      <c r="D203" t="inlineStr">
        <is>
          <t>JÄMTLANDS LÄN</t>
        </is>
      </c>
      <c r="E203" t="inlineStr">
        <is>
          <t>HÄRJEDALEN</t>
        </is>
      </c>
      <c r="F203" t="inlineStr">
        <is>
          <t>Holmen skog AB</t>
        </is>
      </c>
      <c r="G203" t="n">
        <v>14.4</v>
      </c>
      <c r="H203" t="n">
        <v>1</v>
      </c>
      <c r="I203" t="n">
        <v>0</v>
      </c>
      <c r="J203" t="n">
        <v>0</v>
      </c>
      <c r="K203" t="n">
        <v>1</v>
      </c>
      <c r="L203" t="n">
        <v>0</v>
      </c>
      <c r="M203" t="n">
        <v>0</v>
      </c>
      <c r="N203" t="n">
        <v>0</v>
      </c>
      <c r="O203" t="n">
        <v>1</v>
      </c>
      <c r="P203" t="n">
        <v>1</v>
      </c>
      <c r="Q203" t="n">
        <v>1</v>
      </c>
      <c r="R203" s="2" t="inlineStr">
        <is>
          <t>Knärot</t>
        </is>
      </c>
      <c r="S203">
        <f>HYPERLINK("https://klasma.github.io/Logging_2361/artfynd/A 289-2026 artfynd.xlsx", "A 289-2026")</f>
        <v/>
      </c>
      <c r="T203">
        <f>HYPERLINK("https://klasma.github.io/Logging_2361/kartor/A 289-2026 karta.png", "A 289-2026")</f>
        <v/>
      </c>
      <c r="U203">
        <f>HYPERLINK("https://klasma.github.io/Logging_2361/knärot/A 289-2026 karta knärot.png", "A 289-2026")</f>
        <v/>
      </c>
      <c r="V203">
        <f>HYPERLINK("https://klasma.github.io/Logging_2361/klagomål/A 289-2026 FSC-klagomål.docx", "A 289-2026")</f>
        <v/>
      </c>
      <c r="W203">
        <f>HYPERLINK("https://klasma.github.io/Logging_2361/klagomålsmail/A 289-2026 FSC-klagomål mail.docx", "A 289-2026")</f>
        <v/>
      </c>
      <c r="X203">
        <f>HYPERLINK("https://klasma.github.io/Logging_2361/tillsyn/A 289-2026 tillsynsbegäran.docx", "A 289-2026")</f>
        <v/>
      </c>
      <c r="Y203">
        <f>HYPERLINK("https://klasma.github.io/Logging_2361/tillsynsmail/A 289-2026 tillsynsbegäran mail.docx", "A 289-2026")</f>
        <v/>
      </c>
    </row>
    <row r="204" ht="15" customHeight="1">
      <c r="A204" t="inlineStr">
        <is>
          <t>A 8864-2026</t>
        </is>
      </c>
      <c r="B204" s="1" t="n">
        <v>46066</v>
      </c>
      <c r="C204" s="1" t="n">
        <v>46166</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24251-2024</t>
        </is>
      </c>
      <c r="B205" s="1" t="n">
        <v>45457.38677083333</v>
      </c>
      <c r="C205" s="1" t="n">
        <v>46166</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46166</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6307-2026</t>
        </is>
      </c>
      <c r="B207" s="1" t="n">
        <v>46055.57189814815</v>
      </c>
      <c r="C207" s="1" t="n">
        <v>46166</v>
      </c>
      <c r="D207" t="inlineStr">
        <is>
          <t>JÄMTLANDS LÄN</t>
        </is>
      </c>
      <c r="E207" t="inlineStr">
        <is>
          <t>HÄRJEDALEN</t>
        </is>
      </c>
      <c r="G207" t="n">
        <v>17.3</v>
      </c>
      <c r="H207" t="n">
        <v>1</v>
      </c>
      <c r="I207" t="n">
        <v>0</v>
      </c>
      <c r="J207" t="n">
        <v>0</v>
      </c>
      <c r="K207" t="n">
        <v>0</v>
      </c>
      <c r="L207" t="n">
        <v>0</v>
      </c>
      <c r="M207" t="n">
        <v>0</v>
      </c>
      <c r="N207" t="n">
        <v>0</v>
      </c>
      <c r="O207" t="n">
        <v>0</v>
      </c>
      <c r="P207" t="n">
        <v>0</v>
      </c>
      <c r="Q207" t="n">
        <v>1</v>
      </c>
      <c r="R207" s="2" t="inlineStr">
        <is>
          <t>Revlummer</t>
        </is>
      </c>
      <c r="S207">
        <f>HYPERLINK("https://klasma.github.io/Logging_2361/artfynd/A 6307-2026 artfynd.xlsx", "A 6307-2026")</f>
        <v/>
      </c>
      <c r="T207">
        <f>HYPERLINK("https://klasma.github.io/Logging_2361/kartor/A 6307-2026 karta.png", "A 6307-2026")</f>
        <v/>
      </c>
      <c r="V207">
        <f>HYPERLINK("https://klasma.github.io/Logging_2361/klagomål/A 6307-2026 FSC-klagomål.docx", "A 6307-2026")</f>
        <v/>
      </c>
      <c r="W207">
        <f>HYPERLINK("https://klasma.github.io/Logging_2361/klagomålsmail/A 6307-2026 FSC-klagomål mail.docx", "A 6307-2026")</f>
        <v/>
      </c>
      <c r="X207">
        <f>HYPERLINK("https://klasma.github.io/Logging_2361/tillsyn/A 6307-2026 tillsynsbegäran.docx", "A 6307-2026")</f>
        <v/>
      </c>
      <c r="Y207">
        <f>HYPERLINK("https://klasma.github.io/Logging_2361/tillsynsmail/A 6307-2026 tillsynsbegäran mail.docx", "A 6307-2026")</f>
        <v/>
      </c>
    </row>
    <row r="208" ht="15" customHeight="1">
      <c r="A208" t="inlineStr">
        <is>
          <t>A 6614-2026</t>
        </is>
      </c>
      <c r="B208" s="1" t="n">
        <v>46056.49030092593</v>
      </c>
      <c r="C208" s="1" t="n">
        <v>46166</v>
      </c>
      <c r="D208" t="inlineStr">
        <is>
          <t>JÄMTLANDS LÄN</t>
        </is>
      </c>
      <c r="E208" t="inlineStr">
        <is>
          <t>HÄRJEDALEN</t>
        </is>
      </c>
      <c r="F208" t="inlineStr">
        <is>
          <t>SCA</t>
        </is>
      </c>
      <c r="G208" t="n">
        <v>57.8</v>
      </c>
      <c r="H208" t="n">
        <v>0</v>
      </c>
      <c r="I208" t="n">
        <v>0</v>
      </c>
      <c r="J208" t="n">
        <v>1</v>
      </c>
      <c r="K208" t="n">
        <v>0</v>
      </c>
      <c r="L208" t="n">
        <v>0</v>
      </c>
      <c r="M208" t="n">
        <v>0</v>
      </c>
      <c r="N208" t="n">
        <v>0</v>
      </c>
      <c r="O208" t="n">
        <v>1</v>
      </c>
      <c r="P208" t="n">
        <v>0</v>
      </c>
      <c r="Q208" t="n">
        <v>1</v>
      </c>
      <c r="R208" s="2" t="inlineStr">
        <is>
          <t>Vedflamlav</t>
        </is>
      </c>
      <c r="S208">
        <f>HYPERLINK("https://klasma.github.io/Logging_2361/artfynd/A 6614-2026 artfynd.xlsx", "A 6614-2026")</f>
        <v/>
      </c>
      <c r="T208">
        <f>HYPERLINK("https://klasma.github.io/Logging_2361/kartor/A 6614-2026 karta.png", "A 6614-2026")</f>
        <v/>
      </c>
      <c r="U208">
        <f>HYPERLINK("https://klasma.github.io/Logging_2361/knärot/A 6614-2026 karta knärot.png", "A 6614-2026")</f>
        <v/>
      </c>
      <c r="V208">
        <f>HYPERLINK("https://klasma.github.io/Logging_2361/klagomål/A 6614-2026 FSC-klagomål.docx", "A 6614-2026")</f>
        <v/>
      </c>
      <c r="W208">
        <f>HYPERLINK("https://klasma.github.io/Logging_2361/klagomålsmail/A 6614-2026 FSC-klagomål mail.docx", "A 6614-2026")</f>
        <v/>
      </c>
      <c r="X208">
        <f>HYPERLINK("https://klasma.github.io/Logging_2361/tillsyn/A 6614-2026 tillsynsbegäran.docx", "A 6614-2026")</f>
        <v/>
      </c>
      <c r="Y208">
        <f>HYPERLINK("https://klasma.github.io/Logging_2361/tillsynsmail/A 6614-2026 tillsynsbegäran mail.docx", "A 6614-2026")</f>
        <v/>
      </c>
    </row>
    <row r="209" ht="15" customHeight="1">
      <c r="A209" t="inlineStr">
        <is>
          <t>A 11730-2026</t>
        </is>
      </c>
      <c r="B209" s="1" t="n">
        <v>46084.6359375</v>
      </c>
      <c r="C209" s="1" t="n">
        <v>46166</v>
      </c>
      <c r="D209" t="inlineStr">
        <is>
          <t>JÄMTLANDS LÄN</t>
        </is>
      </c>
      <c r="E209" t="inlineStr">
        <is>
          <t>HÄRJEDALEN</t>
        </is>
      </c>
      <c r="F209" t="inlineStr">
        <is>
          <t>Sveaskog</t>
        </is>
      </c>
      <c r="G209" t="n">
        <v>28</v>
      </c>
      <c r="H209" t="n">
        <v>0</v>
      </c>
      <c r="I209" t="n">
        <v>0</v>
      </c>
      <c r="J209" t="n">
        <v>1</v>
      </c>
      <c r="K209" t="n">
        <v>0</v>
      </c>
      <c r="L209" t="n">
        <v>0</v>
      </c>
      <c r="M209" t="n">
        <v>0</v>
      </c>
      <c r="N209" t="n">
        <v>0</v>
      </c>
      <c r="O209" t="n">
        <v>1</v>
      </c>
      <c r="P209" t="n">
        <v>0</v>
      </c>
      <c r="Q209" t="n">
        <v>1</v>
      </c>
      <c r="R209" s="2" t="inlineStr">
        <is>
          <t>Lunglav</t>
        </is>
      </c>
      <c r="S209">
        <f>HYPERLINK("https://klasma.github.io/Logging_2361/artfynd/A 11730-2026 artfynd.xlsx", "A 11730-2026")</f>
        <v/>
      </c>
      <c r="T209">
        <f>HYPERLINK("https://klasma.github.io/Logging_2361/kartor/A 11730-2026 karta.png", "A 11730-2026")</f>
        <v/>
      </c>
      <c r="V209">
        <f>HYPERLINK("https://klasma.github.io/Logging_2361/klagomål/A 11730-2026 FSC-klagomål.docx", "A 11730-2026")</f>
        <v/>
      </c>
      <c r="W209">
        <f>HYPERLINK("https://klasma.github.io/Logging_2361/klagomålsmail/A 11730-2026 FSC-klagomål mail.docx", "A 11730-2026")</f>
        <v/>
      </c>
      <c r="X209">
        <f>HYPERLINK("https://klasma.github.io/Logging_2361/tillsyn/A 11730-2026 tillsynsbegäran.docx", "A 11730-2026")</f>
        <v/>
      </c>
      <c r="Y209">
        <f>HYPERLINK("https://klasma.github.io/Logging_2361/tillsynsmail/A 11730-2026 tillsynsbegäran mail.docx", "A 11730-2026")</f>
        <v/>
      </c>
    </row>
    <row r="210" ht="15" customHeight="1">
      <c r="A210" t="inlineStr">
        <is>
          <t>A 11723-2026</t>
        </is>
      </c>
      <c r="B210" s="1" t="n">
        <v>46084.63234953704</v>
      </c>
      <c r="C210" s="1" t="n">
        <v>46166</v>
      </c>
      <c r="D210" t="inlineStr">
        <is>
          <t>JÄMTLANDS LÄN</t>
        </is>
      </c>
      <c r="E210" t="inlineStr">
        <is>
          <t>HÄRJEDALEN</t>
        </is>
      </c>
      <c r="F210" t="inlineStr">
        <is>
          <t>Sveaskog</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HYPERLINK("https://klasma.github.io/Logging_2361/artfynd/A 11723-2026 artfynd.xlsx", "A 11723-2026")</f>
        <v/>
      </c>
      <c r="T210">
        <f>HYPERLINK("https://klasma.github.io/Logging_2361/kartor/A 11723-2026 karta.png", "A 11723-2026")</f>
        <v/>
      </c>
      <c r="V210">
        <f>HYPERLINK("https://klasma.github.io/Logging_2361/klagomål/A 11723-2026 FSC-klagomål.docx", "A 11723-2026")</f>
        <v/>
      </c>
      <c r="W210">
        <f>HYPERLINK("https://klasma.github.io/Logging_2361/klagomålsmail/A 11723-2026 FSC-klagomål mail.docx", "A 11723-2026")</f>
        <v/>
      </c>
      <c r="X210">
        <f>HYPERLINK("https://klasma.github.io/Logging_2361/tillsyn/A 11723-2026 tillsynsbegäran.docx", "A 11723-2026")</f>
        <v/>
      </c>
      <c r="Y210">
        <f>HYPERLINK("https://klasma.github.io/Logging_2361/tillsynsmail/A 11723-2026 tillsynsbegäran mail.docx", "A 11723-2026")</f>
        <v/>
      </c>
    </row>
    <row r="211" ht="15" customHeight="1">
      <c r="A211" t="inlineStr">
        <is>
          <t>A 23331-2025</t>
        </is>
      </c>
      <c r="B211" s="1" t="n">
        <v>45791</v>
      </c>
      <c r="C211" s="1" t="n">
        <v>46166</v>
      </c>
      <c r="D211" t="inlineStr">
        <is>
          <t>JÄMTLANDS LÄN</t>
        </is>
      </c>
      <c r="E211" t="inlineStr">
        <is>
          <t>HÄRJEDALEN</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HYPERLINK("https://klasma.github.io/Logging_2361/artfynd/A 23331-2025 artfynd.xlsx", "A 23331-2025")</f>
        <v/>
      </c>
      <c r="T211">
        <f>HYPERLINK("https://klasma.github.io/Logging_2361/kartor/A 23331-2025 karta.png", "A 23331-2025")</f>
        <v/>
      </c>
      <c r="V211">
        <f>HYPERLINK("https://klasma.github.io/Logging_2361/klagomål/A 23331-2025 FSC-klagomål.docx", "A 23331-2025")</f>
        <v/>
      </c>
      <c r="W211">
        <f>HYPERLINK("https://klasma.github.io/Logging_2361/klagomålsmail/A 23331-2025 FSC-klagomål mail.docx", "A 23331-2025")</f>
        <v/>
      </c>
      <c r="X211">
        <f>HYPERLINK("https://klasma.github.io/Logging_2361/tillsyn/A 23331-2025 tillsynsbegäran.docx", "A 23331-2025")</f>
        <v/>
      </c>
      <c r="Y211">
        <f>HYPERLINK("https://klasma.github.io/Logging_2361/tillsynsmail/A 23331-2025 tillsynsbegäran mail.docx", "A 23331-2025")</f>
        <v/>
      </c>
    </row>
    <row r="212" ht="15" customHeight="1">
      <c r="A212" t="inlineStr">
        <is>
          <t>A 36533-2025</t>
        </is>
      </c>
      <c r="B212" s="1" t="n">
        <v>45869</v>
      </c>
      <c r="C212" s="1" t="n">
        <v>46166</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Lunglav</t>
        </is>
      </c>
      <c r="S212">
        <f>HYPERLINK("https://klasma.github.io/Logging_2361/artfynd/A 36533-2025 artfynd.xlsx", "A 36533-2025")</f>
        <v/>
      </c>
      <c r="T212">
        <f>HYPERLINK("https://klasma.github.io/Logging_2361/kartor/A 36533-2025 karta.png", "A 36533-2025")</f>
        <v/>
      </c>
      <c r="V212">
        <f>HYPERLINK("https://klasma.github.io/Logging_2361/klagomål/A 36533-2025 FSC-klagomål.docx", "A 36533-2025")</f>
        <v/>
      </c>
      <c r="W212">
        <f>HYPERLINK("https://klasma.github.io/Logging_2361/klagomålsmail/A 36533-2025 FSC-klagomål mail.docx", "A 36533-2025")</f>
        <v/>
      </c>
      <c r="X212">
        <f>HYPERLINK("https://klasma.github.io/Logging_2361/tillsyn/A 36533-2025 tillsynsbegäran.docx", "A 36533-2025")</f>
        <v/>
      </c>
      <c r="Y212">
        <f>HYPERLINK("https://klasma.github.io/Logging_2361/tillsynsmail/A 36533-2025 tillsynsbegäran mail.docx", "A 36533-2025")</f>
        <v/>
      </c>
    </row>
    <row r="213" ht="15" customHeight="1">
      <c r="A213" t="inlineStr">
        <is>
          <t>A 17902-2025</t>
        </is>
      </c>
      <c r="B213" s="1" t="n">
        <v>45758.70164351852</v>
      </c>
      <c r="C213" s="1" t="n">
        <v>46166</v>
      </c>
      <c r="D213" t="inlineStr">
        <is>
          <t>JÄMTLANDS LÄN</t>
        </is>
      </c>
      <c r="E213" t="inlineStr">
        <is>
          <t>HÄRJEDALEN</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HYPERLINK("https://klasma.github.io/Logging_2361/artfynd/A 17902-2025 artfynd.xlsx", "A 17902-2025")</f>
        <v/>
      </c>
      <c r="T213">
        <f>HYPERLINK("https://klasma.github.io/Logging_2361/kartor/A 17902-2025 karta.png", "A 17902-2025")</f>
        <v/>
      </c>
      <c r="V213">
        <f>HYPERLINK("https://klasma.github.io/Logging_2361/klagomål/A 17902-2025 FSC-klagomål.docx", "A 17902-2025")</f>
        <v/>
      </c>
      <c r="W213">
        <f>HYPERLINK("https://klasma.github.io/Logging_2361/klagomålsmail/A 17902-2025 FSC-klagomål mail.docx", "A 17902-2025")</f>
        <v/>
      </c>
      <c r="X213">
        <f>HYPERLINK("https://klasma.github.io/Logging_2361/tillsyn/A 17902-2025 tillsynsbegäran.docx", "A 17902-2025")</f>
        <v/>
      </c>
      <c r="Y213">
        <f>HYPERLINK("https://klasma.github.io/Logging_2361/tillsynsmail/A 17902-2025 tillsynsbegäran mail.docx", "A 17902-2025")</f>
        <v/>
      </c>
    </row>
    <row r="214" ht="15" customHeight="1">
      <c r="A214" t="inlineStr">
        <is>
          <t>A 55135-2024</t>
        </is>
      </c>
      <c r="B214" s="1" t="n">
        <v>45621.47555555555</v>
      </c>
      <c r="C214" s="1" t="n">
        <v>46166</v>
      </c>
      <c r="D214" t="inlineStr">
        <is>
          <t>JÄMTLANDS LÄN</t>
        </is>
      </c>
      <c r="E214" t="inlineStr">
        <is>
          <t>HÄRJEDALEN</t>
        </is>
      </c>
      <c r="F214" t="inlineStr">
        <is>
          <t>Sveaskog</t>
        </is>
      </c>
      <c r="G214" t="n">
        <v>12.6</v>
      </c>
      <c r="H214" t="n">
        <v>0</v>
      </c>
      <c r="I214" t="n">
        <v>1</v>
      </c>
      <c r="J214" t="n">
        <v>0</v>
      </c>
      <c r="K214" t="n">
        <v>0</v>
      </c>
      <c r="L214" t="n">
        <v>0</v>
      </c>
      <c r="M214" t="n">
        <v>0</v>
      </c>
      <c r="N214" t="n">
        <v>0</v>
      </c>
      <c r="O214" t="n">
        <v>0</v>
      </c>
      <c r="P214" t="n">
        <v>0</v>
      </c>
      <c r="Q214" t="n">
        <v>1</v>
      </c>
      <c r="R214" s="2" t="inlineStr">
        <is>
          <t>Skarp dropptaggsvamp</t>
        </is>
      </c>
      <c r="S214">
        <f>HYPERLINK("https://klasma.github.io/Logging_2361/artfynd/A 55135-2024 artfynd.xlsx", "A 55135-2024")</f>
        <v/>
      </c>
      <c r="T214">
        <f>HYPERLINK("https://klasma.github.io/Logging_2361/kartor/A 55135-2024 karta.png", "A 55135-2024")</f>
        <v/>
      </c>
      <c r="V214">
        <f>HYPERLINK("https://klasma.github.io/Logging_2361/klagomål/A 55135-2024 FSC-klagomål.docx", "A 55135-2024")</f>
        <v/>
      </c>
      <c r="W214">
        <f>HYPERLINK("https://klasma.github.io/Logging_2361/klagomålsmail/A 55135-2024 FSC-klagomål mail.docx", "A 55135-2024")</f>
        <v/>
      </c>
      <c r="X214">
        <f>HYPERLINK("https://klasma.github.io/Logging_2361/tillsyn/A 55135-2024 tillsynsbegäran.docx", "A 55135-2024")</f>
        <v/>
      </c>
      <c r="Y214">
        <f>HYPERLINK("https://klasma.github.io/Logging_2361/tillsynsmail/A 55135-2024 tillsynsbegäran mail.docx", "A 55135-2024")</f>
        <v/>
      </c>
    </row>
    <row r="215" ht="15" customHeight="1">
      <c r="A215" t="inlineStr">
        <is>
          <t>A 7327-2024</t>
        </is>
      </c>
      <c r="B215" s="1" t="n">
        <v>45345</v>
      </c>
      <c r="C215" s="1" t="n">
        <v>46166</v>
      </c>
      <c r="D215" t="inlineStr">
        <is>
          <t>JÄMTLANDS LÄN</t>
        </is>
      </c>
      <c r="E215" t="inlineStr">
        <is>
          <t>HÄRJEDALEN</t>
        </is>
      </c>
      <c r="F215" t="inlineStr">
        <is>
          <t>Sveaskog</t>
        </is>
      </c>
      <c r="G215" t="n">
        <v>0.3</v>
      </c>
      <c r="H215" t="n">
        <v>0</v>
      </c>
      <c r="I215" t="n">
        <v>0</v>
      </c>
      <c r="J215" t="n">
        <v>1</v>
      </c>
      <c r="K215" t="n">
        <v>0</v>
      </c>
      <c r="L215" t="n">
        <v>0</v>
      </c>
      <c r="M215" t="n">
        <v>0</v>
      </c>
      <c r="N215" t="n">
        <v>0</v>
      </c>
      <c r="O215" t="n">
        <v>1</v>
      </c>
      <c r="P215" t="n">
        <v>0</v>
      </c>
      <c r="Q215" t="n">
        <v>1</v>
      </c>
      <c r="R215" s="2" t="inlineStr">
        <is>
          <t>Kolflarnlav</t>
        </is>
      </c>
      <c r="S215">
        <f>HYPERLINK("https://klasma.github.io/Logging_2361/artfynd/A 7327-2024 artfynd.xlsx", "A 7327-2024")</f>
        <v/>
      </c>
      <c r="T215">
        <f>HYPERLINK("https://klasma.github.io/Logging_2361/kartor/A 7327-2024 karta.png", "A 7327-2024")</f>
        <v/>
      </c>
      <c r="V215">
        <f>HYPERLINK("https://klasma.github.io/Logging_2361/klagomål/A 7327-2024 FSC-klagomål.docx", "A 7327-2024")</f>
        <v/>
      </c>
      <c r="W215">
        <f>HYPERLINK("https://klasma.github.io/Logging_2361/klagomålsmail/A 7327-2024 FSC-klagomål mail.docx", "A 7327-2024")</f>
        <v/>
      </c>
      <c r="X215">
        <f>HYPERLINK("https://klasma.github.io/Logging_2361/tillsyn/A 7327-2024 tillsynsbegäran.docx", "A 7327-2024")</f>
        <v/>
      </c>
      <c r="Y215">
        <f>HYPERLINK("https://klasma.github.io/Logging_2361/tillsynsmail/A 7327-2024 tillsynsbegäran mail.docx", "A 7327-2024")</f>
        <v/>
      </c>
    </row>
    <row r="216" ht="15" customHeight="1">
      <c r="A216" t="inlineStr">
        <is>
          <t>A 25368-2025</t>
        </is>
      </c>
      <c r="B216" s="1" t="n">
        <v>45800.63043981481</v>
      </c>
      <c r="C216" s="1" t="n">
        <v>46166</v>
      </c>
      <c r="D216" t="inlineStr">
        <is>
          <t>JÄMTLANDS LÄN</t>
        </is>
      </c>
      <c r="E216" t="inlineStr">
        <is>
          <t>HÄRJEDALEN</t>
        </is>
      </c>
      <c r="F216" t="inlineStr">
        <is>
          <t>Sveaskog</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HYPERLINK("https://klasma.github.io/Logging_2361/artfynd/A 25368-2025 artfynd.xlsx", "A 25368-2025")</f>
        <v/>
      </c>
      <c r="T216">
        <f>HYPERLINK("https://klasma.github.io/Logging_2361/kartor/A 25368-2025 karta.png", "A 25368-2025")</f>
        <v/>
      </c>
      <c r="U216">
        <f>HYPERLINK("https://klasma.github.io/Logging_2361/knärot/A 25368-2025 karta knärot.png", "A 25368-2025")</f>
        <v/>
      </c>
      <c r="V216">
        <f>HYPERLINK("https://klasma.github.io/Logging_2361/klagomål/A 25368-2025 FSC-klagomål.docx", "A 25368-2025")</f>
        <v/>
      </c>
      <c r="W216">
        <f>HYPERLINK("https://klasma.github.io/Logging_2361/klagomålsmail/A 25368-2025 FSC-klagomål mail.docx", "A 25368-2025")</f>
        <v/>
      </c>
      <c r="X216">
        <f>HYPERLINK("https://klasma.github.io/Logging_2361/tillsyn/A 25368-2025 tillsynsbegäran.docx", "A 25368-2025")</f>
        <v/>
      </c>
      <c r="Y216">
        <f>HYPERLINK("https://klasma.github.io/Logging_2361/tillsynsmail/A 25368-2025 tillsynsbegäran mail.docx", "A 25368-2025")</f>
        <v/>
      </c>
    </row>
    <row r="217" ht="15" customHeight="1">
      <c r="A217" t="inlineStr">
        <is>
          <t>A 26325-2025</t>
        </is>
      </c>
      <c r="B217" s="1" t="n">
        <v>45805.66601851852</v>
      </c>
      <c r="C217" s="1" t="n">
        <v>46166</v>
      </c>
      <c r="D217" t="inlineStr">
        <is>
          <t>JÄMTLANDS LÄN</t>
        </is>
      </c>
      <c r="E217" t="inlineStr">
        <is>
          <t>HÄRJEDALEN</t>
        </is>
      </c>
      <c r="F217" t="inlineStr">
        <is>
          <t>Övriga Aktiebolag</t>
        </is>
      </c>
      <c r="G217" t="n">
        <v>34</v>
      </c>
      <c r="H217" t="n">
        <v>1</v>
      </c>
      <c r="I217" t="n">
        <v>0</v>
      </c>
      <c r="J217" t="n">
        <v>0</v>
      </c>
      <c r="K217" t="n">
        <v>0</v>
      </c>
      <c r="L217" t="n">
        <v>0</v>
      </c>
      <c r="M217" t="n">
        <v>0</v>
      </c>
      <c r="N217" t="n">
        <v>0</v>
      </c>
      <c r="O217" t="n">
        <v>0</v>
      </c>
      <c r="P217" t="n">
        <v>0</v>
      </c>
      <c r="Q217" t="n">
        <v>1</v>
      </c>
      <c r="R217" s="2" t="inlineStr">
        <is>
          <t>Tjäder</t>
        </is>
      </c>
      <c r="S217">
        <f>HYPERLINK("https://klasma.github.io/Logging_2361/artfynd/A 26325-2025 artfynd.xlsx", "A 26325-2025")</f>
        <v/>
      </c>
      <c r="T217">
        <f>HYPERLINK("https://klasma.github.io/Logging_2361/kartor/A 26325-2025 karta.png", "A 26325-2025")</f>
        <v/>
      </c>
      <c r="V217">
        <f>HYPERLINK("https://klasma.github.io/Logging_2361/klagomål/A 26325-2025 FSC-klagomål.docx", "A 26325-2025")</f>
        <v/>
      </c>
      <c r="W217">
        <f>HYPERLINK("https://klasma.github.io/Logging_2361/klagomålsmail/A 26325-2025 FSC-klagomål mail.docx", "A 26325-2025")</f>
        <v/>
      </c>
      <c r="X217">
        <f>HYPERLINK("https://klasma.github.io/Logging_2361/tillsyn/A 26325-2025 tillsynsbegäran.docx", "A 26325-2025")</f>
        <v/>
      </c>
      <c r="Y217">
        <f>HYPERLINK("https://klasma.github.io/Logging_2361/tillsynsmail/A 26325-2025 tillsynsbegäran mail.docx", "A 26325-2025")</f>
        <v/>
      </c>
      <c r="Z217">
        <f>HYPERLINK("https://klasma.github.io/Logging_2361/fåglar/A 26325-2025 prioriterade fågelarter.docx", "A 26325-2025")</f>
        <v/>
      </c>
    </row>
    <row r="218" ht="15" customHeight="1">
      <c r="A218" t="inlineStr">
        <is>
          <t>A 26345-2025</t>
        </is>
      </c>
      <c r="B218" s="1" t="n">
        <v>45805.73546296296</v>
      </c>
      <c r="C218" s="1" t="n">
        <v>46166</v>
      </c>
      <c r="D218" t="inlineStr">
        <is>
          <t>JÄMTLANDS LÄN</t>
        </is>
      </c>
      <c r="E218" t="inlineStr">
        <is>
          <t>HÄRJEDALEN</t>
        </is>
      </c>
      <c r="F218" t="inlineStr">
        <is>
          <t>Sveaskog</t>
        </is>
      </c>
      <c r="G218" t="n">
        <v>1.3</v>
      </c>
      <c r="H218" t="n">
        <v>0</v>
      </c>
      <c r="I218" t="n">
        <v>0</v>
      </c>
      <c r="J218" t="n">
        <v>1</v>
      </c>
      <c r="K218" t="n">
        <v>0</v>
      </c>
      <c r="L218" t="n">
        <v>0</v>
      </c>
      <c r="M218" t="n">
        <v>0</v>
      </c>
      <c r="N218" t="n">
        <v>0</v>
      </c>
      <c r="O218" t="n">
        <v>1</v>
      </c>
      <c r="P218" t="n">
        <v>0</v>
      </c>
      <c r="Q218" t="n">
        <v>1</v>
      </c>
      <c r="R218" s="2" t="inlineStr">
        <is>
          <t>Kolflarnlav</t>
        </is>
      </c>
      <c r="S218">
        <f>HYPERLINK("https://klasma.github.io/Logging_2361/artfynd/A 26345-2025 artfynd.xlsx", "A 26345-2025")</f>
        <v/>
      </c>
      <c r="T218">
        <f>HYPERLINK("https://klasma.github.io/Logging_2361/kartor/A 26345-2025 karta.png", "A 26345-2025")</f>
        <v/>
      </c>
      <c r="V218">
        <f>HYPERLINK("https://klasma.github.io/Logging_2361/klagomål/A 26345-2025 FSC-klagomål.docx", "A 26345-2025")</f>
        <v/>
      </c>
      <c r="W218">
        <f>HYPERLINK("https://klasma.github.io/Logging_2361/klagomålsmail/A 26345-2025 FSC-klagomål mail.docx", "A 26345-2025")</f>
        <v/>
      </c>
      <c r="X218">
        <f>HYPERLINK("https://klasma.github.io/Logging_2361/tillsyn/A 26345-2025 tillsynsbegäran.docx", "A 26345-2025")</f>
        <v/>
      </c>
      <c r="Y218">
        <f>HYPERLINK("https://klasma.github.io/Logging_2361/tillsynsmail/A 26345-2025 tillsynsbegäran mail.docx", "A 26345-2025")</f>
        <v/>
      </c>
    </row>
    <row r="219" ht="15" customHeight="1">
      <c r="A219" t="inlineStr">
        <is>
          <t>A 23680-2024</t>
        </is>
      </c>
      <c r="B219" s="1" t="n">
        <v>45454.62443287037</v>
      </c>
      <c r="C219" s="1" t="n">
        <v>46166</v>
      </c>
      <c r="D219" t="inlineStr">
        <is>
          <t>JÄMTLANDS LÄN</t>
        </is>
      </c>
      <c r="E219" t="inlineStr">
        <is>
          <t>HÄRJEDALEN</t>
        </is>
      </c>
      <c r="G219" t="n">
        <v>3.9</v>
      </c>
      <c r="H219" t="n">
        <v>0</v>
      </c>
      <c r="I219" t="n">
        <v>1</v>
      </c>
      <c r="J219" t="n">
        <v>0</v>
      </c>
      <c r="K219" t="n">
        <v>0</v>
      </c>
      <c r="L219" t="n">
        <v>0</v>
      </c>
      <c r="M219" t="n">
        <v>0</v>
      </c>
      <c r="N219" t="n">
        <v>0</v>
      </c>
      <c r="O219" t="n">
        <v>0</v>
      </c>
      <c r="P219" t="n">
        <v>0</v>
      </c>
      <c r="Q219" t="n">
        <v>1</v>
      </c>
      <c r="R219" s="2" t="inlineStr">
        <is>
          <t>Ögonpyrola</t>
        </is>
      </c>
      <c r="S219">
        <f>HYPERLINK("https://klasma.github.io/Logging_2361/artfynd/A 23680-2024 artfynd.xlsx", "A 23680-2024")</f>
        <v/>
      </c>
      <c r="T219">
        <f>HYPERLINK("https://klasma.github.io/Logging_2361/kartor/A 23680-2024 karta.png", "A 23680-2024")</f>
        <v/>
      </c>
      <c r="V219">
        <f>HYPERLINK("https://klasma.github.io/Logging_2361/klagomål/A 23680-2024 FSC-klagomål.docx", "A 23680-2024")</f>
        <v/>
      </c>
      <c r="W219">
        <f>HYPERLINK("https://klasma.github.io/Logging_2361/klagomålsmail/A 23680-2024 FSC-klagomål mail.docx", "A 23680-2024")</f>
        <v/>
      </c>
      <c r="X219">
        <f>HYPERLINK("https://klasma.github.io/Logging_2361/tillsyn/A 23680-2024 tillsynsbegäran.docx", "A 23680-2024")</f>
        <v/>
      </c>
      <c r="Y219">
        <f>HYPERLINK("https://klasma.github.io/Logging_2361/tillsynsmail/A 23680-2024 tillsynsbegäran mail.docx", "A 23680-2024")</f>
        <v/>
      </c>
    </row>
    <row r="220" ht="15" customHeight="1">
      <c r="A220" t="inlineStr">
        <is>
          <t>A 27412-2025</t>
        </is>
      </c>
      <c r="B220" s="1" t="n">
        <v>45812.82244212963</v>
      </c>
      <c r="C220" s="1" t="n">
        <v>46166</v>
      </c>
      <c r="D220" t="inlineStr">
        <is>
          <t>JÄMTLANDS LÄN</t>
        </is>
      </c>
      <c r="E220" t="inlineStr">
        <is>
          <t>HÄRJEDALEN</t>
        </is>
      </c>
      <c r="F220" t="inlineStr">
        <is>
          <t>Sveaskog</t>
        </is>
      </c>
      <c r="G220" t="n">
        <v>6.2</v>
      </c>
      <c r="H220" t="n">
        <v>0</v>
      </c>
      <c r="I220" t="n">
        <v>0</v>
      </c>
      <c r="J220" t="n">
        <v>1</v>
      </c>
      <c r="K220" t="n">
        <v>0</v>
      </c>
      <c r="L220" t="n">
        <v>0</v>
      </c>
      <c r="M220" t="n">
        <v>0</v>
      </c>
      <c r="N220" t="n">
        <v>0</v>
      </c>
      <c r="O220" t="n">
        <v>1</v>
      </c>
      <c r="P220" t="n">
        <v>0</v>
      </c>
      <c r="Q220" t="n">
        <v>1</v>
      </c>
      <c r="R220" s="2" t="inlineStr">
        <is>
          <t>Kolflarnlav</t>
        </is>
      </c>
      <c r="S220">
        <f>HYPERLINK("https://klasma.github.io/Logging_2361/artfynd/A 27412-2025 artfynd.xlsx", "A 27412-2025")</f>
        <v/>
      </c>
      <c r="T220">
        <f>HYPERLINK("https://klasma.github.io/Logging_2361/kartor/A 27412-2025 karta.png", "A 27412-2025")</f>
        <v/>
      </c>
      <c r="V220">
        <f>HYPERLINK("https://klasma.github.io/Logging_2361/klagomål/A 27412-2025 FSC-klagomål.docx", "A 27412-2025")</f>
        <v/>
      </c>
      <c r="W220">
        <f>HYPERLINK("https://klasma.github.io/Logging_2361/klagomålsmail/A 27412-2025 FSC-klagomål mail.docx", "A 27412-2025")</f>
        <v/>
      </c>
      <c r="X220">
        <f>HYPERLINK("https://klasma.github.io/Logging_2361/tillsyn/A 27412-2025 tillsynsbegäran.docx", "A 27412-2025")</f>
        <v/>
      </c>
      <c r="Y220">
        <f>HYPERLINK("https://klasma.github.io/Logging_2361/tillsynsmail/A 27412-2025 tillsynsbegäran mail.docx", "A 27412-2025")</f>
        <v/>
      </c>
    </row>
    <row r="221" ht="15" customHeight="1">
      <c r="A221" t="inlineStr">
        <is>
          <t>A 32310-2025</t>
        </is>
      </c>
      <c r="B221" s="1" t="n">
        <v>45835.7499537037</v>
      </c>
      <c r="C221" s="1" t="n">
        <v>46166</v>
      </c>
      <c r="D221" t="inlineStr">
        <is>
          <t>JÄMTLANDS LÄN</t>
        </is>
      </c>
      <c r="E221" t="inlineStr">
        <is>
          <t>HÄRJEDALEN</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HYPERLINK("https://klasma.github.io/Logging_2361/artfynd/A 32310-2025 artfynd.xlsx", "A 32310-2025")</f>
        <v/>
      </c>
      <c r="T221">
        <f>HYPERLINK("https://klasma.github.io/Logging_2361/kartor/A 32310-2025 karta.png", "A 32310-2025")</f>
        <v/>
      </c>
      <c r="V221">
        <f>HYPERLINK("https://klasma.github.io/Logging_2361/klagomål/A 32310-2025 FSC-klagomål.docx", "A 32310-2025")</f>
        <v/>
      </c>
      <c r="W221">
        <f>HYPERLINK("https://klasma.github.io/Logging_2361/klagomålsmail/A 32310-2025 FSC-klagomål mail.docx", "A 32310-2025")</f>
        <v/>
      </c>
      <c r="X221">
        <f>HYPERLINK("https://klasma.github.io/Logging_2361/tillsyn/A 32310-2025 tillsynsbegäran.docx", "A 32310-2025")</f>
        <v/>
      </c>
      <c r="Y221">
        <f>HYPERLINK("https://klasma.github.io/Logging_2361/tillsynsmail/A 32310-2025 tillsynsbegäran mail.docx", "A 32310-2025")</f>
        <v/>
      </c>
    </row>
    <row r="222" ht="15" customHeight="1">
      <c r="A222" t="inlineStr">
        <is>
          <t>A 32678-2025</t>
        </is>
      </c>
      <c r="B222" s="1" t="n">
        <v>45838.773125</v>
      </c>
      <c r="C222" s="1" t="n">
        <v>46166</v>
      </c>
      <c r="D222" t="inlineStr">
        <is>
          <t>JÄMTLANDS LÄN</t>
        </is>
      </c>
      <c r="E222" t="inlineStr">
        <is>
          <t>HÄRJEDALEN</t>
        </is>
      </c>
      <c r="F222" t="inlineStr">
        <is>
          <t>Sveaskog</t>
        </is>
      </c>
      <c r="G222" t="n">
        <v>12.8</v>
      </c>
      <c r="H222" t="n">
        <v>0</v>
      </c>
      <c r="I222" t="n">
        <v>0</v>
      </c>
      <c r="J222" t="n">
        <v>1</v>
      </c>
      <c r="K222" t="n">
        <v>0</v>
      </c>
      <c r="L222" t="n">
        <v>0</v>
      </c>
      <c r="M222" t="n">
        <v>0</v>
      </c>
      <c r="N222" t="n">
        <v>0</v>
      </c>
      <c r="O222" t="n">
        <v>1</v>
      </c>
      <c r="P222" t="n">
        <v>0</v>
      </c>
      <c r="Q222" t="n">
        <v>1</v>
      </c>
      <c r="R222" s="2" t="inlineStr">
        <is>
          <t>Kolflarnlav</t>
        </is>
      </c>
      <c r="S222">
        <f>HYPERLINK("https://klasma.github.io/Logging_2361/artfynd/A 32678-2025 artfynd.xlsx", "A 32678-2025")</f>
        <v/>
      </c>
      <c r="T222">
        <f>HYPERLINK("https://klasma.github.io/Logging_2361/kartor/A 32678-2025 karta.png", "A 32678-2025")</f>
        <v/>
      </c>
      <c r="V222">
        <f>HYPERLINK("https://klasma.github.io/Logging_2361/klagomål/A 32678-2025 FSC-klagomål.docx", "A 32678-2025")</f>
        <v/>
      </c>
      <c r="W222">
        <f>HYPERLINK("https://klasma.github.io/Logging_2361/klagomålsmail/A 32678-2025 FSC-klagomål mail.docx", "A 32678-2025")</f>
        <v/>
      </c>
      <c r="X222">
        <f>HYPERLINK("https://klasma.github.io/Logging_2361/tillsyn/A 32678-2025 tillsynsbegäran.docx", "A 32678-2025")</f>
        <v/>
      </c>
      <c r="Y222">
        <f>HYPERLINK("https://klasma.github.io/Logging_2361/tillsynsmail/A 32678-2025 tillsynsbegäran mail.docx", "A 32678-2025")</f>
        <v/>
      </c>
    </row>
    <row r="223" ht="15" customHeight="1">
      <c r="A223" t="inlineStr">
        <is>
          <t>A 71756-2021</t>
        </is>
      </c>
      <c r="B223" s="1" t="n">
        <v>44543</v>
      </c>
      <c r="C223" s="1" t="n">
        <v>46166</v>
      </c>
      <c r="D223" t="inlineStr">
        <is>
          <t>JÄMTLANDS LÄN</t>
        </is>
      </c>
      <c r="E223" t="inlineStr">
        <is>
          <t>HÄRJEDALEN</t>
        </is>
      </c>
      <c r="G223" t="n">
        <v>2.4</v>
      </c>
      <c r="H223" t="n">
        <v>0</v>
      </c>
      <c r="I223" t="n">
        <v>0</v>
      </c>
      <c r="J223" t="n">
        <v>0</v>
      </c>
      <c r="K223" t="n">
        <v>0</v>
      </c>
      <c r="L223" t="n">
        <v>0</v>
      </c>
      <c r="M223" t="n">
        <v>0</v>
      </c>
      <c r="N223" t="n">
        <v>0</v>
      </c>
      <c r="O223" t="n">
        <v>0</v>
      </c>
      <c r="P223" t="n">
        <v>0</v>
      </c>
      <c r="Q223" t="n">
        <v>0</v>
      </c>
      <c r="R223" s="2" t="inlineStr"/>
    </row>
    <row r="224" ht="15" customHeight="1">
      <c r="A224" t="inlineStr">
        <is>
          <t>A 24690-2022</t>
        </is>
      </c>
      <c r="B224" s="1" t="n">
        <v>44727.70908564814</v>
      </c>
      <c r="C224" s="1" t="n">
        <v>46166</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46166</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46166</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46166</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46166</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46166</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46166</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46166</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46166</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46166</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46166</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55231-2021</t>
        </is>
      </c>
      <c r="B235" s="1" t="n">
        <v>44475</v>
      </c>
      <c r="C235" s="1" t="n">
        <v>46166</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35572-2021</t>
        </is>
      </c>
      <c r="B236" s="1" t="n">
        <v>44385.93652777778</v>
      </c>
      <c r="C236" s="1" t="n">
        <v>46166</v>
      </c>
      <c r="D236" t="inlineStr">
        <is>
          <t>JÄMTLANDS LÄN</t>
        </is>
      </c>
      <c r="E236" t="inlineStr">
        <is>
          <t>HÄRJEDALEN</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29585-2021</t>
        </is>
      </c>
      <c r="B237" s="1" t="n">
        <v>44361</v>
      </c>
      <c r="C237" s="1" t="n">
        <v>46166</v>
      </c>
      <c r="D237" t="inlineStr">
        <is>
          <t>JÄMTLANDS LÄN</t>
        </is>
      </c>
      <c r="E237" t="inlineStr">
        <is>
          <t>HÄRJEDALEN</t>
        </is>
      </c>
      <c r="G237" t="n">
        <v>3.4</v>
      </c>
      <c r="H237" t="n">
        <v>0</v>
      </c>
      <c r="I237" t="n">
        <v>0</v>
      </c>
      <c r="J237" t="n">
        <v>0</v>
      </c>
      <c r="K237" t="n">
        <v>0</v>
      </c>
      <c r="L237" t="n">
        <v>0</v>
      </c>
      <c r="M237" t="n">
        <v>0</v>
      </c>
      <c r="N237" t="n">
        <v>0</v>
      </c>
      <c r="O237" t="n">
        <v>0</v>
      </c>
      <c r="P237" t="n">
        <v>0</v>
      </c>
      <c r="Q237" t="n">
        <v>0</v>
      </c>
      <c r="R237" s="2" t="inlineStr"/>
    </row>
    <row r="238" ht="15" customHeight="1">
      <c r="A238" t="inlineStr">
        <is>
          <t>A 38356-2021</t>
        </is>
      </c>
      <c r="B238" s="1" t="n">
        <v>44406</v>
      </c>
      <c r="C238" s="1" t="n">
        <v>46166</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55393-2021</t>
        </is>
      </c>
      <c r="B239" s="1" t="n">
        <v>44475</v>
      </c>
      <c r="C239" s="1" t="n">
        <v>46166</v>
      </c>
      <c r="D239" t="inlineStr">
        <is>
          <t>JÄMTLANDS LÄN</t>
        </is>
      </c>
      <c r="E239" t="inlineStr">
        <is>
          <t>HÄRJEDALEN</t>
        </is>
      </c>
      <c r="G239" t="n">
        <v>3</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46166</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46166</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46166</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46166</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46166</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46166</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46166</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46166</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46166</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46166</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46166</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46166</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46166</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46166</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46166</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46166</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46166</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46166</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46166</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46166</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46166</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26167-2021</t>
        </is>
      </c>
      <c r="B261" s="1" t="n">
        <v>44344</v>
      </c>
      <c r="C261" s="1" t="n">
        <v>46166</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46166</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46166</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46166</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46166</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39618-2022</t>
        </is>
      </c>
      <c r="B266" s="1" t="n">
        <v>44818</v>
      </c>
      <c r="C266" s="1" t="n">
        <v>46166</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31167-2022</t>
        </is>
      </c>
      <c r="B267" s="1" t="n">
        <v>44770.53315972222</v>
      </c>
      <c r="C267" s="1" t="n">
        <v>46166</v>
      </c>
      <c r="D267" t="inlineStr">
        <is>
          <t>JÄMTLANDS LÄN</t>
        </is>
      </c>
      <c r="E267" t="inlineStr">
        <is>
          <t>HÄRJEDALEN</t>
        </is>
      </c>
      <c r="G267" t="n">
        <v>1.9</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46166</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46166</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46166</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46166</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46166</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46166</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46166</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46166</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46166</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46166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46166</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46166</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46166</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46166</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46166</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46166</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46166</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46166</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46166</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46166</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46166</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46166</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46166</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46166</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46166</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46166</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46166</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46166</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46166</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46166</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46166</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46166</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46166</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46166</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46166</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46166</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46166</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46166</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46166</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46166</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46166</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46166</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46166</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46166</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46166</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46166</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46166</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46166</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46166</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46166</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46166</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46166</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46166</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46166</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29581-2021</t>
        </is>
      </c>
      <c r="B322" s="1" t="n">
        <v>44361</v>
      </c>
      <c r="C322" s="1" t="n">
        <v>46166</v>
      </c>
      <c r="D322" t="inlineStr">
        <is>
          <t>JÄMTLANDS LÄN</t>
        </is>
      </c>
      <c r="E322" t="inlineStr">
        <is>
          <t>HÄRJEDALEN</t>
        </is>
      </c>
      <c r="G322" t="n">
        <v>50.9</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46166</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58930-2023</t>
        </is>
      </c>
      <c r="B324" s="1" t="n">
        <v>45252</v>
      </c>
      <c r="C324" s="1" t="n">
        <v>46166</v>
      </c>
      <c r="D324" t="inlineStr">
        <is>
          <t>JÄMTLANDS LÄN</t>
        </is>
      </c>
      <c r="E324" t="inlineStr">
        <is>
          <t>HÄRJEDALEN</t>
        </is>
      </c>
      <c r="G324" t="n">
        <v>4.8</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46166</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46166</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46166</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9784-2024</t>
        </is>
      </c>
      <c r="B328" s="1" t="n">
        <v>45362.67293981482</v>
      </c>
      <c r="C328" s="1" t="n">
        <v>46166</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52867-2022</t>
        </is>
      </c>
      <c r="B329" s="1" t="n">
        <v>44872</v>
      </c>
      <c r="C329" s="1" t="n">
        <v>46166</v>
      </c>
      <c r="D329" t="inlineStr">
        <is>
          <t>JÄMTLANDS LÄN</t>
        </is>
      </c>
      <c r="E329" t="inlineStr">
        <is>
          <t>HÄRJEDALEN</t>
        </is>
      </c>
      <c r="G329" t="n">
        <v>0.3</v>
      </c>
      <c r="H329" t="n">
        <v>0</v>
      </c>
      <c r="I329" t="n">
        <v>0</v>
      </c>
      <c r="J329" t="n">
        <v>0</v>
      </c>
      <c r="K329" t="n">
        <v>0</v>
      </c>
      <c r="L329" t="n">
        <v>0</v>
      </c>
      <c r="M329" t="n">
        <v>0</v>
      </c>
      <c r="N329" t="n">
        <v>0</v>
      </c>
      <c r="O329" t="n">
        <v>0</v>
      </c>
      <c r="P329" t="n">
        <v>0</v>
      </c>
      <c r="Q329" t="n">
        <v>0</v>
      </c>
      <c r="R329" s="2" t="inlineStr"/>
    </row>
    <row r="330" ht="15" customHeight="1">
      <c r="A330" t="inlineStr">
        <is>
          <t>A 45705-2024</t>
        </is>
      </c>
      <c r="B330" s="1" t="n">
        <v>45579.57390046296</v>
      </c>
      <c r="C330" s="1" t="n">
        <v>46166</v>
      </c>
      <c r="D330" t="inlineStr">
        <is>
          <t>JÄMTLANDS LÄN</t>
        </is>
      </c>
      <c r="E330" t="inlineStr">
        <is>
          <t>HÄRJEDALEN</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54640-2024</t>
        </is>
      </c>
      <c r="B331" s="1" t="n">
        <v>45617.89371527778</v>
      </c>
      <c r="C331" s="1" t="n">
        <v>46166</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31960-2023</t>
        </is>
      </c>
      <c r="B332" s="1" t="n">
        <v>45119.39105324074</v>
      </c>
      <c r="C332" s="1" t="n">
        <v>46166</v>
      </c>
      <c r="D332" t="inlineStr">
        <is>
          <t>JÄMTLANDS LÄN</t>
        </is>
      </c>
      <c r="E332" t="inlineStr">
        <is>
          <t>HÄRJEDALEN</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4252-2025</t>
        </is>
      </c>
      <c r="B333" s="1" t="n">
        <v>45685</v>
      </c>
      <c r="C333" s="1" t="n">
        <v>46166</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46166</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46166</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576-2025</t>
        </is>
      </c>
      <c r="B336" s="1" t="n">
        <v>45664.56502314815</v>
      </c>
      <c r="C336" s="1" t="n">
        <v>46166</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10483-2025</t>
        </is>
      </c>
      <c r="B337" s="1" t="n">
        <v>45721.33868055556</v>
      </c>
      <c r="C337" s="1" t="n">
        <v>46166</v>
      </c>
      <c r="D337" t="inlineStr">
        <is>
          <t>JÄMTLANDS LÄN</t>
        </is>
      </c>
      <c r="E337" t="inlineStr">
        <is>
          <t>HÄRJEDALEN</t>
        </is>
      </c>
      <c r="G337" t="n">
        <v>5.2</v>
      </c>
      <c r="H337" t="n">
        <v>0</v>
      </c>
      <c r="I337" t="n">
        <v>0</v>
      </c>
      <c r="J337" t="n">
        <v>0</v>
      </c>
      <c r="K337" t="n">
        <v>0</v>
      </c>
      <c r="L337" t="n">
        <v>0</v>
      </c>
      <c r="M337" t="n">
        <v>0</v>
      </c>
      <c r="N337" t="n">
        <v>0</v>
      </c>
      <c r="O337" t="n">
        <v>0</v>
      </c>
      <c r="P337" t="n">
        <v>0</v>
      </c>
      <c r="Q337" t="n">
        <v>0</v>
      </c>
      <c r="R337" s="2" t="inlineStr"/>
    </row>
    <row r="338" ht="15" customHeight="1">
      <c r="A338" t="inlineStr">
        <is>
          <t>A 4898-2025</t>
        </is>
      </c>
      <c r="B338" s="1" t="n">
        <v>45688.67932870371</v>
      </c>
      <c r="C338" s="1" t="n">
        <v>46166</v>
      </c>
      <c r="D338" t="inlineStr">
        <is>
          <t>JÄMTLANDS LÄN</t>
        </is>
      </c>
      <c r="E338" t="inlineStr">
        <is>
          <t>HÄRJEDALEN</t>
        </is>
      </c>
      <c r="F338" t="inlineStr">
        <is>
          <t>SCA</t>
        </is>
      </c>
      <c r="G338" t="n">
        <v>5.8</v>
      </c>
      <c r="H338" t="n">
        <v>0</v>
      </c>
      <c r="I338" t="n">
        <v>0</v>
      </c>
      <c r="J338" t="n">
        <v>0</v>
      </c>
      <c r="K338" t="n">
        <v>0</v>
      </c>
      <c r="L338" t="n">
        <v>0</v>
      </c>
      <c r="M338" t="n">
        <v>0</v>
      </c>
      <c r="N338" t="n">
        <v>0</v>
      </c>
      <c r="O338" t="n">
        <v>0</v>
      </c>
      <c r="P338" t="n">
        <v>0</v>
      </c>
      <c r="Q338" t="n">
        <v>0</v>
      </c>
      <c r="R338" s="2" t="inlineStr"/>
    </row>
    <row r="339" ht="15" customHeight="1">
      <c r="A339" t="inlineStr">
        <is>
          <t>A 45120-2024</t>
        </is>
      </c>
      <c r="B339" s="1" t="n">
        <v>45575.60996527778</v>
      </c>
      <c r="C339" s="1" t="n">
        <v>46166</v>
      </c>
      <c r="D339" t="inlineStr">
        <is>
          <t>JÄMTLANDS LÄN</t>
        </is>
      </c>
      <c r="E339" t="inlineStr">
        <is>
          <t>HÄRJEDALEN</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10014-2023</t>
        </is>
      </c>
      <c r="B340" s="1" t="n">
        <v>44985.61403935185</v>
      </c>
      <c r="C340" s="1" t="n">
        <v>46166</v>
      </c>
      <c r="D340" t="inlineStr">
        <is>
          <t>JÄMTLANDS LÄN</t>
        </is>
      </c>
      <c r="E340" t="inlineStr">
        <is>
          <t>HÄRJEDALEN</t>
        </is>
      </c>
      <c r="F340" t="inlineStr">
        <is>
          <t>Holmen skog AB</t>
        </is>
      </c>
      <c r="G340" t="n">
        <v>2.5</v>
      </c>
      <c r="H340" t="n">
        <v>0</v>
      </c>
      <c r="I340" t="n">
        <v>0</v>
      </c>
      <c r="J340" t="n">
        <v>0</v>
      </c>
      <c r="K340" t="n">
        <v>0</v>
      </c>
      <c r="L340" t="n">
        <v>0</v>
      </c>
      <c r="M340" t="n">
        <v>0</v>
      </c>
      <c r="N340" t="n">
        <v>0</v>
      </c>
      <c r="O340" t="n">
        <v>0</v>
      </c>
      <c r="P340" t="n">
        <v>0</v>
      </c>
      <c r="Q340" t="n">
        <v>0</v>
      </c>
      <c r="R340" s="2" t="inlineStr"/>
    </row>
    <row r="341" ht="15" customHeight="1">
      <c r="A341" t="inlineStr">
        <is>
          <t>A 59293-2024</t>
        </is>
      </c>
      <c r="B341" s="1" t="n">
        <v>45637</v>
      </c>
      <c r="C341" s="1" t="n">
        <v>46166</v>
      </c>
      <c r="D341" t="inlineStr">
        <is>
          <t>JÄMTLANDS LÄN</t>
        </is>
      </c>
      <c r="E341" t="inlineStr">
        <is>
          <t>HÄRJEDALEN</t>
        </is>
      </c>
      <c r="G341" t="n">
        <v>1.6</v>
      </c>
      <c r="H341" t="n">
        <v>0</v>
      </c>
      <c r="I341" t="n">
        <v>0</v>
      </c>
      <c r="J341" t="n">
        <v>0</v>
      </c>
      <c r="K341" t="n">
        <v>0</v>
      </c>
      <c r="L341" t="n">
        <v>0</v>
      </c>
      <c r="M341" t="n">
        <v>0</v>
      </c>
      <c r="N341" t="n">
        <v>0</v>
      </c>
      <c r="O341" t="n">
        <v>0</v>
      </c>
      <c r="P341" t="n">
        <v>0</v>
      </c>
      <c r="Q341" t="n">
        <v>0</v>
      </c>
      <c r="R341" s="2" t="inlineStr"/>
    </row>
    <row r="342" ht="15" customHeight="1">
      <c r="A342" t="inlineStr">
        <is>
          <t>A 19105-2025</t>
        </is>
      </c>
      <c r="B342" s="1" t="n">
        <v>45768.30814814815</v>
      </c>
      <c r="C342" s="1" t="n">
        <v>46166</v>
      </c>
      <c r="D342" t="inlineStr">
        <is>
          <t>JÄMTLANDS LÄN</t>
        </is>
      </c>
      <c r="E342" t="inlineStr">
        <is>
          <t>HÄRJEDALEN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58507-2024</t>
        </is>
      </c>
      <c r="B343" s="1" t="n">
        <v>45635.42027777778</v>
      </c>
      <c r="C343" s="1" t="n">
        <v>46166</v>
      </c>
      <c r="D343" t="inlineStr">
        <is>
          <t>JÄMTLANDS LÄN</t>
        </is>
      </c>
      <c r="E343" t="inlineStr">
        <is>
          <t>HÄRJEDALEN</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8178-2024</t>
        </is>
      </c>
      <c r="B344" s="1" t="n">
        <v>45350</v>
      </c>
      <c r="C344" s="1" t="n">
        <v>46166</v>
      </c>
      <c r="D344" t="inlineStr">
        <is>
          <t>JÄMTLANDS LÄN</t>
        </is>
      </c>
      <c r="E344" t="inlineStr">
        <is>
          <t>HÄRJEDALEN</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8215-2024</t>
        </is>
      </c>
      <c r="B345" s="1" t="n">
        <v>45351</v>
      </c>
      <c r="C345" s="1" t="n">
        <v>46166</v>
      </c>
      <c r="D345" t="inlineStr">
        <is>
          <t>JÄMTLANDS LÄN</t>
        </is>
      </c>
      <c r="E345" t="inlineStr">
        <is>
          <t>HÄRJEDALEN</t>
        </is>
      </c>
      <c r="G345" t="n">
        <v>49.2</v>
      </c>
      <c r="H345" t="n">
        <v>0</v>
      </c>
      <c r="I345" t="n">
        <v>0</v>
      </c>
      <c r="J345" t="n">
        <v>0</v>
      </c>
      <c r="K345" t="n">
        <v>0</v>
      </c>
      <c r="L345" t="n">
        <v>0</v>
      </c>
      <c r="M345" t="n">
        <v>0</v>
      </c>
      <c r="N345" t="n">
        <v>0</v>
      </c>
      <c r="O345" t="n">
        <v>0</v>
      </c>
      <c r="P345" t="n">
        <v>0</v>
      </c>
      <c r="Q345" t="n">
        <v>0</v>
      </c>
      <c r="R345" s="2" t="inlineStr"/>
    </row>
    <row r="346" ht="15" customHeight="1">
      <c r="A346" t="inlineStr">
        <is>
          <t>A 60887-2022</t>
        </is>
      </c>
      <c r="B346" s="1" t="n">
        <v>44914</v>
      </c>
      <c r="C346" s="1" t="n">
        <v>46166</v>
      </c>
      <c r="D346" t="inlineStr">
        <is>
          <t>JÄMTLANDS LÄN</t>
        </is>
      </c>
      <c r="E346" t="inlineStr">
        <is>
          <t>HÄRJEDALEN</t>
        </is>
      </c>
      <c r="G346" t="n">
        <v>0.9</v>
      </c>
      <c r="H346" t="n">
        <v>0</v>
      </c>
      <c r="I346" t="n">
        <v>0</v>
      </c>
      <c r="J346" t="n">
        <v>0</v>
      </c>
      <c r="K346" t="n">
        <v>0</v>
      </c>
      <c r="L346" t="n">
        <v>0</v>
      </c>
      <c r="M346" t="n">
        <v>0</v>
      </c>
      <c r="N346" t="n">
        <v>0</v>
      </c>
      <c r="O346" t="n">
        <v>0</v>
      </c>
      <c r="P346" t="n">
        <v>0</v>
      </c>
      <c r="Q346" t="n">
        <v>0</v>
      </c>
      <c r="R346" s="2" t="inlineStr"/>
    </row>
    <row r="347" ht="15" customHeight="1">
      <c r="A347" t="inlineStr">
        <is>
          <t>A 51769-2024</t>
        </is>
      </c>
      <c r="B347" s="1" t="n">
        <v>45607.44832175926</v>
      </c>
      <c r="C347" s="1" t="n">
        <v>46166</v>
      </c>
      <c r="D347" t="inlineStr">
        <is>
          <t>JÄMTLANDS LÄN</t>
        </is>
      </c>
      <c r="E347" t="inlineStr">
        <is>
          <t>HÄRJEDALEN</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46166</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8420-2023</t>
        </is>
      </c>
      <c r="B349" s="1" t="n">
        <v>44977.44643518519</v>
      </c>
      <c r="C349" s="1" t="n">
        <v>46166</v>
      </c>
      <c r="D349" t="inlineStr">
        <is>
          <t>JÄMTLANDS LÄN</t>
        </is>
      </c>
      <c r="E349" t="inlineStr">
        <is>
          <t>HÄRJEDALEN</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46166</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43623-2024</t>
        </is>
      </c>
      <c r="B351" s="1" t="n">
        <v>45569.48626157407</v>
      </c>
      <c r="C351" s="1" t="n">
        <v>46166</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64484-2023</t>
        </is>
      </c>
      <c r="B352" s="1" t="n">
        <v>45280</v>
      </c>
      <c r="C352" s="1" t="n">
        <v>46166</v>
      </c>
      <c r="D352" t="inlineStr">
        <is>
          <t>JÄMTLANDS LÄN</t>
        </is>
      </c>
      <c r="E352" t="inlineStr">
        <is>
          <t>HÄRJEDALEN</t>
        </is>
      </c>
      <c r="G352" t="n">
        <v>7.1</v>
      </c>
      <c r="H352" t="n">
        <v>0</v>
      </c>
      <c r="I352" t="n">
        <v>0</v>
      </c>
      <c r="J352" t="n">
        <v>0</v>
      </c>
      <c r="K352" t="n">
        <v>0</v>
      </c>
      <c r="L352" t="n">
        <v>0</v>
      </c>
      <c r="M352" t="n">
        <v>0</v>
      </c>
      <c r="N352" t="n">
        <v>0</v>
      </c>
      <c r="O352" t="n">
        <v>0</v>
      </c>
      <c r="P352" t="n">
        <v>0</v>
      </c>
      <c r="Q352" t="n">
        <v>0</v>
      </c>
      <c r="R352" s="2" t="inlineStr"/>
    </row>
    <row r="353" ht="15" customHeight="1">
      <c r="A353" t="inlineStr">
        <is>
          <t>A 25500-2022</t>
        </is>
      </c>
      <c r="B353" s="1" t="n">
        <v>44732</v>
      </c>
      <c r="C353" s="1" t="n">
        <v>46166</v>
      </c>
      <c r="D353" t="inlineStr">
        <is>
          <t>JÄMTLANDS LÄN</t>
        </is>
      </c>
      <c r="E353" t="inlineStr">
        <is>
          <t>HÄRJEDALEN</t>
        </is>
      </c>
      <c r="G353" t="n">
        <v>2.6</v>
      </c>
      <c r="H353" t="n">
        <v>0</v>
      </c>
      <c r="I353" t="n">
        <v>0</v>
      </c>
      <c r="J353" t="n">
        <v>0</v>
      </c>
      <c r="K353" t="n">
        <v>0</v>
      </c>
      <c r="L353" t="n">
        <v>0</v>
      </c>
      <c r="M353" t="n">
        <v>0</v>
      </c>
      <c r="N353" t="n">
        <v>0</v>
      </c>
      <c r="O353" t="n">
        <v>0</v>
      </c>
      <c r="P353" t="n">
        <v>0</v>
      </c>
      <c r="Q353" t="n">
        <v>0</v>
      </c>
      <c r="R353" s="2" t="inlineStr"/>
    </row>
    <row r="354" ht="15" customHeight="1">
      <c r="A354" t="inlineStr">
        <is>
          <t>A 59738-2023</t>
        </is>
      </c>
      <c r="B354" s="1" t="n">
        <v>45257</v>
      </c>
      <c r="C354" s="1" t="n">
        <v>46166</v>
      </c>
      <c r="D354" t="inlineStr">
        <is>
          <t>JÄMTLANDS LÄN</t>
        </is>
      </c>
      <c r="E354" t="inlineStr">
        <is>
          <t>HÄRJEDALEN</t>
        </is>
      </c>
      <c r="F354" t="inlineStr">
        <is>
          <t>Bergvik skog väst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55228-2024</t>
        </is>
      </c>
      <c r="B355" s="1" t="n">
        <v>45621</v>
      </c>
      <c r="C355" s="1" t="n">
        <v>46166</v>
      </c>
      <c r="D355" t="inlineStr">
        <is>
          <t>JÄMTLANDS LÄN</t>
        </is>
      </c>
      <c r="E355" t="inlineStr">
        <is>
          <t>HÄRJEDALEN</t>
        </is>
      </c>
      <c r="G355" t="n">
        <v>4.8</v>
      </c>
      <c r="H355" t="n">
        <v>0</v>
      </c>
      <c r="I355" t="n">
        <v>0</v>
      </c>
      <c r="J355" t="n">
        <v>0</v>
      </c>
      <c r="K355" t="n">
        <v>0</v>
      </c>
      <c r="L355" t="n">
        <v>0</v>
      </c>
      <c r="M355" t="n">
        <v>0</v>
      </c>
      <c r="N355" t="n">
        <v>0</v>
      </c>
      <c r="O355" t="n">
        <v>0</v>
      </c>
      <c r="P355" t="n">
        <v>0</v>
      </c>
      <c r="Q355" t="n">
        <v>0</v>
      </c>
      <c r="R355" s="2" t="inlineStr"/>
    </row>
    <row r="356" ht="15" customHeight="1">
      <c r="A356" t="inlineStr">
        <is>
          <t>A 55246-2024</t>
        </is>
      </c>
      <c r="B356" s="1" t="n">
        <v>45621</v>
      </c>
      <c r="C356" s="1" t="n">
        <v>46166</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4196-2023</t>
        </is>
      </c>
      <c r="B357" s="1" t="n">
        <v>44953</v>
      </c>
      <c r="C357" s="1" t="n">
        <v>46166</v>
      </c>
      <c r="D357" t="inlineStr">
        <is>
          <t>JÄMTLANDS LÄN</t>
        </is>
      </c>
      <c r="E357" t="inlineStr">
        <is>
          <t>HÄRJEDALEN</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30435-2023</t>
        </is>
      </c>
      <c r="B358" s="1" t="n">
        <v>45111</v>
      </c>
      <c r="C358" s="1" t="n">
        <v>46166</v>
      </c>
      <c r="D358" t="inlineStr">
        <is>
          <t>JÄMTLANDS LÄN</t>
        </is>
      </c>
      <c r="E358" t="inlineStr">
        <is>
          <t>HÄRJEDALEN</t>
        </is>
      </c>
      <c r="G358" t="n">
        <v>20</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46166</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32962-2024</t>
        </is>
      </c>
      <c r="B360" s="1" t="n">
        <v>45517.38320601852</v>
      </c>
      <c r="C360" s="1" t="n">
        <v>46166</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61042-2024</t>
        </is>
      </c>
      <c r="B361" s="1" t="n">
        <v>45645.47609953704</v>
      </c>
      <c r="C361" s="1" t="n">
        <v>46166</v>
      </c>
      <c r="D361" t="inlineStr">
        <is>
          <t>JÄMTLANDS LÄN</t>
        </is>
      </c>
      <c r="E361" t="inlineStr">
        <is>
          <t>HÄRJEDALEN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13081-2022</t>
        </is>
      </c>
      <c r="B362" s="1" t="n">
        <v>44643.81518518519</v>
      </c>
      <c r="C362" s="1" t="n">
        <v>46166</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29631-2024</t>
        </is>
      </c>
      <c r="B363" s="1" t="n">
        <v>45484.66521990741</v>
      </c>
      <c r="C363" s="1" t="n">
        <v>46166</v>
      </c>
      <c r="D363" t="inlineStr">
        <is>
          <t>JÄMTLANDS LÄN</t>
        </is>
      </c>
      <c r="E363" t="inlineStr">
        <is>
          <t>HÄRJEDALEN</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31588-2024</t>
        </is>
      </c>
      <c r="B364" s="1" t="n">
        <v>45506.36702546296</v>
      </c>
      <c r="C364" s="1" t="n">
        <v>46166</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4752-2025</t>
        </is>
      </c>
      <c r="B365" s="1" t="n">
        <v>45688.46570601852</v>
      </c>
      <c r="C365" s="1" t="n">
        <v>46166</v>
      </c>
      <c r="D365" t="inlineStr">
        <is>
          <t>JÄMTLANDS LÄN</t>
        </is>
      </c>
      <c r="E365" t="inlineStr">
        <is>
          <t>HÄRJEDALEN</t>
        </is>
      </c>
      <c r="F365" t="inlineStr">
        <is>
          <t>Bergvik skog väst AB</t>
        </is>
      </c>
      <c r="G365" t="n">
        <v>7.1</v>
      </c>
      <c r="H365" t="n">
        <v>0</v>
      </c>
      <c r="I365" t="n">
        <v>0</v>
      </c>
      <c r="J365" t="n">
        <v>0</v>
      </c>
      <c r="K365" t="n">
        <v>0</v>
      </c>
      <c r="L365" t="n">
        <v>0</v>
      </c>
      <c r="M365" t="n">
        <v>0</v>
      </c>
      <c r="N365" t="n">
        <v>0</v>
      </c>
      <c r="O365" t="n">
        <v>0</v>
      </c>
      <c r="P365" t="n">
        <v>0</v>
      </c>
      <c r="Q365" t="n">
        <v>0</v>
      </c>
      <c r="R365" s="2" t="inlineStr"/>
    </row>
    <row r="366" ht="15" customHeight="1">
      <c r="A366" t="inlineStr">
        <is>
          <t>A 51601-2024</t>
        </is>
      </c>
      <c r="B366" s="1" t="n">
        <v>45604.66936342593</v>
      </c>
      <c r="C366" s="1" t="n">
        <v>46166</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8091-2025</t>
        </is>
      </c>
      <c r="B367" s="1" t="n">
        <v>45707</v>
      </c>
      <c r="C367" s="1" t="n">
        <v>46166</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8095-2025</t>
        </is>
      </c>
      <c r="B368" s="1" t="n">
        <v>45707</v>
      </c>
      <c r="C368" s="1" t="n">
        <v>46166</v>
      </c>
      <c r="D368" t="inlineStr">
        <is>
          <t>JÄMTLANDS LÄN</t>
        </is>
      </c>
      <c r="E368" t="inlineStr">
        <is>
          <t>HÄRJEDALEN</t>
        </is>
      </c>
      <c r="G368" t="n">
        <v>2.4</v>
      </c>
      <c r="H368" t="n">
        <v>0</v>
      </c>
      <c r="I368" t="n">
        <v>0</v>
      </c>
      <c r="J368" t="n">
        <v>0</v>
      </c>
      <c r="K368" t="n">
        <v>0</v>
      </c>
      <c r="L368" t="n">
        <v>0</v>
      </c>
      <c r="M368" t="n">
        <v>0</v>
      </c>
      <c r="N368" t="n">
        <v>0</v>
      </c>
      <c r="O368" t="n">
        <v>0</v>
      </c>
      <c r="P368" t="n">
        <v>0</v>
      </c>
      <c r="Q368" t="n">
        <v>0</v>
      </c>
      <c r="R368" s="2" t="inlineStr"/>
    </row>
    <row r="369" ht="15" customHeight="1">
      <c r="A369" t="inlineStr">
        <is>
          <t>A 15003-2025</t>
        </is>
      </c>
      <c r="B369" s="1" t="n">
        <v>45743.61899305556</v>
      </c>
      <c r="C369" s="1" t="n">
        <v>46166</v>
      </c>
      <c r="D369" t="inlineStr">
        <is>
          <t>JÄMTLANDS LÄN</t>
        </is>
      </c>
      <c r="E369" t="inlineStr">
        <is>
          <t>HÄRJEDALEN</t>
        </is>
      </c>
      <c r="G369" t="n">
        <v>0.3</v>
      </c>
      <c r="H369" t="n">
        <v>0</v>
      </c>
      <c r="I369" t="n">
        <v>0</v>
      </c>
      <c r="J369" t="n">
        <v>0</v>
      </c>
      <c r="K369" t="n">
        <v>0</v>
      </c>
      <c r="L369" t="n">
        <v>0</v>
      </c>
      <c r="M369" t="n">
        <v>0</v>
      </c>
      <c r="N369" t="n">
        <v>0</v>
      </c>
      <c r="O369" t="n">
        <v>0</v>
      </c>
      <c r="P369" t="n">
        <v>0</v>
      </c>
      <c r="Q369" t="n">
        <v>0</v>
      </c>
      <c r="R369" s="2" t="inlineStr"/>
    </row>
    <row r="370" ht="15" customHeight="1">
      <c r="A370" t="inlineStr">
        <is>
          <t>A 15004-2025</t>
        </is>
      </c>
      <c r="B370" s="1" t="n">
        <v>45743.62116898148</v>
      </c>
      <c r="C370" s="1" t="n">
        <v>46166</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10012-2023</t>
        </is>
      </c>
      <c r="B371" s="1" t="n">
        <v>44985.6125</v>
      </c>
      <c r="C371" s="1" t="n">
        <v>46166</v>
      </c>
      <c r="D371" t="inlineStr">
        <is>
          <t>JÄMTLANDS LÄN</t>
        </is>
      </c>
      <c r="E371" t="inlineStr">
        <is>
          <t>HÄRJEDALEN</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31811-2023</t>
        </is>
      </c>
      <c r="B372" s="1" t="n">
        <v>45118.47491898148</v>
      </c>
      <c r="C372" s="1" t="n">
        <v>46166</v>
      </c>
      <c r="D372" t="inlineStr">
        <is>
          <t>JÄMTLANDS LÄN</t>
        </is>
      </c>
      <c r="E372" t="inlineStr">
        <is>
          <t>HÄRJEDALEN</t>
        </is>
      </c>
      <c r="F372" t="inlineStr">
        <is>
          <t>Bergvik skog väst AB</t>
        </is>
      </c>
      <c r="G372" t="n">
        <v>12.5</v>
      </c>
      <c r="H372" t="n">
        <v>0</v>
      </c>
      <c r="I372" t="n">
        <v>0</v>
      </c>
      <c r="J372" t="n">
        <v>0</v>
      </c>
      <c r="K372" t="n">
        <v>0</v>
      </c>
      <c r="L372" t="n">
        <v>0</v>
      </c>
      <c r="M372" t="n">
        <v>0</v>
      </c>
      <c r="N372" t="n">
        <v>0</v>
      </c>
      <c r="O372" t="n">
        <v>0</v>
      </c>
      <c r="P372" t="n">
        <v>0</v>
      </c>
      <c r="Q372" t="n">
        <v>0</v>
      </c>
      <c r="R372" s="2" t="inlineStr"/>
    </row>
    <row r="373" ht="15" customHeight="1">
      <c r="A373" t="inlineStr">
        <is>
          <t>A 12462-2023</t>
        </is>
      </c>
      <c r="B373" s="1" t="n">
        <v>44999.60127314815</v>
      </c>
      <c r="C373" s="1" t="n">
        <v>46166</v>
      </c>
      <c r="D373" t="inlineStr">
        <is>
          <t>JÄMTLANDS LÄN</t>
        </is>
      </c>
      <c r="E373" t="inlineStr">
        <is>
          <t>HÄRJEDALEN</t>
        </is>
      </c>
      <c r="G373" t="n">
        <v>7.8</v>
      </c>
      <c r="H373" t="n">
        <v>0</v>
      </c>
      <c r="I373" t="n">
        <v>0</v>
      </c>
      <c r="J373" t="n">
        <v>0</v>
      </c>
      <c r="K373" t="n">
        <v>0</v>
      </c>
      <c r="L373" t="n">
        <v>0</v>
      </c>
      <c r="M373" t="n">
        <v>0</v>
      </c>
      <c r="N373" t="n">
        <v>0</v>
      </c>
      <c r="O373" t="n">
        <v>0</v>
      </c>
      <c r="P373" t="n">
        <v>0</v>
      </c>
      <c r="Q373" t="n">
        <v>0</v>
      </c>
      <c r="R373" s="2" t="inlineStr"/>
    </row>
    <row r="374" ht="15" customHeight="1">
      <c r="A374" t="inlineStr">
        <is>
          <t>A 848-2025</t>
        </is>
      </c>
      <c r="B374" s="1" t="n">
        <v>45665.59925925926</v>
      </c>
      <c r="C374" s="1" t="n">
        <v>46166</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35813-2023</t>
        </is>
      </c>
      <c r="B375" s="1" t="n">
        <v>45147</v>
      </c>
      <c r="C375" s="1" t="n">
        <v>46166</v>
      </c>
      <c r="D375" t="inlineStr">
        <is>
          <t>JÄMTLANDS LÄN</t>
        </is>
      </c>
      <c r="E375" t="inlineStr">
        <is>
          <t>HÄRJEDALEN</t>
        </is>
      </c>
      <c r="G375" t="n">
        <v>15.1</v>
      </c>
      <c r="H375" t="n">
        <v>0</v>
      </c>
      <c r="I375" t="n">
        <v>0</v>
      </c>
      <c r="J375" t="n">
        <v>0</v>
      </c>
      <c r="K375" t="n">
        <v>0</v>
      </c>
      <c r="L375" t="n">
        <v>0</v>
      </c>
      <c r="M375" t="n">
        <v>0</v>
      </c>
      <c r="N375" t="n">
        <v>0</v>
      </c>
      <c r="O375" t="n">
        <v>0</v>
      </c>
      <c r="P375" t="n">
        <v>0</v>
      </c>
      <c r="Q375" t="n">
        <v>0</v>
      </c>
      <c r="R375" s="2" t="inlineStr"/>
    </row>
    <row r="376" ht="15" customHeight="1">
      <c r="A376" t="inlineStr">
        <is>
          <t>A 2718-2025</t>
        </is>
      </c>
      <c r="B376" s="1" t="n">
        <v>45677.43028935185</v>
      </c>
      <c r="C376" s="1" t="n">
        <v>46166</v>
      </c>
      <c r="D376" t="inlineStr">
        <is>
          <t>JÄMTLANDS LÄN</t>
        </is>
      </c>
      <c r="E376" t="inlineStr">
        <is>
          <t>HÄRJEDALEN</t>
        </is>
      </c>
      <c r="G376" t="n">
        <v>0.7</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46166</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2336-2025</t>
        </is>
      </c>
      <c r="B378" s="1" t="n">
        <v>45673.65925925926</v>
      </c>
      <c r="C378" s="1" t="n">
        <v>46166</v>
      </c>
      <c r="D378" t="inlineStr">
        <is>
          <t>JÄMTLANDS LÄN</t>
        </is>
      </c>
      <c r="E378" t="inlineStr">
        <is>
          <t>HÄRJEDALEN</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12781-2025</t>
        </is>
      </c>
      <c r="B379" s="1" t="n">
        <v>45733.59667824074</v>
      </c>
      <c r="C379" s="1" t="n">
        <v>46166</v>
      </c>
      <c r="D379" t="inlineStr">
        <is>
          <t>JÄMTLANDS LÄN</t>
        </is>
      </c>
      <c r="E379" t="inlineStr">
        <is>
          <t>HÄRJEDALEN</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48867-2023</t>
        </is>
      </c>
      <c r="B380" s="1" t="n">
        <v>45209.45420138889</v>
      </c>
      <c r="C380" s="1" t="n">
        <v>46166</v>
      </c>
      <c r="D380" t="inlineStr">
        <is>
          <t>JÄMTLANDS LÄN</t>
        </is>
      </c>
      <c r="E380" t="inlineStr">
        <is>
          <t>HÄRJEDALEN</t>
        </is>
      </c>
      <c r="G380" t="n">
        <v>9.1</v>
      </c>
      <c r="H380" t="n">
        <v>0</v>
      </c>
      <c r="I380" t="n">
        <v>0</v>
      </c>
      <c r="J380" t="n">
        <v>0</v>
      </c>
      <c r="K380" t="n">
        <v>0</v>
      </c>
      <c r="L380" t="n">
        <v>0</v>
      </c>
      <c r="M380" t="n">
        <v>0</v>
      </c>
      <c r="N380" t="n">
        <v>0</v>
      </c>
      <c r="O380" t="n">
        <v>0</v>
      </c>
      <c r="P380" t="n">
        <v>0</v>
      </c>
      <c r="Q380" t="n">
        <v>0</v>
      </c>
      <c r="R380" s="2" t="inlineStr"/>
    </row>
    <row r="381" ht="15" customHeight="1">
      <c r="A381" t="inlineStr">
        <is>
          <t>A 41094-2023</t>
        </is>
      </c>
      <c r="B381" s="1" t="n">
        <v>45173</v>
      </c>
      <c r="C381" s="1" t="n">
        <v>46166</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19677-2024</t>
        </is>
      </c>
      <c r="B382" s="1" t="n">
        <v>45432</v>
      </c>
      <c r="C382" s="1" t="n">
        <v>46166</v>
      </c>
      <c r="D382" t="inlineStr">
        <is>
          <t>JÄMTLANDS LÄN</t>
        </is>
      </c>
      <c r="E382" t="inlineStr">
        <is>
          <t>HÄRJEDALEN</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35635-2024</t>
        </is>
      </c>
      <c r="B383" s="1" t="n">
        <v>45531.78386574074</v>
      </c>
      <c r="C383" s="1" t="n">
        <v>46166</v>
      </c>
      <c r="D383" t="inlineStr">
        <is>
          <t>JÄMTLANDS LÄN</t>
        </is>
      </c>
      <c r="E383" t="inlineStr">
        <is>
          <t>HÄRJEDALEN</t>
        </is>
      </c>
      <c r="G383" t="n">
        <v>0.5</v>
      </c>
      <c r="H383" t="n">
        <v>0</v>
      </c>
      <c r="I383" t="n">
        <v>0</v>
      </c>
      <c r="J383" t="n">
        <v>0</v>
      </c>
      <c r="K383" t="n">
        <v>0</v>
      </c>
      <c r="L383" t="n">
        <v>0</v>
      </c>
      <c r="M383" t="n">
        <v>0</v>
      </c>
      <c r="N383" t="n">
        <v>0</v>
      </c>
      <c r="O383" t="n">
        <v>0</v>
      </c>
      <c r="P383" t="n">
        <v>0</v>
      </c>
      <c r="Q383" t="n">
        <v>0</v>
      </c>
      <c r="R383" s="2" t="inlineStr"/>
    </row>
    <row r="384" ht="15" customHeight="1">
      <c r="A384" t="inlineStr">
        <is>
          <t>A 50331-2023</t>
        </is>
      </c>
      <c r="B384" s="1" t="n">
        <v>45216</v>
      </c>
      <c r="C384" s="1" t="n">
        <v>46166</v>
      </c>
      <c r="D384" t="inlineStr">
        <is>
          <t>JÄMTLANDS LÄN</t>
        </is>
      </c>
      <c r="E384" t="inlineStr">
        <is>
          <t>HÄRJEDALEN</t>
        </is>
      </c>
      <c r="G384" t="n">
        <v>2.3</v>
      </c>
      <c r="H384" t="n">
        <v>0</v>
      </c>
      <c r="I384" t="n">
        <v>0</v>
      </c>
      <c r="J384" t="n">
        <v>0</v>
      </c>
      <c r="K384" t="n">
        <v>0</v>
      </c>
      <c r="L384" t="n">
        <v>0</v>
      </c>
      <c r="M384" t="n">
        <v>0</v>
      </c>
      <c r="N384" t="n">
        <v>0</v>
      </c>
      <c r="O384" t="n">
        <v>0</v>
      </c>
      <c r="P384" t="n">
        <v>0</v>
      </c>
      <c r="Q384" t="n">
        <v>0</v>
      </c>
      <c r="R384" s="2" t="inlineStr"/>
    </row>
    <row r="385" ht="15" customHeight="1">
      <c r="A385" t="inlineStr">
        <is>
          <t>A 12468-2022</t>
        </is>
      </c>
      <c r="B385" s="1" t="n">
        <v>44638.44958333333</v>
      </c>
      <c r="C385" s="1" t="n">
        <v>46166</v>
      </c>
      <c r="D385" t="inlineStr">
        <is>
          <t>JÄMTLANDS LÄN</t>
        </is>
      </c>
      <c r="E385" t="inlineStr">
        <is>
          <t>HÄRJEDALEN</t>
        </is>
      </c>
      <c r="G385" t="n">
        <v>2.5</v>
      </c>
      <c r="H385" t="n">
        <v>0</v>
      </c>
      <c r="I385" t="n">
        <v>0</v>
      </c>
      <c r="J385" t="n">
        <v>0</v>
      </c>
      <c r="K385" t="n">
        <v>0</v>
      </c>
      <c r="L385" t="n">
        <v>0</v>
      </c>
      <c r="M385" t="n">
        <v>0</v>
      </c>
      <c r="N385" t="n">
        <v>0</v>
      </c>
      <c r="O385" t="n">
        <v>0</v>
      </c>
      <c r="P385" t="n">
        <v>0</v>
      </c>
      <c r="Q385" t="n">
        <v>0</v>
      </c>
      <c r="R385" s="2" t="inlineStr"/>
    </row>
    <row r="386" ht="15" customHeight="1">
      <c r="A386" t="inlineStr">
        <is>
          <t>A 61465-2023</t>
        </is>
      </c>
      <c r="B386" s="1" t="n">
        <v>45264.92637731481</v>
      </c>
      <c r="C386" s="1" t="n">
        <v>46166</v>
      </c>
      <c r="D386" t="inlineStr">
        <is>
          <t>JÄMTLANDS LÄN</t>
        </is>
      </c>
      <c r="E386" t="inlineStr">
        <is>
          <t>HÄRJEDALEN</t>
        </is>
      </c>
      <c r="G386" t="n">
        <v>5.9</v>
      </c>
      <c r="H386" t="n">
        <v>0</v>
      </c>
      <c r="I386" t="n">
        <v>0</v>
      </c>
      <c r="J386" t="n">
        <v>0</v>
      </c>
      <c r="K386" t="n">
        <v>0</v>
      </c>
      <c r="L386" t="n">
        <v>0</v>
      </c>
      <c r="M386" t="n">
        <v>0</v>
      </c>
      <c r="N386" t="n">
        <v>0</v>
      </c>
      <c r="O386" t="n">
        <v>0</v>
      </c>
      <c r="P386" t="n">
        <v>0</v>
      </c>
      <c r="Q386" t="n">
        <v>0</v>
      </c>
      <c r="R386" s="2" t="inlineStr"/>
    </row>
    <row r="387" ht="15" customHeight="1">
      <c r="A387" t="inlineStr">
        <is>
          <t>A 38507-2024</t>
        </is>
      </c>
      <c r="B387" s="1" t="n">
        <v>45546.54530092593</v>
      </c>
      <c r="C387" s="1" t="n">
        <v>46166</v>
      </c>
      <c r="D387" t="inlineStr">
        <is>
          <t>JÄMTLANDS LÄN</t>
        </is>
      </c>
      <c r="E387" t="inlineStr">
        <is>
          <t>HÄRJEDALEN</t>
        </is>
      </c>
      <c r="G387" t="n">
        <v>6.4</v>
      </c>
      <c r="H387" t="n">
        <v>0</v>
      </c>
      <c r="I387" t="n">
        <v>0</v>
      </c>
      <c r="J387" t="n">
        <v>0</v>
      </c>
      <c r="K387" t="n">
        <v>0</v>
      </c>
      <c r="L387" t="n">
        <v>0</v>
      </c>
      <c r="M387" t="n">
        <v>0</v>
      </c>
      <c r="N387" t="n">
        <v>0</v>
      </c>
      <c r="O387" t="n">
        <v>0</v>
      </c>
      <c r="P387" t="n">
        <v>0</v>
      </c>
      <c r="Q387" t="n">
        <v>0</v>
      </c>
      <c r="R387" s="2" t="inlineStr"/>
    </row>
    <row r="388" ht="15" customHeight="1">
      <c r="A388" t="inlineStr">
        <is>
          <t>A 29624-2024</t>
        </is>
      </c>
      <c r="B388" s="1" t="n">
        <v>45484.65768518519</v>
      </c>
      <c r="C388" s="1" t="n">
        <v>46166</v>
      </c>
      <c r="D388" t="inlineStr">
        <is>
          <t>JÄMTLANDS LÄN</t>
        </is>
      </c>
      <c r="E388" t="inlineStr">
        <is>
          <t>HÄRJEDALEN</t>
        </is>
      </c>
      <c r="F388" t="inlineStr">
        <is>
          <t>Holmen skog AB</t>
        </is>
      </c>
      <c r="G388" t="n">
        <v>7.7</v>
      </c>
      <c r="H388" t="n">
        <v>0</v>
      </c>
      <c r="I388" t="n">
        <v>0</v>
      </c>
      <c r="J388" t="n">
        <v>0</v>
      </c>
      <c r="K388" t="n">
        <v>0</v>
      </c>
      <c r="L388" t="n">
        <v>0</v>
      </c>
      <c r="M388" t="n">
        <v>0</v>
      </c>
      <c r="N388" t="n">
        <v>0</v>
      </c>
      <c r="O388" t="n">
        <v>0</v>
      </c>
      <c r="P388" t="n">
        <v>0</v>
      </c>
      <c r="Q388" t="n">
        <v>0</v>
      </c>
      <c r="R388" s="2" t="inlineStr"/>
    </row>
    <row r="389" ht="15" customHeight="1">
      <c r="A389" t="inlineStr">
        <is>
          <t>A 55029-2021</t>
        </is>
      </c>
      <c r="B389" s="1" t="n">
        <v>44474.59423611111</v>
      </c>
      <c r="C389" s="1" t="n">
        <v>46166</v>
      </c>
      <c r="D389" t="inlineStr">
        <is>
          <t>JÄMTLANDS LÄN</t>
        </is>
      </c>
      <c r="E389" t="inlineStr">
        <is>
          <t>HÄRJEDALEN</t>
        </is>
      </c>
      <c r="G389" t="n">
        <v>6.2</v>
      </c>
      <c r="H389" t="n">
        <v>0</v>
      </c>
      <c r="I389" t="n">
        <v>0</v>
      </c>
      <c r="J389" t="n">
        <v>0</v>
      </c>
      <c r="K389" t="n">
        <v>0</v>
      </c>
      <c r="L389" t="n">
        <v>0</v>
      </c>
      <c r="M389" t="n">
        <v>0</v>
      </c>
      <c r="N389" t="n">
        <v>0</v>
      </c>
      <c r="O389" t="n">
        <v>0</v>
      </c>
      <c r="P389" t="n">
        <v>0</v>
      </c>
      <c r="Q389" t="n">
        <v>0</v>
      </c>
      <c r="R389" s="2" t="inlineStr"/>
    </row>
    <row r="390" ht="15" customHeight="1">
      <c r="A390" t="inlineStr">
        <is>
          <t>A 78-2023</t>
        </is>
      </c>
      <c r="B390" s="1" t="n">
        <v>44928</v>
      </c>
      <c r="C390" s="1" t="n">
        <v>46166</v>
      </c>
      <c r="D390" t="inlineStr">
        <is>
          <t>JÄMTLANDS LÄN</t>
        </is>
      </c>
      <c r="E390" t="inlineStr">
        <is>
          <t>HÄRJEDALEN</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105-2023</t>
        </is>
      </c>
      <c r="B391" s="1" t="n">
        <v>44928.48072916667</v>
      </c>
      <c r="C391" s="1" t="n">
        <v>46166</v>
      </c>
      <c r="D391" t="inlineStr">
        <is>
          <t>JÄMTLANDS LÄN</t>
        </is>
      </c>
      <c r="E391" t="inlineStr">
        <is>
          <t>HÄRJEDALEN</t>
        </is>
      </c>
      <c r="F391" t="inlineStr">
        <is>
          <t>Holmen skog AB</t>
        </is>
      </c>
      <c r="G391" t="n">
        <v>17.5</v>
      </c>
      <c r="H391" t="n">
        <v>0</v>
      </c>
      <c r="I391" t="n">
        <v>0</v>
      </c>
      <c r="J391" t="n">
        <v>0</v>
      </c>
      <c r="K391" t="n">
        <v>0</v>
      </c>
      <c r="L391" t="n">
        <v>0</v>
      </c>
      <c r="M391" t="n">
        <v>0</v>
      </c>
      <c r="N391" t="n">
        <v>0</v>
      </c>
      <c r="O391" t="n">
        <v>0</v>
      </c>
      <c r="P391" t="n">
        <v>0</v>
      </c>
      <c r="Q391" t="n">
        <v>0</v>
      </c>
      <c r="R391" s="2" t="inlineStr"/>
    </row>
    <row r="392" ht="15" customHeight="1">
      <c r="A392" t="inlineStr">
        <is>
          <t>A 10000-2023</t>
        </is>
      </c>
      <c r="B392" s="1" t="n">
        <v>44985</v>
      </c>
      <c r="C392" s="1" t="n">
        <v>46166</v>
      </c>
      <c r="D392" t="inlineStr">
        <is>
          <t>JÄMTLANDS LÄN</t>
        </is>
      </c>
      <c r="E392" t="inlineStr">
        <is>
          <t>HÄRJEDALEN</t>
        </is>
      </c>
      <c r="F392" t="inlineStr">
        <is>
          <t>Holmen skog AB</t>
        </is>
      </c>
      <c r="G392" t="n">
        <v>12.6</v>
      </c>
      <c r="H392" t="n">
        <v>0</v>
      </c>
      <c r="I392" t="n">
        <v>0</v>
      </c>
      <c r="J392" t="n">
        <v>0</v>
      </c>
      <c r="K392" t="n">
        <v>0</v>
      </c>
      <c r="L392" t="n">
        <v>0</v>
      </c>
      <c r="M392" t="n">
        <v>0</v>
      </c>
      <c r="N392" t="n">
        <v>0</v>
      </c>
      <c r="O392" t="n">
        <v>0</v>
      </c>
      <c r="P392" t="n">
        <v>0</v>
      </c>
      <c r="Q392" t="n">
        <v>0</v>
      </c>
      <c r="R392" s="2" t="inlineStr"/>
    </row>
    <row r="393" ht="15" customHeight="1">
      <c r="A393" t="inlineStr">
        <is>
          <t>A 14752-2024</t>
        </is>
      </c>
      <c r="B393" s="1" t="n">
        <v>45397.64855324074</v>
      </c>
      <c r="C393" s="1" t="n">
        <v>46166</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27512-2024</t>
        </is>
      </c>
      <c r="B394" s="1" t="n">
        <v>45474.54432870371</v>
      </c>
      <c r="C394" s="1" t="n">
        <v>46166</v>
      </c>
      <c r="D394" t="inlineStr">
        <is>
          <t>JÄMTLANDS LÄN</t>
        </is>
      </c>
      <c r="E394" t="inlineStr">
        <is>
          <t>HÄRJEDALEN</t>
        </is>
      </c>
      <c r="G394" t="n">
        <v>19.3</v>
      </c>
      <c r="H394" t="n">
        <v>0</v>
      </c>
      <c r="I394" t="n">
        <v>0</v>
      </c>
      <c r="J394" t="n">
        <v>0</v>
      </c>
      <c r="K394" t="n">
        <v>0</v>
      </c>
      <c r="L394" t="n">
        <v>0</v>
      </c>
      <c r="M394" t="n">
        <v>0</v>
      </c>
      <c r="N394" t="n">
        <v>0</v>
      </c>
      <c r="O394" t="n">
        <v>0</v>
      </c>
      <c r="P394" t="n">
        <v>0</v>
      </c>
      <c r="Q394" t="n">
        <v>0</v>
      </c>
      <c r="R394" s="2" t="inlineStr"/>
    </row>
    <row r="395" ht="15" customHeight="1">
      <c r="A395" t="inlineStr">
        <is>
          <t>A 60050-2024</t>
        </is>
      </c>
      <c r="B395" s="1" t="n">
        <v>45642</v>
      </c>
      <c r="C395" s="1" t="n">
        <v>46166</v>
      </c>
      <c r="D395" t="inlineStr">
        <is>
          <t>JÄMTLANDS LÄN</t>
        </is>
      </c>
      <c r="E395" t="inlineStr">
        <is>
          <t>HÄRJEDALEN</t>
        </is>
      </c>
      <c r="G395" t="n">
        <v>3.6</v>
      </c>
      <c r="H395" t="n">
        <v>0</v>
      </c>
      <c r="I395" t="n">
        <v>0</v>
      </c>
      <c r="J395" t="n">
        <v>0</v>
      </c>
      <c r="K395" t="n">
        <v>0</v>
      </c>
      <c r="L395" t="n">
        <v>0</v>
      </c>
      <c r="M395" t="n">
        <v>0</v>
      </c>
      <c r="N395" t="n">
        <v>0</v>
      </c>
      <c r="O395" t="n">
        <v>0</v>
      </c>
      <c r="P395" t="n">
        <v>0</v>
      </c>
      <c r="Q395" t="n">
        <v>0</v>
      </c>
      <c r="R395" s="2" t="inlineStr"/>
    </row>
    <row r="396" ht="15" customHeight="1">
      <c r="A396" t="inlineStr">
        <is>
          <t>A 37747-2023</t>
        </is>
      </c>
      <c r="B396" s="1" t="n">
        <v>45159</v>
      </c>
      <c r="C396" s="1" t="n">
        <v>46166</v>
      </c>
      <c r="D396" t="inlineStr">
        <is>
          <t>JÄMTLANDS LÄN</t>
        </is>
      </c>
      <c r="E396" t="inlineStr">
        <is>
          <t>HÄRJEDALEN</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37762-2023</t>
        </is>
      </c>
      <c r="B397" s="1" t="n">
        <v>45159</v>
      </c>
      <c r="C397" s="1" t="n">
        <v>46166</v>
      </c>
      <c r="D397" t="inlineStr">
        <is>
          <t>JÄMTLANDS LÄN</t>
        </is>
      </c>
      <c r="E397" t="inlineStr">
        <is>
          <t>HÄRJEDALEN</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58352-2024</t>
        </is>
      </c>
      <c r="B398" s="1" t="n">
        <v>45632.65197916667</v>
      </c>
      <c r="C398" s="1" t="n">
        <v>46166</v>
      </c>
      <c r="D398" t="inlineStr">
        <is>
          <t>JÄMTLANDS LÄN</t>
        </is>
      </c>
      <c r="E398" t="inlineStr">
        <is>
          <t>HÄRJEDALEN</t>
        </is>
      </c>
      <c r="G398" t="n">
        <v>12</v>
      </c>
      <c r="H398" t="n">
        <v>0</v>
      </c>
      <c r="I398" t="n">
        <v>0</v>
      </c>
      <c r="J398" t="n">
        <v>0</v>
      </c>
      <c r="K398" t="n">
        <v>0</v>
      </c>
      <c r="L398" t="n">
        <v>0</v>
      </c>
      <c r="M398" t="n">
        <v>0</v>
      </c>
      <c r="N398" t="n">
        <v>0</v>
      </c>
      <c r="O398" t="n">
        <v>0</v>
      </c>
      <c r="P398" t="n">
        <v>0</v>
      </c>
      <c r="Q398" t="n">
        <v>0</v>
      </c>
      <c r="R398" s="2" t="inlineStr"/>
    </row>
    <row r="399" ht="15" customHeight="1">
      <c r="A399" t="inlineStr">
        <is>
          <t>A 1364-2024</t>
        </is>
      </c>
      <c r="B399" s="1" t="n">
        <v>45303.5187037037</v>
      </c>
      <c r="C399" s="1" t="n">
        <v>46166</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47765-2024</t>
        </is>
      </c>
      <c r="B400" s="1" t="n">
        <v>45588.56039351852</v>
      </c>
      <c r="C400" s="1" t="n">
        <v>46166</v>
      </c>
      <c r="D400" t="inlineStr">
        <is>
          <t>JÄMTLANDS LÄN</t>
        </is>
      </c>
      <c r="E400" t="inlineStr">
        <is>
          <t>HÄRJEDALEN</t>
        </is>
      </c>
      <c r="G400" t="n">
        <v>53.6</v>
      </c>
      <c r="H400" t="n">
        <v>0</v>
      </c>
      <c r="I400" t="n">
        <v>0</v>
      </c>
      <c r="J400" t="n">
        <v>0</v>
      </c>
      <c r="K400" t="n">
        <v>0</v>
      </c>
      <c r="L400" t="n">
        <v>0</v>
      </c>
      <c r="M400" t="n">
        <v>0</v>
      </c>
      <c r="N400" t="n">
        <v>0</v>
      </c>
      <c r="O400" t="n">
        <v>0</v>
      </c>
      <c r="P400" t="n">
        <v>0</v>
      </c>
      <c r="Q400" t="n">
        <v>0</v>
      </c>
      <c r="R400" s="2" t="inlineStr"/>
    </row>
    <row r="401" ht="15" customHeight="1">
      <c r="A401" t="inlineStr">
        <is>
          <t>A 60709-2024</t>
        </is>
      </c>
      <c r="B401" s="1" t="n">
        <v>45644.50141203704</v>
      </c>
      <c r="C401" s="1" t="n">
        <v>46166</v>
      </c>
      <c r="D401" t="inlineStr">
        <is>
          <t>JÄMTLANDS LÄN</t>
        </is>
      </c>
      <c r="E401" t="inlineStr">
        <is>
          <t>HÄRJEDALEN</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33096-2024</t>
        </is>
      </c>
      <c r="B402" s="1" t="n">
        <v>45517.69590277778</v>
      </c>
      <c r="C402" s="1" t="n">
        <v>46166</v>
      </c>
      <c r="D402" t="inlineStr">
        <is>
          <t>JÄMTLANDS LÄN</t>
        </is>
      </c>
      <c r="E402" t="inlineStr">
        <is>
          <t>HÄRJEDALEN</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21666-2023</t>
        </is>
      </c>
      <c r="B403" s="1" t="n">
        <v>45063.92605324074</v>
      </c>
      <c r="C403" s="1" t="n">
        <v>46166</v>
      </c>
      <c r="D403" t="inlineStr">
        <is>
          <t>JÄMTLANDS LÄN</t>
        </is>
      </c>
      <c r="E403" t="inlineStr">
        <is>
          <t>HÄRJEDALEN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41711-2022</t>
        </is>
      </c>
      <c r="B404" s="1" t="n">
        <v>44827</v>
      </c>
      <c r="C404" s="1" t="n">
        <v>46166</v>
      </c>
      <c r="D404" t="inlineStr">
        <is>
          <t>JÄMTLANDS LÄN</t>
        </is>
      </c>
      <c r="E404" t="inlineStr">
        <is>
          <t>HÄRJEDALEN</t>
        </is>
      </c>
      <c r="G404" t="n">
        <v>18.3</v>
      </c>
      <c r="H404" t="n">
        <v>0</v>
      </c>
      <c r="I404" t="n">
        <v>0</v>
      </c>
      <c r="J404" t="n">
        <v>0</v>
      </c>
      <c r="K404" t="n">
        <v>0</v>
      </c>
      <c r="L404" t="n">
        <v>0</v>
      </c>
      <c r="M404" t="n">
        <v>0</v>
      </c>
      <c r="N404" t="n">
        <v>0</v>
      </c>
      <c r="O404" t="n">
        <v>0</v>
      </c>
      <c r="P404" t="n">
        <v>0</v>
      </c>
      <c r="Q404" t="n">
        <v>0</v>
      </c>
      <c r="R404" s="2" t="inlineStr"/>
    </row>
    <row r="405" ht="15" customHeight="1">
      <c r="A405" t="inlineStr">
        <is>
          <t>A 62513-2022</t>
        </is>
      </c>
      <c r="B405" s="1" t="n">
        <v>44924.61315972222</v>
      </c>
      <c r="C405" s="1" t="n">
        <v>46166</v>
      </c>
      <c r="D405" t="inlineStr">
        <is>
          <t>JÄMTLANDS LÄN</t>
        </is>
      </c>
      <c r="E405" t="inlineStr">
        <is>
          <t>HÄRJEDALEN</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10004-2025</t>
        </is>
      </c>
      <c r="B406" s="1" t="n">
        <v>45719.45277777778</v>
      </c>
      <c r="C406" s="1" t="n">
        <v>46166</v>
      </c>
      <c r="D406" t="inlineStr">
        <is>
          <t>JÄMTLANDS LÄN</t>
        </is>
      </c>
      <c r="E406" t="inlineStr">
        <is>
          <t>HÄRJEDALEN</t>
        </is>
      </c>
      <c r="G406" t="n">
        <v>3.4</v>
      </c>
      <c r="H406" t="n">
        <v>0</v>
      </c>
      <c r="I406" t="n">
        <v>0</v>
      </c>
      <c r="J406" t="n">
        <v>0</v>
      </c>
      <c r="K406" t="n">
        <v>0</v>
      </c>
      <c r="L406" t="n">
        <v>0</v>
      </c>
      <c r="M406" t="n">
        <v>0</v>
      </c>
      <c r="N406" t="n">
        <v>0</v>
      </c>
      <c r="O406" t="n">
        <v>0</v>
      </c>
      <c r="P406" t="n">
        <v>0</v>
      </c>
      <c r="Q406" t="n">
        <v>0</v>
      </c>
      <c r="R406" s="2" t="inlineStr"/>
    </row>
    <row r="407" ht="15" customHeight="1">
      <c r="A407" t="inlineStr">
        <is>
          <t>A 4217-2025</t>
        </is>
      </c>
      <c r="B407" s="1" t="n">
        <v>45685.50063657408</v>
      </c>
      <c r="C407" s="1" t="n">
        <v>46166</v>
      </c>
      <c r="D407" t="inlineStr">
        <is>
          <t>JÄMTLANDS LÄN</t>
        </is>
      </c>
      <c r="E407" t="inlineStr">
        <is>
          <t>HÄRJEDALEN</t>
        </is>
      </c>
      <c r="F407" t="inlineStr">
        <is>
          <t>Bergvik skog väst AB</t>
        </is>
      </c>
      <c r="G407" t="n">
        <v>24.6</v>
      </c>
      <c r="H407" t="n">
        <v>0</v>
      </c>
      <c r="I407" t="n">
        <v>0</v>
      </c>
      <c r="J407" t="n">
        <v>0</v>
      </c>
      <c r="K407" t="n">
        <v>0</v>
      </c>
      <c r="L407" t="n">
        <v>0</v>
      </c>
      <c r="M407" t="n">
        <v>0</v>
      </c>
      <c r="N407" t="n">
        <v>0</v>
      </c>
      <c r="O407" t="n">
        <v>0</v>
      </c>
      <c r="P407" t="n">
        <v>0</v>
      </c>
      <c r="Q407" t="n">
        <v>0</v>
      </c>
      <c r="R407" s="2" t="inlineStr"/>
    </row>
    <row r="408" ht="15" customHeight="1">
      <c r="A408" t="inlineStr">
        <is>
          <t>A 30743-2024</t>
        </is>
      </c>
      <c r="B408" s="1" t="n">
        <v>45496.67178240741</v>
      </c>
      <c r="C408" s="1" t="n">
        <v>46166</v>
      </c>
      <c r="D408" t="inlineStr">
        <is>
          <t>JÄMTLANDS LÄN</t>
        </is>
      </c>
      <c r="E408" t="inlineStr">
        <is>
          <t>HÄRJEDALEN</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59962-2024</t>
        </is>
      </c>
      <c r="B409" s="1" t="n">
        <v>45642.35256944445</v>
      </c>
      <c r="C409" s="1" t="n">
        <v>46166</v>
      </c>
      <c r="D409" t="inlineStr">
        <is>
          <t>JÄMTLANDS LÄN</t>
        </is>
      </c>
      <c r="E409" t="inlineStr">
        <is>
          <t>HÄRJEDALEN</t>
        </is>
      </c>
      <c r="G409" t="n">
        <v>2.4</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46166</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19402-2024</t>
        </is>
      </c>
      <c r="B411" s="1" t="n">
        <v>45429.39</v>
      </c>
      <c r="C411" s="1" t="n">
        <v>46166</v>
      </c>
      <c r="D411" t="inlineStr">
        <is>
          <t>JÄMTLANDS LÄN</t>
        </is>
      </c>
      <c r="E411" t="inlineStr">
        <is>
          <t>HÄRJEDALEN</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54762-2022</t>
        </is>
      </c>
      <c r="B412" s="1" t="n">
        <v>44883</v>
      </c>
      <c r="C412" s="1" t="n">
        <v>46166</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11997-2025</t>
        </is>
      </c>
      <c r="B413" s="1" t="n">
        <v>45728.61006944445</v>
      </c>
      <c r="C413" s="1" t="n">
        <v>46166</v>
      </c>
      <c r="D413" t="inlineStr">
        <is>
          <t>JÄMTLANDS LÄN</t>
        </is>
      </c>
      <c r="E413" t="inlineStr">
        <is>
          <t>HÄRJEDALEN</t>
        </is>
      </c>
      <c r="G413" t="n">
        <v>3.2</v>
      </c>
      <c r="H413" t="n">
        <v>0</v>
      </c>
      <c r="I413" t="n">
        <v>0</v>
      </c>
      <c r="J413" t="n">
        <v>0</v>
      </c>
      <c r="K413" t="n">
        <v>0</v>
      </c>
      <c r="L413" t="n">
        <v>0</v>
      </c>
      <c r="M413" t="n">
        <v>0</v>
      </c>
      <c r="N413" t="n">
        <v>0</v>
      </c>
      <c r="O413" t="n">
        <v>0</v>
      </c>
      <c r="P413" t="n">
        <v>0</v>
      </c>
      <c r="Q413" t="n">
        <v>0</v>
      </c>
      <c r="R413" s="2" t="inlineStr"/>
    </row>
    <row r="414" ht="15" customHeight="1">
      <c r="A414" t="inlineStr">
        <is>
          <t>A 16283-2024</t>
        </is>
      </c>
      <c r="B414" s="1" t="n">
        <v>45407.36894675926</v>
      </c>
      <c r="C414" s="1" t="n">
        <v>46166</v>
      </c>
      <c r="D414" t="inlineStr">
        <is>
          <t>JÄMTLANDS LÄN</t>
        </is>
      </c>
      <c r="E414" t="inlineStr">
        <is>
          <t>HÄRJEDALEN</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50775-2021</t>
        </is>
      </c>
      <c r="B415" s="1" t="n">
        <v>44460.44315972222</v>
      </c>
      <c r="C415" s="1" t="n">
        <v>46166</v>
      </c>
      <c r="D415" t="inlineStr">
        <is>
          <t>JÄMTLANDS LÄN</t>
        </is>
      </c>
      <c r="E415" t="inlineStr">
        <is>
          <t>HÄRJEDALEN</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28408-2024</t>
        </is>
      </c>
      <c r="B416" s="1" t="n">
        <v>45477.62255787037</v>
      </c>
      <c r="C416" s="1" t="n">
        <v>46166</v>
      </c>
      <c r="D416" t="inlineStr">
        <is>
          <t>JÄMTLANDS LÄN</t>
        </is>
      </c>
      <c r="E416" t="inlineStr">
        <is>
          <t>HÄRJEDALEN</t>
        </is>
      </c>
      <c r="F416" t="inlineStr">
        <is>
          <t>Holmen skog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63546-2023</t>
        </is>
      </c>
      <c r="B417" s="1" t="n">
        <v>45275</v>
      </c>
      <c r="C417" s="1" t="n">
        <v>46166</v>
      </c>
      <c r="D417" t="inlineStr">
        <is>
          <t>JÄMTLANDS LÄN</t>
        </is>
      </c>
      <c r="E417" t="inlineStr">
        <is>
          <t>HÄRJEDALEN</t>
        </is>
      </c>
      <c r="G417" t="n">
        <v>4.5</v>
      </c>
      <c r="H417" t="n">
        <v>0</v>
      </c>
      <c r="I417" t="n">
        <v>0</v>
      </c>
      <c r="J417" t="n">
        <v>0</v>
      </c>
      <c r="K417" t="n">
        <v>0</v>
      </c>
      <c r="L417" t="n">
        <v>0</v>
      </c>
      <c r="M417" t="n">
        <v>0</v>
      </c>
      <c r="N417" t="n">
        <v>0</v>
      </c>
      <c r="O417" t="n">
        <v>0</v>
      </c>
      <c r="P417" t="n">
        <v>0</v>
      </c>
      <c r="Q417" t="n">
        <v>0</v>
      </c>
      <c r="R417" s="2" t="inlineStr"/>
    </row>
    <row r="418" ht="15" customHeight="1">
      <c r="A418" t="inlineStr">
        <is>
          <t>A 29536-2024</t>
        </is>
      </c>
      <c r="B418" s="1" t="n">
        <v>45484.48854166667</v>
      </c>
      <c r="C418" s="1" t="n">
        <v>46166</v>
      </c>
      <c r="D418" t="inlineStr">
        <is>
          <t>JÄMTLANDS LÄN</t>
        </is>
      </c>
      <c r="E418" t="inlineStr">
        <is>
          <t>HÄRJEDALEN</t>
        </is>
      </c>
      <c r="F418" t="inlineStr">
        <is>
          <t>Holmen skog AB</t>
        </is>
      </c>
      <c r="G418" t="n">
        <v>25.2</v>
      </c>
      <c r="H418" t="n">
        <v>0</v>
      </c>
      <c r="I418" t="n">
        <v>0</v>
      </c>
      <c r="J418" t="n">
        <v>0</v>
      </c>
      <c r="K418" t="n">
        <v>0</v>
      </c>
      <c r="L418" t="n">
        <v>0</v>
      </c>
      <c r="M418" t="n">
        <v>0</v>
      </c>
      <c r="N418" t="n">
        <v>0</v>
      </c>
      <c r="O418" t="n">
        <v>0</v>
      </c>
      <c r="P418" t="n">
        <v>0</v>
      </c>
      <c r="Q418" t="n">
        <v>0</v>
      </c>
      <c r="R418" s="2" t="inlineStr"/>
    </row>
    <row r="419" ht="15" customHeight="1">
      <c r="A419" t="inlineStr">
        <is>
          <t>A 24834-2022</t>
        </is>
      </c>
      <c r="B419" s="1" t="n">
        <v>44728</v>
      </c>
      <c r="C419" s="1" t="n">
        <v>46166</v>
      </c>
      <c r="D419" t="inlineStr">
        <is>
          <t>JÄMTLANDS LÄN</t>
        </is>
      </c>
      <c r="E419" t="inlineStr">
        <is>
          <t>HÄRJEDALEN</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37054-2024</t>
        </is>
      </c>
      <c r="B420" s="1" t="n">
        <v>45539.43545138889</v>
      </c>
      <c r="C420" s="1" t="n">
        <v>46166</v>
      </c>
      <c r="D420" t="inlineStr">
        <is>
          <t>JÄMTLANDS LÄN</t>
        </is>
      </c>
      <c r="E420" t="inlineStr">
        <is>
          <t>HÄRJEDALEN</t>
        </is>
      </c>
      <c r="G420" t="n">
        <v>1.8</v>
      </c>
      <c r="H420" t="n">
        <v>0</v>
      </c>
      <c r="I420" t="n">
        <v>0</v>
      </c>
      <c r="J420" t="n">
        <v>0</v>
      </c>
      <c r="K420" t="n">
        <v>0</v>
      </c>
      <c r="L420" t="n">
        <v>0</v>
      </c>
      <c r="M420" t="n">
        <v>0</v>
      </c>
      <c r="N420" t="n">
        <v>0</v>
      </c>
      <c r="O420" t="n">
        <v>0</v>
      </c>
      <c r="P420" t="n">
        <v>0</v>
      </c>
      <c r="Q420" t="n">
        <v>0</v>
      </c>
      <c r="R420" s="2" t="inlineStr"/>
    </row>
    <row r="421" ht="15" customHeight="1">
      <c r="A421" t="inlineStr">
        <is>
          <t>A 7311-2024</t>
        </is>
      </c>
      <c r="B421" s="1" t="n">
        <v>45345.34219907408</v>
      </c>
      <c r="C421" s="1" t="n">
        <v>46166</v>
      </c>
      <c r="D421" t="inlineStr">
        <is>
          <t>JÄMTLANDS LÄN</t>
        </is>
      </c>
      <c r="E421" t="inlineStr">
        <is>
          <t>HÄRJEDALEN</t>
        </is>
      </c>
      <c r="F421" t="inlineStr">
        <is>
          <t>Holmen skog AB</t>
        </is>
      </c>
      <c r="G421" t="n">
        <v>3.7</v>
      </c>
      <c r="H421" t="n">
        <v>0</v>
      </c>
      <c r="I421" t="n">
        <v>0</v>
      </c>
      <c r="J421" t="n">
        <v>0</v>
      </c>
      <c r="K421" t="n">
        <v>0</v>
      </c>
      <c r="L421" t="n">
        <v>0</v>
      </c>
      <c r="M421" t="n">
        <v>0</v>
      </c>
      <c r="N421" t="n">
        <v>0</v>
      </c>
      <c r="O421" t="n">
        <v>0</v>
      </c>
      <c r="P421" t="n">
        <v>0</v>
      </c>
      <c r="Q421" t="n">
        <v>0</v>
      </c>
      <c r="R421" s="2" t="inlineStr"/>
    </row>
    <row r="422" ht="15" customHeight="1">
      <c r="A422" t="inlineStr">
        <is>
          <t>A 7362-2024</t>
        </is>
      </c>
      <c r="B422" s="1" t="n">
        <v>45345.47642361111</v>
      </c>
      <c r="C422" s="1" t="n">
        <v>46166</v>
      </c>
      <c r="D422" t="inlineStr">
        <is>
          <t>JÄMTLANDS LÄN</t>
        </is>
      </c>
      <c r="E422" t="inlineStr">
        <is>
          <t>HÄRJEDALEN</t>
        </is>
      </c>
      <c r="F422" t="inlineStr">
        <is>
          <t>Holmen skog AB</t>
        </is>
      </c>
      <c r="G422" t="n">
        <v>0.8</v>
      </c>
      <c r="H422" t="n">
        <v>0</v>
      </c>
      <c r="I422" t="n">
        <v>0</v>
      </c>
      <c r="J422" t="n">
        <v>0</v>
      </c>
      <c r="K422" t="n">
        <v>0</v>
      </c>
      <c r="L422" t="n">
        <v>0</v>
      </c>
      <c r="M422" t="n">
        <v>0</v>
      </c>
      <c r="N422" t="n">
        <v>0</v>
      </c>
      <c r="O422" t="n">
        <v>0</v>
      </c>
      <c r="P422" t="n">
        <v>0</v>
      </c>
      <c r="Q422" t="n">
        <v>0</v>
      </c>
      <c r="R422" s="2" t="inlineStr"/>
    </row>
    <row r="423" ht="15" customHeight="1">
      <c r="A423" t="inlineStr">
        <is>
          <t>A 20935-2023</t>
        </is>
      </c>
      <c r="B423" s="1" t="n">
        <v>45061.36835648148</v>
      </c>
      <c r="C423" s="1" t="n">
        <v>46166</v>
      </c>
      <c r="D423" t="inlineStr">
        <is>
          <t>JÄMTLANDS LÄN</t>
        </is>
      </c>
      <c r="E423" t="inlineStr">
        <is>
          <t>HÄRJEDALEN</t>
        </is>
      </c>
      <c r="G423" t="n">
        <v>7.3</v>
      </c>
      <c r="H423" t="n">
        <v>0</v>
      </c>
      <c r="I423" t="n">
        <v>0</v>
      </c>
      <c r="J423" t="n">
        <v>0</v>
      </c>
      <c r="K423" t="n">
        <v>0</v>
      </c>
      <c r="L423" t="n">
        <v>0</v>
      </c>
      <c r="M423" t="n">
        <v>0</v>
      </c>
      <c r="N423" t="n">
        <v>0</v>
      </c>
      <c r="O423" t="n">
        <v>0</v>
      </c>
      <c r="P423" t="n">
        <v>0</v>
      </c>
      <c r="Q423" t="n">
        <v>0</v>
      </c>
      <c r="R423" s="2" t="inlineStr"/>
    </row>
    <row r="424" ht="15" customHeight="1">
      <c r="A424" t="inlineStr">
        <is>
          <t>A 57836-2024</t>
        </is>
      </c>
      <c r="B424" s="1" t="n">
        <v>45631.39950231482</v>
      </c>
      <c r="C424" s="1" t="n">
        <v>46166</v>
      </c>
      <c r="D424" t="inlineStr">
        <is>
          <t>JÄMTLANDS LÄN</t>
        </is>
      </c>
      <c r="E424" t="inlineStr">
        <is>
          <t>HÄRJEDALEN</t>
        </is>
      </c>
      <c r="F424" t="inlineStr">
        <is>
          <t>Bergvik skog väst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18659-2023</t>
        </is>
      </c>
      <c r="B425" s="1" t="n">
        <v>45041</v>
      </c>
      <c r="C425" s="1" t="n">
        <v>46166</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54682-2024</t>
        </is>
      </c>
      <c r="B426" s="1" t="n">
        <v>45618</v>
      </c>
      <c r="C426" s="1" t="n">
        <v>46166</v>
      </c>
      <c r="D426" t="inlineStr">
        <is>
          <t>JÄMTLANDS LÄN</t>
        </is>
      </c>
      <c r="E426" t="inlineStr">
        <is>
          <t>HÄRJEDALEN</t>
        </is>
      </c>
      <c r="G426" t="n">
        <v>14.2</v>
      </c>
      <c r="H426" t="n">
        <v>0</v>
      </c>
      <c r="I426" t="n">
        <v>0</v>
      </c>
      <c r="J426" t="n">
        <v>0</v>
      </c>
      <c r="K426" t="n">
        <v>0</v>
      </c>
      <c r="L426" t="n">
        <v>0</v>
      </c>
      <c r="M426" t="n">
        <v>0</v>
      </c>
      <c r="N426" t="n">
        <v>0</v>
      </c>
      <c r="O426" t="n">
        <v>0</v>
      </c>
      <c r="P426" t="n">
        <v>0</v>
      </c>
      <c r="Q426" t="n">
        <v>0</v>
      </c>
      <c r="R426" s="2" t="inlineStr"/>
    </row>
    <row r="427" ht="15" customHeight="1">
      <c r="A427" t="inlineStr">
        <is>
          <t>A 50544-2024</t>
        </is>
      </c>
      <c r="B427" s="1" t="n">
        <v>45601.58355324074</v>
      </c>
      <c r="C427" s="1" t="n">
        <v>46166</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10348-2023</t>
        </is>
      </c>
      <c r="B428" s="1" t="n">
        <v>44987.35637731481</v>
      </c>
      <c r="C428" s="1" t="n">
        <v>46166</v>
      </c>
      <c r="D428" t="inlineStr">
        <is>
          <t>JÄMTLANDS LÄN</t>
        </is>
      </c>
      <c r="E428" t="inlineStr">
        <is>
          <t>HÄRJEDALEN</t>
        </is>
      </c>
      <c r="F428" t="inlineStr">
        <is>
          <t>Holmen skog AB</t>
        </is>
      </c>
      <c r="G428" t="n">
        <v>17.8</v>
      </c>
      <c r="H428" t="n">
        <v>0</v>
      </c>
      <c r="I428" t="n">
        <v>0</v>
      </c>
      <c r="J428" t="n">
        <v>0</v>
      </c>
      <c r="K428" t="n">
        <v>0</v>
      </c>
      <c r="L428" t="n">
        <v>0</v>
      </c>
      <c r="M428" t="n">
        <v>0</v>
      </c>
      <c r="N428" t="n">
        <v>0</v>
      </c>
      <c r="O428" t="n">
        <v>0</v>
      </c>
      <c r="P428" t="n">
        <v>0</v>
      </c>
      <c r="Q428" t="n">
        <v>0</v>
      </c>
      <c r="R428" s="2" t="inlineStr"/>
    </row>
    <row r="429" ht="15" customHeight="1">
      <c r="A429" t="inlineStr">
        <is>
          <t>A 10353-2023</t>
        </is>
      </c>
      <c r="B429" s="1" t="n">
        <v>44987</v>
      </c>
      <c r="C429" s="1" t="n">
        <v>46166</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35726-2024</t>
        </is>
      </c>
      <c r="B430" s="1" t="n">
        <v>45532</v>
      </c>
      <c r="C430" s="1" t="n">
        <v>46166</v>
      </c>
      <c r="D430" t="inlineStr">
        <is>
          <t>JÄMTLANDS LÄN</t>
        </is>
      </c>
      <c r="E430" t="inlineStr">
        <is>
          <t>HÄRJEDALEN</t>
        </is>
      </c>
      <c r="G430" t="n">
        <v>14.3</v>
      </c>
      <c r="H430" t="n">
        <v>0</v>
      </c>
      <c r="I430" t="n">
        <v>0</v>
      </c>
      <c r="J430" t="n">
        <v>0</v>
      </c>
      <c r="K430" t="n">
        <v>0</v>
      </c>
      <c r="L430" t="n">
        <v>0</v>
      </c>
      <c r="M430" t="n">
        <v>0</v>
      </c>
      <c r="N430" t="n">
        <v>0</v>
      </c>
      <c r="O430" t="n">
        <v>0</v>
      </c>
      <c r="P430" t="n">
        <v>0</v>
      </c>
      <c r="Q430" t="n">
        <v>0</v>
      </c>
      <c r="R430" s="2" t="inlineStr"/>
    </row>
    <row r="431" ht="15" customHeight="1">
      <c r="A431" t="inlineStr">
        <is>
          <t>A 62134-2024</t>
        </is>
      </c>
      <c r="B431" s="1" t="n">
        <v>45646</v>
      </c>
      <c r="C431" s="1" t="n">
        <v>46166</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34691-2025</t>
        </is>
      </c>
      <c r="B432" s="1" t="n">
        <v>45848.45113425926</v>
      </c>
      <c r="C432" s="1" t="n">
        <v>46166</v>
      </c>
      <c r="D432" t="inlineStr">
        <is>
          <t>JÄMTLANDS LÄN</t>
        </is>
      </c>
      <c r="E432" t="inlineStr">
        <is>
          <t>HÄRJEDALEN</t>
        </is>
      </c>
      <c r="F432" t="inlineStr">
        <is>
          <t>Bergvik skog väst AB</t>
        </is>
      </c>
      <c r="G432" t="n">
        <v>6.1</v>
      </c>
      <c r="H432" t="n">
        <v>0</v>
      </c>
      <c r="I432" t="n">
        <v>0</v>
      </c>
      <c r="J432" t="n">
        <v>0</v>
      </c>
      <c r="K432" t="n">
        <v>0</v>
      </c>
      <c r="L432" t="n">
        <v>0</v>
      </c>
      <c r="M432" t="n">
        <v>0</v>
      </c>
      <c r="N432" t="n">
        <v>0</v>
      </c>
      <c r="O432" t="n">
        <v>0</v>
      </c>
      <c r="P432" t="n">
        <v>0</v>
      </c>
      <c r="Q432" t="n">
        <v>0</v>
      </c>
      <c r="R432" s="2" t="inlineStr"/>
    </row>
    <row r="433" ht="15" customHeight="1">
      <c r="A433" t="inlineStr">
        <is>
          <t>A 28444-2024</t>
        </is>
      </c>
      <c r="B433" s="1" t="n">
        <v>45477.66773148148</v>
      </c>
      <c r="C433" s="1" t="n">
        <v>46166</v>
      </c>
      <c r="D433" t="inlineStr">
        <is>
          <t>JÄMTLANDS LÄN</t>
        </is>
      </c>
      <c r="E433" t="inlineStr">
        <is>
          <t>HÄRJEDALEN</t>
        </is>
      </c>
      <c r="F433" t="inlineStr">
        <is>
          <t>Holmen skog AB</t>
        </is>
      </c>
      <c r="G433" t="n">
        <v>8</v>
      </c>
      <c r="H433" t="n">
        <v>0</v>
      </c>
      <c r="I433" t="n">
        <v>0</v>
      </c>
      <c r="J433" t="n">
        <v>0</v>
      </c>
      <c r="K433" t="n">
        <v>0</v>
      </c>
      <c r="L433" t="n">
        <v>0</v>
      </c>
      <c r="M433" t="n">
        <v>0</v>
      </c>
      <c r="N433" t="n">
        <v>0</v>
      </c>
      <c r="O433" t="n">
        <v>0</v>
      </c>
      <c r="P433" t="n">
        <v>0</v>
      </c>
      <c r="Q433" t="n">
        <v>0</v>
      </c>
      <c r="R433" s="2" t="inlineStr"/>
    </row>
    <row r="434" ht="15" customHeight="1">
      <c r="A434" t="inlineStr">
        <is>
          <t>A 11545-2022</t>
        </is>
      </c>
      <c r="B434" s="1" t="n">
        <v>44631.42353009259</v>
      </c>
      <c r="C434" s="1" t="n">
        <v>46166</v>
      </c>
      <c r="D434" t="inlineStr">
        <is>
          <t>JÄMTLANDS LÄN</t>
        </is>
      </c>
      <c r="E434" t="inlineStr">
        <is>
          <t>HÄRJEDALEN</t>
        </is>
      </c>
      <c r="F434" t="inlineStr">
        <is>
          <t>Holmen skog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28627-2024</t>
        </is>
      </c>
      <c r="B435" s="1" t="n">
        <v>45478.44497685185</v>
      </c>
      <c r="C435" s="1" t="n">
        <v>46166</v>
      </c>
      <c r="D435" t="inlineStr">
        <is>
          <t>JÄMTLANDS LÄN</t>
        </is>
      </c>
      <c r="E435" t="inlineStr">
        <is>
          <t>HÄRJEDALEN</t>
        </is>
      </c>
      <c r="F435" t="inlineStr">
        <is>
          <t>Bergvik skog väst AB</t>
        </is>
      </c>
      <c r="G435" t="n">
        <v>0.2</v>
      </c>
      <c r="H435" t="n">
        <v>0</v>
      </c>
      <c r="I435" t="n">
        <v>0</v>
      </c>
      <c r="J435" t="n">
        <v>0</v>
      </c>
      <c r="K435" t="n">
        <v>0</v>
      </c>
      <c r="L435" t="n">
        <v>0</v>
      </c>
      <c r="M435" t="n">
        <v>0</v>
      </c>
      <c r="N435" t="n">
        <v>0</v>
      </c>
      <c r="O435" t="n">
        <v>0</v>
      </c>
      <c r="P435" t="n">
        <v>0</v>
      </c>
      <c r="Q435" t="n">
        <v>0</v>
      </c>
      <c r="R435" s="2" t="inlineStr"/>
    </row>
    <row r="436" ht="15" customHeight="1">
      <c r="A436" t="inlineStr">
        <is>
          <t>A 34767-2025</t>
        </is>
      </c>
      <c r="B436" s="1" t="n">
        <v>45848.65003472222</v>
      </c>
      <c r="C436" s="1" t="n">
        <v>46166</v>
      </c>
      <c r="D436" t="inlineStr">
        <is>
          <t>JÄMTLANDS LÄN</t>
        </is>
      </c>
      <c r="E436" t="inlineStr">
        <is>
          <t>HÄRJEDALEN</t>
        </is>
      </c>
      <c r="G436" t="n">
        <v>0.6</v>
      </c>
      <c r="H436" t="n">
        <v>0</v>
      </c>
      <c r="I436" t="n">
        <v>0</v>
      </c>
      <c r="J436" t="n">
        <v>0</v>
      </c>
      <c r="K436" t="n">
        <v>0</v>
      </c>
      <c r="L436" t="n">
        <v>0</v>
      </c>
      <c r="M436" t="n">
        <v>0</v>
      </c>
      <c r="N436" t="n">
        <v>0</v>
      </c>
      <c r="O436" t="n">
        <v>0</v>
      </c>
      <c r="P436" t="n">
        <v>0</v>
      </c>
      <c r="Q436" t="n">
        <v>0</v>
      </c>
      <c r="R436" s="2" t="inlineStr"/>
    </row>
    <row r="437" ht="15" customHeight="1">
      <c r="A437" t="inlineStr">
        <is>
          <t>A 34807-2025</t>
        </is>
      </c>
      <c r="B437" s="1" t="n">
        <v>45849</v>
      </c>
      <c r="C437" s="1" t="n">
        <v>46166</v>
      </c>
      <c r="D437" t="inlineStr">
        <is>
          <t>JÄMTLANDS LÄN</t>
        </is>
      </c>
      <c r="E437" t="inlineStr">
        <is>
          <t>HÄRJEDALEN</t>
        </is>
      </c>
      <c r="G437" t="n">
        <v>6.6</v>
      </c>
      <c r="H437" t="n">
        <v>0</v>
      </c>
      <c r="I437" t="n">
        <v>0</v>
      </c>
      <c r="J437" t="n">
        <v>0</v>
      </c>
      <c r="K437" t="n">
        <v>0</v>
      </c>
      <c r="L437" t="n">
        <v>0</v>
      </c>
      <c r="M437" t="n">
        <v>0</v>
      </c>
      <c r="N437" t="n">
        <v>0</v>
      </c>
      <c r="O437" t="n">
        <v>0</v>
      </c>
      <c r="P437" t="n">
        <v>0</v>
      </c>
      <c r="Q437" t="n">
        <v>0</v>
      </c>
      <c r="R437" s="2" t="inlineStr"/>
    </row>
    <row r="438" ht="15" customHeight="1">
      <c r="A438" t="inlineStr">
        <is>
          <t>A 28930-2024</t>
        </is>
      </c>
      <c r="B438" s="1" t="n">
        <v>45481.3330787037</v>
      </c>
      <c r="C438" s="1" t="n">
        <v>46166</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34702-2025</t>
        </is>
      </c>
      <c r="B439" s="1" t="n">
        <v>45848</v>
      </c>
      <c r="C439" s="1" t="n">
        <v>46166</v>
      </c>
      <c r="D439" t="inlineStr">
        <is>
          <t>JÄMTLANDS LÄN</t>
        </is>
      </c>
      <c r="E439" t="inlineStr">
        <is>
          <t>HÄRJEDALEN</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34726-2025</t>
        </is>
      </c>
      <c r="B440" s="1" t="n">
        <v>45848.57644675926</v>
      </c>
      <c r="C440" s="1" t="n">
        <v>46166</v>
      </c>
      <c r="D440" t="inlineStr">
        <is>
          <t>JÄMTLANDS LÄN</t>
        </is>
      </c>
      <c r="E440" t="inlineStr">
        <is>
          <t>HÄRJEDALEN</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34775-2025</t>
        </is>
      </c>
      <c r="B441" s="1" t="n">
        <v>45848.6568287037</v>
      </c>
      <c r="C441" s="1" t="n">
        <v>46166</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34790-2025</t>
        </is>
      </c>
      <c r="B442" s="1" t="n">
        <v>45848.68640046296</v>
      </c>
      <c r="C442" s="1" t="n">
        <v>46166</v>
      </c>
      <c r="D442" t="inlineStr">
        <is>
          <t>JÄMTLANDS LÄN</t>
        </is>
      </c>
      <c r="E442" t="inlineStr">
        <is>
          <t>HÄRJEDALEN</t>
        </is>
      </c>
      <c r="F442" t="inlineStr">
        <is>
          <t>Bergvik skog väst AB</t>
        </is>
      </c>
      <c r="G442" t="n">
        <v>32.2</v>
      </c>
      <c r="H442" t="n">
        <v>0</v>
      </c>
      <c r="I442" t="n">
        <v>0</v>
      </c>
      <c r="J442" t="n">
        <v>0</v>
      </c>
      <c r="K442" t="n">
        <v>0</v>
      </c>
      <c r="L442" t="n">
        <v>0</v>
      </c>
      <c r="M442" t="n">
        <v>0</v>
      </c>
      <c r="N442" t="n">
        <v>0</v>
      </c>
      <c r="O442" t="n">
        <v>0</v>
      </c>
      <c r="P442" t="n">
        <v>0</v>
      </c>
      <c r="Q442" t="n">
        <v>0</v>
      </c>
      <c r="R442" s="2" t="inlineStr"/>
    </row>
    <row r="443" ht="15" customHeight="1">
      <c r="A443" t="inlineStr">
        <is>
          <t>A 34757-2025</t>
        </is>
      </c>
      <c r="B443" s="1" t="n">
        <v>45848.62873842593</v>
      </c>
      <c r="C443" s="1" t="n">
        <v>46166</v>
      </c>
      <c r="D443" t="inlineStr">
        <is>
          <t>JÄMTLANDS LÄN</t>
        </is>
      </c>
      <c r="E443" t="inlineStr">
        <is>
          <t>HÄRJEDALEN</t>
        </is>
      </c>
      <c r="G443" t="n">
        <v>19.6</v>
      </c>
      <c r="H443" t="n">
        <v>0</v>
      </c>
      <c r="I443" t="n">
        <v>0</v>
      </c>
      <c r="J443" t="n">
        <v>0</v>
      </c>
      <c r="K443" t="n">
        <v>0</v>
      </c>
      <c r="L443" t="n">
        <v>0</v>
      </c>
      <c r="M443" t="n">
        <v>0</v>
      </c>
      <c r="N443" t="n">
        <v>0</v>
      </c>
      <c r="O443" t="n">
        <v>0</v>
      </c>
      <c r="P443" t="n">
        <v>0</v>
      </c>
      <c r="Q443" t="n">
        <v>0</v>
      </c>
      <c r="R443" s="2" t="inlineStr"/>
    </row>
    <row r="444" ht="15" customHeight="1">
      <c r="A444" t="inlineStr">
        <is>
          <t>A 34761-2025</t>
        </is>
      </c>
      <c r="B444" s="1" t="n">
        <v>45848.639375</v>
      </c>
      <c r="C444" s="1" t="n">
        <v>46166</v>
      </c>
      <c r="D444" t="inlineStr">
        <is>
          <t>JÄMTLANDS LÄN</t>
        </is>
      </c>
      <c r="E444" t="inlineStr">
        <is>
          <t>HÄRJEDALEN</t>
        </is>
      </c>
      <c r="G444" t="n">
        <v>5.6</v>
      </c>
      <c r="H444" t="n">
        <v>0</v>
      </c>
      <c r="I444" t="n">
        <v>0</v>
      </c>
      <c r="J444" t="n">
        <v>0</v>
      </c>
      <c r="K444" t="n">
        <v>0</v>
      </c>
      <c r="L444" t="n">
        <v>0</v>
      </c>
      <c r="M444" t="n">
        <v>0</v>
      </c>
      <c r="N444" t="n">
        <v>0</v>
      </c>
      <c r="O444" t="n">
        <v>0</v>
      </c>
      <c r="P444" t="n">
        <v>0</v>
      </c>
      <c r="Q444" t="n">
        <v>0</v>
      </c>
      <c r="R444" s="2" t="inlineStr"/>
    </row>
    <row r="445" ht="15" customHeight="1">
      <c r="A445" t="inlineStr">
        <is>
          <t>A 34653-2025</t>
        </is>
      </c>
      <c r="B445" s="1" t="n">
        <v>45848.35400462963</v>
      </c>
      <c r="C445" s="1" t="n">
        <v>46166</v>
      </c>
      <c r="D445" t="inlineStr">
        <is>
          <t>JÄMTLANDS LÄN</t>
        </is>
      </c>
      <c r="E445" t="inlineStr">
        <is>
          <t>HÄRJEDALEN</t>
        </is>
      </c>
      <c r="G445" t="n">
        <v>26.8</v>
      </c>
      <c r="H445" t="n">
        <v>0</v>
      </c>
      <c r="I445" t="n">
        <v>0</v>
      </c>
      <c r="J445" t="n">
        <v>0</v>
      </c>
      <c r="K445" t="n">
        <v>0</v>
      </c>
      <c r="L445" t="n">
        <v>0</v>
      </c>
      <c r="M445" t="n">
        <v>0</v>
      </c>
      <c r="N445" t="n">
        <v>0</v>
      </c>
      <c r="O445" t="n">
        <v>0</v>
      </c>
      <c r="P445" t="n">
        <v>0</v>
      </c>
      <c r="Q445" t="n">
        <v>0</v>
      </c>
      <c r="R445" s="2" t="inlineStr"/>
    </row>
    <row r="446" ht="15" customHeight="1">
      <c r="A446" t="inlineStr">
        <is>
          <t>A 52794-2024</t>
        </is>
      </c>
      <c r="B446" s="1" t="n">
        <v>45610.55846064815</v>
      </c>
      <c r="C446" s="1" t="n">
        <v>46166</v>
      </c>
      <c r="D446" t="inlineStr">
        <is>
          <t>JÄMTLANDS LÄN</t>
        </is>
      </c>
      <c r="E446" t="inlineStr">
        <is>
          <t>HÄRJEDALEN</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16596-2026</t>
        </is>
      </c>
      <c r="B447" s="1" t="n">
        <v>46112.59440972222</v>
      </c>
      <c r="C447" s="1" t="n">
        <v>46166</v>
      </c>
      <c r="D447" t="inlineStr">
        <is>
          <t>JÄMTLANDS LÄN</t>
        </is>
      </c>
      <c r="E447" t="inlineStr">
        <is>
          <t>HÄRJEDALEN</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35182-2025</t>
        </is>
      </c>
      <c r="B448" s="1" t="n">
        <v>45853.28325231482</v>
      </c>
      <c r="C448" s="1" t="n">
        <v>46166</v>
      </c>
      <c r="D448" t="inlineStr">
        <is>
          <t>JÄMTLANDS LÄN</t>
        </is>
      </c>
      <c r="E448" t="inlineStr">
        <is>
          <t>HÄRJEDALEN</t>
        </is>
      </c>
      <c r="G448" t="n">
        <v>32.6</v>
      </c>
      <c r="H448" t="n">
        <v>0</v>
      </c>
      <c r="I448" t="n">
        <v>0</v>
      </c>
      <c r="J448" t="n">
        <v>0</v>
      </c>
      <c r="K448" t="n">
        <v>0</v>
      </c>
      <c r="L448" t="n">
        <v>0</v>
      </c>
      <c r="M448" t="n">
        <v>0</v>
      </c>
      <c r="N448" t="n">
        <v>0</v>
      </c>
      <c r="O448" t="n">
        <v>0</v>
      </c>
      <c r="P448" t="n">
        <v>0</v>
      </c>
      <c r="Q448" t="n">
        <v>0</v>
      </c>
      <c r="R448" s="2" t="inlineStr"/>
    </row>
    <row r="449" ht="15" customHeight="1">
      <c r="A449" t="inlineStr">
        <is>
          <t>A 15616-2026</t>
        </is>
      </c>
      <c r="B449" s="1" t="n">
        <v>46106</v>
      </c>
      <c r="C449" s="1" t="n">
        <v>46166</v>
      </c>
      <c r="D449" t="inlineStr">
        <is>
          <t>JÄMTLANDS LÄN</t>
        </is>
      </c>
      <c r="E449" t="inlineStr">
        <is>
          <t>HÄRJEDALEN</t>
        </is>
      </c>
      <c r="F449" t="inlineStr">
        <is>
          <t>Bergvik skog väst AB</t>
        </is>
      </c>
      <c r="G449" t="n">
        <v>59.6</v>
      </c>
      <c r="H449" t="n">
        <v>0</v>
      </c>
      <c r="I449" t="n">
        <v>0</v>
      </c>
      <c r="J449" t="n">
        <v>0</v>
      </c>
      <c r="K449" t="n">
        <v>0</v>
      </c>
      <c r="L449" t="n">
        <v>0</v>
      </c>
      <c r="M449" t="n">
        <v>0</v>
      </c>
      <c r="N449" t="n">
        <v>0</v>
      </c>
      <c r="O449" t="n">
        <v>0</v>
      </c>
      <c r="P449" t="n">
        <v>0</v>
      </c>
      <c r="Q449" t="n">
        <v>0</v>
      </c>
      <c r="R449" s="2" t="inlineStr"/>
    </row>
    <row r="450" ht="15" customHeight="1">
      <c r="A450" t="inlineStr">
        <is>
          <t>A 35154-2025</t>
        </is>
      </c>
      <c r="B450" s="1" t="n">
        <v>45852</v>
      </c>
      <c r="C450" s="1" t="n">
        <v>46166</v>
      </c>
      <c r="D450" t="inlineStr">
        <is>
          <t>JÄMTLANDS LÄN</t>
        </is>
      </c>
      <c r="E450" t="inlineStr">
        <is>
          <t>HÄRJEDALEN</t>
        </is>
      </c>
      <c r="G450" t="n">
        <v>14.1</v>
      </c>
      <c r="H450" t="n">
        <v>0</v>
      </c>
      <c r="I450" t="n">
        <v>0</v>
      </c>
      <c r="J450" t="n">
        <v>0</v>
      </c>
      <c r="K450" t="n">
        <v>0</v>
      </c>
      <c r="L450" t="n">
        <v>0</v>
      </c>
      <c r="M450" t="n">
        <v>0</v>
      </c>
      <c r="N450" t="n">
        <v>0</v>
      </c>
      <c r="O450" t="n">
        <v>0</v>
      </c>
      <c r="P450" t="n">
        <v>0</v>
      </c>
      <c r="Q450" t="n">
        <v>0</v>
      </c>
      <c r="R450" s="2" t="inlineStr"/>
    </row>
    <row r="451" ht="15" customHeight="1">
      <c r="A451" t="inlineStr">
        <is>
          <t>A 30744-2024</t>
        </is>
      </c>
      <c r="B451" s="1" t="n">
        <v>45496.67342592592</v>
      </c>
      <c r="C451" s="1" t="n">
        <v>46166</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22398-2026</t>
        </is>
      </c>
      <c r="B452" s="1" t="n">
        <v>46154.65289351852</v>
      </c>
      <c r="C452" s="1" t="n">
        <v>46166</v>
      </c>
      <c r="D452" t="inlineStr">
        <is>
          <t>JÄMTLANDS LÄN</t>
        </is>
      </c>
      <c r="E452" t="inlineStr">
        <is>
          <t>HÄRJEDALEN</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22027-2026</t>
        </is>
      </c>
      <c r="B453" s="1" t="n">
        <v>46153.42766203704</v>
      </c>
      <c r="C453" s="1" t="n">
        <v>46166</v>
      </c>
      <c r="D453" t="inlineStr">
        <is>
          <t>JÄMTLANDS LÄN</t>
        </is>
      </c>
      <c r="E453" t="inlineStr">
        <is>
          <t>HÄRJEDALEN</t>
        </is>
      </c>
      <c r="G453" t="n">
        <v>6.6</v>
      </c>
      <c r="H453" t="n">
        <v>0</v>
      </c>
      <c r="I453" t="n">
        <v>0</v>
      </c>
      <c r="J453" t="n">
        <v>0</v>
      </c>
      <c r="K453" t="n">
        <v>0</v>
      </c>
      <c r="L453" t="n">
        <v>0</v>
      </c>
      <c r="M453" t="n">
        <v>0</v>
      </c>
      <c r="N453" t="n">
        <v>0</v>
      </c>
      <c r="O453" t="n">
        <v>0</v>
      </c>
      <c r="P453" t="n">
        <v>0</v>
      </c>
      <c r="Q453" t="n">
        <v>0</v>
      </c>
      <c r="R453" s="2" t="inlineStr"/>
    </row>
    <row r="454" ht="15" customHeight="1">
      <c r="A454" t="inlineStr">
        <is>
          <t>A 35241-2025</t>
        </is>
      </c>
      <c r="B454" s="1" t="n">
        <v>45853.61865740741</v>
      </c>
      <c r="C454" s="1" t="n">
        <v>46166</v>
      </c>
      <c r="D454" t="inlineStr">
        <is>
          <t>JÄMTLANDS LÄN</t>
        </is>
      </c>
      <c r="E454" t="inlineStr">
        <is>
          <t>HÄRJEDALEN</t>
        </is>
      </c>
      <c r="G454" t="n">
        <v>8.6</v>
      </c>
      <c r="H454" t="n">
        <v>0</v>
      </c>
      <c r="I454" t="n">
        <v>0</v>
      </c>
      <c r="J454" t="n">
        <v>0</v>
      </c>
      <c r="K454" t="n">
        <v>0</v>
      </c>
      <c r="L454" t="n">
        <v>0</v>
      </c>
      <c r="M454" t="n">
        <v>0</v>
      </c>
      <c r="N454" t="n">
        <v>0</v>
      </c>
      <c r="O454" t="n">
        <v>0</v>
      </c>
      <c r="P454" t="n">
        <v>0</v>
      </c>
      <c r="Q454" t="n">
        <v>0</v>
      </c>
      <c r="R454" s="2" t="inlineStr"/>
    </row>
    <row r="455" ht="15" customHeight="1">
      <c r="A455" t="inlineStr">
        <is>
          <t>A 35243-2025</t>
        </is>
      </c>
      <c r="B455" s="1" t="n">
        <v>45853.62415509259</v>
      </c>
      <c r="C455" s="1" t="n">
        <v>46166</v>
      </c>
      <c r="D455" t="inlineStr">
        <is>
          <t>JÄMTLANDS LÄN</t>
        </is>
      </c>
      <c r="E455" t="inlineStr">
        <is>
          <t>HÄRJEDALEN</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35309-2025</t>
        </is>
      </c>
      <c r="B456" s="1" t="n">
        <v>45854.44850694444</v>
      </c>
      <c r="C456" s="1" t="n">
        <v>46166</v>
      </c>
      <c r="D456" t="inlineStr">
        <is>
          <t>JÄMTLANDS LÄN</t>
        </is>
      </c>
      <c r="E456" t="inlineStr">
        <is>
          <t>HÄRJEDALEN</t>
        </is>
      </c>
      <c r="F456" t="inlineStr">
        <is>
          <t>SCA</t>
        </is>
      </c>
      <c r="G456" t="n">
        <v>10.2</v>
      </c>
      <c r="H456" t="n">
        <v>0</v>
      </c>
      <c r="I456" t="n">
        <v>0</v>
      </c>
      <c r="J456" t="n">
        <v>0</v>
      </c>
      <c r="K456" t="n">
        <v>0</v>
      </c>
      <c r="L456" t="n">
        <v>0</v>
      </c>
      <c r="M456" t="n">
        <v>0</v>
      </c>
      <c r="N456" t="n">
        <v>0</v>
      </c>
      <c r="O456" t="n">
        <v>0</v>
      </c>
      <c r="P456" t="n">
        <v>0</v>
      </c>
      <c r="Q456" t="n">
        <v>0</v>
      </c>
      <c r="R456" s="2" t="inlineStr"/>
    </row>
    <row r="457" ht="15" customHeight="1">
      <c r="A457" t="inlineStr">
        <is>
          <t>A 35310-2025</t>
        </is>
      </c>
      <c r="B457" s="1" t="n">
        <v>45854.44864583333</v>
      </c>
      <c r="C457" s="1" t="n">
        <v>46166</v>
      </c>
      <c r="D457" t="inlineStr">
        <is>
          <t>JÄMTLANDS LÄN</t>
        </is>
      </c>
      <c r="E457" t="inlineStr">
        <is>
          <t>HÄRJEDALEN</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35297-2025</t>
        </is>
      </c>
      <c r="B458" s="1" t="n">
        <v>45854.40662037037</v>
      </c>
      <c r="C458" s="1" t="n">
        <v>46166</v>
      </c>
      <c r="D458" t="inlineStr">
        <is>
          <t>JÄMTLANDS LÄN</t>
        </is>
      </c>
      <c r="E458" t="inlineStr">
        <is>
          <t>HÄRJEDALEN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10340-2023</t>
        </is>
      </c>
      <c r="B459" s="1" t="n">
        <v>44987.34981481481</v>
      </c>
      <c r="C459" s="1" t="n">
        <v>46166</v>
      </c>
      <c r="D459" t="inlineStr">
        <is>
          <t>JÄMTLANDS LÄN</t>
        </is>
      </c>
      <c r="E459" t="inlineStr">
        <is>
          <t>HÄRJEDALEN</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39290-2025</t>
        </is>
      </c>
      <c r="B460" s="1" t="n">
        <v>45889.40916666666</v>
      </c>
      <c r="C460" s="1" t="n">
        <v>46166</v>
      </c>
      <c r="D460" t="inlineStr">
        <is>
          <t>JÄMTLANDS LÄN</t>
        </is>
      </c>
      <c r="E460" t="inlineStr">
        <is>
          <t>HÄRJEDALEN</t>
        </is>
      </c>
      <c r="G460" t="n">
        <v>10.9</v>
      </c>
      <c r="H460" t="n">
        <v>0</v>
      </c>
      <c r="I460" t="n">
        <v>0</v>
      </c>
      <c r="J460" t="n">
        <v>0</v>
      </c>
      <c r="K460" t="n">
        <v>0</v>
      </c>
      <c r="L460" t="n">
        <v>0</v>
      </c>
      <c r="M460" t="n">
        <v>0</v>
      </c>
      <c r="N460" t="n">
        <v>0</v>
      </c>
      <c r="O460" t="n">
        <v>0</v>
      </c>
      <c r="P460" t="n">
        <v>0</v>
      </c>
      <c r="Q460" t="n">
        <v>0</v>
      </c>
      <c r="R460" s="2" t="inlineStr"/>
    </row>
    <row r="461" ht="15" customHeight="1">
      <c r="A461" t="inlineStr">
        <is>
          <t>A 39291-2025</t>
        </is>
      </c>
      <c r="B461" s="1" t="n">
        <v>45889.41715277778</v>
      </c>
      <c r="C461" s="1" t="n">
        <v>46166</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22334-2026</t>
        </is>
      </c>
      <c r="B462" s="1" t="n">
        <v>46154.56969907408</v>
      </c>
      <c r="C462" s="1" t="n">
        <v>46166</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22338-2026</t>
        </is>
      </c>
      <c r="B463" s="1" t="n">
        <v>46154.57270833333</v>
      </c>
      <c r="C463" s="1" t="n">
        <v>46166</v>
      </c>
      <c r="D463" t="inlineStr">
        <is>
          <t>JÄMTLANDS LÄN</t>
        </is>
      </c>
      <c r="E463" t="inlineStr">
        <is>
          <t>HÄRJEDALEN</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22346-2026</t>
        </is>
      </c>
      <c r="B464" s="1" t="n">
        <v>46154.5778125</v>
      </c>
      <c r="C464" s="1" t="n">
        <v>46166</v>
      </c>
      <c r="D464" t="inlineStr">
        <is>
          <t>JÄMTLANDS LÄN</t>
        </is>
      </c>
      <c r="E464" t="inlineStr">
        <is>
          <t>HÄRJEDALEN</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29772-2023</t>
        </is>
      </c>
      <c r="B465" s="1" t="n">
        <v>45107</v>
      </c>
      <c r="C465" s="1" t="n">
        <v>46166</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22381-2026</t>
        </is>
      </c>
      <c r="B466" s="1" t="n">
        <v>46154.63361111111</v>
      </c>
      <c r="C466" s="1" t="n">
        <v>46166</v>
      </c>
      <c r="D466" t="inlineStr">
        <is>
          <t>JÄMTLANDS LÄN</t>
        </is>
      </c>
      <c r="E466" t="inlineStr">
        <is>
          <t>HÄRJEDALEN</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22389-2026</t>
        </is>
      </c>
      <c r="B467" s="1" t="n">
        <v>46154.64045138889</v>
      </c>
      <c r="C467" s="1" t="n">
        <v>46166</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22387-2026</t>
        </is>
      </c>
      <c r="B468" s="1" t="n">
        <v>46154.6374537037</v>
      </c>
      <c r="C468" s="1" t="n">
        <v>46166</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35810-2025</t>
        </is>
      </c>
      <c r="B469" s="1" t="n">
        <v>45861</v>
      </c>
      <c r="C469" s="1" t="n">
        <v>46166</v>
      </c>
      <c r="D469" t="inlineStr">
        <is>
          <t>JÄMTLANDS LÄN</t>
        </is>
      </c>
      <c r="E469" t="inlineStr">
        <is>
          <t>HÄRJEDALEN</t>
        </is>
      </c>
      <c r="F469" t="inlineStr">
        <is>
          <t>Bergvik skog väst AB</t>
        </is>
      </c>
      <c r="G469" t="n">
        <v>41.3</v>
      </c>
      <c r="H469" t="n">
        <v>0</v>
      </c>
      <c r="I469" t="n">
        <v>0</v>
      </c>
      <c r="J469" t="n">
        <v>0</v>
      </c>
      <c r="K469" t="n">
        <v>0</v>
      </c>
      <c r="L469" t="n">
        <v>0</v>
      </c>
      <c r="M469" t="n">
        <v>0</v>
      </c>
      <c r="N469" t="n">
        <v>0</v>
      </c>
      <c r="O469" t="n">
        <v>0</v>
      </c>
      <c r="P469" t="n">
        <v>0</v>
      </c>
      <c r="Q469" t="n">
        <v>0</v>
      </c>
      <c r="R469" s="2" t="inlineStr"/>
    </row>
    <row r="470" ht="15" customHeight="1">
      <c r="A470" t="inlineStr">
        <is>
          <t>A 35634-2025</t>
        </is>
      </c>
      <c r="B470" s="1" t="n">
        <v>45859</v>
      </c>
      <c r="C470" s="1" t="n">
        <v>46166</v>
      </c>
      <c r="D470" t="inlineStr">
        <is>
          <t>JÄMTLANDS LÄN</t>
        </is>
      </c>
      <c r="E470" t="inlineStr">
        <is>
          <t>HÄRJEDALEN</t>
        </is>
      </c>
      <c r="G470" t="n">
        <v>9.1</v>
      </c>
      <c r="H470" t="n">
        <v>0</v>
      </c>
      <c r="I470" t="n">
        <v>0</v>
      </c>
      <c r="J470" t="n">
        <v>0</v>
      </c>
      <c r="K470" t="n">
        <v>0</v>
      </c>
      <c r="L470" t="n">
        <v>0</v>
      </c>
      <c r="M470" t="n">
        <v>0</v>
      </c>
      <c r="N470" t="n">
        <v>0</v>
      </c>
      <c r="O470" t="n">
        <v>0</v>
      </c>
      <c r="P470" t="n">
        <v>0</v>
      </c>
      <c r="Q470" t="n">
        <v>0</v>
      </c>
      <c r="R470" s="2" t="inlineStr"/>
    </row>
    <row r="471" ht="15" customHeight="1">
      <c r="A471" t="inlineStr">
        <is>
          <t>A 39140-2025</t>
        </is>
      </c>
      <c r="B471" s="1" t="n">
        <v>45888.59509259259</v>
      </c>
      <c r="C471" s="1" t="n">
        <v>46166</v>
      </c>
      <c r="D471" t="inlineStr">
        <is>
          <t>JÄMTLANDS LÄN</t>
        </is>
      </c>
      <c r="E471" t="inlineStr">
        <is>
          <t>HÄRJEDALEN</t>
        </is>
      </c>
      <c r="G471" t="n">
        <v>14.8</v>
      </c>
      <c r="H471" t="n">
        <v>0</v>
      </c>
      <c r="I471" t="n">
        <v>0</v>
      </c>
      <c r="J471" t="n">
        <v>0</v>
      </c>
      <c r="K471" t="n">
        <v>0</v>
      </c>
      <c r="L471" t="n">
        <v>0</v>
      </c>
      <c r="M471" t="n">
        <v>0</v>
      </c>
      <c r="N471" t="n">
        <v>0</v>
      </c>
      <c r="O471" t="n">
        <v>0</v>
      </c>
      <c r="P471" t="n">
        <v>0</v>
      </c>
      <c r="Q471" t="n">
        <v>0</v>
      </c>
      <c r="R471" s="2" t="inlineStr"/>
    </row>
    <row r="472" ht="15" customHeight="1">
      <c r="A472" t="inlineStr">
        <is>
          <t>A 56182-2024</t>
        </is>
      </c>
      <c r="B472" s="1" t="n">
        <v>45624.57098379629</v>
      </c>
      <c r="C472" s="1" t="n">
        <v>46166</v>
      </c>
      <c r="D472" t="inlineStr">
        <is>
          <t>JÄMTLANDS LÄN</t>
        </is>
      </c>
      <c r="E472" t="inlineStr">
        <is>
          <t>HÄRJEDALEN</t>
        </is>
      </c>
      <c r="G472" t="n">
        <v>9</v>
      </c>
      <c r="H472" t="n">
        <v>0</v>
      </c>
      <c r="I472" t="n">
        <v>0</v>
      </c>
      <c r="J472" t="n">
        <v>0</v>
      </c>
      <c r="K472" t="n">
        <v>0</v>
      </c>
      <c r="L472" t="n">
        <v>0</v>
      </c>
      <c r="M472" t="n">
        <v>0</v>
      </c>
      <c r="N472" t="n">
        <v>0</v>
      </c>
      <c r="O472" t="n">
        <v>0</v>
      </c>
      <c r="P472" t="n">
        <v>0</v>
      </c>
      <c r="Q472" t="n">
        <v>0</v>
      </c>
      <c r="R472" s="2" t="inlineStr"/>
    </row>
    <row r="473" ht="15" customHeight="1">
      <c r="A473" t="inlineStr">
        <is>
          <t>A 39211-2025</t>
        </is>
      </c>
      <c r="B473" s="1" t="n">
        <v>45888.78539351852</v>
      </c>
      <c r="C473" s="1" t="n">
        <v>46166</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39212-2025</t>
        </is>
      </c>
      <c r="B474" s="1" t="n">
        <v>45888.78833333333</v>
      </c>
      <c r="C474" s="1" t="n">
        <v>46166</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39213-2025</t>
        </is>
      </c>
      <c r="B475" s="1" t="n">
        <v>45888.78960648148</v>
      </c>
      <c r="C475" s="1" t="n">
        <v>46166</v>
      </c>
      <c r="D475" t="inlineStr">
        <is>
          <t>JÄMTLANDS LÄN</t>
        </is>
      </c>
      <c r="E475" t="inlineStr">
        <is>
          <t>HÄRJEDALEN</t>
        </is>
      </c>
      <c r="G475" t="n">
        <v>0.9</v>
      </c>
      <c r="H475" t="n">
        <v>0</v>
      </c>
      <c r="I475" t="n">
        <v>0</v>
      </c>
      <c r="J475" t="n">
        <v>0</v>
      </c>
      <c r="K475" t="n">
        <v>0</v>
      </c>
      <c r="L475" t="n">
        <v>0</v>
      </c>
      <c r="M475" t="n">
        <v>0</v>
      </c>
      <c r="N475" t="n">
        <v>0</v>
      </c>
      <c r="O475" t="n">
        <v>0</v>
      </c>
      <c r="P475" t="n">
        <v>0</v>
      </c>
      <c r="Q475" t="n">
        <v>0</v>
      </c>
      <c r="R475" s="2" t="inlineStr"/>
    </row>
    <row r="476" ht="15" customHeight="1">
      <c r="A476" t="inlineStr">
        <is>
          <t>A 12450-2025</t>
        </is>
      </c>
      <c r="B476" s="1" t="n">
        <v>45730</v>
      </c>
      <c r="C476" s="1" t="n">
        <v>46166</v>
      </c>
      <c r="D476" t="inlineStr">
        <is>
          <t>JÄMTLANDS LÄN</t>
        </is>
      </c>
      <c r="E476" t="inlineStr">
        <is>
          <t>HÄRJEDALEN</t>
        </is>
      </c>
      <c r="G476" t="n">
        <v>7.6</v>
      </c>
      <c r="H476" t="n">
        <v>0</v>
      </c>
      <c r="I476" t="n">
        <v>0</v>
      </c>
      <c r="J476" t="n">
        <v>0</v>
      </c>
      <c r="K476" t="n">
        <v>0</v>
      </c>
      <c r="L476" t="n">
        <v>0</v>
      </c>
      <c r="M476" t="n">
        <v>0</v>
      </c>
      <c r="N476" t="n">
        <v>0</v>
      </c>
      <c r="O476" t="n">
        <v>0</v>
      </c>
      <c r="P476" t="n">
        <v>0</v>
      </c>
      <c r="Q476" t="n">
        <v>0</v>
      </c>
      <c r="R476" s="2" t="inlineStr"/>
    </row>
    <row r="477" ht="15" customHeight="1">
      <c r="A477" t="inlineStr">
        <is>
          <t>A 17037-2025</t>
        </is>
      </c>
      <c r="B477" s="1" t="n">
        <v>45755</v>
      </c>
      <c r="C477" s="1" t="n">
        <v>46166</v>
      </c>
      <c r="D477" t="inlineStr">
        <is>
          <t>JÄMTLANDS LÄN</t>
        </is>
      </c>
      <c r="E477" t="inlineStr">
        <is>
          <t>HÄRJEDALEN</t>
        </is>
      </c>
      <c r="G477" t="n">
        <v>2.4</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46166</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12449-2025</t>
        </is>
      </c>
      <c r="B479" s="1" t="n">
        <v>45730</v>
      </c>
      <c r="C479" s="1" t="n">
        <v>46166</v>
      </c>
      <c r="D479" t="inlineStr">
        <is>
          <t>JÄMTLANDS LÄN</t>
        </is>
      </c>
      <c r="E479" t="inlineStr">
        <is>
          <t>HÄRJEDALEN</t>
        </is>
      </c>
      <c r="G479" t="n">
        <v>10.7</v>
      </c>
      <c r="H479" t="n">
        <v>0</v>
      </c>
      <c r="I479" t="n">
        <v>0</v>
      </c>
      <c r="J479" t="n">
        <v>0</v>
      </c>
      <c r="K479" t="n">
        <v>0</v>
      </c>
      <c r="L479" t="n">
        <v>0</v>
      </c>
      <c r="M479" t="n">
        <v>0</v>
      </c>
      <c r="N479" t="n">
        <v>0</v>
      </c>
      <c r="O479" t="n">
        <v>0</v>
      </c>
      <c r="P479" t="n">
        <v>0</v>
      </c>
      <c r="Q479" t="n">
        <v>0</v>
      </c>
      <c r="R479" s="2" t="inlineStr"/>
    </row>
    <row r="480" ht="15" customHeight="1">
      <c r="A480" t="inlineStr">
        <is>
          <t>A 18896-2025</t>
        </is>
      </c>
      <c r="B480" s="1" t="n">
        <v>45764.44861111111</v>
      </c>
      <c r="C480" s="1" t="n">
        <v>46166</v>
      </c>
      <c r="D480" t="inlineStr">
        <is>
          <t>JÄMTLANDS LÄN</t>
        </is>
      </c>
      <c r="E480" t="inlineStr">
        <is>
          <t>HÄRJEDALEN</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12017-2025</t>
        </is>
      </c>
      <c r="B481" s="1" t="n">
        <v>45728</v>
      </c>
      <c r="C481" s="1" t="n">
        <v>46166</v>
      </c>
      <c r="D481" t="inlineStr">
        <is>
          <t>JÄMTLANDS LÄN</t>
        </is>
      </c>
      <c r="E481" t="inlineStr">
        <is>
          <t>HÄRJEDALEN</t>
        </is>
      </c>
      <c r="G481" t="n">
        <v>35.4</v>
      </c>
      <c r="H481" t="n">
        <v>0</v>
      </c>
      <c r="I481" t="n">
        <v>0</v>
      </c>
      <c r="J481" t="n">
        <v>0</v>
      </c>
      <c r="K481" t="n">
        <v>0</v>
      </c>
      <c r="L481" t="n">
        <v>0</v>
      </c>
      <c r="M481" t="n">
        <v>0</v>
      </c>
      <c r="N481" t="n">
        <v>0</v>
      </c>
      <c r="O481" t="n">
        <v>0</v>
      </c>
      <c r="P481" t="n">
        <v>0</v>
      </c>
      <c r="Q481" t="n">
        <v>0</v>
      </c>
      <c r="R481" s="2" t="inlineStr"/>
    </row>
    <row r="482" ht="15" customHeight="1">
      <c r="A482" t="inlineStr">
        <is>
          <t>A 36241-2025</t>
        </is>
      </c>
      <c r="B482" s="1" t="n">
        <v>45867.55305555555</v>
      </c>
      <c r="C482" s="1" t="n">
        <v>46166</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47450-2022</t>
        </is>
      </c>
      <c r="B483" s="1" t="n">
        <v>44853</v>
      </c>
      <c r="C483" s="1" t="n">
        <v>46166</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73051-2021</t>
        </is>
      </c>
      <c r="B484" s="1" t="n">
        <v>44550.39550925926</v>
      </c>
      <c r="C484" s="1" t="n">
        <v>46166</v>
      </c>
      <c r="D484" t="inlineStr">
        <is>
          <t>JÄMTLANDS LÄN</t>
        </is>
      </c>
      <c r="E484" t="inlineStr">
        <is>
          <t>HÄRJEDALEN</t>
        </is>
      </c>
      <c r="G484" t="n">
        <v>3.7</v>
      </c>
      <c r="H484" t="n">
        <v>0</v>
      </c>
      <c r="I484" t="n">
        <v>0</v>
      </c>
      <c r="J484" t="n">
        <v>0</v>
      </c>
      <c r="K484" t="n">
        <v>0</v>
      </c>
      <c r="L484" t="n">
        <v>0</v>
      </c>
      <c r="M484" t="n">
        <v>0</v>
      </c>
      <c r="N484" t="n">
        <v>0</v>
      </c>
      <c r="O484" t="n">
        <v>0</v>
      </c>
      <c r="P484" t="n">
        <v>0</v>
      </c>
      <c r="Q484" t="n">
        <v>0</v>
      </c>
      <c r="R484" s="2" t="inlineStr"/>
    </row>
    <row r="485" ht="15" customHeight="1">
      <c r="A485" t="inlineStr">
        <is>
          <t>A 61751-2023</t>
        </is>
      </c>
      <c r="B485" s="1" t="n">
        <v>45265</v>
      </c>
      <c r="C485" s="1" t="n">
        <v>46166</v>
      </c>
      <c r="D485" t="inlineStr">
        <is>
          <t>JÄMTLANDS LÄN</t>
        </is>
      </c>
      <c r="E485" t="inlineStr">
        <is>
          <t>HÄRJEDALEN</t>
        </is>
      </c>
      <c r="G485" t="n">
        <v>11.3</v>
      </c>
      <c r="H485" t="n">
        <v>0</v>
      </c>
      <c r="I485" t="n">
        <v>0</v>
      </c>
      <c r="J485" t="n">
        <v>0</v>
      </c>
      <c r="K485" t="n">
        <v>0</v>
      </c>
      <c r="L485" t="n">
        <v>0</v>
      </c>
      <c r="M485" t="n">
        <v>0</v>
      </c>
      <c r="N485" t="n">
        <v>0</v>
      </c>
      <c r="O485" t="n">
        <v>0</v>
      </c>
      <c r="P485" t="n">
        <v>0</v>
      </c>
      <c r="Q485" t="n">
        <v>0</v>
      </c>
      <c r="R485" s="2" t="inlineStr"/>
    </row>
    <row r="486" ht="15" customHeight="1">
      <c r="A486" t="inlineStr">
        <is>
          <t>A 36066-2025</t>
        </is>
      </c>
      <c r="B486" s="1" t="n">
        <v>45866.40701388889</v>
      </c>
      <c r="C486" s="1" t="n">
        <v>46166</v>
      </c>
      <c r="D486" t="inlineStr">
        <is>
          <t>JÄMTLANDS LÄN</t>
        </is>
      </c>
      <c r="E486" t="inlineStr">
        <is>
          <t>HÄRJEDALEN</t>
        </is>
      </c>
      <c r="G486" t="n">
        <v>21.8</v>
      </c>
      <c r="H486" t="n">
        <v>0</v>
      </c>
      <c r="I486" t="n">
        <v>0</v>
      </c>
      <c r="J486" t="n">
        <v>0</v>
      </c>
      <c r="K486" t="n">
        <v>0</v>
      </c>
      <c r="L486" t="n">
        <v>0</v>
      </c>
      <c r="M486" t="n">
        <v>0</v>
      </c>
      <c r="N486" t="n">
        <v>0</v>
      </c>
      <c r="O486" t="n">
        <v>0</v>
      </c>
      <c r="P486" t="n">
        <v>0</v>
      </c>
      <c r="Q486" t="n">
        <v>0</v>
      </c>
      <c r="R486" s="2" t="inlineStr"/>
    </row>
    <row r="487" ht="15" customHeight="1">
      <c r="A487" t="inlineStr">
        <is>
          <t>A 36133-2025</t>
        </is>
      </c>
      <c r="B487" s="1" t="n">
        <v>45866.62908564815</v>
      </c>
      <c r="C487" s="1" t="n">
        <v>46166</v>
      </c>
      <c r="D487" t="inlineStr">
        <is>
          <t>JÄMTLANDS LÄN</t>
        </is>
      </c>
      <c r="E487" t="inlineStr">
        <is>
          <t>HÄRJEDALEN</t>
        </is>
      </c>
      <c r="G487" t="n">
        <v>1.5</v>
      </c>
      <c r="H487" t="n">
        <v>0</v>
      </c>
      <c r="I487" t="n">
        <v>0</v>
      </c>
      <c r="J487" t="n">
        <v>0</v>
      </c>
      <c r="K487" t="n">
        <v>0</v>
      </c>
      <c r="L487" t="n">
        <v>0</v>
      </c>
      <c r="M487" t="n">
        <v>0</v>
      </c>
      <c r="N487" t="n">
        <v>0</v>
      </c>
      <c r="O487" t="n">
        <v>0</v>
      </c>
      <c r="P487" t="n">
        <v>0</v>
      </c>
      <c r="Q487" t="n">
        <v>0</v>
      </c>
      <c r="R487" s="2" t="inlineStr"/>
    </row>
    <row r="488" ht="15" customHeight="1">
      <c r="A488" t="inlineStr">
        <is>
          <t>A 40249-2025</t>
        </is>
      </c>
      <c r="B488" s="1" t="n">
        <v>45895.29387731481</v>
      </c>
      <c r="C488" s="1" t="n">
        <v>46166</v>
      </c>
      <c r="D488" t="inlineStr">
        <is>
          <t>JÄMTLANDS LÄN</t>
        </is>
      </c>
      <c r="E488" t="inlineStr">
        <is>
          <t>HÄRJEDALEN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62699-2022</t>
        </is>
      </c>
      <c r="B489" s="1" t="n">
        <v>44925.59333333333</v>
      </c>
      <c r="C489" s="1" t="n">
        <v>46166</v>
      </c>
      <c r="D489" t="inlineStr">
        <is>
          <t>JÄMTLANDS LÄN</t>
        </is>
      </c>
      <c r="E489" t="inlineStr">
        <is>
          <t>HÄRJEDALEN</t>
        </is>
      </c>
      <c r="F489" t="inlineStr">
        <is>
          <t>Holmen skog AB</t>
        </is>
      </c>
      <c r="G489" t="n">
        <v>5</v>
      </c>
      <c r="H489" t="n">
        <v>0</v>
      </c>
      <c r="I489" t="n">
        <v>0</v>
      </c>
      <c r="J489" t="n">
        <v>0</v>
      </c>
      <c r="K489" t="n">
        <v>0</v>
      </c>
      <c r="L489" t="n">
        <v>0</v>
      </c>
      <c r="M489" t="n">
        <v>0</v>
      </c>
      <c r="N489" t="n">
        <v>0</v>
      </c>
      <c r="O489" t="n">
        <v>0</v>
      </c>
      <c r="P489" t="n">
        <v>0</v>
      </c>
      <c r="Q489" t="n">
        <v>0</v>
      </c>
      <c r="R489" s="2" t="inlineStr"/>
    </row>
    <row r="490" ht="15" customHeight="1">
      <c r="A490" t="inlineStr">
        <is>
          <t>A 39963-2025</t>
        </is>
      </c>
      <c r="B490" s="1" t="n">
        <v>45892.53184027778</v>
      </c>
      <c r="C490" s="1" t="n">
        <v>46166</v>
      </c>
      <c r="D490" t="inlineStr">
        <is>
          <t>JÄMTLANDS LÄN</t>
        </is>
      </c>
      <c r="E490" t="inlineStr">
        <is>
          <t>HÄRJEDALEN</t>
        </is>
      </c>
      <c r="G490" t="n">
        <v>33.9</v>
      </c>
      <c r="H490" t="n">
        <v>0</v>
      </c>
      <c r="I490" t="n">
        <v>0</v>
      </c>
      <c r="J490" t="n">
        <v>0</v>
      </c>
      <c r="K490" t="n">
        <v>0</v>
      </c>
      <c r="L490" t="n">
        <v>0</v>
      </c>
      <c r="M490" t="n">
        <v>0</v>
      </c>
      <c r="N490" t="n">
        <v>0</v>
      </c>
      <c r="O490" t="n">
        <v>0</v>
      </c>
      <c r="P490" t="n">
        <v>0</v>
      </c>
      <c r="Q490" t="n">
        <v>0</v>
      </c>
      <c r="R490" s="2" t="inlineStr"/>
    </row>
    <row r="491" ht="15" customHeight="1">
      <c r="A491" t="inlineStr">
        <is>
          <t>A 22888-2026</t>
        </is>
      </c>
      <c r="B491" s="1" t="n">
        <v>46160.47667824074</v>
      </c>
      <c r="C491" s="1" t="n">
        <v>46166</v>
      </c>
      <c r="D491" t="inlineStr">
        <is>
          <t>JÄMTLANDS LÄN</t>
        </is>
      </c>
      <c r="E491" t="inlineStr">
        <is>
          <t>HÄRJEDALEN</t>
        </is>
      </c>
      <c r="F491" t="inlineStr">
        <is>
          <t>Bergvik skog väst AB</t>
        </is>
      </c>
      <c r="G491" t="n">
        <v>16.7</v>
      </c>
      <c r="H491" t="n">
        <v>0</v>
      </c>
      <c r="I491" t="n">
        <v>0</v>
      </c>
      <c r="J491" t="n">
        <v>0</v>
      </c>
      <c r="K491" t="n">
        <v>0</v>
      </c>
      <c r="L491" t="n">
        <v>0</v>
      </c>
      <c r="M491" t="n">
        <v>0</v>
      </c>
      <c r="N491" t="n">
        <v>0</v>
      </c>
      <c r="O491" t="n">
        <v>0</v>
      </c>
      <c r="P491" t="n">
        <v>0</v>
      </c>
      <c r="Q491" t="n">
        <v>0</v>
      </c>
      <c r="R491" s="2" t="inlineStr"/>
    </row>
    <row r="492" ht="15" customHeight="1">
      <c r="A492" t="inlineStr">
        <is>
          <t>A 51188-2024</t>
        </is>
      </c>
      <c r="B492" s="1" t="n">
        <v>45603</v>
      </c>
      <c r="C492" s="1" t="n">
        <v>46166</v>
      </c>
      <c r="D492" t="inlineStr">
        <is>
          <t>JÄMTLANDS LÄN</t>
        </is>
      </c>
      <c r="E492" t="inlineStr">
        <is>
          <t>HÄRJEDALEN</t>
        </is>
      </c>
      <c r="F492" t="inlineStr">
        <is>
          <t>Holmen skog AB</t>
        </is>
      </c>
      <c r="G492" t="n">
        <v>6.2</v>
      </c>
      <c r="H492" t="n">
        <v>0</v>
      </c>
      <c r="I492" t="n">
        <v>0</v>
      </c>
      <c r="J492" t="n">
        <v>0</v>
      </c>
      <c r="K492" t="n">
        <v>0</v>
      </c>
      <c r="L492" t="n">
        <v>0</v>
      </c>
      <c r="M492" t="n">
        <v>0</v>
      </c>
      <c r="N492" t="n">
        <v>0</v>
      </c>
      <c r="O492" t="n">
        <v>0</v>
      </c>
      <c r="P492" t="n">
        <v>0</v>
      </c>
      <c r="Q492" t="n">
        <v>0</v>
      </c>
      <c r="R492" s="2" t="inlineStr"/>
    </row>
    <row r="493" ht="15" customHeight="1">
      <c r="A493" t="inlineStr">
        <is>
          <t>A 39625-2022</t>
        </is>
      </c>
      <c r="B493" s="1" t="n">
        <v>44818</v>
      </c>
      <c r="C493" s="1" t="n">
        <v>46166</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4694-2023</t>
        </is>
      </c>
      <c r="B494" s="1" t="n">
        <v>44957</v>
      </c>
      <c r="C494" s="1" t="n">
        <v>46166</v>
      </c>
      <c r="D494" t="inlineStr">
        <is>
          <t>JÄMTLANDS LÄN</t>
        </is>
      </c>
      <c r="E494" t="inlineStr">
        <is>
          <t>HÄRJEDALEN</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42143-2023</t>
        </is>
      </c>
      <c r="B495" s="1" t="n">
        <v>45177.9224537037</v>
      </c>
      <c r="C495" s="1" t="n">
        <v>46166</v>
      </c>
      <c r="D495" t="inlineStr">
        <is>
          <t>JÄMTLANDS LÄN</t>
        </is>
      </c>
      <c r="E495" t="inlineStr">
        <is>
          <t>HÄRJEDALEN</t>
        </is>
      </c>
      <c r="G495" t="n">
        <v>2</v>
      </c>
      <c r="H495" t="n">
        <v>0</v>
      </c>
      <c r="I495" t="n">
        <v>0</v>
      </c>
      <c r="J495" t="n">
        <v>0</v>
      </c>
      <c r="K495" t="n">
        <v>0</v>
      </c>
      <c r="L495" t="n">
        <v>0</v>
      </c>
      <c r="M495" t="n">
        <v>0</v>
      </c>
      <c r="N495" t="n">
        <v>0</v>
      </c>
      <c r="O495" t="n">
        <v>0</v>
      </c>
      <c r="P495" t="n">
        <v>0</v>
      </c>
      <c r="Q495" t="n">
        <v>0</v>
      </c>
      <c r="R495" s="2" t="inlineStr"/>
    </row>
    <row r="496" ht="15" customHeight="1">
      <c r="A496" t="inlineStr">
        <is>
          <t>A 22896-2026</t>
        </is>
      </c>
      <c r="B496" s="1" t="n">
        <v>46160.4841087963</v>
      </c>
      <c r="C496" s="1" t="n">
        <v>46166</v>
      </c>
      <c r="D496" t="inlineStr">
        <is>
          <t>JÄMTLANDS LÄN</t>
        </is>
      </c>
      <c r="E496" t="inlineStr">
        <is>
          <t>HÄRJEDALEN</t>
        </is>
      </c>
      <c r="G496" t="n">
        <v>14.4</v>
      </c>
      <c r="H496" t="n">
        <v>0</v>
      </c>
      <c r="I496" t="n">
        <v>0</v>
      </c>
      <c r="J496" t="n">
        <v>0</v>
      </c>
      <c r="K496" t="n">
        <v>0</v>
      </c>
      <c r="L496" t="n">
        <v>0</v>
      </c>
      <c r="M496" t="n">
        <v>0</v>
      </c>
      <c r="N496" t="n">
        <v>0</v>
      </c>
      <c r="O496" t="n">
        <v>0</v>
      </c>
      <c r="P496" t="n">
        <v>0</v>
      </c>
      <c r="Q496" t="n">
        <v>0</v>
      </c>
      <c r="R496" s="2" t="inlineStr"/>
    </row>
    <row r="497" ht="15" customHeight="1">
      <c r="A497" t="inlineStr">
        <is>
          <t>A 36399-2025</t>
        </is>
      </c>
      <c r="B497" s="1" t="n">
        <v>45868.639375</v>
      </c>
      <c r="C497" s="1" t="n">
        <v>46166</v>
      </c>
      <c r="D497" t="inlineStr">
        <is>
          <t>JÄMTLANDS LÄN</t>
        </is>
      </c>
      <c r="E497" t="inlineStr">
        <is>
          <t>HÄRJEDALEN</t>
        </is>
      </c>
      <c r="G497" t="n">
        <v>4.8</v>
      </c>
      <c r="H497" t="n">
        <v>0</v>
      </c>
      <c r="I497" t="n">
        <v>0</v>
      </c>
      <c r="J497" t="n">
        <v>0</v>
      </c>
      <c r="K497" t="n">
        <v>0</v>
      </c>
      <c r="L497" t="n">
        <v>0</v>
      </c>
      <c r="M497" t="n">
        <v>0</v>
      </c>
      <c r="N497" t="n">
        <v>0</v>
      </c>
      <c r="O497" t="n">
        <v>0</v>
      </c>
      <c r="P497" t="n">
        <v>0</v>
      </c>
      <c r="Q497" t="n">
        <v>0</v>
      </c>
      <c r="R497" s="2" t="inlineStr"/>
    </row>
    <row r="498" ht="15" customHeight="1">
      <c r="A498" t="inlineStr">
        <is>
          <t>A 40194-2025</t>
        </is>
      </c>
      <c r="B498" s="1" t="n">
        <v>45894.65869212963</v>
      </c>
      <c r="C498" s="1" t="n">
        <v>46166</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36777-2025</t>
        </is>
      </c>
      <c r="B499" s="1" t="n">
        <v>45873.59511574074</v>
      </c>
      <c r="C499" s="1" t="n">
        <v>46166</v>
      </c>
      <c r="D499" t="inlineStr">
        <is>
          <t>JÄMTLANDS LÄN</t>
        </is>
      </c>
      <c r="E499" t="inlineStr">
        <is>
          <t>HÄRJEDALEN</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40185-2025</t>
        </is>
      </c>
      <c r="B500" s="1" t="n">
        <v>45894.64358796296</v>
      </c>
      <c r="C500" s="1" t="n">
        <v>46166</v>
      </c>
      <c r="D500" t="inlineStr">
        <is>
          <t>JÄMTLANDS LÄN</t>
        </is>
      </c>
      <c r="E500" t="inlineStr">
        <is>
          <t>HÄRJEDALEN</t>
        </is>
      </c>
      <c r="F500" t="inlineStr">
        <is>
          <t>Bergvik skog väst AB</t>
        </is>
      </c>
      <c r="G500" t="n">
        <v>30.7</v>
      </c>
      <c r="H500" t="n">
        <v>0</v>
      </c>
      <c r="I500" t="n">
        <v>0</v>
      </c>
      <c r="J500" t="n">
        <v>0</v>
      </c>
      <c r="K500" t="n">
        <v>0</v>
      </c>
      <c r="L500" t="n">
        <v>0</v>
      </c>
      <c r="M500" t="n">
        <v>0</v>
      </c>
      <c r="N500" t="n">
        <v>0</v>
      </c>
      <c r="O500" t="n">
        <v>0</v>
      </c>
      <c r="P500" t="n">
        <v>0</v>
      </c>
      <c r="Q500" t="n">
        <v>0</v>
      </c>
      <c r="R500" s="2" t="inlineStr"/>
    </row>
    <row r="501" ht="15" customHeight="1">
      <c r="A501" t="inlineStr">
        <is>
          <t>A 17430-2026</t>
        </is>
      </c>
      <c r="B501" s="1" t="n">
        <v>46120.38820601852</v>
      </c>
      <c r="C501" s="1" t="n">
        <v>46166</v>
      </c>
      <c r="D501" t="inlineStr">
        <is>
          <t>JÄMTLANDS LÄN</t>
        </is>
      </c>
      <c r="E501" t="inlineStr">
        <is>
          <t>HÄRJEDALEN</t>
        </is>
      </c>
      <c r="G501" t="n">
        <v>35.1</v>
      </c>
      <c r="H501" t="n">
        <v>0</v>
      </c>
      <c r="I501" t="n">
        <v>0</v>
      </c>
      <c r="J501" t="n">
        <v>0</v>
      </c>
      <c r="K501" t="n">
        <v>0</v>
      </c>
      <c r="L501" t="n">
        <v>0</v>
      </c>
      <c r="M501" t="n">
        <v>0</v>
      </c>
      <c r="N501" t="n">
        <v>0</v>
      </c>
      <c r="O501" t="n">
        <v>0</v>
      </c>
      <c r="P501" t="n">
        <v>0</v>
      </c>
      <c r="Q501" t="n">
        <v>0</v>
      </c>
      <c r="R501" s="2" t="inlineStr"/>
    </row>
    <row r="502" ht="15" customHeight="1">
      <c r="A502" t="inlineStr">
        <is>
          <t>A 40572-2025</t>
        </is>
      </c>
      <c r="B502" s="1" t="n">
        <v>45896.49821759259</v>
      </c>
      <c r="C502" s="1" t="n">
        <v>46166</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46166</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40573-2025</t>
        </is>
      </c>
      <c r="B504" s="1" t="n">
        <v>45896.49959490741</v>
      </c>
      <c r="C504" s="1" t="n">
        <v>46166</v>
      </c>
      <c r="D504" t="inlineStr">
        <is>
          <t>JÄMTLANDS LÄN</t>
        </is>
      </c>
      <c r="E504" t="inlineStr">
        <is>
          <t>HÄRJEDALEN</t>
        </is>
      </c>
      <c r="G504" t="n">
        <v>1.6</v>
      </c>
      <c r="H504" t="n">
        <v>0</v>
      </c>
      <c r="I504" t="n">
        <v>0</v>
      </c>
      <c r="J504" t="n">
        <v>0</v>
      </c>
      <c r="K504" t="n">
        <v>0</v>
      </c>
      <c r="L504" t="n">
        <v>0</v>
      </c>
      <c r="M504" t="n">
        <v>0</v>
      </c>
      <c r="N504" t="n">
        <v>0</v>
      </c>
      <c r="O504" t="n">
        <v>0</v>
      </c>
      <c r="P504" t="n">
        <v>0</v>
      </c>
      <c r="Q504" t="n">
        <v>0</v>
      </c>
      <c r="R504" s="2" t="inlineStr"/>
    </row>
    <row r="505" ht="15" customHeight="1">
      <c r="A505" t="inlineStr">
        <is>
          <t>A 17259-2026</t>
        </is>
      </c>
      <c r="B505" s="1" t="n">
        <v>46119.4665625</v>
      </c>
      <c r="C505" s="1" t="n">
        <v>46166</v>
      </c>
      <c r="D505" t="inlineStr">
        <is>
          <t>JÄMTLANDS LÄN</t>
        </is>
      </c>
      <c r="E505" t="inlineStr">
        <is>
          <t>HÄRJEDALEN</t>
        </is>
      </c>
      <c r="G505" t="n">
        <v>3</v>
      </c>
      <c r="H505" t="n">
        <v>0</v>
      </c>
      <c r="I505" t="n">
        <v>0</v>
      </c>
      <c r="J505" t="n">
        <v>0</v>
      </c>
      <c r="K505" t="n">
        <v>0</v>
      </c>
      <c r="L505" t="n">
        <v>0</v>
      </c>
      <c r="M505" t="n">
        <v>0</v>
      </c>
      <c r="N505" t="n">
        <v>0</v>
      </c>
      <c r="O505" t="n">
        <v>0</v>
      </c>
      <c r="P505" t="n">
        <v>0</v>
      </c>
      <c r="Q505" t="n">
        <v>0</v>
      </c>
      <c r="R505" s="2" t="inlineStr"/>
    </row>
    <row r="506" ht="15" customHeight="1">
      <c r="A506" t="inlineStr">
        <is>
          <t>A 41054-2025</t>
        </is>
      </c>
      <c r="B506" s="1" t="n">
        <v>45898.40481481481</v>
      </c>
      <c r="C506" s="1" t="n">
        <v>46166</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29712-2024</t>
        </is>
      </c>
      <c r="B507" s="1" t="n">
        <v>45485</v>
      </c>
      <c r="C507" s="1" t="n">
        <v>46166</v>
      </c>
      <c r="D507" t="inlineStr">
        <is>
          <t>JÄMTLANDS LÄN</t>
        </is>
      </c>
      <c r="E507" t="inlineStr">
        <is>
          <t>HÄRJEDALEN</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36978-2025</t>
        </is>
      </c>
      <c r="B508" s="1" t="n">
        <v>45874.64513888889</v>
      </c>
      <c r="C508" s="1" t="n">
        <v>46166</v>
      </c>
      <c r="D508" t="inlineStr">
        <is>
          <t>JÄMTLANDS LÄN</t>
        </is>
      </c>
      <c r="E508" t="inlineStr">
        <is>
          <t>HÄRJEDALEN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41051-2025</t>
        </is>
      </c>
      <c r="B509" s="1" t="n">
        <v>45898.40267361111</v>
      </c>
      <c r="C509" s="1" t="n">
        <v>46166</v>
      </c>
      <c r="D509" t="inlineStr">
        <is>
          <t>JÄMTLANDS LÄN</t>
        </is>
      </c>
      <c r="E509" t="inlineStr">
        <is>
          <t>HÄRJEDALEN</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41070-2025</t>
        </is>
      </c>
      <c r="B510" s="1" t="n">
        <v>45898.41540509259</v>
      </c>
      <c r="C510" s="1" t="n">
        <v>46166</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41491-2025</t>
        </is>
      </c>
      <c r="B511" s="1" t="n">
        <v>45901.4881712963</v>
      </c>
      <c r="C511" s="1" t="n">
        <v>46166</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29431-2023</t>
        </is>
      </c>
      <c r="B512" s="1" t="n">
        <v>45106</v>
      </c>
      <c r="C512" s="1" t="n">
        <v>46166</v>
      </c>
      <c r="D512" t="inlineStr">
        <is>
          <t>JÄMTLANDS LÄN</t>
        </is>
      </c>
      <c r="E512" t="inlineStr">
        <is>
          <t>HÄRJEDALEN</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37106-2025</t>
        </is>
      </c>
      <c r="B513" s="1" t="n">
        <v>45875.47854166666</v>
      </c>
      <c r="C513" s="1" t="n">
        <v>46166</v>
      </c>
      <c r="D513" t="inlineStr">
        <is>
          <t>JÄMTLANDS LÄN</t>
        </is>
      </c>
      <c r="E513" t="inlineStr">
        <is>
          <t>HÄRJEDALEN</t>
        </is>
      </c>
      <c r="F513" t="inlineStr">
        <is>
          <t>Holmen skog AB</t>
        </is>
      </c>
      <c r="G513" t="n">
        <v>4.3</v>
      </c>
      <c r="H513" t="n">
        <v>0</v>
      </c>
      <c r="I513" t="n">
        <v>0</v>
      </c>
      <c r="J513" t="n">
        <v>0</v>
      </c>
      <c r="K513" t="n">
        <v>0</v>
      </c>
      <c r="L513" t="n">
        <v>0</v>
      </c>
      <c r="M513" t="n">
        <v>0</v>
      </c>
      <c r="N513" t="n">
        <v>0</v>
      </c>
      <c r="O513" t="n">
        <v>0</v>
      </c>
      <c r="P513" t="n">
        <v>0</v>
      </c>
      <c r="Q513" t="n">
        <v>0</v>
      </c>
      <c r="R513" s="2" t="inlineStr"/>
    </row>
    <row r="514" ht="15" customHeight="1">
      <c r="A514" t="inlineStr">
        <is>
          <t>A 37122-2025</t>
        </is>
      </c>
      <c r="B514" s="1" t="n">
        <v>45875.5196875</v>
      </c>
      <c r="C514" s="1" t="n">
        <v>46166</v>
      </c>
      <c r="D514" t="inlineStr">
        <is>
          <t>JÄMTLANDS LÄN</t>
        </is>
      </c>
      <c r="E514" t="inlineStr">
        <is>
          <t>HÄRJEDALEN</t>
        </is>
      </c>
      <c r="G514" t="n">
        <v>6.9</v>
      </c>
      <c r="H514" t="n">
        <v>0</v>
      </c>
      <c r="I514" t="n">
        <v>0</v>
      </c>
      <c r="J514" t="n">
        <v>0</v>
      </c>
      <c r="K514" t="n">
        <v>0</v>
      </c>
      <c r="L514" t="n">
        <v>0</v>
      </c>
      <c r="M514" t="n">
        <v>0</v>
      </c>
      <c r="N514" t="n">
        <v>0</v>
      </c>
      <c r="O514" t="n">
        <v>0</v>
      </c>
      <c r="P514" t="n">
        <v>0</v>
      </c>
      <c r="Q514" t="n">
        <v>0</v>
      </c>
      <c r="R514" s="2" t="inlineStr"/>
    </row>
    <row r="515" ht="15" customHeight="1">
      <c r="A515" t="inlineStr">
        <is>
          <t>A 36976-2025</t>
        </is>
      </c>
      <c r="B515" s="1" t="n">
        <v>45874.64199074074</v>
      </c>
      <c r="C515" s="1" t="n">
        <v>46166</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35253-2025</t>
        </is>
      </c>
      <c r="B516" s="1" t="n">
        <v>45853</v>
      </c>
      <c r="C516" s="1" t="n">
        <v>46166</v>
      </c>
      <c r="D516" t="inlineStr">
        <is>
          <t>JÄMTLANDS LÄN</t>
        </is>
      </c>
      <c r="E516" t="inlineStr">
        <is>
          <t>HÄRJEDALEN</t>
        </is>
      </c>
      <c r="G516" t="n">
        <v>1.8</v>
      </c>
      <c r="H516" t="n">
        <v>0</v>
      </c>
      <c r="I516" t="n">
        <v>0</v>
      </c>
      <c r="J516" t="n">
        <v>0</v>
      </c>
      <c r="K516" t="n">
        <v>0</v>
      </c>
      <c r="L516" t="n">
        <v>0</v>
      </c>
      <c r="M516" t="n">
        <v>0</v>
      </c>
      <c r="N516" t="n">
        <v>0</v>
      </c>
      <c r="O516" t="n">
        <v>0</v>
      </c>
      <c r="P516" t="n">
        <v>0</v>
      </c>
      <c r="Q516" t="n">
        <v>0</v>
      </c>
      <c r="R516" s="2" t="inlineStr"/>
    </row>
    <row r="517" ht="15" customHeight="1">
      <c r="A517" t="inlineStr">
        <is>
          <t>A 41180-2025</t>
        </is>
      </c>
      <c r="B517" s="1" t="n">
        <v>45898.55296296296</v>
      </c>
      <c r="C517" s="1" t="n">
        <v>46166</v>
      </c>
      <c r="D517" t="inlineStr">
        <is>
          <t>JÄMTLANDS LÄN</t>
        </is>
      </c>
      <c r="E517" t="inlineStr">
        <is>
          <t>HÄRJEDALEN</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37244-2025</t>
        </is>
      </c>
      <c r="B518" s="1" t="n">
        <v>45876.39362268519</v>
      </c>
      <c r="C518" s="1" t="n">
        <v>46166</v>
      </c>
      <c r="D518" t="inlineStr">
        <is>
          <t>JÄMTLANDS LÄN</t>
        </is>
      </c>
      <c r="E518" t="inlineStr">
        <is>
          <t>HÄRJEDALEN</t>
        </is>
      </c>
      <c r="F518" t="inlineStr">
        <is>
          <t>Bergvik skog väst AB</t>
        </is>
      </c>
      <c r="G518" t="n">
        <v>14.4</v>
      </c>
      <c r="H518" t="n">
        <v>0</v>
      </c>
      <c r="I518" t="n">
        <v>0</v>
      </c>
      <c r="J518" t="n">
        <v>0</v>
      </c>
      <c r="K518" t="n">
        <v>0</v>
      </c>
      <c r="L518" t="n">
        <v>0</v>
      </c>
      <c r="M518" t="n">
        <v>0</v>
      </c>
      <c r="N518" t="n">
        <v>0</v>
      </c>
      <c r="O518" t="n">
        <v>0</v>
      </c>
      <c r="P518" t="n">
        <v>0</v>
      </c>
      <c r="Q518" t="n">
        <v>0</v>
      </c>
      <c r="R518" s="2" t="inlineStr"/>
    </row>
    <row r="519" ht="15" customHeight="1">
      <c r="A519" t="inlineStr">
        <is>
          <t>A 17263-2026</t>
        </is>
      </c>
      <c r="B519" s="1" t="n">
        <v>46119.47236111111</v>
      </c>
      <c r="C519" s="1" t="n">
        <v>46166</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17250-2026</t>
        </is>
      </c>
      <c r="B520" s="1" t="n">
        <v>46119.44664351852</v>
      </c>
      <c r="C520" s="1" t="n">
        <v>46166</v>
      </c>
      <c r="D520" t="inlineStr">
        <is>
          <t>JÄMTLANDS LÄN</t>
        </is>
      </c>
      <c r="E520" t="inlineStr">
        <is>
          <t>HÄRJEDALEN</t>
        </is>
      </c>
      <c r="G520" t="n">
        <v>1.9</v>
      </c>
      <c r="H520" t="n">
        <v>0</v>
      </c>
      <c r="I520" t="n">
        <v>0</v>
      </c>
      <c r="J520" t="n">
        <v>0</v>
      </c>
      <c r="K520" t="n">
        <v>0</v>
      </c>
      <c r="L520" t="n">
        <v>0</v>
      </c>
      <c r="M520" t="n">
        <v>0</v>
      </c>
      <c r="N520" t="n">
        <v>0</v>
      </c>
      <c r="O520" t="n">
        <v>0</v>
      </c>
      <c r="P520" t="n">
        <v>0</v>
      </c>
      <c r="Q520" t="n">
        <v>0</v>
      </c>
      <c r="R520" s="2" t="inlineStr"/>
    </row>
    <row r="521" ht="15" customHeight="1">
      <c r="A521" t="inlineStr">
        <is>
          <t>A 17247-2026</t>
        </is>
      </c>
      <c r="B521" s="1" t="n">
        <v>46119.43894675926</v>
      </c>
      <c r="C521" s="1" t="n">
        <v>46166</v>
      </c>
      <c r="D521" t="inlineStr">
        <is>
          <t>JÄMTLANDS LÄN</t>
        </is>
      </c>
      <c r="E521" t="inlineStr">
        <is>
          <t>HÄRJEDALEN</t>
        </is>
      </c>
      <c r="G521" t="n">
        <v>8</v>
      </c>
      <c r="H521" t="n">
        <v>0</v>
      </c>
      <c r="I521" t="n">
        <v>0</v>
      </c>
      <c r="J521" t="n">
        <v>0</v>
      </c>
      <c r="K521" t="n">
        <v>0</v>
      </c>
      <c r="L521" t="n">
        <v>0</v>
      </c>
      <c r="M521" t="n">
        <v>0</v>
      </c>
      <c r="N521" t="n">
        <v>0</v>
      </c>
      <c r="O521" t="n">
        <v>0</v>
      </c>
      <c r="P521" t="n">
        <v>0</v>
      </c>
      <c r="Q521" t="n">
        <v>0</v>
      </c>
      <c r="R521" s="2" t="inlineStr"/>
    </row>
    <row r="522" ht="15" customHeight="1">
      <c r="A522" t="inlineStr">
        <is>
          <t>A 17257-2026</t>
        </is>
      </c>
      <c r="B522" s="1" t="n">
        <v>46119.46164351852</v>
      </c>
      <c r="C522" s="1" t="n">
        <v>46166</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30501-2025</t>
        </is>
      </c>
      <c r="B523" s="1" t="n">
        <v>45830</v>
      </c>
      <c r="C523" s="1" t="n">
        <v>46166</v>
      </c>
      <c r="D523" t="inlineStr">
        <is>
          <t>JÄMTLANDS LÄN</t>
        </is>
      </c>
      <c r="E523" t="inlineStr">
        <is>
          <t>HÄRJEDALEN</t>
        </is>
      </c>
      <c r="G523" t="n">
        <v>17</v>
      </c>
      <c r="H523" t="n">
        <v>0</v>
      </c>
      <c r="I523" t="n">
        <v>0</v>
      </c>
      <c r="J523" t="n">
        <v>0</v>
      </c>
      <c r="K523" t="n">
        <v>0</v>
      </c>
      <c r="L523" t="n">
        <v>0</v>
      </c>
      <c r="M523" t="n">
        <v>0</v>
      </c>
      <c r="N523" t="n">
        <v>0</v>
      </c>
      <c r="O523" t="n">
        <v>0</v>
      </c>
      <c r="P523" t="n">
        <v>0</v>
      </c>
      <c r="Q523" t="n">
        <v>0</v>
      </c>
      <c r="R523" s="2" t="inlineStr"/>
    </row>
    <row r="524" ht="15" customHeight="1">
      <c r="A524" t="inlineStr">
        <is>
          <t>A 30498-2025</t>
        </is>
      </c>
      <c r="B524" s="1" t="n">
        <v>45830</v>
      </c>
      <c r="C524" s="1" t="n">
        <v>46166</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30500-2025</t>
        </is>
      </c>
      <c r="B525" s="1" t="n">
        <v>45830</v>
      </c>
      <c r="C525" s="1" t="n">
        <v>46166</v>
      </c>
      <c r="D525" t="inlineStr">
        <is>
          <t>JÄMTLANDS LÄN</t>
        </is>
      </c>
      <c r="E525" t="inlineStr">
        <is>
          <t>HÄRJEDALEN</t>
        </is>
      </c>
      <c r="G525" t="n">
        <v>2</v>
      </c>
      <c r="H525" t="n">
        <v>0</v>
      </c>
      <c r="I525" t="n">
        <v>0</v>
      </c>
      <c r="J525" t="n">
        <v>0</v>
      </c>
      <c r="K525" t="n">
        <v>0</v>
      </c>
      <c r="L525" t="n">
        <v>0</v>
      </c>
      <c r="M525" t="n">
        <v>0</v>
      </c>
      <c r="N525" t="n">
        <v>0</v>
      </c>
      <c r="O525" t="n">
        <v>0</v>
      </c>
      <c r="P525" t="n">
        <v>0</v>
      </c>
      <c r="Q525" t="n">
        <v>0</v>
      </c>
      <c r="R525" s="2" t="inlineStr"/>
    </row>
    <row r="526" ht="15" customHeight="1">
      <c r="A526" t="inlineStr">
        <is>
          <t>A 41769-2025</t>
        </is>
      </c>
      <c r="B526" s="1" t="n">
        <v>45902.55119212963</v>
      </c>
      <c r="C526" s="1" t="n">
        <v>46166</v>
      </c>
      <c r="D526" t="inlineStr">
        <is>
          <t>JÄMTLANDS LÄN</t>
        </is>
      </c>
      <c r="E526" t="inlineStr">
        <is>
          <t>HÄRJEDALEN</t>
        </is>
      </c>
      <c r="G526" t="n">
        <v>0.7</v>
      </c>
      <c r="H526" t="n">
        <v>0</v>
      </c>
      <c r="I526" t="n">
        <v>0</v>
      </c>
      <c r="J526" t="n">
        <v>0</v>
      </c>
      <c r="K526" t="n">
        <v>0</v>
      </c>
      <c r="L526" t="n">
        <v>0</v>
      </c>
      <c r="M526" t="n">
        <v>0</v>
      </c>
      <c r="N526" t="n">
        <v>0</v>
      </c>
      <c r="O526" t="n">
        <v>0</v>
      </c>
      <c r="P526" t="n">
        <v>0</v>
      </c>
      <c r="Q526" t="n">
        <v>0</v>
      </c>
      <c r="R526" s="2" t="inlineStr"/>
    </row>
    <row r="527" ht="15" customHeight="1">
      <c r="A527" t="inlineStr">
        <is>
          <t>A 37281-2025</t>
        </is>
      </c>
      <c r="B527" s="1" t="n">
        <v>45876.49113425926</v>
      </c>
      <c r="C527" s="1" t="n">
        <v>46166</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42032-2025</t>
        </is>
      </c>
      <c r="B528" s="1" t="n">
        <v>45903.6066087963</v>
      </c>
      <c r="C528" s="1" t="n">
        <v>46166</v>
      </c>
      <c r="D528" t="inlineStr">
        <is>
          <t>JÄMTLANDS LÄN</t>
        </is>
      </c>
      <c r="E528" t="inlineStr">
        <is>
          <t>HÄRJEDALEN</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12747-2025</t>
        </is>
      </c>
      <c r="B529" s="1" t="n">
        <v>45733</v>
      </c>
      <c r="C529" s="1" t="n">
        <v>46166</v>
      </c>
      <c r="D529" t="inlineStr">
        <is>
          <t>JÄMTLANDS LÄN</t>
        </is>
      </c>
      <c r="E529" t="inlineStr">
        <is>
          <t>HÄRJEDALEN</t>
        </is>
      </c>
      <c r="G529" t="n">
        <v>12.1</v>
      </c>
      <c r="H529" t="n">
        <v>0</v>
      </c>
      <c r="I529" t="n">
        <v>0</v>
      </c>
      <c r="J529" t="n">
        <v>0</v>
      </c>
      <c r="K529" t="n">
        <v>0</v>
      </c>
      <c r="L529" t="n">
        <v>0</v>
      </c>
      <c r="M529" t="n">
        <v>0</v>
      </c>
      <c r="N529" t="n">
        <v>0</v>
      </c>
      <c r="O529" t="n">
        <v>0</v>
      </c>
      <c r="P529" t="n">
        <v>0</v>
      </c>
      <c r="Q529" t="n">
        <v>0</v>
      </c>
      <c r="R529" s="2" t="inlineStr"/>
    </row>
    <row r="530" ht="15" customHeight="1">
      <c r="A530" t="inlineStr">
        <is>
          <t>A 1658-2025</t>
        </is>
      </c>
      <c r="B530" s="1" t="n">
        <v>45670.66085648148</v>
      </c>
      <c r="C530" s="1" t="n">
        <v>46166</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30499-2025</t>
        </is>
      </c>
      <c r="B531" s="1" t="n">
        <v>45830</v>
      </c>
      <c r="C531" s="1" t="n">
        <v>46166</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41821-2025</t>
        </is>
      </c>
      <c r="B532" s="1" t="n">
        <v>45902.66265046296</v>
      </c>
      <c r="C532" s="1" t="n">
        <v>46166</v>
      </c>
      <c r="D532" t="inlineStr">
        <is>
          <t>JÄMTLANDS LÄN</t>
        </is>
      </c>
      <c r="E532" t="inlineStr">
        <is>
          <t>HÄRJEDALEN</t>
        </is>
      </c>
      <c r="F532" t="inlineStr">
        <is>
          <t>Holmen skog AB</t>
        </is>
      </c>
      <c r="G532" t="n">
        <v>30</v>
      </c>
      <c r="H532" t="n">
        <v>0</v>
      </c>
      <c r="I532" t="n">
        <v>0</v>
      </c>
      <c r="J532" t="n">
        <v>0</v>
      </c>
      <c r="K532" t="n">
        <v>0</v>
      </c>
      <c r="L532" t="n">
        <v>0</v>
      </c>
      <c r="M532" t="n">
        <v>0</v>
      </c>
      <c r="N532" t="n">
        <v>0</v>
      </c>
      <c r="O532" t="n">
        <v>0</v>
      </c>
      <c r="P532" t="n">
        <v>0</v>
      </c>
      <c r="Q532" t="n">
        <v>0</v>
      </c>
      <c r="R532" s="2" t="inlineStr"/>
    </row>
    <row r="533" ht="15" customHeight="1">
      <c r="A533" t="inlineStr">
        <is>
          <t>A 37839-2025</t>
        </is>
      </c>
      <c r="B533" s="1" t="n">
        <v>45881.43114583333</v>
      </c>
      <c r="C533" s="1" t="n">
        <v>46166</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42031-2025</t>
        </is>
      </c>
      <c r="B534" s="1" t="n">
        <v>45903.60319444445</v>
      </c>
      <c r="C534" s="1" t="n">
        <v>46166</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41788-2025</t>
        </is>
      </c>
      <c r="B535" s="1" t="n">
        <v>45902.59438657408</v>
      </c>
      <c r="C535" s="1" t="n">
        <v>46166</v>
      </c>
      <c r="D535" t="inlineStr">
        <is>
          <t>JÄMTLANDS LÄN</t>
        </is>
      </c>
      <c r="E535" t="inlineStr">
        <is>
          <t>HÄRJEDALEN</t>
        </is>
      </c>
      <c r="F535" t="inlineStr">
        <is>
          <t>SCA</t>
        </is>
      </c>
      <c r="G535" t="n">
        <v>9.9</v>
      </c>
      <c r="H535" t="n">
        <v>0</v>
      </c>
      <c r="I535" t="n">
        <v>0</v>
      </c>
      <c r="J535" t="n">
        <v>0</v>
      </c>
      <c r="K535" t="n">
        <v>0</v>
      </c>
      <c r="L535" t="n">
        <v>0</v>
      </c>
      <c r="M535" t="n">
        <v>0</v>
      </c>
      <c r="N535" t="n">
        <v>0</v>
      </c>
      <c r="O535" t="n">
        <v>0</v>
      </c>
      <c r="P535" t="n">
        <v>0</v>
      </c>
      <c r="Q535" t="n">
        <v>0</v>
      </c>
      <c r="R535" s="2" t="inlineStr"/>
    </row>
    <row r="536" ht="15" customHeight="1">
      <c r="A536" t="inlineStr">
        <is>
          <t>A 41664-2025</t>
        </is>
      </c>
      <c r="B536" s="1" t="n">
        <v>45902.35612268518</v>
      </c>
      <c r="C536" s="1" t="n">
        <v>46166</v>
      </c>
      <c r="D536" t="inlineStr">
        <is>
          <t>JÄMTLANDS LÄN</t>
        </is>
      </c>
      <c r="E536" t="inlineStr">
        <is>
          <t>HÄRJEDALEN</t>
        </is>
      </c>
      <c r="F536" t="inlineStr">
        <is>
          <t>Holmen skog AB</t>
        </is>
      </c>
      <c r="G536" t="n">
        <v>18.7</v>
      </c>
      <c r="H536" t="n">
        <v>0</v>
      </c>
      <c r="I536" t="n">
        <v>0</v>
      </c>
      <c r="J536" t="n">
        <v>0</v>
      </c>
      <c r="K536" t="n">
        <v>0</v>
      </c>
      <c r="L536" t="n">
        <v>0</v>
      </c>
      <c r="M536" t="n">
        <v>0</v>
      </c>
      <c r="N536" t="n">
        <v>0</v>
      </c>
      <c r="O536" t="n">
        <v>0</v>
      </c>
      <c r="P536" t="n">
        <v>0</v>
      </c>
      <c r="Q536" t="n">
        <v>0</v>
      </c>
      <c r="R536" s="2" t="inlineStr"/>
    </row>
    <row r="537" ht="15" customHeight="1">
      <c r="A537" t="inlineStr">
        <is>
          <t>A 37963-2025</t>
        </is>
      </c>
      <c r="B537" s="1" t="n">
        <v>45881.6609375</v>
      </c>
      <c r="C537" s="1" t="n">
        <v>46166</v>
      </c>
      <c r="D537" t="inlineStr">
        <is>
          <t>JÄMTLANDS LÄN</t>
        </is>
      </c>
      <c r="E537" t="inlineStr">
        <is>
          <t>HÄRJEDALEN</t>
        </is>
      </c>
      <c r="G537" t="n">
        <v>15.6</v>
      </c>
      <c r="H537" t="n">
        <v>0</v>
      </c>
      <c r="I537" t="n">
        <v>0</v>
      </c>
      <c r="J537" t="n">
        <v>0</v>
      </c>
      <c r="K537" t="n">
        <v>0</v>
      </c>
      <c r="L537" t="n">
        <v>0</v>
      </c>
      <c r="M537" t="n">
        <v>0</v>
      </c>
      <c r="N537" t="n">
        <v>0</v>
      </c>
      <c r="O537" t="n">
        <v>0</v>
      </c>
      <c r="P537" t="n">
        <v>0</v>
      </c>
      <c r="Q537" t="n">
        <v>0</v>
      </c>
      <c r="R537" s="2" t="inlineStr"/>
    </row>
    <row r="538" ht="15" customHeight="1">
      <c r="A538" t="inlineStr">
        <is>
          <t>A 42504-2025</t>
        </is>
      </c>
      <c r="B538" s="1" t="n">
        <v>45904</v>
      </c>
      <c r="C538" s="1" t="n">
        <v>46166</v>
      </c>
      <c r="D538" t="inlineStr">
        <is>
          <t>JÄMTLANDS LÄN</t>
        </is>
      </c>
      <c r="E538" t="inlineStr">
        <is>
          <t>HÄRJEDALEN</t>
        </is>
      </c>
      <c r="F538" t="inlineStr">
        <is>
          <t>Bergvik skog väst AB</t>
        </is>
      </c>
      <c r="G538" t="n">
        <v>6.4</v>
      </c>
      <c r="H538" t="n">
        <v>0</v>
      </c>
      <c r="I538" t="n">
        <v>0</v>
      </c>
      <c r="J538" t="n">
        <v>0</v>
      </c>
      <c r="K538" t="n">
        <v>0</v>
      </c>
      <c r="L538" t="n">
        <v>0</v>
      </c>
      <c r="M538" t="n">
        <v>0</v>
      </c>
      <c r="N538" t="n">
        <v>0</v>
      </c>
      <c r="O538" t="n">
        <v>0</v>
      </c>
      <c r="P538" t="n">
        <v>0</v>
      </c>
      <c r="Q538" t="n">
        <v>0</v>
      </c>
      <c r="R538" s="2" t="inlineStr"/>
    </row>
    <row r="539" ht="15" customHeight="1">
      <c r="A539" t="inlineStr">
        <is>
          <t>A 37957-2025</t>
        </is>
      </c>
      <c r="B539" s="1" t="n">
        <v>45881.64365740741</v>
      </c>
      <c r="C539" s="1" t="n">
        <v>46166</v>
      </c>
      <c r="D539" t="inlineStr">
        <is>
          <t>JÄMTLANDS LÄN</t>
        </is>
      </c>
      <c r="E539" t="inlineStr">
        <is>
          <t>HÄRJEDALEN</t>
        </is>
      </c>
      <c r="G539" t="n">
        <v>4.2</v>
      </c>
      <c r="H539" t="n">
        <v>0</v>
      </c>
      <c r="I539" t="n">
        <v>0</v>
      </c>
      <c r="J539" t="n">
        <v>0</v>
      </c>
      <c r="K539" t="n">
        <v>0</v>
      </c>
      <c r="L539" t="n">
        <v>0</v>
      </c>
      <c r="M539" t="n">
        <v>0</v>
      </c>
      <c r="N539" t="n">
        <v>0</v>
      </c>
      <c r="O539" t="n">
        <v>0</v>
      </c>
      <c r="P539" t="n">
        <v>0</v>
      </c>
      <c r="Q539" t="n">
        <v>0</v>
      </c>
      <c r="R539" s="2" t="inlineStr"/>
    </row>
    <row r="540" ht="15" customHeight="1">
      <c r="A540" t="inlineStr">
        <is>
          <t>A 37865-2025</t>
        </is>
      </c>
      <c r="B540" s="1" t="n">
        <v>45881.46869212963</v>
      </c>
      <c r="C540" s="1" t="n">
        <v>46166</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42605-2025</t>
        </is>
      </c>
      <c r="B541" s="1" t="n">
        <v>45905.67454861111</v>
      </c>
      <c r="C541" s="1" t="n">
        <v>46166</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37571-2025</t>
        </is>
      </c>
      <c r="B542" s="1" t="n">
        <v>45880.37472222222</v>
      </c>
      <c r="C542" s="1" t="n">
        <v>46166</v>
      </c>
      <c r="D542" t="inlineStr">
        <is>
          <t>JÄMTLANDS LÄN</t>
        </is>
      </c>
      <c r="E542" t="inlineStr">
        <is>
          <t>HÄRJEDALEN</t>
        </is>
      </c>
      <c r="G542" t="n">
        <v>2.7</v>
      </c>
      <c r="H542" t="n">
        <v>0</v>
      </c>
      <c r="I542" t="n">
        <v>0</v>
      </c>
      <c r="J542" t="n">
        <v>0</v>
      </c>
      <c r="K542" t="n">
        <v>0</v>
      </c>
      <c r="L542" t="n">
        <v>0</v>
      </c>
      <c r="M542" t="n">
        <v>0</v>
      </c>
      <c r="N542" t="n">
        <v>0</v>
      </c>
      <c r="O542" t="n">
        <v>0</v>
      </c>
      <c r="P542" t="n">
        <v>0</v>
      </c>
      <c r="Q542" t="n">
        <v>0</v>
      </c>
      <c r="R542" s="2" t="inlineStr"/>
    </row>
    <row r="543" ht="15" customHeight="1">
      <c r="A543" t="inlineStr">
        <is>
          <t>A 13775-2025</t>
        </is>
      </c>
      <c r="B543" s="1" t="n">
        <v>45737</v>
      </c>
      <c r="C543" s="1" t="n">
        <v>46166</v>
      </c>
      <c r="D543" t="inlineStr">
        <is>
          <t>JÄMTLANDS LÄN</t>
        </is>
      </c>
      <c r="E543" t="inlineStr">
        <is>
          <t>HÄRJEDALEN</t>
        </is>
      </c>
      <c r="G543" t="n">
        <v>1.9</v>
      </c>
      <c r="H543" t="n">
        <v>0</v>
      </c>
      <c r="I543" t="n">
        <v>0</v>
      </c>
      <c r="J543" t="n">
        <v>0</v>
      </c>
      <c r="K543" t="n">
        <v>0</v>
      </c>
      <c r="L543" t="n">
        <v>0</v>
      </c>
      <c r="M543" t="n">
        <v>0</v>
      </c>
      <c r="N543" t="n">
        <v>0</v>
      </c>
      <c r="O543" t="n">
        <v>0</v>
      </c>
      <c r="P543" t="n">
        <v>0</v>
      </c>
      <c r="Q543" t="n">
        <v>0</v>
      </c>
      <c r="R543" s="2" t="inlineStr"/>
    </row>
    <row r="544" ht="15" customHeight="1">
      <c r="A544" t="inlineStr">
        <is>
          <t>A 42163-2025</t>
        </is>
      </c>
      <c r="B544" s="1" t="n">
        <v>45904.41844907407</v>
      </c>
      <c r="C544" s="1" t="n">
        <v>46166</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38169-2025</t>
        </is>
      </c>
      <c r="B545" s="1" t="n">
        <v>45882.63179398148</v>
      </c>
      <c r="C545" s="1" t="n">
        <v>46166</v>
      </c>
      <c r="D545" t="inlineStr">
        <is>
          <t>JÄMTLANDS LÄN</t>
        </is>
      </c>
      <c r="E545" t="inlineStr">
        <is>
          <t>HÄRJEDALEN</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42189-2025</t>
        </is>
      </c>
      <c r="B546" s="1" t="n">
        <v>45904.47059027778</v>
      </c>
      <c r="C546" s="1" t="n">
        <v>46166</v>
      </c>
      <c r="D546" t="inlineStr">
        <is>
          <t>JÄMTLANDS LÄN</t>
        </is>
      </c>
      <c r="E546" t="inlineStr">
        <is>
          <t>HÄRJEDALEN</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38349-2025</t>
        </is>
      </c>
      <c r="B547" s="1" t="n">
        <v>45883.51854166666</v>
      </c>
      <c r="C547" s="1" t="n">
        <v>46166</v>
      </c>
      <c r="D547" t="inlineStr">
        <is>
          <t>JÄMTLANDS LÄN</t>
        </is>
      </c>
      <c r="E547" t="inlineStr">
        <is>
          <t>HÄRJEDALEN</t>
        </is>
      </c>
      <c r="G547" t="n">
        <v>6.8</v>
      </c>
      <c r="H547" t="n">
        <v>0</v>
      </c>
      <c r="I547" t="n">
        <v>0</v>
      </c>
      <c r="J547" t="n">
        <v>0</v>
      </c>
      <c r="K547" t="n">
        <v>0</v>
      </c>
      <c r="L547" t="n">
        <v>0</v>
      </c>
      <c r="M547" t="n">
        <v>0</v>
      </c>
      <c r="N547" t="n">
        <v>0</v>
      </c>
      <c r="O547" t="n">
        <v>0</v>
      </c>
      <c r="P547" t="n">
        <v>0</v>
      </c>
      <c r="Q547" t="n">
        <v>0</v>
      </c>
      <c r="R547" s="2" t="inlineStr"/>
    </row>
    <row r="548" ht="15" customHeight="1">
      <c r="A548" t="inlineStr">
        <is>
          <t>A 55388-2021</t>
        </is>
      </c>
      <c r="B548" s="1" t="n">
        <v>44475</v>
      </c>
      <c r="C548" s="1" t="n">
        <v>46166</v>
      </c>
      <c r="D548" t="inlineStr">
        <is>
          <t>JÄMTLANDS LÄN</t>
        </is>
      </c>
      <c r="E548" t="inlineStr">
        <is>
          <t>HÄRJEDALEN</t>
        </is>
      </c>
      <c r="G548" t="n">
        <v>0.6</v>
      </c>
      <c r="H548" t="n">
        <v>0</v>
      </c>
      <c r="I548" t="n">
        <v>0</v>
      </c>
      <c r="J548" t="n">
        <v>0</v>
      </c>
      <c r="K548" t="n">
        <v>0</v>
      </c>
      <c r="L548" t="n">
        <v>0</v>
      </c>
      <c r="M548" t="n">
        <v>0</v>
      </c>
      <c r="N548" t="n">
        <v>0</v>
      </c>
      <c r="O548" t="n">
        <v>0</v>
      </c>
      <c r="P548" t="n">
        <v>0</v>
      </c>
      <c r="Q548" t="n">
        <v>0</v>
      </c>
      <c r="R548" s="2" t="inlineStr"/>
    </row>
    <row r="549" ht="15" customHeight="1">
      <c r="A549" t="inlineStr">
        <is>
          <t>A 42271-2025</t>
        </is>
      </c>
      <c r="B549" s="1" t="n">
        <v>45904.60483796296</v>
      </c>
      <c r="C549" s="1" t="n">
        <v>46166</v>
      </c>
      <c r="D549" t="inlineStr">
        <is>
          <t>JÄMTLANDS LÄN</t>
        </is>
      </c>
      <c r="E549" t="inlineStr">
        <is>
          <t>HÄRJEDALEN</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46166</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38402-2025</t>
        </is>
      </c>
      <c r="B551" s="1" t="n">
        <v>45883.58944444444</v>
      </c>
      <c r="C551" s="1" t="n">
        <v>46166</v>
      </c>
      <c r="D551" t="inlineStr">
        <is>
          <t>JÄMTLANDS LÄN</t>
        </is>
      </c>
      <c r="E551" t="inlineStr">
        <is>
          <t>HÄRJEDALEN</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42773-2025</t>
        </is>
      </c>
      <c r="B552" s="1" t="n">
        <v>45908.48638888889</v>
      </c>
      <c r="C552" s="1" t="n">
        <v>46166</v>
      </c>
      <c r="D552" t="inlineStr">
        <is>
          <t>JÄMTLANDS LÄN</t>
        </is>
      </c>
      <c r="E552" t="inlineStr">
        <is>
          <t>HÄRJEDALEN</t>
        </is>
      </c>
      <c r="F552" t="inlineStr">
        <is>
          <t>Holmen skog AB</t>
        </is>
      </c>
      <c r="G552" t="n">
        <v>13.2</v>
      </c>
      <c r="H552" t="n">
        <v>0</v>
      </c>
      <c r="I552" t="n">
        <v>0</v>
      </c>
      <c r="J552" t="n">
        <v>0</v>
      </c>
      <c r="K552" t="n">
        <v>0</v>
      </c>
      <c r="L552" t="n">
        <v>0</v>
      </c>
      <c r="M552" t="n">
        <v>0</v>
      </c>
      <c r="N552" t="n">
        <v>0</v>
      </c>
      <c r="O552" t="n">
        <v>0</v>
      </c>
      <c r="P552" t="n">
        <v>0</v>
      </c>
      <c r="Q552" t="n">
        <v>0</v>
      </c>
      <c r="R552" s="2" t="inlineStr"/>
      <c r="U552">
        <f>HYPERLINK("https://klasma.github.io/Logging_2361/knärot/A 42773-2025 karta knärot.png", "A 42773-2025")</f>
        <v/>
      </c>
      <c r="V552">
        <f>HYPERLINK("https://klasma.github.io/Logging_2361/klagomål/A 42773-2025 FSC-klagomål.docx", "A 42773-2025")</f>
        <v/>
      </c>
      <c r="W552">
        <f>HYPERLINK("https://klasma.github.io/Logging_2361/klagomålsmail/A 42773-2025 FSC-klagomål mail.docx", "A 42773-2025")</f>
        <v/>
      </c>
      <c r="X552">
        <f>HYPERLINK("https://klasma.github.io/Logging_2361/tillsyn/A 42773-2025 tillsynsbegäran.docx", "A 42773-2025")</f>
        <v/>
      </c>
      <c r="Y552">
        <f>HYPERLINK("https://klasma.github.io/Logging_2361/tillsynsmail/A 42773-2025 tillsynsbegäran mail.docx", "A 42773-2025")</f>
        <v/>
      </c>
    </row>
    <row r="553" ht="15" customHeight="1">
      <c r="A553" t="inlineStr">
        <is>
          <t>A 42816-2025</t>
        </is>
      </c>
      <c r="B553" s="1" t="n">
        <v>45908.56461805556</v>
      </c>
      <c r="C553" s="1" t="n">
        <v>46166</v>
      </c>
      <c r="D553" t="inlineStr">
        <is>
          <t>JÄMTLANDS LÄN</t>
        </is>
      </c>
      <c r="E553" t="inlineStr">
        <is>
          <t>HÄRJEDALEN</t>
        </is>
      </c>
      <c r="G553" t="n">
        <v>2.3</v>
      </c>
      <c r="H553" t="n">
        <v>0</v>
      </c>
      <c r="I553" t="n">
        <v>0</v>
      </c>
      <c r="J553" t="n">
        <v>0</v>
      </c>
      <c r="K553" t="n">
        <v>0</v>
      </c>
      <c r="L553" t="n">
        <v>0</v>
      </c>
      <c r="M553" t="n">
        <v>0</v>
      </c>
      <c r="N553" t="n">
        <v>0</v>
      </c>
      <c r="O553" t="n">
        <v>0</v>
      </c>
      <c r="P553" t="n">
        <v>0</v>
      </c>
      <c r="Q553" t="n">
        <v>0</v>
      </c>
      <c r="R553" s="2" t="inlineStr"/>
    </row>
    <row r="554" ht="15" customHeight="1">
      <c r="A554" t="inlineStr">
        <is>
          <t>A 37808-2025</t>
        </is>
      </c>
      <c r="B554" s="1" t="n">
        <v>45881.36469907407</v>
      </c>
      <c r="C554" s="1" t="n">
        <v>46166</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42815-2025</t>
        </is>
      </c>
      <c r="B555" s="1" t="n">
        <v>45908.56354166667</v>
      </c>
      <c r="C555" s="1" t="n">
        <v>46166</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23551-2026</t>
        </is>
      </c>
      <c r="B556" s="1" t="n">
        <v>46163.57365740741</v>
      </c>
      <c r="C556" s="1" t="n">
        <v>46166</v>
      </c>
      <c r="D556" t="inlineStr">
        <is>
          <t>JÄMTLANDS LÄN</t>
        </is>
      </c>
      <c r="E556" t="inlineStr">
        <is>
          <t>HÄRJEDALEN</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39158-2023</t>
        </is>
      </c>
      <c r="B557" s="1" t="n">
        <v>45166.34795138889</v>
      </c>
      <c r="C557" s="1" t="n">
        <v>46166</v>
      </c>
      <c r="D557" t="inlineStr">
        <is>
          <t>JÄMTLANDS LÄN</t>
        </is>
      </c>
      <c r="E557" t="inlineStr">
        <is>
          <t>HÄRJEDALEN</t>
        </is>
      </c>
      <c r="G557" t="n">
        <v>1</v>
      </c>
      <c r="H557" t="n">
        <v>0</v>
      </c>
      <c r="I557" t="n">
        <v>0</v>
      </c>
      <c r="J557" t="n">
        <v>0</v>
      </c>
      <c r="K557" t="n">
        <v>0</v>
      </c>
      <c r="L557" t="n">
        <v>0</v>
      </c>
      <c r="M557" t="n">
        <v>0</v>
      </c>
      <c r="N557" t="n">
        <v>0</v>
      </c>
      <c r="O557" t="n">
        <v>0</v>
      </c>
      <c r="P557" t="n">
        <v>0</v>
      </c>
      <c r="Q557" t="n">
        <v>0</v>
      </c>
      <c r="R557" s="2" t="inlineStr"/>
    </row>
    <row r="558" ht="15" customHeight="1">
      <c r="A558" t="inlineStr">
        <is>
          <t>A 38276-2025</t>
        </is>
      </c>
      <c r="B558" s="1" t="n">
        <v>45883.4108912037</v>
      </c>
      <c r="C558" s="1" t="n">
        <v>46166</v>
      </c>
      <c r="D558" t="inlineStr">
        <is>
          <t>JÄMTLANDS LÄN</t>
        </is>
      </c>
      <c r="E558" t="inlineStr">
        <is>
          <t>HÄRJEDALEN</t>
        </is>
      </c>
      <c r="G558" t="n">
        <v>1.1</v>
      </c>
      <c r="H558" t="n">
        <v>0</v>
      </c>
      <c r="I558" t="n">
        <v>0</v>
      </c>
      <c r="J558" t="n">
        <v>0</v>
      </c>
      <c r="K558" t="n">
        <v>0</v>
      </c>
      <c r="L558" t="n">
        <v>0</v>
      </c>
      <c r="M558" t="n">
        <v>0</v>
      </c>
      <c r="N558" t="n">
        <v>0</v>
      </c>
      <c r="O558" t="n">
        <v>0</v>
      </c>
      <c r="P558" t="n">
        <v>0</v>
      </c>
      <c r="Q558" t="n">
        <v>0</v>
      </c>
      <c r="R558" s="2" t="inlineStr"/>
    </row>
    <row r="559" ht="15" customHeight="1">
      <c r="A559" t="inlineStr">
        <is>
          <t>A 53002-2024</t>
        </is>
      </c>
      <c r="B559" s="1" t="n">
        <v>45611.38759259259</v>
      </c>
      <c r="C559" s="1" t="n">
        <v>46166</v>
      </c>
      <c r="D559" t="inlineStr">
        <is>
          <t>JÄMTLANDS LÄN</t>
        </is>
      </c>
      <c r="E559" t="inlineStr">
        <is>
          <t>HÄRJEDALEN</t>
        </is>
      </c>
      <c r="G559" t="n">
        <v>7.7</v>
      </c>
      <c r="H559" t="n">
        <v>0</v>
      </c>
      <c r="I559" t="n">
        <v>0</v>
      </c>
      <c r="J559" t="n">
        <v>0</v>
      </c>
      <c r="K559" t="n">
        <v>0</v>
      </c>
      <c r="L559" t="n">
        <v>0</v>
      </c>
      <c r="M559" t="n">
        <v>0</v>
      </c>
      <c r="N559" t="n">
        <v>0</v>
      </c>
      <c r="O559" t="n">
        <v>0</v>
      </c>
      <c r="P559" t="n">
        <v>0</v>
      </c>
      <c r="Q559" t="n">
        <v>0</v>
      </c>
      <c r="R559" s="2" t="inlineStr"/>
    </row>
    <row r="560" ht="15" customHeight="1">
      <c r="A560" t="inlineStr">
        <is>
          <t>A 38183-2025</t>
        </is>
      </c>
      <c r="B560" s="1" t="n">
        <v>45882.64755787037</v>
      </c>
      <c r="C560" s="1" t="n">
        <v>46166</v>
      </c>
      <c r="D560" t="inlineStr">
        <is>
          <t>JÄMTLANDS LÄN</t>
        </is>
      </c>
      <c r="E560" t="inlineStr">
        <is>
          <t>HÄRJEDALEN</t>
        </is>
      </c>
      <c r="F560" t="inlineStr">
        <is>
          <t>Bergvik skog väst AB</t>
        </is>
      </c>
      <c r="G560" t="n">
        <v>30.9</v>
      </c>
      <c r="H560" t="n">
        <v>0</v>
      </c>
      <c r="I560" t="n">
        <v>0</v>
      </c>
      <c r="J560" t="n">
        <v>0</v>
      </c>
      <c r="K560" t="n">
        <v>0</v>
      </c>
      <c r="L560" t="n">
        <v>0</v>
      </c>
      <c r="M560" t="n">
        <v>0</v>
      </c>
      <c r="N560" t="n">
        <v>0</v>
      </c>
      <c r="O560" t="n">
        <v>0</v>
      </c>
      <c r="P560" t="n">
        <v>0</v>
      </c>
      <c r="Q560" t="n">
        <v>0</v>
      </c>
      <c r="R560" s="2" t="inlineStr"/>
    </row>
    <row r="561" ht="15" customHeight="1">
      <c r="A561" t="inlineStr">
        <is>
          <t>A 10015-2023</t>
        </is>
      </c>
      <c r="B561" s="1" t="n">
        <v>44985</v>
      </c>
      <c r="C561" s="1" t="n">
        <v>46166</v>
      </c>
      <c r="D561" t="inlineStr">
        <is>
          <t>JÄMTLANDS LÄN</t>
        </is>
      </c>
      <c r="E561" t="inlineStr">
        <is>
          <t>HÄRJEDALEN</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42943-2025</t>
        </is>
      </c>
      <c r="B562" s="1" t="n">
        <v>45909</v>
      </c>
      <c r="C562" s="1" t="n">
        <v>46166</v>
      </c>
      <c r="D562" t="inlineStr">
        <is>
          <t>JÄMTLANDS LÄN</t>
        </is>
      </c>
      <c r="E562" t="inlineStr">
        <is>
          <t>HÄRJEDALEN</t>
        </is>
      </c>
      <c r="F562" t="inlineStr">
        <is>
          <t>Bergvik skog väst AB</t>
        </is>
      </c>
      <c r="G562" t="n">
        <v>10.4</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46166</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38618-2025</t>
        </is>
      </c>
      <c r="B564" s="1" t="n">
        <v>45884.55263888889</v>
      </c>
      <c r="C564" s="1" t="n">
        <v>46166</v>
      </c>
      <c r="D564" t="inlineStr">
        <is>
          <t>JÄMTLANDS LÄN</t>
        </is>
      </c>
      <c r="E564" t="inlineStr">
        <is>
          <t>HÄRJEDALEN</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28906-2025</t>
        </is>
      </c>
      <c r="B565" s="1" t="n">
        <v>45820.64821759259</v>
      </c>
      <c r="C565" s="1" t="n">
        <v>46166</v>
      </c>
      <c r="D565" t="inlineStr">
        <is>
          <t>JÄMTLANDS LÄN</t>
        </is>
      </c>
      <c r="E565" t="inlineStr">
        <is>
          <t>HÄRJEDALEN</t>
        </is>
      </c>
      <c r="G565" t="n">
        <v>29.4</v>
      </c>
      <c r="H565" t="n">
        <v>0</v>
      </c>
      <c r="I565" t="n">
        <v>0</v>
      </c>
      <c r="J565" t="n">
        <v>0</v>
      </c>
      <c r="K565" t="n">
        <v>0</v>
      </c>
      <c r="L565" t="n">
        <v>0</v>
      </c>
      <c r="M565" t="n">
        <v>0</v>
      </c>
      <c r="N565" t="n">
        <v>0</v>
      </c>
      <c r="O565" t="n">
        <v>0</v>
      </c>
      <c r="P565" t="n">
        <v>0</v>
      </c>
      <c r="Q565" t="n">
        <v>0</v>
      </c>
      <c r="R565" s="2" t="inlineStr"/>
    </row>
    <row r="566" ht="15" customHeight="1">
      <c r="A566" t="inlineStr">
        <is>
          <t>A 42729-2025</t>
        </is>
      </c>
      <c r="B566" s="1" t="n">
        <v>45908.40557870371</v>
      </c>
      <c r="C566" s="1" t="n">
        <v>46166</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42963-2025</t>
        </is>
      </c>
      <c r="B567" s="1" t="n">
        <v>45909.37046296296</v>
      </c>
      <c r="C567" s="1" t="n">
        <v>46166</v>
      </c>
      <c r="D567" t="inlineStr">
        <is>
          <t>JÄMTLANDS LÄN</t>
        </is>
      </c>
      <c r="E567" t="inlineStr">
        <is>
          <t>HÄRJEDALEN</t>
        </is>
      </c>
      <c r="G567" t="n">
        <v>4.3</v>
      </c>
      <c r="H567" t="n">
        <v>0</v>
      </c>
      <c r="I567" t="n">
        <v>0</v>
      </c>
      <c r="J567" t="n">
        <v>0</v>
      </c>
      <c r="K567" t="n">
        <v>0</v>
      </c>
      <c r="L567" t="n">
        <v>0</v>
      </c>
      <c r="M567" t="n">
        <v>0</v>
      </c>
      <c r="N567" t="n">
        <v>0</v>
      </c>
      <c r="O567" t="n">
        <v>0</v>
      </c>
      <c r="P567" t="n">
        <v>0</v>
      </c>
      <c r="Q567" t="n">
        <v>0</v>
      </c>
      <c r="R567" s="2" t="inlineStr"/>
    </row>
    <row r="568" ht="15" customHeight="1">
      <c r="A568" t="inlineStr">
        <is>
          <t>A 62104-2024</t>
        </is>
      </c>
      <c r="B568" s="1" t="n">
        <v>45656.51157407407</v>
      </c>
      <c r="C568" s="1" t="n">
        <v>46166</v>
      </c>
      <c r="D568" t="inlineStr">
        <is>
          <t>JÄMTLANDS LÄN</t>
        </is>
      </c>
      <c r="E568" t="inlineStr">
        <is>
          <t>HÄRJEDALEN</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42805-2025</t>
        </is>
      </c>
      <c r="B569" s="1" t="n">
        <v>45908.54806712963</v>
      </c>
      <c r="C569" s="1" t="n">
        <v>46166</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43597-2025</t>
        </is>
      </c>
      <c r="B570" s="1" t="n">
        <v>45911.66243055555</v>
      </c>
      <c r="C570" s="1" t="n">
        <v>46166</v>
      </c>
      <c r="D570" t="inlineStr">
        <is>
          <t>JÄMTLANDS LÄN</t>
        </is>
      </c>
      <c r="E570" t="inlineStr">
        <is>
          <t>HÄRJEDALEN</t>
        </is>
      </c>
      <c r="F570" t="inlineStr">
        <is>
          <t>Bergvik skog väst AB</t>
        </is>
      </c>
      <c r="G570" t="n">
        <v>7</v>
      </c>
      <c r="H570" t="n">
        <v>0</v>
      </c>
      <c r="I570" t="n">
        <v>0</v>
      </c>
      <c r="J570" t="n">
        <v>0</v>
      </c>
      <c r="K570" t="n">
        <v>0</v>
      </c>
      <c r="L570" t="n">
        <v>0</v>
      </c>
      <c r="M570" t="n">
        <v>0</v>
      </c>
      <c r="N570" t="n">
        <v>0</v>
      </c>
      <c r="O570" t="n">
        <v>0</v>
      </c>
      <c r="P570" t="n">
        <v>0</v>
      </c>
      <c r="Q570" t="n">
        <v>0</v>
      </c>
      <c r="R570" s="2" t="inlineStr"/>
    </row>
    <row r="571" ht="15" customHeight="1">
      <c r="A571" t="inlineStr">
        <is>
          <t>A 43517-2025</t>
        </is>
      </c>
      <c r="B571" s="1" t="n">
        <v>45911.5727662037</v>
      </c>
      <c r="C571" s="1" t="n">
        <v>46166</v>
      </c>
      <c r="D571" t="inlineStr">
        <is>
          <t>JÄMTLANDS LÄN</t>
        </is>
      </c>
      <c r="E571" t="inlineStr">
        <is>
          <t>HÄRJEDALEN</t>
        </is>
      </c>
      <c r="F571" t="inlineStr">
        <is>
          <t>Bergvik skog väst AB</t>
        </is>
      </c>
      <c r="G571" t="n">
        <v>6.8</v>
      </c>
      <c r="H571" t="n">
        <v>0</v>
      </c>
      <c r="I571" t="n">
        <v>0</v>
      </c>
      <c r="J571" t="n">
        <v>0</v>
      </c>
      <c r="K571" t="n">
        <v>0</v>
      </c>
      <c r="L571" t="n">
        <v>0</v>
      </c>
      <c r="M571" t="n">
        <v>0</v>
      </c>
      <c r="N571" t="n">
        <v>0</v>
      </c>
      <c r="O571" t="n">
        <v>0</v>
      </c>
      <c r="P571" t="n">
        <v>0</v>
      </c>
      <c r="Q571" t="n">
        <v>0</v>
      </c>
      <c r="R571" s="2" t="inlineStr"/>
    </row>
    <row r="572" ht="15" customHeight="1">
      <c r="A572" t="inlineStr">
        <is>
          <t>A 43136-2025</t>
        </is>
      </c>
      <c r="B572" s="1" t="n">
        <v>45909.85402777778</v>
      </c>
      <c r="C572" s="1" t="n">
        <v>46166</v>
      </c>
      <c r="D572" t="inlineStr">
        <is>
          <t>JÄMTLANDS LÄN</t>
        </is>
      </c>
      <c r="E572" t="inlineStr">
        <is>
          <t>HÄRJEDALEN</t>
        </is>
      </c>
      <c r="F572" t="inlineStr">
        <is>
          <t>Övriga statliga verk och myndigheter</t>
        </is>
      </c>
      <c r="G572" t="n">
        <v>34.2</v>
      </c>
      <c r="H572" t="n">
        <v>0</v>
      </c>
      <c r="I572" t="n">
        <v>0</v>
      </c>
      <c r="J572" t="n">
        <v>0</v>
      </c>
      <c r="K572" t="n">
        <v>0</v>
      </c>
      <c r="L572" t="n">
        <v>0</v>
      </c>
      <c r="M572" t="n">
        <v>0</v>
      </c>
      <c r="N572" t="n">
        <v>0</v>
      </c>
      <c r="O572" t="n">
        <v>0</v>
      </c>
      <c r="P572" t="n">
        <v>0</v>
      </c>
      <c r="Q572" t="n">
        <v>0</v>
      </c>
      <c r="R572" s="2" t="inlineStr"/>
    </row>
    <row r="573" ht="15" customHeight="1">
      <c r="A573" t="inlineStr">
        <is>
          <t>A 3425-2025</t>
        </is>
      </c>
      <c r="B573" s="1" t="n">
        <v>45680.42497685185</v>
      </c>
      <c r="C573" s="1" t="n">
        <v>46166</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23731-2022</t>
        </is>
      </c>
      <c r="B574" s="1" t="n">
        <v>44722</v>
      </c>
      <c r="C574" s="1" t="n">
        <v>46166</v>
      </c>
      <c r="D574" t="inlineStr">
        <is>
          <t>JÄMTLANDS LÄN</t>
        </is>
      </c>
      <c r="E574" t="inlineStr">
        <is>
          <t>HÄRJEDALEN</t>
        </is>
      </c>
      <c r="G574" t="n">
        <v>15.6</v>
      </c>
      <c r="H574" t="n">
        <v>0</v>
      </c>
      <c r="I574" t="n">
        <v>0</v>
      </c>
      <c r="J574" t="n">
        <v>0</v>
      </c>
      <c r="K574" t="n">
        <v>0</v>
      </c>
      <c r="L574" t="n">
        <v>0</v>
      </c>
      <c r="M574" t="n">
        <v>0</v>
      </c>
      <c r="N574" t="n">
        <v>0</v>
      </c>
      <c r="O574" t="n">
        <v>0</v>
      </c>
      <c r="P574" t="n">
        <v>0</v>
      </c>
      <c r="Q574" t="n">
        <v>0</v>
      </c>
      <c r="R574" s="2" t="inlineStr"/>
    </row>
    <row r="575" ht="15" customHeight="1">
      <c r="A575" t="inlineStr">
        <is>
          <t>A 43382-2025</t>
        </is>
      </c>
      <c r="B575" s="1" t="n">
        <v>45911</v>
      </c>
      <c r="C575" s="1" t="n">
        <v>46166</v>
      </c>
      <c r="D575" t="inlineStr">
        <is>
          <t>JÄMTLANDS LÄN</t>
        </is>
      </c>
      <c r="E575" t="inlineStr">
        <is>
          <t>HÄRJEDALEN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60897-2022</t>
        </is>
      </c>
      <c r="B576" s="1" t="n">
        <v>44914</v>
      </c>
      <c r="C576" s="1" t="n">
        <v>46166</v>
      </c>
      <c r="D576" t="inlineStr">
        <is>
          <t>JÄMTLANDS LÄN</t>
        </is>
      </c>
      <c r="E576" t="inlineStr">
        <is>
          <t>HÄRJEDALEN</t>
        </is>
      </c>
      <c r="F576" t="inlineStr">
        <is>
          <t>Holmen skog AB</t>
        </is>
      </c>
      <c r="G576" t="n">
        <v>0.3</v>
      </c>
      <c r="H576" t="n">
        <v>0</v>
      </c>
      <c r="I576" t="n">
        <v>0</v>
      </c>
      <c r="J576" t="n">
        <v>0</v>
      </c>
      <c r="K576" t="n">
        <v>0</v>
      </c>
      <c r="L576" t="n">
        <v>0</v>
      </c>
      <c r="M576" t="n">
        <v>0</v>
      </c>
      <c r="N576" t="n">
        <v>0</v>
      </c>
      <c r="O576" t="n">
        <v>0</v>
      </c>
      <c r="P576" t="n">
        <v>0</v>
      </c>
      <c r="Q576" t="n">
        <v>0</v>
      </c>
      <c r="R576" s="2" t="inlineStr"/>
      <c r="U576">
        <f>HYPERLINK("https://klasma.github.io/Logging_2361/knärot/A 60897-2022 karta knärot.png", "A 60897-2022")</f>
        <v/>
      </c>
      <c r="V576">
        <f>HYPERLINK("https://klasma.github.io/Logging_2361/klagomål/A 60897-2022 FSC-klagomål.docx", "A 60897-2022")</f>
        <v/>
      </c>
      <c r="W576">
        <f>HYPERLINK("https://klasma.github.io/Logging_2361/klagomålsmail/A 60897-2022 FSC-klagomål mail.docx", "A 60897-2022")</f>
        <v/>
      </c>
      <c r="X576">
        <f>HYPERLINK("https://klasma.github.io/Logging_2361/tillsyn/A 60897-2022 tillsynsbegäran.docx", "A 60897-2022")</f>
        <v/>
      </c>
      <c r="Y576">
        <f>HYPERLINK("https://klasma.github.io/Logging_2361/tillsynsmail/A 60897-2022 tillsynsbegäran mail.docx", "A 60897-2022")</f>
        <v/>
      </c>
    </row>
    <row r="577" ht="15" customHeight="1">
      <c r="A577" t="inlineStr">
        <is>
          <t>A 43323-2025</t>
        </is>
      </c>
      <c r="B577" s="1" t="n">
        <v>45910.66498842592</v>
      </c>
      <c r="C577" s="1" t="n">
        <v>46166</v>
      </c>
      <c r="D577" t="inlineStr">
        <is>
          <t>JÄMTLANDS LÄN</t>
        </is>
      </c>
      <c r="E577" t="inlineStr">
        <is>
          <t>HÄRJEDALEN</t>
        </is>
      </c>
      <c r="F577" t="inlineStr">
        <is>
          <t>Sveaskog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43470-2025</t>
        </is>
      </c>
      <c r="B578" s="1" t="n">
        <v>45911.48010416667</v>
      </c>
      <c r="C578" s="1" t="n">
        <v>46166</v>
      </c>
      <c r="D578" t="inlineStr">
        <is>
          <t>JÄMTLANDS LÄN</t>
        </is>
      </c>
      <c r="E578" t="inlineStr">
        <is>
          <t>HÄRJEDALEN</t>
        </is>
      </c>
      <c r="G578" t="n">
        <v>10.9</v>
      </c>
      <c r="H578" t="n">
        <v>0</v>
      </c>
      <c r="I578" t="n">
        <v>0</v>
      </c>
      <c r="J578" t="n">
        <v>0</v>
      </c>
      <c r="K578" t="n">
        <v>0</v>
      </c>
      <c r="L578" t="n">
        <v>0</v>
      </c>
      <c r="M578" t="n">
        <v>0</v>
      </c>
      <c r="N578" t="n">
        <v>0</v>
      </c>
      <c r="O578" t="n">
        <v>0</v>
      </c>
      <c r="P578" t="n">
        <v>0</v>
      </c>
      <c r="Q578" t="n">
        <v>0</v>
      </c>
      <c r="R578" s="2" t="inlineStr"/>
    </row>
    <row r="579" ht="15" customHeight="1">
      <c r="A579" t="inlineStr">
        <is>
          <t>A 48708-2023</t>
        </is>
      </c>
      <c r="B579" s="1" t="n">
        <v>45208</v>
      </c>
      <c r="C579" s="1" t="n">
        <v>46166</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43740-2025</t>
        </is>
      </c>
      <c r="B580" s="1" t="n">
        <v>45912.45496527778</v>
      </c>
      <c r="C580" s="1" t="n">
        <v>46166</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41955-2023</t>
        </is>
      </c>
      <c r="B581" s="1" t="n">
        <v>45174</v>
      </c>
      <c r="C581" s="1" t="n">
        <v>46166</v>
      </c>
      <c r="D581" t="inlineStr">
        <is>
          <t>JÄMTLANDS LÄN</t>
        </is>
      </c>
      <c r="E581" t="inlineStr">
        <is>
          <t>HÄRJEDALEN</t>
        </is>
      </c>
      <c r="G581" t="n">
        <v>60.5</v>
      </c>
      <c r="H581" t="n">
        <v>0</v>
      </c>
      <c r="I581" t="n">
        <v>0</v>
      </c>
      <c r="J581" t="n">
        <v>0</v>
      </c>
      <c r="K581" t="n">
        <v>0</v>
      </c>
      <c r="L581" t="n">
        <v>0</v>
      </c>
      <c r="M581" t="n">
        <v>0</v>
      </c>
      <c r="N581" t="n">
        <v>0</v>
      </c>
      <c r="O581" t="n">
        <v>0</v>
      </c>
      <c r="P581" t="n">
        <v>0</v>
      </c>
      <c r="Q581" t="n">
        <v>0</v>
      </c>
      <c r="R581" s="2" t="inlineStr"/>
    </row>
    <row r="582" ht="15" customHeight="1">
      <c r="A582" t="inlineStr">
        <is>
          <t>A 60749-2023</t>
        </is>
      </c>
      <c r="B582" s="1" t="n">
        <v>45260.59042824074</v>
      </c>
      <c r="C582" s="1" t="n">
        <v>46166</v>
      </c>
      <c r="D582" t="inlineStr">
        <is>
          <t>JÄMTLANDS LÄN</t>
        </is>
      </c>
      <c r="E582" t="inlineStr">
        <is>
          <t>HÄRJEDALEN</t>
        </is>
      </c>
      <c r="G582" t="n">
        <v>0.6</v>
      </c>
      <c r="H582" t="n">
        <v>0</v>
      </c>
      <c r="I582" t="n">
        <v>0</v>
      </c>
      <c r="J582" t="n">
        <v>0</v>
      </c>
      <c r="K582" t="n">
        <v>0</v>
      </c>
      <c r="L582" t="n">
        <v>0</v>
      </c>
      <c r="M582" t="n">
        <v>0</v>
      </c>
      <c r="N582" t="n">
        <v>0</v>
      </c>
      <c r="O582" t="n">
        <v>0</v>
      </c>
      <c r="P582" t="n">
        <v>0</v>
      </c>
      <c r="Q582" t="n">
        <v>0</v>
      </c>
      <c r="R582" s="2" t="inlineStr"/>
    </row>
    <row r="583" ht="15" customHeight="1">
      <c r="A583" t="inlineStr">
        <is>
          <t>A 14368-2025</t>
        </is>
      </c>
      <c r="B583" s="1" t="n">
        <v>45741.39084490741</v>
      </c>
      <c r="C583" s="1" t="n">
        <v>46166</v>
      </c>
      <c r="D583" t="inlineStr">
        <is>
          <t>JÄMTLANDS LÄN</t>
        </is>
      </c>
      <c r="E583" t="inlineStr">
        <is>
          <t>HÄRJEDALEN</t>
        </is>
      </c>
      <c r="G583" t="n">
        <v>6.5</v>
      </c>
      <c r="H583" t="n">
        <v>0</v>
      </c>
      <c r="I583" t="n">
        <v>0</v>
      </c>
      <c r="J583" t="n">
        <v>0</v>
      </c>
      <c r="K583" t="n">
        <v>0</v>
      </c>
      <c r="L583" t="n">
        <v>0</v>
      </c>
      <c r="M583" t="n">
        <v>0</v>
      </c>
      <c r="N583" t="n">
        <v>0</v>
      </c>
      <c r="O583" t="n">
        <v>0</v>
      </c>
      <c r="P583" t="n">
        <v>0</v>
      </c>
      <c r="Q583" t="n">
        <v>0</v>
      </c>
      <c r="R583" s="2" t="inlineStr"/>
    </row>
    <row r="584" ht="15" customHeight="1">
      <c r="A584" t="inlineStr">
        <is>
          <t>A 45179-2025</t>
        </is>
      </c>
      <c r="B584" s="1" t="n">
        <v>45919.52993055555</v>
      </c>
      <c r="C584" s="1" t="n">
        <v>46166</v>
      </c>
      <c r="D584" t="inlineStr">
        <is>
          <t>JÄMTLANDS LÄN</t>
        </is>
      </c>
      <c r="E584" t="inlineStr">
        <is>
          <t>HÄRJEDALEN</t>
        </is>
      </c>
      <c r="F584" t="inlineStr">
        <is>
          <t>Bergvik skog väst AB</t>
        </is>
      </c>
      <c r="G584" t="n">
        <v>7.7</v>
      </c>
      <c r="H584" t="n">
        <v>0</v>
      </c>
      <c r="I584" t="n">
        <v>0</v>
      </c>
      <c r="J584" t="n">
        <v>0</v>
      </c>
      <c r="K584" t="n">
        <v>0</v>
      </c>
      <c r="L584" t="n">
        <v>0</v>
      </c>
      <c r="M584" t="n">
        <v>0</v>
      </c>
      <c r="N584" t="n">
        <v>0</v>
      </c>
      <c r="O584" t="n">
        <v>0</v>
      </c>
      <c r="P584" t="n">
        <v>0</v>
      </c>
      <c r="Q584" t="n">
        <v>0</v>
      </c>
      <c r="R584" s="2" t="inlineStr"/>
    </row>
    <row r="585" ht="15" customHeight="1">
      <c r="A585" t="inlineStr">
        <is>
          <t>A 55669-2024</t>
        </is>
      </c>
      <c r="B585" s="1" t="n">
        <v>45622.64627314815</v>
      </c>
      <c r="C585" s="1" t="n">
        <v>46166</v>
      </c>
      <c r="D585" t="inlineStr">
        <is>
          <t>JÄMTLANDS LÄN</t>
        </is>
      </c>
      <c r="E585" t="inlineStr">
        <is>
          <t>HÄRJEDALEN</t>
        </is>
      </c>
      <c r="G585" t="n">
        <v>1.7</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46166</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38898-2025</t>
        </is>
      </c>
      <c r="B587" s="1" t="n">
        <v>45887.59913194444</v>
      </c>
      <c r="C587" s="1" t="n">
        <v>46166</v>
      </c>
      <c r="D587" t="inlineStr">
        <is>
          <t>JÄMTLANDS LÄN</t>
        </is>
      </c>
      <c r="E587" t="inlineStr">
        <is>
          <t>HÄRJEDALEN</t>
        </is>
      </c>
      <c r="F587" t="inlineStr">
        <is>
          <t>Bergvik skog väst AB</t>
        </is>
      </c>
      <c r="G587" t="n">
        <v>4</v>
      </c>
      <c r="H587" t="n">
        <v>0</v>
      </c>
      <c r="I587" t="n">
        <v>0</v>
      </c>
      <c r="J587" t="n">
        <v>0</v>
      </c>
      <c r="K587" t="n">
        <v>0</v>
      </c>
      <c r="L587" t="n">
        <v>0</v>
      </c>
      <c r="M587" t="n">
        <v>0</v>
      </c>
      <c r="N587" t="n">
        <v>0</v>
      </c>
      <c r="O587" t="n">
        <v>0</v>
      </c>
      <c r="P587" t="n">
        <v>0</v>
      </c>
      <c r="Q587" t="n">
        <v>0</v>
      </c>
      <c r="R587" s="2" t="inlineStr"/>
    </row>
    <row r="588" ht="15" customHeight="1">
      <c r="A588" t="inlineStr">
        <is>
          <t>A 11255-2024</t>
        </is>
      </c>
      <c r="B588" s="1" t="n">
        <v>45371.66217592593</v>
      </c>
      <c r="C588" s="1" t="n">
        <v>46166</v>
      </c>
      <c r="D588" t="inlineStr">
        <is>
          <t>JÄMTLANDS LÄN</t>
        </is>
      </c>
      <c r="E588" t="inlineStr">
        <is>
          <t>HÄRJEDALEN</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45455-2025</t>
        </is>
      </c>
      <c r="B589" s="1" t="n">
        <v>45922.49034722222</v>
      </c>
      <c r="C589" s="1" t="n">
        <v>46166</v>
      </c>
      <c r="D589" t="inlineStr">
        <is>
          <t>JÄMTLANDS LÄN</t>
        </is>
      </c>
      <c r="E589" t="inlineStr">
        <is>
          <t>HÄRJEDALEN</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45562-2025</t>
        </is>
      </c>
      <c r="B590" s="1" t="n">
        <v>45922.64740740741</v>
      </c>
      <c r="C590" s="1" t="n">
        <v>46166</v>
      </c>
      <c r="D590" t="inlineStr">
        <is>
          <t>JÄMTLANDS LÄN</t>
        </is>
      </c>
      <c r="E590" t="inlineStr">
        <is>
          <t>HÄRJEDALEN</t>
        </is>
      </c>
      <c r="G590" t="n">
        <v>11.6</v>
      </c>
      <c r="H590" t="n">
        <v>0</v>
      </c>
      <c r="I590" t="n">
        <v>0</v>
      </c>
      <c r="J590" t="n">
        <v>0</v>
      </c>
      <c r="K590" t="n">
        <v>0</v>
      </c>
      <c r="L590" t="n">
        <v>0</v>
      </c>
      <c r="M590" t="n">
        <v>0</v>
      </c>
      <c r="N590" t="n">
        <v>0</v>
      </c>
      <c r="O590" t="n">
        <v>0</v>
      </c>
      <c r="P590" t="n">
        <v>0</v>
      </c>
      <c r="Q590" t="n">
        <v>0</v>
      </c>
      <c r="R590" s="2" t="inlineStr"/>
    </row>
    <row r="591" ht="15" customHeight="1">
      <c r="A591" t="inlineStr">
        <is>
          <t>A 29935-2024</t>
        </is>
      </c>
      <c r="B591" s="1" t="n">
        <v>45488</v>
      </c>
      <c r="C591" s="1" t="n">
        <v>46166</v>
      </c>
      <c r="D591" t="inlineStr">
        <is>
          <t>JÄMTLANDS LÄN</t>
        </is>
      </c>
      <c r="E591" t="inlineStr">
        <is>
          <t>HÄRJEDALEN</t>
        </is>
      </c>
      <c r="G591" t="n">
        <v>6.8</v>
      </c>
      <c r="H591" t="n">
        <v>0</v>
      </c>
      <c r="I591" t="n">
        <v>0</v>
      </c>
      <c r="J591" t="n">
        <v>0</v>
      </c>
      <c r="K591" t="n">
        <v>0</v>
      </c>
      <c r="L591" t="n">
        <v>0</v>
      </c>
      <c r="M591" t="n">
        <v>0</v>
      </c>
      <c r="N591" t="n">
        <v>0</v>
      </c>
      <c r="O591" t="n">
        <v>0</v>
      </c>
      <c r="P591" t="n">
        <v>0</v>
      </c>
      <c r="Q591" t="n">
        <v>0</v>
      </c>
      <c r="R591" s="2" t="inlineStr"/>
    </row>
    <row r="592" ht="15" customHeight="1">
      <c r="A592" t="inlineStr">
        <is>
          <t>A 55562-2023</t>
        </is>
      </c>
      <c r="B592" s="1" t="n">
        <v>45238.64153935185</v>
      </c>
      <c r="C592" s="1" t="n">
        <v>46166</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45457-2025</t>
        </is>
      </c>
      <c r="B593" s="1" t="n">
        <v>45922.49168981481</v>
      </c>
      <c r="C593" s="1" t="n">
        <v>46166</v>
      </c>
      <c r="D593" t="inlineStr">
        <is>
          <t>JÄMTLANDS LÄN</t>
        </is>
      </c>
      <c r="E593" t="inlineStr">
        <is>
          <t>HÄRJEDALEN</t>
        </is>
      </c>
      <c r="F593" t="inlineStr">
        <is>
          <t>Bergvik skog väst AB</t>
        </is>
      </c>
      <c r="G593" t="n">
        <v>45.8</v>
      </c>
      <c r="H593" t="n">
        <v>0</v>
      </c>
      <c r="I593" t="n">
        <v>0</v>
      </c>
      <c r="J593" t="n">
        <v>0</v>
      </c>
      <c r="K593" t="n">
        <v>0</v>
      </c>
      <c r="L593" t="n">
        <v>0</v>
      </c>
      <c r="M593" t="n">
        <v>0</v>
      </c>
      <c r="N593" t="n">
        <v>0</v>
      </c>
      <c r="O593" t="n">
        <v>0</v>
      </c>
      <c r="P593" t="n">
        <v>0</v>
      </c>
      <c r="Q593" t="n">
        <v>0</v>
      </c>
      <c r="R593" s="2" t="inlineStr"/>
    </row>
    <row r="594" ht="15" customHeight="1">
      <c r="A594" t="inlineStr">
        <is>
          <t>A 36568-2023</t>
        </is>
      </c>
      <c r="B594" s="1" t="n">
        <v>45153.42725694444</v>
      </c>
      <c r="C594" s="1" t="n">
        <v>46166</v>
      </c>
      <c r="D594" t="inlineStr">
        <is>
          <t>JÄMTLANDS LÄN</t>
        </is>
      </c>
      <c r="E594" t="inlineStr">
        <is>
          <t>HÄRJEDALEN</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46429-2025</t>
        </is>
      </c>
      <c r="B595" s="1" t="n">
        <v>45925.6144212963</v>
      </c>
      <c r="C595" s="1" t="n">
        <v>46166</v>
      </c>
      <c r="D595" t="inlineStr">
        <is>
          <t>JÄMTLANDS LÄN</t>
        </is>
      </c>
      <c r="E595" t="inlineStr">
        <is>
          <t>HÄRJEDALEN</t>
        </is>
      </c>
      <c r="F595" t="inlineStr">
        <is>
          <t>Bergvik skog öst AB</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37719-2023</t>
        </is>
      </c>
      <c r="B596" s="1" t="n">
        <v>45159.60288194445</v>
      </c>
      <c r="C596" s="1" t="n">
        <v>46166</v>
      </c>
      <c r="D596" t="inlineStr">
        <is>
          <t>JÄMTLANDS LÄN</t>
        </is>
      </c>
      <c r="E596" t="inlineStr">
        <is>
          <t>HÄRJEDALEN</t>
        </is>
      </c>
      <c r="G596" t="n">
        <v>2.3</v>
      </c>
      <c r="H596" t="n">
        <v>0</v>
      </c>
      <c r="I596" t="n">
        <v>0</v>
      </c>
      <c r="J596" t="n">
        <v>0</v>
      </c>
      <c r="K596" t="n">
        <v>0</v>
      </c>
      <c r="L596" t="n">
        <v>0</v>
      </c>
      <c r="M596" t="n">
        <v>0</v>
      </c>
      <c r="N596" t="n">
        <v>0</v>
      </c>
      <c r="O596" t="n">
        <v>0</v>
      </c>
      <c r="P596" t="n">
        <v>0</v>
      </c>
      <c r="Q596" t="n">
        <v>0</v>
      </c>
      <c r="R596" s="2" t="inlineStr"/>
    </row>
    <row r="597" ht="15" customHeight="1">
      <c r="A597" t="inlineStr">
        <is>
          <t>A 18546-2025</t>
        </is>
      </c>
      <c r="B597" s="1" t="n">
        <v>45763.4266087963</v>
      </c>
      <c r="C597" s="1" t="n">
        <v>46166</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47021-2025</t>
        </is>
      </c>
      <c r="B598" s="1" t="n">
        <v>45929.57756944445</v>
      </c>
      <c r="C598" s="1" t="n">
        <v>46166</v>
      </c>
      <c r="D598" t="inlineStr">
        <is>
          <t>JÄMTLANDS LÄN</t>
        </is>
      </c>
      <c r="E598" t="inlineStr">
        <is>
          <t>HÄRJEDALEN</t>
        </is>
      </c>
      <c r="G598" t="n">
        <v>5</v>
      </c>
      <c r="H598" t="n">
        <v>0</v>
      </c>
      <c r="I598" t="n">
        <v>0</v>
      </c>
      <c r="J598" t="n">
        <v>0</v>
      </c>
      <c r="K598" t="n">
        <v>0</v>
      </c>
      <c r="L598" t="n">
        <v>0</v>
      </c>
      <c r="M598" t="n">
        <v>0</v>
      </c>
      <c r="N598" t="n">
        <v>0</v>
      </c>
      <c r="O598" t="n">
        <v>0</v>
      </c>
      <c r="P598" t="n">
        <v>0</v>
      </c>
      <c r="Q598" t="n">
        <v>0</v>
      </c>
      <c r="R598" s="2" t="inlineStr"/>
    </row>
    <row r="599" ht="15" customHeight="1">
      <c r="A599" t="inlineStr">
        <is>
          <t>A 46681-2025</t>
        </is>
      </c>
      <c r="B599" s="1" t="n">
        <v>45926.54697916667</v>
      </c>
      <c r="C599" s="1" t="n">
        <v>46166</v>
      </c>
      <c r="D599" t="inlineStr">
        <is>
          <t>JÄMTLANDS LÄN</t>
        </is>
      </c>
      <c r="E599" t="inlineStr">
        <is>
          <t>HÄRJEDALEN</t>
        </is>
      </c>
      <c r="G599" t="n">
        <v>6.4</v>
      </c>
      <c r="H599" t="n">
        <v>0</v>
      </c>
      <c r="I599" t="n">
        <v>0</v>
      </c>
      <c r="J599" t="n">
        <v>0</v>
      </c>
      <c r="K599" t="n">
        <v>0</v>
      </c>
      <c r="L599" t="n">
        <v>0</v>
      </c>
      <c r="M599" t="n">
        <v>0</v>
      </c>
      <c r="N599" t="n">
        <v>0</v>
      </c>
      <c r="O599" t="n">
        <v>0</v>
      </c>
      <c r="P599" t="n">
        <v>0</v>
      </c>
      <c r="Q599" t="n">
        <v>0</v>
      </c>
      <c r="R599" s="2" t="inlineStr"/>
    </row>
    <row r="600" ht="15" customHeight="1">
      <c r="A600" t="inlineStr">
        <is>
          <t>A 46716-2025</t>
        </is>
      </c>
      <c r="B600" s="1" t="n">
        <v>45926.57876157408</v>
      </c>
      <c r="C600" s="1" t="n">
        <v>46166</v>
      </c>
      <c r="D600" t="inlineStr">
        <is>
          <t>JÄMTLANDS LÄN</t>
        </is>
      </c>
      <c r="E600" t="inlineStr">
        <is>
          <t>HÄRJEDALEN</t>
        </is>
      </c>
      <c r="G600" t="n">
        <v>4.2</v>
      </c>
      <c r="H600" t="n">
        <v>0</v>
      </c>
      <c r="I600" t="n">
        <v>0</v>
      </c>
      <c r="J600" t="n">
        <v>0</v>
      </c>
      <c r="K600" t="n">
        <v>0</v>
      </c>
      <c r="L600" t="n">
        <v>0</v>
      </c>
      <c r="M600" t="n">
        <v>0</v>
      </c>
      <c r="N600" t="n">
        <v>0</v>
      </c>
      <c r="O600" t="n">
        <v>0</v>
      </c>
      <c r="P600" t="n">
        <v>0</v>
      </c>
      <c r="Q600" t="n">
        <v>0</v>
      </c>
      <c r="R600" s="2" t="inlineStr"/>
    </row>
    <row r="601" ht="15" customHeight="1">
      <c r="A601" t="inlineStr">
        <is>
          <t>A 46499-2024</t>
        </is>
      </c>
      <c r="B601" s="1" t="n">
        <v>45582.59753472222</v>
      </c>
      <c r="C601" s="1" t="n">
        <v>46166</v>
      </c>
      <c r="D601" t="inlineStr">
        <is>
          <t>JÄMTLANDS LÄN</t>
        </is>
      </c>
      <c r="E601" t="inlineStr">
        <is>
          <t>HÄRJEDALEN</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13297-2025</t>
        </is>
      </c>
      <c r="B602" s="1" t="n">
        <v>45735.57390046296</v>
      </c>
      <c r="C602" s="1" t="n">
        <v>46166</v>
      </c>
      <c r="D602" t="inlineStr">
        <is>
          <t>JÄMTLANDS LÄN</t>
        </is>
      </c>
      <c r="E602" t="inlineStr">
        <is>
          <t>HÄRJEDALEN</t>
        </is>
      </c>
      <c r="G602" t="n">
        <v>24.7</v>
      </c>
      <c r="H602" t="n">
        <v>0</v>
      </c>
      <c r="I602" t="n">
        <v>0</v>
      </c>
      <c r="J602" t="n">
        <v>0</v>
      </c>
      <c r="K602" t="n">
        <v>0</v>
      </c>
      <c r="L602" t="n">
        <v>0</v>
      </c>
      <c r="M602" t="n">
        <v>0</v>
      </c>
      <c r="N602" t="n">
        <v>0</v>
      </c>
      <c r="O602" t="n">
        <v>0</v>
      </c>
      <c r="P602" t="n">
        <v>0</v>
      </c>
      <c r="Q602" t="n">
        <v>0</v>
      </c>
      <c r="R602" s="2" t="inlineStr"/>
    </row>
    <row r="603" ht="15" customHeight="1">
      <c r="A603" t="inlineStr">
        <is>
          <t>A 46946-2025</t>
        </is>
      </c>
      <c r="B603" s="1" t="n">
        <v>45929.4609837963</v>
      </c>
      <c r="C603" s="1" t="n">
        <v>46166</v>
      </c>
      <c r="D603" t="inlineStr">
        <is>
          <t>JÄMTLANDS LÄN</t>
        </is>
      </c>
      <c r="E603" t="inlineStr">
        <is>
          <t>HÄRJEDALEN</t>
        </is>
      </c>
      <c r="F603" t="inlineStr">
        <is>
          <t>Bergvik skog öst AB</t>
        </is>
      </c>
      <c r="G603" t="n">
        <v>10.5</v>
      </c>
      <c r="H603" t="n">
        <v>0</v>
      </c>
      <c r="I603" t="n">
        <v>0</v>
      </c>
      <c r="J603" t="n">
        <v>0</v>
      </c>
      <c r="K603" t="n">
        <v>0</v>
      </c>
      <c r="L603" t="n">
        <v>0</v>
      </c>
      <c r="M603" t="n">
        <v>0</v>
      </c>
      <c r="N603" t="n">
        <v>0</v>
      </c>
      <c r="O603" t="n">
        <v>0</v>
      </c>
      <c r="P603" t="n">
        <v>0</v>
      </c>
      <c r="Q603" t="n">
        <v>0</v>
      </c>
      <c r="R603" s="2" t="inlineStr"/>
    </row>
    <row r="604" ht="15" customHeight="1">
      <c r="A604" t="inlineStr">
        <is>
          <t>A 47503-2025</t>
        </is>
      </c>
      <c r="B604" s="1" t="n">
        <v>45930.85418981482</v>
      </c>
      <c r="C604" s="1" t="n">
        <v>46166</v>
      </c>
      <c r="D604" t="inlineStr">
        <is>
          <t>JÄMTLANDS LÄN</t>
        </is>
      </c>
      <c r="E604" t="inlineStr">
        <is>
          <t>HÄRJEDALEN</t>
        </is>
      </c>
      <c r="G604" t="n">
        <v>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46166</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46166</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47236-2025</t>
        </is>
      </c>
      <c r="B607" s="1" t="n">
        <v>45930</v>
      </c>
      <c r="C607" s="1" t="n">
        <v>46166</v>
      </c>
      <c r="D607" t="inlineStr">
        <is>
          <t>JÄMTLANDS LÄN</t>
        </is>
      </c>
      <c r="E607" t="inlineStr">
        <is>
          <t>HÄRJEDALEN</t>
        </is>
      </c>
      <c r="G607" t="n">
        <v>5.3</v>
      </c>
      <c r="H607" t="n">
        <v>0</v>
      </c>
      <c r="I607" t="n">
        <v>0</v>
      </c>
      <c r="J607" t="n">
        <v>0</v>
      </c>
      <c r="K607" t="n">
        <v>0</v>
      </c>
      <c r="L607" t="n">
        <v>0</v>
      </c>
      <c r="M607" t="n">
        <v>0</v>
      </c>
      <c r="N607" t="n">
        <v>0</v>
      </c>
      <c r="O607" t="n">
        <v>0</v>
      </c>
      <c r="P607" t="n">
        <v>0</v>
      </c>
      <c r="Q607" t="n">
        <v>0</v>
      </c>
      <c r="R607" s="2" t="inlineStr"/>
    </row>
    <row r="608" ht="15" customHeight="1">
      <c r="A608" t="inlineStr">
        <is>
          <t>A 47232-2025</t>
        </is>
      </c>
      <c r="B608" s="1" t="n">
        <v>45930</v>
      </c>
      <c r="C608" s="1" t="n">
        <v>46166</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47727-2025</t>
        </is>
      </c>
      <c r="B609" s="1" t="n">
        <v>45931.63174768518</v>
      </c>
      <c r="C609" s="1" t="n">
        <v>46166</v>
      </c>
      <c r="D609" t="inlineStr">
        <is>
          <t>JÄMTLANDS LÄN</t>
        </is>
      </c>
      <c r="E609" t="inlineStr">
        <is>
          <t>HÄRJEDALEN</t>
        </is>
      </c>
      <c r="F609" t="inlineStr">
        <is>
          <t>Bergvik skog väst AB</t>
        </is>
      </c>
      <c r="G609" t="n">
        <v>34</v>
      </c>
      <c r="H609" t="n">
        <v>0</v>
      </c>
      <c r="I609" t="n">
        <v>0</v>
      </c>
      <c r="J609" t="n">
        <v>0</v>
      </c>
      <c r="K609" t="n">
        <v>0</v>
      </c>
      <c r="L609" t="n">
        <v>0</v>
      </c>
      <c r="M609" t="n">
        <v>0</v>
      </c>
      <c r="N609" t="n">
        <v>0</v>
      </c>
      <c r="O609" t="n">
        <v>0</v>
      </c>
      <c r="P609" t="n">
        <v>0</v>
      </c>
      <c r="Q609" t="n">
        <v>0</v>
      </c>
      <c r="R609" s="2" t="inlineStr"/>
    </row>
    <row r="610" ht="15" customHeight="1">
      <c r="A610" t="inlineStr">
        <is>
          <t>A 44632-2025</t>
        </is>
      </c>
      <c r="B610" s="1" t="n">
        <v>45917</v>
      </c>
      <c r="C610" s="1" t="n">
        <v>46166</v>
      </c>
      <c r="D610" t="inlineStr">
        <is>
          <t>JÄMTLANDS LÄN</t>
        </is>
      </c>
      <c r="E610" t="inlineStr">
        <is>
          <t>HÄRJEDALEN</t>
        </is>
      </c>
      <c r="G610" t="n">
        <v>1.5</v>
      </c>
      <c r="H610" t="n">
        <v>0</v>
      </c>
      <c r="I610" t="n">
        <v>0</v>
      </c>
      <c r="J610" t="n">
        <v>0</v>
      </c>
      <c r="K610" t="n">
        <v>0</v>
      </c>
      <c r="L610" t="n">
        <v>0</v>
      </c>
      <c r="M610" t="n">
        <v>0</v>
      </c>
      <c r="N610" t="n">
        <v>0</v>
      </c>
      <c r="O610" t="n">
        <v>0</v>
      </c>
      <c r="P610" t="n">
        <v>0</v>
      </c>
      <c r="Q610" t="n">
        <v>0</v>
      </c>
      <c r="R610" s="2" t="inlineStr"/>
    </row>
    <row r="611" ht="15" customHeight="1">
      <c r="A611" t="inlineStr">
        <is>
          <t>A 47314-2025</t>
        </is>
      </c>
      <c r="B611" s="1" t="n">
        <v>45930.54700231482</v>
      </c>
      <c r="C611" s="1" t="n">
        <v>46166</v>
      </c>
      <c r="D611" t="inlineStr">
        <is>
          <t>JÄMTLANDS LÄN</t>
        </is>
      </c>
      <c r="E611" t="inlineStr">
        <is>
          <t>HÄRJEDALEN</t>
        </is>
      </c>
      <c r="G611" t="n">
        <v>4.7</v>
      </c>
      <c r="H611" t="n">
        <v>0</v>
      </c>
      <c r="I611" t="n">
        <v>0</v>
      </c>
      <c r="J611" t="n">
        <v>0</v>
      </c>
      <c r="K611" t="n">
        <v>0</v>
      </c>
      <c r="L611" t="n">
        <v>0</v>
      </c>
      <c r="M611" t="n">
        <v>0</v>
      </c>
      <c r="N611" t="n">
        <v>0</v>
      </c>
      <c r="O611" t="n">
        <v>0</v>
      </c>
      <c r="P611" t="n">
        <v>0</v>
      </c>
      <c r="Q611" t="n">
        <v>0</v>
      </c>
      <c r="R611" s="2" t="inlineStr"/>
    </row>
    <row r="612" ht="15" customHeight="1">
      <c r="A612" t="inlineStr">
        <is>
          <t>A 47701-2025</t>
        </is>
      </c>
      <c r="B612" s="1" t="n">
        <v>45931.60657407407</v>
      </c>
      <c r="C612" s="1" t="n">
        <v>46166</v>
      </c>
      <c r="D612" t="inlineStr">
        <is>
          <t>JÄMTLANDS LÄN</t>
        </is>
      </c>
      <c r="E612" t="inlineStr">
        <is>
          <t>HÄRJEDALEN</t>
        </is>
      </c>
      <c r="G612" t="n">
        <v>17.2</v>
      </c>
      <c r="H612" t="n">
        <v>0</v>
      </c>
      <c r="I612" t="n">
        <v>0</v>
      </c>
      <c r="J612" t="n">
        <v>0</v>
      </c>
      <c r="K612" t="n">
        <v>0</v>
      </c>
      <c r="L612" t="n">
        <v>0</v>
      </c>
      <c r="M612" t="n">
        <v>0</v>
      </c>
      <c r="N612" t="n">
        <v>0</v>
      </c>
      <c r="O612" t="n">
        <v>0</v>
      </c>
      <c r="P612" t="n">
        <v>0</v>
      </c>
      <c r="Q612" t="n">
        <v>0</v>
      </c>
      <c r="R612" s="2" t="inlineStr"/>
    </row>
    <row r="613" ht="15" customHeight="1">
      <c r="A613" t="inlineStr">
        <is>
          <t>A 6756-2024</t>
        </is>
      </c>
      <c r="B613" s="1" t="n">
        <v>45342</v>
      </c>
      <c r="C613" s="1" t="n">
        <v>46166</v>
      </c>
      <c r="D613" t="inlineStr">
        <is>
          <t>JÄMTLANDS LÄN</t>
        </is>
      </c>
      <c r="E613" t="inlineStr">
        <is>
          <t>HÄRJEDALEN</t>
        </is>
      </c>
      <c r="G613" t="n">
        <v>5.7</v>
      </c>
      <c r="H613" t="n">
        <v>0</v>
      </c>
      <c r="I613" t="n">
        <v>0</v>
      </c>
      <c r="J613" t="n">
        <v>0</v>
      </c>
      <c r="K613" t="n">
        <v>0</v>
      </c>
      <c r="L613" t="n">
        <v>0</v>
      </c>
      <c r="M613" t="n">
        <v>0</v>
      </c>
      <c r="N613" t="n">
        <v>0</v>
      </c>
      <c r="O613" t="n">
        <v>0</v>
      </c>
      <c r="P613" t="n">
        <v>0</v>
      </c>
      <c r="Q613" t="n">
        <v>0</v>
      </c>
      <c r="R613" s="2" t="inlineStr"/>
    </row>
    <row r="614" ht="15" customHeight="1">
      <c r="A614" t="inlineStr">
        <is>
          <t>A 47699-2025</t>
        </is>
      </c>
      <c r="B614" s="1" t="n">
        <v>45931.60063657408</v>
      </c>
      <c r="C614" s="1" t="n">
        <v>46166</v>
      </c>
      <c r="D614" t="inlineStr">
        <is>
          <t>JÄMTLANDS LÄN</t>
        </is>
      </c>
      <c r="E614" t="inlineStr">
        <is>
          <t>HÄRJEDALEN</t>
        </is>
      </c>
      <c r="G614" t="n">
        <v>11.5</v>
      </c>
      <c r="H614" t="n">
        <v>0</v>
      </c>
      <c r="I614" t="n">
        <v>0</v>
      </c>
      <c r="J614" t="n">
        <v>0</v>
      </c>
      <c r="K614" t="n">
        <v>0</v>
      </c>
      <c r="L614" t="n">
        <v>0</v>
      </c>
      <c r="M614" t="n">
        <v>0</v>
      </c>
      <c r="N614" t="n">
        <v>0</v>
      </c>
      <c r="O614" t="n">
        <v>0</v>
      </c>
      <c r="P614" t="n">
        <v>0</v>
      </c>
      <c r="Q614" t="n">
        <v>0</v>
      </c>
      <c r="R614" s="2" t="inlineStr"/>
    </row>
    <row r="615" ht="15" customHeight="1">
      <c r="A615" t="inlineStr">
        <is>
          <t>A 47501-2025</t>
        </is>
      </c>
      <c r="B615" s="1" t="n">
        <v>45930.85032407408</v>
      </c>
      <c r="C615" s="1" t="n">
        <v>46166</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39820-2022</t>
        </is>
      </c>
      <c r="B616" s="1" t="n">
        <v>44819.56722222222</v>
      </c>
      <c r="C616" s="1" t="n">
        <v>46166</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59462-2024</t>
        </is>
      </c>
      <c r="B617" s="1" t="n">
        <v>45638</v>
      </c>
      <c r="C617" s="1" t="n">
        <v>46166</v>
      </c>
      <c r="D617" t="inlineStr">
        <is>
          <t>JÄMTLANDS LÄN</t>
        </is>
      </c>
      <c r="E617" t="inlineStr">
        <is>
          <t>HÄRJEDALEN</t>
        </is>
      </c>
      <c r="F617" t="inlineStr">
        <is>
          <t>Holmen skog AB</t>
        </is>
      </c>
      <c r="G617" t="n">
        <v>9.6</v>
      </c>
      <c r="H617" t="n">
        <v>0</v>
      </c>
      <c r="I617" t="n">
        <v>0</v>
      </c>
      <c r="J617" t="n">
        <v>0</v>
      </c>
      <c r="K617" t="n">
        <v>0</v>
      </c>
      <c r="L617" t="n">
        <v>0</v>
      </c>
      <c r="M617" t="n">
        <v>0</v>
      </c>
      <c r="N617" t="n">
        <v>0</v>
      </c>
      <c r="O617" t="n">
        <v>0</v>
      </c>
      <c r="P617" t="n">
        <v>0</v>
      </c>
      <c r="Q617" t="n">
        <v>0</v>
      </c>
      <c r="R617" s="2" t="inlineStr"/>
    </row>
    <row r="618" ht="15" customHeight="1">
      <c r="A618" t="inlineStr">
        <is>
          <t>A 48243-2025</t>
        </is>
      </c>
      <c r="B618" s="1" t="n">
        <v>45933.53942129629</v>
      </c>
      <c r="C618" s="1" t="n">
        <v>46166</v>
      </c>
      <c r="D618" t="inlineStr">
        <is>
          <t>JÄMTLANDS LÄN</t>
        </is>
      </c>
      <c r="E618" t="inlineStr">
        <is>
          <t>HÄRJEDALEN</t>
        </is>
      </c>
      <c r="G618" t="n">
        <v>10.6</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46166</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46693-2025</t>
        </is>
      </c>
      <c r="B620" s="1" t="n">
        <v>45926</v>
      </c>
      <c r="C620" s="1" t="n">
        <v>46166</v>
      </c>
      <c r="D620" t="inlineStr">
        <is>
          <t>JÄMTLANDS LÄN</t>
        </is>
      </c>
      <c r="E620" t="inlineStr">
        <is>
          <t>HÄRJEDALEN</t>
        </is>
      </c>
      <c r="G620" t="n">
        <v>4.9</v>
      </c>
      <c r="H620" t="n">
        <v>0</v>
      </c>
      <c r="I620" t="n">
        <v>0</v>
      </c>
      <c r="J620" t="n">
        <v>0</v>
      </c>
      <c r="K620" t="n">
        <v>0</v>
      </c>
      <c r="L620" t="n">
        <v>0</v>
      </c>
      <c r="M620" t="n">
        <v>0</v>
      </c>
      <c r="N620" t="n">
        <v>0</v>
      </c>
      <c r="O620" t="n">
        <v>0</v>
      </c>
      <c r="P620" t="n">
        <v>0</v>
      </c>
      <c r="Q620" t="n">
        <v>0</v>
      </c>
      <c r="R620" s="2" t="inlineStr"/>
    </row>
    <row r="621" ht="15" customHeight="1">
      <c r="A621" t="inlineStr">
        <is>
          <t>A 60006-2024</t>
        </is>
      </c>
      <c r="B621" s="1" t="n">
        <v>45642.41907407407</v>
      </c>
      <c r="C621" s="1" t="n">
        <v>46166</v>
      </c>
      <c r="D621" t="inlineStr">
        <is>
          <t>JÄMTLANDS LÄN</t>
        </is>
      </c>
      <c r="E621" t="inlineStr">
        <is>
          <t>HÄRJEDALEN</t>
        </is>
      </c>
      <c r="G621" t="n">
        <v>7.3</v>
      </c>
      <c r="H621" t="n">
        <v>0</v>
      </c>
      <c r="I621" t="n">
        <v>0</v>
      </c>
      <c r="J621" t="n">
        <v>0</v>
      </c>
      <c r="K621" t="n">
        <v>0</v>
      </c>
      <c r="L621" t="n">
        <v>0</v>
      </c>
      <c r="M621" t="n">
        <v>0</v>
      </c>
      <c r="N621" t="n">
        <v>0</v>
      </c>
      <c r="O621" t="n">
        <v>0</v>
      </c>
      <c r="P621" t="n">
        <v>0</v>
      </c>
      <c r="Q621" t="n">
        <v>0</v>
      </c>
      <c r="R621" s="2" t="inlineStr"/>
    </row>
    <row r="622" ht="15" customHeight="1">
      <c r="A622" t="inlineStr">
        <is>
          <t>A 58866-2023</t>
        </is>
      </c>
      <c r="B622" s="1" t="n">
        <v>45252.45481481482</v>
      </c>
      <c r="C622" s="1" t="n">
        <v>46166</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58890-2023</t>
        </is>
      </c>
      <c r="B623" s="1" t="n">
        <v>45252.48409722222</v>
      </c>
      <c r="C623" s="1" t="n">
        <v>46166</v>
      </c>
      <c r="D623" t="inlineStr">
        <is>
          <t>JÄMTLANDS LÄN</t>
        </is>
      </c>
      <c r="E623" t="inlineStr">
        <is>
          <t>HÄRJEDALEN</t>
        </is>
      </c>
      <c r="G623" t="n">
        <v>15.2</v>
      </c>
      <c r="H623" t="n">
        <v>0</v>
      </c>
      <c r="I623" t="n">
        <v>0</v>
      </c>
      <c r="J623" t="n">
        <v>0</v>
      </c>
      <c r="K623" t="n">
        <v>0</v>
      </c>
      <c r="L623" t="n">
        <v>0</v>
      </c>
      <c r="M623" t="n">
        <v>0</v>
      </c>
      <c r="N623" t="n">
        <v>0</v>
      </c>
      <c r="O623" t="n">
        <v>0</v>
      </c>
      <c r="P623" t="n">
        <v>0</v>
      </c>
      <c r="Q623" t="n">
        <v>0</v>
      </c>
      <c r="R623" s="2" t="inlineStr"/>
    </row>
    <row r="624" ht="15" customHeight="1">
      <c r="A624" t="inlineStr">
        <is>
          <t>A 49163-2025</t>
        </is>
      </c>
      <c r="B624" s="1" t="n">
        <v>45938.35490740741</v>
      </c>
      <c r="C624" s="1" t="n">
        <v>46166</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49168-2025</t>
        </is>
      </c>
      <c r="B625" s="1" t="n">
        <v>45938.36853009259</v>
      </c>
      <c r="C625" s="1" t="n">
        <v>46166</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49389-2025</t>
        </is>
      </c>
      <c r="B626" s="1" t="n">
        <v>45938.64905092592</v>
      </c>
      <c r="C626" s="1" t="n">
        <v>46166</v>
      </c>
      <c r="D626" t="inlineStr">
        <is>
          <t>JÄMTLANDS LÄN</t>
        </is>
      </c>
      <c r="E626" t="inlineStr">
        <is>
          <t>HÄRJEDALEN</t>
        </is>
      </c>
      <c r="G626" t="n">
        <v>14.9</v>
      </c>
      <c r="H626" t="n">
        <v>0</v>
      </c>
      <c r="I626" t="n">
        <v>0</v>
      </c>
      <c r="J626" t="n">
        <v>0</v>
      </c>
      <c r="K626" t="n">
        <v>0</v>
      </c>
      <c r="L626" t="n">
        <v>0</v>
      </c>
      <c r="M626" t="n">
        <v>0</v>
      </c>
      <c r="N626" t="n">
        <v>0</v>
      </c>
      <c r="O626" t="n">
        <v>0</v>
      </c>
      <c r="P626" t="n">
        <v>0</v>
      </c>
      <c r="Q626" t="n">
        <v>0</v>
      </c>
      <c r="R626" s="2" t="inlineStr"/>
    </row>
    <row r="627" ht="15" customHeight="1">
      <c r="A627" t="inlineStr">
        <is>
          <t>A 49426-2025</t>
        </is>
      </c>
      <c r="B627" s="1" t="n">
        <v>45938.74932870371</v>
      </c>
      <c r="C627" s="1" t="n">
        <v>46166</v>
      </c>
      <c r="D627" t="inlineStr">
        <is>
          <t>JÄMTLANDS LÄN</t>
        </is>
      </c>
      <c r="E627" t="inlineStr">
        <is>
          <t>HÄRJEDALEN</t>
        </is>
      </c>
      <c r="G627" t="n">
        <v>8.4</v>
      </c>
      <c r="H627" t="n">
        <v>0</v>
      </c>
      <c r="I627" t="n">
        <v>0</v>
      </c>
      <c r="J627" t="n">
        <v>0</v>
      </c>
      <c r="K627" t="n">
        <v>0</v>
      </c>
      <c r="L627" t="n">
        <v>0</v>
      </c>
      <c r="M627" t="n">
        <v>0</v>
      </c>
      <c r="N627" t="n">
        <v>0</v>
      </c>
      <c r="O627" t="n">
        <v>0</v>
      </c>
      <c r="P627" t="n">
        <v>0</v>
      </c>
      <c r="Q627" t="n">
        <v>0</v>
      </c>
      <c r="R627" s="2" t="inlineStr"/>
    </row>
    <row r="628" ht="15" customHeight="1">
      <c r="A628" t="inlineStr">
        <is>
          <t>A 49515-2025</t>
        </is>
      </c>
      <c r="B628" s="1" t="n">
        <v>45939.38605324074</v>
      </c>
      <c r="C628" s="1" t="n">
        <v>46166</v>
      </c>
      <c r="D628" t="inlineStr">
        <is>
          <t>JÄMTLANDS LÄN</t>
        </is>
      </c>
      <c r="E628" t="inlineStr">
        <is>
          <t>HÄRJEDALEN</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49569-2025</t>
        </is>
      </c>
      <c r="B629" s="1" t="n">
        <v>45939.47834490741</v>
      </c>
      <c r="C629" s="1" t="n">
        <v>46166</v>
      </c>
      <c r="D629" t="inlineStr">
        <is>
          <t>JÄMTLANDS LÄN</t>
        </is>
      </c>
      <c r="E629" t="inlineStr">
        <is>
          <t>HÄRJEDALEN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49427-2025</t>
        </is>
      </c>
      <c r="B630" s="1" t="n">
        <v>45938.76107638889</v>
      </c>
      <c r="C630" s="1" t="n">
        <v>46166</v>
      </c>
      <c r="D630" t="inlineStr">
        <is>
          <t>JÄMTLANDS LÄN</t>
        </is>
      </c>
      <c r="E630" t="inlineStr">
        <is>
          <t>HÄRJEDALEN</t>
        </is>
      </c>
      <c r="G630" t="n">
        <v>4.5</v>
      </c>
      <c r="H630" t="n">
        <v>0</v>
      </c>
      <c r="I630" t="n">
        <v>0</v>
      </c>
      <c r="J630" t="n">
        <v>0</v>
      </c>
      <c r="K630" t="n">
        <v>0</v>
      </c>
      <c r="L630" t="n">
        <v>0</v>
      </c>
      <c r="M630" t="n">
        <v>0</v>
      </c>
      <c r="N630" t="n">
        <v>0</v>
      </c>
      <c r="O630" t="n">
        <v>0</v>
      </c>
      <c r="P630" t="n">
        <v>0</v>
      </c>
      <c r="Q630" t="n">
        <v>0</v>
      </c>
      <c r="R630" s="2" t="inlineStr"/>
    </row>
    <row r="631" ht="15" customHeight="1">
      <c r="A631" t="inlineStr">
        <is>
          <t>A 52798-2024</t>
        </is>
      </c>
      <c r="B631" s="1" t="n">
        <v>45610.56706018518</v>
      </c>
      <c r="C631" s="1" t="n">
        <v>46166</v>
      </c>
      <c r="D631" t="inlineStr">
        <is>
          <t>JÄMTLANDS LÄN</t>
        </is>
      </c>
      <c r="E631" t="inlineStr">
        <is>
          <t>HÄRJEDALEN</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24964-2023</t>
        </is>
      </c>
      <c r="B632" s="1" t="n">
        <v>45085</v>
      </c>
      <c r="C632" s="1" t="n">
        <v>46166</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43316-2024</t>
        </is>
      </c>
      <c r="B633" s="1" t="n">
        <v>45568</v>
      </c>
      <c r="C633" s="1" t="n">
        <v>46166</v>
      </c>
      <c r="D633" t="inlineStr">
        <is>
          <t>JÄMTLANDS LÄN</t>
        </is>
      </c>
      <c r="E633" t="inlineStr">
        <is>
          <t>HÄRJEDALEN</t>
        </is>
      </c>
      <c r="F633" t="inlineStr">
        <is>
          <t>Bergvik skog väst AB</t>
        </is>
      </c>
      <c r="G633" t="n">
        <v>79.90000000000001</v>
      </c>
      <c r="H633" t="n">
        <v>0</v>
      </c>
      <c r="I633" t="n">
        <v>0</v>
      </c>
      <c r="J633" t="n">
        <v>0</v>
      </c>
      <c r="K633" t="n">
        <v>0</v>
      </c>
      <c r="L633" t="n">
        <v>0</v>
      </c>
      <c r="M633" t="n">
        <v>0</v>
      </c>
      <c r="N633" t="n">
        <v>0</v>
      </c>
      <c r="O633" t="n">
        <v>0</v>
      </c>
      <c r="P633" t="n">
        <v>0</v>
      </c>
      <c r="Q633" t="n">
        <v>0</v>
      </c>
      <c r="R633" s="2" t="inlineStr"/>
    </row>
    <row r="634" ht="15" customHeight="1">
      <c r="A634" t="inlineStr">
        <is>
          <t>A 48804-2025</t>
        </is>
      </c>
      <c r="B634" s="1" t="n">
        <v>45937.35050925926</v>
      </c>
      <c r="C634" s="1" t="n">
        <v>46166</v>
      </c>
      <c r="D634" t="inlineStr">
        <is>
          <t>JÄMTLANDS LÄN</t>
        </is>
      </c>
      <c r="E634" t="inlineStr">
        <is>
          <t>HÄRJEDALEN</t>
        </is>
      </c>
      <c r="G634" t="n">
        <v>2.7</v>
      </c>
      <c r="H634" t="n">
        <v>0</v>
      </c>
      <c r="I634" t="n">
        <v>0</v>
      </c>
      <c r="J634" t="n">
        <v>0</v>
      </c>
      <c r="K634" t="n">
        <v>0</v>
      </c>
      <c r="L634" t="n">
        <v>0</v>
      </c>
      <c r="M634" t="n">
        <v>0</v>
      </c>
      <c r="N634" t="n">
        <v>0</v>
      </c>
      <c r="O634" t="n">
        <v>0</v>
      </c>
      <c r="P634" t="n">
        <v>0</v>
      </c>
      <c r="Q634" t="n">
        <v>0</v>
      </c>
      <c r="R634" s="2" t="inlineStr"/>
    </row>
    <row r="635" ht="15" customHeight="1">
      <c r="A635" t="inlineStr">
        <is>
          <t>A 29602-2024</t>
        </is>
      </c>
      <c r="B635" s="1" t="n">
        <v>45484</v>
      </c>
      <c r="C635" s="1" t="n">
        <v>46166</v>
      </c>
      <c r="D635" t="inlineStr">
        <is>
          <t>JÄMTLANDS LÄN</t>
        </is>
      </c>
      <c r="E635" t="inlineStr">
        <is>
          <t>HÄRJEDALEN</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49537-2025</t>
        </is>
      </c>
      <c r="B636" s="1" t="n">
        <v>45939.42302083333</v>
      </c>
      <c r="C636" s="1" t="n">
        <v>46166</v>
      </c>
      <c r="D636" t="inlineStr">
        <is>
          <t>JÄMTLANDS LÄN</t>
        </is>
      </c>
      <c r="E636" t="inlineStr">
        <is>
          <t>HÄRJEDALEN</t>
        </is>
      </c>
      <c r="G636" t="n">
        <v>1.7</v>
      </c>
      <c r="H636" t="n">
        <v>0</v>
      </c>
      <c r="I636" t="n">
        <v>0</v>
      </c>
      <c r="J636" t="n">
        <v>0</v>
      </c>
      <c r="K636" t="n">
        <v>0</v>
      </c>
      <c r="L636" t="n">
        <v>0</v>
      </c>
      <c r="M636" t="n">
        <v>0</v>
      </c>
      <c r="N636" t="n">
        <v>0</v>
      </c>
      <c r="O636" t="n">
        <v>0</v>
      </c>
      <c r="P636" t="n">
        <v>0</v>
      </c>
      <c r="Q636" t="n">
        <v>0</v>
      </c>
      <c r="R636" s="2" t="inlineStr"/>
    </row>
    <row r="637" ht="15" customHeight="1">
      <c r="A637" t="inlineStr">
        <is>
          <t>A 48771-2025</t>
        </is>
      </c>
      <c r="B637" s="1" t="n">
        <v>45936.92728009259</v>
      </c>
      <c r="C637" s="1" t="n">
        <v>46166</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49716-2025</t>
        </is>
      </c>
      <c r="B638" s="1" t="n">
        <v>45939.73686342593</v>
      </c>
      <c r="C638" s="1" t="n">
        <v>46166</v>
      </c>
      <c r="D638" t="inlineStr">
        <is>
          <t>JÄMTLANDS LÄN</t>
        </is>
      </c>
      <c r="E638" t="inlineStr">
        <is>
          <t>HÄRJEDALEN</t>
        </is>
      </c>
      <c r="G638" t="n">
        <v>1.1</v>
      </c>
      <c r="H638" t="n">
        <v>0</v>
      </c>
      <c r="I638" t="n">
        <v>0</v>
      </c>
      <c r="J638" t="n">
        <v>0</v>
      </c>
      <c r="K638" t="n">
        <v>0</v>
      </c>
      <c r="L638" t="n">
        <v>0</v>
      </c>
      <c r="M638" t="n">
        <v>0</v>
      </c>
      <c r="N638" t="n">
        <v>0</v>
      </c>
      <c r="O638" t="n">
        <v>0</v>
      </c>
      <c r="P638" t="n">
        <v>0</v>
      </c>
      <c r="Q638" t="n">
        <v>0</v>
      </c>
      <c r="R638" s="2" t="inlineStr"/>
    </row>
    <row r="639" ht="15" customHeight="1">
      <c r="A639" t="inlineStr">
        <is>
          <t>A 49715-2025</t>
        </is>
      </c>
      <c r="B639" s="1" t="n">
        <v>45939.7344212963</v>
      </c>
      <c r="C639" s="1" t="n">
        <v>46166</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49717-2025</t>
        </is>
      </c>
      <c r="B640" s="1" t="n">
        <v>45939.74859953704</v>
      </c>
      <c r="C640" s="1" t="n">
        <v>46166</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10024-2025</t>
        </is>
      </c>
      <c r="B641" s="1" t="n">
        <v>45719.48778935185</v>
      </c>
      <c r="C641" s="1" t="n">
        <v>46166</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47244-2023</t>
        </is>
      </c>
      <c r="B642" s="1" t="n">
        <v>45202</v>
      </c>
      <c r="C642" s="1" t="n">
        <v>46166</v>
      </c>
      <c r="D642" t="inlineStr">
        <is>
          <t>JÄMTLANDS LÄN</t>
        </is>
      </c>
      <c r="E642" t="inlineStr">
        <is>
          <t>HÄRJEDALEN</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61140-2024</t>
        </is>
      </c>
      <c r="B643" s="1" t="n">
        <v>45644</v>
      </c>
      <c r="C643" s="1" t="n">
        <v>46166</v>
      </c>
      <c r="D643" t="inlineStr">
        <is>
          <t>JÄMTLANDS LÄN</t>
        </is>
      </c>
      <c r="E643" t="inlineStr">
        <is>
          <t>HÄRJEDALEN</t>
        </is>
      </c>
      <c r="G643" t="n">
        <v>29.7</v>
      </c>
      <c r="H643" t="n">
        <v>0</v>
      </c>
      <c r="I643" t="n">
        <v>0</v>
      </c>
      <c r="J643" t="n">
        <v>0</v>
      </c>
      <c r="K643" t="n">
        <v>0</v>
      </c>
      <c r="L643" t="n">
        <v>0</v>
      </c>
      <c r="M643" t="n">
        <v>0</v>
      </c>
      <c r="N643" t="n">
        <v>0</v>
      </c>
      <c r="O643" t="n">
        <v>0</v>
      </c>
      <c r="P643" t="n">
        <v>0</v>
      </c>
      <c r="Q643" t="n">
        <v>0</v>
      </c>
      <c r="R643" s="2" t="inlineStr"/>
    </row>
    <row r="644" ht="15" customHeight="1">
      <c r="A644" t="inlineStr">
        <is>
          <t>A 49325-2025</t>
        </is>
      </c>
      <c r="B644" s="1" t="n">
        <v>45938.57407407407</v>
      </c>
      <c r="C644" s="1" t="n">
        <v>46166</v>
      </c>
      <c r="D644" t="inlineStr">
        <is>
          <t>JÄMTLANDS LÄN</t>
        </is>
      </c>
      <c r="E644" t="inlineStr">
        <is>
          <t>HÄRJEDALEN</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43309-2024</t>
        </is>
      </c>
      <c r="B645" s="1" t="n">
        <v>45568</v>
      </c>
      <c r="C645" s="1" t="n">
        <v>46166</v>
      </c>
      <c r="D645" t="inlineStr">
        <is>
          <t>JÄMTLANDS LÄN</t>
        </is>
      </c>
      <c r="E645" t="inlineStr">
        <is>
          <t>HÄRJEDALEN</t>
        </is>
      </c>
      <c r="F645" t="inlineStr">
        <is>
          <t>Bergvik skog väst AB</t>
        </is>
      </c>
      <c r="G645" t="n">
        <v>79.8</v>
      </c>
      <c r="H645" t="n">
        <v>0</v>
      </c>
      <c r="I645" t="n">
        <v>0</v>
      </c>
      <c r="J645" t="n">
        <v>0</v>
      </c>
      <c r="K645" t="n">
        <v>0</v>
      </c>
      <c r="L645" t="n">
        <v>0</v>
      </c>
      <c r="M645" t="n">
        <v>0</v>
      </c>
      <c r="N645" t="n">
        <v>0</v>
      </c>
      <c r="O645" t="n">
        <v>0</v>
      </c>
      <c r="P645" t="n">
        <v>0</v>
      </c>
      <c r="Q645" t="n">
        <v>0</v>
      </c>
      <c r="R645" s="2" t="inlineStr"/>
    </row>
    <row r="646" ht="15" customHeight="1">
      <c r="A646" t="inlineStr">
        <is>
          <t>A 53010-2024</t>
        </is>
      </c>
      <c r="B646" s="1" t="n">
        <v>45611.4021875</v>
      </c>
      <c r="C646" s="1" t="n">
        <v>46166</v>
      </c>
      <c r="D646" t="inlineStr">
        <is>
          <t>JÄMTLANDS LÄN</t>
        </is>
      </c>
      <c r="E646" t="inlineStr">
        <is>
          <t>HÄRJEDALEN</t>
        </is>
      </c>
      <c r="G646" t="n">
        <v>4</v>
      </c>
      <c r="H646" t="n">
        <v>0</v>
      </c>
      <c r="I646" t="n">
        <v>0</v>
      </c>
      <c r="J646" t="n">
        <v>0</v>
      </c>
      <c r="K646" t="n">
        <v>0</v>
      </c>
      <c r="L646" t="n">
        <v>0</v>
      </c>
      <c r="M646" t="n">
        <v>0</v>
      </c>
      <c r="N646" t="n">
        <v>0</v>
      </c>
      <c r="O646" t="n">
        <v>0</v>
      </c>
      <c r="P646" t="n">
        <v>0</v>
      </c>
      <c r="Q646" t="n">
        <v>0</v>
      </c>
      <c r="R646" s="2" t="inlineStr"/>
    </row>
    <row r="647" ht="15" customHeight="1">
      <c r="A647" t="inlineStr">
        <is>
          <t>A 31778-2023</t>
        </is>
      </c>
      <c r="B647" s="1" t="n">
        <v>45118.3959375</v>
      </c>
      <c r="C647" s="1" t="n">
        <v>46166</v>
      </c>
      <c r="D647" t="inlineStr">
        <is>
          <t>JÄMTLANDS LÄN</t>
        </is>
      </c>
      <c r="E647" t="inlineStr">
        <is>
          <t>HÄRJEDALEN</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9780-2024</t>
        </is>
      </c>
      <c r="B648" s="1" t="n">
        <v>45362.65903935185</v>
      </c>
      <c r="C648" s="1" t="n">
        <v>46166</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49979-2025</t>
        </is>
      </c>
      <c r="B649" s="1" t="n">
        <v>45942.62457175926</v>
      </c>
      <c r="C649" s="1" t="n">
        <v>46166</v>
      </c>
      <c r="D649" t="inlineStr">
        <is>
          <t>JÄMTLANDS LÄN</t>
        </is>
      </c>
      <c r="E649" t="inlineStr">
        <is>
          <t>HÄRJEDALEN</t>
        </is>
      </c>
      <c r="F649" t="inlineStr">
        <is>
          <t>Kyrkan</t>
        </is>
      </c>
      <c r="G649" t="n">
        <v>2.4</v>
      </c>
      <c r="H649" t="n">
        <v>0</v>
      </c>
      <c r="I649" t="n">
        <v>0</v>
      </c>
      <c r="J649" t="n">
        <v>0</v>
      </c>
      <c r="K649" t="n">
        <v>0</v>
      </c>
      <c r="L649" t="n">
        <v>0</v>
      </c>
      <c r="M649" t="n">
        <v>0</v>
      </c>
      <c r="N649" t="n">
        <v>0</v>
      </c>
      <c r="O649" t="n">
        <v>0</v>
      </c>
      <c r="P649" t="n">
        <v>0</v>
      </c>
      <c r="Q649" t="n">
        <v>0</v>
      </c>
      <c r="R649" s="2" t="inlineStr"/>
    </row>
    <row r="650" ht="15" customHeight="1">
      <c r="A650" t="inlineStr">
        <is>
          <t>A 859-2022</t>
        </is>
      </c>
      <c r="B650" s="1" t="n">
        <v>44571</v>
      </c>
      <c r="C650" s="1" t="n">
        <v>46166</v>
      </c>
      <c r="D650" t="inlineStr">
        <is>
          <t>JÄMTLANDS LÄN</t>
        </is>
      </c>
      <c r="E650" t="inlineStr">
        <is>
          <t>HÄRJEDALEN</t>
        </is>
      </c>
      <c r="G650" t="n">
        <v>16.9</v>
      </c>
      <c r="H650" t="n">
        <v>0</v>
      </c>
      <c r="I650" t="n">
        <v>0</v>
      </c>
      <c r="J650" t="n">
        <v>0</v>
      </c>
      <c r="K650" t="n">
        <v>0</v>
      </c>
      <c r="L650" t="n">
        <v>0</v>
      </c>
      <c r="M650" t="n">
        <v>0</v>
      </c>
      <c r="N650" t="n">
        <v>0</v>
      </c>
      <c r="O650" t="n">
        <v>0</v>
      </c>
      <c r="P650" t="n">
        <v>0</v>
      </c>
      <c r="Q650" t="n">
        <v>0</v>
      </c>
      <c r="R650" s="2" t="inlineStr"/>
    </row>
    <row r="651" ht="15" customHeight="1">
      <c r="A651" t="inlineStr">
        <is>
          <t>A 50051-2025</t>
        </is>
      </c>
      <c r="B651" s="1" t="n">
        <v>45943.420625</v>
      </c>
      <c r="C651" s="1" t="n">
        <v>46166</v>
      </c>
      <c r="D651" t="inlineStr">
        <is>
          <t>JÄMTLANDS LÄN</t>
        </is>
      </c>
      <c r="E651" t="inlineStr">
        <is>
          <t>HÄRJEDALEN</t>
        </is>
      </c>
      <c r="G651" t="n">
        <v>1.1</v>
      </c>
      <c r="H651" t="n">
        <v>0</v>
      </c>
      <c r="I651" t="n">
        <v>0</v>
      </c>
      <c r="J651" t="n">
        <v>0</v>
      </c>
      <c r="K651" t="n">
        <v>0</v>
      </c>
      <c r="L651" t="n">
        <v>0</v>
      </c>
      <c r="M651" t="n">
        <v>0</v>
      </c>
      <c r="N651" t="n">
        <v>0</v>
      </c>
      <c r="O651" t="n">
        <v>0</v>
      </c>
      <c r="P651" t="n">
        <v>0</v>
      </c>
      <c r="Q651" t="n">
        <v>0</v>
      </c>
      <c r="R651" s="2" t="inlineStr"/>
    </row>
    <row r="652" ht="15" customHeight="1">
      <c r="A652" t="inlineStr">
        <is>
          <t>A 50464-2025</t>
        </is>
      </c>
      <c r="B652" s="1" t="n">
        <v>45945.34971064814</v>
      </c>
      <c r="C652" s="1" t="n">
        <v>46166</v>
      </c>
      <c r="D652" t="inlineStr">
        <is>
          <t>JÄMTLANDS LÄN</t>
        </is>
      </c>
      <c r="E652" t="inlineStr">
        <is>
          <t>HÄRJEDALEN</t>
        </is>
      </c>
      <c r="G652" t="n">
        <v>3.8</v>
      </c>
      <c r="H652" t="n">
        <v>0</v>
      </c>
      <c r="I652" t="n">
        <v>0</v>
      </c>
      <c r="J652" t="n">
        <v>0</v>
      </c>
      <c r="K652" t="n">
        <v>0</v>
      </c>
      <c r="L652" t="n">
        <v>0</v>
      </c>
      <c r="M652" t="n">
        <v>0</v>
      </c>
      <c r="N652" t="n">
        <v>0</v>
      </c>
      <c r="O652" t="n">
        <v>0</v>
      </c>
      <c r="P652" t="n">
        <v>0</v>
      </c>
      <c r="Q652" t="n">
        <v>0</v>
      </c>
      <c r="R652" s="2" t="inlineStr"/>
    </row>
    <row r="653" ht="15" customHeight="1">
      <c r="A653" t="inlineStr">
        <is>
          <t>A 50588-2025</t>
        </is>
      </c>
      <c r="B653" s="1" t="n">
        <v>45945.59920138889</v>
      </c>
      <c r="C653" s="1" t="n">
        <v>46166</v>
      </c>
      <c r="D653" t="inlineStr">
        <is>
          <t>JÄMTLANDS LÄN</t>
        </is>
      </c>
      <c r="E653" t="inlineStr">
        <is>
          <t>HÄRJEDALEN</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50631-2025</t>
        </is>
      </c>
      <c r="B654" s="1" t="n">
        <v>45945.64795138889</v>
      </c>
      <c r="C654" s="1" t="n">
        <v>46166</v>
      </c>
      <c r="D654" t="inlineStr">
        <is>
          <t>JÄMTLANDS LÄN</t>
        </is>
      </c>
      <c r="E654" t="inlineStr">
        <is>
          <t>HÄRJEDALEN</t>
        </is>
      </c>
      <c r="G654" t="n">
        <v>7.1</v>
      </c>
      <c r="H654" t="n">
        <v>0</v>
      </c>
      <c r="I654" t="n">
        <v>0</v>
      </c>
      <c r="J654" t="n">
        <v>0</v>
      </c>
      <c r="K654" t="n">
        <v>0</v>
      </c>
      <c r="L654" t="n">
        <v>0</v>
      </c>
      <c r="M654" t="n">
        <v>0</v>
      </c>
      <c r="N654" t="n">
        <v>0</v>
      </c>
      <c r="O654" t="n">
        <v>0</v>
      </c>
      <c r="P654" t="n">
        <v>0</v>
      </c>
      <c r="Q654" t="n">
        <v>0</v>
      </c>
      <c r="R654" s="2" t="inlineStr"/>
    </row>
    <row r="655" ht="15" customHeight="1">
      <c r="A655" t="inlineStr">
        <is>
          <t>A 50423-2025</t>
        </is>
      </c>
      <c r="B655" s="1" t="n">
        <v>45944.66243055555</v>
      </c>
      <c r="C655" s="1" t="n">
        <v>46166</v>
      </c>
      <c r="D655" t="inlineStr">
        <is>
          <t>JÄMTLANDS LÄN</t>
        </is>
      </c>
      <c r="E655" t="inlineStr">
        <is>
          <t>HÄRJEDALEN</t>
        </is>
      </c>
      <c r="G655" t="n">
        <v>6.9</v>
      </c>
      <c r="H655" t="n">
        <v>0</v>
      </c>
      <c r="I655" t="n">
        <v>0</v>
      </c>
      <c r="J655" t="n">
        <v>0</v>
      </c>
      <c r="K655" t="n">
        <v>0</v>
      </c>
      <c r="L655" t="n">
        <v>0</v>
      </c>
      <c r="M655" t="n">
        <v>0</v>
      </c>
      <c r="N655" t="n">
        <v>0</v>
      </c>
      <c r="O655" t="n">
        <v>0</v>
      </c>
      <c r="P655" t="n">
        <v>0</v>
      </c>
      <c r="Q655" t="n">
        <v>0</v>
      </c>
      <c r="R655" s="2" t="inlineStr"/>
    </row>
    <row r="656" ht="15" customHeight="1">
      <c r="A656" t="inlineStr">
        <is>
          <t>A 50424-2025</t>
        </is>
      </c>
      <c r="B656" s="1" t="n">
        <v>45944.66541666666</v>
      </c>
      <c r="C656" s="1" t="n">
        <v>46166</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50639-2025</t>
        </is>
      </c>
      <c r="B657" s="1" t="n">
        <v>45945.65363425926</v>
      </c>
      <c r="C657" s="1" t="n">
        <v>46166</v>
      </c>
      <c r="D657" t="inlineStr">
        <is>
          <t>JÄMTLANDS LÄN</t>
        </is>
      </c>
      <c r="E657" t="inlineStr">
        <is>
          <t>HÄRJEDALEN</t>
        </is>
      </c>
      <c r="G657" t="n">
        <v>5.3</v>
      </c>
      <c r="H657" t="n">
        <v>0</v>
      </c>
      <c r="I657" t="n">
        <v>0</v>
      </c>
      <c r="J657" t="n">
        <v>0</v>
      </c>
      <c r="K657" t="n">
        <v>0</v>
      </c>
      <c r="L657" t="n">
        <v>0</v>
      </c>
      <c r="M657" t="n">
        <v>0</v>
      </c>
      <c r="N657" t="n">
        <v>0</v>
      </c>
      <c r="O657" t="n">
        <v>0</v>
      </c>
      <c r="P657" t="n">
        <v>0</v>
      </c>
      <c r="Q657" t="n">
        <v>0</v>
      </c>
      <c r="R657" s="2" t="inlineStr"/>
    </row>
    <row r="658" ht="15" customHeight="1">
      <c r="A658" t="inlineStr">
        <is>
          <t>A 50803-2025</t>
        </is>
      </c>
      <c r="B658" s="1" t="n">
        <v>45946.49534722222</v>
      </c>
      <c r="C658" s="1" t="n">
        <v>46166</v>
      </c>
      <c r="D658" t="inlineStr">
        <is>
          <t>JÄMTLANDS LÄN</t>
        </is>
      </c>
      <c r="E658" t="inlineStr">
        <is>
          <t>HÄRJEDALEN</t>
        </is>
      </c>
      <c r="F658" t="inlineStr">
        <is>
          <t>Holmen skog AB</t>
        </is>
      </c>
      <c r="G658" t="n">
        <v>2.7</v>
      </c>
      <c r="H658" t="n">
        <v>0</v>
      </c>
      <c r="I658" t="n">
        <v>0</v>
      </c>
      <c r="J658" t="n">
        <v>0</v>
      </c>
      <c r="K658" t="n">
        <v>0</v>
      </c>
      <c r="L658" t="n">
        <v>0</v>
      </c>
      <c r="M658" t="n">
        <v>0</v>
      </c>
      <c r="N658" t="n">
        <v>0</v>
      </c>
      <c r="O658" t="n">
        <v>0</v>
      </c>
      <c r="P658" t="n">
        <v>0</v>
      </c>
      <c r="Q658" t="n">
        <v>0</v>
      </c>
      <c r="R658" s="2" t="inlineStr"/>
    </row>
    <row r="659" ht="15" customHeight="1">
      <c r="A659" t="inlineStr">
        <is>
          <t>A 50764-2025</t>
        </is>
      </c>
      <c r="B659" s="1" t="n">
        <v>45946.43961805556</v>
      </c>
      <c r="C659" s="1" t="n">
        <v>46166</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45195-2025</t>
        </is>
      </c>
      <c r="B660" s="1" t="n">
        <v>45919</v>
      </c>
      <c r="C660" s="1" t="n">
        <v>46166</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51016-2025</t>
        </is>
      </c>
      <c r="B661" s="1" t="n">
        <v>45947.3843287037</v>
      </c>
      <c r="C661" s="1" t="n">
        <v>46166</v>
      </c>
      <c r="D661" t="inlineStr">
        <is>
          <t>JÄMTLANDS LÄN</t>
        </is>
      </c>
      <c r="E661" t="inlineStr">
        <is>
          <t>HÄRJEDALEN</t>
        </is>
      </c>
      <c r="F661" t="inlineStr">
        <is>
          <t>Bergvik skog väst AB</t>
        </is>
      </c>
      <c r="G661" t="n">
        <v>19.1</v>
      </c>
      <c r="H661" t="n">
        <v>0</v>
      </c>
      <c r="I661" t="n">
        <v>0</v>
      </c>
      <c r="J661" t="n">
        <v>0</v>
      </c>
      <c r="K661" t="n">
        <v>0</v>
      </c>
      <c r="L661" t="n">
        <v>0</v>
      </c>
      <c r="M661" t="n">
        <v>0</v>
      </c>
      <c r="N661" t="n">
        <v>0</v>
      </c>
      <c r="O661" t="n">
        <v>0</v>
      </c>
      <c r="P661" t="n">
        <v>0</v>
      </c>
      <c r="Q661" t="n">
        <v>0</v>
      </c>
      <c r="R661" s="2" t="inlineStr"/>
    </row>
    <row r="662" ht="15" customHeight="1">
      <c r="A662" t="inlineStr">
        <is>
          <t>A 51082-2025</t>
        </is>
      </c>
      <c r="B662" s="1" t="n">
        <v>45947</v>
      </c>
      <c r="C662" s="1" t="n">
        <v>46166</v>
      </c>
      <c r="D662" t="inlineStr">
        <is>
          <t>JÄMTLANDS LÄN</t>
        </is>
      </c>
      <c r="E662" t="inlineStr">
        <is>
          <t>HÄRJEDALEN</t>
        </is>
      </c>
      <c r="F662" t="inlineStr">
        <is>
          <t>Bergvik skog väst AB</t>
        </is>
      </c>
      <c r="G662" t="n">
        <v>26.4</v>
      </c>
      <c r="H662" t="n">
        <v>0</v>
      </c>
      <c r="I662" t="n">
        <v>0</v>
      </c>
      <c r="J662" t="n">
        <v>0</v>
      </c>
      <c r="K662" t="n">
        <v>0</v>
      </c>
      <c r="L662" t="n">
        <v>0</v>
      </c>
      <c r="M662" t="n">
        <v>0</v>
      </c>
      <c r="N662" t="n">
        <v>0</v>
      </c>
      <c r="O662" t="n">
        <v>0</v>
      </c>
      <c r="P662" t="n">
        <v>0</v>
      </c>
      <c r="Q662" t="n">
        <v>0</v>
      </c>
      <c r="R662" s="2" t="inlineStr"/>
    </row>
    <row r="663" ht="15" customHeight="1">
      <c r="A663" t="inlineStr">
        <is>
          <t>A 3965-2025</t>
        </is>
      </c>
      <c r="B663" s="1" t="n">
        <v>45684.51006944444</v>
      </c>
      <c r="C663" s="1" t="n">
        <v>46166</v>
      </c>
      <c r="D663" t="inlineStr">
        <is>
          <t>JÄMTLANDS LÄN</t>
        </is>
      </c>
      <c r="E663" t="inlineStr">
        <is>
          <t>HÄRJEDALEN</t>
        </is>
      </c>
      <c r="G663" t="n">
        <v>1.3</v>
      </c>
      <c r="H663" t="n">
        <v>0</v>
      </c>
      <c r="I663" t="n">
        <v>0</v>
      </c>
      <c r="J663" t="n">
        <v>0</v>
      </c>
      <c r="K663" t="n">
        <v>0</v>
      </c>
      <c r="L663" t="n">
        <v>0</v>
      </c>
      <c r="M663" t="n">
        <v>0</v>
      </c>
      <c r="N663" t="n">
        <v>0</v>
      </c>
      <c r="O663" t="n">
        <v>0</v>
      </c>
      <c r="P663" t="n">
        <v>0</v>
      </c>
      <c r="Q663" t="n">
        <v>0</v>
      </c>
      <c r="R663" s="2" t="inlineStr"/>
    </row>
    <row r="664" ht="15" customHeight="1">
      <c r="A664" t="inlineStr">
        <is>
          <t>A 51270-2025</t>
        </is>
      </c>
      <c r="B664" s="1" t="n">
        <v>45949.84528935186</v>
      </c>
      <c r="C664" s="1" t="n">
        <v>46166</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51653-2025</t>
        </is>
      </c>
      <c r="B665" s="1" t="n">
        <v>45951.46152777778</v>
      </c>
      <c r="C665" s="1" t="n">
        <v>46166</v>
      </c>
      <c r="D665" t="inlineStr">
        <is>
          <t>JÄMTLANDS LÄN</t>
        </is>
      </c>
      <c r="E665" t="inlineStr">
        <is>
          <t>HÄRJEDALEN</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14631-2023</t>
        </is>
      </c>
      <c r="B666" s="1" t="n">
        <v>45012</v>
      </c>
      <c r="C666" s="1" t="n">
        <v>46166</v>
      </c>
      <c r="D666" t="inlineStr">
        <is>
          <t>JÄMTLANDS LÄN</t>
        </is>
      </c>
      <c r="E666" t="inlineStr">
        <is>
          <t>HÄRJEDALEN</t>
        </is>
      </c>
      <c r="F666" t="inlineStr">
        <is>
          <t>Bergvik skog väst AB</t>
        </is>
      </c>
      <c r="G666" t="n">
        <v>14.2</v>
      </c>
      <c r="H666" t="n">
        <v>0</v>
      </c>
      <c r="I666" t="n">
        <v>0</v>
      </c>
      <c r="J666" t="n">
        <v>0</v>
      </c>
      <c r="K666" t="n">
        <v>0</v>
      </c>
      <c r="L666" t="n">
        <v>0</v>
      </c>
      <c r="M666" t="n">
        <v>0</v>
      </c>
      <c r="N666" t="n">
        <v>0</v>
      </c>
      <c r="O666" t="n">
        <v>0</v>
      </c>
      <c r="P666" t="n">
        <v>0</v>
      </c>
      <c r="Q666" t="n">
        <v>0</v>
      </c>
      <c r="R666" s="2" t="inlineStr"/>
    </row>
    <row r="667" ht="15" customHeight="1">
      <c r="A667" t="inlineStr">
        <is>
          <t>A 59424-2023</t>
        </is>
      </c>
      <c r="B667" s="1" t="n">
        <v>45254</v>
      </c>
      <c r="C667" s="1" t="n">
        <v>46166</v>
      </c>
      <c r="D667" t="inlineStr">
        <is>
          <t>JÄMTLANDS LÄN</t>
        </is>
      </c>
      <c r="E667" t="inlineStr">
        <is>
          <t>HÄRJEDALEN</t>
        </is>
      </c>
      <c r="G667" t="n">
        <v>3.3</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44565.31975694445</v>
      </c>
      <c r="C668" s="1" t="n">
        <v>46166</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46166</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52015-2025</t>
        </is>
      </c>
      <c r="B670" s="1" t="n">
        <v>45952.59693287037</v>
      </c>
      <c r="C670" s="1" t="n">
        <v>46166</v>
      </c>
      <c r="D670" t="inlineStr">
        <is>
          <t>JÄMTLANDS LÄN</t>
        </is>
      </c>
      <c r="E670" t="inlineStr">
        <is>
          <t>HÄRJEDALEN</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9788-2024</t>
        </is>
      </c>
      <c r="B671" s="1" t="n">
        <v>45362.67789351852</v>
      </c>
      <c r="C671" s="1" t="n">
        <v>46166</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7636-2023</t>
        </is>
      </c>
      <c r="B672" s="1" t="n">
        <v>44972.57449074074</v>
      </c>
      <c r="C672" s="1" t="n">
        <v>46166</v>
      </c>
      <c r="D672" t="inlineStr">
        <is>
          <t>JÄMTLANDS LÄN</t>
        </is>
      </c>
      <c r="E672" t="inlineStr">
        <is>
          <t>HÄRJEDALEN</t>
        </is>
      </c>
      <c r="G672" t="n">
        <v>1.5</v>
      </c>
      <c r="H672" t="n">
        <v>0</v>
      </c>
      <c r="I672" t="n">
        <v>0</v>
      </c>
      <c r="J672" t="n">
        <v>0</v>
      </c>
      <c r="K672" t="n">
        <v>0</v>
      </c>
      <c r="L672" t="n">
        <v>0</v>
      </c>
      <c r="M672" t="n">
        <v>0</v>
      </c>
      <c r="N672" t="n">
        <v>0</v>
      </c>
      <c r="O672" t="n">
        <v>0</v>
      </c>
      <c r="P672" t="n">
        <v>0</v>
      </c>
      <c r="Q672" t="n">
        <v>0</v>
      </c>
      <c r="R672" s="2" t="inlineStr"/>
    </row>
    <row r="673" ht="15" customHeight="1">
      <c r="A673" t="inlineStr">
        <is>
          <t>A 38709-2025</t>
        </is>
      </c>
      <c r="B673" s="1" t="n">
        <v>45885</v>
      </c>
      <c r="C673" s="1" t="n">
        <v>46166</v>
      </c>
      <c r="D673" t="inlineStr">
        <is>
          <t>JÄMTLANDS LÄN</t>
        </is>
      </c>
      <c r="E673" t="inlineStr">
        <is>
          <t>HÄRJEDALEN</t>
        </is>
      </c>
      <c r="G673" t="n">
        <v>70</v>
      </c>
      <c r="H673" t="n">
        <v>0</v>
      </c>
      <c r="I673" t="n">
        <v>0</v>
      </c>
      <c r="J673" t="n">
        <v>0</v>
      </c>
      <c r="K673" t="n">
        <v>0</v>
      </c>
      <c r="L673" t="n">
        <v>0</v>
      </c>
      <c r="M673" t="n">
        <v>0</v>
      </c>
      <c r="N673" t="n">
        <v>0</v>
      </c>
      <c r="O673" t="n">
        <v>0</v>
      </c>
      <c r="P673" t="n">
        <v>0</v>
      </c>
      <c r="Q673" t="n">
        <v>0</v>
      </c>
      <c r="R673" s="2" t="inlineStr"/>
    </row>
    <row r="674" ht="15" customHeight="1">
      <c r="A674" t="inlineStr">
        <is>
          <t>A 1515-2025</t>
        </is>
      </c>
      <c r="B674" s="1" t="n">
        <v>45670.4570949074</v>
      </c>
      <c r="C674" s="1" t="n">
        <v>46166</v>
      </c>
      <c r="D674" t="inlineStr">
        <is>
          <t>JÄMTLANDS LÄN</t>
        </is>
      </c>
      <c r="E674" t="inlineStr">
        <is>
          <t>HÄRJEDALEN</t>
        </is>
      </c>
      <c r="F674" t="inlineStr">
        <is>
          <t>Bergvik skog väst AB</t>
        </is>
      </c>
      <c r="G674" t="n">
        <v>1</v>
      </c>
      <c r="H674" t="n">
        <v>0</v>
      </c>
      <c r="I674" t="n">
        <v>0</v>
      </c>
      <c r="J674" t="n">
        <v>0</v>
      </c>
      <c r="K674" t="n">
        <v>0</v>
      </c>
      <c r="L674" t="n">
        <v>0</v>
      </c>
      <c r="M674" t="n">
        <v>0</v>
      </c>
      <c r="N674" t="n">
        <v>0</v>
      </c>
      <c r="O674" t="n">
        <v>0</v>
      </c>
      <c r="P674" t="n">
        <v>0</v>
      </c>
      <c r="Q674" t="n">
        <v>0</v>
      </c>
      <c r="R674" s="2" t="inlineStr"/>
    </row>
    <row r="675" ht="15" customHeight="1">
      <c r="A675" t="inlineStr">
        <is>
          <t>A 64909-2023</t>
        </is>
      </c>
      <c r="B675" s="1" t="n">
        <v>45282.64012731481</v>
      </c>
      <c r="C675" s="1" t="n">
        <v>46166</v>
      </c>
      <c r="D675" t="inlineStr">
        <is>
          <t>JÄMTLANDS LÄN</t>
        </is>
      </c>
      <c r="E675" t="inlineStr">
        <is>
          <t>HÄRJEDALEN</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52230-2025</t>
        </is>
      </c>
      <c r="B676" s="1" t="n">
        <v>45953</v>
      </c>
      <c r="C676" s="1" t="n">
        <v>46166</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52520-2025</t>
        </is>
      </c>
      <c r="B677" s="1" t="n">
        <v>45954.51769675926</v>
      </c>
      <c r="C677" s="1" t="n">
        <v>46166</v>
      </c>
      <c r="D677" t="inlineStr">
        <is>
          <t>JÄMTLANDS LÄN</t>
        </is>
      </c>
      <c r="E677" t="inlineStr">
        <is>
          <t>HÄRJEDALEN</t>
        </is>
      </c>
      <c r="G677" t="n">
        <v>3.7</v>
      </c>
      <c r="H677" t="n">
        <v>0</v>
      </c>
      <c r="I677" t="n">
        <v>0</v>
      </c>
      <c r="J677" t="n">
        <v>0</v>
      </c>
      <c r="K677" t="n">
        <v>0</v>
      </c>
      <c r="L677" t="n">
        <v>0</v>
      </c>
      <c r="M677" t="n">
        <v>0</v>
      </c>
      <c r="N677" t="n">
        <v>0</v>
      </c>
      <c r="O677" t="n">
        <v>0</v>
      </c>
      <c r="P677" t="n">
        <v>0</v>
      </c>
      <c r="Q677" t="n">
        <v>0</v>
      </c>
      <c r="R677" s="2" t="inlineStr"/>
    </row>
    <row r="678" ht="15" customHeight="1">
      <c r="A678" t="inlineStr">
        <is>
          <t>A 45409-2021</t>
        </is>
      </c>
      <c r="B678" s="1" t="n">
        <v>44440</v>
      </c>
      <c r="C678" s="1" t="n">
        <v>46166</v>
      </c>
      <c r="D678" t="inlineStr">
        <is>
          <t>JÄMTLANDS LÄN</t>
        </is>
      </c>
      <c r="E678" t="inlineStr">
        <is>
          <t>HÄRJEDALEN</t>
        </is>
      </c>
      <c r="G678" t="n">
        <v>18.9</v>
      </c>
      <c r="H678" t="n">
        <v>0</v>
      </c>
      <c r="I678" t="n">
        <v>0</v>
      </c>
      <c r="J678" t="n">
        <v>0</v>
      </c>
      <c r="K678" t="n">
        <v>0</v>
      </c>
      <c r="L678" t="n">
        <v>0</v>
      </c>
      <c r="M678" t="n">
        <v>0</v>
      </c>
      <c r="N678" t="n">
        <v>0</v>
      </c>
      <c r="O678" t="n">
        <v>0</v>
      </c>
      <c r="P678" t="n">
        <v>0</v>
      </c>
      <c r="Q678" t="n">
        <v>0</v>
      </c>
      <c r="R678" s="2" t="inlineStr"/>
    </row>
    <row r="679" ht="15" customHeight="1">
      <c r="A679" t="inlineStr">
        <is>
          <t>A 10959-2022</t>
        </is>
      </c>
      <c r="B679" s="1" t="n">
        <v>44628.36402777778</v>
      </c>
      <c r="C679" s="1" t="n">
        <v>46166</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46166</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53268-2025</t>
        </is>
      </c>
      <c r="B681" s="1" t="n">
        <v>45958.69850694444</v>
      </c>
      <c r="C681" s="1" t="n">
        <v>46166</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11818-2023</t>
        </is>
      </c>
      <c r="B682" s="1" t="n">
        <v>44994</v>
      </c>
      <c r="C682" s="1" t="n">
        <v>46166</v>
      </c>
      <c r="D682" t="inlineStr">
        <is>
          <t>JÄMTLANDS LÄN</t>
        </is>
      </c>
      <c r="E682" t="inlineStr">
        <is>
          <t>HÄRJEDALEN</t>
        </is>
      </c>
      <c r="G682" t="n">
        <v>8.9</v>
      </c>
      <c r="H682" t="n">
        <v>0</v>
      </c>
      <c r="I682" t="n">
        <v>0</v>
      </c>
      <c r="J682" t="n">
        <v>0</v>
      </c>
      <c r="K682" t="n">
        <v>0</v>
      </c>
      <c r="L682" t="n">
        <v>0</v>
      </c>
      <c r="M682" t="n">
        <v>0</v>
      </c>
      <c r="N682" t="n">
        <v>0</v>
      </c>
      <c r="O682" t="n">
        <v>0</v>
      </c>
      <c r="P682" t="n">
        <v>0</v>
      </c>
      <c r="Q682" t="n">
        <v>0</v>
      </c>
      <c r="R682" s="2" t="inlineStr"/>
    </row>
    <row r="683" ht="15" customHeight="1">
      <c r="A683" t="inlineStr">
        <is>
          <t>A 53175-2025</t>
        </is>
      </c>
      <c r="B683" s="1" t="n">
        <v>45958.52390046296</v>
      </c>
      <c r="C683" s="1" t="n">
        <v>46166</v>
      </c>
      <c r="D683" t="inlineStr">
        <is>
          <t>JÄMTLANDS LÄN</t>
        </is>
      </c>
      <c r="E683" t="inlineStr">
        <is>
          <t>HÄRJEDALEN</t>
        </is>
      </c>
      <c r="G683" t="n">
        <v>16.8</v>
      </c>
      <c r="H683" t="n">
        <v>0</v>
      </c>
      <c r="I683" t="n">
        <v>0</v>
      </c>
      <c r="J683" t="n">
        <v>0</v>
      </c>
      <c r="K683" t="n">
        <v>0</v>
      </c>
      <c r="L683" t="n">
        <v>0</v>
      </c>
      <c r="M683" t="n">
        <v>0</v>
      </c>
      <c r="N683" t="n">
        <v>0</v>
      </c>
      <c r="O683" t="n">
        <v>0</v>
      </c>
      <c r="P683" t="n">
        <v>0</v>
      </c>
      <c r="Q683" t="n">
        <v>0</v>
      </c>
      <c r="R683" s="2" t="inlineStr"/>
    </row>
    <row r="684" ht="15" customHeight="1">
      <c r="A684" t="inlineStr">
        <is>
          <t>A 53256-2025</t>
        </is>
      </c>
      <c r="B684" s="1" t="n">
        <v>45958.6740625</v>
      </c>
      <c r="C684" s="1" t="n">
        <v>46166</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53253-2025</t>
        </is>
      </c>
      <c r="B685" s="1" t="n">
        <v>45958.66732638889</v>
      </c>
      <c r="C685" s="1" t="n">
        <v>46166</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8136-2024</t>
        </is>
      </c>
      <c r="B686" s="1" t="n">
        <v>45351</v>
      </c>
      <c r="C686" s="1" t="n">
        <v>46166</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39453-2021</t>
        </is>
      </c>
      <c r="B687" s="1" t="n">
        <v>44414.58354166667</v>
      </c>
      <c r="C687" s="1" t="n">
        <v>46166</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53432-2023</t>
        </is>
      </c>
      <c r="B688" s="1" t="n">
        <v>45229.92739583334</v>
      </c>
      <c r="C688" s="1" t="n">
        <v>46166</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53265-2025</t>
        </is>
      </c>
      <c r="B689" s="1" t="n">
        <v>45958.6809375</v>
      </c>
      <c r="C689" s="1" t="n">
        <v>46166</v>
      </c>
      <c r="D689" t="inlineStr">
        <is>
          <t>JÄMTLANDS LÄN</t>
        </is>
      </c>
      <c r="E689" t="inlineStr">
        <is>
          <t>HÄRJEDALEN</t>
        </is>
      </c>
      <c r="G689" t="n">
        <v>2.4</v>
      </c>
      <c r="H689" t="n">
        <v>0</v>
      </c>
      <c r="I689" t="n">
        <v>0</v>
      </c>
      <c r="J689" t="n">
        <v>0</v>
      </c>
      <c r="K689" t="n">
        <v>0</v>
      </c>
      <c r="L689" t="n">
        <v>0</v>
      </c>
      <c r="M689" t="n">
        <v>0</v>
      </c>
      <c r="N689" t="n">
        <v>0</v>
      </c>
      <c r="O689" t="n">
        <v>0</v>
      </c>
      <c r="P689" t="n">
        <v>0</v>
      </c>
      <c r="Q689" t="n">
        <v>0</v>
      </c>
      <c r="R689" s="2" t="inlineStr"/>
    </row>
    <row r="690" ht="15" customHeight="1">
      <c r="A690" t="inlineStr">
        <is>
          <t>A 53267-2025</t>
        </is>
      </c>
      <c r="B690" s="1" t="n">
        <v>45958.69079861111</v>
      </c>
      <c r="C690" s="1" t="n">
        <v>46166</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53260-2025</t>
        </is>
      </c>
      <c r="B691" s="1" t="n">
        <v>45958.67776620371</v>
      </c>
      <c r="C691" s="1" t="n">
        <v>46166</v>
      </c>
      <c r="D691" t="inlineStr">
        <is>
          <t>JÄMTLANDS LÄN</t>
        </is>
      </c>
      <c r="E691" t="inlineStr">
        <is>
          <t>HÄRJEDALEN</t>
        </is>
      </c>
      <c r="G691" t="n">
        <v>3.3</v>
      </c>
      <c r="H691" t="n">
        <v>0</v>
      </c>
      <c r="I691" t="n">
        <v>0</v>
      </c>
      <c r="J691" t="n">
        <v>0</v>
      </c>
      <c r="K691" t="n">
        <v>0</v>
      </c>
      <c r="L691" t="n">
        <v>0</v>
      </c>
      <c r="M691" t="n">
        <v>0</v>
      </c>
      <c r="N691" t="n">
        <v>0</v>
      </c>
      <c r="O691" t="n">
        <v>0</v>
      </c>
      <c r="P691" t="n">
        <v>0</v>
      </c>
      <c r="Q691" t="n">
        <v>0</v>
      </c>
      <c r="R691" s="2" t="inlineStr"/>
    </row>
    <row r="692" ht="15" customHeight="1">
      <c r="A692" t="inlineStr">
        <is>
          <t>A 51931-2025</t>
        </is>
      </c>
      <c r="B692" s="1" t="n">
        <v>45952</v>
      </c>
      <c r="C692" s="1" t="n">
        <v>46166</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53613-2025</t>
        </is>
      </c>
      <c r="B693" s="1" t="n">
        <v>45960.47413194444</v>
      </c>
      <c r="C693" s="1" t="n">
        <v>46166</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53992-2025</t>
        </is>
      </c>
      <c r="B694" s="1" t="n">
        <v>45961.58226851852</v>
      </c>
      <c r="C694" s="1" t="n">
        <v>46166</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53631-2025</t>
        </is>
      </c>
      <c r="B695" s="1" t="n">
        <v>45960.49898148148</v>
      </c>
      <c r="C695" s="1" t="n">
        <v>46166</v>
      </c>
      <c r="D695" t="inlineStr">
        <is>
          <t>JÄMTLANDS LÄN</t>
        </is>
      </c>
      <c r="E695" t="inlineStr">
        <is>
          <t>HÄRJEDALEN</t>
        </is>
      </c>
      <c r="F695" t="inlineStr">
        <is>
          <t>Bergvik skog väst AB</t>
        </is>
      </c>
      <c r="G695" t="n">
        <v>10</v>
      </c>
      <c r="H695" t="n">
        <v>0</v>
      </c>
      <c r="I695" t="n">
        <v>0</v>
      </c>
      <c r="J695" t="n">
        <v>0</v>
      </c>
      <c r="K695" t="n">
        <v>0</v>
      </c>
      <c r="L695" t="n">
        <v>0</v>
      </c>
      <c r="M695" t="n">
        <v>0</v>
      </c>
      <c r="N695" t="n">
        <v>0</v>
      </c>
      <c r="O695" t="n">
        <v>0</v>
      </c>
      <c r="P695" t="n">
        <v>0</v>
      </c>
      <c r="Q695" t="n">
        <v>0</v>
      </c>
      <c r="R695" s="2" t="inlineStr"/>
    </row>
    <row r="696" ht="15" customHeight="1">
      <c r="A696" t="inlineStr">
        <is>
          <t>A 53980-2025</t>
        </is>
      </c>
      <c r="B696" s="1" t="n">
        <v>45961.56611111111</v>
      </c>
      <c r="C696" s="1" t="n">
        <v>46166</v>
      </c>
      <c r="D696" t="inlineStr">
        <is>
          <t>JÄMTLANDS LÄN</t>
        </is>
      </c>
      <c r="E696" t="inlineStr">
        <is>
          <t>HÄRJEDALEN</t>
        </is>
      </c>
      <c r="G696" t="n">
        <v>2.3</v>
      </c>
      <c r="H696" t="n">
        <v>0</v>
      </c>
      <c r="I696" t="n">
        <v>0</v>
      </c>
      <c r="J696" t="n">
        <v>0</v>
      </c>
      <c r="K696" t="n">
        <v>0</v>
      </c>
      <c r="L696" t="n">
        <v>0</v>
      </c>
      <c r="M696" t="n">
        <v>0</v>
      </c>
      <c r="N696" t="n">
        <v>0</v>
      </c>
      <c r="O696" t="n">
        <v>0</v>
      </c>
      <c r="P696" t="n">
        <v>0</v>
      </c>
      <c r="Q696" t="n">
        <v>0</v>
      </c>
      <c r="R696" s="2" t="inlineStr"/>
    </row>
    <row r="697" ht="15" customHeight="1">
      <c r="A697" t="inlineStr">
        <is>
          <t>A 48669-2023</t>
        </is>
      </c>
      <c r="B697" s="1" t="n">
        <v>45203</v>
      </c>
      <c r="C697" s="1" t="n">
        <v>46166</v>
      </c>
      <c r="D697" t="inlineStr">
        <is>
          <t>JÄMTLANDS LÄN</t>
        </is>
      </c>
      <c r="E697" t="inlineStr">
        <is>
          <t>HÄRJEDALEN</t>
        </is>
      </c>
      <c r="G697" t="n">
        <v>4</v>
      </c>
      <c r="H697" t="n">
        <v>0</v>
      </c>
      <c r="I697" t="n">
        <v>0</v>
      </c>
      <c r="J697" t="n">
        <v>0</v>
      </c>
      <c r="K697" t="n">
        <v>0</v>
      </c>
      <c r="L697" t="n">
        <v>0</v>
      </c>
      <c r="M697" t="n">
        <v>0</v>
      </c>
      <c r="N697" t="n">
        <v>0</v>
      </c>
      <c r="O697" t="n">
        <v>0</v>
      </c>
      <c r="P697" t="n">
        <v>0</v>
      </c>
      <c r="Q697" t="n">
        <v>0</v>
      </c>
      <c r="R697" s="2" t="inlineStr"/>
    </row>
    <row r="698" ht="15" customHeight="1">
      <c r="A698" t="inlineStr">
        <is>
          <t>A 56251-2024</t>
        </is>
      </c>
      <c r="B698" s="1" t="n">
        <v>45624.63614583333</v>
      </c>
      <c r="C698" s="1" t="n">
        <v>46166</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53523-2025</t>
        </is>
      </c>
      <c r="B699" s="1" t="n">
        <v>45960.36037037037</v>
      </c>
      <c r="C699" s="1" t="n">
        <v>46166</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41146-2021</t>
        </is>
      </c>
      <c r="B700" s="1" t="n">
        <v>44423</v>
      </c>
      <c r="C700" s="1" t="n">
        <v>46166</v>
      </c>
      <c r="D700" t="inlineStr">
        <is>
          <t>JÄMTLANDS LÄN</t>
        </is>
      </c>
      <c r="E700" t="inlineStr">
        <is>
          <t>HÄRJEDALEN</t>
        </is>
      </c>
      <c r="G700" t="n">
        <v>14.9</v>
      </c>
      <c r="H700" t="n">
        <v>0</v>
      </c>
      <c r="I700" t="n">
        <v>0</v>
      </c>
      <c r="J700" t="n">
        <v>0</v>
      </c>
      <c r="K700" t="n">
        <v>0</v>
      </c>
      <c r="L700" t="n">
        <v>0</v>
      </c>
      <c r="M700" t="n">
        <v>0</v>
      </c>
      <c r="N700" t="n">
        <v>0</v>
      </c>
      <c r="O700" t="n">
        <v>0</v>
      </c>
      <c r="P700" t="n">
        <v>0</v>
      </c>
      <c r="Q700" t="n">
        <v>0</v>
      </c>
      <c r="R700" s="2" t="inlineStr"/>
    </row>
    <row r="701" ht="15" customHeight="1">
      <c r="A701" t="inlineStr">
        <is>
          <t>A 41146-2021</t>
        </is>
      </c>
      <c r="B701" s="1" t="n">
        <v>44423</v>
      </c>
      <c r="C701" s="1" t="n">
        <v>46166</v>
      </c>
      <c r="D701" t="inlineStr">
        <is>
          <t>JÄMTLANDS LÄN</t>
        </is>
      </c>
      <c r="E701" t="inlineStr">
        <is>
          <t>HÄRJEDALEN</t>
        </is>
      </c>
      <c r="G701" t="n">
        <v>14.9</v>
      </c>
      <c r="H701" t="n">
        <v>0</v>
      </c>
      <c r="I701" t="n">
        <v>0</v>
      </c>
      <c r="J701" t="n">
        <v>0</v>
      </c>
      <c r="K701" t="n">
        <v>0</v>
      </c>
      <c r="L701" t="n">
        <v>0</v>
      </c>
      <c r="M701" t="n">
        <v>0</v>
      </c>
      <c r="N701" t="n">
        <v>0</v>
      </c>
      <c r="O701" t="n">
        <v>0</v>
      </c>
      <c r="P701" t="n">
        <v>0</v>
      </c>
      <c r="Q701" t="n">
        <v>0</v>
      </c>
      <c r="R701" s="2" t="inlineStr"/>
    </row>
    <row r="702" ht="15" customHeight="1">
      <c r="A702" t="inlineStr">
        <is>
          <t>A 18620-2023</t>
        </is>
      </c>
      <c r="B702" s="1" t="n">
        <v>45041</v>
      </c>
      <c r="C702" s="1" t="n">
        <v>46166</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54661-2022</t>
        </is>
      </c>
      <c r="B703" s="1" t="n">
        <v>44883</v>
      </c>
      <c r="C703" s="1" t="n">
        <v>46166</v>
      </c>
      <c r="D703" t="inlineStr">
        <is>
          <t>JÄMTLANDS LÄN</t>
        </is>
      </c>
      <c r="E703" t="inlineStr">
        <is>
          <t>HÄRJEDALEN</t>
        </is>
      </c>
      <c r="G703" t="n">
        <v>5.9</v>
      </c>
      <c r="H703" t="n">
        <v>0</v>
      </c>
      <c r="I703" t="n">
        <v>0</v>
      </c>
      <c r="J703" t="n">
        <v>0</v>
      </c>
      <c r="K703" t="n">
        <v>0</v>
      </c>
      <c r="L703" t="n">
        <v>0</v>
      </c>
      <c r="M703" t="n">
        <v>0</v>
      </c>
      <c r="N703" t="n">
        <v>0</v>
      </c>
      <c r="O703" t="n">
        <v>0</v>
      </c>
      <c r="P703" t="n">
        <v>0</v>
      </c>
      <c r="Q703" t="n">
        <v>0</v>
      </c>
      <c r="R703" s="2" t="inlineStr"/>
    </row>
    <row r="704" ht="15" customHeight="1">
      <c r="A704" t="inlineStr">
        <is>
          <t>A 54476-2025</t>
        </is>
      </c>
      <c r="B704" s="1" t="n">
        <v>45965.57791666667</v>
      </c>
      <c r="C704" s="1" t="n">
        <v>46166</v>
      </c>
      <c r="D704" t="inlineStr">
        <is>
          <t>JÄMTLANDS LÄN</t>
        </is>
      </c>
      <c r="E704" t="inlineStr">
        <is>
          <t>HÄRJEDALEN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54354-2025</t>
        </is>
      </c>
      <c r="B705" s="1" t="n">
        <v>45965.37909722222</v>
      </c>
      <c r="C705" s="1" t="n">
        <v>46166</v>
      </c>
      <c r="D705" t="inlineStr">
        <is>
          <t>JÄMTLANDS LÄN</t>
        </is>
      </c>
      <c r="E705" t="inlineStr">
        <is>
          <t>HÄRJEDALEN</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31791-2024</t>
        </is>
      </c>
      <c r="B706" s="1" t="n">
        <v>45509</v>
      </c>
      <c r="C706" s="1" t="n">
        <v>46166</v>
      </c>
      <c r="D706" t="inlineStr">
        <is>
          <t>JÄMTLANDS LÄN</t>
        </is>
      </c>
      <c r="E706" t="inlineStr">
        <is>
          <t>HÄRJEDALEN</t>
        </is>
      </c>
      <c r="F706" t="inlineStr">
        <is>
          <t>Övriga statliga verk och myndigheter</t>
        </is>
      </c>
      <c r="G706" t="n">
        <v>32</v>
      </c>
      <c r="H706" t="n">
        <v>0</v>
      </c>
      <c r="I706" t="n">
        <v>0</v>
      </c>
      <c r="J706" t="n">
        <v>0</v>
      </c>
      <c r="K706" t="n">
        <v>0</v>
      </c>
      <c r="L706" t="n">
        <v>0</v>
      </c>
      <c r="M706" t="n">
        <v>0</v>
      </c>
      <c r="N706" t="n">
        <v>0</v>
      </c>
      <c r="O706" t="n">
        <v>0</v>
      </c>
      <c r="P706" t="n">
        <v>0</v>
      </c>
      <c r="Q706" t="n">
        <v>0</v>
      </c>
      <c r="R706" s="2" t="inlineStr"/>
    </row>
    <row r="707" ht="15" customHeight="1">
      <c r="A707" t="inlineStr">
        <is>
          <t>A 35076-2025</t>
        </is>
      </c>
      <c r="B707" s="1" t="n">
        <v>45852.48290509259</v>
      </c>
      <c r="C707" s="1" t="n">
        <v>46166</v>
      </c>
      <c r="D707" t="inlineStr">
        <is>
          <t>JÄMTLANDS LÄN</t>
        </is>
      </c>
      <c r="E707" t="inlineStr">
        <is>
          <t>HÄRJEDALEN</t>
        </is>
      </c>
      <c r="G707" t="n">
        <v>2.9</v>
      </c>
      <c r="H707" t="n">
        <v>0</v>
      </c>
      <c r="I707" t="n">
        <v>0</v>
      </c>
      <c r="J707" t="n">
        <v>0</v>
      </c>
      <c r="K707" t="n">
        <v>0</v>
      </c>
      <c r="L707" t="n">
        <v>0</v>
      </c>
      <c r="M707" t="n">
        <v>0</v>
      </c>
      <c r="N707" t="n">
        <v>0</v>
      </c>
      <c r="O707" t="n">
        <v>0</v>
      </c>
      <c r="P707" t="n">
        <v>0</v>
      </c>
      <c r="Q707" t="n">
        <v>0</v>
      </c>
      <c r="R707" s="2" t="inlineStr"/>
    </row>
    <row r="708" ht="15" customHeight="1">
      <c r="A708" t="inlineStr">
        <is>
          <t>A 4642-2025</t>
        </is>
      </c>
      <c r="B708" s="1" t="n">
        <v>45687.65449074074</v>
      </c>
      <c r="C708" s="1" t="n">
        <v>46166</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21796-2022</t>
        </is>
      </c>
      <c r="B709" s="1" t="n">
        <v>44708</v>
      </c>
      <c r="C709" s="1" t="n">
        <v>46166</v>
      </c>
      <c r="D709" t="inlineStr">
        <is>
          <t>JÄMTLANDS LÄN</t>
        </is>
      </c>
      <c r="E709" t="inlineStr">
        <is>
          <t>HÄRJEDALEN</t>
        </is>
      </c>
      <c r="F709" t="inlineStr">
        <is>
          <t>Holmen skog AB</t>
        </is>
      </c>
      <c r="G709" t="n">
        <v>22.3</v>
      </c>
      <c r="H709" t="n">
        <v>0</v>
      </c>
      <c r="I709" t="n">
        <v>0</v>
      </c>
      <c r="J709" t="n">
        <v>0</v>
      </c>
      <c r="K709" t="n">
        <v>0</v>
      </c>
      <c r="L709" t="n">
        <v>0</v>
      </c>
      <c r="M709" t="n">
        <v>0</v>
      </c>
      <c r="N709" t="n">
        <v>0</v>
      </c>
      <c r="O709" t="n">
        <v>0</v>
      </c>
      <c r="P709" t="n">
        <v>0</v>
      </c>
      <c r="Q709" t="n">
        <v>0</v>
      </c>
      <c r="R709" s="2" t="inlineStr"/>
    </row>
    <row r="710" ht="15" customHeight="1">
      <c r="A710" t="inlineStr">
        <is>
          <t>A 34181-2025</t>
        </is>
      </c>
      <c r="B710" s="1" t="n">
        <v>45845</v>
      </c>
      <c r="C710" s="1" t="n">
        <v>46166</v>
      </c>
      <c r="D710" t="inlineStr">
        <is>
          <t>JÄMTLANDS LÄN</t>
        </is>
      </c>
      <c r="E710" t="inlineStr">
        <is>
          <t>HÄRJEDALEN</t>
        </is>
      </c>
      <c r="G710" t="n">
        <v>2.8</v>
      </c>
      <c r="H710" t="n">
        <v>0</v>
      </c>
      <c r="I710" t="n">
        <v>0</v>
      </c>
      <c r="J710" t="n">
        <v>0</v>
      </c>
      <c r="K710" t="n">
        <v>0</v>
      </c>
      <c r="L710" t="n">
        <v>0</v>
      </c>
      <c r="M710" t="n">
        <v>0</v>
      </c>
      <c r="N710" t="n">
        <v>0</v>
      </c>
      <c r="O710" t="n">
        <v>0</v>
      </c>
      <c r="P710" t="n">
        <v>0</v>
      </c>
      <c r="Q710" t="n">
        <v>0</v>
      </c>
      <c r="R710" s="2" t="inlineStr"/>
    </row>
    <row r="711" ht="15" customHeight="1">
      <c r="A711" t="inlineStr">
        <is>
          <t>A 54358-2025</t>
        </is>
      </c>
      <c r="B711" s="1" t="n">
        <v>45965.38599537037</v>
      </c>
      <c r="C711" s="1" t="n">
        <v>46166</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6001-2023</t>
        </is>
      </c>
      <c r="B712" s="1" t="n">
        <v>44964</v>
      </c>
      <c r="C712" s="1" t="n">
        <v>46166</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45965.35207175926</v>
      </c>
      <c r="C713" s="1" t="n">
        <v>46166</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54764-2025</t>
        </is>
      </c>
      <c r="B714" s="1" t="n">
        <v>45966.60278935185</v>
      </c>
      <c r="C714" s="1" t="n">
        <v>46166</v>
      </c>
      <c r="D714" t="inlineStr">
        <is>
          <t>JÄMTLANDS LÄN</t>
        </is>
      </c>
      <c r="E714" t="inlineStr">
        <is>
          <t>HÄRJEDALEN</t>
        </is>
      </c>
      <c r="F714" t="inlineStr">
        <is>
          <t>Bergvik skog väst AB</t>
        </is>
      </c>
      <c r="G714" t="n">
        <v>6.9</v>
      </c>
      <c r="H714" t="n">
        <v>0</v>
      </c>
      <c r="I714" t="n">
        <v>0</v>
      </c>
      <c r="J714" t="n">
        <v>0</v>
      </c>
      <c r="K714" t="n">
        <v>0</v>
      </c>
      <c r="L714" t="n">
        <v>0</v>
      </c>
      <c r="M714" t="n">
        <v>0</v>
      </c>
      <c r="N714" t="n">
        <v>0</v>
      </c>
      <c r="O714" t="n">
        <v>0</v>
      </c>
      <c r="P714" t="n">
        <v>0</v>
      </c>
      <c r="Q714" t="n">
        <v>0</v>
      </c>
      <c r="R714" s="2" t="inlineStr"/>
    </row>
    <row r="715" ht="15" customHeight="1">
      <c r="A715" t="inlineStr">
        <is>
          <t>A 18144-2025</t>
        </is>
      </c>
      <c r="B715" s="1" t="n">
        <v>45761.61501157407</v>
      </c>
      <c r="C715" s="1" t="n">
        <v>46166</v>
      </c>
      <c r="D715" t="inlineStr">
        <is>
          <t>JÄMTLANDS LÄN</t>
        </is>
      </c>
      <c r="E715" t="inlineStr">
        <is>
          <t>HÄRJEDALEN</t>
        </is>
      </c>
      <c r="F715" t="inlineStr">
        <is>
          <t>SCA</t>
        </is>
      </c>
      <c r="G715" t="n">
        <v>5.8</v>
      </c>
      <c r="H715" t="n">
        <v>0</v>
      </c>
      <c r="I715" t="n">
        <v>0</v>
      </c>
      <c r="J715" t="n">
        <v>0</v>
      </c>
      <c r="K715" t="n">
        <v>0</v>
      </c>
      <c r="L715" t="n">
        <v>0</v>
      </c>
      <c r="M715" t="n">
        <v>0</v>
      </c>
      <c r="N715" t="n">
        <v>0</v>
      </c>
      <c r="O715" t="n">
        <v>0</v>
      </c>
      <c r="P715" t="n">
        <v>0</v>
      </c>
      <c r="Q715" t="n">
        <v>0</v>
      </c>
      <c r="R715" s="2" t="inlineStr"/>
    </row>
    <row r="716" ht="15" customHeight="1">
      <c r="A716" t="inlineStr">
        <is>
          <t>A 29594-2024</t>
        </is>
      </c>
      <c r="B716" s="1" t="n">
        <v>45484.58422453704</v>
      </c>
      <c r="C716" s="1" t="n">
        <v>46166</v>
      </c>
      <c r="D716" t="inlineStr">
        <is>
          <t>JÄMTLANDS LÄN</t>
        </is>
      </c>
      <c r="E716" t="inlineStr">
        <is>
          <t>HÄRJEDALEN</t>
        </is>
      </c>
      <c r="F716" t="inlineStr">
        <is>
          <t>Holmen skog AB</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55034-2025</t>
        </is>
      </c>
      <c r="B717" s="1" t="n">
        <v>45967.64570601852</v>
      </c>
      <c r="C717" s="1" t="n">
        <v>46166</v>
      </c>
      <c r="D717" t="inlineStr">
        <is>
          <t>JÄMTLANDS LÄN</t>
        </is>
      </c>
      <c r="E717" t="inlineStr">
        <is>
          <t>HÄRJEDALEN</t>
        </is>
      </c>
      <c r="G717" t="n">
        <v>9.1</v>
      </c>
      <c r="H717" t="n">
        <v>0</v>
      </c>
      <c r="I717" t="n">
        <v>0</v>
      </c>
      <c r="J717" t="n">
        <v>0</v>
      </c>
      <c r="K717" t="n">
        <v>0</v>
      </c>
      <c r="L717" t="n">
        <v>0</v>
      </c>
      <c r="M717" t="n">
        <v>0</v>
      </c>
      <c r="N717" t="n">
        <v>0</v>
      </c>
      <c r="O717" t="n">
        <v>0</v>
      </c>
      <c r="P717" t="n">
        <v>0</v>
      </c>
      <c r="Q717" t="n">
        <v>0</v>
      </c>
      <c r="R717" s="2" t="inlineStr"/>
    </row>
    <row r="718" ht="15" customHeight="1">
      <c r="A718" t="inlineStr">
        <is>
          <t>A 55465-2025</t>
        </is>
      </c>
      <c r="B718" s="1" t="n">
        <v>45971.52674768519</v>
      </c>
      <c r="C718" s="1" t="n">
        <v>46166</v>
      </c>
      <c r="D718" t="inlineStr">
        <is>
          <t>JÄMTLANDS LÄN</t>
        </is>
      </c>
      <c r="E718" t="inlineStr">
        <is>
          <t>HÄRJEDALEN</t>
        </is>
      </c>
      <c r="G718" t="n">
        <v>6.1</v>
      </c>
      <c r="H718" t="n">
        <v>0</v>
      </c>
      <c r="I718" t="n">
        <v>0</v>
      </c>
      <c r="J718" t="n">
        <v>0</v>
      </c>
      <c r="K718" t="n">
        <v>0</v>
      </c>
      <c r="L718" t="n">
        <v>0</v>
      </c>
      <c r="M718" t="n">
        <v>0</v>
      </c>
      <c r="N718" t="n">
        <v>0</v>
      </c>
      <c r="O718" t="n">
        <v>0</v>
      </c>
      <c r="P718" t="n">
        <v>0</v>
      </c>
      <c r="Q718" t="n">
        <v>0</v>
      </c>
      <c r="R718" s="2" t="inlineStr"/>
    </row>
    <row r="719" ht="15" customHeight="1">
      <c r="A719" t="inlineStr">
        <is>
          <t>A 56043-2022</t>
        </is>
      </c>
      <c r="B719" s="1" t="n">
        <v>44889.56582175926</v>
      </c>
      <c r="C719" s="1" t="n">
        <v>46166</v>
      </c>
      <c r="D719" t="inlineStr">
        <is>
          <t>JÄMTLANDS LÄN</t>
        </is>
      </c>
      <c r="E719" t="inlineStr">
        <is>
          <t>HÄRJEDALEN</t>
        </is>
      </c>
      <c r="G719" t="n">
        <v>1</v>
      </c>
      <c r="H719" t="n">
        <v>0</v>
      </c>
      <c r="I719" t="n">
        <v>0</v>
      </c>
      <c r="J719" t="n">
        <v>0</v>
      </c>
      <c r="K719" t="n">
        <v>0</v>
      </c>
      <c r="L719" t="n">
        <v>0</v>
      </c>
      <c r="M719" t="n">
        <v>0</v>
      </c>
      <c r="N719" t="n">
        <v>0</v>
      </c>
      <c r="O719" t="n">
        <v>0</v>
      </c>
      <c r="P719" t="n">
        <v>0</v>
      </c>
      <c r="Q719" t="n">
        <v>0</v>
      </c>
      <c r="R719" s="2" t="inlineStr"/>
    </row>
    <row r="720" ht="15" customHeight="1">
      <c r="A720" t="inlineStr">
        <is>
          <t>A 56013-2023</t>
        </is>
      </c>
      <c r="B720" s="1" t="n">
        <v>45240</v>
      </c>
      <c r="C720" s="1" t="n">
        <v>46166</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55362-2025</t>
        </is>
      </c>
      <c r="B721" s="1" t="n">
        <v>45971.39665509259</v>
      </c>
      <c r="C721" s="1" t="n">
        <v>46166</v>
      </c>
      <c r="D721" t="inlineStr">
        <is>
          <t>JÄMTLANDS LÄN</t>
        </is>
      </c>
      <c r="E721" t="inlineStr">
        <is>
          <t>HÄRJEDALEN</t>
        </is>
      </c>
      <c r="F721" t="inlineStr">
        <is>
          <t>Bergvik skog väst AB</t>
        </is>
      </c>
      <c r="G721" t="n">
        <v>15.2</v>
      </c>
      <c r="H721" t="n">
        <v>0</v>
      </c>
      <c r="I721" t="n">
        <v>0</v>
      </c>
      <c r="J721" t="n">
        <v>0</v>
      </c>
      <c r="K721" t="n">
        <v>0</v>
      </c>
      <c r="L721" t="n">
        <v>0</v>
      </c>
      <c r="M721" t="n">
        <v>0</v>
      </c>
      <c r="N721" t="n">
        <v>0</v>
      </c>
      <c r="O721" t="n">
        <v>0</v>
      </c>
      <c r="P721" t="n">
        <v>0</v>
      </c>
      <c r="Q721" t="n">
        <v>0</v>
      </c>
      <c r="R721" s="2" t="inlineStr"/>
    </row>
    <row r="722" ht="15" customHeight="1">
      <c r="A722" t="inlineStr">
        <is>
          <t>A 55339-2025</t>
        </is>
      </c>
      <c r="B722" s="1" t="n">
        <v>45971.34488425926</v>
      </c>
      <c r="C722" s="1" t="n">
        <v>46166</v>
      </c>
      <c r="D722" t="inlineStr">
        <is>
          <t>JÄMTLANDS LÄN</t>
        </is>
      </c>
      <c r="E722" t="inlineStr">
        <is>
          <t>HÄRJEDALEN</t>
        </is>
      </c>
      <c r="G722" t="n">
        <v>10</v>
      </c>
      <c r="H722" t="n">
        <v>0</v>
      </c>
      <c r="I722" t="n">
        <v>0</v>
      </c>
      <c r="J722" t="n">
        <v>0</v>
      </c>
      <c r="K722" t="n">
        <v>0</v>
      </c>
      <c r="L722" t="n">
        <v>0</v>
      </c>
      <c r="M722" t="n">
        <v>0</v>
      </c>
      <c r="N722" t="n">
        <v>0</v>
      </c>
      <c r="O722" t="n">
        <v>0</v>
      </c>
      <c r="P722" t="n">
        <v>0</v>
      </c>
      <c r="Q722" t="n">
        <v>0</v>
      </c>
      <c r="R722" s="2" t="inlineStr"/>
    </row>
    <row r="723" ht="15" customHeight="1">
      <c r="A723" t="inlineStr">
        <is>
          <t>A 20238-2025</t>
        </is>
      </c>
      <c r="B723" s="1" t="n">
        <v>45772.69290509259</v>
      </c>
      <c r="C723" s="1" t="n">
        <v>46166</v>
      </c>
      <c r="D723" t="inlineStr">
        <is>
          <t>JÄMTLANDS LÄN</t>
        </is>
      </c>
      <c r="E723" t="inlineStr">
        <is>
          <t>HÄRJEDALEN</t>
        </is>
      </c>
      <c r="F723" t="inlineStr">
        <is>
          <t>Sveaskog</t>
        </is>
      </c>
      <c r="G723" t="n">
        <v>3.6</v>
      </c>
      <c r="H723" t="n">
        <v>0</v>
      </c>
      <c r="I723" t="n">
        <v>0</v>
      </c>
      <c r="J723" t="n">
        <v>0</v>
      </c>
      <c r="K723" t="n">
        <v>0</v>
      </c>
      <c r="L723" t="n">
        <v>0</v>
      </c>
      <c r="M723" t="n">
        <v>0</v>
      </c>
      <c r="N723" t="n">
        <v>0</v>
      </c>
      <c r="O723" t="n">
        <v>0</v>
      </c>
      <c r="P723" t="n">
        <v>0</v>
      </c>
      <c r="Q723" t="n">
        <v>0</v>
      </c>
      <c r="R723" s="2" t="inlineStr"/>
    </row>
    <row r="724" ht="15" customHeight="1">
      <c r="A724" t="inlineStr">
        <is>
          <t>A 55680-2025</t>
        </is>
      </c>
      <c r="B724" s="1" t="n">
        <v>45972</v>
      </c>
      <c r="C724" s="1" t="n">
        <v>46166</v>
      </c>
      <c r="D724" t="inlineStr">
        <is>
          <t>JÄMTLANDS LÄN</t>
        </is>
      </c>
      <c r="E724" t="inlineStr">
        <is>
          <t>HÄRJEDALEN</t>
        </is>
      </c>
      <c r="F724" t="inlineStr">
        <is>
          <t>Bergvik skog väst AB</t>
        </is>
      </c>
      <c r="G724" t="n">
        <v>15.1</v>
      </c>
      <c r="H724" t="n">
        <v>0</v>
      </c>
      <c r="I724" t="n">
        <v>0</v>
      </c>
      <c r="J724" t="n">
        <v>0</v>
      </c>
      <c r="K724" t="n">
        <v>0</v>
      </c>
      <c r="L724" t="n">
        <v>0</v>
      </c>
      <c r="M724" t="n">
        <v>0</v>
      </c>
      <c r="N724" t="n">
        <v>0</v>
      </c>
      <c r="O724" t="n">
        <v>0</v>
      </c>
      <c r="P724" t="n">
        <v>0</v>
      </c>
      <c r="Q724" t="n">
        <v>0</v>
      </c>
      <c r="R724" s="2" t="inlineStr"/>
    </row>
    <row r="725" ht="15" customHeight="1">
      <c r="A725" t="inlineStr">
        <is>
          <t>A 18541-2025</t>
        </is>
      </c>
      <c r="B725" s="1" t="n">
        <v>45763.41402777778</v>
      </c>
      <c r="C725" s="1" t="n">
        <v>46166</v>
      </c>
      <c r="D725" t="inlineStr">
        <is>
          <t>JÄMTLANDS LÄN</t>
        </is>
      </c>
      <c r="E725" t="inlineStr">
        <is>
          <t>HÄRJEDALEN</t>
        </is>
      </c>
      <c r="G725" t="n">
        <v>0.7</v>
      </c>
      <c r="H725" t="n">
        <v>0</v>
      </c>
      <c r="I725" t="n">
        <v>0</v>
      </c>
      <c r="J725" t="n">
        <v>0</v>
      </c>
      <c r="K725" t="n">
        <v>0</v>
      </c>
      <c r="L725" t="n">
        <v>0</v>
      </c>
      <c r="M725" t="n">
        <v>0</v>
      </c>
      <c r="N725" t="n">
        <v>0</v>
      </c>
      <c r="O725" t="n">
        <v>0</v>
      </c>
      <c r="P725" t="n">
        <v>0</v>
      </c>
      <c r="Q725" t="n">
        <v>0</v>
      </c>
      <c r="R725" s="2" t="inlineStr"/>
    </row>
    <row r="726" ht="15" customHeight="1">
      <c r="A726" t="inlineStr">
        <is>
          <t>A 45731-2024</t>
        </is>
      </c>
      <c r="B726" s="1" t="n">
        <v>45579.59980324074</v>
      </c>
      <c r="C726" s="1" t="n">
        <v>46166</v>
      </c>
      <c r="D726" t="inlineStr">
        <is>
          <t>JÄMTLANDS LÄN</t>
        </is>
      </c>
      <c r="E726" t="inlineStr">
        <is>
          <t>HÄRJEDALEN</t>
        </is>
      </c>
      <c r="G726" t="n">
        <v>3.4</v>
      </c>
      <c r="H726" t="n">
        <v>0</v>
      </c>
      <c r="I726" t="n">
        <v>0</v>
      </c>
      <c r="J726" t="n">
        <v>0</v>
      </c>
      <c r="K726" t="n">
        <v>0</v>
      </c>
      <c r="L726" t="n">
        <v>0</v>
      </c>
      <c r="M726" t="n">
        <v>0</v>
      </c>
      <c r="N726" t="n">
        <v>0</v>
      </c>
      <c r="O726" t="n">
        <v>0</v>
      </c>
      <c r="P726" t="n">
        <v>0</v>
      </c>
      <c r="Q726" t="n">
        <v>0</v>
      </c>
      <c r="R726" s="2" t="inlineStr"/>
    </row>
    <row r="727" ht="15" customHeight="1">
      <c r="A727" t="inlineStr">
        <is>
          <t>A 55640-2025</t>
        </is>
      </c>
      <c r="B727" s="1" t="n">
        <v>45972.34667824074</v>
      </c>
      <c r="C727" s="1" t="n">
        <v>46166</v>
      </c>
      <c r="D727" t="inlineStr">
        <is>
          <t>JÄMTLANDS LÄN</t>
        </is>
      </c>
      <c r="E727" t="inlineStr">
        <is>
          <t>HÄRJEDALEN</t>
        </is>
      </c>
      <c r="G727" t="n">
        <v>12.9</v>
      </c>
      <c r="H727" t="n">
        <v>0</v>
      </c>
      <c r="I727" t="n">
        <v>0</v>
      </c>
      <c r="J727" t="n">
        <v>0</v>
      </c>
      <c r="K727" t="n">
        <v>0</v>
      </c>
      <c r="L727" t="n">
        <v>0</v>
      </c>
      <c r="M727" t="n">
        <v>0</v>
      </c>
      <c r="N727" t="n">
        <v>0</v>
      </c>
      <c r="O727" t="n">
        <v>0</v>
      </c>
      <c r="P727" t="n">
        <v>0</v>
      </c>
      <c r="Q727" t="n">
        <v>0</v>
      </c>
      <c r="R727" s="2" t="inlineStr"/>
    </row>
    <row r="728" ht="15" customHeight="1">
      <c r="A728" t="inlineStr">
        <is>
          <t>A 55758-2025</t>
        </is>
      </c>
      <c r="B728" s="1" t="n">
        <v>45972.59815972222</v>
      </c>
      <c r="C728" s="1" t="n">
        <v>46166</v>
      </c>
      <c r="D728" t="inlineStr">
        <is>
          <t>JÄMTLANDS LÄN</t>
        </is>
      </c>
      <c r="E728" t="inlineStr">
        <is>
          <t>HÄRJEDALEN</t>
        </is>
      </c>
      <c r="F728" t="inlineStr">
        <is>
          <t>Bergvik skog väst AB</t>
        </is>
      </c>
      <c r="G728" t="n">
        <v>6.4</v>
      </c>
      <c r="H728" t="n">
        <v>0</v>
      </c>
      <c r="I728" t="n">
        <v>0</v>
      </c>
      <c r="J728" t="n">
        <v>0</v>
      </c>
      <c r="K728" t="n">
        <v>0</v>
      </c>
      <c r="L728" t="n">
        <v>0</v>
      </c>
      <c r="M728" t="n">
        <v>0</v>
      </c>
      <c r="N728" t="n">
        <v>0</v>
      </c>
      <c r="O728" t="n">
        <v>0</v>
      </c>
      <c r="P728" t="n">
        <v>0</v>
      </c>
      <c r="Q728" t="n">
        <v>0</v>
      </c>
      <c r="R728" s="2" t="inlineStr"/>
    </row>
    <row r="729" ht="15" customHeight="1">
      <c r="A729" t="inlineStr">
        <is>
          <t>A 55890-2025</t>
        </is>
      </c>
      <c r="B729" s="1" t="n">
        <v>45973.3788425926</v>
      </c>
      <c r="C729" s="1" t="n">
        <v>46166</v>
      </c>
      <c r="D729" t="inlineStr">
        <is>
          <t>JÄMTLANDS LÄN</t>
        </is>
      </c>
      <c r="E729" t="inlineStr">
        <is>
          <t>HÄRJEDALEN</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55940-2025</t>
        </is>
      </c>
      <c r="B730" s="1" t="n">
        <v>45973.45135416667</v>
      </c>
      <c r="C730" s="1" t="n">
        <v>46166</v>
      </c>
      <c r="D730" t="inlineStr">
        <is>
          <t>JÄMTLANDS LÄN</t>
        </is>
      </c>
      <c r="E730" t="inlineStr">
        <is>
          <t>HÄRJEDALEN</t>
        </is>
      </c>
      <c r="F730" t="inlineStr">
        <is>
          <t>Holmen skog AB</t>
        </is>
      </c>
      <c r="G730" t="n">
        <v>2.8</v>
      </c>
      <c r="H730" t="n">
        <v>0</v>
      </c>
      <c r="I730" t="n">
        <v>0</v>
      </c>
      <c r="J730" t="n">
        <v>0</v>
      </c>
      <c r="K730" t="n">
        <v>0</v>
      </c>
      <c r="L730" t="n">
        <v>0</v>
      </c>
      <c r="M730" t="n">
        <v>0</v>
      </c>
      <c r="N730" t="n">
        <v>0</v>
      </c>
      <c r="O730" t="n">
        <v>0</v>
      </c>
      <c r="P730" t="n">
        <v>0</v>
      </c>
      <c r="Q730" t="n">
        <v>0</v>
      </c>
      <c r="R730" s="2" t="inlineStr"/>
    </row>
    <row r="731" ht="15" customHeight="1">
      <c r="A731" t="inlineStr">
        <is>
          <t>A 53386-2024</t>
        </is>
      </c>
      <c r="B731" s="1" t="n">
        <v>45614.47960648148</v>
      </c>
      <c r="C731" s="1" t="n">
        <v>46166</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55715-2025</t>
        </is>
      </c>
      <c r="B732" s="1" t="n">
        <v>45972.49532407407</v>
      </c>
      <c r="C732" s="1" t="n">
        <v>46166</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27261-2023</t>
        </is>
      </c>
      <c r="B733" s="1" t="n">
        <v>45096.62344907408</v>
      </c>
      <c r="C733" s="1" t="n">
        <v>46166</v>
      </c>
      <c r="D733" t="inlineStr">
        <is>
          <t>JÄMTLANDS LÄN</t>
        </is>
      </c>
      <c r="E733" t="inlineStr">
        <is>
          <t>HÄRJEDALEN</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55965-2025</t>
        </is>
      </c>
      <c r="B734" s="1" t="n">
        <v>45973.48260416667</v>
      </c>
      <c r="C734" s="1" t="n">
        <v>46166</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55852-2025</t>
        </is>
      </c>
      <c r="B735" s="1" t="n">
        <v>45973</v>
      </c>
      <c r="C735" s="1" t="n">
        <v>46166</v>
      </c>
      <c r="D735" t="inlineStr">
        <is>
          <t>JÄMTLANDS LÄN</t>
        </is>
      </c>
      <c r="E735" t="inlineStr">
        <is>
          <t>HÄRJEDALEN</t>
        </is>
      </c>
      <c r="G735" t="n">
        <v>11.7</v>
      </c>
      <c r="H735" t="n">
        <v>0</v>
      </c>
      <c r="I735" t="n">
        <v>0</v>
      </c>
      <c r="J735" t="n">
        <v>0</v>
      </c>
      <c r="K735" t="n">
        <v>0</v>
      </c>
      <c r="L735" t="n">
        <v>0</v>
      </c>
      <c r="M735" t="n">
        <v>0</v>
      </c>
      <c r="N735" t="n">
        <v>0</v>
      </c>
      <c r="O735" t="n">
        <v>0</v>
      </c>
      <c r="P735" t="n">
        <v>0</v>
      </c>
      <c r="Q735" t="n">
        <v>0</v>
      </c>
      <c r="R735" s="2" t="inlineStr"/>
    </row>
    <row r="736" ht="15" customHeight="1">
      <c r="A736" t="inlineStr">
        <is>
          <t>A 55761-2025</t>
        </is>
      </c>
      <c r="B736" s="1" t="n">
        <v>45972.60201388889</v>
      </c>
      <c r="C736" s="1" t="n">
        <v>46166</v>
      </c>
      <c r="D736" t="inlineStr">
        <is>
          <t>JÄMTLANDS LÄN</t>
        </is>
      </c>
      <c r="E736" t="inlineStr">
        <is>
          <t>HÄRJEDALEN</t>
        </is>
      </c>
      <c r="F736" t="inlineStr">
        <is>
          <t>Bergvik skog väst AB</t>
        </is>
      </c>
      <c r="G736" t="n">
        <v>20.8</v>
      </c>
      <c r="H736" t="n">
        <v>0</v>
      </c>
      <c r="I736" t="n">
        <v>0</v>
      </c>
      <c r="J736" t="n">
        <v>0</v>
      </c>
      <c r="K736" t="n">
        <v>0</v>
      </c>
      <c r="L736" t="n">
        <v>0</v>
      </c>
      <c r="M736" t="n">
        <v>0</v>
      </c>
      <c r="N736" t="n">
        <v>0</v>
      </c>
      <c r="O736" t="n">
        <v>0</v>
      </c>
      <c r="P736" t="n">
        <v>0</v>
      </c>
      <c r="Q736" t="n">
        <v>0</v>
      </c>
      <c r="R736" s="2" t="inlineStr"/>
    </row>
    <row r="737" ht="15" customHeight="1">
      <c r="A737" t="inlineStr">
        <is>
          <t>A 55877-2025</t>
        </is>
      </c>
      <c r="B737" s="1" t="n">
        <v>45973.36349537037</v>
      </c>
      <c r="C737" s="1" t="n">
        <v>46166</v>
      </c>
      <c r="D737" t="inlineStr">
        <is>
          <t>JÄMTLANDS LÄN</t>
        </is>
      </c>
      <c r="E737" t="inlineStr">
        <is>
          <t>HÄRJEDALEN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51994-2024</t>
        </is>
      </c>
      <c r="B738" s="1" t="n">
        <v>45607</v>
      </c>
      <c r="C738" s="1" t="n">
        <v>46166</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56451-2025</t>
        </is>
      </c>
      <c r="B739" s="1" t="n">
        <v>45975.3537037037</v>
      </c>
      <c r="C739" s="1" t="n">
        <v>46166</v>
      </c>
      <c r="D739" t="inlineStr">
        <is>
          <t>JÄMTLANDS LÄN</t>
        </is>
      </c>
      <c r="E739" t="inlineStr">
        <is>
          <t>HÄRJEDALEN</t>
        </is>
      </c>
      <c r="F739" t="inlineStr">
        <is>
          <t>Bergvik skog väst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56213-2025</t>
        </is>
      </c>
      <c r="B740" s="1" t="n">
        <v>45974.47983796296</v>
      </c>
      <c r="C740" s="1" t="n">
        <v>46166</v>
      </c>
      <c r="D740" t="inlineStr">
        <is>
          <t>JÄMTLANDS LÄN</t>
        </is>
      </c>
      <c r="E740" t="inlineStr">
        <is>
          <t>HÄRJEDALEN</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56134-2025</t>
        </is>
      </c>
      <c r="B741" s="1" t="n">
        <v>45974</v>
      </c>
      <c r="C741" s="1" t="n">
        <v>46166</v>
      </c>
      <c r="D741" t="inlineStr">
        <is>
          <t>JÄMTLANDS LÄN</t>
        </is>
      </c>
      <c r="E741" t="inlineStr">
        <is>
          <t>HÄRJEDALEN</t>
        </is>
      </c>
      <c r="G741" t="n">
        <v>4.4</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45974.45393518519</v>
      </c>
      <c r="C742" s="1" t="n">
        <v>46166</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56646-2025</t>
        </is>
      </c>
      <c r="B743" s="1" t="n">
        <v>45975.634375</v>
      </c>
      <c r="C743" s="1" t="n">
        <v>46166</v>
      </c>
      <c r="D743" t="inlineStr">
        <is>
          <t>JÄMTLANDS LÄN</t>
        </is>
      </c>
      <c r="E743" t="inlineStr">
        <is>
          <t>HÄRJEDALEN</t>
        </is>
      </c>
      <c r="F743" t="inlineStr">
        <is>
          <t>Bergvik skog väst AB</t>
        </is>
      </c>
      <c r="G743" t="n">
        <v>0.7</v>
      </c>
      <c r="H743" t="n">
        <v>0</v>
      </c>
      <c r="I743" t="n">
        <v>0</v>
      </c>
      <c r="J743" t="n">
        <v>0</v>
      </c>
      <c r="K743" t="n">
        <v>0</v>
      </c>
      <c r="L743" t="n">
        <v>0</v>
      </c>
      <c r="M743" t="n">
        <v>0</v>
      </c>
      <c r="N743" t="n">
        <v>0</v>
      </c>
      <c r="O743" t="n">
        <v>0</v>
      </c>
      <c r="P743" t="n">
        <v>0</v>
      </c>
      <c r="Q743" t="n">
        <v>0</v>
      </c>
      <c r="R743" s="2" t="inlineStr"/>
    </row>
    <row r="744" ht="15" customHeight="1">
      <c r="A744" t="inlineStr">
        <is>
          <t>A 56176-2025</t>
        </is>
      </c>
      <c r="B744" s="1" t="n">
        <v>45974.39936342592</v>
      </c>
      <c r="C744" s="1" t="n">
        <v>46166</v>
      </c>
      <c r="D744" t="inlineStr">
        <is>
          <t>JÄMTLANDS LÄN</t>
        </is>
      </c>
      <c r="E744" t="inlineStr">
        <is>
          <t>HÄRJEDALEN</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56595-2025</t>
        </is>
      </c>
      <c r="B745" s="1" t="n">
        <v>45975.56932870371</v>
      </c>
      <c r="C745" s="1" t="n">
        <v>46166</v>
      </c>
      <c r="D745" t="inlineStr">
        <is>
          <t>JÄMTLANDS LÄN</t>
        </is>
      </c>
      <c r="E745" t="inlineStr">
        <is>
          <t>HÄRJEDALEN</t>
        </is>
      </c>
      <c r="F745" t="inlineStr">
        <is>
          <t>Bergvik skog väst AB</t>
        </is>
      </c>
      <c r="G745" t="n">
        <v>0.4</v>
      </c>
      <c r="H745" t="n">
        <v>0</v>
      </c>
      <c r="I745" t="n">
        <v>0</v>
      </c>
      <c r="J745" t="n">
        <v>0</v>
      </c>
      <c r="K745" t="n">
        <v>0</v>
      </c>
      <c r="L745" t="n">
        <v>0</v>
      </c>
      <c r="M745" t="n">
        <v>0</v>
      </c>
      <c r="N745" t="n">
        <v>0</v>
      </c>
      <c r="O745" t="n">
        <v>0</v>
      </c>
      <c r="P745" t="n">
        <v>0</v>
      </c>
      <c r="Q745" t="n">
        <v>0</v>
      </c>
      <c r="R745" s="2" t="inlineStr"/>
    </row>
    <row r="746" ht="15" customHeight="1">
      <c r="A746" t="inlineStr">
        <is>
          <t>A 56452-2025</t>
        </is>
      </c>
      <c r="B746" s="1" t="n">
        <v>45975.35422453703</v>
      </c>
      <c r="C746" s="1" t="n">
        <v>46166</v>
      </c>
      <c r="D746" t="inlineStr">
        <is>
          <t>JÄMTLANDS LÄN</t>
        </is>
      </c>
      <c r="E746" t="inlineStr">
        <is>
          <t>HÄRJEDALEN</t>
        </is>
      </c>
      <c r="G746" t="n">
        <v>8.4</v>
      </c>
      <c r="H746" t="n">
        <v>0</v>
      </c>
      <c r="I746" t="n">
        <v>0</v>
      </c>
      <c r="J746" t="n">
        <v>0</v>
      </c>
      <c r="K746" t="n">
        <v>0</v>
      </c>
      <c r="L746" t="n">
        <v>0</v>
      </c>
      <c r="M746" t="n">
        <v>0</v>
      </c>
      <c r="N746" t="n">
        <v>0</v>
      </c>
      <c r="O746" t="n">
        <v>0</v>
      </c>
      <c r="P746" t="n">
        <v>0</v>
      </c>
      <c r="Q746" t="n">
        <v>0</v>
      </c>
      <c r="R746" s="2" t="inlineStr"/>
    </row>
    <row r="747" ht="15" customHeight="1">
      <c r="A747" t="inlineStr">
        <is>
          <t>A 56868-2025</t>
        </is>
      </c>
      <c r="B747" s="1" t="n">
        <v>45978.5205324074</v>
      </c>
      <c r="C747" s="1" t="n">
        <v>46166</v>
      </c>
      <c r="D747" t="inlineStr">
        <is>
          <t>JÄMTLANDS LÄN</t>
        </is>
      </c>
      <c r="E747" t="inlineStr">
        <is>
          <t>HÄRJEDALEN</t>
        </is>
      </c>
      <c r="G747" t="n">
        <v>4.7</v>
      </c>
      <c r="H747" t="n">
        <v>0</v>
      </c>
      <c r="I747" t="n">
        <v>0</v>
      </c>
      <c r="J747" t="n">
        <v>0</v>
      </c>
      <c r="K747" t="n">
        <v>0</v>
      </c>
      <c r="L747" t="n">
        <v>0</v>
      </c>
      <c r="M747" t="n">
        <v>0</v>
      </c>
      <c r="N747" t="n">
        <v>0</v>
      </c>
      <c r="O747" t="n">
        <v>0</v>
      </c>
      <c r="P747" t="n">
        <v>0</v>
      </c>
      <c r="Q747" t="n">
        <v>0</v>
      </c>
      <c r="R747" s="2" t="inlineStr"/>
    </row>
    <row r="748" ht="15" customHeight="1">
      <c r="A748" t="inlineStr">
        <is>
          <t>A 18080-2024</t>
        </is>
      </c>
      <c r="B748" s="1" t="n">
        <v>45420.44414351852</v>
      </c>
      <c r="C748" s="1" t="n">
        <v>46166</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57070-2025</t>
        </is>
      </c>
      <c r="B749" s="1" t="n">
        <v>45979.38703703704</v>
      </c>
      <c r="C749" s="1" t="n">
        <v>46166</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57109-2025</t>
        </is>
      </c>
      <c r="B750" s="1" t="n">
        <v>45979.45319444445</v>
      </c>
      <c r="C750" s="1" t="n">
        <v>46166</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57015-2025</t>
        </is>
      </c>
      <c r="B751" s="1" t="n">
        <v>45978.83375</v>
      </c>
      <c r="C751" s="1" t="n">
        <v>46166</v>
      </c>
      <c r="D751" t="inlineStr">
        <is>
          <t>JÄMTLANDS LÄN</t>
        </is>
      </c>
      <c r="E751" t="inlineStr">
        <is>
          <t>HÄRJEDALEN</t>
        </is>
      </c>
      <c r="F751" t="inlineStr">
        <is>
          <t>Bergvik skog väst AB</t>
        </is>
      </c>
      <c r="G751" t="n">
        <v>5.6</v>
      </c>
      <c r="H751" t="n">
        <v>0</v>
      </c>
      <c r="I751" t="n">
        <v>0</v>
      </c>
      <c r="J751" t="n">
        <v>0</v>
      </c>
      <c r="K751" t="n">
        <v>0</v>
      </c>
      <c r="L751" t="n">
        <v>0</v>
      </c>
      <c r="M751" t="n">
        <v>0</v>
      </c>
      <c r="N751" t="n">
        <v>0</v>
      </c>
      <c r="O751" t="n">
        <v>0</v>
      </c>
      <c r="P751" t="n">
        <v>0</v>
      </c>
      <c r="Q751" t="n">
        <v>0</v>
      </c>
      <c r="R751" s="2" t="inlineStr"/>
    </row>
    <row r="752" ht="15" customHeight="1">
      <c r="A752" t="inlineStr">
        <is>
          <t>A 57518-2025</t>
        </is>
      </c>
      <c r="B752" s="1" t="n">
        <v>45979</v>
      </c>
      <c r="C752" s="1" t="n">
        <v>46166</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14401-2025</t>
        </is>
      </c>
      <c r="B753" s="1" t="n">
        <v>45741.45597222223</v>
      </c>
      <c r="C753" s="1" t="n">
        <v>46166</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57013-2025</t>
        </is>
      </c>
      <c r="B754" s="1" t="n">
        <v>45978.82456018519</v>
      </c>
      <c r="C754" s="1" t="n">
        <v>46166</v>
      </c>
      <c r="D754" t="inlineStr">
        <is>
          <t>JÄMTLANDS LÄN</t>
        </is>
      </c>
      <c r="E754" t="inlineStr">
        <is>
          <t>HÄRJEDALEN</t>
        </is>
      </c>
      <c r="F754" t="inlineStr">
        <is>
          <t>Bergvik skog väst AB</t>
        </is>
      </c>
      <c r="G754" t="n">
        <v>36.5</v>
      </c>
      <c r="H754" t="n">
        <v>0</v>
      </c>
      <c r="I754" t="n">
        <v>0</v>
      </c>
      <c r="J754" t="n">
        <v>0</v>
      </c>
      <c r="K754" t="n">
        <v>0</v>
      </c>
      <c r="L754" t="n">
        <v>0</v>
      </c>
      <c r="M754" t="n">
        <v>0</v>
      </c>
      <c r="N754" t="n">
        <v>0</v>
      </c>
      <c r="O754" t="n">
        <v>0</v>
      </c>
      <c r="P754" t="n">
        <v>0</v>
      </c>
      <c r="Q754" t="n">
        <v>0</v>
      </c>
      <c r="R754" s="2" t="inlineStr"/>
    </row>
    <row r="755" ht="15" customHeight="1">
      <c r="A755" t="inlineStr">
        <is>
          <t>A 57068-2025</t>
        </is>
      </c>
      <c r="B755" s="1" t="n">
        <v>45979.38599537037</v>
      </c>
      <c r="C755" s="1" t="n">
        <v>46166</v>
      </c>
      <c r="D755" t="inlineStr">
        <is>
          <t>JÄMTLANDS LÄN</t>
        </is>
      </c>
      <c r="E755" t="inlineStr">
        <is>
          <t>HÄRJEDALEN</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1394-2025</t>
        </is>
      </c>
      <c r="B756" s="1" t="n">
        <v>45667</v>
      </c>
      <c r="C756" s="1" t="n">
        <v>46166</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45716-2023</t>
        </is>
      </c>
      <c r="B757" s="1" t="n">
        <v>45195.35877314815</v>
      </c>
      <c r="C757" s="1" t="n">
        <v>46166</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31920-2024</t>
        </is>
      </c>
      <c r="B758" s="1" t="n">
        <v>45510</v>
      </c>
      <c r="C758" s="1" t="n">
        <v>46166</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55661-2024</t>
        </is>
      </c>
      <c r="B759" s="1" t="n">
        <v>45622.64012731481</v>
      </c>
      <c r="C759" s="1" t="n">
        <v>46166</v>
      </c>
      <c r="D759" t="inlineStr">
        <is>
          <t>JÄMTLANDS LÄN</t>
        </is>
      </c>
      <c r="E759" t="inlineStr">
        <is>
          <t>HÄRJEDALEN</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17291-2025</t>
        </is>
      </c>
      <c r="B760" s="1" t="n">
        <v>45756</v>
      </c>
      <c r="C760" s="1" t="n">
        <v>46166</v>
      </c>
      <c r="D760" t="inlineStr">
        <is>
          <t>JÄMTLANDS LÄN</t>
        </is>
      </c>
      <c r="E760" t="inlineStr">
        <is>
          <t>HÄRJEDALEN</t>
        </is>
      </c>
      <c r="G760" t="n">
        <v>7.1</v>
      </c>
      <c r="H760" t="n">
        <v>0</v>
      </c>
      <c r="I760" t="n">
        <v>0</v>
      </c>
      <c r="J760" t="n">
        <v>0</v>
      </c>
      <c r="K760" t="n">
        <v>0</v>
      </c>
      <c r="L760" t="n">
        <v>0</v>
      </c>
      <c r="M760" t="n">
        <v>0</v>
      </c>
      <c r="N760" t="n">
        <v>0</v>
      </c>
      <c r="O760" t="n">
        <v>0</v>
      </c>
      <c r="P760" t="n">
        <v>0</v>
      </c>
      <c r="Q760" t="n">
        <v>0</v>
      </c>
      <c r="R760" s="2" t="inlineStr"/>
    </row>
    <row r="761" ht="15" customHeight="1">
      <c r="A761" t="inlineStr">
        <is>
          <t>A 20865-2024</t>
        </is>
      </c>
      <c r="B761" s="1" t="n">
        <v>45439.43106481482</v>
      </c>
      <c r="C761" s="1" t="n">
        <v>46166</v>
      </c>
      <c r="D761" t="inlineStr">
        <is>
          <t>JÄMTLANDS LÄN</t>
        </is>
      </c>
      <c r="E761" t="inlineStr">
        <is>
          <t>HÄRJEDALEN</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57839-2025</t>
        </is>
      </c>
      <c r="B762" s="1" t="n">
        <v>45981.62309027778</v>
      </c>
      <c r="C762" s="1" t="n">
        <v>46166</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57868-2025</t>
        </is>
      </c>
      <c r="B763" s="1" t="n">
        <v>45981.65143518519</v>
      </c>
      <c r="C763" s="1" t="n">
        <v>46166</v>
      </c>
      <c r="D763" t="inlineStr">
        <is>
          <t>JÄMTLANDS LÄN</t>
        </is>
      </c>
      <c r="E763" t="inlineStr">
        <is>
          <t>HÄRJEDALEN</t>
        </is>
      </c>
      <c r="G763" t="n">
        <v>8</v>
      </c>
      <c r="H763" t="n">
        <v>0</v>
      </c>
      <c r="I763" t="n">
        <v>0</v>
      </c>
      <c r="J763" t="n">
        <v>0</v>
      </c>
      <c r="K763" t="n">
        <v>0</v>
      </c>
      <c r="L763" t="n">
        <v>0</v>
      </c>
      <c r="M763" t="n">
        <v>0</v>
      </c>
      <c r="N763" t="n">
        <v>0</v>
      </c>
      <c r="O763" t="n">
        <v>0</v>
      </c>
      <c r="P763" t="n">
        <v>0</v>
      </c>
      <c r="Q763" t="n">
        <v>0</v>
      </c>
      <c r="R763" s="2" t="inlineStr"/>
    </row>
    <row r="764" ht="15" customHeight="1">
      <c r="A764" t="inlineStr">
        <is>
          <t>A 58098-2025</t>
        </is>
      </c>
      <c r="B764" s="1" t="n">
        <v>45982</v>
      </c>
      <c r="C764" s="1" t="n">
        <v>46166</v>
      </c>
      <c r="D764" t="inlineStr">
        <is>
          <t>JÄMTLANDS LÄN</t>
        </is>
      </c>
      <c r="E764" t="inlineStr">
        <is>
          <t>HÄRJEDALEN</t>
        </is>
      </c>
      <c r="G764" t="n">
        <v>4.7</v>
      </c>
      <c r="H764" t="n">
        <v>0</v>
      </c>
      <c r="I764" t="n">
        <v>0</v>
      </c>
      <c r="J764" t="n">
        <v>0</v>
      </c>
      <c r="K764" t="n">
        <v>0</v>
      </c>
      <c r="L764" t="n">
        <v>0</v>
      </c>
      <c r="M764" t="n">
        <v>0</v>
      </c>
      <c r="N764" t="n">
        <v>0</v>
      </c>
      <c r="O764" t="n">
        <v>0</v>
      </c>
      <c r="P764" t="n">
        <v>0</v>
      </c>
      <c r="Q764" t="n">
        <v>0</v>
      </c>
      <c r="R764" s="2" t="inlineStr"/>
    </row>
    <row r="765" ht="15" customHeight="1">
      <c r="A765" t="inlineStr">
        <is>
          <t>A 58024-2025</t>
        </is>
      </c>
      <c r="B765" s="1" t="n">
        <v>45982.48206018518</v>
      </c>
      <c r="C765" s="1" t="n">
        <v>46166</v>
      </c>
      <c r="D765" t="inlineStr">
        <is>
          <t>JÄMTLANDS LÄN</t>
        </is>
      </c>
      <c r="E765" t="inlineStr">
        <is>
          <t>HÄRJEDALEN</t>
        </is>
      </c>
      <c r="F765" t="inlineStr">
        <is>
          <t>Bergvik skog väst AB</t>
        </is>
      </c>
      <c r="G765" t="n">
        <v>6.3</v>
      </c>
      <c r="H765" t="n">
        <v>0</v>
      </c>
      <c r="I765" t="n">
        <v>0</v>
      </c>
      <c r="J765" t="n">
        <v>0</v>
      </c>
      <c r="K765" t="n">
        <v>0</v>
      </c>
      <c r="L765" t="n">
        <v>0</v>
      </c>
      <c r="M765" t="n">
        <v>0</v>
      </c>
      <c r="N765" t="n">
        <v>0</v>
      </c>
      <c r="O765" t="n">
        <v>0</v>
      </c>
      <c r="P765" t="n">
        <v>0</v>
      </c>
      <c r="Q765" t="n">
        <v>0</v>
      </c>
      <c r="R765" s="2" t="inlineStr"/>
    </row>
    <row r="766" ht="15" customHeight="1">
      <c r="A766" t="inlineStr">
        <is>
          <t>A 58081-2025</t>
        </is>
      </c>
      <c r="B766" s="1" t="n">
        <v>45982.56142361111</v>
      </c>
      <c r="C766" s="1" t="n">
        <v>46166</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4899-2025</t>
        </is>
      </c>
      <c r="B767" s="1" t="n">
        <v>45688.67935185185</v>
      </c>
      <c r="C767" s="1" t="n">
        <v>46166</v>
      </c>
      <c r="D767" t="inlineStr">
        <is>
          <t>JÄMTLANDS LÄN</t>
        </is>
      </c>
      <c r="E767" t="inlineStr">
        <is>
          <t>HÄRJEDALEN</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58120-2025</t>
        </is>
      </c>
      <c r="B768" s="1" t="n">
        <v>45982.60930555555</v>
      </c>
      <c r="C768" s="1" t="n">
        <v>46166</v>
      </c>
      <c r="D768" t="inlineStr">
        <is>
          <t>JÄMTLANDS LÄN</t>
        </is>
      </c>
      <c r="E768" t="inlineStr">
        <is>
          <t>HÄRJEDALEN</t>
        </is>
      </c>
      <c r="G768" t="n">
        <v>2.2</v>
      </c>
      <c r="H768" t="n">
        <v>0</v>
      </c>
      <c r="I768" t="n">
        <v>0</v>
      </c>
      <c r="J768" t="n">
        <v>0</v>
      </c>
      <c r="K768" t="n">
        <v>0</v>
      </c>
      <c r="L768" t="n">
        <v>0</v>
      </c>
      <c r="M768" t="n">
        <v>0</v>
      </c>
      <c r="N768" t="n">
        <v>0</v>
      </c>
      <c r="O768" t="n">
        <v>0</v>
      </c>
      <c r="P768" t="n">
        <v>0</v>
      </c>
      <c r="Q768" t="n">
        <v>0</v>
      </c>
      <c r="R768" s="2" t="inlineStr"/>
    </row>
    <row r="769" ht="15" customHeight="1">
      <c r="A769" t="inlineStr">
        <is>
          <t>A 58141-2025</t>
        </is>
      </c>
      <c r="B769" s="1" t="n">
        <v>45982.63611111111</v>
      </c>
      <c r="C769" s="1" t="n">
        <v>46166</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58116-2025</t>
        </is>
      </c>
      <c r="B770" s="1" t="n">
        <v>45982</v>
      </c>
      <c r="C770" s="1" t="n">
        <v>46166</v>
      </c>
      <c r="D770" t="inlineStr">
        <is>
          <t>JÄMTLANDS LÄN</t>
        </is>
      </c>
      <c r="E770" t="inlineStr">
        <is>
          <t>HÄRJEDALEN</t>
        </is>
      </c>
      <c r="G770" t="n">
        <v>1.8</v>
      </c>
      <c r="H770" t="n">
        <v>0</v>
      </c>
      <c r="I770" t="n">
        <v>0</v>
      </c>
      <c r="J770" t="n">
        <v>0</v>
      </c>
      <c r="K770" t="n">
        <v>0</v>
      </c>
      <c r="L770" t="n">
        <v>0</v>
      </c>
      <c r="M770" t="n">
        <v>0</v>
      </c>
      <c r="N770" t="n">
        <v>0</v>
      </c>
      <c r="O770" t="n">
        <v>0</v>
      </c>
      <c r="P770" t="n">
        <v>0</v>
      </c>
      <c r="Q770" t="n">
        <v>0</v>
      </c>
      <c r="R770" s="2" t="inlineStr"/>
    </row>
    <row r="771" ht="15" customHeight="1">
      <c r="A771" t="inlineStr">
        <is>
          <t>A 16626-2025</t>
        </is>
      </c>
      <c r="B771" s="1" t="n">
        <v>45754.35055555555</v>
      </c>
      <c r="C771" s="1" t="n">
        <v>46166</v>
      </c>
      <c r="D771" t="inlineStr">
        <is>
          <t>JÄMTLANDS LÄN</t>
        </is>
      </c>
      <c r="E771" t="inlineStr">
        <is>
          <t>HÄRJEDALEN</t>
        </is>
      </c>
      <c r="G771" t="n">
        <v>2.7</v>
      </c>
      <c r="H771" t="n">
        <v>0</v>
      </c>
      <c r="I771" t="n">
        <v>0</v>
      </c>
      <c r="J771" t="n">
        <v>0</v>
      </c>
      <c r="K771" t="n">
        <v>0</v>
      </c>
      <c r="L771" t="n">
        <v>0</v>
      </c>
      <c r="M771" t="n">
        <v>0</v>
      </c>
      <c r="N771" t="n">
        <v>0</v>
      </c>
      <c r="O771" t="n">
        <v>0</v>
      </c>
      <c r="P771" t="n">
        <v>0</v>
      </c>
      <c r="Q771" t="n">
        <v>0</v>
      </c>
      <c r="R771" s="2" t="inlineStr"/>
    </row>
    <row r="772" ht="15" customHeight="1">
      <c r="A772" t="inlineStr">
        <is>
          <t>A 20104-2025</t>
        </is>
      </c>
      <c r="B772" s="1" t="n">
        <v>45772.46965277778</v>
      </c>
      <c r="C772" s="1" t="n">
        <v>46166</v>
      </c>
      <c r="D772" t="inlineStr">
        <is>
          <t>JÄMTLANDS LÄN</t>
        </is>
      </c>
      <c r="E772" t="inlineStr">
        <is>
          <t>HÄRJEDALEN</t>
        </is>
      </c>
      <c r="F772" t="inlineStr">
        <is>
          <t>SCA</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58110-2025</t>
        </is>
      </c>
      <c r="B773" s="1" t="n">
        <v>45982</v>
      </c>
      <c r="C773" s="1" t="n">
        <v>46166</v>
      </c>
      <c r="D773" t="inlineStr">
        <is>
          <t>JÄMTLANDS LÄN</t>
        </is>
      </c>
      <c r="E773" t="inlineStr">
        <is>
          <t>HÄRJEDALEN</t>
        </is>
      </c>
      <c r="G773" t="n">
        <v>0.8</v>
      </c>
      <c r="H773" t="n">
        <v>0</v>
      </c>
      <c r="I773" t="n">
        <v>0</v>
      </c>
      <c r="J773" t="n">
        <v>0</v>
      </c>
      <c r="K773" t="n">
        <v>0</v>
      </c>
      <c r="L773" t="n">
        <v>0</v>
      </c>
      <c r="M773" t="n">
        <v>0</v>
      </c>
      <c r="N773" t="n">
        <v>0</v>
      </c>
      <c r="O773" t="n">
        <v>0</v>
      </c>
      <c r="P773" t="n">
        <v>0</v>
      </c>
      <c r="Q773" t="n">
        <v>0</v>
      </c>
      <c r="R773" s="2" t="inlineStr"/>
    </row>
    <row r="774" ht="15" customHeight="1">
      <c r="A774" t="inlineStr">
        <is>
          <t>A 58296-2025</t>
        </is>
      </c>
      <c r="B774" s="1" t="n">
        <v>45985.45633101852</v>
      </c>
      <c r="C774" s="1" t="n">
        <v>46166</v>
      </c>
      <c r="D774" t="inlineStr">
        <is>
          <t>JÄMTLANDS LÄN</t>
        </is>
      </c>
      <c r="E774" t="inlineStr">
        <is>
          <t>HÄRJEDALEN</t>
        </is>
      </c>
      <c r="F774" t="inlineStr">
        <is>
          <t>Bergvik skog väst AB</t>
        </is>
      </c>
      <c r="G774" t="n">
        <v>4.6</v>
      </c>
      <c r="H774" t="n">
        <v>0</v>
      </c>
      <c r="I774" t="n">
        <v>0</v>
      </c>
      <c r="J774" t="n">
        <v>0</v>
      </c>
      <c r="K774" t="n">
        <v>0</v>
      </c>
      <c r="L774" t="n">
        <v>0</v>
      </c>
      <c r="M774" t="n">
        <v>0</v>
      </c>
      <c r="N774" t="n">
        <v>0</v>
      </c>
      <c r="O774" t="n">
        <v>0</v>
      </c>
      <c r="P774" t="n">
        <v>0</v>
      </c>
      <c r="Q774" t="n">
        <v>0</v>
      </c>
      <c r="R774" s="2" t="inlineStr"/>
    </row>
    <row r="775" ht="15" customHeight="1">
      <c r="A775" t="inlineStr">
        <is>
          <t>A 58431-2025</t>
        </is>
      </c>
      <c r="B775" s="1" t="n">
        <v>45985.60621527778</v>
      </c>
      <c r="C775" s="1" t="n">
        <v>46166</v>
      </c>
      <c r="D775" t="inlineStr">
        <is>
          <t>JÄMTLANDS LÄN</t>
        </is>
      </c>
      <c r="E775" t="inlineStr">
        <is>
          <t>HÄRJEDALEN</t>
        </is>
      </c>
      <c r="G775" t="n">
        <v>3.7</v>
      </c>
      <c r="H775" t="n">
        <v>0</v>
      </c>
      <c r="I775" t="n">
        <v>0</v>
      </c>
      <c r="J775" t="n">
        <v>0</v>
      </c>
      <c r="K775" t="n">
        <v>0</v>
      </c>
      <c r="L775" t="n">
        <v>0</v>
      </c>
      <c r="M775" t="n">
        <v>0</v>
      </c>
      <c r="N775" t="n">
        <v>0</v>
      </c>
      <c r="O775" t="n">
        <v>0</v>
      </c>
      <c r="P775" t="n">
        <v>0</v>
      </c>
      <c r="Q775" t="n">
        <v>0</v>
      </c>
      <c r="R775" s="2" t="inlineStr"/>
    </row>
    <row r="776" ht="15" customHeight="1">
      <c r="A776" t="inlineStr">
        <is>
          <t>A 58645-2025</t>
        </is>
      </c>
      <c r="B776" s="1" t="n">
        <v>45986.49688657407</v>
      </c>
      <c r="C776" s="1" t="n">
        <v>46166</v>
      </c>
      <c r="D776" t="inlineStr">
        <is>
          <t>JÄMTLANDS LÄN</t>
        </is>
      </c>
      <c r="E776" t="inlineStr">
        <is>
          <t>HÄRJEDALEN</t>
        </is>
      </c>
      <c r="F776" t="inlineStr">
        <is>
          <t>Bergvik skog väst AB</t>
        </is>
      </c>
      <c r="G776" t="n">
        <v>23.4</v>
      </c>
      <c r="H776" t="n">
        <v>0</v>
      </c>
      <c r="I776" t="n">
        <v>0</v>
      </c>
      <c r="J776" t="n">
        <v>0</v>
      </c>
      <c r="K776" t="n">
        <v>0</v>
      </c>
      <c r="L776" t="n">
        <v>0</v>
      </c>
      <c r="M776" t="n">
        <v>0</v>
      </c>
      <c r="N776" t="n">
        <v>0</v>
      </c>
      <c r="O776" t="n">
        <v>0</v>
      </c>
      <c r="P776" t="n">
        <v>0</v>
      </c>
      <c r="Q776" t="n">
        <v>0</v>
      </c>
      <c r="R776" s="2" t="inlineStr"/>
    </row>
    <row r="777" ht="15" customHeight="1">
      <c r="A777" t="inlineStr">
        <is>
          <t>A 51223-2024</t>
        </is>
      </c>
      <c r="B777" s="1" t="n">
        <v>45603</v>
      </c>
      <c r="C777" s="1" t="n">
        <v>46166</v>
      </c>
      <c r="D777" t="inlineStr">
        <is>
          <t>JÄMTLANDS LÄN</t>
        </is>
      </c>
      <c r="E777" t="inlineStr">
        <is>
          <t>HÄRJEDALEN</t>
        </is>
      </c>
      <c r="F777" t="inlineStr">
        <is>
          <t>Holmen skog AB</t>
        </is>
      </c>
      <c r="G777" t="n">
        <v>6.1</v>
      </c>
      <c r="H777" t="n">
        <v>0</v>
      </c>
      <c r="I777" t="n">
        <v>0</v>
      </c>
      <c r="J777" t="n">
        <v>0</v>
      </c>
      <c r="K777" t="n">
        <v>0</v>
      </c>
      <c r="L777" t="n">
        <v>0</v>
      </c>
      <c r="M777" t="n">
        <v>0</v>
      </c>
      <c r="N777" t="n">
        <v>0</v>
      </c>
      <c r="O777" t="n">
        <v>0</v>
      </c>
      <c r="P777" t="n">
        <v>0</v>
      </c>
      <c r="Q777" t="n">
        <v>0</v>
      </c>
      <c r="R777" s="2" t="inlineStr"/>
    </row>
    <row r="778" ht="15" customHeight="1">
      <c r="A778" t="inlineStr">
        <is>
          <t>A 58723-2025</t>
        </is>
      </c>
      <c r="B778" s="1" t="n">
        <v>45986.61724537037</v>
      </c>
      <c r="C778" s="1" t="n">
        <v>46166</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55318-2024</t>
        </is>
      </c>
      <c r="B779" s="1" t="n">
        <v>45621</v>
      </c>
      <c r="C779" s="1" t="n">
        <v>46166</v>
      </c>
      <c r="D779" t="inlineStr">
        <is>
          <t>JÄMTLANDS LÄN</t>
        </is>
      </c>
      <c r="E779" t="inlineStr">
        <is>
          <t>HÄRJEDALEN</t>
        </is>
      </c>
      <c r="F779" t="inlineStr">
        <is>
          <t>Bergvik skog väst AB</t>
        </is>
      </c>
      <c r="G779" t="n">
        <v>136.1</v>
      </c>
      <c r="H779" t="n">
        <v>0</v>
      </c>
      <c r="I779" t="n">
        <v>0</v>
      </c>
      <c r="J779" t="n">
        <v>0</v>
      </c>
      <c r="K779" t="n">
        <v>0</v>
      </c>
      <c r="L779" t="n">
        <v>0</v>
      </c>
      <c r="M779" t="n">
        <v>0</v>
      </c>
      <c r="N779" t="n">
        <v>0</v>
      </c>
      <c r="O779" t="n">
        <v>0</v>
      </c>
      <c r="P779" t="n">
        <v>0</v>
      </c>
      <c r="Q779" t="n">
        <v>0</v>
      </c>
      <c r="R779" s="2" t="inlineStr"/>
    </row>
    <row r="780" ht="15" customHeight="1">
      <c r="A780" t="inlineStr">
        <is>
          <t>A 55219-2021</t>
        </is>
      </c>
      <c r="B780" s="1" t="n">
        <v>44475</v>
      </c>
      <c r="C780" s="1" t="n">
        <v>46166</v>
      </c>
      <c r="D780" t="inlineStr">
        <is>
          <t>JÄMTLANDS LÄN</t>
        </is>
      </c>
      <c r="E780" t="inlineStr">
        <is>
          <t>HÄRJEDALEN</t>
        </is>
      </c>
      <c r="G780" t="n">
        <v>2.5</v>
      </c>
      <c r="H780" t="n">
        <v>0</v>
      </c>
      <c r="I780" t="n">
        <v>0</v>
      </c>
      <c r="J780" t="n">
        <v>0</v>
      </c>
      <c r="K780" t="n">
        <v>0</v>
      </c>
      <c r="L780" t="n">
        <v>0</v>
      </c>
      <c r="M780" t="n">
        <v>0</v>
      </c>
      <c r="N780" t="n">
        <v>0</v>
      </c>
      <c r="O780" t="n">
        <v>0</v>
      </c>
      <c r="P780" t="n">
        <v>0</v>
      </c>
      <c r="Q780" t="n">
        <v>0</v>
      </c>
      <c r="R780" s="2" t="inlineStr"/>
    </row>
    <row r="781" ht="15" customHeight="1">
      <c r="A781" t="inlineStr">
        <is>
          <t>A 58539-2025</t>
        </is>
      </c>
      <c r="B781" s="1" t="n">
        <v>45985.89577546297</v>
      </c>
      <c r="C781" s="1" t="n">
        <v>46166</v>
      </c>
      <c r="D781" t="inlineStr">
        <is>
          <t>JÄMTLANDS LÄN</t>
        </is>
      </c>
      <c r="E781" t="inlineStr">
        <is>
          <t>HÄRJEDALEN</t>
        </is>
      </c>
      <c r="G781" t="n">
        <v>2.3</v>
      </c>
      <c r="H781" t="n">
        <v>0</v>
      </c>
      <c r="I781" t="n">
        <v>0</v>
      </c>
      <c r="J781" t="n">
        <v>0</v>
      </c>
      <c r="K781" t="n">
        <v>0</v>
      </c>
      <c r="L781" t="n">
        <v>0</v>
      </c>
      <c r="M781" t="n">
        <v>0</v>
      </c>
      <c r="N781" t="n">
        <v>0</v>
      </c>
      <c r="O781" t="n">
        <v>0</v>
      </c>
      <c r="P781" t="n">
        <v>0</v>
      </c>
      <c r="Q781" t="n">
        <v>0</v>
      </c>
      <c r="R781" s="2" t="inlineStr"/>
    </row>
    <row r="782" ht="15" customHeight="1">
      <c r="A782" t="inlineStr">
        <is>
          <t>A 24494-2024</t>
        </is>
      </c>
      <c r="B782" s="1" t="n">
        <v>45459</v>
      </c>
      <c r="C782" s="1" t="n">
        <v>46166</v>
      </c>
      <c r="D782" t="inlineStr">
        <is>
          <t>JÄMTLANDS LÄN</t>
        </is>
      </c>
      <c r="E782" t="inlineStr">
        <is>
          <t>HÄRJEDALEN</t>
        </is>
      </c>
      <c r="G782" t="n">
        <v>20.1</v>
      </c>
      <c r="H782" t="n">
        <v>0</v>
      </c>
      <c r="I782" t="n">
        <v>0</v>
      </c>
      <c r="J782" t="n">
        <v>0</v>
      </c>
      <c r="K782" t="n">
        <v>0</v>
      </c>
      <c r="L782" t="n">
        <v>0</v>
      </c>
      <c r="M782" t="n">
        <v>0</v>
      </c>
      <c r="N782" t="n">
        <v>0</v>
      </c>
      <c r="O782" t="n">
        <v>0</v>
      </c>
      <c r="P782" t="n">
        <v>0</v>
      </c>
      <c r="Q782" t="n">
        <v>0</v>
      </c>
      <c r="R782" s="2" t="inlineStr"/>
    </row>
    <row r="783" ht="15" customHeight="1">
      <c r="A783" t="inlineStr">
        <is>
          <t>A 58716-2025</t>
        </is>
      </c>
      <c r="B783" s="1" t="n">
        <v>45986.61413194444</v>
      </c>
      <c r="C783" s="1" t="n">
        <v>46166</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58602-2025</t>
        </is>
      </c>
      <c r="B784" s="1" t="n">
        <v>45986.42805555555</v>
      </c>
      <c r="C784" s="1" t="n">
        <v>46166</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58865-2025</t>
        </is>
      </c>
      <c r="B785" s="1" t="n">
        <v>45987.44751157407</v>
      </c>
      <c r="C785" s="1" t="n">
        <v>46166</v>
      </c>
      <c r="D785" t="inlineStr">
        <is>
          <t>JÄMTLANDS LÄN</t>
        </is>
      </c>
      <c r="E785" t="inlineStr">
        <is>
          <t>HÄRJEDALEN</t>
        </is>
      </c>
      <c r="G785" t="n">
        <v>5.3</v>
      </c>
      <c r="H785" t="n">
        <v>0</v>
      </c>
      <c r="I785" t="n">
        <v>0</v>
      </c>
      <c r="J785" t="n">
        <v>0</v>
      </c>
      <c r="K785" t="n">
        <v>0</v>
      </c>
      <c r="L785" t="n">
        <v>0</v>
      </c>
      <c r="M785" t="n">
        <v>0</v>
      </c>
      <c r="N785" t="n">
        <v>0</v>
      </c>
      <c r="O785" t="n">
        <v>0</v>
      </c>
      <c r="P785" t="n">
        <v>0</v>
      </c>
      <c r="Q785" t="n">
        <v>0</v>
      </c>
      <c r="R785" s="2" t="inlineStr"/>
    </row>
    <row r="786" ht="15" customHeight="1">
      <c r="A786" t="inlineStr">
        <is>
          <t>A 1361-2024</t>
        </is>
      </c>
      <c r="B786" s="1" t="n">
        <v>45303.5047337963</v>
      </c>
      <c r="C786" s="1" t="n">
        <v>46166</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58607-2025</t>
        </is>
      </c>
      <c r="B787" s="1" t="n">
        <v>45986.44212962963</v>
      </c>
      <c r="C787" s="1" t="n">
        <v>46166</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14837-2025</t>
        </is>
      </c>
      <c r="B788" s="1" t="n">
        <v>45743.38449074074</v>
      </c>
      <c r="C788" s="1" t="n">
        <v>46166</v>
      </c>
      <c r="D788" t="inlineStr">
        <is>
          <t>JÄMTLANDS LÄN</t>
        </is>
      </c>
      <c r="E788" t="inlineStr">
        <is>
          <t>HÄRJEDALEN</t>
        </is>
      </c>
      <c r="G788" t="n">
        <v>7.5</v>
      </c>
      <c r="H788" t="n">
        <v>0</v>
      </c>
      <c r="I788" t="n">
        <v>0</v>
      </c>
      <c r="J788" t="n">
        <v>0</v>
      </c>
      <c r="K788" t="n">
        <v>0</v>
      </c>
      <c r="L788" t="n">
        <v>0</v>
      </c>
      <c r="M788" t="n">
        <v>0</v>
      </c>
      <c r="N788" t="n">
        <v>0</v>
      </c>
      <c r="O788" t="n">
        <v>0</v>
      </c>
      <c r="P788" t="n">
        <v>0</v>
      </c>
      <c r="Q788" t="n">
        <v>0</v>
      </c>
      <c r="R788" s="2" t="inlineStr"/>
    </row>
    <row r="789" ht="15" customHeight="1">
      <c r="A789" t="inlineStr">
        <is>
          <t>A 58694-2025</t>
        </is>
      </c>
      <c r="B789" s="1" t="n">
        <v>45986.585</v>
      </c>
      <c r="C789" s="1" t="n">
        <v>46166</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59116-2025</t>
        </is>
      </c>
      <c r="B790" s="1" t="n">
        <v>45988.49009259259</v>
      </c>
      <c r="C790" s="1" t="n">
        <v>46166</v>
      </c>
      <c r="D790" t="inlineStr">
        <is>
          <t>JÄMTLANDS LÄN</t>
        </is>
      </c>
      <c r="E790" t="inlineStr">
        <is>
          <t>HÄRJEDALEN</t>
        </is>
      </c>
      <c r="G790" t="n">
        <v>10.5</v>
      </c>
      <c r="H790" t="n">
        <v>0</v>
      </c>
      <c r="I790" t="n">
        <v>0</v>
      </c>
      <c r="J790" t="n">
        <v>0</v>
      </c>
      <c r="K790" t="n">
        <v>0</v>
      </c>
      <c r="L790" t="n">
        <v>0</v>
      </c>
      <c r="M790" t="n">
        <v>0</v>
      </c>
      <c r="N790" t="n">
        <v>0</v>
      </c>
      <c r="O790" t="n">
        <v>0</v>
      </c>
      <c r="P790" t="n">
        <v>0</v>
      </c>
      <c r="Q790" t="n">
        <v>0</v>
      </c>
      <c r="R790" s="2" t="inlineStr"/>
    </row>
    <row r="791" ht="15" customHeight="1">
      <c r="A791" t="inlineStr">
        <is>
          <t>A 59118-2025</t>
        </is>
      </c>
      <c r="B791" s="1" t="n">
        <v>45988.49023148148</v>
      </c>
      <c r="C791" s="1" t="n">
        <v>46166</v>
      </c>
      <c r="D791" t="inlineStr">
        <is>
          <t>JÄMTLANDS LÄN</t>
        </is>
      </c>
      <c r="E791" t="inlineStr">
        <is>
          <t>HÄRJEDALEN</t>
        </is>
      </c>
      <c r="G791" t="n">
        <v>2</v>
      </c>
      <c r="H791" t="n">
        <v>0</v>
      </c>
      <c r="I791" t="n">
        <v>0</v>
      </c>
      <c r="J791" t="n">
        <v>0</v>
      </c>
      <c r="K791" t="n">
        <v>0</v>
      </c>
      <c r="L791" t="n">
        <v>0</v>
      </c>
      <c r="M791" t="n">
        <v>0</v>
      </c>
      <c r="N791" t="n">
        <v>0</v>
      </c>
      <c r="O791" t="n">
        <v>0</v>
      </c>
      <c r="P791" t="n">
        <v>0</v>
      </c>
      <c r="Q791" t="n">
        <v>0</v>
      </c>
      <c r="R791" s="2" t="inlineStr"/>
    </row>
    <row r="792" ht="15" customHeight="1">
      <c r="A792" t="inlineStr">
        <is>
          <t>A 59496-2025</t>
        </is>
      </c>
      <c r="B792" s="1" t="n">
        <v>45989.61563657408</v>
      </c>
      <c r="C792" s="1" t="n">
        <v>46166</v>
      </c>
      <c r="D792" t="inlineStr">
        <is>
          <t>JÄMTLANDS LÄN</t>
        </is>
      </c>
      <c r="E792" t="inlineStr">
        <is>
          <t>HÄRJEDALEN</t>
        </is>
      </c>
      <c r="G792" t="n">
        <v>1.1</v>
      </c>
      <c r="H792" t="n">
        <v>0</v>
      </c>
      <c r="I792" t="n">
        <v>0</v>
      </c>
      <c r="J792" t="n">
        <v>0</v>
      </c>
      <c r="K792" t="n">
        <v>0</v>
      </c>
      <c r="L792" t="n">
        <v>0</v>
      </c>
      <c r="M792" t="n">
        <v>0</v>
      </c>
      <c r="N792" t="n">
        <v>0</v>
      </c>
      <c r="O792" t="n">
        <v>0</v>
      </c>
      <c r="P792" t="n">
        <v>0</v>
      </c>
      <c r="Q792" t="n">
        <v>0</v>
      </c>
      <c r="R792" s="2" t="inlineStr"/>
    </row>
    <row r="793" ht="15" customHeight="1">
      <c r="A793" t="inlineStr">
        <is>
          <t>A 59507-2025</t>
        </is>
      </c>
      <c r="B793" s="1" t="n">
        <v>45989.64166666667</v>
      </c>
      <c r="C793" s="1" t="n">
        <v>46166</v>
      </c>
      <c r="D793" t="inlineStr">
        <is>
          <t>JÄMTLANDS LÄN</t>
        </is>
      </c>
      <c r="E793" t="inlineStr">
        <is>
          <t>HÄRJEDALEN</t>
        </is>
      </c>
      <c r="G793" t="n">
        <v>0.5</v>
      </c>
      <c r="H793" t="n">
        <v>0</v>
      </c>
      <c r="I793" t="n">
        <v>0</v>
      </c>
      <c r="J793" t="n">
        <v>0</v>
      </c>
      <c r="K793" t="n">
        <v>0</v>
      </c>
      <c r="L793" t="n">
        <v>0</v>
      </c>
      <c r="M793" t="n">
        <v>0</v>
      </c>
      <c r="N793" t="n">
        <v>0</v>
      </c>
      <c r="O793" t="n">
        <v>0</v>
      </c>
      <c r="P793" t="n">
        <v>0</v>
      </c>
      <c r="Q793" t="n">
        <v>0</v>
      </c>
      <c r="R793" s="2" t="inlineStr"/>
    </row>
    <row r="794" ht="15" customHeight="1">
      <c r="A794" t="inlineStr">
        <is>
          <t>A 59321-2025</t>
        </is>
      </c>
      <c r="B794" s="1" t="n">
        <v>45988</v>
      </c>
      <c r="C794" s="1" t="n">
        <v>46166</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29766-2024</t>
        </is>
      </c>
      <c r="B795" s="1" t="n">
        <v>45485</v>
      </c>
      <c r="C795" s="1" t="n">
        <v>46166</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54502-2024</t>
        </is>
      </c>
      <c r="B796" s="1" t="n">
        <v>45617</v>
      </c>
      <c r="C796" s="1" t="n">
        <v>46166</v>
      </c>
      <c r="D796" t="inlineStr">
        <is>
          <t>JÄMTLANDS LÄN</t>
        </is>
      </c>
      <c r="E796" t="inlineStr">
        <is>
          <t>HÄRJEDALEN</t>
        </is>
      </c>
      <c r="F796" t="inlineStr">
        <is>
          <t>Holmen skog AB</t>
        </is>
      </c>
      <c r="G796" t="n">
        <v>8.4</v>
      </c>
      <c r="H796" t="n">
        <v>0</v>
      </c>
      <c r="I796" t="n">
        <v>0</v>
      </c>
      <c r="J796" t="n">
        <v>0</v>
      </c>
      <c r="K796" t="n">
        <v>0</v>
      </c>
      <c r="L796" t="n">
        <v>0</v>
      </c>
      <c r="M796" t="n">
        <v>0</v>
      </c>
      <c r="N796" t="n">
        <v>0</v>
      </c>
      <c r="O796" t="n">
        <v>0</v>
      </c>
      <c r="P796" t="n">
        <v>0</v>
      </c>
      <c r="Q796" t="n">
        <v>0</v>
      </c>
      <c r="R796" s="2" t="inlineStr"/>
    </row>
    <row r="797" ht="15" customHeight="1">
      <c r="A797" t="inlineStr">
        <is>
          <t>A 59470-2025</t>
        </is>
      </c>
      <c r="B797" s="1" t="n">
        <v>45989.58270833334</v>
      </c>
      <c r="C797" s="1" t="n">
        <v>46166</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59480-2025</t>
        </is>
      </c>
      <c r="B798" s="1" t="n">
        <v>45989.58947916667</v>
      </c>
      <c r="C798" s="1" t="n">
        <v>46166</v>
      </c>
      <c r="D798" t="inlineStr">
        <is>
          <t>JÄMTLANDS LÄN</t>
        </is>
      </c>
      <c r="E798" t="inlineStr">
        <is>
          <t>HÄRJEDALEN</t>
        </is>
      </c>
      <c r="G798" t="n">
        <v>0.7</v>
      </c>
      <c r="H798" t="n">
        <v>0</v>
      </c>
      <c r="I798" t="n">
        <v>0</v>
      </c>
      <c r="J798" t="n">
        <v>0</v>
      </c>
      <c r="K798" t="n">
        <v>0</v>
      </c>
      <c r="L798" t="n">
        <v>0</v>
      </c>
      <c r="M798" t="n">
        <v>0</v>
      </c>
      <c r="N798" t="n">
        <v>0</v>
      </c>
      <c r="O798" t="n">
        <v>0</v>
      </c>
      <c r="P798" t="n">
        <v>0</v>
      </c>
      <c r="Q798" t="n">
        <v>0</v>
      </c>
      <c r="R798" s="2" t="inlineStr"/>
    </row>
    <row r="799" ht="15" customHeight="1">
      <c r="A799" t="inlineStr">
        <is>
          <t>A 59430-2025</t>
        </is>
      </c>
      <c r="B799" s="1" t="n">
        <v>45989.54789351852</v>
      </c>
      <c r="C799" s="1" t="n">
        <v>46166</v>
      </c>
      <c r="D799" t="inlineStr">
        <is>
          <t>JÄMTLANDS LÄN</t>
        </is>
      </c>
      <c r="E799" t="inlineStr">
        <is>
          <t>HÄRJEDALEN</t>
        </is>
      </c>
      <c r="G799" t="n">
        <v>0.4</v>
      </c>
      <c r="H799" t="n">
        <v>0</v>
      </c>
      <c r="I799" t="n">
        <v>0</v>
      </c>
      <c r="J799" t="n">
        <v>0</v>
      </c>
      <c r="K799" t="n">
        <v>0</v>
      </c>
      <c r="L799" t="n">
        <v>0</v>
      </c>
      <c r="M799" t="n">
        <v>0</v>
      </c>
      <c r="N799" t="n">
        <v>0</v>
      </c>
      <c r="O799" t="n">
        <v>0</v>
      </c>
      <c r="P799" t="n">
        <v>0</v>
      </c>
      <c r="Q799" t="n">
        <v>0</v>
      </c>
      <c r="R799" s="2" t="inlineStr"/>
    </row>
    <row r="800" ht="15" customHeight="1">
      <c r="A800" t="inlineStr">
        <is>
          <t>A 59509-2025</t>
        </is>
      </c>
      <c r="B800" s="1" t="n">
        <v>45989.64364583333</v>
      </c>
      <c r="C800" s="1" t="n">
        <v>46166</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4225-2025</t>
        </is>
      </c>
      <c r="B801" s="1" t="n">
        <v>45685.5349074074</v>
      </c>
      <c r="C801" s="1" t="n">
        <v>46166</v>
      </c>
      <c r="D801" t="inlineStr">
        <is>
          <t>JÄMTLANDS LÄN</t>
        </is>
      </c>
      <c r="E801" t="inlineStr">
        <is>
          <t>HÄRJEDALEN</t>
        </is>
      </c>
      <c r="F801" t="inlineStr">
        <is>
          <t>Bergvik skog väst AB</t>
        </is>
      </c>
      <c r="G801" t="n">
        <v>13.4</v>
      </c>
      <c r="H801" t="n">
        <v>0</v>
      </c>
      <c r="I801" t="n">
        <v>0</v>
      </c>
      <c r="J801" t="n">
        <v>0</v>
      </c>
      <c r="K801" t="n">
        <v>0</v>
      </c>
      <c r="L801" t="n">
        <v>0</v>
      </c>
      <c r="M801" t="n">
        <v>0</v>
      </c>
      <c r="N801" t="n">
        <v>0</v>
      </c>
      <c r="O801" t="n">
        <v>0</v>
      </c>
      <c r="P801" t="n">
        <v>0</v>
      </c>
      <c r="Q801" t="n">
        <v>0</v>
      </c>
      <c r="R801" s="2" t="inlineStr"/>
    </row>
    <row r="802" ht="15" customHeight="1">
      <c r="A802" t="inlineStr">
        <is>
          <t>A 59117-2025</t>
        </is>
      </c>
      <c r="B802" s="1" t="n">
        <v>45988.49011574074</v>
      </c>
      <c r="C802" s="1" t="n">
        <v>46166</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54527-2024</t>
        </is>
      </c>
      <c r="B803" s="1" t="n">
        <v>45617</v>
      </c>
      <c r="C803" s="1" t="n">
        <v>46166</v>
      </c>
      <c r="D803" t="inlineStr">
        <is>
          <t>JÄMTLANDS LÄN</t>
        </is>
      </c>
      <c r="E803" t="inlineStr">
        <is>
          <t>HÄRJEDALEN</t>
        </is>
      </c>
      <c r="F803" t="inlineStr">
        <is>
          <t>Holmen skog AB</t>
        </is>
      </c>
      <c r="G803" t="n">
        <v>8.5</v>
      </c>
      <c r="H803" t="n">
        <v>0</v>
      </c>
      <c r="I803" t="n">
        <v>0</v>
      </c>
      <c r="J803" t="n">
        <v>0</v>
      </c>
      <c r="K803" t="n">
        <v>0</v>
      </c>
      <c r="L803" t="n">
        <v>0</v>
      </c>
      <c r="M803" t="n">
        <v>0</v>
      </c>
      <c r="N803" t="n">
        <v>0</v>
      </c>
      <c r="O803" t="n">
        <v>0</v>
      </c>
      <c r="P803" t="n">
        <v>0</v>
      </c>
      <c r="Q803" t="n">
        <v>0</v>
      </c>
      <c r="R803" s="2" t="inlineStr"/>
    </row>
    <row r="804" ht="15" customHeight="1">
      <c r="A804" t="inlineStr">
        <is>
          <t>A 30404-2024</t>
        </is>
      </c>
      <c r="B804" s="1" t="n">
        <v>45491.5859375</v>
      </c>
      <c r="C804" s="1" t="n">
        <v>46166</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59360-2025</t>
        </is>
      </c>
      <c r="B805" s="1" t="n">
        <v>45989.42842592593</v>
      </c>
      <c r="C805" s="1" t="n">
        <v>46166</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59364-2025</t>
        </is>
      </c>
      <c r="B806" s="1" t="n">
        <v>45989.4393287037</v>
      </c>
      <c r="C806" s="1" t="n">
        <v>46166</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46166</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44060-2024</t>
        </is>
      </c>
      <c r="B808" s="1" t="n">
        <v>45572.60001157408</v>
      </c>
      <c r="C808" s="1" t="n">
        <v>46166</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59981-2025</t>
        </is>
      </c>
      <c r="B809" s="1" t="n">
        <v>45993.53554398148</v>
      </c>
      <c r="C809" s="1" t="n">
        <v>46166</v>
      </c>
      <c r="D809" t="inlineStr">
        <is>
          <t>JÄMTLANDS LÄN</t>
        </is>
      </c>
      <c r="E809" t="inlineStr">
        <is>
          <t>HÄRJEDALEN</t>
        </is>
      </c>
      <c r="G809" t="n">
        <v>4.5</v>
      </c>
      <c r="H809" t="n">
        <v>0</v>
      </c>
      <c r="I809" t="n">
        <v>0</v>
      </c>
      <c r="J809" t="n">
        <v>0</v>
      </c>
      <c r="K809" t="n">
        <v>0</v>
      </c>
      <c r="L809" t="n">
        <v>0</v>
      </c>
      <c r="M809" t="n">
        <v>0</v>
      </c>
      <c r="N809" t="n">
        <v>0</v>
      </c>
      <c r="O809" t="n">
        <v>0</v>
      </c>
      <c r="P809" t="n">
        <v>0</v>
      </c>
      <c r="Q809" t="n">
        <v>0</v>
      </c>
      <c r="R809" s="2" t="inlineStr"/>
    </row>
    <row r="810" ht="15" customHeight="1">
      <c r="A810" t="inlineStr">
        <is>
          <t>A 59608-2025</t>
        </is>
      </c>
      <c r="B810" s="1" t="n">
        <v>45992.3653587963</v>
      </c>
      <c r="C810" s="1" t="n">
        <v>46166</v>
      </c>
      <c r="D810" t="inlineStr">
        <is>
          <t>JÄMTLANDS LÄN</t>
        </is>
      </c>
      <c r="E810" t="inlineStr">
        <is>
          <t>HÄRJEDALEN</t>
        </is>
      </c>
      <c r="G810" t="n">
        <v>12.2</v>
      </c>
      <c r="H810" t="n">
        <v>0</v>
      </c>
      <c r="I810" t="n">
        <v>0</v>
      </c>
      <c r="J810" t="n">
        <v>0</v>
      </c>
      <c r="K810" t="n">
        <v>0</v>
      </c>
      <c r="L810" t="n">
        <v>0</v>
      </c>
      <c r="M810" t="n">
        <v>0</v>
      </c>
      <c r="N810" t="n">
        <v>0</v>
      </c>
      <c r="O810" t="n">
        <v>0</v>
      </c>
      <c r="P810" t="n">
        <v>0</v>
      </c>
      <c r="Q810" t="n">
        <v>0</v>
      </c>
      <c r="R810" s="2" t="inlineStr"/>
    </row>
    <row r="811" ht="15" customHeight="1">
      <c r="A811" t="inlineStr">
        <is>
          <t>A 43297-2024</t>
        </is>
      </c>
      <c r="B811" s="1" t="n">
        <v>45568</v>
      </c>
      <c r="C811" s="1" t="n">
        <v>46166</v>
      </c>
      <c r="D811" t="inlineStr">
        <is>
          <t>JÄMTLANDS LÄN</t>
        </is>
      </c>
      <c r="E811" t="inlineStr">
        <is>
          <t>HÄRJEDALEN</t>
        </is>
      </c>
      <c r="F811" t="inlineStr">
        <is>
          <t>SCA</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5101-2025</t>
        </is>
      </c>
      <c r="B812" s="1" t="n">
        <v>45691</v>
      </c>
      <c r="C812" s="1" t="n">
        <v>46166</v>
      </c>
      <c r="D812" t="inlineStr">
        <is>
          <t>JÄMTLANDS LÄN</t>
        </is>
      </c>
      <c r="E812" t="inlineStr">
        <is>
          <t>HÄRJEDALEN</t>
        </is>
      </c>
      <c r="F812" t="inlineStr">
        <is>
          <t>Holmen skog AB</t>
        </is>
      </c>
      <c r="G812" t="n">
        <v>33.5</v>
      </c>
      <c r="H812" t="n">
        <v>0</v>
      </c>
      <c r="I812" t="n">
        <v>0</v>
      </c>
      <c r="J812" t="n">
        <v>0</v>
      </c>
      <c r="K812" t="n">
        <v>0</v>
      </c>
      <c r="L812" t="n">
        <v>0</v>
      </c>
      <c r="M812" t="n">
        <v>0</v>
      </c>
      <c r="N812" t="n">
        <v>0</v>
      </c>
      <c r="O812" t="n">
        <v>0</v>
      </c>
      <c r="P812" t="n">
        <v>0</v>
      </c>
      <c r="Q812" t="n">
        <v>0</v>
      </c>
      <c r="R812" s="2" t="inlineStr"/>
    </row>
    <row r="813" ht="15" customHeight="1">
      <c r="A813" t="inlineStr">
        <is>
          <t>A 5113-2025</t>
        </is>
      </c>
      <c r="B813" s="1" t="n">
        <v>45691</v>
      </c>
      <c r="C813" s="1" t="n">
        <v>46166</v>
      </c>
      <c r="D813" t="inlineStr">
        <is>
          <t>JÄMTLANDS LÄN</t>
        </is>
      </c>
      <c r="E813" t="inlineStr">
        <is>
          <t>HÄRJEDALEN</t>
        </is>
      </c>
      <c r="F813" t="inlineStr">
        <is>
          <t>Holmen skog AB</t>
        </is>
      </c>
      <c r="G813" t="n">
        <v>25.9</v>
      </c>
      <c r="H813" t="n">
        <v>0</v>
      </c>
      <c r="I813" t="n">
        <v>0</v>
      </c>
      <c r="J813" t="n">
        <v>0</v>
      </c>
      <c r="K813" t="n">
        <v>0</v>
      </c>
      <c r="L813" t="n">
        <v>0</v>
      </c>
      <c r="M813" t="n">
        <v>0</v>
      </c>
      <c r="N813" t="n">
        <v>0</v>
      </c>
      <c r="O813" t="n">
        <v>0</v>
      </c>
      <c r="P813" t="n">
        <v>0</v>
      </c>
      <c r="Q813" t="n">
        <v>0</v>
      </c>
      <c r="R813" s="2" t="inlineStr"/>
    </row>
    <row r="814" ht="15" customHeight="1">
      <c r="A814" t="inlineStr">
        <is>
          <t>A 18953-2025</t>
        </is>
      </c>
      <c r="B814" s="1" t="n">
        <v>45764</v>
      </c>
      <c r="C814" s="1" t="n">
        <v>46166</v>
      </c>
      <c r="D814" t="inlineStr">
        <is>
          <t>JÄMTLANDS LÄN</t>
        </is>
      </c>
      <c r="E814" t="inlineStr">
        <is>
          <t>HÄRJEDALEN</t>
        </is>
      </c>
      <c r="G814" t="n">
        <v>14.3</v>
      </c>
      <c r="H814" t="n">
        <v>0</v>
      </c>
      <c r="I814" t="n">
        <v>0</v>
      </c>
      <c r="J814" t="n">
        <v>0</v>
      </c>
      <c r="K814" t="n">
        <v>0</v>
      </c>
      <c r="L814" t="n">
        <v>0</v>
      </c>
      <c r="M814" t="n">
        <v>0</v>
      </c>
      <c r="N814" t="n">
        <v>0</v>
      </c>
      <c r="O814" t="n">
        <v>0</v>
      </c>
      <c r="P814" t="n">
        <v>0</v>
      </c>
      <c r="Q814" t="n">
        <v>0</v>
      </c>
      <c r="R814" s="2" t="inlineStr"/>
    </row>
    <row r="815" ht="15" customHeight="1">
      <c r="A815" t="inlineStr">
        <is>
          <t>A 54331-2021</t>
        </is>
      </c>
      <c r="B815" s="1" t="n">
        <v>44472</v>
      </c>
      <c r="C815" s="1" t="n">
        <v>46166</v>
      </c>
      <c r="D815" t="inlineStr">
        <is>
          <t>JÄMTLANDS LÄN</t>
        </is>
      </c>
      <c r="E815" t="inlineStr">
        <is>
          <t>HÄRJEDALEN</t>
        </is>
      </c>
      <c r="G815" t="n">
        <v>0.7</v>
      </c>
      <c r="H815" t="n">
        <v>0</v>
      </c>
      <c r="I815" t="n">
        <v>0</v>
      </c>
      <c r="J815" t="n">
        <v>0</v>
      </c>
      <c r="K815" t="n">
        <v>0</v>
      </c>
      <c r="L815" t="n">
        <v>0</v>
      </c>
      <c r="M815" t="n">
        <v>0</v>
      </c>
      <c r="N815" t="n">
        <v>0</v>
      </c>
      <c r="O815" t="n">
        <v>0</v>
      </c>
      <c r="P815" t="n">
        <v>0</v>
      </c>
      <c r="Q815" t="n">
        <v>0</v>
      </c>
      <c r="R815" s="2" t="inlineStr"/>
    </row>
    <row r="816" ht="15" customHeight="1">
      <c r="A816" t="inlineStr">
        <is>
          <t>A 60413-2025</t>
        </is>
      </c>
      <c r="B816" s="1" t="n">
        <v>45995.44887731481</v>
      </c>
      <c r="C816" s="1" t="n">
        <v>46166</v>
      </c>
      <c r="D816" t="inlineStr">
        <is>
          <t>JÄMTLANDS LÄN</t>
        </is>
      </c>
      <c r="E816" t="inlineStr">
        <is>
          <t>HÄRJEDALEN</t>
        </is>
      </c>
      <c r="G816" t="n">
        <v>3.6</v>
      </c>
      <c r="H816" t="n">
        <v>0</v>
      </c>
      <c r="I816" t="n">
        <v>0</v>
      </c>
      <c r="J816" t="n">
        <v>0</v>
      </c>
      <c r="K816" t="n">
        <v>0</v>
      </c>
      <c r="L816" t="n">
        <v>0</v>
      </c>
      <c r="M816" t="n">
        <v>0</v>
      </c>
      <c r="N816" t="n">
        <v>0</v>
      </c>
      <c r="O816" t="n">
        <v>0</v>
      </c>
      <c r="P816" t="n">
        <v>0</v>
      </c>
      <c r="Q816" t="n">
        <v>0</v>
      </c>
      <c r="R816" s="2" t="inlineStr"/>
    </row>
    <row r="817" ht="15" customHeight="1">
      <c r="A817" t="inlineStr">
        <is>
          <t>A 60547-2025</t>
        </is>
      </c>
      <c r="B817" s="1" t="n">
        <v>45995.70358796296</v>
      </c>
      <c r="C817" s="1" t="n">
        <v>46166</v>
      </c>
      <c r="D817" t="inlineStr">
        <is>
          <t>JÄMTLANDS LÄN</t>
        </is>
      </c>
      <c r="E817" t="inlineStr">
        <is>
          <t>HÄRJEDALEN</t>
        </is>
      </c>
      <c r="G817" t="n">
        <v>7.9</v>
      </c>
      <c r="H817" t="n">
        <v>0</v>
      </c>
      <c r="I817" t="n">
        <v>0</v>
      </c>
      <c r="J817" t="n">
        <v>0</v>
      </c>
      <c r="K817" t="n">
        <v>0</v>
      </c>
      <c r="L817" t="n">
        <v>0</v>
      </c>
      <c r="M817" t="n">
        <v>0</v>
      </c>
      <c r="N817" t="n">
        <v>0</v>
      </c>
      <c r="O817" t="n">
        <v>0</v>
      </c>
      <c r="P817" t="n">
        <v>0</v>
      </c>
      <c r="Q817" t="n">
        <v>0</v>
      </c>
      <c r="R817" s="2" t="inlineStr"/>
    </row>
    <row r="818" ht="15" customHeight="1">
      <c r="A818" t="inlineStr">
        <is>
          <t>A 60412-2025</t>
        </is>
      </c>
      <c r="B818" s="1" t="n">
        <v>45995.44881944444</v>
      </c>
      <c r="C818" s="1" t="n">
        <v>46166</v>
      </c>
      <c r="D818" t="inlineStr">
        <is>
          <t>JÄMTLANDS LÄN</t>
        </is>
      </c>
      <c r="E818" t="inlineStr">
        <is>
          <t>HÄRJEDALEN</t>
        </is>
      </c>
      <c r="G818" t="n">
        <v>10</v>
      </c>
      <c r="H818" t="n">
        <v>0</v>
      </c>
      <c r="I818" t="n">
        <v>0</v>
      </c>
      <c r="J818" t="n">
        <v>0</v>
      </c>
      <c r="K818" t="n">
        <v>0</v>
      </c>
      <c r="L818" t="n">
        <v>0</v>
      </c>
      <c r="M818" t="n">
        <v>0</v>
      </c>
      <c r="N818" t="n">
        <v>0</v>
      </c>
      <c r="O818" t="n">
        <v>0</v>
      </c>
      <c r="P818" t="n">
        <v>0</v>
      </c>
      <c r="Q818" t="n">
        <v>0</v>
      </c>
      <c r="R818" s="2" t="inlineStr"/>
    </row>
    <row r="819" ht="15" customHeight="1">
      <c r="A819" t="inlineStr">
        <is>
          <t>A 63741-2025</t>
        </is>
      </c>
      <c r="B819" s="1" t="n">
        <v>46015</v>
      </c>
      <c r="C819" s="1" t="n">
        <v>46166</v>
      </c>
      <c r="D819" t="inlineStr">
        <is>
          <t>JÄMTLANDS LÄN</t>
        </is>
      </c>
      <c r="E819" t="inlineStr">
        <is>
          <t>HÄRJEDALEN</t>
        </is>
      </c>
      <c r="G819" t="n">
        <v>21.3</v>
      </c>
      <c r="H819" t="n">
        <v>0</v>
      </c>
      <c r="I819" t="n">
        <v>0</v>
      </c>
      <c r="J819" t="n">
        <v>0</v>
      </c>
      <c r="K819" t="n">
        <v>0</v>
      </c>
      <c r="L819" t="n">
        <v>0</v>
      </c>
      <c r="M819" t="n">
        <v>0</v>
      </c>
      <c r="N819" t="n">
        <v>0</v>
      </c>
      <c r="O819" t="n">
        <v>0</v>
      </c>
      <c r="P819" t="n">
        <v>0</v>
      </c>
      <c r="Q819" t="n">
        <v>0</v>
      </c>
      <c r="R819" s="2" t="inlineStr"/>
    </row>
    <row r="820" ht="15" customHeight="1">
      <c r="A820" t="inlineStr">
        <is>
          <t>A 53958-2025</t>
        </is>
      </c>
      <c r="B820" s="1" t="n">
        <v>45961</v>
      </c>
      <c r="C820" s="1" t="n">
        <v>46166</v>
      </c>
      <c r="D820" t="inlineStr">
        <is>
          <t>JÄMTLANDS LÄN</t>
        </is>
      </c>
      <c r="E820" t="inlineStr">
        <is>
          <t>HÄRJEDALEN</t>
        </is>
      </c>
      <c r="G820" t="n">
        <v>6.6</v>
      </c>
      <c r="H820" t="n">
        <v>0</v>
      </c>
      <c r="I820" t="n">
        <v>0</v>
      </c>
      <c r="J820" t="n">
        <v>0</v>
      </c>
      <c r="K820" t="n">
        <v>0</v>
      </c>
      <c r="L820" t="n">
        <v>0</v>
      </c>
      <c r="M820" t="n">
        <v>0</v>
      </c>
      <c r="N820" t="n">
        <v>0</v>
      </c>
      <c r="O820" t="n">
        <v>0</v>
      </c>
      <c r="P820" t="n">
        <v>0</v>
      </c>
      <c r="Q820" t="n">
        <v>0</v>
      </c>
      <c r="R820" s="2" t="inlineStr"/>
    </row>
    <row r="821" ht="15" customHeight="1">
      <c r="A821" t="inlineStr">
        <is>
          <t>A 6304-2024</t>
        </is>
      </c>
      <c r="B821" s="1" t="n">
        <v>45338</v>
      </c>
      <c r="C821" s="1" t="n">
        <v>46166</v>
      </c>
      <c r="D821" t="inlineStr">
        <is>
          <t>JÄMTLANDS LÄN</t>
        </is>
      </c>
      <c r="E821" t="inlineStr">
        <is>
          <t>HÄRJEDALEN</t>
        </is>
      </c>
      <c r="F821" t="inlineStr">
        <is>
          <t>Bergvik skog väst AB</t>
        </is>
      </c>
      <c r="G821" t="n">
        <v>23.5</v>
      </c>
      <c r="H821" t="n">
        <v>0</v>
      </c>
      <c r="I821" t="n">
        <v>0</v>
      </c>
      <c r="J821" t="n">
        <v>0</v>
      </c>
      <c r="K821" t="n">
        <v>0</v>
      </c>
      <c r="L821" t="n">
        <v>0</v>
      </c>
      <c r="M821" t="n">
        <v>0</v>
      </c>
      <c r="N821" t="n">
        <v>0</v>
      </c>
      <c r="O821" t="n">
        <v>0</v>
      </c>
      <c r="P821" t="n">
        <v>0</v>
      </c>
      <c r="Q821" t="n">
        <v>0</v>
      </c>
      <c r="R821" s="2" t="inlineStr"/>
    </row>
    <row r="822" ht="15" customHeight="1">
      <c r="A822" t="inlineStr">
        <is>
          <t>A 60581-2025</t>
        </is>
      </c>
      <c r="B822" s="1" t="n">
        <v>45996.33150462963</v>
      </c>
      <c r="C822" s="1" t="n">
        <v>46166</v>
      </c>
      <c r="D822" t="inlineStr">
        <is>
          <t>JÄMTLANDS LÄN</t>
        </is>
      </c>
      <c r="E822" t="inlineStr">
        <is>
          <t>HÄRJEDALEN</t>
        </is>
      </c>
      <c r="G822" t="n">
        <v>6.1</v>
      </c>
      <c r="H822" t="n">
        <v>0</v>
      </c>
      <c r="I822" t="n">
        <v>0</v>
      </c>
      <c r="J822" t="n">
        <v>0</v>
      </c>
      <c r="K822" t="n">
        <v>0</v>
      </c>
      <c r="L822" t="n">
        <v>0</v>
      </c>
      <c r="M822" t="n">
        <v>0</v>
      </c>
      <c r="N822" t="n">
        <v>0</v>
      </c>
      <c r="O822" t="n">
        <v>0</v>
      </c>
      <c r="P822" t="n">
        <v>0</v>
      </c>
      <c r="Q822" t="n">
        <v>0</v>
      </c>
      <c r="R822" s="2" t="inlineStr"/>
    </row>
    <row r="823" ht="15" customHeight="1">
      <c r="A823" t="inlineStr">
        <is>
          <t>A 60588-2025</t>
        </is>
      </c>
      <c r="B823" s="1" t="n">
        <v>45996.33506944445</v>
      </c>
      <c r="C823" s="1" t="n">
        <v>46166</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60615-2025</t>
        </is>
      </c>
      <c r="B824" s="1" t="n">
        <v>45996.36813657408</v>
      </c>
      <c r="C824" s="1" t="n">
        <v>46166</v>
      </c>
      <c r="D824" t="inlineStr">
        <is>
          <t>JÄMTLANDS LÄN</t>
        </is>
      </c>
      <c r="E824" t="inlineStr">
        <is>
          <t>HÄRJEDALEN</t>
        </is>
      </c>
      <c r="G824" t="n">
        <v>0.6</v>
      </c>
      <c r="H824" t="n">
        <v>0</v>
      </c>
      <c r="I824" t="n">
        <v>0</v>
      </c>
      <c r="J824" t="n">
        <v>0</v>
      </c>
      <c r="K824" t="n">
        <v>0</v>
      </c>
      <c r="L824" t="n">
        <v>0</v>
      </c>
      <c r="M824" t="n">
        <v>0</v>
      </c>
      <c r="N824" t="n">
        <v>0</v>
      </c>
      <c r="O824" t="n">
        <v>0</v>
      </c>
      <c r="P824" t="n">
        <v>0</v>
      </c>
      <c r="Q824" t="n">
        <v>0</v>
      </c>
      <c r="R824" s="2" t="inlineStr"/>
    </row>
    <row r="825" ht="15" customHeight="1">
      <c r="A825" t="inlineStr">
        <is>
          <t>A 34453-2021</t>
        </is>
      </c>
      <c r="B825" s="1" t="n">
        <v>44381</v>
      </c>
      <c r="C825" s="1" t="n">
        <v>46166</v>
      </c>
      <c r="D825" t="inlineStr">
        <is>
          <t>JÄMTLANDS LÄN</t>
        </is>
      </c>
      <c r="E825" t="inlineStr">
        <is>
          <t>HÄRJEDALEN</t>
        </is>
      </c>
      <c r="G825" t="n">
        <v>12.7</v>
      </c>
      <c r="H825" t="n">
        <v>0</v>
      </c>
      <c r="I825" t="n">
        <v>0</v>
      </c>
      <c r="J825" t="n">
        <v>0</v>
      </c>
      <c r="K825" t="n">
        <v>0</v>
      </c>
      <c r="L825" t="n">
        <v>0</v>
      </c>
      <c r="M825" t="n">
        <v>0</v>
      </c>
      <c r="N825" t="n">
        <v>0</v>
      </c>
      <c r="O825" t="n">
        <v>0</v>
      </c>
      <c r="P825" t="n">
        <v>0</v>
      </c>
      <c r="Q825" t="n">
        <v>0</v>
      </c>
      <c r="R825" s="2" t="inlineStr"/>
    </row>
    <row r="826" ht="15" customHeight="1">
      <c r="A826" t="inlineStr">
        <is>
          <t>A 60605-2025</t>
        </is>
      </c>
      <c r="B826" s="1" t="n">
        <v>45996.359375</v>
      </c>
      <c r="C826" s="1" t="n">
        <v>46166</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60602-2025</t>
        </is>
      </c>
      <c r="B827" s="1" t="n">
        <v>45996.3533912037</v>
      </c>
      <c r="C827" s="1" t="n">
        <v>46166</v>
      </c>
      <c r="D827" t="inlineStr">
        <is>
          <t>JÄMTLANDS LÄN</t>
        </is>
      </c>
      <c r="E827" t="inlineStr">
        <is>
          <t>HÄRJEDALEN</t>
        </is>
      </c>
      <c r="G827" t="n">
        <v>3.7</v>
      </c>
      <c r="H827" t="n">
        <v>0</v>
      </c>
      <c r="I827" t="n">
        <v>0</v>
      </c>
      <c r="J827" t="n">
        <v>0</v>
      </c>
      <c r="K827" t="n">
        <v>0</v>
      </c>
      <c r="L827" t="n">
        <v>0</v>
      </c>
      <c r="M827" t="n">
        <v>0</v>
      </c>
      <c r="N827" t="n">
        <v>0</v>
      </c>
      <c r="O827" t="n">
        <v>0</v>
      </c>
      <c r="P827" t="n">
        <v>0</v>
      </c>
      <c r="Q827" t="n">
        <v>0</v>
      </c>
      <c r="R827" s="2" t="inlineStr"/>
    </row>
    <row r="828" ht="15" customHeight="1">
      <c r="A828" t="inlineStr">
        <is>
          <t>A 51311-2024</t>
        </is>
      </c>
      <c r="B828" s="1" t="n">
        <v>45604.31657407407</v>
      </c>
      <c r="C828" s="1" t="n">
        <v>46166</v>
      </c>
      <c r="D828" t="inlineStr">
        <is>
          <t>JÄMTLANDS LÄN</t>
        </is>
      </c>
      <c r="E828" t="inlineStr">
        <is>
          <t>HÄRJEDALEN</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60980-2025</t>
        </is>
      </c>
      <c r="B829" s="1" t="n">
        <v>45999.70190972222</v>
      </c>
      <c r="C829" s="1" t="n">
        <v>46166</v>
      </c>
      <c r="D829" t="inlineStr">
        <is>
          <t>JÄMTLANDS LÄN</t>
        </is>
      </c>
      <c r="E829" t="inlineStr">
        <is>
          <t>HÄRJEDALEN</t>
        </is>
      </c>
      <c r="G829" t="n">
        <v>10.3</v>
      </c>
      <c r="H829" t="n">
        <v>0</v>
      </c>
      <c r="I829" t="n">
        <v>0</v>
      </c>
      <c r="J829" t="n">
        <v>0</v>
      </c>
      <c r="K829" t="n">
        <v>0</v>
      </c>
      <c r="L829" t="n">
        <v>0</v>
      </c>
      <c r="M829" t="n">
        <v>0</v>
      </c>
      <c r="N829" t="n">
        <v>0</v>
      </c>
      <c r="O829" t="n">
        <v>0</v>
      </c>
      <c r="P829" t="n">
        <v>0</v>
      </c>
      <c r="Q829" t="n">
        <v>0</v>
      </c>
      <c r="R829" s="2" t="inlineStr"/>
    </row>
    <row r="830" ht="15" customHeight="1">
      <c r="A830" t="inlineStr">
        <is>
          <t>A 60856-2025</t>
        </is>
      </c>
      <c r="B830" s="1" t="n">
        <v>45999.51965277778</v>
      </c>
      <c r="C830" s="1" t="n">
        <v>46166</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60568-2025</t>
        </is>
      </c>
      <c r="B831" s="1" t="n">
        <v>45995.84627314815</v>
      </c>
      <c r="C831" s="1" t="n">
        <v>46166</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60674-2025</t>
        </is>
      </c>
      <c r="B832" s="1" t="n">
        <v>45996.55619212963</v>
      </c>
      <c r="C832" s="1" t="n">
        <v>46166</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60777-2025</t>
        </is>
      </c>
      <c r="B833" s="1" t="n">
        <v>45999.39118055555</v>
      </c>
      <c r="C833" s="1" t="n">
        <v>46166</v>
      </c>
      <c r="D833" t="inlineStr">
        <is>
          <t>JÄMTLANDS LÄN</t>
        </is>
      </c>
      <c r="E833" t="inlineStr">
        <is>
          <t>HÄRJEDALEN</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17896-2025</t>
        </is>
      </c>
      <c r="B834" s="1" t="n">
        <v>45758.69638888889</v>
      </c>
      <c r="C834" s="1" t="n">
        <v>46166</v>
      </c>
      <c r="D834" t="inlineStr">
        <is>
          <t>JÄMTLANDS LÄN</t>
        </is>
      </c>
      <c r="E834" t="inlineStr">
        <is>
          <t>HÄRJEDALEN</t>
        </is>
      </c>
      <c r="G834" t="n">
        <v>5</v>
      </c>
      <c r="H834" t="n">
        <v>0</v>
      </c>
      <c r="I834" t="n">
        <v>0</v>
      </c>
      <c r="J834" t="n">
        <v>0</v>
      </c>
      <c r="K834" t="n">
        <v>0</v>
      </c>
      <c r="L834" t="n">
        <v>0</v>
      </c>
      <c r="M834" t="n">
        <v>0</v>
      </c>
      <c r="N834" t="n">
        <v>0</v>
      </c>
      <c r="O834" t="n">
        <v>0</v>
      </c>
      <c r="P834" t="n">
        <v>0</v>
      </c>
      <c r="Q834" t="n">
        <v>0</v>
      </c>
      <c r="R834" s="2" t="inlineStr"/>
    </row>
    <row r="835" ht="15" customHeight="1">
      <c r="A835" t="inlineStr">
        <is>
          <t>A 61240-2025</t>
        </is>
      </c>
      <c r="B835" s="1" t="n">
        <v>46000.65603009259</v>
      </c>
      <c r="C835" s="1" t="n">
        <v>46166</v>
      </c>
      <c r="D835" t="inlineStr">
        <is>
          <t>JÄMTLANDS LÄN</t>
        </is>
      </c>
      <c r="E835" t="inlineStr">
        <is>
          <t>HÄRJEDALEN</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30729-2024</t>
        </is>
      </c>
      <c r="B836" s="1" t="n">
        <v>45496.59202546296</v>
      </c>
      <c r="C836" s="1" t="n">
        <v>46166</v>
      </c>
      <c r="D836" t="inlineStr">
        <is>
          <t>JÄMTLANDS LÄN</t>
        </is>
      </c>
      <c r="E836" t="inlineStr">
        <is>
          <t>HÄRJEDALEN</t>
        </is>
      </c>
      <c r="F836" t="inlineStr">
        <is>
          <t>Bergvik skog väst AB</t>
        </is>
      </c>
      <c r="G836" t="n">
        <v>5.9</v>
      </c>
      <c r="H836" t="n">
        <v>0</v>
      </c>
      <c r="I836" t="n">
        <v>0</v>
      </c>
      <c r="J836" t="n">
        <v>0</v>
      </c>
      <c r="K836" t="n">
        <v>0</v>
      </c>
      <c r="L836" t="n">
        <v>0</v>
      </c>
      <c r="M836" t="n">
        <v>0</v>
      </c>
      <c r="N836" t="n">
        <v>0</v>
      </c>
      <c r="O836" t="n">
        <v>0</v>
      </c>
      <c r="P836" t="n">
        <v>0</v>
      </c>
      <c r="Q836" t="n">
        <v>0</v>
      </c>
      <c r="R836" s="2" t="inlineStr"/>
    </row>
    <row r="837" ht="15" customHeight="1">
      <c r="A837" t="inlineStr">
        <is>
          <t>A 57373-2021</t>
        </is>
      </c>
      <c r="B837" s="1" t="n">
        <v>44483</v>
      </c>
      <c r="C837" s="1" t="n">
        <v>46166</v>
      </c>
      <c r="D837" t="inlineStr">
        <is>
          <t>JÄMTLANDS LÄN</t>
        </is>
      </c>
      <c r="E837" t="inlineStr">
        <is>
          <t>HÄRJEDALEN</t>
        </is>
      </c>
      <c r="G837" t="n">
        <v>10.8</v>
      </c>
      <c r="H837" t="n">
        <v>0</v>
      </c>
      <c r="I837" t="n">
        <v>0</v>
      </c>
      <c r="J837" t="n">
        <v>0</v>
      </c>
      <c r="K837" t="n">
        <v>0</v>
      </c>
      <c r="L837" t="n">
        <v>0</v>
      </c>
      <c r="M837" t="n">
        <v>0</v>
      </c>
      <c r="N837" t="n">
        <v>0</v>
      </c>
      <c r="O837" t="n">
        <v>0</v>
      </c>
      <c r="P837" t="n">
        <v>0</v>
      </c>
      <c r="Q837" t="n">
        <v>0</v>
      </c>
      <c r="R837" s="2" t="inlineStr"/>
    </row>
    <row r="838" ht="15" customHeight="1">
      <c r="A838" t="inlineStr">
        <is>
          <t>A 61471-2025</t>
        </is>
      </c>
      <c r="B838" s="1" t="n">
        <v>46001.6153587963</v>
      </c>
      <c r="C838" s="1" t="n">
        <v>46166</v>
      </c>
      <c r="D838" t="inlineStr">
        <is>
          <t>JÄMTLANDS LÄN</t>
        </is>
      </c>
      <c r="E838" t="inlineStr">
        <is>
          <t>HÄRJEDALEN</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62388-2025</t>
        </is>
      </c>
      <c r="B839" s="1" t="n">
        <v>46006</v>
      </c>
      <c r="C839" s="1" t="n">
        <v>46166</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61765-2025</t>
        </is>
      </c>
      <c r="B840" s="1" t="n">
        <v>46002.63063657407</v>
      </c>
      <c r="C840" s="1" t="n">
        <v>46166</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51322-2024</t>
        </is>
      </c>
      <c r="B841" s="1" t="n">
        <v>45604.33195601852</v>
      </c>
      <c r="C841" s="1" t="n">
        <v>46166</v>
      </c>
      <c r="D841" t="inlineStr">
        <is>
          <t>JÄMTLANDS LÄN</t>
        </is>
      </c>
      <c r="E841" t="inlineStr">
        <is>
          <t>HÄRJEDALEN</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44955-2024</t>
        </is>
      </c>
      <c r="B842" s="1" t="n">
        <v>45575</v>
      </c>
      <c r="C842" s="1" t="n">
        <v>46166</v>
      </c>
      <c r="D842" t="inlineStr">
        <is>
          <t>JÄMTLANDS LÄN</t>
        </is>
      </c>
      <c r="E842" t="inlineStr">
        <is>
          <t>HÄRJEDALEN</t>
        </is>
      </c>
      <c r="G842" t="n">
        <v>0.4</v>
      </c>
      <c r="H842" t="n">
        <v>0</v>
      </c>
      <c r="I842" t="n">
        <v>0</v>
      </c>
      <c r="J842" t="n">
        <v>0</v>
      </c>
      <c r="K842" t="n">
        <v>0</v>
      </c>
      <c r="L842" t="n">
        <v>0</v>
      </c>
      <c r="M842" t="n">
        <v>0</v>
      </c>
      <c r="N842" t="n">
        <v>0</v>
      </c>
      <c r="O842" t="n">
        <v>0</v>
      </c>
      <c r="P842" t="n">
        <v>0</v>
      </c>
      <c r="Q842" t="n">
        <v>0</v>
      </c>
      <c r="R842" s="2" t="inlineStr"/>
    </row>
    <row r="843" ht="15" customHeight="1">
      <c r="A843" t="inlineStr">
        <is>
          <t>A 51191-2024</t>
        </is>
      </c>
      <c r="B843" s="1" t="n">
        <v>45603</v>
      </c>
      <c r="C843" s="1" t="n">
        <v>46166</v>
      </c>
      <c r="D843" t="inlineStr">
        <is>
          <t>JÄMTLANDS LÄN</t>
        </is>
      </c>
      <c r="E843" t="inlineStr">
        <is>
          <t>HÄRJEDALEN</t>
        </is>
      </c>
      <c r="F843" t="inlineStr">
        <is>
          <t>Holmen skog AB</t>
        </is>
      </c>
      <c r="G843" t="n">
        <v>9.1</v>
      </c>
      <c r="H843" t="n">
        <v>0</v>
      </c>
      <c r="I843" t="n">
        <v>0</v>
      </c>
      <c r="J843" t="n">
        <v>0</v>
      </c>
      <c r="K843" t="n">
        <v>0</v>
      </c>
      <c r="L843" t="n">
        <v>0</v>
      </c>
      <c r="M843" t="n">
        <v>0</v>
      </c>
      <c r="N843" t="n">
        <v>0</v>
      </c>
      <c r="O843" t="n">
        <v>0</v>
      </c>
      <c r="P843" t="n">
        <v>0</v>
      </c>
      <c r="Q843" t="n">
        <v>0</v>
      </c>
      <c r="R843" s="2" t="inlineStr"/>
    </row>
    <row r="844" ht="15" customHeight="1">
      <c r="A844" t="inlineStr">
        <is>
          <t>A 62450-2025</t>
        </is>
      </c>
      <c r="B844" s="1" t="n">
        <v>46007.48996527777</v>
      </c>
      <c r="C844" s="1" t="n">
        <v>46166</v>
      </c>
      <c r="D844" t="inlineStr">
        <is>
          <t>JÄMTLANDS LÄN</t>
        </is>
      </c>
      <c r="E844" t="inlineStr">
        <is>
          <t>HÄRJEDALEN</t>
        </is>
      </c>
      <c r="G844" t="n">
        <v>2.5</v>
      </c>
      <c r="H844" t="n">
        <v>0</v>
      </c>
      <c r="I844" t="n">
        <v>0</v>
      </c>
      <c r="J844" t="n">
        <v>0</v>
      </c>
      <c r="K844" t="n">
        <v>0</v>
      </c>
      <c r="L844" t="n">
        <v>0</v>
      </c>
      <c r="M844" t="n">
        <v>0</v>
      </c>
      <c r="N844" t="n">
        <v>0</v>
      </c>
      <c r="O844" t="n">
        <v>0</v>
      </c>
      <c r="P844" t="n">
        <v>0</v>
      </c>
      <c r="Q844" t="n">
        <v>0</v>
      </c>
      <c r="R844" s="2" t="inlineStr"/>
    </row>
    <row r="845" ht="15" customHeight="1">
      <c r="A845" t="inlineStr">
        <is>
          <t>A 62528-2025</t>
        </is>
      </c>
      <c r="B845" s="1" t="n">
        <v>46007.63605324074</v>
      </c>
      <c r="C845" s="1" t="n">
        <v>46166</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9980-2025</t>
        </is>
      </c>
      <c r="B846" s="1" t="n">
        <v>45719.40480324074</v>
      </c>
      <c r="C846" s="1" t="n">
        <v>46166</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62234-2025</t>
        </is>
      </c>
      <c r="B847" s="1" t="n">
        <v>46006.59444444445</v>
      </c>
      <c r="C847" s="1" t="n">
        <v>46166</v>
      </c>
      <c r="D847" t="inlineStr">
        <is>
          <t>JÄMTLANDS LÄN</t>
        </is>
      </c>
      <c r="E847" t="inlineStr">
        <is>
          <t>HÄRJEDALEN</t>
        </is>
      </c>
      <c r="G847" t="n">
        <v>1.1</v>
      </c>
      <c r="H847" t="n">
        <v>0</v>
      </c>
      <c r="I847" t="n">
        <v>0</v>
      </c>
      <c r="J847" t="n">
        <v>0</v>
      </c>
      <c r="K847" t="n">
        <v>0</v>
      </c>
      <c r="L847" t="n">
        <v>0</v>
      </c>
      <c r="M847" t="n">
        <v>0</v>
      </c>
      <c r="N847" t="n">
        <v>0</v>
      </c>
      <c r="O847" t="n">
        <v>0</v>
      </c>
      <c r="P847" t="n">
        <v>0</v>
      </c>
      <c r="Q847" t="n">
        <v>0</v>
      </c>
      <c r="R847" s="2" t="inlineStr"/>
    </row>
    <row r="848" ht="15" customHeight="1">
      <c r="A848" t="inlineStr">
        <is>
          <t>A 62170-2025</t>
        </is>
      </c>
      <c r="B848" s="1" t="n">
        <v>46006.51112268519</v>
      </c>
      <c r="C848" s="1" t="n">
        <v>46166</v>
      </c>
      <c r="D848" t="inlineStr">
        <is>
          <t>JÄMTLANDS LÄN</t>
        </is>
      </c>
      <c r="E848" t="inlineStr">
        <is>
          <t>HÄRJEDALEN</t>
        </is>
      </c>
      <c r="G848" t="n">
        <v>0.3</v>
      </c>
      <c r="H848" t="n">
        <v>0</v>
      </c>
      <c r="I848" t="n">
        <v>0</v>
      </c>
      <c r="J848" t="n">
        <v>0</v>
      </c>
      <c r="K848" t="n">
        <v>0</v>
      </c>
      <c r="L848" t="n">
        <v>0</v>
      </c>
      <c r="M848" t="n">
        <v>0</v>
      </c>
      <c r="N848" t="n">
        <v>0</v>
      </c>
      <c r="O848" t="n">
        <v>0</v>
      </c>
      <c r="P848" t="n">
        <v>0</v>
      </c>
      <c r="Q848" t="n">
        <v>0</v>
      </c>
      <c r="R848" s="2" t="inlineStr"/>
    </row>
    <row r="849" ht="15" customHeight="1">
      <c r="A849" t="inlineStr">
        <is>
          <t>A 38840-2024</t>
        </is>
      </c>
      <c r="B849" s="1" t="n">
        <v>45547.59543981482</v>
      </c>
      <c r="C849" s="1" t="n">
        <v>46166</v>
      </c>
      <c r="D849" t="inlineStr">
        <is>
          <t>JÄMTLANDS LÄN</t>
        </is>
      </c>
      <c r="E849" t="inlineStr">
        <is>
          <t>HÄRJEDALEN</t>
        </is>
      </c>
      <c r="G849" t="n">
        <v>4.1</v>
      </c>
      <c r="H849" t="n">
        <v>0</v>
      </c>
      <c r="I849" t="n">
        <v>0</v>
      </c>
      <c r="J849" t="n">
        <v>0</v>
      </c>
      <c r="K849" t="n">
        <v>0</v>
      </c>
      <c r="L849" t="n">
        <v>0</v>
      </c>
      <c r="M849" t="n">
        <v>0</v>
      </c>
      <c r="N849" t="n">
        <v>0</v>
      </c>
      <c r="O849" t="n">
        <v>0</v>
      </c>
      <c r="P849" t="n">
        <v>0</v>
      </c>
      <c r="Q849" t="n">
        <v>0</v>
      </c>
      <c r="R849" s="2" t="inlineStr"/>
    </row>
    <row r="850" ht="15" customHeight="1">
      <c r="A850" t="inlineStr">
        <is>
          <t>A 62171-2025</t>
        </is>
      </c>
      <c r="B850" s="1" t="n">
        <v>46006.51116898148</v>
      </c>
      <c r="C850" s="1" t="n">
        <v>46166</v>
      </c>
      <c r="D850" t="inlineStr">
        <is>
          <t>JÄMTLANDS LÄN</t>
        </is>
      </c>
      <c r="E850" t="inlineStr">
        <is>
          <t>HÄRJEDALEN</t>
        </is>
      </c>
      <c r="G850" t="n">
        <v>1.2</v>
      </c>
      <c r="H850" t="n">
        <v>0</v>
      </c>
      <c r="I850" t="n">
        <v>0</v>
      </c>
      <c r="J850" t="n">
        <v>0</v>
      </c>
      <c r="K850" t="n">
        <v>0</v>
      </c>
      <c r="L850" t="n">
        <v>0</v>
      </c>
      <c r="M850" t="n">
        <v>0</v>
      </c>
      <c r="N850" t="n">
        <v>0</v>
      </c>
      <c r="O850" t="n">
        <v>0</v>
      </c>
      <c r="P850" t="n">
        <v>0</v>
      </c>
      <c r="Q850" t="n">
        <v>0</v>
      </c>
      <c r="R850" s="2" t="inlineStr"/>
    </row>
    <row r="851" ht="15" customHeight="1">
      <c r="A851" t="inlineStr">
        <is>
          <t>A 62075-2025</t>
        </is>
      </c>
      <c r="B851" s="1" t="n">
        <v>46006.36488425926</v>
      </c>
      <c r="C851" s="1" t="n">
        <v>46166</v>
      </c>
      <c r="D851" t="inlineStr">
        <is>
          <t>JÄMTLANDS LÄN</t>
        </is>
      </c>
      <c r="E851" t="inlineStr">
        <is>
          <t>HÄRJEDALEN</t>
        </is>
      </c>
      <c r="G851" t="n">
        <v>4.8</v>
      </c>
      <c r="H851" t="n">
        <v>0</v>
      </c>
      <c r="I851" t="n">
        <v>0</v>
      </c>
      <c r="J851" t="n">
        <v>0</v>
      </c>
      <c r="K851" t="n">
        <v>0</v>
      </c>
      <c r="L851" t="n">
        <v>0</v>
      </c>
      <c r="M851" t="n">
        <v>0</v>
      </c>
      <c r="N851" t="n">
        <v>0</v>
      </c>
      <c r="O851" t="n">
        <v>0</v>
      </c>
      <c r="P851" t="n">
        <v>0</v>
      </c>
      <c r="Q851" t="n">
        <v>0</v>
      </c>
      <c r="R851" s="2" t="inlineStr"/>
    </row>
    <row r="852" ht="15" customHeight="1">
      <c r="A852" t="inlineStr">
        <is>
          <t>A 62451-2025</t>
        </is>
      </c>
      <c r="B852" s="1" t="n">
        <v>46007.48997685185</v>
      </c>
      <c r="C852" s="1" t="n">
        <v>46166</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62531-2025</t>
        </is>
      </c>
      <c r="B853" s="1" t="n">
        <v>46007.63625</v>
      </c>
      <c r="C853" s="1" t="n">
        <v>46166</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62924-2025</t>
        </is>
      </c>
      <c r="B854" s="1" t="n">
        <v>46009.38528935185</v>
      </c>
      <c r="C854" s="1" t="n">
        <v>46166</v>
      </c>
      <c r="D854" t="inlineStr">
        <is>
          <t>JÄMTLANDS LÄN</t>
        </is>
      </c>
      <c r="E854" t="inlineStr">
        <is>
          <t>HÄRJEDALEN</t>
        </is>
      </c>
      <c r="F854" t="inlineStr">
        <is>
          <t>Bergvik skog väst AB</t>
        </is>
      </c>
      <c r="G854" t="n">
        <v>0.2</v>
      </c>
      <c r="H854" t="n">
        <v>0</v>
      </c>
      <c r="I854" t="n">
        <v>0</v>
      </c>
      <c r="J854" t="n">
        <v>0</v>
      </c>
      <c r="K854" t="n">
        <v>0</v>
      </c>
      <c r="L854" t="n">
        <v>0</v>
      </c>
      <c r="M854" t="n">
        <v>0</v>
      </c>
      <c r="N854" t="n">
        <v>0</v>
      </c>
      <c r="O854" t="n">
        <v>0</v>
      </c>
      <c r="P854" t="n">
        <v>0</v>
      </c>
      <c r="Q854" t="n">
        <v>0</v>
      </c>
      <c r="R854" s="2" t="inlineStr"/>
    </row>
    <row r="855" ht="15" customHeight="1">
      <c r="A855" t="inlineStr">
        <is>
          <t>A 1366-2024</t>
        </is>
      </c>
      <c r="B855" s="1" t="n">
        <v>45303.52626157407</v>
      </c>
      <c r="C855" s="1" t="n">
        <v>46166</v>
      </c>
      <c r="D855" t="inlineStr">
        <is>
          <t>JÄMTLANDS LÄN</t>
        </is>
      </c>
      <c r="E855" t="inlineStr">
        <is>
          <t>HÄRJEDALEN</t>
        </is>
      </c>
      <c r="G855" t="n">
        <v>7.5</v>
      </c>
      <c r="H855" t="n">
        <v>0</v>
      </c>
      <c r="I855" t="n">
        <v>0</v>
      </c>
      <c r="J855" t="n">
        <v>0</v>
      </c>
      <c r="K855" t="n">
        <v>0</v>
      </c>
      <c r="L855" t="n">
        <v>0</v>
      </c>
      <c r="M855" t="n">
        <v>0</v>
      </c>
      <c r="N855" t="n">
        <v>0</v>
      </c>
      <c r="O855" t="n">
        <v>0</v>
      </c>
      <c r="P855" t="n">
        <v>0</v>
      </c>
      <c r="Q855" t="n">
        <v>0</v>
      </c>
      <c r="R855" s="2" t="inlineStr"/>
    </row>
    <row r="856" ht="15" customHeight="1">
      <c r="A856" t="inlineStr">
        <is>
          <t>A 31956-2023</t>
        </is>
      </c>
      <c r="B856" s="1" t="n">
        <v>45119.38151620371</v>
      </c>
      <c r="C856" s="1" t="n">
        <v>46166</v>
      </c>
      <c r="D856" t="inlineStr">
        <is>
          <t>JÄMTLANDS LÄN</t>
        </is>
      </c>
      <c r="E856" t="inlineStr">
        <is>
          <t>HÄRJEDALEN</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62932-2025</t>
        </is>
      </c>
      <c r="B857" s="1" t="n">
        <v>46009.4019675926</v>
      </c>
      <c r="C857" s="1" t="n">
        <v>46166</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21054-2023</t>
        </is>
      </c>
      <c r="B858" s="1" t="n">
        <v>45061.61002314815</v>
      </c>
      <c r="C858" s="1" t="n">
        <v>46166</v>
      </c>
      <c r="D858" t="inlineStr">
        <is>
          <t>JÄMTLANDS LÄN</t>
        </is>
      </c>
      <c r="E858" t="inlineStr">
        <is>
          <t>HÄRJEDALEN</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60611-2023</t>
        </is>
      </c>
      <c r="B859" s="1" t="n">
        <v>45260.35777777778</v>
      </c>
      <c r="C859" s="1" t="n">
        <v>46166</v>
      </c>
      <c r="D859" t="inlineStr">
        <is>
          <t>JÄMTLANDS LÄN</t>
        </is>
      </c>
      <c r="E859" t="inlineStr">
        <is>
          <t>HÄRJEDALEN</t>
        </is>
      </c>
      <c r="G859" t="n">
        <v>7.2</v>
      </c>
      <c r="H859" t="n">
        <v>0</v>
      </c>
      <c r="I859" t="n">
        <v>0</v>
      </c>
      <c r="J859" t="n">
        <v>0</v>
      </c>
      <c r="K859" t="n">
        <v>0</v>
      </c>
      <c r="L859" t="n">
        <v>0</v>
      </c>
      <c r="M859" t="n">
        <v>0</v>
      </c>
      <c r="N859" t="n">
        <v>0</v>
      </c>
      <c r="O859" t="n">
        <v>0</v>
      </c>
      <c r="P859" t="n">
        <v>0</v>
      </c>
      <c r="Q859" t="n">
        <v>0</v>
      </c>
      <c r="R859" s="2" t="inlineStr"/>
    </row>
    <row r="860" ht="15" customHeight="1">
      <c r="A860" t="inlineStr">
        <is>
          <t>A 29-2023</t>
        </is>
      </c>
      <c r="B860" s="1" t="n">
        <v>44928</v>
      </c>
      <c r="C860" s="1" t="n">
        <v>46166</v>
      </c>
      <c r="D860" t="inlineStr">
        <is>
          <t>JÄMTLANDS LÄN</t>
        </is>
      </c>
      <c r="E860" t="inlineStr">
        <is>
          <t>HÄRJEDALEN</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103-2023</t>
        </is>
      </c>
      <c r="B861" s="1" t="n">
        <v>44928</v>
      </c>
      <c r="C861" s="1" t="n">
        <v>46166</v>
      </c>
      <c r="D861" t="inlineStr">
        <is>
          <t>JÄMTLANDS LÄN</t>
        </is>
      </c>
      <c r="E861" t="inlineStr">
        <is>
          <t>HÄRJEDALEN</t>
        </is>
      </c>
      <c r="F861" t="inlineStr">
        <is>
          <t>Holmen skog AB</t>
        </is>
      </c>
      <c r="G861" t="n">
        <v>6.9</v>
      </c>
      <c r="H861" t="n">
        <v>0</v>
      </c>
      <c r="I861" t="n">
        <v>0</v>
      </c>
      <c r="J861" t="n">
        <v>0</v>
      </c>
      <c r="K861" t="n">
        <v>0</v>
      </c>
      <c r="L861" t="n">
        <v>0</v>
      </c>
      <c r="M861" t="n">
        <v>0</v>
      </c>
      <c r="N861" t="n">
        <v>0</v>
      </c>
      <c r="O861" t="n">
        <v>0</v>
      </c>
      <c r="P861" t="n">
        <v>0</v>
      </c>
      <c r="Q861" t="n">
        <v>0</v>
      </c>
      <c r="R861" s="2" t="inlineStr"/>
    </row>
    <row r="862" ht="15" customHeight="1">
      <c r="A862" t="inlineStr">
        <is>
          <t>A 41766-2022</t>
        </is>
      </c>
      <c r="B862" s="1" t="n">
        <v>44827</v>
      </c>
      <c r="C862" s="1" t="n">
        <v>46166</v>
      </c>
      <c r="D862" t="inlineStr">
        <is>
          <t>JÄMTLANDS LÄN</t>
        </is>
      </c>
      <c r="E862" t="inlineStr">
        <is>
          <t>HÄRJEDALEN</t>
        </is>
      </c>
      <c r="G862" t="n">
        <v>12.5</v>
      </c>
      <c r="H862" t="n">
        <v>0</v>
      </c>
      <c r="I862" t="n">
        <v>0</v>
      </c>
      <c r="J862" t="n">
        <v>0</v>
      </c>
      <c r="K862" t="n">
        <v>0</v>
      </c>
      <c r="L862" t="n">
        <v>0</v>
      </c>
      <c r="M862" t="n">
        <v>0</v>
      </c>
      <c r="N862" t="n">
        <v>0</v>
      </c>
      <c r="O862" t="n">
        <v>0</v>
      </c>
      <c r="P862" t="n">
        <v>0</v>
      </c>
      <c r="Q862" t="n">
        <v>0</v>
      </c>
      <c r="R862" s="2" t="inlineStr"/>
    </row>
    <row r="863" ht="15" customHeight="1">
      <c r="A863" t="inlineStr">
        <is>
          <t>A 41771-2022</t>
        </is>
      </c>
      <c r="B863" s="1" t="n">
        <v>44827</v>
      </c>
      <c r="C863" s="1" t="n">
        <v>46166</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58581-2024</t>
        </is>
      </c>
      <c r="B864" s="1" t="n">
        <v>45635.4916087963</v>
      </c>
      <c r="C864" s="1" t="n">
        <v>46166</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63695-2025</t>
        </is>
      </c>
      <c r="B865" s="1" t="n">
        <v>46014.56574074074</v>
      </c>
      <c r="C865" s="1" t="n">
        <v>46166</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63706-2025</t>
        </is>
      </c>
      <c r="B866" s="1" t="n">
        <v>46014.61186342593</v>
      </c>
      <c r="C866" s="1" t="n">
        <v>46166</v>
      </c>
      <c r="D866" t="inlineStr">
        <is>
          <t>JÄMTLANDS LÄN</t>
        </is>
      </c>
      <c r="E866" t="inlineStr">
        <is>
          <t>HÄRJEDALEN</t>
        </is>
      </c>
      <c r="G866" t="n">
        <v>13.7</v>
      </c>
      <c r="H866" t="n">
        <v>0</v>
      </c>
      <c r="I866" t="n">
        <v>0</v>
      </c>
      <c r="J866" t="n">
        <v>0</v>
      </c>
      <c r="K866" t="n">
        <v>0</v>
      </c>
      <c r="L866" t="n">
        <v>0</v>
      </c>
      <c r="M866" t="n">
        <v>0</v>
      </c>
      <c r="N866" t="n">
        <v>0</v>
      </c>
      <c r="O866" t="n">
        <v>0</v>
      </c>
      <c r="P866" t="n">
        <v>0</v>
      </c>
      <c r="Q866" t="n">
        <v>0</v>
      </c>
      <c r="R866" s="2" t="inlineStr"/>
      <c r="U866">
        <f>HYPERLINK("https://klasma.github.io/Logging_2361/knärot/A 63706-2025 karta knärot.png", "A 63706-2025")</f>
        <v/>
      </c>
      <c r="V866">
        <f>HYPERLINK("https://klasma.github.io/Logging_2361/klagomål/A 63706-2025 FSC-klagomål.docx", "A 63706-2025")</f>
        <v/>
      </c>
      <c r="W866">
        <f>HYPERLINK("https://klasma.github.io/Logging_2361/klagomålsmail/A 63706-2025 FSC-klagomål mail.docx", "A 63706-2025")</f>
        <v/>
      </c>
      <c r="X866">
        <f>HYPERLINK("https://klasma.github.io/Logging_2361/tillsyn/A 63706-2025 tillsynsbegäran.docx", "A 63706-2025")</f>
        <v/>
      </c>
      <c r="Y866">
        <f>HYPERLINK("https://klasma.github.io/Logging_2361/tillsynsmail/A 63706-2025 tillsynsbegäran mail.docx", "A 63706-2025")</f>
        <v/>
      </c>
    </row>
    <row r="867" ht="15" customHeight="1">
      <c r="A867" t="inlineStr">
        <is>
          <t>A 57840-2024</t>
        </is>
      </c>
      <c r="B867" s="1" t="n">
        <v>45631</v>
      </c>
      <c r="C867" s="1" t="n">
        <v>46166</v>
      </c>
      <c r="D867" t="inlineStr">
        <is>
          <t>JÄMTLANDS LÄN</t>
        </is>
      </c>
      <c r="E867" t="inlineStr">
        <is>
          <t>HÄRJEDALEN</t>
        </is>
      </c>
      <c r="F867" t="inlineStr">
        <is>
          <t>Bergvik skog väst AB</t>
        </is>
      </c>
      <c r="G867" t="n">
        <v>98.8</v>
      </c>
      <c r="H867" t="n">
        <v>0</v>
      </c>
      <c r="I867" t="n">
        <v>0</v>
      </c>
      <c r="J867" t="n">
        <v>0</v>
      </c>
      <c r="K867" t="n">
        <v>0</v>
      </c>
      <c r="L867" t="n">
        <v>0</v>
      </c>
      <c r="M867" t="n">
        <v>0</v>
      </c>
      <c r="N867" t="n">
        <v>0</v>
      </c>
      <c r="O867" t="n">
        <v>0</v>
      </c>
      <c r="P867" t="n">
        <v>0</v>
      </c>
      <c r="Q867" t="n">
        <v>0</v>
      </c>
      <c r="R867" s="2" t="inlineStr"/>
    </row>
    <row r="868" ht="15" customHeight="1">
      <c r="A868" t="inlineStr">
        <is>
          <t>A 63708-2025</t>
        </is>
      </c>
      <c r="B868" s="1" t="n">
        <v>46014.61556712963</v>
      </c>
      <c r="C868" s="1" t="n">
        <v>46166</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63648-2025</t>
        </is>
      </c>
      <c r="B869" s="1" t="n">
        <v>46014.43386574074</v>
      </c>
      <c r="C869" s="1" t="n">
        <v>46166</v>
      </c>
      <c r="D869" t="inlineStr">
        <is>
          <t>JÄMTLANDS LÄN</t>
        </is>
      </c>
      <c r="E869" t="inlineStr">
        <is>
          <t>HÄRJEDALEN</t>
        </is>
      </c>
      <c r="G869" t="n">
        <v>3.9</v>
      </c>
      <c r="H869" t="n">
        <v>0</v>
      </c>
      <c r="I869" t="n">
        <v>0</v>
      </c>
      <c r="J869" t="n">
        <v>0</v>
      </c>
      <c r="K869" t="n">
        <v>0</v>
      </c>
      <c r="L869" t="n">
        <v>0</v>
      </c>
      <c r="M869" t="n">
        <v>0</v>
      </c>
      <c r="N869" t="n">
        <v>0</v>
      </c>
      <c r="O869" t="n">
        <v>0</v>
      </c>
      <c r="P869" t="n">
        <v>0</v>
      </c>
      <c r="Q869" t="n">
        <v>0</v>
      </c>
      <c r="R869" s="2" t="inlineStr"/>
    </row>
    <row r="870" ht="15" customHeight="1">
      <c r="A870" t="inlineStr">
        <is>
          <t>A 50570-2025</t>
        </is>
      </c>
      <c r="B870" s="1" t="n">
        <v>45945.57354166666</v>
      </c>
      <c r="C870" s="1" t="n">
        <v>46166</v>
      </c>
      <c r="D870" t="inlineStr">
        <is>
          <t>JÄMTLANDS LÄN</t>
        </is>
      </c>
      <c r="E870" t="inlineStr">
        <is>
          <t>HÄRJEDALEN</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16801-2024</t>
        </is>
      </c>
      <c r="B871" s="1" t="n">
        <v>45411.44549768518</v>
      </c>
      <c r="C871" s="1" t="n">
        <v>46166</v>
      </c>
      <c r="D871" t="inlineStr">
        <is>
          <t>JÄMTLANDS LÄN</t>
        </is>
      </c>
      <c r="E871" t="inlineStr">
        <is>
          <t>HÄRJEDALEN</t>
        </is>
      </c>
      <c r="F871" t="inlineStr">
        <is>
          <t>Bergvik skog väst AB</t>
        </is>
      </c>
      <c r="G871" t="n">
        <v>15.2</v>
      </c>
      <c r="H871" t="n">
        <v>0</v>
      </c>
      <c r="I871" t="n">
        <v>0</v>
      </c>
      <c r="J871" t="n">
        <v>0</v>
      </c>
      <c r="K871" t="n">
        <v>0</v>
      </c>
      <c r="L871" t="n">
        <v>0</v>
      </c>
      <c r="M871" t="n">
        <v>0</v>
      </c>
      <c r="N871" t="n">
        <v>0</v>
      </c>
      <c r="O871" t="n">
        <v>0</v>
      </c>
      <c r="P871" t="n">
        <v>0</v>
      </c>
      <c r="Q871" t="n">
        <v>0</v>
      </c>
      <c r="R871" s="2" t="inlineStr"/>
    </row>
    <row r="872" ht="15" customHeight="1">
      <c r="A872" t="inlineStr">
        <is>
          <t>A 19099-2025</t>
        </is>
      </c>
      <c r="B872" s="1" t="n">
        <v>45768.29469907407</v>
      </c>
      <c r="C872" s="1" t="n">
        <v>46166</v>
      </c>
      <c r="D872" t="inlineStr">
        <is>
          <t>JÄMTLANDS LÄN</t>
        </is>
      </c>
      <c r="E872" t="inlineStr">
        <is>
          <t>HÄRJEDALEN</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19102-2025</t>
        </is>
      </c>
      <c r="B873" s="1" t="n">
        <v>45768.30260416667</v>
      </c>
      <c r="C873" s="1" t="n">
        <v>46166</v>
      </c>
      <c r="D873" t="inlineStr">
        <is>
          <t>JÄMTLANDS LÄN</t>
        </is>
      </c>
      <c r="E873" t="inlineStr">
        <is>
          <t>HÄRJEDALEN</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19103-2025</t>
        </is>
      </c>
      <c r="B874" s="1" t="n">
        <v>45768.30388888889</v>
      </c>
      <c r="C874" s="1" t="n">
        <v>46166</v>
      </c>
      <c r="D874" t="inlineStr">
        <is>
          <t>JÄMTLANDS LÄN</t>
        </is>
      </c>
      <c r="E874" t="inlineStr">
        <is>
          <t>HÄRJEDALEN</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15747-2023</t>
        </is>
      </c>
      <c r="B875" s="1" t="n">
        <v>45020</v>
      </c>
      <c r="C875" s="1" t="n">
        <v>46166</v>
      </c>
      <c r="D875" t="inlineStr">
        <is>
          <t>JÄMTLANDS LÄN</t>
        </is>
      </c>
      <c r="E875" t="inlineStr">
        <is>
          <t>HÄRJEDALEN</t>
        </is>
      </c>
      <c r="G875" t="n">
        <v>0.1</v>
      </c>
      <c r="H875" t="n">
        <v>0</v>
      </c>
      <c r="I875" t="n">
        <v>0</v>
      </c>
      <c r="J875" t="n">
        <v>0</v>
      </c>
      <c r="K875" t="n">
        <v>0</v>
      </c>
      <c r="L875" t="n">
        <v>0</v>
      </c>
      <c r="M875" t="n">
        <v>0</v>
      </c>
      <c r="N875" t="n">
        <v>0</v>
      </c>
      <c r="O875" t="n">
        <v>0</v>
      </c>
      <c r="P875" t="n">
        <v>0</v>
      </c>
      <c r="Q875" t="n">
        <v>0</v>
      </c>
      <c r="R875" s="2" t="inlineStr"/>
    </row>
    <row r="876" ht="15" customHeight="1">
      <c r="A876" t="inlineStr">
        <is>
          <t>A 53537-2024</t>
        </is>
      </c>
      <c r="B876" s="1" t="n">
        <v>45614.62445601852</v>
      </c>
      <c r="C876" s="1" t="n">
        <v>46166</v>
      </c>
      <c r="D876" t="inlineStr">
        <is>
          <t>JÄMTLANDS LÄN</t>
        </is>
      </c>
      <c r="E876" t="inlineStr">
        <is>
          <t>HÄRJEDALEN</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16517-2025</t>
        </is>
      </c>
      <c r="B877" s="1" t="n">
        <v>45751.63266203704</v>
      </c>
      <c r="C877" s="1" t="n">
        <v>46166</v>
      </c>
      <c r="D877" t="inlineStr">
        <is>
          <t>JÄMTLANDS LÄN</t>
        </is>
      </c>
      <c r="E877" t="inlineStr">
        <is>
          <t>HÄRJEDALEN</t>
        </is>
      </c>
      <c r="F877" t="inlineStr">
        <is>
          <t>Övriga Aktiebolag</t>
        </is>
      </c>
      <c r="G877" t="n">
        <v>18.6</v>
      </c>
      <c r="H877" t="n">
        <v>0</v>
      </c>
      <c r="I877" t="n">
        <v>0</v>
      </c>
      <c r="J877" t="n">
        <v>0</v>
      </c>
      <c r="K877" t="n">
        <v>0</v>
      </c>
      <c r="L877" t="n">
        <v>0</v>
      </c>
      <c r="M877" t="n">
        <v>0</v>
      </c>
      <c r="N877" t="n">
        <v>0</v>
      </c>
      <c r="O877" t="n">
        <v>0</v>
      </c>
      <c r="P877" t="n">
        <v>0</v>
      </c>
      <c r="Q877" t="n">
        <v>0</v>
      </c>
      <c r="R877" s="2" t="inlineStr"/>
    </row>
    <row r="878" ht="15" customHeight="1">
      <c r="A878" t="inlineStr">
        <is>
          <t>A 280-2026</t>
        </is>
      </c>
      <c r="B878" s="1" t="n">
        <v>46027.47597222222</v>
      </c>
      <c r="C878" s="1" t="n">
        <v>46166</v>
      </c>
      <c r="D878" t="inlineStr">
        <is>
          <t>JÄMTLANDS LÄN</t>
        </is>
      </c>
      <c r="E878" t="inlineStr">
        <is>
          <t>HÄRJEDALEN</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279-2026</t>
        </is>
      </c>
      <c r="B879" s="1" t="n">
        <v>46027.47453703704</v>
      </c>
      <c r="C879" s="1" t="n">
        <v>46166</v>
      </c>
      <c r="D879" t="inlineStr">
        <is>
          <t>JÄMTLANDS LÄN</t>
        </is>
      </c>
      <c r="E879" t="inlineStr">
        <is>
          <t>HÄRJEDALEN</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282-2026</t>
        </is>
      </c>
      <c r="B880" s="1" t="n">
        <v>46027.48473379629</v>
      </c>
      <c r="C880" s="1" t="n">
        <v>46166</v>
      </c>
      <c r="D880" t="inlineStr">
        <is>
          <t>JÄMTLANDS LÄN</t>
        </is>
      </c>
      <c r="E880" t="inlineStr">
        <is>
          <t>HÄRJEDALEN</t>
        </is>
      </c>
      <c r="F880" t="inlineStr">
        <is>
          <t>Holmen skog AB</t>
        </is>
      </c>
      <c r="G880" t="n">
        <v>3.1</v>
      </c>
      <c r="H880" t="n">
        <v>0</v>
      </c>
      <c r="I880" t="n">
        <v>0</v>
      </c>
      <c r="J880" t="n">
        <v>0</v>
      </c>
      <c r="K880" t="n">
        <v>0</v>
      </c>
      <c r="L880" t="n">
        <v>0</v>
      </c>
      <c r="M880" t="n">
        <v>0</v>
      </c>
      <c r="N880" t="n">
        <v>0</v>
      </c>
      <c r="O880" t="n">
        <v>0</v>
      </c>
      <c r="P880" t="n">
        <v>0</v>
      </c>
      <c r="Q880" t="n">
        <v>0</v>
      </c>
      <c r="R880" s="2" t="inlineStr"/>
    </row>
    <row r="881" ht="15" customHeight="1">
      <c r="A881" t="inlineStr">
        <is>
          <t>A 31723-2025</t>
        </is>
      </c>
      <c r="B881" s="1" t="n">
        <v>45834</v>
      </c>
      <c r="C881" s="1" t="n">
        <v>46166</v>
      </c>
      <c r="D881" t="inlineStr">
        <is>
          <t>JÄMTLANDS LÄN</t>
        </is>
      </c>
      <c r="E881" t="inlineStr">
        <is>
          <t>HÄRJEDALEN</t>
        </is>
      </c>
      <c r="G881" t="n">
        <v>8.9</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46166</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63-2026</t>
        </is>
      </c>
      <c r="B883" s="1" t="n">
        <v>46024.44586805555</v>
      </c>
      <c r="C883" s="1" t="n">
        <v>46166</v>
      </c>
      <c r="D883" t="inlineStr">
        <is>
          <t>JÄMTLANDS LÄN</t>
        </is>
      </c>
      <c r="E883" t="inlineStr">
        <is>
          <t>HÄRJEDALEN</t>
        </is>
      </c>
      <c r="G883" t="n">
        <v>4.2</v>
      </c>
      <c r="H883" t="n">
        <v>0</v>
      </c>
      <c r="I883" t="n">
        <v>0</v>
      </c>
      <c r="J883" t="n">
        <v>0</v>
      </c>
      <c r="K883" t="n">
        <v>0</v>
      </c>
      <c r="L883" t="n">
        <v>0</v>
      </c>
      <c r="M883" t="n">
        <v>0</v>
      </c>
      <c r="N883" t="n">
        <v>0</v>
      </c>
      <c r="O883" t="n">
        <v>0</v>
      </c>
      <c r="P883" t="n">
        <v>0</v>
      </c>
      <c r="Q883" t="n">
        <v>0</v>
      </c>
      <c r="R883" s="2" t="inlineStr"/>
    </row>
    <row r="884" ht="15" customHeight="1">
      <c r="A884" t="inlineStr">
        <is>
          <t>A 322-2026</t>
        </is>
      </c>
      <c r="B884" s="1" t="n">
        <v>46027.58601851852</v>
      </c>
      <c r="C884" s="1" t="n">
        <v>46166</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325-2026</t>
        </is>
      </c>
      <c r="B885" s="1" t="n">
        <v>46027.5891087963</v>
      </c>
      <c r="C885" s="1" t="n">
        <v>46166</v>
      </c>
      <c r="D885" t="inlineStr">
        <is>
          <t>JÄMTLANDS LÄN</t>
        </is>
      </c>
      <c r="E885" t="inlineStr">
        <is>
          <t>HÄRJEDALEN</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62500-2022</t>
        </is>
      </c>
      <c r="B886" s="1" t="n">
        <v>44924.59140046296</v>
      </c>
      <c r="C886" s="1" t="n">
        <v>46166</v>
      </c>
      <c r="D886" t="inlineStr">
        <is>
          <t>JÄMTLANDS LÄN</t>
        </is>
      </c>
      <c r="E886" t="inlineStr">
        <is>
          <t>HÄRJEDALEN</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468-2026</t>
        </is>
      </c>
      <c r="B887" s="1" t="n">
        <v>46029.38601851852</v>
      </c>
      <c r="C887" s="1" t="n">
        <v>46166</v>
      </c>
      <c r="D887" t="inlineStr">
        <is>
          <t>JÄMTLANDS LÄN</t>
        </is>
      </c>
      <c r="E887" t="inlineStr">
        <is>
          <t>HÄRJEDALEN</t>
        </is>
      </c>
      <c r="G887" t="n">
        <v>8.4</v>
      </c>
      <c r="H887" t="n">
        <v>0</v>
      </c>
      <c r="I887" t="n">
        <v>0</v>
      </c>
      <c r="J887" t="n">
        <v>0</v>
      </c>
      <c r="K887" t="n">
        <v>0</v>
      </c>
      <c r="L887" t="n">
        <v>0</v>
      </c>
      <c r="M887" t="n">
        <v>0</v>
      </c>
      <c r="N887" t="n">
        <v>0</v>
      </c>
      <c r="O887" t="n">
        <v>0</v>
      </c>
      <c r="P887" t="n">
        <v>0</v>
      </c>
      <c r="Q887" t="n">
        <v>0</v>
      </c>
      <c r="R887" s="2" t="inlineStr"/>
    </row>
    <row r="888" ht="15" customHeight="1">
      <c r="A888" t="inlineStr">
        <is>
          <t>A 31958-2023</t>
        </is>
      </c>
      <c r="B888" s="1" t="n">
        <v>45119.38675925926</v>
      </c>
      <c r="C888" s="1" t="n">
        <v>46166</v>
      </c>
      <c r="D888" t="inlineStr">
        <is>
          <t>JÄMTLANDS LÄN</t>
        </is>
      </c>
      <c r="E888" t="inlineStr">
        <is>
          <t>HÄRJEDALEN</t>
        </is>
      </c>
      <c r="F888" t="inlineStr">
        <is>
          <t>Bergvik skog väst AB</t>
        </is>
      </c>
      <c r="G888" t="n">
        <v>2.4</v>
      </c>
      <c r="H888" t="n">
        <v>0</v>
      </c>
      <c r="I888" t="n">
        <v>0</v>
      </c>
      <c r="J888" t="n">
        <v>0</v>
      </c>
      <c r="K888" t="n">
        <v>0</v>
      </c>
      <c r="L888" t="n">
        <v>0</v>
      </c>
      <c r="M888" t="n">
        <v>0</v>
      </c>
      <c r="N888" t="n">
        <v>0</v>
      </c>
      <c r="O888" t="n">
        <v>0</v>
      </c>
      <c r="P888" t="n">
        <v>0</v>
      </c>
      <c r="Q888" t="n">
        <v>0</v>
      </c>
      <c r="R888" s="2" t="inlineStr"/>
    </row>
    <row r="889" ht="15" customHeight="1">
      <c r="A889" t="inlineStr">
        <is>
          <t>A 47351-2022</t>
        </is>
      </c>
      <c r="B889" s="1" t="n">
        <v>44853.41693287037</v>
      </c>
      <c r="C889" s="1" t="n">
        <v>46166</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1196-2026</t>
        </is>
      </c>
      <c r="B890" s="1" t="n">
        <v>46031.3709837963</v>
      </c>
      <c r="C890" s="1" t="n">
        <v>46166</v>
      </c>
      <c r="D890" t="inlineStr">
        <is>
          <t>JÄMTLANDS LÄN</t>
        </is>
      </c>
      <c r="E890" t="inlineStr">
        <is>
          <t>HÄRJEDALEN</t>
        </is>
      </c>
      <c r="G890" t="n">
        <v>16.1</v>
      </c>
      <c r="H890" t="n">
        <v>0</v>
      </c>
      <c r="I890" t="n">
        <v>0</v>
      </c>
      <c r="J890" t="n">
        <v>0</v>
      </c>
      <c r="K890" t="n">
        <v>0</v>
      </c>
      <c r="L890" t="n">
        <v>0</v>
      </c>
      <c r="M890" t="n">
        <v>0</v>
      </c>
      <c r="N890" t="n">
        <v>0</v>
      </c>
      <c r="O890" t="n">
        <v>0</v>
      </c>
      <c r="P890" t="n">
        <v>0</v>
      </c>
      <c r="Q890" t="n">
        <v>0</v>
      </c>
      <c r="R890" s="2" t="inlineStr"/>
    </row>
    <row r="891" ht="15" customHeight="1">
      <c r="A891" t="inlineStr">
        <is>
          <t>A 7385-2025</t>
        </is>
      </c>
      <c r="B891" s="1" t="n">
        <v>45705.32643518518</v>
      </c>
      <c r="C891" s="1" t="n">
        <v>46166</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36083-2024</t>
        </is>
      </c>
      <c r="B892" s="1" t="n">
        <v>45533.67138888889</v>
      </c>
      <c r="C892" s="1" t="n">
        <v>46166</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1403-2026</t>
        </is>
      </c>
      <c r="B893" s="1" t="n">
        <v>46031.64429398148</v>
      </c>
      <c r="C893" s="1" t="n">
        <v>46166</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45999-2023</t>
        </is>
      </c>
      <c r="B894" s="1" t="n">
        <v>45196</v>
      </c>
      <c r="C894" s="1" t="n">
        <v>46166</v>
      </c>
      <c r="D894" t="inlineStr">
        <is>
          <t>JÄMTLANDS LÄN</t>
        </is>
      </c>
      <c r="E894" t="inlineStr">
        <is>
          <t>HÄRJEDALEN</t>
        </is>
      </c>
      <c r="F894" t="inlineStr">
        <is>
          <t>Bergvik skog väst AB</t>
        </is>
      </c>
      <c r="G894" t="n">
        <v>11.4</v>
      </c>
      <c r="H894" t="n">
        <v>0</v>
      </c>
      <c r="I894" t="n">
        <v>0</v>
      </c>
      <c r="J894" t="n">
        <v>0</v>
      </c>
      <c r="K894" t="n">
        <v>0</v>
      </c>
      <c r="L894" t="n">
        <v>0</v>
      </c>
      <c r="M894" t="n">
        <v>0</v>
      </c>
      <c r="N894" t="n">
        <v>0</v>
      </c>
      <c r="O894" t="n">
        <v>0</v>
      </c>
      <c r="P894" t="n">
        <v>0</v>
      </c>
      <c r="Q894" t="n">
        <v>0</v>
      </c>
      <c r="R894" s="2" t="inlineStr"/>
    </row>
    <row r="895" ht="15" customHeight="1">
      <c r="A895" t="inlineStr">
        <is>
          <t>A 64144-2023</t>
        </is>
      </c>
      <c r="B895" s="1" t="n">
        <v>45279.57732638889</v>
      </c>
      <c r="C895" s="1" t="n">
        <v>46166</v>
      </c>
      <c r="D895" t="inlineStr">
        <is>
          <t>JÄMTLANDS LÄN</t>
        </is>
      </c>
      <c r="E895" t="inlineStr">
        <is>
          <t>HÄRJEDALEN</t>
        </is>
      </c>
      <c r="G895" t="n">
        <v>0.5</v>
      </c>
      <c r="H895" t="n">
        <v>0</v>
      </c>
      <c r="I895" t="n">
        <v>0</v>
      </c>
      <c r="J895" t="n">
        <v>0</v>
      </c>
      <c r="K895" t="n">
        <v>0</v>
      </c>
      <c r="L895" t="n">
        <v>0</v>
      </c>
      <c r="M895" t="n">
        <v>0</v>
      </c>
      <c r="N895" t="n">
        <v>0</v>
      </c>
      <c r="O895" t="n">
        <v>0</v>
      </c>
      <c r="P895" t="n">
        <v>0</v>
      </c>
      <c r="Q895" t="n">
        <v>0</v>
      </c>
      <c r="R895" s="2" t="inlineStr"/>
    </row>
    <row r="896" ht="15" customHeight="1">
      <c r="A896" t="inlineStr">
        <is>
          <t>A 1963-2026</t>
        </is>
      </c>
      <c r="B896" s="1" t="n">
        <v>46035</v>
      </c>
      <c r="C896" s="1" t="n">
        <v>46166</v>
      </c>
      <c r="D896" t="inlineStr">
        <is>
          <t>JÄMTLANDS LÄN</t>
        </is>
      </c>
      <c r="E896" t="inlineStr">
        <is>
          <t>HÄRJEDALEN</t>
        </is>
      </c>
      <c r="F896" t="inlineStr">
        <is>
          <t>Övriga statliga verk och myndigheter</t>
        </is>
      </c>
      <c r="G896" t="n">
        <v>26.9</v>
      </c>
      <c r="H896" t="n">
        <v>0</v>
      </c>
      <c r="I896" t="n">
        <v>0</v>
      </c>
      <c r="J896" t="n">
        <v>0</v>
      </c>
      <c r="K896" t="n">
        <v>0</v>
      </c>
      <c r="L896" t="n">
        <v>0</v>
      </c>
      <c r="M896" t="n">
        <v>0</v>
      </c>
      <c r="N896" t="n">
        <v>0</v>
      </c>
      <c r="O896" t="n">
        <v>0</v>
      </c>
      <c r="P896" t="n">
        <v>0</v>
      </c>
      <c r="Q896" t="n">
        <v>0</v>
      </c>
      <c r="R896" s="2" t="inlineStr"/>
    </row>
    <row r="897" ht="15" customHeight="1">
      <c r="A897" t="inlineStr">
        <is>
          <t>A 37638-2023</t>
        </is>
      </c>
      <c r="B897" s="1" t="n">
        <v>45159.46996527778</v>
      </c>
      <c r="C897" s="1" t="n">
        <v>46166</v>
      </c>
      <c r="D897" t="inlineStr">
        <is>
          <t>JÄMTLANDS LÄN</t>
        </is>
      </c>
      <c r="E897" t="inlineStr">
        <is>
          <t>HÄRJEDALEN</t>
        </is>
      </c>
      <c r="F897" t="inlineStr">
        <is>
          <t>Bergvik skog väst AB</t>
        </is>
      </c>
      <c r="G897" t="n">
        <v>4.3</v>
      </c>
      <c r="H897" t="n">
        <v>0</v>
      </c>
      <c r="I897" t="n">
        <v>0</v>
      </c>
      <c r="J897" t="n">
        <v>0</v>
      </c>
      <c r="K897" t="n">
        <v>0</v>
      </c>
      <c r="L897" t="n">
        <v>0</v>
      </c>
      <c r="M897" t="n">
        <v>0</v>
      </c>
      <c r="N897" t="n">
        <v>0</v>
      </c>
      <c r="O897" t="n">
        <v>0</v>
      </c>
      <c r="P897" t="n">
        <v>0</v>
      </c>
      <c r="Q897" t="n">
        <v>0</v>
      </c>
      <c r="R897" s="2" t="inlineStr"/>
    </row>
    <row r="898" ht="15" customHeight="1">
      <c r="A898" t="inlineStr">
        <is>
          <t>A 57637-2024</t>
        </is>
      </c>
      <c r="B898" s="1" t="n">
        <v>45630.5731712963</v>
      </c>
      <c r="C898" s="1" t="n">
        <v>46166</v>
      </c>
      <c r="D898" t="inlineStr">
        <is>
          <t>JÄMTLANDS LÄN</t>
        </is>
      </c>
      <c r="E898" t="inlineStr">
        <is>
          <t>HÄRJEDALEN</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43287-2024</t>
        </is>
      </c>
      <c r="B899" s="1" t="n">
        <v>45568</v>
      </c>
      <c r="C899" s="1" t="n">
        <v>46166</v>
      </c>
      <c r="D899" t="inlineStr">
        <is>
          <t>JÄMTLANDS LÄN</t>
        </is>
      </c>
      <c r="E899" t="inlineStr">
        <is>
          <t>HÄRJEDALEN</t>
        </is>
      </c>
      <c r="F899" t="inlineStr">
        <is>
          <t>SCA</t>
        </is>
      </c>
      <c r="G899" t="n">
        <v>19.7</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46166</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32064-2024</t>
        </is>
      </c>
      <c r="B901" s="1" t="n">
        <v>45510</v>
      </c>
      <c r="C901" s="1" t="n">
        <v>46166</v>
      </c>
      <c r="D901" t="inlineStr">
        <is>
          <t>JÄMTLANDS LÄN</t>
        </is>
      </c>
      <c r="E901" t="inlineStr">
        <is>
          <t>HÄRJEDALEN</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46166</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2313-2026</t>
        </is>
      </c>
      <c r="B903" s="1" t="n">
        <v>46036.59523148148</v>
      </c>
      <c r="C903" s="1" t="n">
        <v>46166</v>
      </c>
      <c r="D903" t="inlineStr">
        <is>
          <t>JÄMTLANDS LÄN</t>
        </is>
      </c>
      <c r="E903" t="inlineStr">
        <is>
          <t>HÄRJEDALEN</t>
        </is>
      </c>
      <c r="G903" t="n">
        <v>23.6</v>
      </c>
      <c r="H903" t="n">
        <v>0</v>
      </c>
      <c r="I903" t="n">
        <v>0</v>
      </c>
      <c r="J903" t="n">
        <v>0</v>
      </c>
      <c r="K903" t="n">
        <v>0</v>
      </c>
      <c r="L903" t="n">
        <v>0</v>
      </c>
      <c r="M903" t="n">
        <v>0</v>
      </c>
      <c r="N903" t="n">
        <v>0</v>
      </c>
      <c r="O903" t="n">
        <v>0</v>
      </c>
      <c r="P903" t="n">
        <v>0</v>
      </c>
      <c r="Q903" t="n">
        <v>0</v>
      </c>
      <c r="R903" s="2" t="inlineStr"/>
    </row>
    <row r="904" ht="15" customHeight="1">
      <c r="A904" t="inlineStr">
        <is>
          <t>A 26656-2021</t>
        </is>
      </c>
      <c r="B904" s="1" t="n">
        <v>44348</v>
      </c>
      <c r="C904" s="1" t="n">
        <v>46166</v>
      </c>
      <c r="D904" t="inlineStr">
        <is>
          <t>JÄMTLANDS LÄN</t>
        </is>
      </c>
      <c r="E904" t="inlineStr">
        <is>
          <t>HÄRJEDALEN</t>
        </is>
      </c>
      <c r="G904" t="n">
        <v>1.6</v>
      </c>
      <c r="H904" t="n">
        <v>0</v>
      </c>
      <c r="I904" t="n">
        <v>0</v>
      </c>
      <c r="J904" t="n">
        <v>0</v>
      </c>
      <c r="K904" t="n">
        <v>0</v>
      </c>
      <c r="L904" t="n">
        <v>0</v>
      </c>
      <c r="M904" t="n">
        <v>0</v>
      </c>
      <c r="N904" t="n">
        <v>0</v>
      </c>
      <c r="O904" t="n">
        <v>0</v>
      </c>
      <c r="P904" t="n">
        <v>0</v>
      </c>
      <c r="Q904" t="n">
        <v>0</v>
      </c>
      <c r="R904" s="2" t="inlineStr"/>
    </row>
    <row r="905" ht="15" customHeight="1">
      <c r="A905" t="inlineStr">
        <is>
          <t>A 3245-2026</t>
        </is>
      </c>
      <c r="B905" s="1" t="n">
        <v>46041.5734375</v>
      </c>
      <c r="C905" s="1" t="n">
        <v>46166</v>
      </c>
      <c r="D905" t="inlineStr">
        <is>
          <t>JÄMTLANDS LÄN</t>
        </is>
      </c>
      <c r="E905" t="inlineStr">
        <is>
          <t>HÄRJEDALEN</t>
        </is>
      </c>
      <c r="F905" t="inlineStr">
        <is>
          <t>SCA</t>
        </is>
      </c>
      <c r="G905" t="n">
        <v>34.8</v>
      </c>
      <c r="H905" t="n">
        <v>0</v>
      </c>
      <c r="I905" t="n">
        <v>0</v>
      </c>
      <c r="J905" t="n">
        <v>0</v>
      </c>
      <c r="K905" t="n">
        <v>0</v>
      </c>
      <c r="L905" t="n">
        <v>0</v>
      </c>
      <c r="M905" t="n">
        <v>0</v>
      </c>
      <c r="N905" t="n">
        <v>0</v>
      </c>
      <c r="O905" t="n">
        <v>0</v>
      </c>
      <c r="P905" t="n">
        <v>0</v>
      </c>
      <c r="Q905" t="n">
        <v>0</v>
      </c>
      <c r="R905" s="2" t="inlineStr"/>
    </row>
    <row r="906" ht="15" customHeight="1">
      <c r="A906" t="inlineStr">
        <is>
          <t>A 2781-2026</t>
        </is>
      </c>
      <c r="B906" s="1" t="n">
        <v>46038.3860300926</v>
      </c>
      <c r="C906" s="1" t="n">
        <v>46166</v>
      </c>
      <c r="D906" t="inlineStr">
        <is>
          <t>JÄMTLANDS LÄN</t>
        </is>
      </c>
      <c r="E906" t="inlineStr">
        <is>
          <t>HÄRJEDALEN</t>
        </is>
      </c>
      <c r="G906" t="n">
        <v>1.9</v>
      </c>
      <c r="H906" t="n">
        <v>0</v>
      </c>
      <c r="I906" t="n">
        <v>0</v>
      </c>
      <c r="J906" t="n">
        <v>0</v>
      </c>
      <c r="K906" t="n">
        <v>0</v>
      </c>
      <c r="L906" t="n">
        <v>0</v>
      </c>
      <c r="M906" t="n">
        <v>0</v>
      </c>
      <c r="N906" t="n">
        <v>0</v>
      </c>
      <c r="O906" t="n">
        <v>0</v>
      </c>
      <c r="P906" t="n">
        <v>0</v>
      </c>
      <c r="Q906" t="n">
        <v>0</v>
      </c>
      <c r="R906" s="2" t="inlineStr"/>
    </row>
    <row r="907" ht="15" customHeight="1">
      <c r="A907" t="inlineStr">
        <is>
          <t>A 2770-2026</t>
        </is>
      </c>
      <c r="B907" s="1" t="n">
        <v>46038.36815972222</v>
      </c>
      <c r="C907" s="1" t="n">
        <v>46166</v>
      </c>
      <c r="D907" t="inlineStr">
        <is>
          <t>JÄMTLANDS LÄN</t>
        </is>
      </c>
      <c r="E907" t="inlineStr">
        <is>
          <t>HÄRJEDALEN</t>
        </is>
      </c>
      <c r="G907" t="n">
        <v>12.9</v>
      </c>
      <c r="H907" t="n">
        <v>0</v>
      </c>
      <c r="I907" t="n">
        <v>0</v>
      </c>
      <c r="J907" t="n">
        <v>0</v>
      </c>
      <c r="K907" t="n">
        <v>0</v>
      </c>
      <c r="L907" t="n">
        <v>0</v>
      </c>
      <c r="M907" t="n">
        <v>0</v>
      </c>
      <c r="N907" t="n">
        <v>0</v>
      </c>
      <c r="O907" t="n">
        <v>0</v>
      </c>
      <c r="P907" t="n">
        <v>0</v>
      </c>
      <c r="Q907" t="n">
        <v>0</v>
      </c>
      <c r="R907" s="2" t="inlineStr"/>
    </row>
    <row r="908" ht="15" customHeight="1">
      <c r="A908" t="inlineStr">
        <is>
          <t>A 1172-2025</t>
        </is>
      </c>
      <c r="B908" s="1" t="n">
        <v>45667</v>
      </c>
      <c r="C908" s="1" t="n">
        <v>46166</v>
      </c>
      <c r="D908" t="inlineStr">
        <is>
          <t>JÄMTLANDS LÄN</t>
        </is>
      </c>
      <c r="E908" t="inlineStr">
        <is>
          <t>HÄRJEDALEN</t>
        </is>
      </c>
      <c r="F908" t="inlineStr">
        <is>
          <t>Bergvik skog väst AB</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3246-2026</t>
        </is>
      </c>
      <c r="B909" s="1" t="n">
        <v>46041.57364583333</v>
      </c>
      <c r="C909" s="1" t="n">
        <v>46166</v>
      </c>
      <c r="D909" t="inlineStr">
        <is>
          <t>JÄMTLANDS LÄN</t>
        </is>
      </c>
      <c r="E909" t="inlineStr">
        <is>
          <t>HÄRJEDALEN</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3301-2026</t>
        </is>
      </c>
      <c r="B910" s="1" t="n">
        <v>46041.65736111111</v>
      </c>
      <c r="C910" s="1" t="n">
        <v>46166</v>
      </c>
      <c r="D910" t="inlineStr">
        <is>
          <t>JÄMTLANDS LÄN</t>
        </is>
      </c>
      <c r="E910" t="inlineStr">
        <is>
          <t>HÄRJEDALEN</t>
        </is>
      </c>
      <c r="G910" t="n">
        <v>5.1</v>
      </c>
      <c r="H910" t="n">
        <v>0</v>
      </c>
      <c r="I910" t="n">
        <v>0</v>
      </c>
      <c r="J910" t="n">
        <v>0</v>
      </c>
      <c r="K910" t="n">
        <v>0</v>
      </c>
      <c r="L910" t="n">
        <v>0</v>
      </c>
      <c r="M910" t="n">
        <v>0</v>
      </c>
      <c r="N910" t="n">
        <v>0</v>
      </c>
      <c r="O910" t="n">
        <v>0</v>
      </c>
      <c r="P910" t="n">
        <v>0</v>
      </c>
      <c r="Q910" t="n">
        <v>0</v>
      </c>
      <c r="R910" s="2" t="inlineStr"/>
    </row>
    <row r="911" ht="15" customHeight="1">
      <c r="A911" t="inlineStr">
        <is>
          <t>A 40596-2022</t>
        </is>
      </c>
      <c r="B911" s="1" t="n">
        <v>44823.84673611111</v>
      </c>
      <c r="C911" s="1" t="n">
        <v>46166</v>
      </c>
      <c r="D911" t="inlineStr">
        <is>
          <t>JÄMTLANDS LÄN</t>
        </is>
      </c>
      <c r="E911" t="inlineStr">
        <is>
          <t>HÄRJEDALEN</t>
        </is>
      </c>
      <c r="G911" t="n">
        <v>2.9</v>
      </c>
      <c r="H911" t="n">
        <v>0</v>
      </c>
      <c r="I911" t="n">
        <v>0</v>
      </c>
      <c r="J911" t="n">
        <v>0</v>
      </c>
      <c r="K911" t="n">
        <v>0</v>
      </c>
      <c r="L911" t="n">
        <v>0</v>
      </c>
      <c r="M911" t="n">
        <v>0</v>
      </c>
      <c r="N911" t="n">
        <v>0</v>
      </c>
      <c r="O911" t="n">
        <v>0</v>
      </c>
      <c r="P911" t="n">
        <v>0</v>
      </c>
      <c r="Q911" t="n">
        <v>0</v>
      </c>
      <c r="R911" s="2" t="inlineStr"/>
    </row>
    <row r="912" ht="15" customHeight="1">
      <c r="A912" t="inlineStr">
        <is>
          <t>A 3696-2026</t>
        </is>
      </c>
      <c r="B912" s="1" t="n">
        <v>46043.45800925926</v>
      </c>
      <c r="C912" s="1" t="n">
        <v>46166</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3795-2026</t>
        </is>
      </c>
      <c r="B913" s="1" t="n">
        <v>46043.57891203704</v>
      </c>
      <c r="C913" s="1" t="n">
        <v>46166</v>
      </c>
      <c r="D913" t="inlineStr">
        <is>
          <t>JÄMTLANDS LÄN</t>
        </is>
      </c>
      <c r="E913" t="inlineStr">
        <is>
          <t>HÄRJEDALEN</t>
        </is>
      </c>
      <c r="G913" t="n">
        <v>2.8</v>
      </c>
      <c r="H913" t="n">
        <v>0</v>
      </c>
      <c r="I913" t="n">
        <v>0</v>
      </c>
      <c r="J913" t="n">
        <v>0</v>
      </c>
      <c r="K913" t="n">
        <v>0</v>
      </c>
      <c r="L913" t="n">
        <v>0</v>
      </c>
      <c r="M913" t="n">
        <v>0</v>
      </c>
      <c r="N913" t="n">
        <v>0</v>
      </c>
      <c r="O913" t="n">
        <v>0</v>
      </c>
      <c r="P913" t="n">
        <v>0</v>
      </c>
      <c r="Q913" t="n">
        <v>0</v>
      </c>
      <c r="R913" s="2" t="inlineStr"/>
    </row>
    <row r="914" ht="15" customHeight="1">
      <c r="A914" t="inlineStr">
        <is>
          <t>A 11528-2022</t>
        </is>
      </c>
      <c r="B914" s="1" t="n">
        <v>44631.37701388889</v>
      </c>
      <c r="C914" s="1" t="n">
        <v>46166</v>
      </c>
      <c r="D914" t="inlineStr">
        <is>
          <t>JÄMTLANDS LÄN</t>
        </is>
      </c>
      <c r="E914" t="inlineStr">
        <is>
          <t>HÄRJEDALEN</t>
        </is>
      </c>
      <c r="F914" t="inlineStr">
        <is>
          <t>Holmen skog AB</t>
        </is>
      </c>
      <c r="G914" t="n">
        <v>6.1</v>
      </c>
      <c r="H914" t="n">
        <v>0</v>
      </c>
      <c r="I914" t="n">
        <v>0</v>
      </c>
      <c r="J914" t="n">
        <v>0</v>
      </c>
      <c r="K914" t="n">
        <v>0</v>
      </c>
      <c r="L914" t="n">
        <v>0</v>
      </c>
      <c r="M914" t="n">
        <v>0</v>
      </c>
      <c r="N914" t="n">
        <v>0</v>
      </c>
      <c r="O914" t="n">
        <v>0</v>
      </c>
      <c r="P914" t="n">
        <v>0</v>
      </c>
      <c r="Q914" t="n">
        <v>0</v>
      </c>
      <c r="R914" s="2" t="inlineStr"/>
    </row>
    <row r="915" ht="15" customHeight="1">
      <c r="A915" t="inlineStr">
        <is>
          <t>A 48213-2023</t>
        </is>
      </c>
      <c r="B915" s="1" t="n">
        <v>45205</v>
      </c>
      <c r="C915" s="1" t="n">
        <v>46166</v>
      </c>
      <c r="D915" t="inlineStr">
        <is>
          <t>JÄMTLANDS LÄN</t>
        </is>
      </c>
      <c r="E915" t="inlineStr">
        <is>
          <t>HÄRJEDALEN</t>
        </is>
      </c>
      <c r="G915" t="n">
        <v>12.2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46166</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46166</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46166</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9791-2026</t>
        </is>
      </c>
      <c r="B919" s="1" t="n">
        <v>46071</v>
      </c>
      <c r="C919" s="1" t="n">
        <v>46166</v>
      </c>
      <c r="D919" t="inlineStr">
        <is>
          <t>JÄMTLANDS LÄN</t>
        </is>
      </c>
      <c r="E919" t="inlineStr">
        <is>
          <t>HÄRJEDALEN</t>
        </is>
      </c>
      <c r="G919" t="n">
        <v>2.5</v>
      </c>
      <c r="H919" t="n">
        <v>0</v>
      </c>
      <c r="I919" t="n">
        <v>0</v>
      </c>
      <c r="J919" t="n">
        <v>0</v>
      </c>
      <c r="K919" t="n">
        <v>0</v>
      </c>
      <c r="L919" t="n">
        <v>0</v>
      </c>
      <c r="M919" t="n">
        <v>0</v>
      </c>
      <c r="N919" t="n">
        <v>0</v>
      </c>
      <c r="O919" t="n">
        <v>0</v>
      </c>
      <c r="P919" t="n">
        <v>0</v>
      </c>
      <c r="Q919" t="n">
        <v>0</v>
      </c>
      <c r="R919" s="2" t="inlineStr"/>
    </row>
    <row r="920" ht="15" customHeight="1">
      <c r="A920" t="inlineStr">
        <is>
          <t>A 9795-2026</t>
        </is>
      </c>
      <c r="B920" s="1" t="n">
        <v>46071</v>
      </c>
      <c r="C920" s="1" t="n">
        <v>46166</v>
      </c>
      <c r="D920" t="inlineStr">
        <is>
          <t>JÄMTLANDS LÄN</t>
        </is>
      </c>
      <c r="E920" t="inlineStr">
        <is>
          <t>HÄRJEDALEN</t>
        </is>
      </c>
      <c r="G920" t="n">
        <v>7.6</v>
      </c>
      <c r="H920" t="n">
        <v>0</v>
      </c>
      <c r="I920" t="n">
        <v>0</v>
      </c>
      <c r="J920" t="n">
        <v>0</v>
      </c>
      <c r="K920" t="n">
        <v>0</v>
      </c>
      <c r="L920" t="n">
        <v>0</v>
      </c>
      <c r="M920" t="n">
        <v>0</v>
      </c>
      <c r="N920" t="n">
        <v>0</v>
      </c>
      <c r="O920" t="n">
        <v>0</v>
      </c>
      <c r="P920" t="n">
        <v>0</v>
      </c>
      <c r="Q920" t="n">
        <v>0</v>
      </c>
      <c r="R920" s="2" t="inlineStr"/>
    </row>
    <row r="921" ht="15" customHeight="1">
      <c r="A921" t="inlineStr">
        <is>
          <t>A 9793-2026</t>
        </is>
      </c>
      <c r="B921" s="1" t="n">
        <v>46071</v>
      </c>
      <c r="C921" s="1" t="n">
        <v>46166</v>
      </c>
      <c r="D921" t="inlineStr">
        <is>
          <t>JÄMTLANDS LÄN</t>
        </is>
      </c>
      <c r="E921" t="inlineStr">
        <is>
          <t>HÄRJEDALEN</t>
        </is>
      </c>
      <c r="G921" t="n">
        <v>1.1</v>
      </c>
      <c r="H921" t="n">
        <v>0</v>
      </c>
      <c r="I921" t="n">
        <v>0</v>
      </c>
      <c r="J921" t="n">
        <v>0</v>
      </c>
      <c r="K921" t="n">
        <v>0</v>
      </c>
      <c r="L921" t="n">
        <v>0</v>
      </c>
      <c r="M921" t="n">
        <v>0</v>
      </c>
      <c r="N921" t="n">
        <v>0</v>
      </c>
      <c r="O921" t="n">
        <v>0</v>
      </c>
      <c r="P921" t="n">
        <v>0</v>
      </c>
      <c r="Q921" t="n">
        <v>0</v>
      </c>
      <c r="R921" s="2" t="inlineStr"/>
    </row>
    <row r="922" ht="15" customHeight="1">
      <c r="A922" t="inlineStr">
        <is>
          <t>A 16535-2024</t>
        </is>
      </c>
      <c r="B922" s="1" t="n">
        <v>45408</v>
      </c>
      <c r="C922" s="1" t="n">
        <v>46166</v>
      </c>
      <c r="D922" t="inlineStr">
        <is>
          <t>JÄMTLANDS LÄN</t>
        </is>
      </c>
      <c r="E922" t="inlineStr">
        <is>
          <t>HÄRJEDALEN</t>
        </is>
      </c>
      <c r="G922" t="n">
        <v>3.7</v>
      </c>
      <c r="H922" t="n">
        <v>0</v>
      </c>
      <c r="I922" t="n">
        <v>0</v>
      </c>
      <c r="J922" t="n">
        <v>0</v>
      </c>
      <c r="K922" t="n">
        <v>0</v>
      </c>
      <c r="L922" t="n">
        <v>0</v>
      </c>
      <c r="M922" t="n">
        <v>0</v>
      </c>
      <c r="N922" t="n">
        <v>0</v>
      </c>
      <c r="O922" t="n">
        <v>0</v>
      </c>
      <c r="P922" t="n">
        <v>0</v>
      </c>
      <c r="Q922" t="n">
        <v>0</v>
      </c>
      <c r="R922" s="2" t="inlineStr"/>
    </row>
    <row r="923" ht="15" customHeight="1">
      <c r="A923" t="inlineStr">
        <is>
          <t>A 21531-2023</t>
        </is>
      </c>
      <c r="B923" s="1" t="n">
        <v>45063</v>
      </c>
      <c r="C923" s="1" t="n">
        <v>46166</v>
      </c>
      <c r="D923" t="inlineStr">
        <is>
          <t>JÄMTLANDS LÄN</t>
        </is>
      </c>
      <c r="E923" t="inlineStr">
        <is>
          <t>HÄRJEDALEN</t>
        </is>
      </c>
      <c r="G923" t="n">
        <v>14.6</v>
      </c>
      <c r="H923" t="n">
        <v>0</v>
      </c>
      <c r="I923" t="n">
        <v>0</v>
      </c>
      <c r="J923" t="n">
        <v>0</v>
      </c>
      <c r="K923" t="n">
        <v>0</v>
      </c>
      <c r="L923" t="n">
        <v>0</v>
      </c>
      <c r="M923" t="n">
        <v>0</v>
      </c>
      <c r="N923" t="n">
        <v>0</v>
      </c>
      <c r="O923" t="n">
        <v>0</v>
      </c>
      <c r="P923" t="n">
        <v>0</v>
      </c>
      <c r="Q923" t="n">
        <v>0</v>
      </c>
      <c r="R923" s="2" t="inlineStr"/>
    </row>
    <row r="924" ht="15" customHeight="1">
      <c r="A924" t="inlineStr">
        <is>
          <t>A 60752-2024</t>
        </is>
      </c>
      <c r="B924" s="1" t="n">
        <v>45644.56674768519</v>
      </c>
      <c r="C924" s="1" t="n">
        <v>46166</v>
      </c>
      <c r="D924" t="inlineStr">
        <is>
          <t>JÄMTLANDS LÄN</t>
        </is>
      </c>
      <c r="E924" t="inlineStr">
        <is>
          <t>HÄRJEDALEN</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5052-2026</t>
        </is>
      </c>
      <c r="B925" s="1" t="n">
        <v>46049.47261574074</v>
      </c>
      <c r="C925" s="1" t="n">
        <v>46166</v>
      </c>
      <c r="D925" t="inlineStr">
        <is>
          <t>JÄMTLANDS LÄN</t>
        </is>
      </c>
      <c r="E925" t="inlineStr">
        <is>
          <t>HÄRJEDALEN</t>
        </is>
      </c>
      <c r="G925" t="n">
        <v>5.2</v>
      </c>
      <c r="H925" t="n">
        <v>0</v>
      </c>
      <c r="I925" t="n">
        <v>0</v>
      </c>
      <c r="J925" t="n">
        <v>0</v>
      </c>
      <c r="K925" t="n">
        <v>0</v>
      </c>
      <c r="L925" t="n">
        <v>0</v>
      </c>
      <c r="M925" t="n">
        <v>0</v>
      </c>
      <c r="N925" t="n">
        <v>0</v>
      </c>
      <c r="O925" t="n">
        <v>0</v>
      </c>
      <c r="P925" t="n">
        <v>0</v>
      </c>
      <c r="Q925" t="n">
        <v>0</v>
      </c>
      <c r="R925" s="2" t="inlineStr"/>
    </row>
    <row r="926" ht="15" customHeight="1">
      <c r="A926" t="inlineStr">
        <is>
          <t>A 4946-2026</t>
        </is>
      </c>
      <c r="B926" s="1" t="n">
        <v>46049.25945601852</v>
      </c>
      <c r="C926" s="1" t="n">
        <v>46166</v>
      </c>
      <c r="D926" t="inlineStr">
        <is>
          <t>JÄMTLANDS LÄN</t>
        </is>
      </c>
      <c r="E926" t="inlineStr">
        <is>
          <t>HÄRJEDALEN</t>
        </is>
      </c>
      <c r="G926" t="n">
        <v>14.8</v>
      </c>
      <c r="H926" t="n">
        <v>0</v>
      </c>
      <c r="I926" t="n">
        <v>0</v>
      </c>
      <c r="J926" t="n">
        <v>0</v>
      </c>
      <c r="K926" t="n">
        <v>0</v>
      </c>
      <c r="L926" t="n">
        <v>0</v>
      </c>
      <c r="M926" t="n">
        <v>0</v>
      </c>
      <c r="N926" t="n">
        <v>0</v>
      </c>
      <c r="O926" t="n">
        <v>0</v>
      </c>
      <c r="P926" t="n">
        <v>0</v>
      </c>
      <c r="Q926" t="n">
        <v>0</v>
      </c>
      <c r="R926" s="2" t="inlineStr"/>
    </row>
    <row r="927" ht="15" customHeight="1">
      <c r="A927" t="inlineStr">
        <is>
          <t>A 4221-2025</t>
        </is>
      </c>
      <c r="B927" s="1" t="n">
        <v>45685.52405092592</v>
      </c>
      <c r="C927" s="1" t="n">
        <v>46166</v>
      </c>
      <c r="D927" t="inlineStr">
        <is>
          <t>JÄMTLANDS LÄN</t>
        </is>
      </c>
      <c r="E927" t="inlineStr">
        <is>
          <t>HÄRJEDALEN</t>
        </is>
      </c>
      <c r="F927" t="inlineStr">
        <is>
          <t>Bergvik skog väst AB</t>
        </is>
      </c>
      <c r="G927" t="n">
        <v>7.7</v>
      </c>
      <c r="H927" t="n">
        <v>0</v>
      </c>
      <c r="I927" t="n">
        <v>0</v>
      </c>
      <c r="J927" t="n">
        <v>0</v>
      </c>
      <c r="K927" t="n">
        <v>0</v>
      </c>
      <c r="L927" t="n">
        <v>0</v>
      </c>
      <c r="M927" t="n">
        <v>0</v>
      </c>
      <c r="N927" t="n">
        <v>0</v>
      </c>
      <c r="O927" t="n">
        <v>0</v>
      </c>
      <c r="P927" t="n">
        <v>0</v>
      </c>
      <c r="Q927" t="n">
        <v>0</v>
      </c>
      <c r="R927" s="2" t="inlineStr"/>
    </row>
    <row r="928" ht="15" customHeight="1">
      <c r="A928" t="inlineStr">
        <is>
          <t>A 44519-2021</t>
        </is>
      </c>
      <c r="B928" s="1" t="n">
        <v>44435</v>
      </c>
      <c r="C928" s="1" t="n">
        <v>46166</v>
      </c>
      <c r="D928" t="inlineStr">
        <is>
          <t>JÄMTLANDS LÄN</t>
        </is>
      </c>
      <c r="E928" t="inlineStr">
        <is>
          <t>HÄRJEDALEN</t>
        </is>
      </c>
      <c r="F928" t="inlineStr">
        <is>
          <t>Kyrkan</t>
        </is>
      </c>
      <c r="G928" t="n">
        <v>6.7</v>
      </c>
      <c r="H928" t="n">
        <v>0</v>
      </c>
      <c r="I928" t="n">
        <v>0</v>
      </c>
      <c r="J928" t="n">
        <v>0</v>
      </c>
      <c r="K928" t="n">
        <v>0</v>
      </c>
      <c r="L928" t="n">
        <v>0</v>
      </c>
      <c r="M928" t="n">
        <v>0</v>
      </c>
      <c r="N928" t="n">
        <v>0</v>
      </c>
      <c r="O928" t="n">
        <v>0</v>
      </c>
      <c r="P928" t="n">
        <v>0</v>
      </c>
      <c r="Q928" t="n">
        <v>0</v>
      </c>
      <c r="R928" s="2" t="inlineStr"/>
    </row>
    <row r="929" ht="15" customHeight="1">
      <c r="A929" t="inlineStr">
        <is>
          <t>A 16842-2025</t>
        </is>
      </c>
      <c r="B929" s="1" t="n">
        <v>45754.67329861111</v>
      </c>
      <c r="C929" s="1" t="n">
        <v>46166</v>
      </c>
      <c r="D929" t="inlineStr">
        <is>
          <t>JÄMTLANDS LÄN</t>
        </is>
      </c>
      <c r="E929" t="inlineStr">
        <is>
          <t>HÄRJEDALEN</t>
        </is>
      </c>
      <c r="G929" t="n">
        <v>18.6</v>
      </c>
      <c r="H929" t="n">
        <v>0</v>
      </c>
      <c r="I929" t="n">
        <v>0</v>
      </c>
      <c r="J929" t="n">
        <v>0</v>
      </c>
      <c r="K929" t="n">
        <v>0</v>
      </c>
      <c r="L929" t="n">
        <v>0</v>
      </c>
      <c r="M929" t="n">
        <v>0</v>
      </c>
      <c r="N929" t="n">
        <v>0</v>
      </c>
      <c r="O929" t="n">
        <v>0</v>
      </c>
      <c r="P929" t="n">
        <v>0</v>
      </c>
      <c r="Q929" t="n">
        <v>0</v>
      </c>
      <c r="R929" s="2" t="inlineStr"/>
    </row>
    <row r="930" ht="15" customHeight="1">
      <c r="A930" t="inlineStr">
        <is>
          <t>A 14632-2025</t>
        </is>
      </c>
      <c r="B930" s="1" t="n">
        <v>45742.42793981481</v>
      </c>
      <c r="C930" s="1" t="n">
        <v>46166</v>
      </c>
      <c r="D930" t="inlineStr">
        <is>
          <t>JÄMTLANDS LÄN</t>
        </is>
      </c>
      <c r="E930" t="inlineStr">
        <is>
          <t>HÄRJEDALEN</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4569-2026</t>
        </is>
      </c>
      <c r="B931" s="1" t="n">
        <v>46047.94138888889</v>
      </c>
      <c r="C931" s="1" t="n">
        <v>46166</v>
      </c>
      <c r="D931" t="inlineStr">
        <is>
          <t>JÄMTLANDS LÄN</t>
        </is>
      </c>
      <c r="E931" t="inlineStr">
        <is>
          <t>HÄRJEDALEN</t>
        </is>
      </c>
      <c r="F931" t="inlineStr">
        <is>
          <t>Bergvik skog väst AB</t>
        </is>
      </c>
      <c r="G931" t="n">
        <v>22.8</v>
      </c>
      <c r="H931" t="n">
        <v>0</v>
      </c>
      <c r="I931" t="n">
        <v>0</v>
      </c>
      <c r="J931" t="n">
        <v>0</v>
      </c>
      <c r="K931" t="n">
        <v>0</v>
      </c>
      <c r="L931" t="n">
        <v>0</v>
      </c>
      <c r="M931" t="n">
        <v>0</v>
      </c>
      <c r="N931" t="n">
        <v>0</v>
      </c>
      <c r="O931" t="n">
        <v>0</v>
      </c>
      <c r="P931" t="n">
        <v>0</v>
      </c>
      <c r="Q931" t="n">
        <v>0</v>
      </c>
      <c r="R931" s="2" t="inlineStr"/>
    </row>
    <row r="932" ht="15" customHeight="1">
      <c r="A932" t="inlineStr">
        <is>
          <t>A 5058-2026</t>
        </is>
      </c>
      <c r="B932" s="1" t="n">
        <v>46049.48273148148</v>
      </c>
      <c r="C932" s="1" t="n">
        <v>46166</v>
      </c>
      <c r="D932" t="inlineStr">
        <is>
          <t>JÄMTLANDS LÄN</t>
        </is>
      </c>
      <c r="E932" t="inlineStr">
        <is>
          <t>HÄRJEDALEN</t>
        </is>
      </c>
      <c r="G932" t="n">
        <v>2.2</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46166</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44939.45376157408</v>
      </c>
      <c r="C934" s="1" t="n">
        <v>46166</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31910-2023</t>
        </is>
      </c>
      <c r="B935" s="1" t="n">
        <v>45118.91633101852</v>
      </c>
      <c r="C935" s="1" t="n">
        <v>46166</v>
      </c>
      <c r="D935" t="inlineStr">
        <is>
          <t>JÄMTLANDS LÄN</t>
        </is>
      </c>
      <c r="E935" t="inlineStr">
        <is>
          <t>HÄRJEDALEN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36097-2024</t>
        </is>
      </c>
      <c r="B936" s="1" t="n">
        <v>45533.75398148148</v>
      </c>
      <c r="C936" s="1" t="n">
        <v>46166</v>
      </c>
      <c r="D936" t="inlineStr">
        <is>
          <t>JÄMTLANDS LÄN</t>
        </is>
      </c>
      <c r="E936" t="inlineStr">
        <is>
          <t>HÄRJEDALEN</t>
        </is>
      </c>
      <c r="G936" t="n">
        <v>2.9</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46166</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5984-2026</t>
        </is>
      </c>
      <c r="B938" s="1" t="n">
        <v>46052.55895833333</v>
      </c>
      <c r="C938" s="1" t="n">
        <v>46166</v>
      </c>
      <c r="D938" t="inlineStr">
        <is>
          <t>JÄMTLANDS LÄN</t>
        </is>
      </c>
      <c r="E938" t="inlineStr">
        <is>
          <t>HÄRJEDALEN</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6313-2026</t>
        </is>
      </c>
      <c r="B939" s="1" t="n">
        <v>46055.57800925926</v>
      </c>
      <c r="C939" s="1" t="n">
        <v>46166</v>
      </c>
      <c r="D939" t="inlineStr">
        <is>
          <t>JÄMTLANDS LÄN</t>
        </is>
      </c>
      <c r="E939" t="inlineStr">
        <is>
          <t>HÄRJEDALEN</t>
        </is>
      </c>
      <c r="G939" t="n">
        <v>3.5</v>
      </c>
      <c r="H939" t="n">
        <v>0</v>
      </c>
      <c r="I939" t="n">
        <v>0</v>
      </c>
      <c r="J939" t="n">
        <v>0</v>
      </c>
      <c r="K939" t="n">
        <v>0</v>
      </c>
      <c r="L939" t="n">
        <v>0</v>
      </c>
      <c r="M939" t="n">
        <v>0</v>
      </c>
      <c r="N939" t="n">
        <v>0</v>
      </c>
      <c r="O939" t="n">
        <v>0</v>
      </c>
      <c r="P939" t="n">
        <v>0</v>
      </c>
      <c r="Q939" t="n">
        <v>0</v>
      </c>
      <c r="R939" s="2" t="inlineStr"/>
      <c r="U939">
        <f>HYPERLINK("https://klasma.github.io/Logging_2361/knärot/A 6313-2026 karta knärot.png", "A 6313-2026")</f>
        <v/>
      </c>
      <c r="V939">
        <f>HYPERLINK("https://klasma.github.io/Logging_2361/klagomål/A 6313-2026 FSC-klagomål.docx", "A 6313-2026")</f>
        <v/>
      </c>
      <c r="W939">
        <f>HYPERLINK("https://klasma.github.io/Logging_2361/klagomålsmail/A 6313-2026 FSC-klagomål mail.docx", "A 6313-2026")</f>
        <v/>
      </c>
      <c r="X939">
        <f>HYPERLINK("https://klasma.github.io/Logging_2361/tillsyn/A 6313-2026 tillsynsbegäran.docx", "A 6313-2026")</f>
        <v/>
      </c>
      <c r="Y939">
        <f>HYPERLINK("https://klasma.github.io/Logging_2361/tillsynsmail/A 6313-2026 tillsynsbegäran mail.docx", "A 6313-2026")</f>
        <v/>
      </c>
    </row>
    <row r="940" ht="15" customHeight="1">
      <c r="A940" t="inlineStr">
        <is>
          <t>A 49792-2023</t>
        </is>
      </c>
      <c r="B940" s="1" t="n">
        <v>45212</v>
      </c>
      <c r="C940" s="1" t="n">
        <v>46166</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6310-2026</t>
        </is>
      </c>
      <c r="B941" s="1" t="n">
        <v>46055.57399305556</v>
      </c>
      <c r="C941" s="1" t="n">
        <v>46166</v>
      </c>
      <c r="D941" t="inlineStr">
        <is>
          <t>JÄMTLANDS LÄN</t>
        </is>
      </c>
      <c r="E941" t="inlineStr">
        <is>
          <t>HÄRJEDALEN</t>
        </is>
      </c>
      <c r="G941" t="n">
        <v>2.9</v>
      </c>
      <c r="H941" t="n">
        <v>0</v>
      </c>
      <c r="I941" t="n">
        <v>0</v>
      </c>
      <c r="J941" t="n">
        <v>0</v>
      </c>
      <c r="K941" t="n">
        <v>0</v>
      </c>
      <c r="L941" t="n">
        <v>0</v>
      </c>
      <c r="M941" t="n">
        <v>0</v>
      </c>
      <c r="N941" t="n">
        <v>0</v>
      </c>
      <c r="O941" t="n">
        <v>0</v>
      </c>
      <c r="P941" t="n">
        <v>0</v>
      </c>
      <c r="Q941" t="n">
        <v>0</v>
      </c>
      <c r="R941" s="2" t="inlineStr"/>
    </row>
    <row r="942" ht="15" customHeight="1">
      <c r="A942" t="inlineStr">
        <is>
          <t>A 12428-2025</t>
        </is>
      </c>
      <c r="B942" s="1" t="n">
        <v>45730</v>
      </c>
      <c r="C942" s="1" t="n">
        <v>46166</v>
      </c>
      <c r="D942" t="inlineStr">
        <is>
          <t>JÄMTLANDS LÄN</t>
        </is>
      </c>
      <c r="E942" t="inlineStr">
        <is>
          <t>HÄRJEDALEN</t>
        </is>
      </c>
      <c r="G942" t="n">
        <v>1.7</v>
      </c>
      <c r="H942" t="n">
        <v>0</v>
      </c>
      <c r="I942" t="n">
        <v>0</v>
      </c>
      <c r="J942" t="n">
        <v>0</v>
      </c>
      <c r="K942" t="n">
        <v>0</v>
      </c>
      <c r="L942" t="n">
        <v>0</v>
      </c>
      <c r="M942" t="n">
        <v>0</v>
      </c>
      <c r="N942" t="n">
        <v>0</v>
      </c>
      <c r="O942" t="n">
        <v>0</v>
      </c>
      <c r="P942" t="n">
        <v>0</v>
      </c>
      <c r="Q942" t="n">
        <v>0</v>
      </c>
      <c r="R942" s="2" t="inlineStr"/>
    </row>
    <row r="943" ht="15" customHeight="1">
      <c r="A943" t="inlineStr">
        <is>
          <t>A 19098-2025</t>
        </is>
      </c>
      <c r="B943" s="1" t="n">
        <v>45768.29289351852</v>
      </c>
      <c r="C943" s="1" t="n">
        <v>46166</v>
      </c>
      <c r="D943" t="inlineStr">
        <is>
          <t>JÄMTLANDS LÄN</t>
        </is>
      </c>
      <c r="E943" t="inlineStr">
        <is>
          <t>HÄRJEDALEN</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19101-2025</t>
        </is>
      </c>
      <c r="B944" s="1" t="n">
        <v>45768.30086805556</v>
      </c>
      <c r="C944" s="1" t="n">
        <v>46166</v>
      </c>
      <c r="D944" t="inlineStr">
        <is>
          <t>JÄMTLANDS LÄN</t>
        </is>
      </c>
      <c r="E944" t="inlineStr">
        <is>
          <t>HÄRJEDALEN</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6810-2026</t>
        </is>
      </c>
      <c r="B945" s="1" t="n">
        <v>46057.37055555556</v>
      </c>
      <c r="C945" s="1" t="n">
        <v>46166</v>
      </c>
      <c r="D945" t="inlineStr">
        <is>
          <t>JÄMTLANDS LÄN</t>
        </is>
      </c>
      <c r="E945" t="inlineStr">
        <is>
          <t>HÄRJEDALEN</t>
        </is>
      </c>
      <c r="G945" t="n">
        <v>2.1</v>
      </c>
      <c r="H945" t="n">
        <v>0</v>
      </c>
      <c r="I945" t="n">
        <v>0</v>
      </c>
      <c r="J945" t="n">
        <v>0</v>
      </c>
      <c r="K945" t="n">
        <v>0</v>
      </c>
      <c r="L945" t="n">
        <v>0</v>
      </c>
      <c r="M945" t="n">
        <v>0</v>
      </c>
      <c r="N945" t="n">
        <v>0</v>
      </c>
      <c r="O945" t="n">
        <v>0</v>
      </c>
      <c r="P945" t="n">
        <v>0</v>
      </c>
      <c r="Q945" t="n">
        <v>0</v>
      </c>
      <c r="R945" s="2" t="inlineStr"/>
    </row>
    <row r="946" ht="15" customHeight="1">
      <c r="A946" t="inlineStr">
        <is>
          <t>A 5623-2026</t>
        </is>
      </c>
      <c r="B946" s="1" t="n">
        <v>46051</v>
      </c>
      <c r="C946" s="1" t="n">
        <v>46166</v>
      </c>
      <c r="D946" t="inlineStr">
        <is>
          <t>JÄMTLANDS LÄN</t>
        </is>
      </c>
      <c r="E946" t="inlineStr">
        <is>
          <t>HÄRJEDALEN</t>
        </is>
      </c>
      <c r="G946" t="n">
        <v>0.8</v>
      </c>
      <c r="H946" t="n">
        <v>0</v>
      </c>
      <c r="I946" t="n">
        <v>0</v>
      </c>
      <c r="J946" t="n">
        <v>0</v>
      </c>
      <c r="K946" t="n">
        <v>0</v>
      </c>
      <c r="L946" t="n">
        <v>0</v>
      </c>
      <c r="M946" t="n">
        <v>0</v>
      </c>
      <c r="N946" t="n">
        <v>0</v>
      </c>
      <c r="O946" t="n">
        <v>0</v>
      </c>
      <c r="P946" t="n">
        <v>0</v>
      </c>
      <c r="Q946" t="n">
        <v>0</v>
      </c>
      <c r="R946" s="2" t="inlineStr"/>
    </row>
    <row r="947" ht="15" customHeight="1">
      <c r="A947" t="inlineStr">
        <is>
          <t>A 5013-2023</t>
        </is>
      </c>
      <c r="B947" s="1" t="n">
        <v>44958</v>
      </c>
      <c r="C947" s="1" t="n">
        <v>46166</v>
      </c>
      <c r="D947" t="inlineStr">
        <is>
          <t>JÄMTLANDS LÄN</t>
        </is>
      </c>
      <c r="E947" t="inlineStr">
        <is>
          <t>HÄRJEDALEN</t>
        </is>
      </c>
      <c r="F947" t="inlineStr">
        <is>
          <t>Bergvik skog väst AB</t>
        </is>
      </c>
      <c r="G947" t="n">
        <v>0.2</v>
      </c>
      <c r="H947" t="n">
        <v>0</v>
      </c>
      <c r="I947" t="n">
        <v>0</v>
      </c>
      <c r="J947" t="n">
        <v>0</v>
      </c>
      <c r="K947" t="n">
        <v>0</v>
      </c>
      <c r="L947" t="n">
        <v>0</v>
      </c>
      <c r="M947" t="n">
        <v>0</v>
      </c>
      <c r="N947" t="n">
        <v>0</v>
      </c>
      <c r="O947" t="n">
        <v>0</v>
      </c>
      <c r="P947" t="n">
        <v>0</v>
      </c>
      <c r="Q947" t="n">
        <v>0</v>
      </c>
      <c r="R947" s="2" t="inlineStr"/>
    </row>
    <row r="948" ht="15" customHeight="1">
      <c r="A948" t="inlineStr">
        <is>
          <t>A 21530-2023</t>
        </is>
      </c>
      <c r="B948" s="1" t="n">
        <v>45063</v>
      </c>
      <c r="C948" s="1" t="n">
        <v>46166</v>
      </c>
      <c r="D948" t="inlineStr">
        <is>
          <t>JÄMTLANDS LÄN</t>
        </is>
      </c>
      <c r="E948" t="inlineStr">
        <is>
          <t>HÄRJEDALEN</t>
        </is>
      </c>
      <c r="G948" t="n">
        <v>15.3</v>
      </c>
      <c r="H948" t="n">
        <v>0</v>
      </c>
      <c r="I948" t="n">
        <v>0</v>
      </c>
      <c r="J948" t="n">
        <v>0</v>
      </c>
      <c r="K948" t="n">
        <v>0</v>
      </c>
      <c r="L948" t="n">
        <v>0</v>
      </c>
      <c r="M948" t="n">
        <v>0</v>
      </c>
      <c r="N948" t="n">
        <v>0</v>
      </c>
      <c r="O948" t="n">
        <v>0</v>
      </c>
      <c r="P948" t="n">
        <v>0</v>
      </c>
      <c r="Q948" t="n">
        <v>0</v>
      </c>
      <c r="R948" s="2" t="inlineStr"/>
    </row>
    <row r="949" ht="15" customHeight="1">
      <c r="A949" t="inlineStr">
        <is>
          <t>A 43591-2024</t>
        </is>
      </c>
      <c r="B949" s="1" t="n">
        <v>45569</v>
      </c>
      <c r="C949" s="1" t="n">
        <v>46166</v>
      </c>
      <c r="D949" t="inlineStr">
        <is>
          <t>JÄMTLANDS LÄN</t>
        </is>
      </c>
      <c r="E949" t="inlineStr">
        <is>
          <t>HÄRJEDALEN</t>
        </is>
      </c>
      <c r="F949" t="inlineStr">
        <is>
          <t>Bergvik skog väst AB</t>
        </is>
      </c>
      <c r="G949" t="n">
        <v>50.5</v>
      </c>
      <c r="H949" t="n">
        <v>0</v>
      </c>
      <c r="I949" t="n">
        <v>0</v>
      </c>
      <c r="J949" t="n">
        <v>0</v>
      </c>
      <c r="K949" t="n">
        <v>0</v>
      </c>
      <c r="L949" t="n">
        <v>0</v>
      </c>
      <c r="M949" t="n">
        <v>0</v>
      </c>
      <c r="N949" t="n">
        <v>0</v>
      </c>
      <c r="O949" t="n">
        <v>0</v>
      </c>
      <c r="P949" t="n">
        <v>0</v>
      </c>
      <c r="Q949" t="n">
        <v>0</v>
      </c>
      <c r="R949" s="2" t="inlineStr"/>
    </row>
    <row r="950" ht="15" customHeight="1">
      <c r="A950" t="inlineStr">
        <is>
          <t>A 59427-2024</t>
        </is>
      </c>
      <c r="B950" s="1" t="n">
        <v>45638.416875</v>
      </c>
      <c r="C950" s="1" t="n">
        <v>46166</v>
      </c>
      <c r="D950" t="inlineStr">
        <is>
          <t>JÄMTLANDS LÄN</t>
        </is>
      </c>
      <c r="E950" t="inlineStr">
        <is>
          <t>HÄRJEDALEN</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55969-2022</t>
        </is>
      </c>
      <c r="B951" s="1" t="n">
        <v>44886</v>
      </c>
      <c r="C951" s="1" t="n">
        <v>46166</v>
      </c>
      <c r="D951" t="inlineStr">
        <is>
          <t>JÄMTLANDS LÄN</t>
        </is>
      </c>
      <c r="E951" t="inlineStr">
        <is>
          <t>HÄRJEDALEN</t>
        </is>
      </c>
      <c r="F951" t="inlineStr">
        <is>
          <t>Övriga statliga verk och myndigheter</t>
        </is>
      </c>
      <c r="G951" t="n">
        <v>1.6</v>
      </c>
      <c r="H951" t="n">
        <v>0</v>
      </c>
      <c r="I951" t="n">
        <v>0</v>
      </c>
      <c r="J951" t="n">
        <v>0</v>
      </c>
      <c r="K951" t="n">
        <v>0</v>
      </c>
      <c r="L951" t="n">
        <v>0</v>
      </c>
      <c r="M951" t="n">
        <v>0</v>
      </c>
      <c r="N951" t="n">
        <v>0</v>
      </c>
      <c r="O951" t="n">
        <v>0</v>
      </c>
      <c r="P951" t="n">
        <v>0</v>
      </c>
      <c r="Q951" t="n">
        <v>0</v>
      </c>
      <c r="R951" s="2" t="inlineStr"/>
    </row>
    <row r="952" ht="15" customHeight="1">
      <c r="A952" t="inlineStr">
        <is>
          <t>A 7302-2026</t>
        </is>
      </c>
      <c r="B952" s="1" t="n">
        <v>46058.65045138889</v>
      </c>
      <c r="C952" s="1" t="n">
        <v>46166</v>
      </c>
      <c r="D952" t="inlineStr">
        <is>
          <t>JÄMTLANDS LÄN</t>
        </is>
      </c>
      <c r="E952" t="inlineStr">
        <is>
          <t>HÄRJEDALEN</t>
        </is>
      </c>
      <c r="F952" t="inlineStr">
        <is>
          <t>Bergvik skog väst AB</t>
        </is>
      </c>
      <c r="G952" t="n">
        <v>34.3</v>
      </c>
      <c r="H952" t="n">
        <v>0</v>
      </c>
      <c r="I952" t="n">
        <v>0</v>
      </c>
      <c r="J952" t="n">
        <v>0</v>
      </c>
      <c r="K952" t="n">
        <v>0</v>
      </c>
      <c r="L952" t="n">
        <v>0</v>
      </c>
      <c r="M952" t="n">
        <v>0</v>
      </c>
      <c r="N952" t="n">
        <v>0</v>
      </c>
      <c r="O952" t="n">
        <v>0</v>
      </c>
      <c r="P952" t="n">
        <v>0</v>
      </c>
      <c r="Q952" t="n">
        <v>0</v>
      </c>
      <c r="R952" s="2" t="inlineStr"/>
    </row>
    <row r="953" ht="15" customHeight="1">
      <c r="A953" t="inlineStr">
        <is>
          <t>A 31816-2024</t>
        </is>
      </c>
      <c r="B953" s="1" t="n">
        <v>45509.5980787037</v>
      </c>
      <c r="C953" s="1" t="n">
        <v>46166</v>
      </c>
      <c r="D953" t="inlineStr">
        <is>
          <t>JÄMTLANDS LÄN</t>
        </is>
      </c>
      <c r="E953" t="inlineStr">
        <is>
          <t>HÄRJEDALEN</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57668-2024</t>
        </is>
      </c>
      <c r="B954" s="1" t="n">
        <v>45630.62513888889</v>
      </c>
      <c r="C954" s="1" t="n">
        <v>46166</v>
      </c>
      <c r="D954" t="inlineStr">
        <is>
          <t>JÄMTLANDS LÄN</t>
        </is>
      </c>
      <c r="E954" t="inlineStr">
        <is>
          <t>HÄRJEDALEN</t>
        </is>
      </c>
      <c r="G954" t="n">
        <v>15.7</v>
      </c>
      <c r="H954" t="n">
        <v>0</v>
      </c>
      <c r="I954" t="n">
        <v>0</v>
      </c>
      <c r="J954" t="n">
        <v>0</v>
      </c>
      <c r="K954" t="n">
        <v>0</v>
      </c>
      <c r="L954" t="n">
        <v>0</v>
      </c>
      <c r="M954" t="n">
        <v>0</v>
      </c>
      <c r="N954" t="n">
        <v>0</v>
      </c>
      <c r="O954" t="n">
        <v>0</v>
      </c>
      <c r="P954" t="n">
        <v>0</v>
      </c>
      <c r="Q954" t="n">
        <v>0</v>
      </c>
      <c r="R954" s="2" t="inlineStr"/>
    </row>
    <row r="955" ht="15" customHeight="1">
      <c r="A955" t="inlineStr">
        <is>
          <t>A 56061-2024</t>
        </is>
      </c>
      <c r="B955" s="1" t="n">
        <v>45624.36858796296</v>
      </c>
      <c r="C955" s="1" t="n">
        <v>46166</v>
      </c>
      <c r="D955" t="inlineStr">
        <is>
          <t>JÄMTLANDS LÄN</t>
        </is>
      </c>
      <c r="E955" t="inlineStr">
        <is>
          <t>HÄRJEDALEN</t>
        </is>
      </c>
      <c r="G955" t="n">
        <v>7.9</v>
      </c>
      <c r="H955" t="n">
        <v>0</v>
      </c>
      <c r="I955" t="n">
        <v>0</v>
      </c>
      <c r="J955" t="n">
        <v>0</v>
      </c>
      <c r="K955" t="n">
        <v>0</v>
      </c>
      <c r="L955" t="n">
        <v>0</v>
      </c>
      <c r="M955" t="n">
        <v>0</v>
      </c>
      <c r="N955" t="n">
        <v>0</v>
      </c>
      <c r="O955" t="n">
        <v>0</v>
      </c>
      <c r="P955" t="n">
        <v>0</v>
      </c>
      <c r="Q955" t="n">
        <v>0</v>
      </c>
      <c r="R955" s="2" t="inlineStr"/>
    </row>
    <row r="956" ht="15" customHeight="1">
      <c r="A956" t="inlineStr">
        <is>
          <t>A 30082-2022</t>
        </is>
      </c>
      <c r="B956" s="1" t="n">
        <v>44757.37524305555</v>
      </c>
      <c r="C956" s="1" t="n">
        <v>46166</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56547-2024</t>
        </is>
      </c>
      <c r="B957" s="1" t="n">
        <v>45625.56934027778</v>
      </c>
      <c r="C957" s="1" t="n">
        <v>46166</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9094-2026</t>
        </is>
      </c>
      <c r="B958" s="1" t="n">
        <v>46069.63391203704</v>
      </c>
      <c r="C958" s="1" t="n">
        <v>46166</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9092-2026</t>
        </is>
      </c>
      <c r="B959" s="1" t="n">
        <v>46069.63060185185</v>
      </c>
      <c r="C959" s="1" t="n">
        <v>46166</v>
      </c>
      <c r="D959" t="inlineStr">
        <is>
          <t>JÄMTLANDS LÄN</t>
        </is>
      </c>
      <c r="E959" t="inlineStr">
        <is>
          <t>HÄRJEDALEN</t>
        </is>
      </c>
      <c r="G959" t="n">
        <v>4.8</v>
      </c>
      <c r="H959" t="n">
        <v>0</v>
      </c>
      <c r="I959" t="n">
        <v>0</v>
      </c>
      <c r="J959" t="n">
        <v>0</v>
      </c>
      <c r="K959" t="n">
        <v>0</v>
      </c>
      <c r="L959" t="n">
        <v>0</v>
      </c>
      <c r="M959" t="n">
        <v>0</v>
      </c>
      <c r="N959" t="n">
        <v>0</v>
      </c>
      <c r="O959" t="n">
        <v>0</v>
      </c>
      <c r="P959" t="n">
        <v>0</v>
      </c>
      <c r="Q959" t="n">
        <v>0</v>
      </c>
      <c r="R959" s="2" t="inlineStr"/>
    </row>
    <row r="960" ht="15" customHeight="1">
      <c r="A960" t="inlineStr">
        <is>
          <t>A 19863-2024</t>
        </is>
      </c>
      <c r="B960" s="1" t="n">
        <v>45433</v>
      </c>
      <c r="C960" s="1" t="n">
        <v>46166</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48822-2024</t>
        </is>
      </c>
      <c r="B961" s="1" t="n">
        <v>45593.6821412037</v>
      </c>
      <c r="C961" s="1" t="n">
        <v>46166</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48823-2024</t>
        </is>
      </c>
      <c r="B962" s="1" t="n">
        <v>45593.68434027778</v>
      </c>
      <c r="C962" s="1" t="n">
        <v>46166</v>
      </c>
      <c r="D962" t="inlineStr">
        <is>
          <t>JÄMTLANDS LÄN</t>
        </is>
      </c>
      <c r="E962" t="inlineStr">
        <is>
          <t>HÄRJEDALEN</t>
        </is>
      </c>
      <c r="G962" t="n">
        <v>0.2</v>
      </c>
      <c r="H962" t="n">
        <v>0</v>
      </c>
      <c r="I962" t="n">
        <v>0</v>
      </c>
      <c r="J962" t="n">
        <v>0</v>
      </c>
      <c r="K962" t="n">
        <v>0</v>
      </c>
      <c r="L962" t="n">
        <v>0</v>
      </c>
      <c r="M962" t="n">
        <v>0</v>
      </c>
      <c r="N962" t="n">
        <v>0</v>
      </c>
      <c r="O962" t="n">
        <v>0</v>
      </c>
      <c r="P962" t="n">
        <v>0</v>
      </c>
      <c r="Q962" t="n">
        <v>0</v>
      </c>
      <c r="R962" s="2" t="inlineStr"/>
    </row>
    <row r="963" ht="15" customHeight="1">
      <c r="A963" t="inlineStr">
        <is>
          <t>A 42333-2024</t>
        </is>
      </c>
      <c r="B963" s="1" t="n">
        <v>45562.65759259259</v>
      </c>
      <c r="C963" s="1" t="n">
        <v>46166</v>
      </c>
      <c r="D963" t="inlineStr">
        <is>
          <t>JÄMTLANDS LÄN</t>
        </is>
      </c>
      <c r="E963" t="inlineStr">
        <is>
          <t>HÄRJEDALEN</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7328-2024</t>
        </is>
      </c>
      <c r="B964" s="1" t="n">
        <v>45345</v>
      </c>
      <c r="C964" s="1" t="n">
        <v>46166</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9089-2026</t>
        </is>
      </c>
      <c r="B965" s="1" t="n">
        <v>46069.62508101852</v>
      </c>
      <c r="C965" s="1" t="n">
        <v>46166</v>
      </c>
      <c r="D965" t="inlineStr">
        <is>
          <t>JÄMTLANDS LÄN</t>
        </is>
      </c>
      <c r="E965" t="inlineStr">
        <is>
          <t>HÄRJEDALEN</t>
        </is>
      </c>
      <c r="G965" t="n">
        <v>4</v>
      </c>
      <c r="H965" t="n">
        <v>0</v>
      </c>
      <c r="I965" t="n">
        <v>0</v>
      </c>
      <c r="J965" t="n">
        <v>0</v>
      </c>
      <c r="K965" t="n">
        <v>0</v>
      </c>
      <c r="L965" t="n">
        <v>0</v>
      </c>
      <c r="M965" t="n">
        <v>0</v>
      </c>
      <c r="N965" t="n">
        <v>0</v>
      </c>
      <c r="O965" t="n">
        <v>0</v>
      </c>
      <c r="P965" t="n">
        <v>0</v>
      </c>
      <c r="Q965" t="n">
        <v>0</v>
      </c>
      <c r="R965" s="2" t="inlineStr"/>
    </row>
    <row r="966" ht="15" customHeight="1">
      <c r="A966" t="inlineStr">
        <is>
          <t>A 27541-2023</t>
        </is>
      </c>
      <c r="B966" s="1" t="n">
        <v>45097</v>
      </c>
      <c r="C966" s="1" t="n">
        <v>46166</v>
      </c>
      <c r="D966" t="inlineStr">
        <is>
          <t>JÄMTLANDS LÄN</t>
        </is>
      </c>
      <c r="E966" t="inlineStr">
        <is>
          <t>HÄRJEDALEN</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29774-2024</t>
        </is>
      </c>
      <c r="B967" s="1" t="n">
        <v>45485</v>
      </c>
      <c r="C967" s="1" t="n">
        <v>46166</v>
      </c>
      <c r="D967" t="inlineStr">
        <is>
          <t>JÄMTLANDS LÄN</t>
        </is>
      </c>
      <c r="E967" t="inlineStr">
        <is>
          <t>HÄRJEDALEN</t>
        </is>
      </c>
      <c r="G967" t="n">
        <v>4.5</v>
      </c>
      <c r="H967" t="n">
        <v>0</v>
      </c>
      <c r="I967" t="n">
        <v>0</v>
      </c>
      <c r="J967" t="n">
        <v>0</v>
      </c>
      <c r="K967" t="n">
        <v>0</v>
      </c>
      <c r="L967" t="n">
        <v>0</v>
      </c>
      <c r="M967" t="n">
        <v>0</v>
      </c>
      <c r="N967" t="n">
        <v>0</v>
      </c>
      <c r="O967" t="n">
        <v>0</v>
      </c>
      <c r="P967" t="n">
        <v>0</v>
      </c>
      <c r="Q967" t="n">
        <v>0</v>
      </c>
      <c r="R967" s="2" t="inlineStr"/>
    </row>
    <row r="968" ht="15" customHeight="1">
      <c r="A968" t="inlineStr">
        <is>
          <t>A 40578-2023</t>
        </is>
      </c>
      <c r="B968" s="1" t="n">
        <v>45170.46923611111</v>
      </c>
      <c r="C968" s="1" t="n">
        <v>46166</v>
      </c>
      <c r="D968" t="inlineStr">
        <is>
          <t>JÄMTLANDS LÄN</t>
        </is>
      </c>
      <c r="E968" t="inlineStr">
        <is>
          <t>HÄRJEDALEN</t>
        </is>
      </c>
      <c r="F968" t="inlineStr">
        <is>
          <t>Holmen skog AB</t>
        </is>
      </c>
      <c r="G968" t="n">
        <v>5.3</v>
      </c>
      <c r="H968" t="n">
        <v>0</v>
      </c>
      <c r="I968" t="n">
        <v>0</v>
      </c>
      <c r="J968" t="n">
        <v>0</v>
      </c>
      <c r="K968" t="n">
        <v>0</v>
      </c>
      <c r="L968" t="n">
        <v>0</v>
      </c>
      <c r="M968" t="n">
        <v>0</v>
      </c>
      <c r="N968" t="n">
        <v>0</v>
      </c>
      <c r="O968" t="n">
        <v>0</v>
      </c>
      <c r="P968" t="n">
        <v>0</v>
      </c>
      <c r="Q968" t="n">
        <v>0</v>
      </c>
      <c r="R968" s="2" t="inlineStr"/>
    </row>
    <row r="969" ht="15" customHeight="1">
      <c r="A969" t="inlineStr">
        <is>
          <t>A 45363-2024</t>
        </is>
      </c>
      <c r="B969" s="1" t="n">
        <v>45576.48657407407</v>
      </c>
      <c r="C969" s="1" t="n">
        <v>46166</v>
      </c>
      <c r="D969" t="inlineStr">
        <is>
          <t>JÄMTLANDS LÄN</t>
        </is>
      </c>
      <c r="E969" t="inlineStr">
        <is>
          <t>HÄRJEDALEN</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54079-2024</t>
        </is>
      </c>
      <c r="B970" s="1" t="n">
        <v>45616.49530092593</v>
      </c>
      <c r="C970" s="1" t="n">
        <v>46166</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9485-2026</t>
        </is>
      </c>
      <c r="B971" s="1" t="n">
        <v>46071.54091435186</v>
      </c>
      <c r="C971" s="1" t="n">
        <v>46166</v>
      </c>
      <c r="D971" t="inlineStr">
        <is>
          <t>JÄMTLANDS LÄN</t>
        </is>
      </c>
      <c r="E971" t="inlineStr">
        <is>
          <t>HÄRJEDALEN</t>
        </is>
      </c>
      <c r="G971" t="n">
        <v>3.1</v>
      </c>
      <c r="H971" t="n">
        <v>0</v>
      </c>
      <c r="I971" t="n">
        <v>0</v>
      </c>
      <c r="J971" t="n">
        <v>0</v>
      </c>
      <c r="K971" t="n">
        <v>0</v>
      </c>
      <c r="L971" t="n">
        <v>0</v>
      </c>
      <c r="M971" t="n">
        <v>0</v>
      </c>
      <c r="N971" t="n">
        <v>0</v>
      </c>
      <c r="O971" t="n">
        <v>0</v>
      </c>
      <c r="P971" t="n">
        <v>0</v>
      </c>
      <c r="Q971" t="n">
        <v>0</v>
      </c>
      <c r="R971" s="2" t="inlineStr"/>
    </row>
    <row r="972" ht="15" customHeight="1">
      <c r="A972" t="inlineStr">
        <is>
          <t>A 9486-2026</t>
        </is>
      </c>
      <c r="B972" s="1" t="n">
        <v>46071.54701388889</v>
      </c>
      <c r="C972" s="1" t="n">
        <v>46166</v>
      </c>
      <c r="D972" t="inlineStr">
        <is>
          <t>JÄMTLANDS LÄN</t>
        </is>
      </c>
      <c r="E972" t="inlineStr">
        <is>
          <t>HÄRJEDALEN</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55867-2024</t>
        </is>
      </c>
      <c r="B973" s="1" t="n">
        <v>45622</v>
      </c>
      <c r="C973" s="1" t="n">
        <v>46166</v>
      </c>
      <c r="D973" t="inlineStr">
        <is>
          <t>JÄMTLANDS LÄN</t>
        </is>
      </c>
      <c r="E973" t="inlineStr">
        <is>
          <t>HÄRJEDALEN</t>
        </is>
      </c>
      <c r="F973" t="inlineStr">
        <is>
          <t>Bergvik skog väst AB</t>
        </is>
      </c>
      <c r="G973" t="n">
        <v>14.4</v>
      </c>
      <c r="H973" t="n">
        <v>0</v>
      </c>
      <c r="I973" t="n">
        <v>0</v>
      </c>
      <c r="J973" t="n">
        <v>0</v>
      </c>
      <c r="K973" t="n">
        <v>0</v>
      </c>
      <c r="L973" t="n">
        <v>0</v>
      </c>
      <c r="M973" t="n">
        <v>0</v>
      </c>
      <c r="N973" t="n">
        <v>0</v>
      </c>
      <c r="O973" t="n">
        <v>0</v>
      </c>
      <c r="P973" t="n">
        <v>0</v>
      </c>
      <c r="Q973" t="n">
        <v>0</v>
      </c>
      <c r="R973" s="2" t="inlineStr"/>
    </row>
    <row r="974" ht="15" customHeight="1">
      <c r="A974" t="inlineStr">
        <is>
          <t>A 48438-2022</t>
        </is>
      </c>
      <c r="B974" s="1" t="n">
        <v>44858</v>
      </c>
      <c r="C974" s="1" t="n">
        <v>46166</v>
      </c>
      <c r="D974" t="inlineStr">
        <is>
          <t>JÄMTLANDS LÄN</t>
        </is>
      </c>
      <c r="E974" t="inlineStr">
        <is>
          <t>HÄRJEDALEN</t>
        </is>
      </c>
      <c r="G974" t="n">
        <v>1.9</v>
      </c>
      <c r="H974" t="n">
        <v>0</v>
      </c>
      <c r="I974" t="n">
        <v>0</v>
      </c>
      <c r="J974" t="n">
        <v>0</v>
      </c>
      <c r="K974" t="n">
        <v>0</v>
      </c>
      <c r="L974" t="n">
        <v>0</v>
      </c>
      <c r="M974" t="n">
        <v>0</v>
      </c>
      <c r="N974" t="n">
        <v>0</v>
      </c>
      <c r="O974" t="n">
        <v>0</v>
      </c>
      <c r="P974" t="n">
        <v>0</v>
      </c>
      <c r="Q974" t="n">
        <v>0</v>
      </c>
      <c r="R974" s="2" t="inlineStr"/>
    </row>
    <row r="975" ht="15" customHeight="1">
      <c r="A975" t="inlineStr">
        <is>
          <t>A 37054-2023</t>
        </is>
      </c>
      <c r="B975" s="1" t="n">
        <v>45154</v>
      </c>
      <c r="C975" s="1" t="n">
        <v>46166</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17966-2026</t>
        </is>
      </c>
      <c r="B976" s="1" t="n">
        <v>46123.34467592592</v>
      </c>
      <c r="C976" s="1" t="n">
        <v>46166</v>
      </c>
      <c r="D976" t="inlineStr">
        <is>
          <t>JÄMTLANDS LÄN</t>
        </is>
      </c>
      <c r="E976" t="inlineStr">
        <is>
          <t>HÄRJEDALEN</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11721-2026</t>
        </is>
      </c>
      <c r="B977" s="1" t="n">
        <v>46084.62954861111</v>
      </c>
      <c r="C977" s="1" t="n">
        <v>46166</v>
      </c>
      <c r="D977" t="inlineStr">
        <is>
          <t>JÄMTLANDS LÄN</t>
        </is>
      </c>
      <c r="E977" t="inlineStr">
        <is>
          <t>HÄRJEDALEN</t>
        </is>
      </c>
      <c r="F977" t="inlineStr">
        <is>
          <t>Sveaskog</t>
        </is>
      </c>
      <c r="G977" t="n">
        <v>11.9</v>
      </c>
      <c r="H977" t="n">
        <v>0</v>
      </c>
      <c r="I977" t="n">
        <v>0</v>
      </c>
      <c r="J977" t="n">
        <v>0</v>
      </c>
      <c r="K977" t="n">
        <v>0</v>
      </c>
      <c r="L977" t="n">
        <v>0</v>
      </c>
      <c r="M977" t="n">
        <v>0</v>
      </c>
      <c r="N977" t="n">
        <v>0</v>
      </c>
      <c r="O977" t="n">
        <v>0</v>
      </c>
      <c r="P977" t="n">
        <v>0</v>
      </c>
      <c r="Q977" t="n">
        <v>0</v>
      </c>
      <c r="R977" s="2" t="inlineStr"/>
    </row>
    <row r="978" ht="15" customHeight="1">
      <c r="A978" t="inlineStr">
        <is>
          <t>A 45864-2023</t>
        </is>
      </c>
      <c r="B978" s="1" t="n">
        <v>45195.61476851852</v>
      </c>
      <c r="C978" s="1" t="n">
        <v>46166</v>
      </c>
      <c r="D978" t="inlineStr">
        <is>
          <t>JÄMTLANDS LÄN</t>
        </is>
      </c>
      <c r="E978" t="inlineStr">
        <is>
          <t>HÄRJEDALEN</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11555-2025</t>
        </is>
      </c>
      <c r="B979" s="1" t="n">
        <v>45727.35621527778</v>
      </c>
      <c r="C979" s="1" t="n">
        <v>46166</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11877-2025</t>
        </is>
      </c>
      <c r="B980" s="1" t="n">
        <v>45728.44329861111</v>
      </c>
      <c r="C980" s="1" t="n">
        <v>46166</v>
      </c>
      <c r="D980" t="inlineStr">
        <is>
          <t>JÄMTLANDS LÄN</t>
        </is>
      </c>
      <c r="E980" t="inlineStr">
        <is>
          <t>HÄRJEDALEN</t>
        </is>
      </c>
      <c r="F980" t="inlineStr">
        <is>
          <t>Bergvik skog väst AB</t>
        </is>
      </c>
      <c r="G980" t="n">
        <v>11.2</v>
      </c>
      <c r="H980" t="n">
        <v>0</v>
      </c>
      <c r="I980" t="n">
        <v>0</v>
      </c>
      <c r="J980" t="n">
        <v>0</v>
      </c>
      <c r="K980" t="n">
        <v>0</v>
      </c>
      <c r="L980" t="n">
        <v>0</v>
      </c>
      <c r="M980" t="n">
        <v>0</v>
      </c>
      <c r="N980" t="n">
        <v>0</v>
      </c>
      <c r="O980" t="n">
        <v>0</v>
      </c>
      <c r="P980" t="n">
        <v>0</v>
      </c>
      <c r="Q980" t="n">
        <v>0</v>
      </c>
      <c r="R980" s="2" t="inlineStr"/>
    </row>
    <row r="981" ht="15" customHeight="1">
      <c r="A981" t="inlineStr">
        <is>
          <t>A 18152-2026</t>
        </is>
      </c>
      <c r="B981" s="1" t="n">
        <v>46125</v>
      </c>
      <c r="C981" s="1" t="n">
        <v>46166</v>
      </c>
      <c r="D981" t="inlineStr">
        <is>
          <t>JÄMTLANDS LÄN</t>
        </is>
      </c>
      <c r="E981" t="inlineStr">
        <is>
          <t>HÄRJEDALEN</t>
        </is>
      </c>
      <c r="G981" t="n">
        <v>7.2</v>
      </c>
      <c r="H981" t="n">
        <v>0</v>
      </c>
      <c r="I981" t="n">
        <v>0</v>
      </c>
      <c r="J981" t="n">
        <v>0</v>
      </c>
      <c r="K981" t="n">
        <v>0</v>
      </c>
      <c r="L981" t="n">
        <v>0</v>
      </c>
      <c r="M981" t="n">
        <v>0</v>
      </c>
      <c r="N981" t="n">
        <v>0</v>
      </c>
      <c r="O981" t="n">
        <v>0</v>
      </c>
      <c r="P981" t="n">
        <v>0</v>
      </c>
      <c r="Q981" t="n">
        <v>0</v>
      </c>
      <c r="R981" s="2" t="inlineStr"/>
    </row>
    <row r="982" ht="15" customHeight="1">
      <c r="A982" t="inlineStr">
        <is>
          <t>A 36921-2023</t>
        </is>
      </c>
      <c r="B982" s="1" t="n">
        <v>45154</v>
      </c>
      <c r="C982" s="1" t="n">
        <v>46166</v>
      </c>
      <c r="D982" t="inlineStr">
        <is>
          <t>JÄMTLANDS LÄN</t>
        </is>
      </c>
      <c r="E982" t="inlineStr">
        <is>
          <t>HÄRJEDALEN</t>
        </is>
      </c>
      <c r="G982" t="n">
        <v>1.7</v>
      </c>
      <c r="H982" t="n">
        <v>0</v>
      </c>
      <c r="I982" t="n">
        <v>0</v>
      </c>
      <c r="J982" t="n">
        <v>0</v>
      </c>
      <c r="K982" t="n">
        <v>0</v>
      </c>
      <c r="L982" t="n">
        <v>0</v>
      </c>
      <c r="M982" t="n">
        <v>0</v>
      </c>
      <c r="N982" t="n">
        <v>0</v>
      </c>
      <c r="O982" t="n">
        <v>0</v>
      </c>
      <c r="P982" t="n">
        <v>0</v>
      </c>
      <c r="Q982" t="n">
        <v>0</v>
      </c>
      <c r="R982" s="2" t="inlineStr"/>
    </row>
    <row r="983" ht="15" customHeight="1">
      <c r="A983" t="inlineStr">
        <is>
          <t>A 50425-2025</t>
        </is>
      </c>
      <c r="B983" s="1" t="n">
        <v>45944.67199074074</v>
      </c>
      <c r="C983" s="1" t="n">
        <v>46166</v>
      </c>
      <c r="D983" t="inlineStr">
        <is>
          <t>JÄMTLANDS LÄN</t>
        </is>
      </c>
      <c r="E983" t="inlineStr">
        <is>
          <t>HÄRJEDALEN</t>
        </is>
      </c>
      <c r="G983" t="n">
        <v>1.8</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46166</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46128-2025</t>
        </is>
      </c>
      <c r="B985" s="1" t="n">
        <v>45924.59215277778</v>
      </c>
      <c r="C985" s="1" t="n">
        <v>46166</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11917-2025</t>
        </is>
      </c>
      <c r="B986" s="1" t="n">
        <v>45728.49267361111</v>
      </c>
      <c r="C986" s="1" t="n">
        <v>46166</v>
      </c>
      <c r="D986" t="inlineStr">
        <is>
          <t>JÄMTLANDS LÄN</t>
        </is>
      </c>
      <c r="E986" t="inlineStr">
        <is>
          <t>HÄRJEDALEN</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18049-2026</t>
        </is>
      </c>
      <c r="B987" s="1" t="n">
        <v>46125.42768518518</v>
      </c>
      <c r="C987" s="1" t="n">
        <v>46166</v>
      </c>
      <c r="D987" t="inlineStr">
        <is>
          <t>JÄMTLANDS LÄN</t>
        </is>
      </c>
      <c r="E987" t="inlineStr">
        <is>
          <t>HÄRJEDALEN</t>
        </is>
      </c>
      <c r="F987" t="inlineStr">
        <is>
          <t>SCA</t>
        </is>
      </c>
      <c r="G987" t="n">
        <v>7</v>
      </c>
      <c r="H987" t="n">
        <v>0</v>
      </c>
      <c r="I987" t="n">
        <v>0</v>
      </c>
      <c r="J987" t="n">
        <v>0</v>
      </c>
      <c r="K987" t="n">
        <v>0</v>
      </c>
      <c r="L987" t="n">
        <v>0</v>
      </c>
      <c r="M987" t="n">
        <v>0</v>
      </c>
      <c r="N987" t="n">
        <v>0</v>
      </c>
      <c r="O987" t="n">
        <v>0</v>
      </c>
      <c r="P987" t="n">
        <v>0</v>
      </c>
      <c r="Q987" t="n">
        <v>0</v>
      </c>
      <c r="R987" s="2" t="inlineStr"/>
    </row>
    <row r="988" ht="15" customHeight="1">
      <c r="A988" t="inlineStr">
        <is>
          <t>A 4862-2025</t>
        </is>
      </c>
      <c r="B988" s="1" t="n">
        <v>45688.6749537037</v>
      </c>
      <c r="C988" s="1" t="n">
        <v>46166</v>
      </c>
      <c r="D988" t="inlineStr">
        <is>
          <t>JÄMTLANDS LÄN</t>
        </is>
      </c>
      <c r="E988" t="inlineStr">
        <is>
          <t>HÄRJEDALEN</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47738-2022</t>
        </is>
      </c>
      <c r="B989" s="1" t="n">
        <v>44854</v>
      </c>
      <c r="C989" s="1" t="n">
        <v>46166</v>
      </c>
      <c r="D989" t="inlineStr">
        <is>
          <t>JÄMTLANDS LÄN</t>
        </is>
      </c>
      <c r="E989" t="inlineStr">
        <is>
          <t>HÄRJEDALEN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30742-2024</t>
        </is>
      </c>
      <c r="B990" s="1" t="n">
        <v>45496.66903935185</v>
      </c>
      <c r="C990" s="1" t="n">
        <v>46166</v>
      </c>
      <c r="D990" t="inlineStr">
        <is>
          <t>JÄMTLANDS LÄN</t>
        </is>
      </c>
      <c r="E990" t="inlineStr">
        <is>
          <t>HÄRJEDALEN</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31747-2024</t>
        </is>
      </c>
      <c r="B991" s="1" t="n">
        <v>45509</v>
      </c>
      <c r="C991" s="1" t="n">
        <v>46166</v>
      </c>
      <c r="D991" t="inlineStr">
        <is>
          <t>JÄMTLANDS LÄN</t>
        </is>
      </c>
      <c r="E991" t="inlineStr">
        <is>
          <t>HÄRJEDALEN</t>
        </is>
      </c>
      <c r="F991" t="inlineStr">
        <is>
          <t>Övriga statliga verk och myndigheter</t>
        </is>
      </c>
      <c r="G991" t="n">
        <v>0.8</v>
      </c>
      <c r="H991" t="n">
        <v>0</v>
      </c>
      <c r="I991" t="n">
        <v>0</v>
      </c>
      <c r="J991" t="n">
        <v>0</v>
      </c>
      <c r="K991" t="n">
        <v>0</v>
      </c>
      <c r="L991" t="n">
        <v>0</v>
      </c>
      <c r="M991" t="n">
        <v>0</v>
      </c>
      <c r="N991" t="n">
        <v>0</v>
      </c>
      <c r="O991" t="n">
        <v>0</v>
      </c>
      <c r="P991" t="n">
        <v>0</v>
      </c>
      <c r="Q991" t="n">
        <v>0</v>
      </c>
      <c r="R991" s="2" t="inlineStr"/>
    </row>
    <row r="992" ht="15" customHeight="1">
      <c r="A992" t="inlineStr">
        <is>
          <t>A 31759-2024</t>
        </is>
      </c>
      <c r="B992" s="1" t="n">
        <v>45509</v>
      </c>
      <c r="C992" s="1" t="n">
        <v>46166</v>
      </c>
      <c r="D992" t="inlineStr">
        <is>
          <t>JÄMTLANDS LÄN</t>
        </is>
      </c>
      <c r="E992" t="inlineStr">
        <is>
          <t>HÄRJEDALEN</t>
        </is>
      </c>
      <c r="F992" t="inlineStr">
        <is>
          <t>Övriga statliga verk och myndigheter</t>
        </is>
      </c>
      <c r="G992" t="n">
        <v>1.2</v>
      </c>
      <c r="H992" t="n">
        <v>0</v>
      </c>
      <c r="I992" t="n">
        <v>0</v>
      </c>
      <c r="J992" t="n">
        <v>0</v>
      </c>
      <c r="K992" t="n">
        <v>0</v>
      </c>
      <c r="L992" t="n">
        <v>0</v>
      </c>
      <c r="M992" t="n">
        <v>0</v>
      </c>
      <c r="N992" t="n">
        <v>0</v>
      </c>
      <c r="O992" t="n">
        <v>0</v>
      </c>
      <c r="P992" t="n">
        <v>0</v>
      </c>
      <c r="Q992" t="n">
        <v>0</v>
      </c>
      <c r="R992" s="2" t="inlineStr"/>
    </row>
    <row r="993" ht="15" customHeight="1">
      <c r="A993" t="inlineStr">
        <is>
          <t>A 18572-2026</t>
        </is>
      </c>
      <c r="B993" s="1" t="n">
        <v>46127.59489583333</v>
      </c>
      <c r="C993" s="1" t="n">
        <v>46166</v>
      </c>
      <c r="D993" t="inlineStr">
        <is>
          <t>JÄMTLANDS LÄN</t>
        </is>
      </c>
      <c r="E993" t="inlineStr">
        <is>
          <t>HÄRJEDALEN</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18616-2026</t>
        </is>
      </c>
      <c r="B994" s="1" t="n">
        <v>46127.68612268518</v>
      </c>
      <c r="C994" s="1" t="n">
        <v>46166</v>
      </c>
      <c r="D994" t="inlineStr">
        <is>
          <t>JÄMTLANDS LÄN</t>
        </is>
      </c>
      <c r="E994" t="inlineStr">
        <is>
          <t>HÄRJEDALEN</t>
        </is>
      </c>
      <c r="F994" t="inlineStr">
        <is>
          <t>Sveaskog</t>
        </is>
      </c>
      <c r="G994" t="n">
        <v>12.5</v>
      </c>
      <c r="H994" t="n">
        <v>0</v>
      </c>
      <c r="I994" t="n">
        <v>0</v>
      </c>
      <c r="J994" t="n">
        <v>0</v>
      </c>
      <c r="K994" t="n">
        <v>0</v>
      </c>
      <c r="L994" t="n">
        <v>0</v>
      </c>
      <c r="M994" t="n">
        <v>0</v>
      </c>
      <c r="N994" t="n">
        <v>0</v>
      </c>
      <c r="O994" t="n">
        <v>0</v>
      </c>
      <c r="P994" t="n">
        <v>0</v>
      </c>
      <c r="Q994" t="n">
        <v>0</v>
      </c>
      <c r="R994" s="2" t="inlineStr"/>
    </row>
    <row r="995" ht="15" customHeight="1">
      <c r="A995" t="inlineStr">
        <is>
          <t>A 18554-2026</t>
        </is>
      </c>
      <c r="B995" s="1" t="n">
        <v>46127.57425925926</v>
      </c>
      <c r="C995" s="1" t="n">
        <v>46166</v>
      </c>
      <c r="D995" t="inlineStr">
        <is>
          <t>JÄMTLANDS LÄN</t>
        </is>
      </c>
      <c r="E995" t="inlineStr">
        <is>
          <t>HÄRJEDALEN</t>
        </is>
      </c>
      <c r="F995" t="inlineStr">
        <is>
          <t>SCA</t>
        </is>
      </c>
      <c r="G995" t="n">
        <v>17.4</v>
      </c>
      <c r="H995" t="n">
        <v>0</v>
      </c>
      <c r="I995" t="n">
        <v>0</v>
      </c>
      <c r="J995" t="n">
        <v>0</v>
      </c>
      <c r="K995" t="n">
        <v>0</v>
      </c>
      <c r="L995" t="n">
        <v>0</v>
      </c>
      <c r="M995" t="n">
        <v>0</v>
      </c>
      <c r="N995" t="n">
        <v>0</v>
      </c>
      <c r="O995" t="n">
        <v>0</v>
      </c>
      <c r="P995" t="n">
        <v>0</v>
      </c>
      <c r="Q995" t="n">
        <v>0</v>
      </c>
      <c r="R995" s="2" t="inlineStr"/>
    </row>
    <row r="996" ht="15" customHeight="1">
      <c r="A996" t="inlineStr">
        <is>
          <t>A 18875-2026</t>
        </is>
      </c>
      <c r="B996" s="1" t="n">
        <v>46129.416875</v>
      </c>
      <c r="C996" s="1" t="n">
        <v>46166</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18960-2026</t>
        </is>
      </c>
      <c r="B997" s="1" t="n">
        <v>46129.59550925926</v>
      </c>
      <c r="C997" s="1" t="n">
        <v>46166</v>
      </c>
      <c r="D997" t="inlineStr">
        <is>
          <t>JÄMTLANDS LÄN</t>
        </is>
      </c>
      <c r="E997" t="inlineStr">
        <is>
          <t>HÄRJEDALEN</t>
        </is>
      </c>
      <c r="G997" t="n">
        <v>1.8</v>
      </c>
      <c r="H997" t="n">
        <v>0</v>
      </c>
      <c r="I997" t="n">
        <v>0</v>
      </c>
      <c r="J997" t="n">
        <v>0</v>
      </c>
      <c r="K997" t="n">
        <v>0</v>
      </c>
      <c r="L997" t="n">
        <v>0</v>
      </c>
      <c r="M997" t="n">
        <v>0</v>
      </c>
      <c r="N997" t="n">
        <v>0</v>
      </c>
      <c r="O997" t="n">
        <v>0</v>
      </c>
      <c r="P997" t="n">
        <v>0</v>
      </c>
      <c r="Q997" t="n">
        <v>0</v>
      </c>
      <c r="R997" s="2" t="inlineStr"/>
    </row>
    <row r="998" ht="15" customHeight="1">
      <c r="A998" t="inlineStr">
        <is>
          <t>A 18952-2026</t>
        </is>
      </c>
      <c r="B998" s="1" t="n">
        <v>46129.58703703704</v>
      </c>
      <c r="C998" s="1" t="n">
        <v>46166</v>
      </c>
      <c r="D998" t="inlineStr">
        <is>
          <t>JÄMTLANDS LÄN</t>
        </is>
      </c>
      <c r="E998" t="inlineStr">
        <is>
          <t>HÄRJEDALEN</t>
        </is>
      </c>
      <c r="G998" t="n">
        <v>6.8</v>
      </c>
      <c r="H998" t="n">
        <v>0</v>
      </c>
      <c r="I998" t="n">
        <v>0</v>
      </c>
      <c r="J998" t="n">
        <v>0</v>
      </c>
      <c r="K998" t="n">
        <v>0</v>
      </c>
      <c r="L998" t="n">
        <v>0</v>
      </c>
      <c r="M998" t="n">
        <v>0</v>
      </c>
      <c r="N998" t="n">
        <v>0</v>
      </c>
      <c r="O998" t="n">
        <v>0</v>
      </c>
      <c r="P998" t="n">
        <v>0</v>
      </c>
      <c r="Q998" t="n">
        <v>0</v>
      </c>
      <c r="R998" s="2" t="inlineStr"/>
    </row>
    <row r="999" ht="15" customHeight="1">
      <c r="A999" t="inlineStr">
        <is>
          <t>A 12226-2026</t>
        </is>
      </c>
      <c r="B999" s="1" t="n">
        <v>46087.38178240741</v>
      </c>
      <c r="C999" s="1" t="n">
        <v>46166</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41101-2024</t>
        </is>
      </c>
      <c r="B1000" s="1" t="n">
        <v>45559.43645833333</v>
      </c>
      <c r="C1000" s="1" t="n">
        <v>46166</v>
      </c>
      <c r="D1000" t="inlineStr">
        <is>
          <t>JÄMTLANDS LÄN</t>
        </is>
      </c>
      <c r="E1000" t="inlineStr">
        <is>
          <t>HÄRJEDALEN</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9775-2024</t>
        </is>
      </c>
      <c r="B1001" s="1" t="n">
        <v>45362.64613425926</v>
      </c>
      <c r="C1001" s="1" t="n">
        <v>46166</v>
      </c>
      <c r="D1001" t="inlineStr">
        <is>
          <t>JÄMTLANDS LÄN</t>
        </is>
      </c>
      <c r="E1001" t="inlineStr">
        <is>
          <t>HÄRJEDALEN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9778-2024</t>
        </is>
      </c>
      <c r="B1002" s="1" t="n">
        <v>45362.65407407407</v>
      </c>
      <c r="C1002" s="1" t="n">
        <v>46166</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29343-2024</t>
        </is>
      </c>
      <c r="B1003" s="1" t="n">
        <v>45483.47207175926</v>
      </c>
      <c r="C1003" s="1" t="n">
        <v>46166</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18923-2026</t>
        </is>
      </c>
      <c r="B1004" s="1" t="n">
        <v>46129.54443287037</v>
      </c>
      <c r="C1004" s="1" t="n">
        <v>46166</v>
      </c>
      <c r="D1004" t="inlineStr">
        <is>
          <t>JÄMTLANDS LÄN</t>
        </is>
      </c>
      <c r="E1004" t="inlineStr">
        <is>
          <t>HÄRJEDALEN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18937-2026</t>
        </is>
      </c>
      <c r="B1005" s="1" t="n">
        <v>46129.56966435185</v>
      </c>
      <c r="C1005" s="1" t="n">
        <v>46166</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18932-2026</t>
        </is>
      </c>
      <c r="B1006" s="1" t="n">
        <v>46129.56768518518</v>
      </c>
      <c r="C1006" s="1" t="n">
        <v>46166</v>
      </c>
      <c r="D1006" t="inlineStr">
        <is>
          <t>JÄMTLANDS LÄN</t>
        </is>
      </c>
      <c r="E1006" t="inlineStr">
        <is>
          <t>HÄRJEDALEN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18940-2026</t>
        </is>
      </c>
      <c r="B1007" s="1" t="n">
        <v>46129.57209490741</v>
      </c>
      <c r="C1007" s="1" t="n">
        <v>46166</v>
      </c>
      <c r="D1007" t="inlineStr">
        <is>
          <t>JÄMTLANDS LÄN</t>
        </is>
      </c>
      <c r="E1007" t="inlineStr">
        <is>
          <t>HÄRJEDALEN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18963-2026</t>
        </is>
      </c>
      <c r="B1008" s="1" t="n">
        <v>46129.59902777777</v>
      </c>
      <c r="C1008" s="1" t="n">
        <v>46166</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19064-2026</t>
        </is>
      </c>
      <c r="B1009" s="1" t="n">
        <v>46132.36678240741</v>
      </c>
      <c r="C1009" s="1" t="n">
        <v>46166</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46383-2023</t>
        </is>
      </c>
      <c r="B1010" s="1" t="n">
        <v>45197.46966435185</v>
      </c>
      <c r="C1010" s="1" t="n">
        <v>46166</v>
      </c>
      <c r="D1010" t="inlineStr">
        <is>
          <t>JÄMTLANDS LÄN</t>
        </is>
      </c>
      <c r="E1010" t="inlineStr">
        <is>
          <t>HÄRJEDALEN</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51017-2023</t>
        </is>
      </c>
      <c r="B1011" s="1" t="n">
        <v>45218.58609953704</v>
      </c>
      <c r="C1011" s="1" t="n">
        <v>46166</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46092.44856481482</v>
      </c>
      <c r="C1012" s="1" t="n">
        <v>46166</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29749-2024</t>
        </is>
      </c>
      <c r="B1013" s="1" t="n">
        <v>45485.42287037037</v>
      </c>
      <c r="C1013" s="1" t="n">
        <v>46166</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29768-2024</t>
        </is>
      </c>
      <c r="B1014" s="1" t="n">
        <v>45485.44258101852</v>
      </c>
      <c r="C1014" s="1" t="n">
        <v>46166</v>
      </c>
      <c r="D1014" t="inlineStr">
        <is>
          <t>JÄMTLANDS LÄN</t>
        </is>
      </c>
      <c r="E1014" t="inlineStr">
        <is>
          <t>HÄRJEDALEN</t>
        </is>
      </c>
      <c r="F1014" t="inlineStr">
        <is>
          <t>Holmen skog AB</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31834-2024</t>
        </is>
      </c>
      <c r="B1015" s="1" t="n">
        <v>45509.6427662037</v>
      </c>
      <c r="C1015" s="1" t="n">
        <v>46166</v>
      </c>
      <c r="D1015" t="inlineStr">
        <is>
          <t>JÄMTLANDS LÄN</t>
        </is>
      </c>
      <c r="E1015" t="inlineStr">
        <is>
          <t>HÄRJEDALEN</t>
        </is>
      </c>
      <c r="F1015" t="inlineStr">
        <is>
          <t>Kommuner</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45098.48666666666</v>
      </c>
      <c r="C1016" s="1" t="n">
        <v>46166</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31961-2023</t>
        </is>
      </c>
      <c r="B1017" s="1" t="n">
        <v>45119</v>
      </c>
      <c r="C1017" s="1" t="n">
        <v>46166</v>
      </c>
      <c r="D1017" t="inlineStr">
        <is>
          <t>JÄMTLANDS LÄN</t>
        </is>
      </c>
      <c r="E1017" t="inlineStr">
        <is>
          <t>HÄRJEDALEN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19810-2026</t>
        </is>
      </c>
      <c r="B1018" s="1" t="n">
        <v>46135.56488425926</v>
      </c>
      <c r="C1018" s="1" t="n">
        <v>46166</v>
      </c>
      <c r="D1018" t="inlineStr">
        <is>
          <t>JÄMTLANDS LÄN</t>
        </is>
      </c>
      <c r="E1018" t="inlineStr">
        <is>
          <t>HÄRJEDALEN</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19812-2026</t>
        </is>
      </c>
      <c r="B1019" s="1" t="n">
        <v>46135.56876157408</v>
      </c>
      <c r="C1019" s="1" t="n">
        <v>46166</v>
      </c>
      <c r="D1019" t="inlineStr">
        <is>
          <t>JÄMTLANDS LÄN</t>
        </is>
      </c>
      <c r="E1019" t="inlineStr">
        <is>
          <t>HÄRJEDALEN</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19840-2026</t>
        </is>
      </c>
      <c r="B1020" s="1" t="n">
        <v>46135.6112037037</v>
      </c>
      <c r="C1020" s="1" t="n">
        <v>46166</v>
      </c>
      <c r="D1020" t="inlineStr">
        <is>
          <t>JÄMTLANDS LÄN</t>
        </is>
      </c>
      <c r="E1020" t="inlineStr">
        <is>
          <t>HÄRJEDALEN</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19843-2026</t>
        </is>
      </c>
      <c r="B1021" s="1" t="n">
        <v>46135.61346064815</v>
      </c>
      <c r="C1021" s="1" t="n">
        <v>46166</v>
      </c>
      <c r="D1021" t="inlineStr">
        <is>
          <t>JÄMTLANDS LÄN</t>
        </is>
      </c>
      <c r="E1021" t="inlineStr">
        <is>
          <t>HÄRJEDALEN</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19987-2026</t>
        </is>
      </c>
      <c r="B1022" s="1" t="n">
        <v>46136.45449074074</v>
      </c>
      <c r="C1022" s="1" t="n">
        <v>46166</v>
      </c>
      <c r="D1022" t="inlineStr">
        <is>
          <t>JÄMTLANDS LÄN</t>
        </is>
      </c>
      <c r="E1022" t="inlineStr">
        <is>
          <t>HÄRJEDALEN</t>
        </is>
      </c>
      <c r="F1022" t="inlineStr">
        <is>
          <t>Holmen skog AB</t>
        </is>
      </c>
      <c r="G1022" t="n">
        <v>11.9</v>
      </c>
      <c r="H1022" t="n">
        <v>0</v>
      </c>
      <c r="I1022" t="n">
        <v>0</v>
      </c>
      <c r="J1022" t="n">
        <v>0</v>
      </c>
      <c r="K1022" t="n">
        <v>0</v>
      </c>
      <c r="L1022" t="n">
        <v>0</v>
      </c>
      <c r="M1022" t="n">
        <v>0</v>
      </c>
      <c r="N1022" t="n">
        <v>0</v>
      </c>
      <c r="O1022" t="n">
        <v>0</v>
      </c>
      <c r="P1022" t="n">
        <v>0</v>
      </c>
      <c r="Q1022" t="n">
        <v>0</v>
      </c>
      <c r="R1022" s="2" t="inlineStr"/>
    </row>
    <row r="1023" ht="15" customHeight="1">
      <c r="A1023" t="inlineStr">
        <is>
          <t>A 19999-2026</t>
        </is>
      </c>
      <c r="B1023" s="1" t="n">
        <v>46136.47480324074</v>
      </c>
      <c r="C1023" s="1" t="n">
        <v>46166</v>
      </c>
      <c r="D1023" t="inlineStr">
        <is>
          <t>JÄMTLANDS LÄN</t>
        </is>
      </c>
      <c r="E1023" t="inlineStr">
        <is>
          <t>HÄRJEDALEN</t>
        </is>
      </c>
      <c r="F1023" t="inlineStr">
        <is>
          <t>Holmen skog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13213-2026</t>
        </is>
      </c>
      <c r="B1024" s="1" t="n">
        <v>46093.61550925926</v>
      </c>
      <c r="C1024" s="1" t="n">
        <v>46166</v>
      </c>
      <c r="D1024" t="inlineStr">
        <is>
          <t>JÄMTLANDS LÄN</t>
        </is>
      </c>
      <c r="E1024" t="inlineStr">
        <is>
          <t>HÄRJEDALEN</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19883-2026</t>
        </is>
      </c>
      <c r="B1025" s="1" t="n">
        <v>46135.66693287037</v>
      </c>
      <c r="C1025" s="1" t="n">
        <v>46166</v>
      </c>
      <c r="D1025" t="inlineStr">
        <is>
          <t>JÄMTLANDS LÄN</t>
        </is>
      </c>
      <c r="E1025" t="inlineStr">
        <is>
          <t>HÄRJEDALEN</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1665-2025</t>
        </is>
      </c>
      <c r="B1026" s="1" t="n">
        <v>45670</v>
      </c>
      <c r="C1026" s="1" t="n">
        <v>46166</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19994-2026</t>
        </is>
      </c>
      <c r="B1027" s="1" t="n">
        <v>46136.46400462963</v>
      </c>
      <c r="C1027" s="1" t="n">
        <v>46166</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19824-2026</t>
        </is>
      </c>
      <c r="B1028" s="1" t="n">
        <v>46135.58908564815</v>
      </c>
      <c r="C1028" s="1" t="n">
        <v>46166</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19888-2026</t>
        </is>
      </c>
      <c r="B1029" s="1" t="n">
        <v>46135.67565972222</v>
      </c>
      <c r="C1029" s="1" t="n">
        <v>46166</v>
      </c>
      <c r="D1029" t="inlineStr">
        <is>
          <t>JÄMTLANDS LÄN</t>
        </is>
      </c>
      <c r="E1029" t="inlineStr">
        <is>
          <t>HÄRJEDALEN</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20070-2026</t>
        </is>
      </c>
      <c r="B1030" s="1" t="n">
        <v>46136.59478009259</v>
      </c>
      <c r="C1030" s="1" t="n">
        <v>46166</v>
      </c>
      <c r="D1030" t="inlineStr">
        <is>
          <t>JÄMTLANDS LÄN</t>
        </is>
      </c>
      <c r="E1030" t="inlineStr">
        <is>
          <t>HÄRJEDALEN</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13215-2026</t>
        </is>
      </c>
      <c r="B1031" s="1" t="n">
        <v>46093.61590277778</v>
      </c>
      <c r="C1031" s="1" t="n">
        <v>46166</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20068-2026</t>
        </is>
      </c>
      <c r="B1032" s="1" t="n">
        <v>46136.59450231482</v>
      </c>
      <c r="C1032" s="1" t="n">
        <v>46166</v>
      </c>
      <c r="D1032" t="inlineStr">
        <is>
          <t>JÄMTLANDS LÄN</t>
        </is>
      </c>
      <c r="E1032" t="inlineStr">
        <is>
          <t>HÄRJEDALEN</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19819-2026</t>
        </is>
      </c>
      <c r="B1033" s="1" t="n">
        <v>46135.57516203704</v>
      </c>
      <c r="C1033" s="1" t="n">
        <v>46166</v>
      </c>
      <c r="D1033" t="inlineStr">
        <is>
          <t>JÄMTLANDS LÄN</t>
        </is>
      </c>
      <c r="E1033" t="inlineStr">
        <is>
          <t>HÄRJEDALEN</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19821-2026</t>
        </is>
      </c>
      <c r="B1034" s="1" t="n">
        <v>46135.58395833334</v>
      </c>
      <c r="C1034" s="1" t="n">
        <v>46166</v>
      </c>
      <c r="D1034" t="inlineStr">
        <is>
          <t>JÄMTLANDS LÄN</t>
        </is>
      </c>
      <c r="E1034" t="inlineStr">
        <is>
          <t>HÄRJEDALEN</t>
        </is>
      </c>
      <c r="F1034" t="inlineStr">
        <is>
          <t>Holmen skog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19832-2026</t>
        </is>
      </c>
      <c r="B1035" s="1" t="n">
        <v>46135.60079861111</v>
      </c>
      <c r="C1035" s="1" t="n">
        <v>46166</v>
      </c>
      <c r="D1035" t="inlineStr">
        <is>
          <t>JÄMTLANDS LÄN</t>
        </is>
      </c>
      <c r="E1035" t="inlineStr">
        <is>
          <t>HÄRJEDALEN</t>
        </is>
      </c>
      <c r="F1035" t="inlineStr">
        <is>
          <t>Holmen skog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19873-2026</t>
        </is>
      </c>
      <c r="B1036" s="1" t="n">
        <v>46135.65641203704</v>
      </c>
      <c r="C1036" s="1" t="n">
        <v>46166</v>
      </c>
      <c r="D1036" t="inlineStr">
        <is>
          <t>JÄMTLANDS LÄN</t>
        </is>
      </c>
      <c r="E1036" t="inlineStr">
        <is>
          <t>HÄRJEDALEN</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19879-2026</t>
        </is>
      </c>
      <c r="B1037" s="1" t="n">
        <v>46135.66405092592</v>
      </c>
      <c r="C1037" s="1" t="n">
        <v>46166</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20033-2026</t>
        </is>
      </c>
      <c r="B1038" s="1" t="n">
        <v>46136.55262731481</v>
      </c>
      <c r="C1038" s="1" t="n">
        <v>46166</v>
      </c>
      <c r="D1038" t="inlineStr">
        <is>
          <t>JÄMTLANDS LÄN</t>
        </is>
      </c>
      <c r="E1038" t="inlineStr">
        <is>
          <t>HÄRJEDALEN</t>
        </is>
      </c>
      <c r="F1038" t="inlineStr">
        <is>
          <t>SCA</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48198-2024</t>
        </is>
      </c>
      <c r="B1039" s="1" t="n">
        <v>45590.31899305555</v>
      </c>
      <c r="C1039" s="1" t="n">
        <v>46166</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4220-2025</t>
        </is>
      </c>
      <c r="B1040" s="1" t="n">
        <v>45685</v>
      </c>
      <c r="C1040" s="1" t="n">
        <v>46166</v>
      </c>
      <c r="D1040" t="inlineStr">
        <is>
          <t>JÄMTLANDS LÄN</t>
        </is>
      </c>
      <c r="E1040" t="inlineStr">
        <is>
          <t>HÄRJEDALEN</t>
        </is>
      </c>
      <c r="F1040" t="inlineStr">
        <is>
          <t>Bergvik skog väst AB</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63323-2023</t>
        </is>
      </c>
      <c r="B1041" s="1" t="n">
        <v>45274</v>
      </c>
      <c r="C1041" s="1" t="n">
        <v>46166</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13997-2026</t>
        </is>
      </c>
      <c r="B1042" s="1" t="n">
        <v>46098.63366898148</v>
      </c>
      <c r="C1042" s="1" t="n">
        <v>46166</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36926-2023</t>
        </is>
      </c>
      <c r="B1043" s="1" t="n">
        <v>45154</v>
      </c>
      <c r="C1043" s="1" t="n">
        <v>46166</v>
      </c>
      <c r="D1043" t="inlineStr">
        <is>
          <t>JÄMTLANDS LÄN</t>
        </is>
      </c>
      <c r="E1043" t="inlineStr">
        <is>
          <t>HÄRJEDALEN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11096-2025</t>
        </is>
      </c>
      <c r="B1044" s="1" t="n">
        <v>45723.58140046296</v>
      </c>
      <c r="C1044" s="1" t="n">
        <v>46166</v>
      </c>
      <c r="D1044" t="inlineStr">
        <is>
          <t>JÄMTLANDS LÄN</t>
        </is>
      </c>
      <c r="E1044" t="inlineStr">
        <is>
          <t>HÄRJEDALEN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64014-2025</t>
        </is>
      </c>
      <c r="B1045" s="1" t="n">
        <v>46021</v>
      </c>
      <c r="C1045" s="1" t="n">
        <v>46166</v>
      </c>
      <c r="D1045" t="inlineStr">
        <is>
          <t>JÄMTLANDS LÄN</t>
        </is>
      </c>
      <c r="E1045" t="inlineStr">
        <is>
          <t>HÄRJEDALEN</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23185-2023</t>
        </is>
      </c>
      <c r="B1046" s="1" t="n">
        <v>45075.59148148148</v>
      </c>
      <c r="C1046" s="1" t="n">
        <v>46166</v>
      </c>
      <c r="D1046" t="inlineStr">
        <is>
          <t>JÄMTLANDS LÄN</t>
        </is>
      </c>
      <c r="E1046" t="inlineStr">
        <is>
          <t>HÄRJEDALEN</t>
        </is>
      </c>
      <c r="F1046" t="inlineStr">
        <is>
          <t>Bergvik skog väst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4590-2025</t>
        </is>
      </c>
      <c r="B1047" s="1" t="n">
        <v>45687.53689814815</v>
      </c>
      <c r="C1047" s="1" t="n">
        <v>46166</v>
      </c>
      <c r="D1047" t="inlineStr">
        <is>
          <t>JÄMTLANDS LÄN</t>
        </is>
      </c>
      <c r="E1047" t="inlineStr">
        <is>
          <t>HÄRJEDALEN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5098-2025</t>
        </is>
      </c>
      <c r="B1048" s="1" t="n">
        <v>45691</v>
      </c>
      <c r="C1048" s="1" t="n">
        <v>46166</v>
      </c>
      <c r="D1048" t="inlineStr">
        <is>
          <t>JÄMTLANDS LÄN</t>
        </is>
      </c>
      <c r="E1048" t="inlineStr">
        <is>
          <t>HÄRJEDALEN</t>
        </is>
      </c>
      <c r="F1048" t="inlineStr">
        <is>
          <t>Holmen skog AB</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5102-2025</t>
        </is>
      </c>
      <c r="B1049" s="1" t="n">
        <v>45691</v>
      </c>
      <c r="C1049" s="1" t="n">
        <v>46166</v>
      </c>
      <c r="D1049" t="inlineStr">
        <is>
          <t>JÄMTLANDS LÄN</t>
        </is>
      </c>
      <c r="E1049" t="inlineStr">
        <is>
          <t>HÄRJEDALEN</t>
        </is>
      </c>
      <c r="F1049" t="inlineStr">
        <is>
          <t>Holmen skog AB</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31764-2024</t>
        </is>
      </c>
      <c r="B1050" s="1" t="n">
        <v>45509</v>
      </c>
      <c r="C1050" s="1" t="n">
        <v>46166</v>
      </c>
      <c r="D1050" t="inlineStr">
        <is>
          <t>JÄMTLANDS LÄN</t>
        </is>
      </c>
      <c r="E1050" t="inlineStr">
        <is>
          <t>HÄRJEDALEN</t>
        </is>
      </c>
      <c r="F1050" t="inlineStr">
        <is>
          <t>Övriga statliga verk och myndigheter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56906-2023</t>
        </is>
      </c>
      <c r="B1051" s="1" t="n">
        <v>45244</v>
      </c>
      <c r="C1051" s="1" t="n">
        <v>46166</v>
      </c>
      <c r="D1051" t="inlineStr">
        <is>
          <t>JÄMTLANDS LÄN</t>
        </is>
      </c>
      <c r="E1051" t="inlineStr">
        <is>
          <t>HÄRJEDALEN</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48818-2024</t>
        </is>
      </c>
      <c r="B1052" s="1" t="n">
        <v>45593.67809027778</v>
      </c>
      <c r="C1052" s="1" t="n">
        <v>46166</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36537-2025</t>
        </is>
      </c>
      <c r="B1053" s="1" t="n">
        <v>45869</v>
      </c>
      <c r="C1053" s="1" t="n">
        <v>46166</v>
      </c>
      <c r="D1053" t="inlineStr">
        <is>
          <t>JÄMTLANDS LÄN</t>
        </is>
      </c>
      <c r="E1053" t="inlineStr">
        <is>
          <t>HÄRJEDALEN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36539-2025</t>
        </is>
      </c>
      <c r="B1054" s="1" t="n">
        <v>45869</v>
      </c>
      <c r="C1054" s="1" t="n">
        <v>46166</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37288-2025</t>
        </is>
      </c>
      <c r="B1055" s="1" t="n">
        <v>45876</v>
      </c>
      <c r="C1055" s="1" t="n">
        <v>46166</v>
      </c>
      <c r="D1055" t="inlineStr">
        <is>
          <t>JÄMTLANDS LÄN</t>
        </is>
      </c>
      <c r="E1055" t="inlineStr">
        <is>
          <t>HÄRJEDALEN</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40567-2023</t>
        </is>
      </c>
      <c r="B1056" s="1" t="n">
        <v>45170.46134259259</v>
      </c>
      <c r="C1056" s="1" t="n">
        <v>46166</v>
      </c>
      <c r="D1056" t="inlineStr">
        <is>
          <t>JÄMTLANDS LÄN</t>
        </is>
      </c>
      <c r="E1056" t="inlineStr">
        <is>
          <t>HÄRJEDALEN</t>
        </is>
      </c>
      <c r="F1056" t="inlineStr">
        <is>
          <t>Holmen skog AB</t>
        </is>
      </c>
      <c r="G1056" t="n">
        <v>19.4</v>
      </c>
      <c r="H1056" t="n">
        <v>0</v>
      </c>
      <c r="I1056" t="n">
        <v>0</v>
      </c>
      <c r="J1056" t="n">
        <v>0</v>
      </c>
      <c r="K1056" t="n">
        <v>0</v>
      </c>
      <c r="L1056" t="n">
        <v>0</v>
      </c>
      <c r="M1056" t="n">
        <v>0</v>
      </c>
      <c r="N1056" t="n">
        <v>0</v>
      </c>
      <c r="O1056" t="n">
        <v>0</v>
      </c>
      <c r="P1056" t="n">
        <v>0</v>
      </c>
      <c r="Q1056" t="n">
        <v>0</v>
      </c>
      <c r="R1056" s="2" t="inlineStr"/>
    </row>
    <row r="1057" ht="15" customHeight="1">
      <c r="A1057" t="inlineStr">
        <is>
          <t>A 4684-2026</t>
        </is>
      </c>
      <c r="B1057" s="1" t="n">
        <v>46048</v>
      </c>
      <c r="C1057" s="1" t="n">
        <v>46166</v>
      </c>
      <c r="D1057" t="inlineStr">
        <is>
          <t>JÄMTLANDS LÄN</t>
        </is>
      </c>
      <c r="E1057" t="inlineStr">
        <is>
          <t>HÄRJEDALEN</t>
        </is>
      </c>
      <c r="G1057" t="n">
        <v>15.4</v>
      </c>
      <c r="H1057" t="n">
        <v>0</v>
      </c>
      <c r="I1057" t="n">
        <v>0</v>
      </c>
      <c r="J1057" t="n">
        <v>0</v>
      </c>
      <c r="K1057" t="n">
        <v>0</v>
      </c>
      <c r="L1057" t="n">
        <v>0</v>
      </c>
      <c r="M1057" t="n">
        <v>0</v>
      </c>
      <c r="N1057" t="n">
        <v>0</v>
      </c>
      <c r="O1057" t="n">
        <v>0</v>
      </c>
      <c r="P1057" t="n">
        <v>0</v>
      </c>
      <c r="Q1057" t="n">
        <v>0</v>
      </c>
      <c r="R1057" s="2" t="inlineStr"/>
    </row>
    <row r="1058" ht="15" customHeight="1">
      <c r="A1058" t="inlineStr">
        <is>
          <t>A 4730-2026</t>
        </is>
      </c>
      <c r="B1058" s="1" t="n">
        <v>46048</v>
      </c>
      <c r="C1058" s="1" t="n">
        <v>46166</v>
      </c>
      <c r="D1058" t="inlineStr">
        <is>
          <t>JÄMTLANDS LÄN</t>
        </is>
      </c>
      <c r="E1058" t="inlineStr">
        <is>
          <t>HÄRJEDALEN</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29791-2024</t>
        </is>
      </c>
      <c r="B1059" s="1" t="n">
        <v>45485</v>
      </c>
      <c r="C1059" s="1" t="n">
        <v>46166</v>
      </c>
      <c r="D1059" t="inlineStr">
        <is>
          <t>JÄMTLANDS LÄN</t>
        </is>
      </c>
      <c r="E1059" t="inlineStr">
        <is>
          <t>HÄRJEDALEN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4728-2026</t>
        </is>
      </c>
      <c r="B1060" s="1" t="n">
        <v>46048</v>
      </c>
      <c r="C1060" s="1" t="n">
        <v>46166</v>
      </c>
      <c r="D1060" t="inlineStr">
        <is>
          <t>JÄMTLANDS LÄN</t>
        </is>
      </c>
      <c r="E1060" t="inlineStr">
        <is>
          <t>HÄRJEDALEN</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36528-2025</t>
        </is>
      </c>
      <c r="B1061" s="1" t="n">
        <v>45869</v>
      </c>
      <c r="C1061" s="1" t="n">
        <v>46166</v>
      </c>
      <c r="D1061" t="inlineStr">
        <is>
          <t>JÄMTLANDS LÄN</t>
        </is>
      </c>
      <c r="E1061" t="inlineStr">
        <is>
          <t>HÄRJEDALEN</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41037-2025</t>
        </is>
      </c>
      <c r="B1062" s="1" t="n">
        <v>45898</v>
      </c>
      <c r="C1062" s="1" t="n">
        <v>46166</v>
      </c>
      <c r="D1062" t="inlineStr">
        <is>
          <t>JÄMTLANDS LÄN</t>
        </is>
      </c>
      <c r="E1062" t="inlineStr">
        <is>
          <t>HÄRJEDALEN</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44438-2025</t>
        </is>
      </c>
      <c r="B1063" s="1" t="n">
        <v>45916</v>
      </c>
      <c r="C1063" s="1" t="n">
        <v>46166</v>
      </c>
      <c r="D1063" t="inlineStr">
        <is>
          <t>JÄMTLANDS LÄN</t>
        </is>
      </c>
      <c r="E1063" t="inlineStr">
        <is>
          <t>HÄRJEDALEN</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46166</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13328-2025</t>
        </is>
      </c>
      <c r="B1065" s="1" t="n">
        <v>45735.60342592592</v>
      </c>
      <c r="C1065" s="1" t="n">
        <v>46166</v>
      </c>
      <c r="D1065" t="inlineStr">
        <is>
          <t>JÄMTLANDS LÄN</t>
        </is>
      </c>
      <c r="E1065" t="inlineStr">
        <is>
          <t>HÄRJEDALEN</t>
        </is>
      </c>
      <c r="G1065" t="n">
        <v>30.8</v>
      </c>
      <c r="H1065" t="n">
        <v>0</v>
      </c>
      <c r="I1065" t="n">
        <v>0</v>
      </c>
      <c r="J1065" t="n">
        <v>0</v>
      </c>
      <c r="K1065" t="n">
        <v>0</v>
      </c>
      <c r="L1065" t="n">
        <v>0</v>
      </c>
      <c r="M1065" t="n">
        <v>0</v>
      </c>
      <c r="N1065" t="n">
        <v>0</v>
      </c>
      <c r="O1065" t="n">
        <v>0</v>
      </c>
      <c r="P1065" t="n">
        <v>0</v>
      </c>
      <c r="Q1065" t="n">
        <v>0</v>
      </c>
      <c r="R1065" s="2" t="inlineStr"/>
    </row>
    <row r="1066" ht="15" customHeight="1">
      <c r="A1066" t="inlineStr">
        <is>
          <t>A 24608-2024</t>
        </is>
      </c>
      <c r="B1066" s="1" t="n">
        <v>45460.47969907407</v>
      </c>
      <c r="C1066" s="1" t="n">
        <v>46166</v>
      </c>
      <c r="D1066" t="inlineStr">
        <is>
          <t>JÄMTLANDS LÄN</t>
        </is>
      </c>
      <c r="E1066" t="inlineStr">
        <is>
          <t>HÄRJEDALEN</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24613-2024</t>
        </is>
      </c>
      <c r="B1067" s="1" t="n">
        <v>45460.48582175926</v>
      </c>
      <c r="C1067" s="1" t="n">
        <v>46166</v>
      </c>
      <c r="D1067" t="inlineStr">
        <is>
          <t>JÄMTLANDS LÄN</t>
        </is>
      </c>
      <c r="E1067" t="inlineStr">
        <is>
          <t>HÄRJEDALEN</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28686-2024</t>
        </is>
      </c>
      <c r="B1068" s="1" t="n">
        <v>45478.48700231482</v>
      </c>
      <c r="C1068" s="1" t="n">
        <v>46166</v>
      </c>
      <c r="D1068" t="inlineStr">
        <is>
          <t>JÄMTLANDS LÄN</t>
        </is>
      </c>
      <c r="E1068" t="inlineStr">
        <is>
          <t>HÄRJEDALEN</t>
        </is>
      </c>
      <c r="F1068" t="inlineStr">
        <is>
          <t>Bergvik skog väst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53993-2023</t>
        </is>
      </c>
      <c r="B1069" s="1" t="n">
        <v>45231</v>
      </c>
      <c r="C1069" s="1" t="n">
        <v>46166</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7371-2024</t>
        </is>
      </c>
      <c r="B1070" s="1" t="n">
        <v>45345.4940625</v>
      </c>
      <c r="C1070" s="1" t="n">
        <v>46166</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20967-2026</t>
        </is>
      </c>
      <c r="B1071" s="1" t="n">
        <v>46142.55980324074</v>
      </c>
      <c r="C1071" s="1" t="n">
        <v>46166</v>
      </c>
      <c r="D1071" t="inlineStr">
        <is>
          <t>JÄMTLANDS LÄN</t>
        </is>
      </c>
      <c r="E1071" t="inlineStr">
        <is>
          <t>HÄRJEDALEN</t>
        </is>
      </c>
      <c r="F1071" t="inlineStr">
        <is>
          <t>Sveaskog</t>
        </is>
      </c>
      <c r="G1071" t="n">
        <v>17.2</v>
      </c>
      <c r="H1071" t="n">
        <v>0</v>
      </c>
      <c r="I1071" t="n">
        <v>0</v>
      </c>
      <c r="J1071" t="n">
        <v>0</v>
      </c>
      <c r="K1071" t="n">
        <v>0</v>
      </c>
      <c r="L1071" t="n">
        <v>0</v>
      </c>
      <c r="M1071" t="n">
        <v>0</v>
      </c>
      <c r="N1071" t="n">
        <v>0</v>
      </c>
      <c r="O1071" t="n">
        <v>0</v>
      </c>
      <c r="P1071" t="n">
        <v>0</v>
      </c>
      <c r="Q1071" t="n">
        <v>0</v>
      </c>
      <c r="R1071" s="2" t="inlineStr"/>
    </row>
    <row r="1072" ht="15" customHeight="1">
      <c r="A1072" t="inlineStr">
        <is>
          <t>A 7368-2024</t>
        </is>
      </c>
      <c r="B1072" s="1" t="n">
        <v>45345.48181712963</v>
      </c>
      <c r="C1072" s="1" t="n">
        <v>46166</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38820-2025</t>
        </is>
      </c>
      <c r="B1073" s="1" t="n">
        <v>45887</v>
      </c>
      <c r="C1073" s="1" t="n">
        <v>46166</v>
      </c>
      <c r="D1073" t="inlineStr">
        <is>
          <t>JÄMTLANDS LÄN</t>
        </is>
      </c>
      <c r="E1073" t="inlineStr">
        <is>
          <t>HÄRJEDALEN</t>
        </is>
      </c>
      <c r="F1073" t="inlineStr">
        <is>
          <t>Bergvik skog väst AB</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21011-2024</t>
        </is>
      </c>
      <c r="B1074" s="1" t="n">
        <v>45439.62893518519</v>
      </c>
      <c r="C1074" s="1" t="n">
        <v>46166</v>
      </c>
      <c r="D1074" t="inlineStr">
        <is>
          <t>JÄMTLANDS LÄN</t>
        </is>
      </c>
      <c r="E1074" t="inlineStr">
        <is>
          <t>HÄRJEDALEN</t>
        </is>
      </c>
      <c r="G1074" t="n">
        <v>92.40000000000001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19915-2023</t>
        </is>
      </c>
      <c r="B1075" s="1" t="n">
        <v>45054</v>
      </c>
      <c r="C1075" s="1" t="n">
        <v>46166</v>
      </c>
      <c r="D1075" t="inlineStr">
        <is>
          <t>JÄMTLANDS LÄN</t>
        </is>
      </c>
      <c r="E1075" t="inlineStr">
        <is>
          <t>HÄRJEDALEN</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14983-2026</t>
        </is>
      </c>
      <c r="B1076" s="1" t="n">
        <v>46104.57986111111</v>
      </c>
      <c r="C1076" s="1" t="n">
        <v>46166</v>
      </c>
      <c r="D1076" t="inlineStr">
        <is>
          <t>JÄMTLANDS LÄN</t>
        </is>
      </c>
      <c r="E1076" t="inlineStr">
        <is>
          <t>HÄRJEDALEN</t>
        </is>
      </c>
      <c r="F1076" t="inlineStr">
        <is>
          <t>Bergvik skog väst AB</t>
        </is>
      </c>
      <c r="G1076" t="n">
        <v>22.1</v>
      </c>
      <c r="H1076" t="n">
        <v>0</v>
      </c>
      <c r="I1076" t="n">
        <v>0</v>
      </c>
      <c r="J1076" t="n">
        <v>0</v>
      </c>
      <c r="K1076" t="n">
        <v>0</v>
      </c>
      <c r="L1076" t="n">
        <v>0</v>
      </c>
      <c r="M1076" t="n">
        <v>0</v>
      </c>
      <c r="N1076" t="n">
        <v>0</v>
      </c>
      <c r="O1076" t="n">
        <v>0</v>
      </c>
      <c r="P1076" t="n">
        <v>0</v>
      </c>
      <c r="Q1076" t="n">
        <v>0</v>
      </c>
      <c r="R1076" s="2" t="inlineStr"/>
    </row>
    <row r="1077" ht="15" customHeight="1">
      <c r="A1077" t="inlineStr">
        <is>
          <t>A 35532-2021</t>
        </is>
      </c>
      <c r="B1077" s="1" t="n">
        <v>44385</v>
      </c>
      <c r="C1077" s="1" t="n">
        <v>46166</v>
      </c>
      <c r="D1077" t="inlineStr">
        <is>
          <t>JÄMTLANDS LÄN</t>
        </is>
      </c>
      <c r="E1077" t="inlineStr">
        <is>
          <t>HÄRJEDALEN</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14959-2026</t>
        </is>
      </c>
      <c r="B1078" s="1" t="n">
        <v>46104.55480324074</v>
      </c>
      <c r="C1078" s="1" t="n">
        <v>46166</v>
      </c>
      <c r="D1078" t="inlineStr">
        <is>
          <t>JÄMTLANDS LÄN</t>
        </is>
      </c>
      <c r="E1078" t="inlineStr">
        <is>
          <t>HÄRJEDALEN</t>
        </is>
      </c>
      <c r="F1078" t="inlineStr">
        <is>
          <t>Bergvik skog väst AB</t>
        </is>
      </c>
      <c r="G1078" t="n">
        <v>13.4</v>
      </c>
      <c r="H1078" t="n">
        <v>0</v>
      </c>
      <c r="I1078" t="n">
        <v>0</v>
      </c>
      <c r="J1078" t="n">
        <v>0</v>
      </c>
      <c r="K1078" t="n">
        <v>0</v>
      </c>
      <c r="L1078" t="n">
        <v>0</v>
      </c>
      <c r="M1078" t="n">
        <v>0</v>
      </c>
      <c r="N1078" t="n">
        <v>0</v>
      </c>
      <c r="O1078" t="n">
        <v>0</v>
      </c>
      <c r="P1078" t="n">
        <v>0</v>
      </c>
      <c r="Q1078" t="n">
        <v>0</v>
      </c>
      <c r="R1078" s="2" t="inlineStr"/>
    </row>
    <row r="1079" ht="15" customHeight="1">
      <c r="A1079" t="inlineStr">
        <is>
          <t>A 49689-2022</t>
        </is>
      </c>
      <c r="B1079" s="1" t="n">
        <v>44862</v>
      </c>
      <c r="C1079" s="1" t="n">
        <v>46166</v>
      </c>
      <c r="D1079" t="inlineStr">
        <is>
          <t>JÄMTLANDS LÄN</t>
        </is>
      </c>
      <c r="E1079" t="inlineStr">
        <is>
          <t>HÄRJEDALEN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21149-2026</t>
        </is>
      </c>
      <c r="B1080" s="1" t="n">
        <v>46146.57385416667</v>
      </c>
      <c r="C1080" s="1" t="n">
        <v>46166</v>
      </c>
      <c r="D1080" t="inlineStr">
        <is>
          <t>JÄMTLANDS LÄN</t>
        </is>
      </c>
      <c r="E1080" t="inlineStr">
        <is>
          <t>HÄRJEDALEN</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21153-2026</t>
        </is>
      </c>
      <c r="B1081" s="1" t="n">
        <v>46146.5747337963</v>
      </c>
      <c r="C1081" s="1" t="n">
        <v>46166</v>
      </c>
      <c r="D1081" t="inlineStr">
        <is>
          <t>JÄMTLANDS LÄN</t>
        </is>
      </c>
      <c r="E1081" t="inlineStr">
        <is>
          <t>HÄRJEDALEN</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7384-2025</t>
        </is>
      </c>
      <c r="B1082" s="1" t="n">
        <v>45705.32456018519</v>
      </c>
      <c r="C1082" s="1" t="n">
        <v>46166</v>
      </c>
      <c r="D1082" t="inlineStr">
        <is>
          <t>JÄMTLANDS LÄN</t>
        </is>
      </c>
      <c r="E1082" t="inlineStr">
        <is>
          <t>HÄRJEDALEN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65150-2023</t>
        </is>
      </c>
      <c r="B1083" s="1" t="n">
        <v>45288.58685185185</v>
      </c>
      <c r="C1083" s="1" t="n">
        <v>46166</v>
      </c>
      <c r="D1083" t="inlineStr">
        <is>
          <t>JÄMTLANDS LÄN</t>
        </is>
      </c>
      <c r="E1083" t="inlineStr">
        <is>
          <t>HÄRJEDALEN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21171-2026</t>
        </is>
      </c>
      <c r="B1084" s="1" t="n">
        <v>46146.61539351852</v>
      </c>
      <c r="C1084" s="1" t="n">
        <v>46166</v>
      </c>
      <c r="D1084" t="inlineStr">
        <is>
          <t>JÄMTLANDS LÄN</t>
        </is>
      </c>
      <c r="E1084" t="inlineStr">
        <is>
          <t>HÄRJEDALEN</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22728-2023</t>
        </is>
      </c>
      <c r="B1085" s="1" t="n">
        <v>45071.92488425926</v>
      </c>
      <c r="C1085" s="1" t="n">
        <v>46166</v>
      </c>
      <c r="D1085" t="inlineStr">
        <is>
          <t>JÄMTLANDS LÄN</t>
        </is>
      </c>
      <c r="E1085" t="inlineStr">
        <is>
          <t>HÄRJEDALEN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21222-2026</t>
        </is>
      </c>
      <c r="B1086" s="1" t="n">
        <v>46146.7080787037</v>
      </c>
      <c r="C1086" s="1" t="n">
        <v>46166</v>
      </c>
      <c r="D1086" t="inlineStr">
        <is>
          <t>JÄMTLANDS LÄN</t>
        </is>
      </c>
      <c r="E1086" t="inlineStr">
        <is>
          <t>HÄRJEDALEN</t>
        </is>
      </c>
      <c r="F1086" t="inlineStr">
        <is>
          <t>Sveaskog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21223-2026</t>
        </is>
      </c>
      <c r="B1087" s="1" t="n">
        <v>46146.7108912037</v>
      </c>
      <c r="C1087" s="1" t="n">
        <v>46166</v>
      </c>
      <c r="D1087" t="inlineStr">
        <is>
          <t>JÄMTLANDS LÄN</t>
        </is>
      </c>
      <c r="E1087" t="inlineStr">
        <is>
          <t>HÄRJEDALEN</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14956-2026</t>
        </is>
      </c>
      <c r="B1088" s="1" t="n">
        <v>46104.55262731481</v>
      </c>
      <c r="C1088" s="1" t="n">
        <v>46166</v>
      </c>
      <c r="D1088" t="inlineStr">
        <is>
          <t>JÄMTLANDS LÄN</t>
        </is>
      </c>
      <c r="E1088" t="inlineStr">
        <is>
          <t>HÄRJEDALEN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55931-2022</t>
        </is>
      </c>
      <c r="B1089" s="1" t="n">
        <v>44886</v>
      </c>
      <c r="C1089" s="1" t="n">
        <v>46166</v>
      </c>
      <c r="D1089" t="inlineStr">
        <is>
          <t>JÄMTLANDS LÄN</t>
        </is>
      </c>
      <c r="E1089" t="inlineStr">
        <is>
          <t>HÄRJEDALEN</t>
        </is>
      </c>
      <c r="F1089" t="inlineStr">
        <is>
          <t>Övriga statliga verk och myndigheter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12864-2025</t>
        </is>
      </c>
      <c r="B1090" s="1" t="n">
        <v>45733</v>
      </c>
      <c r="C1090" s="1" t="n">
        <v>46166</v>
      </c>
      <c r="D1090" t="inlineStr">
        <is>
          <t>JÄMTLANDS LÄN</t>
        </is>
      </c>
      <c r="E1090" t="inlineStr">
        <is>
          <t>HÄRJEDALEN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15223-2026</t>
        </is>
      </c>
      <c r="B1091" s="1" t="n">
        <v>46105.53946759259</v>
      </c>
      <c r="C1091" s="1" t="n">
        <v>46166</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53451-2024</t>
        </is>
      </c>
      <c r="B1092" s="1" t="n">
        <v>45614</v>
      </c>
      <c r="C1092" s="1" t="n">
        <v>46166</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58111-2024</t>
        </is>
      </c>
      <c r="B1093" s="1" t="n">
        <v>45632</v>
      </c>
      <c r="C1093" s="1" t="n">
        <v>46166</v>
      </c>
      <c r="D1093" t="inlineStr">
        <is>
          <t>JÄMTLANDS LÄN</t>
        </is>
      </c>
      <c r="E1093" t="inlineStr">
        <is>
          <t>HÄRJEDALEN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46166</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46166</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48051-2023</t>
        </is>
      </c>
      <c r="B1096" s="1" t="n">
        <v>45204</v>
      </c>
      <c r="C1096" s="1" t="n">
        <v>46166</v>
      </c>
      <c r="D1096" t="inlineStr">
        <is>
          <t>JÄMTLANDS LÄN</t>
        </is>
      </c>
      <c r="E1096" t="inlineStr">
        <is>
          <t>HÄRJEDALEN</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13778-2025</t>
        </is>
      </c>
      <c r="B1097" s="1" t="n">
        <v>45737</v>
      </c>
      <c r="C1097" s="1" t="n">
        <v>46166</v>
      </c>
      <c r="D1097" t="inlineStr">
        <is>
          <t>JÄMTLANDS LÄN</t>
        </is>
      </c>
      <c r="E1097" t="inlineStr">
        <is>
          <t>HÄRJEDALEN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18646-2023</t>
        </is>
      </c>
      <c r="B1098" s="1" t="n">
        <v>45041</v>
      </c>
      <c r="C1098" s="1" t="n">
        <v>46166</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57202-2023</t>
        </is>
      </c>
      <c r="B1099" s="1" t="n">
        <v>45245</v>
      </c>
      <c r="C1099" s="1" t="n">
        <v>46166</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15604-2026</t>
        </is>
      </c>
      <c r="B1100" s="1" t="n">
        <v>46106.59444444445</v>
      </c>
      <c r="C1100" s="1" t="n">
        <v>46166</v>
      </c>
      <c r="D1100" t="inlineStr">
        <is>
          <t>JÄMTLANDS LÄN</t>
        </is>
      </c>
      <c r="E1100" t="inlineStr">
        <is>
          <t>HÄRJEDALEN</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15351-2026</t>
        </is>
      </c>
      <c r="B1101" s="1" t="n">
        <v>46105.69893518519</v>
      </c>
      <c r="C1101" s="1" t="n">
        <v>46166</v>
      </c>
      <c r="D1101" t="inlineStr">
        <is>
          <t>JÄMTLANDS LÄN</t>
        </is>
      </c>
      <c r="E1101" t="inlineStr">
        <is>
          <t>HÄRJEDALEN</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15350-2026</t>
        </is>
      </c>
      <c r="B1102" s="1" t="n">
        <v>46105.69887731481</v>
      </c>
      <c r="C1102" s="1" t="n">
        <v>46166</v>
      </c>
      <c r="D1102" t="inlineStr">
        <is>
          <t>JÄMTLANDS LÄN</t>
        </is>
      </c>
      <c r="E1102" t="inlineStr">
        <is>
          <t>HÄRJEDALEN</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21337-2026</t>
        </is>
      </c>
      <c r="B1103" s="1" t="n">
        <v>46147.59431712963</v>
      </c>
      <c r="C1103" s="1" t="n">
        <v>46166</v>
      </c>
      <c r="D1103" t="inlineStr">
        <is>
          <t>JÄMTLANDS LÄN</t>
        </is>
      </c>
      <c r="E1103" t="inlineStr">
        <is>
          <t>HÄRJEDALEN</t>
        </is>
      </c>
      <c r="F1103" t="inlineStr">
        <is>
          <t>SCA</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4879-2025</t>
        </is>
      </c>
      <c r="B1104" s="1" t="n">
        <v>45688.6769212963</v>
      </c>
      <c r="C1104" s="1" t="n">
        <v>46166</v>
      </c>
      <c r="D1104" t="inlineStr">
        <is>
          <t>JÄMTLANDS LÄN</t>
        </is>
      </c>
      <c r="E1104" t="inlineStr">
        <is>
          <t>HÄRJEDALEN</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58118-2024</t>
        </is>
      </c>
      <c r="B1105" s="1" t="n">
        <v>45632</v>
      </c>
      <c r="C1105" s="1" t="n">
        <v>46166</v>
      </c>
      <c r="D1105" t="inlineStr">
        <is>
          <t>JÄMTLANDS LÄN</t>
        </is>
      </c>
      <c r="E1105" t="inlineStr">
        <is>
          <t>HÄRJEDALEN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13781-2025</t>
        </is>
      </c>
      <c r="B1106" s="1" t="n">
        <v>45737</v>
      </c>
      <c r="C1106" s="1" t="n">
        <v>46166</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13784-2025</t>
        </is>
      </c>
      <c r="B1107" s="1" t="n">
        <v>45737</v>
      </c>
      <c r="C1107" s="1" t="n">
        <v>46166</v>
      </c>
      <c r="D1107" t="inlineStr">
        <is>
          <t>JÄMTLANDS LÄN</t>
        </is>
      </c>
      <c r="E1107" t="inlineStr">
        <is>
          <t>HÄRJEDALEN</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49969-2023</t>
        </is>
      </c>
      <c r="B1108" s="1" t="n">
        <v>45215</v>
      </c>
      <c r="C1108" s="1" t="n">
        <v>46166</v>
      </c>
      <c r="D1108" t="inlineStr">
        <is>
          <t>JÄMTLANDS LÄN</t>
        </is>
      </c>
      <c r="E1108" t="inlineStr">
        <is>
          <t>HÄRJEDALEN</t>
        </is>
      </c>
      <c r="G1108" t="n">
        <v>43.7</v>
      </c>
      <c r="H1108" t="n">
        <v>0</v>
      </c>
      <c r="I1108" t="n">
        <v>0</v>
      </c>
      <c r="J1108" t="n">
        <v>0</v>
      </c>
      <c r="K1108" t="n">
        <v>0</v>
      </c>
      <c r="L1108" t="n">
        <v>0</v>
      </c>
      <c r="M1108" t="n">
        <v>0</v>
      </c>
      <c r="N1108" t="n">
        <v>0</v>
      </c>
      <c r="O1108" t="n">
        <v>0</v>
      </c>
      <c r="P1108" t="n">
        <v>0</v>
      </c>
      <c r="Q1108" t="n">
        <v>0</v>
      </c>
      <c r="R1108" s="2" t="inlineStr"/>
    </row>
    <row r="1109" ht="15" customHeight="1">
      <c r="A1109" t="inlineStr">
        <is>
          <t>A 13723-2024</t>
        </is>
      </c>
      <c r="B1109" s="1" t="n">
        <v>45390</v>
      </c>
      <c r="C1109" s="1" t="n">
        <v>46166</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19478-2026</t>
        </is>
      </c>
      <c r="B1110" s="1" t="n">
        <v>46133</v>
      </c>
      <c r="C1110" s="1" t="n">
        <v>46166</v>
      </c>
      <c r="D1110" t="inlineStr">
        <is>
          <t>JÄMTLANDS LÄN</t>
        </is>
      </c>
      <c r="E1110" t="inlineStr">
        <is>
          <t>HÄRJEDALEN</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20342-2025</t>
        </is>
      </c>
      <c r="B1111" s="1" t="n">
        <v>45775.36589120371</v>
      </c>
      <c r="C1111" s="1" t="n">
        <v>46166</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41058-2023</t>
        </is>
      </c>
      <c r="B1112" s="1" t="n">
        <v>45173</v>
      </c>
      <c r="C1112" s="1" t="n">
        <v>46166</v>
      </c>
      <c r="D1112" t="inlineStr">
        <is>
          <t>JÄMTLANDS LÄN</t>
        </is>
      </c>
      <c r="E1112" t="inlineStr">
        <is>
          <t>HÄRJEDALEN</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12484-2023</t>
        </is>
      </c>
      <c r="B1113" s="1" t="n">
        <v>44998</v>
      </c>
      <c r="C1113" s="1" t="n">
        <v>46166</v>
      </c>
      <c r="D1113" t="inlineStr">
        <is>
          <t>JÄMTLANDS LÄN</t>
        </is>
      </c>
      <c r="E1113" t="inlineStr">
        <is>
          <t>HÄRJEDALEN</t>
        </is>
      </c>
      <c r="G1113" t="n">
        <v>43.1</v>
      </c>
      <c r="H1113" t="n">
        <v>0</v>
      </c>
      <c r="I1113" t="n">
        <v>0</v>
      </c>
      <c r="J1113" t="n">
        <v>0</v>
      </c>
      <c r="K1113" t="n">
        <v>0</v>
      </c>
      <c r="L1113" t="n">
        <v>0</v>
      </c>
      <c r="M1113" t="n">
        <v>0</v>
      </c>
      <c r="N1113" t="n">
        <v>0</v>
      </c>
      <c r="O1113" t="n">
        <v>0</v>
      </c>
      <c r="P1113" t="n">
        <v>0</v>
      </c>
      <c r="Q1113" t="n">
        <v>0</v>
      </c>
      <c r="R1113" s="2" t="inlineStr"/>
    </row>
    <row r="1114" ht="15" customHeight="1">
      <c r="A1114" t="inlineStr">
        <is>
          <t>A 45123-2024</t>
        </is>
      </c>
      <c r="B1114" s="1" t="n">
        <v>45575.6125925926</v>
      </c>
      <c r="C1114" s="1" t="n">
        <v>46166</v>
      </c>
      <c r="D1114" t="inlineStr">
        <is>
          <t>JÄMTLANDS LÄN</t>
        </is>
      </c>
      <c r="E1114" t="inlineStr">
        <is>
          <t>HÄRJEDALEN</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7622-2025</t>
        </is>
      </c>
      <c r="B1115" s="1" t="n">
        <v>45705.72106481482</v>
      </c>
      <c r="C1115" s="1" t="n">
        <v>46166</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21767-2022</t>
        </is>
      </c>
      <c r="B1116" s="1" t="n">
        <v>44708.45504629629</v>
      </c>
      <c r="C1116" s="1" t="n">
        <v>46166</v>
      </c>
      <c r="D1116" t="inlineStr">
        <is>
          <t>JÄMTLANDS LÄN</t>
        </is>
      </c>
      <c r="E1116" t="inlineStr">
        <is>
          <t>HÄRJEDALEN</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43294-2024</t>
        </is>
      </c>
      <c r="B1117" s="1" t="n">
        <v>45568</v>
      </c>
      <c r="C1117" s="1" t="n">
        <v>46166</v>
      </c>
      <c r="D1117" t="inlineStr">
        <is>
          <t>JÄMTLANDS LÄN</t>
        </is>
      </c>
      <c r="E1117" t="inlineStr">
        <is>
          <t>HÄRJEDALEN</t>
        </is>
      </c>
      <c r="F1117" t="inlineStr">
        <is>
          <t>SCA</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55736-2023</t>
        </is>
      </c>
      <c r="B1118" s="1" t="n">
        <v>45239.43173611111</v>
      </c>
      <c r="C1118" s="1" t="n">
        <v>46166</v>
      </c>
      <c r="D1118" t="inlineStr">
        <is>
          <t>JÄMTLANDS LÄN</t>
        </is>
      </c>
      <c r="E1118" t="inlineStr">
        <is>
          <t>HÄRJEDALEN</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20033-2025</t>
        </is>
      </c>
      <c r="B1119" s="1" t="n">
        <v>45772.36106481482</v>
      </c>
      <c r="C1119" s="1" t="n">
        <v>46166</v>
      </c>
      <c r="D1119" t="inlineStr">
        <is>
          <t>JÄMTLANDS LÄN</t>
        </is>
      </c>
      <c r="E1119" t="inlineStr">
        <is>
          <t>HÄRJEDALEN</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52565-2023</t>
        </is>
      </c>
      <c r="B1120" s="1" t="n">
        <v>45225.58005787037</v>
      </c>
      <c r="C1120" s="1" t="n">
        <v>46166</v>
      </c>
      <c r="D1120" t="inlineStr">
        <is>
          <t>JÄMTLANDS LÄN</t>
        </is>
      </c>
      <c r="E1120" t="inlineStr">
        <is>
          <t>HÄRJEDALEN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62590-2022</t>
        </is>
      </c>
      <c r="B1121" s="1" t="n">
        <v>44925.33584490741</v>
      </c>
      <c r="C1121" s="1" t="n">
        <v>46166</v>
      </c>
      <c r="D1121" t="inlineStr">
        <is>
          <t>JÄMTLANDS LÄN</t>
        </is>
      </c>
      <c r="E1121" t="inlineStr">
        <is>
          <t>HÄRJEDALEN</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62641-2022</t>
        </is>
      </c>
      <c r="B1122" s="1" t="n">
        <v>44925</v>
      </c>
      <c r="C1122" s="1" t="n">
        <v>46166</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19353-2023</t>
        </is>
      </c>
      <c r="B1123" s="1" t="n">
        <v>45049.59826388889</v>
      </c>
      <c r="C1123" s="1" t="n">
        <v>46166</v>
      </c>
      <c r="D1123" t="inlineStr">
        <is>
          <t>JÄMTLANDS LÄN</t>
        </is>
      </c>
      <c r="E1123" t="inlineStr">
        <is>
          <t>HÄRJEDALEN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58110-2024</t>
        </is>
      </c>
      <c r="B1124" s="1" t="n">
        <v>45632</v>
      </c>
      <c r="C1124" s="1" t="n">
        <v>46166</v>
      </c>
      <c r="D1124" t="inlineStr">
        <is>
          <t>JÄMTLANDS LÄN</t>
        </is>
      </c>
      <c r="E1124" t="inlineStr">
        <is>
          <t>HÄRJEDALEN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58117-2024</t>
        </is>
      </c>
      <c r="B1125" s="1" t="n">
        <v>45632</v>
      </c>
      <c r="C1125" s="1" t="n">
        <v>46166</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55115-2024</t>
        </is>
      </c>
      <c r="B1126" s="1" t="n">
        <v>45621</v>
      </c>
      <c r="C1126" s="1" t="n">
        <v>46166</v>
      </c>
      <c r="D1126" t="inlineStr">
        <is>
          <t>JÄMTLANDS LÄN</t>
        </is>
      </c>
      <c r="E1126" t="inlineStr">
        <is>
          <t>HÄRJEDALEN</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45170.4643287037</v>
      </c>
      <c r="C1127" s="1" t="n">
        <v>46166</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59125-2024</t>
        </is>
      </c>
      <c r="B1128" s="1" t="n">
        <v>45637.39587962963</v>
      </c>
      <c r="C1128" s="1" t="n">
        <v>46166</v>
      </c>
      <c r="D1128" t="inlineStr">
        <is>
          <t>JÄMTLANDS LÄN</t>
        </is>
      </c>
      <c r="E1128" t="inlineStr">
        <is>
          <t>HÄRJEDALEN</t>
        </is>
      </c>
      <c r="F1128" t="inlineStr">
        <is>
          <t>Bergvik skog väst AB</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41401-2024</t>
        </is>
      </c>
      <c r="B1129" s="1" t="n">
        <v>45560.33311342593</v>
      </c>
      <c r="C1129" s="1" t="n">
        <v>46166</v>
      </c>
      <c r="D1129" t="inlineStr">
        <is>
          <t>JÄMTLANDS LÄN</t>
        </is>
      </c>
      <c r="E1129" t="inlineStr">
        <is>
          <t>HÄRJEDALEN</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58105-2024</t>
        </is>
      </c>
      <c r="B1130" s="1" t="n">
        <v>45632</v>
      </c>
      <c r="C1130" s="1" t="n">
        <v>46166</v>
      </c>
      <c r="D1130" t="inlineStr">
        <is>
          <t>JÄMTLANDS LÄN</t>
        </is>
      </c>
      <c r="E1130" t="inlineStr">
        <is>
          <t>HÄRJEDALEN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20206-2022</t>
        </is>
      </c>
      <c r="B1131" s="1" t="n">
        <v>44698</v>
      </c>
      <c r="C1131" s="1" t="n">
        <v>46166</v>
      </c>
      <c r="D1131" t="inlineStr">
        <is>
          <t>JÄMTLANDS LÄN</t>
        </is>
      </c>
      <c r="E1131" t="inlineStr">
        <is>
          <t>HÄRJEDALEN</t>
        </is>
      </c>
      <c r="F1131" t="inlineStr">
        <is>
          <t>Bergvik skog väst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51315-2024</t>
        </is>
      </c>
      <c r="B1132" s="1" t="n">
        <v>45604.32543981481</v>
      </c>
      <c r="C1132" s="1" t="n">
        <v>46166</v>
      </c>
      <c r="D1132" t="inlineStr">
        <is>
          <t>JÄMTLANDS LÄN</t>
        </is>
      </c>
      <c r="E1132" t="inlineStr">
        <is>
          <t>HÄRJEDALEN</t>
        </is>
      </c>
      <c r="F1132" t="inlineStr">
        <is>
          <t>Holmen skog AB</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22499-2024</t>
        </is>
      </c>
      <c r="B1133" s="1" t="n">
        <v>45447.35144675926</v>
      </c>
      <c r="C1133" s="1" t="n">
        <v>46166</v>
      </c>
      <c r="D1133" t="inlineStr">
        <is>
          <t>JÄMTLANDS LÄN</t>
        </is>
      </c>
      <c r="E1133" t="inlineStr">
        <is>
          <t>HÄRJEDALEN</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57755-2021</t>
        </is>
      </c>
      <c r="B1134" s="1" t="n">
        <v>44484.55535879629</v>
      </c>
      <c r="C1134" s="1" t="n">
        <v>46166</v>
      </c>
      <c r="D1134" t="inlineStr">
        <is>
          <t>JÄMTLANDS LÄN</t>
        </is>
      </c>
      <c r="E1134" t="inlineStr">
        <is>
          <t>HÄRJEDALEN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55463-2023</t>
        </is>
      </c>
      <c r="B1135" s="1" t="n">
        <v>45238.46430555556</v>
      </c>
      <c r="C1135" s="1" t="n">
        <v>46166</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31527-2024</t>
        </is>
      </c>
      <c r="B1136" s="1" t="n">
        <v>45505</v>
      </c>
      <c r="C1136" s="1" t="n">
        <v>46166</v>
      </c>
      <c r="D1136" t="inlineStr">
        <is>
          <t>JÄMTLANDS LÄN</t>
        </is>
      </c>
      <c r="E1136" t="inlineStr">
        <is>
          <t>HÄRJEDALEN</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59279-2023</t>
        </is>
      </c>
      <c r="B1137" s="1" t="n">
        <v>45253.55737268519</v>
      </c>
      <c r="C1137" s="1" t="n">
        <v>46166</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60062-2023</t>
        </is>
      </c>
      <c r="B1138" s="1" t="n">
        <v>45257</v>
      </c>
      <c r="C1138" s="1" t="n">
        <v>46166</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17885-2025</t>
        </is>
      </c>
      <c r="B1139" s="1" t="n">
        <v>45758.66108796297</v>
      </c>
      <c r="C1139" s="1" t="n">
        <v>46166</v>
      </c>
      <c r="D1139" t="inlineStr">
        <is>
          <t>JÄMTLANDS LÄN</t>
        </is>
      </c>
      <c r="E1139" t="inlineStr">
        <is>
          <t>HÄRJEDALEN</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17895-2025</t>
        </is>
      </c>
      <c r="B1140" s="1" t="n">
        <v>45758.69123842593</v>
      </c>
      <c r="C1140" s="1" t="n">
        <v>46166</v>
      </c>
      <c r="D1140" t="inlineStr">
        <is>
          <t>JÄMTLANDS LÄN</t>
        </is>
      </c>
      <c r="E1140" t="inlineStr">
        <is>
          <t>HÄRJEDALEN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4837-2025</t>
        </is>
      </c>
      <c r="B1141" s="1" t="n">
        <v>45688.67145833333</v>
      </c>
      <c r="C1141" s="1" t="n">
        <v>46166</v>
      </c>
      <c r="D1141" t="inlineStr">
        <is>
          <t>JÄMTLANDS LÄN</t>
        </is>
      </c>
      <c r="E1141" t="inlineStr">
        <is>
          <t>HÄRJEDALEN</t>
        </is>
      </c>
      <c r="F1141" t="inlineStr">
        <is>
          <t>SCA</t>
        </is>
      </c>
      <c r="G1141" t="n">
        <v>21.9</v>
      </c>
      <c r="H1141" t="n">
        <v>0</v>
      </c>
      <c r="I1141" t="n">
        <v>0</v>
      </c>
      <c r="J1141" t="n">
        <v>0</v>
      </c>
      <c r="K1141" t="n">
        <v>0</v>
      </c>
      <c r="L1141" t="n">
        <v>0</v>
      </c>
      <c r="M1141" t="n">
        <v>0</v>
      </c>
      <c r="N1141" t="n">
        <v>0</v>
      </c>
      <c r="O1141" t="n">
        <v>0</v>
      </c>
      <c r="P1141" t="n">
        <v>0</v>
      </c>
      <c r="Q1141" t="n">
        <v>0</v>
      </c>
      <c r="R1141" s="2" t="inlineStr"/>
    </row>
    <row r="1142" ht="15" customHeight="1">
      <c r="A1142" t="inlineStr">
        <is>
          <t>A 16014-2022</t>
        </is>
      </c>
      <c r="B1142" s="1" t="n">
        <v>44665</v>
      </c>
      <c r="C1142" s="1" t="n">
        <v>46166</v>
      </c>
      <c r="D1142" t="inlineStr">
        <is>
          <t>JÄMTLANDS LÄN</t>
        </is>
      </c>
      <c r="E1142" t="inlineStr">
        <is>
          <t>HÄRJEDALEN</t>
        </is>
      </c>
      <c r="G1142" t="n">
        <v>38.7</v>
      </c>
      <c r="H1142" t="n">
        <v>0</v>
      </c>
      <c r="I1142" t="n">
        <v>0</v>
      </c>
      <c r="J1142" t="n">
        <v>0</v>
      </c>
      <c r="K1142" t="n">
        <v>0</v>
      </c>
      <c r="L1142" t="n">
        <v>0</v>
      </c>
      <c r="M1142" t="n">
        <v>0</v>
      </c>
      <c r="N1142" t="n">
        <v>0</v>
      </c>
      <c r="O1142" t="n">
        <v>0</v>
      </c>
      <c r="P1142" t="n">
        <v>0</v>
      </c>
      <c r="Q1142" t="n">
        <v>0</v>
      </c>
      <c r="R1142" s="2" t="inlineStr"/>
    </row>
    <row r="1143" ht="15" customHeight="1">
      <c r="A1143" t="inlineStr">
        <is>
          <t>A 10342-2023</t>
        </is>
      </c>
      <c r="B1143" s="1" t="n">
        <v>44987.35282407407</v>
      </c>
      <c r="C1143" s="1" t="n">
        <v>46166</v>
      </c>
      <c r="D1143" t="inlineStr">
        <is>
          <t>JÄMTLANDS LÄN</t>
        </is>
      </c>
      <c r="E1143" t="inlineStr">
        <is>
          <t>HÄRJEDALEN</t>
        </is>
      </c>
      <c r="F1143" t="inlineStr">
        <is>
          <t>Holmen skog AB</t>
        </is>
      </c>
      <c r="G1143" t="n">
        <v>32.6</v>
      </c>
      <c r="H1143" t="n">
        <v>0</v>
      </c>
      <c r="I1143" t="n">
        <v>0</v>
      </c>
      <c r="J1143" t="n">
        <v>0</v>
      </c>
      <c r="K1143" t="n">
        <v>0</v>
      </c>
      <c r="L1143" t="n">
        <v>0</v>
      </c>
      <c r="M1143" t="n">
        <v>0</v>
      </c>
      <c r="N1143" t="n">
        <v>0</v>
      </c>
      <c r="O1143" t="n">
        <v>0</v>
      </c>
      <c r="P1143" t="n">
        <v>0</v>
      </c>
      <c r="Q1143" t="n">
        <v>0</v>
      </c>
      <c r="R1143" s="2" t="inlineStr"/>
    </row>
    <row r="1144" ht="15" customHeight="1">
      <c r="A1144" t="inlineStr">
        <is>
          <t>A 19100-2025</t>
        </is>
      </c>
      <c r="B1144" s="1" t="n">
        <v>45768.29630787037</v>
      </c>
      <c r="C1144" s="1" t="n">
        <v>46166</v>
      </c>
      <c r="D1144" t="inlineStr">
        <is>
          <t>JÄMTLANDS LÄN</t>
        </is>
      </c>
      <c r="E1144" t="inlineStr">
        <is>
          <t>HÄRJEDALEN</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19106-2025</t>
        </is>
      </c>
      <c r="B1145" s="1" t="n">
        <v>45768.30954861111</v>
      </c>
      <c r="C1145" s="1" t="n">
        <v>46166</v>
      </c>
      <c r="D1145" t="inlineStr">
        <is>
          <t>JÄMTLANDS LÄN</t>
        </is>
      </c>
      <c r="E1145" t="inlineStr">
        <is>
          <t>HÄRJEDALEN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16304-2025</t>
        </is>
      </c>
      <c r="B1146" s="1" t="n">
        <v>45751.34636574074</v>
      </c>
      <c r="C1146" s="1" t="n">
        <v>46166</v>
      </c>
      <c r="D1146" t="inlineStr">
        <is>
          <t>JÄMTLANDS LÄN</t>
        </is>
      </c>
      <c r="E1146" t="inlineStr">
        <is>
          <t>HÄRJEDALEN</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12569-2025</t>
        </is>
      </c>
      <c r="B1147" s="1" t="n">
        <v>45731.69629629629</v>
      </c>
      <c r="C1147" s="1" t="n">
        <v>46166</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18542-2025</t>
        </is>
      </c>
      <c r="B1148" s="1" t="n">
        <v>45763.4178587963</v>
      </c>
      <c r="C1148" s="1" t="n">
        <v>46166</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31783-2024</t>
        </is>
      </c>
      <c r="B1149" s="1" t="n">
        <v>45509</v>
      </c>
      <c r="C1149" s="1" t="n">
        <v>46166</v>
      </c>
      <c r="D1149" t="inlineStr">
        <is>
          <t>JÄMTLANDS LÄN</t>
        </is>
      </c>
      <c r="E1149" t="inlineStr">
        <is>
          <t>HÄRJEDALEN</t>
        </is>
      </c>
      <c r="F1149" t="inlineStr">
        <is>
          <t>Övriga statliga verk och myndigheter</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41955-2023</t>
        </is>
      </c>
      <c r="B1150" s="1" t="n">
        <v>45174</v>
      </c>
      <c r="C1150" s="1" t="n">
        <v>46166</v>
      </c>
      <c r="D1150" t="inlineStr">
        <is>
          <t>JÄMTLANDS LÄN</t>
        </is>
      </c>
      <c r="E1150" t="inlineStr">
        <is>
          <t>HÄRJEDALEN</t>
        </is>
      </c>
      <c r="G1150" t="n">
        <v>60.5</v>
      </c>
      <c r="H1150" t="n">
        <v>0</v>
      </c>
      <c r="I1150" t="n">
        <v>0</v>
      </c>
      <c r="J1150" t="n">
        <v>0</v>
      </c>
      <c r="K1150" t="n">
        <v>0</v>
      </c>
      <c r="L1150" t="n">
        <v>0</v>
      </c>
      <c r="M1150" t="n">
        <v>0</v>
      </c>
      <c r="N1150" t="n">
        <v>0</v>
      </c>
      <c r="O1150" t="n">
        <v>0</v>
      </c>
      <c r="P1150" t="n">
        <v>0</v>
      </c>
      <c r="Q1150" t="n">
        <v>0</v>
      </c>
      <c r="R1150" s="2" t="inlineStr"/>
    </row>
    <row r="1151" ht="15" customHeight="1">
      <c r="A1151" t="inlineStr">
        <is>
          <t>A 58106-2024</t>
        </is>
      </c>
      <c r="B1151" s="1" t="n">
        <v>45632</v>
      </c>
      <c r="C1151" s="1" t="n">
        <v>46166</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62639-2022</t>
        </is>
      </c>
      <c r="B1152" s="1" t="n">
        <v>44925</v>
      </c>
      <c r="C1152" s="1" t="n">
        <v>46166</v>
      </c>
      <c r="D1152" t="inlineStr">
        <is>
          <t>JÄMTLANDS LÄN</t>
        </is>
      </c>
      <c r="E1152" t="inlineStr">
        <is>
          <t>HÄRJEDALEN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56054-2024</t>
        </is>
      </c>
      <c r="B1153" s="1" t="n">
        <v>45624.36090277778</v>
      </c>
      <c r="C1153" s="1" t="n">
        <v>46166</v>
      </c>
      <c r="D1153" t="inlineStr">
        <is>
          <t>JÄMTLANDS LÄN</t>
        </is>
      </c>
      <c r="E1153" t="inlineStr">
        <is>
          <t>HÄRJEDALEN</t>
        </is>
      </c>
      <c r="G1153" t="n">
        <v>16.7</v>
      </c>
      <c r="H1153" t="n">
        <v>0</v>
      </c>
      <c r="I1153" t="n">
        <v>0</v>
      </c>
      <c r="J1153" t="n">
        <v>0</v>
      </c>
      <c r="K1153" t="n">
        <v>0</v>
      </c>
      <c r="L1153" t="n">
        <v>0</v>
      </c>
      <c r="M1153" t="n">
        <v>0</v>
      </c>
      <c r="N1153" t="n">
        <v>0</v>
      </c>
      <c r="O1153" t="n">
        <v>0</v>
      </c>
      <c r="P1153" t="n">
        <v>0</v>
      </c>
      <c r="Q1153" t="n">
        <v>0</v>
      </c>
      <c r="R1153" s="2" t="inlineStr"/>
    </row>
    <row r="1154" ht="15" customHeight="1">
      <c r="A1154" t="inlineStr">
        <is>
          <t>A 12677-2025</t>
        </is>
      </c>
      <c r="B1154" s="1" t="n">
        <v>45733.43663194445</v>
      </c>
      <c r="C1154" s="1" t="n">
        <v>46166</v>
      </c>
      <c r="D1154" t="inlineStr">
        <is>
          <t>JÄMTLANDS LÄN</t>
        </is>
      </c>
      <c r="E1154" t="inlineStr">
        <is>
          <t>HÄRJEDALEN</t>
        </is>
      </c>
      <c r="F1154" t="inlineStr">
        <is>
          <t>Holmen skog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62719-2022</t>
        </is>
      </c>
      <c r="B1155" s="1" t="n">
        <v>44925</v>
      </c>
      <c r="C1155" s="1" t="n">
        <v>46166</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49319-2024</t>
        </is>
      </c>
      <c r="B1156" s="1" t="n">
        <v>45595.5666550926</v>
      </c>
      <c r="C1156" s="1" t="n">
        <v>46166</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20341-2025</t>
        </is>
      </c>
      <c r="B1157" s="1" t="n">
        <v>45775.36587962963</v>
      </c>
      <c r="C1157" s="1" t="n">
        <v>46166</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58446-2024</t>
        </is>
      </c>
      <c r="B1158" s="1" t="n">
        <v>45635.33439814814</v>
      </c>
      <c r="C1158" s="1" t="n">
        <v>46166</v>
      </c>
      <c r="D1158" t="inlineStr">
        <is>
          <t>JÄMTLANDS LÄN</t>
        </is>
      </c>
      <c r="E1158" t="inlineStr">
        <is>
          <t>HÄRJEDALEN</t>
        </is>
      </c>
      <c r="F1158" t="inlineStr">
        <is>
          <t>Bergvik skog väst AB</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69271-2021</t>
        </is>
      </c>
      <c r="B1159" s="1" t="n">
        <v>44531.43927083333</v>
      </c>
      <c r="C1159" s="1" t="n">
        <v>46166</v>
      </c>
      <c r="D1159" t="inlineStr">
        <is>
          <t>JÄMTLANDS LÄN</t>
        </is>
      </c>
      <c r="E1159" t="inlineStr">
        <is>
          <t>HÄRJEDALEN</t>
        </is>
      </c>
      <c r="F1159" t="inlineStr">
        <is>
          <t>Bergvik skog väst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44819-2024</t>
        </is>
      </c>
      <c r="B1160" s="1" t="n">
        <v>45574.66106481481</v>
      </c>
      <c r="C1160" s="1" t="n">
        <v>46166</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44967-2024</t>
        </is>
      </c>
      <c r="B1161" s="1" t="n">
        <v>45575</v>
      </c>
      <c r="C1161" s="1" t="n">
        <v>46166</v>
      </c>
      <c r="D1161" t="inlineStr">
        <is>
          <t>JÄMTLANDS LÄN</t>
        </is>
      </c>
      <c r="E1161" t="inlineStr">
        <is>
          <t>HÄRJEDALEN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32910-2022</t>
        </is>
      </c>
      <c r="B1162" s="1" t="n">
        <v>44784.60677083334</v>
      </c>
      <c r="C1162" s="1" t="n">
        <v>46166</v>
      </c>
      <c r="D1162" t="inlineStr">
        <is>
          <t>JÄMTLANDS LÄN</t>
        </is>
      </c>
      <c r="E1162" t="inlineStr">
        <is>
          <t>HÄRJEDALEN</t>
        </is>
      </c>
      <c r="F1162" t="inlineStr">
        <is>
          <t>Bergvik skog väst AB</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31587-2024</t>
        </is>
      </c>
      <c r="B1163" s="1" t="n">
        <v>45506.36534722222</v>
      </c>
      <c r="C1163" s="1" t="n">
        <v>46166</v>
      </c>
      <c r="D1163" t="inlineStr">
        <is>
          <t>JÄMTLANDS LÄN</t>
        </is>
      </c>
      <c r="E1163" t="inlineStr">
        <is>
          <t>HÄRJEDALEN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23186-2023</t>
        </is>
      </c>
      <c r="B1164" s="1" t="n">
        <v>45075.59358796296</v>
      </c>
      <c r="C1164" s="1" t="n">
        <v>46166</v>
      </c>
      <c r="D1164" t="inlineStr">
        <is>
          <t>JÄMTLANDS LÄN</t>
        </is>
      </c>
      <c r="E1164" t="inlineStr">
        <is>
          <t>HÄRJEDALEN</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2106-2025</t>
        </is>
      </c>
      <c r="B1165" s="1" t="n">
        <v>45672.61748842592</v>
      </c>
      <c r="C1165" s="1" t="n">
        <v>46166</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18362-2025</t>
        </is>
      </c>
      <c r="B1166" s="1" t="n">
        <v>45762.55899305556</v>
      </c>
      <c r="C1166" s="1" t="n">
        <v>46166</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7313-2024</t>
        </is>
      </c>
      <c r="B1167" s="1" t="n">
        <v>45345.35003472222</v>
      </c>
      <c r="C1167" s="1" t="n">
        <v>46166</v>
      </c>
      <c r="D1167" t="inlineStr">
        <is>
          <t>JÄMTLANDS LÄN</t>
        </is>
      </c>
      <c r="E1167" t="inlineStr">
        <is>
          <t>HÄRJEDALEN</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2728-2025</t>
        </is>
      </c>
      <c r="B1168" s="1" t="n">
        <v>45677.44273148148</v>
      </c>
      <c r="C1168" s="1" t="n">
        <v>46166</v>
      </c>
      <c r="D1168" t="inlineStr">
        <is>
          <t>JÄMTLANDS LÄN</t>
        </is>
      </c>
      <c r="E1168" t="inlineStr">
        <is>
          <t>HÄRJEDALEN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61571-2022</t>
        </is>
      </c>
      <c r="B1169" s="1" t="n">
        <v>44916</v>
      </c>
      <c r="C1169" s="1" t="n">
        <v>46166</v>
      </c>
      <c r="D1169" t="inlineStr">
        <is>
          <t>JÄMTLANDS LÄN</t>
        </is>
      </c>
      <c r="E1169" t="inlineStr">
        <is>
          <t>HÄRJEDALEN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10002-2025</t>
        </is>
      </c>
      <c r="B1170" s="1" t="n">
        <v>45719.45215277778</v>
      </c>
      <c r="C1170" s="1" t="n">
        <v>46166</v>
      </c>
      <c r="D1170" t="inlineStr">
        <is>
          <t>JÄMTLANDS LÄN</t>
        </is>
      </c>
      <c r="E1170" t="inlineStr">
        <is>
          <t>HÄRJEDALEN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55859-2024</t>
        </is>
      </c>
      <c r="B1171" s="1" t="n">
        <v>45622</v>
      </c>
      <c r="C1171" s="1" t="n">
        <v>46166</v>
      </c>
      <c r="D1171" t="inlineStr">
        <is>
          <t>JÄMTLANDS LÄN</t>
        </is>
      </c>
      <c r="E1171" t="inlineStr">
        <is>
          <t>HÄRJEDALEN</t>
        </is>
      </c>
      <c r="F1171" t="inlineStr">
        <is>
          <t>Bergvik skog väst AB</t>
        </is>
      </c>
      <c r="G1171" t="n">
        <v>28.1</v>
      </c>
      <c r="H1171" t="n">
        <v>0</v>
      </c>
      <c r="I1171" t="n">
        <v>0</v>
      </c>
      <c r="J1171" t="n">
        <v>0</v>
      </c>
      <c r="K1171" t="n">
        <v>0</v>
      </c>
      <c r="L1171" t="n">
        <v>0</v>
      </c>
      <c r="M1171" t="n">
        <v>0</v>
      </c>
      <c r="N1171" t="n">
        <v>0</v>
      </c>
      <c r="O1171" t="n">
        <v>0</v>
      </c>
      <c r="P1171" t="n">
        <v>0</v>
      </c>
      <c r="Q1171" t="n">
        <v>0</v>
      </c>
      <c r="R1171" s="2" t="inlineStr"/>
    </row>
    <row r="1172" ht="15" customHeight="1">
      <c r="A1172" t="inlineStr">
        <is>
          <t>A 36645-2024</t>
        </is>
      </c>
      <c r="B1172" s="1" t="n">
        <v>45537.60471064815</v>
      </c>
      <c r="C1172" s="1" t="n">
        <v>46166</v>
      </c>
      <c r="D1172" t="inlineStr">
        <is>
          <t>JÄMTLANDS LÄN</t>
        </is>
      </c>
      <c r="E1172" t="inlineStr">
        <is>
          <t>HÄRJEDALEN</t>
        </is>
      </c>
      <c r="F1172" t="inlineStr">
        <is>
          <t>Holmen skog AB</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62721-2022</t>
        </is>
      </c>
      <c r="B1173" s="1" t="n">
        <v>44925.64049768518</v>
      </c>
      <c r="C1173" s="1" t="n">
        <v>46166</v>
      </c>
      <c r="D1173" t="inlineStr">
        <is>
          <t>JÄMTLANDS LÄN</t>
        </is>
      </c>
      <c r="E1173" t="inlineStr">
        <is>
          <t>HÄRJEDALEN</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59946-2024</t>
        </is>
      </c>
      <c r="B1174" s="1" t="n">
        <v>45642.33616898148</v>
      </c>
      <c r="C1174" s="1" t="n">
        <v>46166</v>
      </c>
      <c r="D1174" t="inlineStr">
        <is>
          <t>JÄMTLANDS LÄN</t>
        </is>
      </c>
      <c r="E1174" t="inlineStr">
        <is>
          <t>HÄRJEDALEN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24426-2022</t>
        </is>
      </c>
      <c r="B1175" s="1" t="n">
        <v>44726</v>
      </c>
      <c r="C1175" s="1" t="n">
        <v>46166</v>
      </c>
      <c r="D1175" t="inlineStr">
        <is>
          <t>JÄMTLANDS LÄN</t>
        </is>
      </c>
      <c r="E1175" t="inlineStr">
        <is>
          <t>HÄRJEDALEN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37281-2024</t>
        </is>
      </c>
      <c r="B1176" s="1" t="n">
        <v>45540.4264699074</v>
      </c>
      <c r="C1176" s="1" t="n">
        <v>46166</v>
      </c>
      <c r="D1176" t="inlineStr">
        <is>
          <t>JÄMTLANDS LÄN</t>
        </is>
      </c>
      <c r="E1176" t="inlineStr">
        <is>
          <t>HÄRJEDALEN</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41604-2024</t>
        </is>
      </c>
      <c r="B1177" s="1" t="n">
        <v>45560</v>
      </c>
      <c r="C1177" s="1" t="n">
        <v>46166</v>
      </c>
      <c r="D1177" t="inlineStr">
        <is>
          <t>JÄMTLANDS LÄN</t>
        </is>
      </c>
      <c r="E1177" t="inlineStr">
        <is>
          <t>HÄRJEDALEN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16552-2025</t>
        </is>
      </c>
      <c r="B1178" s="1" t="n">
        <v>45751.69827546296</v>
      </c>
      <c r="C1178" s="1" t="n">
        <v>46166</v>
      </c>
      <c r="D1178" t="inlineStr">
        <is>
          <t>JÄMTLANDS LÄN</t>
        </is>
      </c>
      <c r="E1178" t="inlineStr">
        <is>
          <t>HÄRJEDALEN</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46447-2024</t>
        </is>
      </c>
      <c r="B1179" s="1" t="n">
        <v>45582.49792824074</v>
      </c>
      <c r="C1179" s="1" t="n">
        <v>46166</v>
      </c>
      <c r="D1179" t="inlineStr">
        <is>
          <t>JÄMTLANDS LÄN</t>
        </is>
      </c>
      <c r="E1179" t="inlineStr">
        <is>
          <t>HÄRJEDALEN</t>
        </is>
      </c>
      <c r="F1179" t="inlineStr">
        <is>
          <t>Bergvik skog väst AB</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20672-2025</t>
        </is>
      </c>
      <c r="B1180" s="1" t="n">
        <v>45776.43898148148</v>
      </c>
      <c r="C1180" s="1" t="n">
        <v>46166</v>
      </c>
      <c r="D1180" t="inlineStr">
        <is>
          <t>JÄMTLANDS LÄN</t>
        </is>
      </c>
      <c r="E1180" t="inlineStr">
        <is>
          <t>HÄRJEDALEN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21169-2025</t>
        </is>
      </c>
      <c r="B1181" s="1" t="n">
        <v>45779.41844907407</v>
      </c>
      <c r="C1181" s="1" t="n">
        <v>46166</v>
      </c>
      <c r="D1181" t="inlineStr">
        <is>
          <t>JÄMTLANDS LÄN</t>
        </is>
      </c>
      <c r="E1181" t="inlineStr">
        <is>
          <t>HÄRJEDALEN</t>
        </is>
      </c>
      <c r="F1181" t="inlineStr">
        <is>
          <t>Holmen skog AB</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21161-2025</t>
        </is>
      </c>
      <c r="B1182" s="1" t="n">
        <v>45779.38211805555</v>
      </c>
      <c r="C1182" s="1" t="n">
        <v>46166</v>
      </c>
      <c r="D1182" t="inlineStr">
        <is>
          <t>JÄMTLANDS LÄN</t>
        </is>
      </c>
      <c r="E1182" t="inlineStr">
        <is>
          <t>HÄRJEDALEN</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21223-2025</t>
        </is>
      </c>
      <c r="B1183" s="1" t="n">
        <v>45779.50886574074</v>
      </c>
      <c r="C1183" s="1" t="n">
        <v>46166</v>
      </c>
      <c r="D1183" t="inlineStr">
        <is>
          <t>JÄMTLANDS LÄN</t>
        </is>
      </c>
      <c r="E1183" t="inlineStr">
        <is>
          <t>HÄRJEDALEN</t>
        </is>
      </c>
      <c r="F1183" t="inlineStr">
        <is>
          <t>Holmen skog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21226-2025</t>
        </is>
      </c>
      <c r="B1184" s="1" t="n">
        <v>45779.51943287037</v>
      </c>
      <c r="C1184" s="1" t="n">
        <v>46166</v>
      </c>
      <c r="D1184" t="inlineStr">
        <is>
          <t>JÄMTLANDS LÄN</t>
        </is>
      </c>
      <c r="E1184" t="inlineStr">
        <is>
          <t>HÄRJEDALEN</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21227-2025</t>
        </is>
      </c>
      <c r="B1185" s="1" t="n">
        <v>45779.52488425926</v>
      </c>
      <c r="C1185" s="1" t="n">
        <v>46166</v>
      </c>
      <c r="D1185" t="inlineStr">
        <is>
          <t>JÄMTLANDS LÄN</t>
        </is>
      </c>
      <c r="E1185" t="inlineStr">
        <is>
          <t>HÄRJEDALEN</t>
        </is>
      </c>
      <c r="F1185" t="inlineStr">
        <is>
          <t>Holmen skog AB</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21221-2025</t>
        </is>
      </c>
      <c r="B1186" s="1" t="n">
        <v>45779.50052083333</v>
      </c>
      <c r="C1186" s="1" t="n">
        <v>46166</v>
      </c>
      <c r="D1186" t="inlineStr">
        <is>
          <t>JÄMTLANDS LÄN</t>
        </is>
      </c>
      <c r="E1186" t="inlineStr">
        <is>
          <t>HÄRJEDALEN</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13783-2025</t>
        </is>
      </c>
      <c r="B1187" s="1" t="n">
        <v>45737</v>
      </c>
      <c r="C1187" s="1" t="n">
        <v>46166</v>
      </c>
      <c r="D1187" t="inlineStr">
        <is>
          <t>JÄMTLANDS LÄN</t>
        </is>
      </c>
      <c r="E1187" t="inlineStr">
        <is>
          <t>HÄRJEDALEN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21225-2025</t>
        </is>
      </c>
      <c r="B1188" s="1" t="n">
        <v>45779.51357638889</v>
      </c>
      <c r="C1188" s="1" t="n">
        <v>46166</v>
      </c>
      <c r="D1188" t="inlineStr">
        <is>
          <t>JÄMTLANDS LÄN</t>
        </is>
      </c>
      <c r="E1188" t="inlineStr">
        <is>
          <t>HÄRJEDALEN</t>
        </is>
      </c>
      <c r="F1188" t="inlineStr">
        <is>
          <t>Holmen skog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29347-2024</t>
        </is>
      </c>
      <c r="B1189" s="1" t="n">
        <v>45483.47572916667</v>
      </c>
      <c r="C1189" s="1" t="n">
        <v>46166</v>
      </c>
      <c r="D1189" t="inlineStr">
        <is>
          <t>JÄMTLANDS LÄN</t>
        </is>
      </c>
      <c r="E1189" t="inlineStr">
        <is>
          <t>HÄRJEDALEN</t>
        </is>
      </c>
      <c r="G1189" t="n">
        <v>35.8</v>
      </c>
      <c r="H1189" t="n">
        <v>0</v>
      </c>
      <c r="I1189" t="n">
        <v>0</v>
      </c>
      <c r="J1189" t="n">
        <v>0</v>
      </c>
      <c r="K1189" t="n">
        <v>0</v>
      </c>
      <c r="L1189" t="n">
        <v>0</v>
      </c>
      <c r="M1189" t="n">
        <v>0</v>
      </c>
      <c r="N1189" t="n">
        <v>0</v>
      </c>
      <c r="O1189" t="n">
        <v>0</v>
      </c>
      <c r="P1189" t="n">
        <v>0</v>
      </c>
      <c r="Q1189" t="n">
        <v>0</v>
      </c>
      <c r="R1189" s="2" t="inlineStr"/>
    </row>
    <row r="1190" ht="15" customHeight="1">
      <c r="A1190" t="inlineStr">
        <is>
          <t>A 21797-2025</t>
        </is>
      </c>
      <c r="B1190" s="1" t="n">
        <v>45783.68547453704</v>
      </c>
      <c r="C1190" s="1" t="n">
        <v>46166</v>
      </c>
      <c r="D1190" t="inlineStr">
        <is>
          <t>JÄMTLANDS LÄN</t>
        </is>
      </c>
      <c r="E1190" t="inlineStr">
        <is>
          <t>HÄRJEDALEN</t>
        </is>
      </c>
      <c r="F1190" t="inlineStr">
        <is>
          <t>Sveaskog</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54684-2024</t>
        </is>
      </c>
      <c r="B1191" s="1" t="n">
        <v>45618.35961805555</v>
      </c>
      <c r="C1191" s="1" t="n">
        <v>46166</v>
      </c>
      <c r="D1191" t="inlineStr">
        <is>
          <t>JÄMTLANDS LÄN</t>
        </is>
      </c>
      <c r="E1191" t="inlineStr">
        <is>
          <t>HÄRJEDALEN</t>
        </is>
      </c>
      <c r="G1191" t="n">
        <v>18.1</v>
      </c>
      <c r="H1191" t="n">
        <v>0</v>
      </c>
      <c r="I1191" t="n">
        <v>0</v>
      </c>
      <c r="J1191" t="n">
        <v>0</v>
      </c>
      <c r="K1191" t="n">
        <v>0</v>
      </c>
      <c r="L1191" t="n">
        <v>0</v>
      </c>
      <c r="M1191" t="n">
        <v>0</v>
      </c>
      <c r="N1191" t="n">
        <v>0</v>
      </c>
      <c r="O1191" t="n">
        <v>0</v>
      </c>
      <c r="P1191" t="n">
        <v>0</v>
      </c>
      <c r="Q1191" t="n">
        <v>0</v>
      </c>
      <c r="R1191" s="2" t="inlineStr"/>
    </row>
    <row r="1192" ht="15" customHeight="1">
      <c r="A1192" t="inlineStr">
        <is>
          <t>A 21355-2025</t>
        </is>
      </c>
      <c r="B1192" s="1" t="n">
        <v>45782.41581018519</v>
      </c>
      <c r="C1192" s="1" t="n">
        <v>46166</v>
      </c>
      <c r="D1192" t="inlineStr">
        <is>
          <t>JÄMTLANDS LÄN</t>
        </is>
      </c>
      <c r="E1192" t="inlineStr">
        <is>
          <t>HÄRJEDALEN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21358-2025</t>
        </is>
      </c>
      <c r="B1193" s="1" t="n">
        <v>45782.42744212963</v>
      </c>
      <c r="C1193" s="1" t="n">
        <v>46166</v>
      </c>
      <c r="D1193" t="inlineStr">
        <is>
          <t>JÄMTLANDS LÄN</t>
        </is>
      </c>
      <c r="E1193" t="inlineStr">
        <is>
          <t>HÄRJEDALEN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24425-2024</t>
        </is>
      </c>
      <c r="B1194" s="1" t="n">
        <v>45457.92854166667</v>
      </c>
      <c r="C1194" s="1" t="n">
        <v>46166</v>
      </c>
      <c r="D1194" t="inlineStr">
        <is>
          <t>JÄMTLANDS LÄN</t>
        </is>
      </c>
      <c r="E1194" t="inlineStr">
        <is>
          <t>HÄRJEDALEN</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13543-2024</t>
        </is>
      </c>
      <c r="B1195" s="1" t="n">
        <v>45387</v>
      </c>
      <c r="C1195" s="1" t="n">
        <v>46166</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22040-2025</t>
        </is>
      </c>
      <c r="B1196" s="1" t="n">
        <v>45785.33164351852</v>
      </c>
      <c r="C1196" s="1" t="n">
        <v>46166</v>
      </c>
      <c r="D1196" t="inlineStr">
        <is>
          <t>JÄMTLANDS LÄN</t>
        </is>
      </c>
      <c r="E1196" t="inlineStr">
        <is>
          <t>HÄRJEDALEN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22045-2025</t>
        </is>
      </c>
      <c r="B1197" s="1" t="n">
        <v>45785.34165509259</v>
      </c>
      <c r="C1197" s="1" t="n">
        <v>46166</v>
      </c>
      <c r="D1197" t="inlineStr">
        <is>
          <t>JÄMTLANDS LÄN</t>
        </is>
      </c>
      <c r="E1197" t="inlineStr">
        <is>
          <t>HÄRJEDALEN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1459-2025</t>
        </is>
      </c>
      <c r="B1198" s="1" t="n">
        <v>45670.34313657408</v>
      </c>
      <c r="C1198" s="1" t="n">
        <v>46166</v>
      </c>
      <c r="D1198" t="inlineStr">
        <is>
          <t>JÄMTLANDS LÄN</t>
        </is>
      </c>
      <c r="E1198" t="inlineStr">
        <is>
          <t>HÄRJEDALEN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58341-2024</t>
        </is>
      </c>
      <c r="B1199" s="1" t="n">
        <v>45632.64078703704</v>
      </c>
      <c r="C1199" s="1" t="n">
        <v>46166</v>
      </c>
      <c r="D1199" t="inlineStr">
        <is>
          <t>JÄMTLANDS LÄN</t>
        </is>
      </c>
      <c r="E1199" t="inlineStr">
        <is>
          <t>HÄRJEDALEN</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60054-2024</t>
        </is>
      </c>
      <c r="B1200" s="1" t="n">
        <v>45642</v>
      </c>
      <c r="C1200" s="1" t="n">
        <v>46166</v>
      </c>
      <c r="D1200" t="inlineStr">
        <is>
          <t>JÄMTLANDS LÄN</t>
        </is>
      </c>
      <c r="E1200" t="inlineStr">
        <is>
          <t>HÄRJEDALEN</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23467-2024</t>
        </is>
      </c>
      <c r="B1201" s="1" t="n">
        <v>45453.6619212963</v>
      </c>
      <c r="C1201" s="1" t="n">
        <v>46166</v>
      </c>
      <c r="D1201" t="inlineStr">
        <is>
          <t>JÄMTLANDS LÄN</t>
        </is>
      </c>
      <c r="E1201" t="inlineStr">
        <is>
          <t>HÄRJEDALEN</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43760-2024</t>
        </is>
      </c>
      <c r="B1202" s="1" t="n">
        <v>45569.6909837963</v>
      </c>
      <c r="C1202" s="1" t="n">
        <v>46166</v>
      </c>
      <c r="D1202" t="inlineStr">
        <is>
          <t>JÄMTLANDS LÄN</t>
        </is>
      </c>
      <c r="E1202" t="inlineStr">
        <is>
          <t>HÄRJEDALEN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22505-2025</t>
        </is>
      </c>
      <c r="B1203" s="1" t="n">
        <v>45786.66425925926</v>
      </c>
      <c r="C1203" s="1" t="n">
        <v>46166</v>
      </c>
      <c r="D1203" t="inlineStr">
        <is>
          <t>JÄMTLANDS LÄN</t>
        </is>
      </c>
      <c r="E1203" t="inlineStr">
        <is>
          <t>HÄRJEDALEN</t>
        </is>
      </c>
      <c r="F1203" t="inlineStr">
        <is>
          <t>Sveaskog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22509-2025</t>
        </is>
      </c>
      <c r="B1204" s="1" t="n">
        <v>45786.66853009259</v>
      </c>
      <c r="C1204" s="1" t="n">
        <v>46166</v>
      </c>
      <c r="D1204" t="inlineStr">
        <is>
          <t>JÄMTLANDS LÄN</t>
        </is>
      </c>
      <c r="E1204" t="inlineStr">
        <is>
          <t>HÄRJEDALEN</t>
        </is>
      </c>
      <c r="F1204" t="inlineStr">
        <is>
          <t>Sveaskog</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22504-2025</t>
        </is>
      </c>
      <c r="B1205" s="1" t="n">
        <v>45786.66209490741</v>
      </c>
      <c r="C1205" s="1" t="n">
        <v>46166</v>
      </c>
      <c r="D1205" t="inlineStr">
        <is>
          <t>JÄMTLANDS LÄN</t>
        </is>
      </c>
      <c r="E1205" t="inlineStr">
        <is>
          <t>HÄRJEDALEN</t>
        </is>
      </c>
      <c r="F1205" t="inlineStr">
        <is>
          <t>Sveaskog</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22502-2025</t>
        </is>
      </c>
      <c r="B1206" s="1" t="n">
        <v>45786.66032407407</v>
      </c>
      <c r="C1206" s="1" t="n">
        <v>46166</v>
      </c>
      <c r="D1206" t="inlineStr">
        <is>
          <t>JÄMTLANDS LÄN</t>
        </is>
      </c>
      <c r="E1206" t="inlineStr">
        <is>
          <t>HÄRJEDALEN</t>
        </is>
      </c>
      <c r="F1206" t="inlineStr">
        <is>
          <t>Sveaskog</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41387-2021</t>
        </is>
      </c>
      <c r="B1207" s="1" t="n">
        <v>44424</v>
      </c>
      <c r="C1207" s="1" t="n">
        <v>46166</v>
      </c>
      <c r="D1207" t="inlineStr">
        <is>
          <t>JÄMTLANDS LÄN</t>
        </is>
      </c>
      <c r="E1207" t="inlineStr">
        <is>
          <t>HÄRJEDALEN</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22915-2025</t>
        </is>
      </c>
      <c r="B1208" s="1" t="n">
        <v>45790.43</v>
      </c>
      <c r="C1208" s="1" t="n">
        <v>46166</v>
      </c>
      <c r="D1208" t="inlineStr">
        <is>
          <t>JÄMTLANDS LÄN</t>
        </is>
      </c>
      <c r="E1208" t="inlineStr">
        <is>
          <t>HÄRJEDALEN</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32964-2024</t>
        </is>
      </c>
      <c r="B1209" s="1" t="n">
        <v>45517.39274305556</v>
      </c>
      <c r="C1209" s="1" t="n">
        <v>46166</v>
      </c>
      <c r="D1209" t="inlineStr">
        <is>
          <t>JÄMTLANDS LÄN</t>
        </is>
      </c>
      <c r="E1209" t="inlineStr">
        <is>
          <t>HÄRJEDALEN</t>
        </is>
      </c>
      <c r="F1209" t="inlineStr">
        <is>
          <t>Kommuner</t>
        </is>
      </c>
      <c r="G1209" t="n">
        <v>30.3</v>
      </c>
      <c r="H1209" t="n">
        <v>0</v>
      </c>
      <c r="I1209" t="n">
        <v>0</v>
      </c>
      <c r="J1209" t="n">
        <v>0</v>
      </c>
      <c r="K1209" t="n">
        <v>0</v>
      </c>
      <c r="L1209" t="n">
        <v>0</v>
      </c>
      <c r="M1209" t="n">
        <v>0</v>
      </c>
      <c r="N1209" t="n">
        <v>0</v>
      </c>
      <c r="O1209" t="n">
        <v>0</v>
      </c>
      <c r="P1209" t="n">
        <v>0</v>
      </c>
      <c r="Q1209" t="n">
        <v>0</v>
      </c>
      <c r="R1209" s="2" t="inlineStr"/>
    </row>
    <row r="1210" ht="15" customHeight="1">
      <c r="A1210" t="inlineStr">
        <is>
          <t>A 23068-2025</t>
        </is>
      </c>
      <c r="B1210" s="1" t="n">
        <v>45790.87653935186</v>
      </c>
      <c r="C1210" s="1" t="n">
        <v>46166</v>
      </c>
      <c r="D1210" t="inlineStr">
        <is>
          <t>JÄMTLANDS LÄN</t>
        </is>
      </c>
      <c r="E1210" t="inlineStr">
        <is>
          <t>HÄRJEDALEN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23596-2025</t>
        </is>
      </c>
      <c r="B1211" s="1" t="n">
        <v>45792.64795138889</v>
      </c>
      <c r="C1211" s="1" t="n">
        <v>46166</v>
      </c>
      <c r="D1211" t="inlineStr">
        <is>
          <t>JÄMTLANDS LÄN</t>
        </is>
      </c>
      <c r="E1211" t="inlineStr">
        <is>
          <t>HÄRJEDALEN</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23518-2025</t>
        </is>
      </c>
      <c r="B1212" s="1" t="n">
        <v>45792.50942129629</v>
      </c>
      <c r="C1212" s="1" t="n">
        <v>46166</v>
      </c>
      <c r="D1212" t="inlineStr">
        <is>
          <t>JÄMTLANDS LÄN</t>
        </is>
      </c>
      <c r="E1212" t="inlineStr">
        <is>
          <t>HÄRJEDALEN</t>
        </is>
      </c>
      <c r="F1212" t="inlineStr">
        <is>
          <t>Sveaskog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23731-2025</t>
        </is>
      </c>
      <c r="B1213" s="1" t="n">
        <v>45793.41994212963</v>
      </c>
      <c r="C1213" s="1" t="n">
        <v>46166</v>
      </c>
      <c r="D1213" t="inlineStr">
        <is>
          <t>JÄMTLANDS LÄN</t>
        </is>
      </c>
      <c r="E1213" t="inlineStr">
        <is>
          <t>HÄRJEDALEN</t>
        </is>
      </c>
      <c r="F1213" t="inlineStr">
        <is>
          <t>Sveaskog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23600-2025</t>
        </is>
      </c>
      <c r="B1214" s="1" t="n">
        <v>45792.65047453704</v>
      </c>
      <c r="C1214" s="1" t="n">
        <v>46166</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54678-2024</t>
        </is>
      </c>
      <c r="B1215" s="1" t="n">
        <v>45618.35097222222</v>
      </c>
      <c r="C1215" s="1" t="n">
        <v>46166</v>
      </c>
      <c r="D1215" t="inlineStr">
        <is>
          <t>JÄMTLANDS LÄN</t>
        </is>
      </c>
      <c r="E1215" t="inlineStr">
        <is>
          <t>HÄRJEDALEN</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23986-2025</t>
        </is>
      </c>
      <c r="B1216" s="1" t="n">
        <v>45796.39770833333</v>
      </c>
      <c r="C1216" s="1" t="n">
        <v>46166</v>
      </c>
      <c r="D1216" t="inlineStr">
        <is>
          <t>JÄMTLANDS LÄN</t>
        </is>
      </c>
      <c r="E1216" t="inlineStr">
        <is>
          <t>HÄRJEDALEN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23351-2025</t>
        </is>
      </c>
      <c r="B1217" s="1" t="n">
        <v>45791</v>
      </c>
      <c r="C1217" s="1" t="n">
        <v>46166</v>
      </c>
      <c r="D1217" t="inlineStr">
        <is>
          <t>JÄMTLANDS LÄN</t>
        </is>
      </c>
      <c r="E1217" t="inlineStr">
        <is>
          <t>HÄRJEDALEN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24226-2025</t>
        </is>
      </c>
      <c r="B1218" s="1" t="n">
        <v>45797.37096064815</v>
      </c>
      <c r="C1218" s="1" t="n">
        <v>46166</v>
      </c>
      <c r="D1218" t="inlineStr">
        <is>
          <t>JÄMTLANDS LÄN</t>
        </is>
      </c>
      <c r="E1218" t="inlineStr">
        <is>
          <t>HÄRJEDALEN</t>
        </is>
      </c>
      <c r="G1218" t="n">
        <v>28.7</v>
      </c>
      <c r="H1218" t="n">
        <v>0</v>
      </c>
      <c r="I1218" t="n">
        <v>0</v>
      </c>
      <c r="J1218" t="n">
        <v>0</v>
      </c>
      <c r="K1218" t="n">
        <v>0</v>
      </c>
      <c r="L1218" t="n">
        <v>0</v>
      </c>
      <c r="M1218" t="n">
        <v>0</v>
      </c>
      <c r="N1218" t="n">
        <v>0</v>
      </c>
      <c r="O1218" t="n">
        <v>0</v>
      </c>
      <c r="P1218" t="n">
        <v>0</v>
      </c>
      <c r="Q1218" t="n">
        <v>0</v>
      </c>
      <c r="R1218" s="2" t="inlineStr"/>
    </row>
    <row r="1219" ht="15" customHeight="1">
      <c r="A1219" t="inlineStr">
        <is>
          <t>A 23474-2024</t>
        </is>
      </c>
      <c r="B1219" s="1" t="n">
        <v>45453.6672800926</v>
      </c>
      <c r="C1219" s="1" t="n">
        <v>46166</v>
      </c>
      <c r="D1219" t="inlineStr">
        <is>
          <t>JÄMTLANDS LÄN</t>
        </is>
      </c>
      <c r="E1219" t="inlineStr">
        <is>
          <t>HÄRJEDALEN</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25024-2025</t>
        </is>
      </c>
      <c r="B1220" s="1" t="n">
        <v>45799.64804398148</v>
      </c>
      <c r="C1220" s="1" t="n">
        <v>46166</v>
      </c>
      <c r="D1220" t="inlineStr">
        <is>
          <t>JÄMTLANDS LÄN</t>
        </is>
      </c>
      <c r="E1220" t="inlineStr">
        <is>
          <t>HÄRJEDALEN</t>
        </is>
      </c>
      <c r="F1220" t="inlineStr">
        <is>
          <t>Bergvik skog väst AB</t>
        </is>
      </c>
      <c r="G1220" t="n">
        <v>31.2</v>
      </c>
      <c r="H1220" t="n">
        <v>0</v>
      </c>
      <c r="I1220" t="n">
        <v>0</v>
      </c>
      <c r="J1220" t="n">
        <v>0</v>
      </c>
      <c r="K1220" t="n">
        <v>0</v>
      </c>
      <c r="L1220" t="n">
        <v>0</v>
      </c>
      <c r="M1220" t="n">
        <v>0</v>
      </c>
      <c r="N1220" t="n">
        <v>0</v>
      </c>
      <c r="O1220" t="n">
        <v>0</v>
      </c>
      <c r="P1220" t="n">
        <v>0</v>
      </c>
      <c r="Q1220" t="n">
        <v>0</v>
      </c>
      <c r="R1220" s="2" t="inlineStr"/>
    </row>
    <row r="1221" ht="15" customHeight="1">
      <c r="A1221" t="inlineStr">
        <is>
          <t>A 2510-2025</t>
        </is>
      </c>
      <c r="B1221" s="1" t="n">
        <v>45674.57393518519</v>
      </c>
      <c r="C1221" s="1" t="n">
        <v>46166</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24842-2025</t>
        </is>
      </c>
      <c r="B1222" s="1" t="n">
        <v>45799.4658912037</v>
      </c>
      <c r="C1222" s="1" t="n">
        <v>46166</v>
      </c>
      <c r="D1222" t="inlineStr">
        <is>
          <t>JÄMTLANDS LÄN</t>
        </is>
      </c>
      <c r="E1222" t="inlineStr">
        <is>
          <t>HÄRJEDALEN</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24844-2025</t>
        </is>
      </c>
      <c r="B1223" s="1" t="n">
        <v>45799.46642361111</v>
      </c>
      <c r="C1223" s="1" t="n">
        <v>46166</v>
      </c>
      <c r="D1223" t="inlineStr">
        <is>
          <t>JÄMTLANDS LÄN</t>
        </is>
      </c>
      <c r="E1223" t="inlineStr">
        <is>
          <t>HÄRJEDALEN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24796-2025</t>
        </is>
      </c>
      <c r="B1224" s="1" t="n">
        <v>45799.43550925926</v>
      </c>
      <c r="C1224" s="1" t="n">
        <v>46166</v>
      </c>
      <c r="D1224" t="inlineStr">
        <is>
          <t>JÄMTLANDS LÄN</t>
        </is>
      </c>
      <c r="E1224" t="inlineStr">
        <is>
          <t>HÄRJEDALEN</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24853-2025</t>
        </is>
      </c>
      <c r="B1225" s="1" t="n">
        <v>45799.47225694444</v>
      </c>
      <c r="C1225" s="1" t="n">
        <v>46166</v>
      </c>
      <c r="D1225" t="inlineStr">
        <is>
          <t>JÄMTLANDS LÄN</t>
        </is>
      </c>
      <c r="E1225" t="inlineStr">
        <is>
          <t>HÄRJEDALEN</t>
        </is>
      </c>
      <c r="F1225" t="inlineStr">
        <is>
          <t>Holmen skog AB</t>
        </is>
      </c>
      <c r="G1225" t="n">
        <v>57.7</v>
      </c>
      <c r="H1225" t="n">
        <v>0</v>
      </c>
      <c r="I1225" t="n">
        <v>0</v>
      </c>
      <c r="J1225" t="n">
        <v>0</v>
      </c>
      <c r="K1225" t="n">
        <v>0</v>
      </c>
      <c r="L1225" t="n">
        <v>0</v>
      </c>
      <c r="M1225" t="n">
        <v>0</v>
      </c>
      <c r="N1225" t="n">
        <v>0</v>
      </c>
      <c r="O1225" t="n">
        <v>0</v>
      </c>
      <c r="P1225" t="n">
        <v>0</v>
      </c>
      <c r="Q1225" t="n">
        <v>0</v>
      </c>
      <c r="R1225" s="2" t="inlineStr"/>
    </row>
    <row r="1226" ht="15" customHeight="1">
      <c r="A1226" t="inlineStr">
        <is>
          <t>A 24828-2025</t>
        </is>
      </c>
      <c r="B1226" s="1" t="n">
        <v>45799.45770833334</v>
      </c>
      <c r="C1226" s="1" t="n">
        <v>46166</v>
      </c>
      <c r="D1226" t="inlineStr">
        <is>
          <t>JÄMTLANDS LÄN</t>
        </is>
      </c>
      <c r="E1226" t="inlineStr">
        <is>
          <t>HÄRJEDALEN</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24963-2025</t>
        </is>
      </c>
      <c r="B1227" s="1" t="n">
        <v>45799.57883101852</v>
      </c>
      <c r="C1227" s="1" t="n">
        <v>46166</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24791-2025</t>
        </is>
      </c>
      <c r="B1228" s="1" t="n">
        <v>45799.43086805556</v>
      </c>
      <c r="C1228" s="1" t="n">
        <v>46166</v>
      </c>
      <c r="D1228" t="inlineStr">
        <is>
          <t>JÄMTLANDS LÄN</t>
        </is>
      </c>
      <c r="E1228" t="inlineStr">
        <is>
          <t>HÄRJEDALEN</t>
        </is>
      </c>
      <c r="F1228" t="inlineStr">
        <is>
          <t>Holmen skog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25383-2025</t>
        </is>
      </c>
      <c r="B1229" s="1" t="n">
        <v>45800.64065972222</v>
      </c>
      <c r="C1229" s="1" t="n">
        <v>46166</v>
      </c>
      <c r="D1229" t="inlineStr">
        <is>
          <t>JÄMTLANDS LÄN</t>
        </is>
      </c>
      <c r="E1229" t="inlineStr">
        <is>
          <t>HÄRJEDALEN</t>
        </is>
      </c>
      <c r="F1229" t="inlineStr">
        <is>
          <t>Holmen skog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25516-2025</t>
        </is>
      </c>
      <c r="B1230" s="1" t="n">
        <v>45803.37480324074</v>
      </c>
      <c r="C1230" s="1" t="n">
        <v>46166</v>
      </c>
      <c r="D1230" t="inlineStr">
        <is>
          <t>JÄMTLANDS LÄN</t>
        </is>
      </c>
      <c r="E1230" t="inlineStr">
        <is>
          <t>HÄRJEDALEN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45237.5815162037</v>
      </c>
      <c r="C1231" s="1" t="n">
        <v>46166</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25380-2025</t>
        </is>
      </c>
      <c r="B1232" s="1" t="n">
        <v>45800.63738425926</v>
      </c>
      <c r="C1232" s="1" t="n">
        <v>46166</v>
      </c>
      <c r="D1232" t="inlineStr">
        <is>
          <t>JÄMTLANDS LÄN</t>
        </is>
      </c>
      <c r="E1232" t="inlineStr">
        <is>
          <t>HÄRJEDALEN</t>
        </is>
      </c>
      <c r="F1232" t="inlineStr">
        <is>
          <t>Sveaskog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25123-2025</t>
        </is>
      </c>
      <c r="B1233" s="1" t="n">
        <v>45800.37524305555</v>
      </c>
      <c r="C1233" s="1" t="n">
        <v>46166</v>
      </c>
      <c r="D1233" t="inlineStr">
        <is>
          <t>JÄMTLANDS LÄN</t>
        </is>
      </c>
      <c r="E1233" t="inlineStr">
        <is>
          <t>HÄRJEDALEN</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46166</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46166</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46166</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25399-2025</t>
        </is>
      </c>
      <c r="B1237" s="1" t="n">
        <v>45800.65341435185</v>
      </c>
      <c r="C1237" s="1" t="n">
        <v>46166</v>
      </c>
      <c r="D1237" t="inlineStr">
        <is>
          <t>JÄMTLANDS LÄN</t>
        </is>
      </c>
      <c r="E1237" t="inlineStr">
        <is>
          <t>HÄRJEDALEN</t>
        </is>
      </c>
      <c r="F1237" t="inlineStr">
        <is>
          <t>Holmen skog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25158-2025</t>
        </is>
      </c>
      <c r="B1238" s="1" t="n">
        <v>45800.42797453704</v>
      </c>
      <c r="C1238" s="1" t="n">
        <v>46166</v>
      </c>
      <c r="D1238" t="inlineStr">
        <is>
          <t>JÄMTLANDS LÄN</t>
        </is>
      </c>
      <c r="E1238" t="inlineStr">
        <is>
          <t>HÄRJEDALEN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25171-2025</t>
        </is>
      </c>
      <c r="B1239" s="1" t="n">
        <v>45800.44090277778</v>
      </c>
      <c r="C1239" s="1" t="n">
        <v>46166</v>
      </c>
      <c r="D1239" t="inlineStr">
        <is>
          <t>JÄMTLANDS LÄN</t>
        </is>
      </c>
      <c r="E1239" t="inlineStr">
        <is>
          <t>HÄRJEDALEN</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25409-2025</t>
        </is>
      </c>
      <c r="B1240" s="1" t="n">
        <v>45800.66043981481</v>
      </c>
      <c r="C1240" s="1" t="n">
        <v>46166</v>
      </c>
      <c r="D1240" t="inlineStr">
        <is>
          <t>JÄMTLANDS LÄN</t>
        </is>
      </c>
      <c r="E1240" t="inlineStr">
        <is>
          <t>HÄRJEDALEN</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25094-2025</t>
        </is>
      </c>
      <c r="B1241" s="1" t="n">
        <v>45800.33436342593</v>
      </c>
      <c r="C1241" s="1" t="n">
        <v>46166</v>
      </c>
      <c r="D1241" t="inlineStr">
        <is>
          <t>JÄMTLANDS LÄN</t>
        </is>
      </c>
      <c r="E1241" t="inlineStr">
        <is>
          <t>HÄRJEDALEN</t>
        </is>
      </c>
      <c r="F1241" t="inlineStr">
        <is>
          <t>Holmen skog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25098-2025</t>
        </is>
      </c>
      <c r="B1242" s="1" t="n">
        <v>45800.3425</v>
      </c>
      <c r="C1242" s="1" t="n">
        <v>46166</v>
      </c>
      <c r="D1242" t="inlineStr">
        <is>
          <t>JÄMTLANDS LÄN</t>
        </is>
      </c>
      <c r="E1242" t="inlineStr">
        <is>
          <t>HÄRJEDALEN</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25178-2025</t>
        </is>
      </c>
      <c r="B1243" s="1" t="n">
        <v>45800.44868055556</v>
      </c>
      <c r="C1243" s="1" t="n">
        <v>46166</v>
      </c>
      <c r="D1243" t="inlineStr">
        <is>
          <t>JÄMTLANDS LÄN</t>
        </is>
      </c>
      <c r="E1243" t="inlineStr">
        <is>
          <t>HÄRJEDALEN</t>
        </is>
      </c>
      <c r="F1243" t="inlineStr">
        <is>
          <t>Holmen skog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25204-2025</t>
        </is>
      </c>
      <c r="B1244" s="1" t="n">
        <v>45800.4687962963</v>
      </c>
      <c r="C1244" s="1" t="n">
        <v>46166</v>
      </c>
      <c r="D1244" t="inlineStr">
        <is>
          <t>JÄMTLANDS LÄN</t>
        </is>
      </c>
      <c r="E1244" t="inlineStr">
        <is>
          <t>HÄRJEDALEN</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46166</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25198-2025</t>
        </is>
      </c>
      <c r="B1246" s="1" t="n">
        <v>45800.46069444445</v>
      </c>
      <c r="C1246" s="1" t="n">
        <v>46166</v>
      </c>
      <c r="D1246" t="inlineStr">
        <is>
          <t>JÄMTLANDS LÄN</t>
        </is>
      </c>
      <c r="E1246" t="inlineStr">
        <is>
          <t>HÄRJEDALEN</t>
        </is>
      </c>
      <c r="F1246" t="inlineStr">
        <is>
          <t>Holmen skog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25298-2025</t>
        </is>
      </c>
      <c r="B1247" s="1" t="n">
        <v>45800.56995370371</v>
      </c>
      <c r="C1247" s="1" t="n">
        <v>46166</v>
      </c>
      <c r="D1247" t="inlineStr">
        <is>
          <t>JÄMTLANDS LÄN</t>
        </is>
      </c>
      <c r="E1247" t="inlineStr">
        <is>
          <t>HÄRJEDALEN</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25112-2025</t>
        </is>
      </c>
      <c r="B1248" s="1" t="n">
        <v>45800.35670138889</v>
      </c>
      <c r="C1248" s="1" t="n">
        <v>46166</v>
      </c>
      <c r="D1248" t="inlineStr">
        <is>
          <t>JÄMTLANDS LÄN</t>
        </is>
      </c>
      <c r="E1248" t="inlineStr">
        <is>
          <t>HÄRJEDALEN</t>
        </is>
      </c>
      <c r="F1248" t="inlineStr">
        <is>
          <t>Holmen skog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25515-2025</t>
        </is>
      </c>
      <c r="B1249" s="1" t="n">
        <v>45803.37258101852</v>
      </c>
      <c r="C1249" s="1" t="n">
        <v>46166</v>
      </c>
      <c r="D1249" t="inlineStr">
        <is>
          <t>JÄMTLANDS LÄN</t>
        </is>
      </c>
      <c r="E1249" t="inlineStr">
        <is>
          <t>HÄRJEDALEN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25223-2025</t>
        </is>
      </c>
      <c r="B1250" s="1" t="n">
        <v>45800.48060185185</v>
      </c>
      <c r="C1250" s="1" t="n">
        <v>46166</v>
      </c>
      <c r="D1250" t="inlineStr">
        <is>
          <t>JÄMTLANDS LÄN</t>
        </is>
      </c>
      <c r="E1250" t="inlineStr">
        <is>
          <t>HÄRJEDALEN</t>
        </is>
      </c>
      <c r="F1250" t="inlineStr">
        <is>
          <t>Holmen skog AB</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25109-2025</t>
        </is>
      </c>
      <c r="B1251" s="1" t="n">
        <v>45800.3503587963</v>
      </c>
      <c r="C1251" s="1" t="n">
        <v>46166</v>
      </c>
      <c r="D1251" t="inlineStr">
        <is>
          <t>JÄMTLANDS LÄN</t>
        </is>
      </c>
      <c r="E1251" t="inlineStr">
        <is>
          <t>HÄRJEDALEN</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25253-2025</t>
        </is>
      </c>
      <c r="B1252" s="1" t="n">
        <v>45800.50431712963</v>
      </c>
      <c r="C1252" s="1" t="n">
        <v>46166</v>
      </c>
      <c r="D1252" t="inlineStr">
        <is>
          <t>JÄMTLANDS LÄN</t>
        </is>
      </c>
      <c r="E1252" t="inlineStr">
        <is>
          <t>HÄRJEDALEN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25343-2025</t>
        </is>
      </c>
      <c r="B1253" s="1" t="n">
        <v>45800.60508101852</v>
      </c>
      <c r="C1253" s="1" t="n">
        <v>46166</v>
      </c>
      <c r="D1253" t="inlineStr">
        <is>
          <t>JÄMTLANDS LÄN</t>
        </is>
      </c>
      <c r="E1253" t="inlineStr">
        <is>
          <t>HÄRJEDALEN</t>
        </is>
      </c>
      <c r="F1253" t="inlineStr">
        <is>
          <t>Holmen skog AB</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25288-2025</t>
        </is>
      </c>
      <c r="B1254" s="1" t="n">
        <v>45800.56313657408</v>
      </c>
      <c r="C1254" s="1" t="n">
        <v>46166</v>
      </c>
      <c r="D1254" t="inlineStr">
        <is>
          <t>JÄMTLANDS LÄN</t>
        </is>
      </c>
      <c r="E1254" t="inlineStr">
        <is>
          <t>HÄRJEDALEN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25315-2025</t>
        </is>
      </c>
      <c r="B1255" s="1" t="n">
        <v>45800.57837962963</v>
      </c>
      <c r="C1255" s="1" t="n">
        <v>46166</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25127-2025</t>
        </is>
      </c>
      <c r="B1256" s="1" t="n">
        <v>45800.3787037037</v>
      </c>
      <c r="C1256" s="1" t="n">
        <v>46166</v>
      </c>
      <c r="D1256" t="inlineStr">
        <is>
          <t>JÄMTLANDS LÄN</t>
        </is>
      </c>
      <c r="E1256" t="inlineStr">
        <is>
          <t>HÄRJEDALEN</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25147-2025</t>
        </is>
      </c>
      <c r="B1257" s="1" t="n">
        <v>45800.41883101852</v>
      </c>
      <c r="C1257" s="1" t="n">
        <v>46166</v>
      </c>
      <c r="D1257" t="inlineStr">
        <is>
          <t>JÄMTLANDS LÄN</t>
        </is>
      </c>
      <c r="E1257" t="inlineStr">
        <is>
          <t>HÄRJEDALEN</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25232-2025</t>
        </is>
      </c>
      <c r="B1258" s="1" t="n">
        <v>45800.48515046296</v>
      </c>
      <c r="C1258" s="1" t="n">
        <v>46166</v>
      </c>
      <c r="D1258" t="inlineStr">
        <is>
          <t>JÄMTLANDS LÄN</t>
        </is>
      </c>
      <c r="E1258" t="inlineStr">
        <is>
          <t>HÄRJEDALEN</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25933-2025</t>
        </is>
      </c>
      <c r="B1259" s="1" t="n">
        <v>45804.589375</v>
      </c>
      <c r="C1259" s="1" t="n">
        <v>46166</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25931-2025</t>
        </is>
      </c>
      <c r="B1260" s="1" t="n">
        <v>45804.5813425926</v>
      </c>
      <c r="C1260" s="1" t="n">
        <v>46166</v>
      </c>
      <c r="D1260" t="inlineStr">
        <is>
          <t>JÄMTLANDS LÄN</t>
        </is>
      </c>
      <c r="E1260" t="inlineStr">
        <is>
          <t>HÄRJEDALEN</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26209-2025</t>
        </is>
      </c>
      <c r="B1261" s="1" t="n">
        <v>45805.53280092592</v>
      </c>
      <c r="C1261" s="1" t="n">
        <v>46166</v>
      </c>
      <c r="D1261" t="inlineStr">
        <is>
          <t>JÄMTLANDS LÄN</t>
        </is>
      </c>
      <c r="E1261" t="inlineStr">
        <is>
          <t>HÄRJEDALEN</t>
        </is>
      </c>
      <c r="F1261" t="inlineStr">
        <is>
          <t>Bergvik skog väst AB</t>
        </is>
      </c>
      <c r="G1261" t="n">
        <v>27.3</v>
      </c>
      <c r="H1261" t="n">
        <v>0</v>
      </c>
      <c r="I1261" t="n">
        <v>0</v>
      </c>
      <c r="J1261" t="n">
        <v>0</v>
      </c>
      <c r="K1261" t="n">
        <v>0</v>
      </c>
      <c r="L1261" t="n">
        <v>0</v>
      </c>
      <c r="M1261" t="n">
        <v>0</v>
      </c>
      <c r="N1261" t="n">
        <v>0</v>
      </c>
      <c r="O1261" t="n">
        <v>0</v>
      </c>
      <c r="P1261" t="n">
        <v>0</v>
      </c>
      <c r="Q1261" t="n">
        <v>0</v>
      </c>
      <c r="R1261" s="2" t="inlineStr"/>
    </row>
    <row r="1262" ht="15" customHeight="1">
      <c r="A1262" t="inlineStr">
        <is>
          <t>A 26540-2025</t>
        </is>
      </c>
      <c r="B1262" s="1" t="n">
        <v>45807.58393518518</v>
      </c>
      <c r="C1262" s="1" t="n">
        <v>46166</v>
      </c>
      <c r="D1262" t="inlineStr">
        <is>
          <t>JÄMTLANDS LÄN</t>
        </is>
      </c>
      <c r="E1262" t="inlineStr">
        <is>
          <t>HÄRJEDALEN</t>
        </is>
      </c>
      <c r="F1262" t="inlineStr">
        <is>
          <t>Holmen skog AB</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26486-2025</t>
        </is>
      </c>
      <c r="B1263" s="1" t="n">
        <v>45807.47479166667</v>
      </c>
      <c r="C1263" s="1" t="n">
        <v>46166</v>
      </c>
      <c r="D1263" t="inlineStr">
        <is>
          <t>JÄMTLANDS LÄN</t>
        </is>
      </c>
      <c r="E1263" t="inlineStr">
        <is>
          <t>HÄRJEDALEN</t>
        </is>
      </c>
      <c r="F1263" t="inlineStr">
        <is>
          <t>Holmen skog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26404-2025</t>
        </is>
      </c>
      <c r="B1264" s="1" t="n">
        <v>45807.3409837963</v>
      </c>
      <c r="C1264" s="1" t="n">
        <v>46166</v>
      </c>
      <c r="D1264" t="inlineStr">
        <is>
          <t>JÄMTLANDS LÄN</t>
        </is>
      </c>
      <c r="E1264" t="inlineStr">
        <is>
          <t>HÄRJEDALEN</t>
        </is>
      </c>
      <c r="F1264" t="inlineStr">
        <is>
          <t>Holmen skog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26411-2025</t>
        </is>
      </c>
      <c r="B1265" s="1" t="n">
        <v>45807.35476851852</v>
      </c>
      <c r="C1265" s="1" t="n">
        <v>46166</v>
      </c>
      <c r="D1265" t="inlineStr">
        <is>
          <t>JÄMTLANDS LÄN</t>
        </is>
      </c>
      <c r="E1265" t="inlineStr">
        <is>
          <t>HÄRJEDALEN</t>
        </is>
      </c>
      <c r="F1265" t="inlineStr">
        <is>
          <t>Holmen skog AB</t>
        </is>
      </c>
      <c r="G1265" t="n">
        <v>12.4</v>
      </c>
      <c r="H1265" t="n">
        <v>0</v>
      </c>
      <c r="I1265" t="n">
        <v>0</v>
      </c>
      <c r="J1265" t="n">
        <v>0</v>
      </c>
      <c r="K1265" t="n">
        <v>0</v>
      </c>
      <c r="L1265" t="n">
        <v>0</v>
      </c>
      <c r="M1265" t="n">
        <v>0</v>
      </c>
      <c r="N1265" t="n">
        <v>0</v>
      </c>
      <c r="O1265" t="n">
        <v>0</v>
      </c>
      <c r="P1265" t="n">
        <v>0</v>
      </c>
      <c r="Q1265" t="n">
        <v>0</v>
      </c>
      <c r="R1265" s="2" t="inlineStr"/>
    </row>
    <row r="1266" ht="15" customHeight="1">
      <c r="A1266" t="inlineStr">
        <is>
          <t>A 26443-2025</t>
        </is>
      </c>
      <c r="B1266" s="1" t="n">
        <v>45807.41287037037</v>
      </c>
      <c r="C1266" s="1" t="n">
        <v>46166</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26451-2025</t>
        </is>
      </c>
      <c r="B1267" s="1" t="n">
        <v>45807.42212962963</v>
      </c>
      <c r="C1267" s="1" t="n">
        <v>46166</v>
      </c>
      <c r="D1267" t="inlineStr">
        <is>
          <t>JÄMTLANDS LÄN</t>
        </is>
      </c>
      <c r="E1267" t="inlineStr">
        <is>
          <t>HÄRJEDALEN</t>
        </is>
      </c>
      <c r="F1267" t="inlineStr">
        <is>
          <t>Holmen skog AB</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26495-2025</t>
        </is>
      </c>
      <c r="B1268" s="1" t="n">
        <v>45807.49436342593</v>
      </c>
      <c r="C1268" s="1" t="n">
        <v>46166</v>
      </c>
      <c r="D1268" t="inlineStr">
        <is>
          <t>JÄMTLANDS LÄN</t>
        </is>
      </c>
      <c r="E1268" t="inlineStr">
        <is>
          <t>HÄRJEDALEN</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26523-2025</t>
        </is>
      </c>
      <c r="B1269" s="1" t="n">
        <v>45807.56403935186</v>
      </c>
      <c r="C1269" s="1" t="n">
        <v>46166</v>
      </c>
      <c r="D1269" t="inlineStr">
        <is>
          <t>JÄMTLANDS LÄN</t>
        </is>
      </c>
      <c r="E1269" t="inlineStr">
        <is>
          <t>HÄRJEDALEN</t>
        </is>
      </c>
      <c r="F1269" t="inlineStr">
        <is>
          <t>Holmen skog AB</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26561-2025</t>
        </is>
      </c>
      <c r="B1270" s="1" t="n">
        <v>45807.65438657408</v>
      </c>
      <c r="C1270" s="1" t="n">
        <v>46166</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26551-2025</t>
        </is>
      </c>
      <c r="B1271" s="1" t="n">
        <v>45807.60333333333</v>
      </c>
      <c r="C1271" s="1" t="n">
        <v>46166</v>
      </c>
      <c r="D1271" t="inlineStr">
        <is>
          <t>JÄMTLANDS LÄN</t>
        </is>
      </c>
      <c r="E1271" t="inlineStr">
        <is>
          <t>HÄRJEDALEN</t>
        </is>
      </c>
      <c r="F1271" t="inlineStr">
        <is>
          <t>Holmen skog AB</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26518-2025</t>
        </is>
      </c>
      <c r="B1272" s="1" t="n">
        <v>45807.55893518519</v>
      </c>
      <c r="C1272" s="1" t="n">
        <v>46166</v>
      </c>
      <c r="D1272" t="inlineStr">
        <is>
          <t>JÄMTLANDS LÄN</t>
        </is>
      </c>
      <c r="E1272" t="inlineStr">
        <is>
          <t>HÄRJEDALEN</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26417-2025</t>
        </is>
      </c>
      <c r="B1273" s="1" t="n">
        <v>45807.36304398148</v>
      </c>
      <c r="C1273" s="1" t="n">
        <v>46166</v>
      </c>
      <c r="D1273" t="inlineStr">
        <is>
          <t>JÄMTLANDS LÄN</t>
        </is>
      </c>
      <c r="E1273" t="inlineStr">
        <is>
          <t>HÄRJEDALEN</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26493-2025</t>
        </is>
      </c>
      <c r="B1274" s="1" t="n">
        <v>45807.49045138889</v>
      </c>
      <c r="C1274" s="1" t="n">
        <v>46166</v>
      </c>
      <c r="D1274" t="inlineStr">
        <is>
          <t>JÄMTLANDS LÄN</t>
        </is>
      </c>
      <c r="E1274" t="inlineStr">
        <is>
          <t>HÄRJEDALEN</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26528-2025</t>
        </is>
      </c>
      <c r="B1275" s="1" t="n">
        <v>45807.5684375</v>
      </c>
      <c r="C1275" s="1" t="n">
        <v>46166</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26468-2025</t>
        </is>
      </c>
      <c r="B1276" s="1" t="n">
        <v>45807.45288194445</v>
      </c>
      <c r="C1276" s="1" t="n">
        <v>46166</v>
      </c>
      <c r="D1276" t="inlineStr">
        <is>
          <t>JÄMTLANDS LÄN</t>
        </is>
      </c>
      <c r="E1276" t="inlineStr">
        <is>
          <t>HÄRJEDALEN</t>
        </is>
      </c>
      <c r="F1276" t="inlineStr">
        <is>
          <t>Holmen skog AB</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26448-2025</t>
        </is>
      </c>
      <c r="B1277" s="1" t="n">
        <v>45807.41717592593</v>
      </c>
      <c r="C1277" s="1" t="n">
        <v>46166</v>
      </c>
      <c r="D1277" t="inlineStr">
        <is>
          <t>JÄMTLANDS LÄN</t>
        </is>
      </c>
      <c r="E1277" t="inlineStr">
        <is>
          <t>HÄRJEDALEN</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26462-2025</t>
        </is>
      </c>
      <c r="B1278" s="1" t="n">
        <v>45807.43461805556</v>
      </c>
      <c r="C1278" s="1" t="n">
        <v>46166</v>
      </c>
      <c r="D1278" t="inlineStr">
        <is>
          <t>JÄMTLANDS LÄN</t>
        </is>
      </c>
      <c r="E1278" t="inlineStr">
        <is>
          <t>HÄRJEDALEN</t>
        </is>
      </c>
      <c r="F1278" t="inlineStr">
        <is>
          <t>Holmen skog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26464-2025</t>
        </is>
      </c>
      <c r="B1279" s="1" t="n">
        <v>45807.44070601852</v>
      </c>
      <c r="C1279" s="1" t="n">
        <v>46166</v>
      </c>
      <c r="D1279" t="inlineStr">
        <is>
          <t>JÄMTLANDS LÄN</t>
        </is>
      </c>
      <c r="E1279" t="inlineStr">
        <is>
          <t>HÄRJEDALEN</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26466-2025</t>
        </is>
      </c>
      <c r="B1280" s="1" t="n">
        <v>45807.44608796296</v>
      </c>
      <c r="C1280" s="1" t="n">
        <v>46166</v>
      </c>
      <c r="D1280" t="inlineStr">
        <is>
          <t>JÄMTLANDS LÄN</t>
        </is>
      </c>
      <c r="E1280" t="inlineStr">
        <is>
          <t>HÄRJEDALEN</t>
        </is>
      </c>
      <c r="F1280" t="inlineStr">
        <is>
          <t>Holmen skog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26496-2025</t>
        </is>
      </c>
      <c r="B1281" s="1" t="n">
        <v>45807.49832175926</v>
      </c>
      <c r="C1281" s="1" t="n">
        <v>46166</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26543-2025</t>
        </is>
      </c>
      <c r="B1282" s="1" t="n">
        <v>45807.58868055556</v>
      </c>
      <c r="C1282" s="1" t="n">
        <v>46166</v>
      </c>
      <c r="D1282" t="inlineStr">
        <is>
          <t>JÄMTLANDS LÄN</t>
        </is>
      </c>
      <c r="E1282" t="inlineStr">
        <is>
          <t>HÄRJEDALEN</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26548-2025</t>
        </is>
      </c>
      <c r="B1283" s="1" t="n">
        <v>45807.59407407408</v>
      </c>
      <c r="C1283" s="1" t="n">
        <v>46166</v>
      </c>
      <c r="D1283" t="inlineStr">
        <is>
          <t>JÄMTLANDS LÄN</t>
        </is>
      </c>
      <c r="E1283" t="inlineStr">
        <is>
          <t>HÄRJEDALEN</t>
        </is>
      </c>
      <c r="F1283" t="inlineStr">
        <is>
          <t>Holmen skog AB</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26905-2025</t>
        </is>
      </c>
      <c r="B1284" s="1" t="n">
        <v>45811.34540509259</v>
      </c>
      <c r="C1284" s="1" t="n">
        <v>46166</v>
      </c>
      <c r="D1284" t="inlineStr">
        <is>
          <t>JÄMTLANDS LÄN</t>
        </is>
      </c>
      <c r="E1284" t="inlineStr">
        <is>
          <t>HÄRJEDALEN</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30411-2023</t>
        </is>
      </c>
      <c r="B1285" s="1" t="n">
        <v>45111</v>
      </c>
      <c r="C1285" s="1" t="n">
        <v>46166</v>
      </c>
      <c r="D1285" t="inlineStr">
        <is>
          <t>JÄMTLANDS LÄN</t>
        </is>
      </c>
      <c r="E1285" t="inlineStr">
        <is>
          <t>HÄRJEDALEN</t>
        </is>
      </c>
      <c r="F1285" t="inlineStr">
        <is>
          <t>Bergvik skog väst AB</t>
        </is>
      </c>
      <c r="G1285" t="n">
        <v>28.3</v>
      </c>
      <c r="H1285" t="n">
        <v>0</v>
      </c>
      <c r="I1285" t="n">
        <v>0</v>
      </c>
      <c r="J1285" t="n">
        <v>0</v>
      </c>
      <c r="K1285" t="n">
        <v>0</v>
      </c>
      <c r="L1285" t="n">
        <v>0</v>
      </c>
      <c r="M1285" t="n">
        <v>0</v>
      </c>
      <c r="N1285" t="n">
        <v>0</v>
      </c>
      <c r="O1285" t="n">
        <v>0</v>
      </c>
      <c r="P1285" t="n">
        <v>0</v>
      </c>
      <c r="Q1285" t="n">
        <v>0</v>
      </c>
      <c r="R1285" s="2" t="inlineStr"/>
    </row>
    <row r="1286" ht="15" customHeight="1">
      <c r="A1286" t="inlineStr">
        <is>
          <t>A 27565-2025</t>
        </is>
      </c>
      <c r="B1286" s="1" t="n">
        <v>45813.48734953703</v>
      </c>
      <c r="C1286" s="1" t="n">
        <v>46166</v>
      </c>
      <c r="D1286" t="inlineStr">
        <is>
          <t>JÄMTLANDS LÄN</t>
        </is>
      </c>
      <c r="E1286" t="inlineStr">
        <is>
          <t>HÄRJEDALEN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27553-2025</t>
        </is>
      </c>
      <c r="B1287" s="1" t="n">
        <v>45813.47074074074</v>
      </c>
      <c r="C1287" s="1" t="n">
        <v>46166</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64485-2023</t>
        </is>
      </c>
      <c r="B1288" s="1" t="n">
        <v>45280</v>
      </c>
      <c r="C1288" s="1" t="n">
        <v>46166</v>
      </c>
      <c r="D1288" t="inlineStr">
        <is>
          <t>JÄMTLANDS LÄN</t>
        </is>
      </c>
      <c r="E1288" t="inlineStr">
        <is>
          <t>HÄRJEDALEN</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45406.64024305555</v>
      </c>
      <c r="C1289" s="1" t="n">
        <v>46166</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27679-2025</t>
        </is>
      </c>
      <c r="B1290" s="1" t="n">
        <v>45813.64590277777</v>
      </c>
      <c r="C1290" s="1" t="n">
        <v>46166</v>
      </c>
      <c r="D1290" t="inlineStr">
        <is>
          <t>JÄMTLANDS LÄN</t>
        </is>
      </c>
      <c r="E1290" t="inlineStr">
        <is>
          <t>HÄRJEDALEN</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5630-2024</t>
        </is>
      </c>
      <c r="B1291" s="1" t="n">
        <v>45334</v>
      </c>
      <c r="C1291" s="1" t="n">
        <v>46166</v>
      </c>
      <c r="D1291" t="inlineStr">
        <is>
          <t>JÄMTLANDS LÄN</t>
        </is>
      </c>
      <c r="E1291" t="inlineStr">
        <is>
          <t>HÄRJEDALEN</t>
        </is>
      </c>
      <c r="F1291" t="inlineStr">
        <is>
          <t>Övriga statliga verk och myndigheter</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4128-2025</t>
        </is>
      </c>
      <c r="B1292" s="1" t="n">
        <v>45685</v>
      </c>
      <c r="C1292" s="1" t="n">
        <v>46166</v>
      </c>
      <c r="D1292" t="inlineStr">
        <is>
          <t>JÄMTLANDS LÄN</t>
        </is>
      </c>
      <c r="E1292" t="inlineStr">
        <is>
          <t>HÄRJEDALEN</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31586-2024</t>
        </is>
      </c>
      <c r="B1293" s="1" t="n">
        <v>45506.3637962963</v>
      </c>
      <c r="C1293" s="1" t="n">
        <v>46166</v>
      </c>
      <c r="D1293" t="inlineStr">
        <is>
          <t>JÄMTLANDS LÄN</t>
        </is>
      </c>
      <c r="E1293" t="inlineStr">
        <is>
          <t>HÄRJEDALEN</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27820-2025</t>
        </is>
      </c>
      <c r="B1294" s="1" t="n">
        <v>45817.33819444444</v>
      </c>
      <c r="C1294" s="1" t="n">
        <v>46166</v>
      </c>
      <c r="D1294" t="inlineStr">
        <is>
          <t>JÄMTLANDS LÄN</t>
        </is>
      </c>
      <c r="E1294" t="inlineStr">
        <is>
          <t>HÄRJEDALEN</t>
        </is>
      </c>
      <c r="F1294" t="inlineStr">
        <is>
          <t>Övriga statliga verk och myndigheter</t>
        </is>
      </c>
      <c r="G1294" t="n">
        <v>42.8</v>
      </c>
      <c r="H1294" t="n">
        <v>0</v>
      </c>
      <c r="I1294" t="n">
        <v>0</v>
      </c>
      <c r="J1294" t="n">
        <v>0</v>
      </c>
      <c r="K1294" t="n">
        <v>0</v>
      </c>
      <c r="L1294" t="n">
        <v>0</v>
      </c>
      <c r="M1294" t="n">
        <v>0</v>
      </c>
      <c r="N1294" t="n">
        <v>0</v>
      </c>
      <c r="O1294" t="n">
        <v>0</v>
      </c>
      <c r="P1294" t="n">
        <v>0</v>
      </c>
      <c r="Q1294" t="n">
        <v>0</v>
      </c>
      <c r="R1294" s="2" t="inlineStr"/>
    </row>
    <row r="1295" ht="15" customHeight="1">
      <c r="A1295" t="inlineStr">
        <is>
          <t>A 28026-2025</t>
        </is>
      </c>
      <c r="B1295" s="1" t="n">
        <v>45817.62439814815</v>
      </c>
      <c r="C1295" s="1" t="n">
        <v>46166</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1398-2024</t>
        </is>
      </c>
      <c r="B1296" s="1" t="n">
        <v>45303</v>
      </c>
      <c r="C1296" s="1" t="n">
        <v>46166</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29102-2025</t>
        </is>
      </c>
      <c r="B1297" s="1" t="n">
        <v>45821.57201388889</v>
      </c>
      <c r="C1297" s="1" t="n">
        <v>46166</v>
      </c>
      <c r="D1297" t="inlineStr">
        <is>
          <t>JÄMTLANDS LÄN</t>
        </is>
      </c>
      <c r="E1297" t="inlineStr">
        <is>
          <t>HÄRJEDALEN</t>
        </is>
      </c>
      <c r="F1297" t="inlineStr">
        <is>
          <t>Sveaskog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2935-2025</t>
        </is>
      </c>
      <c r="B1298" s="1" t="n">
        <v>45678.37956018518</v>
      </c>
      <c r="C1298" s="1" t="n">
        <v>46166</v>
      </c>
      <c r="D1298" t="inlineStr">
        <is>
          <t>JÄMTLANDS LÄN</t>
        </is>
      </c>
      <c r="E1298" t="inlineStr">
        <is>
          <t>HÄRJEDALEN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29187-2025</t>
        </is>
      </c>
      <c r="B1299" s="1" t="n">
        <v>45821.77903935185</v>
      </c>
      <c r="C1299" s="1" t="n">
        <v>46166</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30251-2025</t>
        </is>
      </c>
      <c r="B1300" s="1" t="n">
        <v>45827.41753472222</v>
      </c>
      <c r="C1300" s="1" t="n">
        <v>46166</v>
      </c>
      <c r="D1300" t="inlineStr">
        <is>
          <t>JÄMTLANDS LÄN</t>
        </is>
      </c>
      <c r="E1300" t="inlineStr">
        <is>
          <t>HÄRJEDALEN</t>
        </is>
      </c>
      <c r="F1300" t="inlineStr">
        <is>
          <t>Bergvik skog väst AB</t>
        </is>
      </c>
      <c r="G1300" t="n">
        <v>32.1</v>
      </c>
      <c r="H1300" t="n">
        <v>0</v>
      </c>
      <c r="I1300" t="n">
        <v>0</v>
      </c>
      <c r="J1300" t="n">
        <v>0</v>
      </c>
      <c r="K1300" t="n">
        <v>0</v>
      </c>
      <c r="L1300" t="n">
        <v>0</v>
      </c>
      <c r="M1300" t="n">
        <v>0</v>
      </c>
      <c r="N1300" t="n">
        <v>0</v>
      </c>
      <c r="O1300" t="n">
        <v>0</v>
      </c>
      <c r="P1300" t="n">
        <v>0</v>
      </c>
      <c r="Q1300" t="n">
        <v>0</v>
      </c>
      <c r="R1300" s="2" t="inlineStr"/>
    </row>
    <row r="1301" ht="15" customHeight="1">
      <c r="A1301" t="inlineStr">
        <is>
          <t>A 29927-2025</t>
        </is>
      </c>
      <c r="B1301" s="1" t="n">
        <v>45826.43267361111</v>
      </c>
      <c r="C1301" s="1" t="n">
        <v>46166</v>
      </c>
      <c r="D1301" t="inlineStr">
        <is>
          <t>JÄMTLANDS LÄN</t>
        </is>
      </c>
      <c r="E1301" t="inlineStr">
        <is>
          <t>HÄRJEDALEN</t>
        </is>
      </c>
      <c r="F1301" t="inlineStr">
        <is>
          <t>Bergvik skog väst AB</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30363-2025</t>
        </is>
      </c>
      <c r="B1302" s="1" t="n">
        <v>45827</v>
      </c>
      <c r="C1302" s="1" t="n">
        <v>46166</v>
      </c>
      <c r="D1302" t="inlineStr">
        <is>
          <t>JÄMTLANDS LÄN</t>
        </is>
      </c>
      <c r="E1302" t="inlineStr">
        <is>
          <t>HÄRJEDALEN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23446-2025</t>
        </is>
      </c>
      <c r="B1303" s="1" t="n">
        <v>45791</v>
      </c>
      <c r="C1303" s="1" t="n">
        <v>46166</v>
      </c>
      <c r="D1303" t="inlineStr">
        <is>
          <t>JÄMTLANDS LÄN</t>
        </is>
      </c>
      <c r="E1303" t="inlineStr">
        <is>
          <t>HÄRJEDALEN</t>
        </is>
      </c>
      <c r="G1303" t="n">
        <v>20.5</v>
      </c>
      <c r="H1303" t="n">
        <v>0</v>
      </c>
      <c r="I1303" t="n">
        <v>0</v>
      </c>
      <c r="J1303" t="n">
        <v>0</v>
      </c>
      <c r="K1303" t="n">
        <v>0</v>
      </c>
      <c r="L1303" t="n">
        <v>0</v>
      </c>
      <c r="M1303" t="n">
        <v>0</v>
      </c>
      <c r="N1303" t="n">
        <v>0</v>
      </c>
      <c r="O1303" t="n">
        <v>0</v>
      </c>
      <c r="P1303" t="n">
        <v>0</v>
      </c>
      <c r="Q1303" t="n">
        <v>0</v>
      </c>
      <c r="R1303" s="2" t="inlineStr"/>
    </row>
    <row r="1304" ht="15" customHeight="1">
      <c r="A1304" t="inlineStr">
        <is>
          <t>A 30255-2025</t>
        </is>
      </c>
      <c r="B1304" s="1" t="n">
        <v>45827.42467592593</v>
      </c>
      <c r="C1304" s="1" t="n">
        <v>46166</v>
      </c>
      <c r="D1304" t="inlineStr">
        <is>
          <t>JÄMTLANDS LÄN</t>
        </is>
      </c>
      <c r="E1304" t="inlineStr">
        <is>
          <t>HÄRJEDALEN</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31096-2025</t>
        </is>
      </c>
      <c r="B1305" s="1" t="n">
        <v>45831</v>
      </c>
      <c r="C1305" s="1" t="n">
        <v>46166</v>
      </c>
      <c r="D1305" t="inlineStr">
        <is>
          <t>JÄMTLANDS LÄN</t>
        </is>
      </c>
      <c r="E1305" t="inlineStr">
        <is>
          <t>HÄRJEDALEN</t>
        </is>
      </c>
      <c r="F1305" t="inlineStr">
        <is>
          <t>Bergvik skog väst AB</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31255-2025</t>
        </is>
      </c>
      <c r="B1306" s="1" t="n">
        <v>45832</v>
      </c>
      <c r="C1306" s="1" t="n">
        <v>46166</v>
      </c>
      <c r="D1306" t="inlineStr">
        <is>
          <t>JÄMTLANDS LÄN</t>
        </is>
      </c>
      <c r="E1306" t="inlineStr">
        <is>
          <t>HÄRJEDALEN</t>
        </is>
      </c>
      <c r="F1306" t="inlineStr">
        <is>
          <t>Bergvik skog väst AB</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31570-2025</t>
        </is>
      </c>
      <c r="B1307" s="1" t="n">
        <v>45833</v>
      </c>
      <c r="C1307" s="1" t="n">
        <v>46166</v>
      </c>
      <c r="D1307" t="inlineStr">
        <is>
          <t>JÄMTLANDS LÄN</t>
        </is>
      </c>
      <c r="E1307" t="inlineStr">
        <is>
          <t>HÄRJEDALEN</t>
        </is>
      </c>
      <c r="F1307" t="inlineStr">
        <is>
          <t>Bergvik skog väst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31526-2025</t>
        </is>
      </c>
      <c r="B1308" s="1" t="n">
        <v>45833</v>
      </c>
      <c r="C1308" s="1" t="n">
        <v>46166</v>
      </c>
      <c r="D1308" t="inlineStr">
        <is>
          <t>JÄMTLANDS LÄN</t>
        </is>
      </c>
      <c r="E1308" t="inlineStr">
        <is>
          <t>HÄRJEDALEN</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31252-2025</t>
        </is>
      </c>
      <c r="B1309" s="1" t="n">
        <v>45832</v>
      </c>
      <c r="C1309" s="1" t="n">
        <v>46166</v>
      </c>
      <c r="D1309" t="inlineStr">
        <is>
          <t>JÄMTLANDS LÄN</t>
        </is>
      </c>
      <c r="E1309" t="inlineStr">
        <is>
          <t>HÄRJEDALEN</t>
        </is>
      </c>
      <c r="F1309" t="inlineStr">
        <is>
          <t>Bergvik skog väst AB</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31294-2025</t>
        </is>
      </c>
      <c r="B1310" s="1" t="n">
        <v>45833.36467592593</v>
      </c>
      <c r="C1310" s="1" t="n">
        <v>46166</v>
      </c>
      <c r="D1310" t="inlineStr">
        <is>
          <t>JÄMTLANDS LÄN</t>
        </is>
      </c>
      <c r="E1310" t="inlineStr">
        <is>
          <t>HÄRJEDALEN</t>
        </is>
      </c>
      <c r="F1310" t="inlineStr">
        <is>
          <t>Bergvik skog väst AB</t>
        </is>
      </c>
      <c r="G1310" t="n">
        <v>22.1</v>
      </c>
      <c r="H1310" t="n">
        <v>0</v>
      </c>
      <c r="I1310" t="n">
        <v>0</v>
      </c>
      <c r="J1310" t="n">
        <v>0</v>
      </c>
      <c r="K1310" t="n">
        <v>0</v>
      </c>
      <c r="L1310" t="n">
        <v>0</v>
      </c>
      <c r="M1310" t="n">
        <v>0</v>
      </c>
      <c r="N1310" t="n">
        <v>0</v>
      </c>
      <c r="O1310" t="n">
        <v>0</v>
      </c>
      <c r="P1310" t="n">
        <v>0</v>
      </c>
      <c r="Q1310" t="n">
        <v>0</v>
      </c>
      <c r="R1310" s="2" t="inlineStr"/>
    </row>
    <row r="1311" ht="15" customHeight="1">
      <c r="A1311" t="inlineStr">
        <is>
          <t>A 31148-2025</t>
        </is>
      </c>
      <c r="B1311" s="1" t="n">
        <v>45832.64047453704</v>
      </c>
      <c r="C1311" s="1" t="n">
        <v>46166</v>
      </c>
      <c r="D1311" t="inlineStr">
        <is>
          <t>JÄMTLANDS LÄN</t>
        </is>
      </c>
      <c r="E1311" t="inlineStr">
        <is>
          <t>HÄRJEDALEN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30922-2025</t>
        </is>
      </c>
      <c r="B1312" s="1" t="n">
        <v>45832.3859837963</v>
      </c>
      <c r="C1312" s="1" t="n">
        <v>46166</v>
      </c>
      <c r="D1312" t="inlineStr">
        <is>
          <t>JÄMTLANDS LÄN</t>
        </is>
      </c>
      <c r="E1312" t="inlineStr">
        <is>
          <t>HÄRJEDALEN</t>
        </is>
      </c>
      <c r="F1312" t="inlineStr">
        <is>
          <t>SCA</t>
        </is>
      </c>
      <c r="G1312" t="n">
        <v>17.7</v>
      </c>
      <c r="H1312" t="n">
        <v>0</v>
      </c>
      <c r="I1312" t="n">
        <v>0</v>
      </c>
      <c r="J1312" t="n">
        <v>0</v>
      </c>
      <c r="K1312" t="n">
        <v>0</v>
      </c>
      <c r="L1312" t="n">
        <v>0</v>
      </c>
      <c r="M1312" t="n">
        <v>0</v>
      </c>
      <c r="N1312" t="n">
        <v>0</v>
      </c>
      <c r="O1312" t="n">
        <v>0</v>
      </c>
      <c r="P1312" t="n">
        <v>0</v>
      </c>
      <c r="Q1312" t="n">
        <v>0</v>
      </c>
      <c r="R1312" s="2" t="inlineStr"/>
    </row>
    <row r="1313" ht="15" customHeight="1">
      <c r="A1313" t="inlineStr">
        <is>
          <t>A 31498-2025</t>
        </is>
      </c>
      <c r="B1313" s="1" t="n">
        <v>45833</v>
      </c>
      <c r="C1313" s="1" t="n">
        <v>46166</v>
      </c>
      <c r="D1313" t="inlineStr">
        <is>
          <t>JÄMTLANDS LÄN</t>
        </is>
      </c>
      <c r="E1313" t="inlineStr">
        <is>
          <t>HÄRJEDALEN</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31522-2025</t>
        </is>
      </c>
      <c r="B1314" s="1" t="n">
        <v>45833.6081712963</v>
      </c>
      <c r="C1314" s="1" t="n">
        <v>46166</v>
      </c>
      <c r="D1314" t="inlineStr">
        <is>
          <t>JÄMTLANDS LÄN</t>
        </is>
      </c>
      <c r="E1314" t="inlineStr">
        <is>
          <t>HÄRJEDALEN</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31253-2025</t>
        </is>
      </c>
      <c r="B1315" s="1" t="n">
        <v>45832</v>
      </c>
      <c r="C1315" s="1" t="n">
        <v>46166</v>
      </c>
      <c r="D1315" t="inlineStr">
        <is>
          <t>JÄMTLANDS LÄN</t>
        </is>
      </c>
      <c r="E1315" t="inlineStr">
        <is>
          <t>HÄRJEDALEN</t>
        </is>
      </c>
      <c r="F1315" t="inlineStr">
        <is>
          <t>Bergvik skog väst AB</t>
        </is>
      </c>
      <c r="G1315" t="n">
        <v>24.9</v>
      </c>
      <c r="H1315" t="n">
        <v>0</v>
      </c>
      <c r="I1315" t="n">
        <v>0</v>
      </c>
      <c r="J1315" t="n">
        <v>0</v>
      </c>
      <c r="K1315" t="n">
        <v>0</v>
      </c>
      <c r="L1315" t="n">
        <v>0</v>
      </c>
      <c r="M1315" t="n">
        <v>0</v>
      </c>
      <c r="N1315" t="n">
        <v>0</v>
      </c>
      <c r="O1315" t="n">
        <v>0</v>
      </c>
      <c r="P1315" t="n">
        <v>0</v>
      </c>
      <c r="Q1315" t="n">
        <v>0</v>
      </c>
      <c r="R1315" s="2" t="inlineStr"/>
    </row>
    <row r="1316" ht="15" customHeight="1">
      <c r="A1316" t="inlineStr">
        <is>
          <t>A 31921-2025</t>
        </is>
      </c>
      <c r="B1316" s="1" t="n">
        <v>45834.80229166667</v>
      </c>
      <c r="C1316" s="1" t="n">
        <v>46166</v>
      </c>
      <c r="D1316" t="inlineStr">
        <is>
          <t>JÄMTLANDS LÄN</t>
        </is>
      </c>
      <c r="E1316" t="inlineStr">
        <is>
          <t>HÄRJEDALEN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32180-2025</t>
        </is>
      </c>
      <c r="B1317" s="1" t="n">
        <v>45835.55998842593</v>
      </c>
      <c r="C1317" s="1" t="n">
        <v>46166</v>
      </c>
      <c r="D1317" t="inlineStr">
        <is>
          <t>JÄMTLANDS LÄN</t>
        </is>
      </c>
      <c r="E1317" t="inlineStr">
        <is>
          <t>HÄRJEDALEN</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32190-2025</t>
        </is>
      </c>
      <c r="B1318" s="1" t="n">
        <v>45835.57069444445</v>
      </c>
      <c r="C1318" s="1" t="n">
        <v>46166</v>
      </c>
      <c r="D1318" t="inlineStr">
        <is>
          <t>JÄMTLANDS LÄN</t>
        </is>
      </c>
      <c r="E1318" t="inlineStr">
        <is>
          <t>HÄRJEDALEN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31913-2025</t>
        </is>
      </c>
      <c r="B1319" s="1" t="n">
        <v>45834.7087962963</v>
      </c>
      <c r="C1319" s="1" t="n">
        <v>46166</v>
      </c>
      <c r="D1319" t="inlineStr">
        <is>
          <t>JÄMTLANDS LÄN</t>
        </is>
      </c>
      <c r="E1319" t="inlineStr">
        <is>
          <t>HÄRJEDALEN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31910-2025</t>
        </is>
      </c>
      <c r="B1320" s="1" t="n">
        <v>45834.69577546296</v>
      </c>
      <c r="C1320" s="1" t="n">
        <v>46166</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32178-2025</t>
        </is>
      </c>
      <c r="B1321" s="1" t="n">
        <v>45835.5583912037</v>
      </c>
      <c r="C1321" s="1" t="n">
        <v>46166</v>
      </c>
      <c r="D1321" t="inlineStr">
        <is>
          <t>JÄMTLANDS LÄN</t>
        </is>
      </c>
      <c r="E1321" t="inlineStr">
        <is>
          <t>HÄRJEDALEN</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31884-2025</t>
        </is>
      </c>
      <c r="B1322" s="1" t="n">
        <v>45834.6568287037</v>
      </c>
      <c r="C1322" s="1" t="n">
        <v>46166</v>
      </c>
      <c r="D1322" t="inlineStr">
        <is>
          <t>JÄMTLANDS LÄN</t>
        </is>
      </c>
      <c r="E1322" t="inlineStr">
        <is>
          <t>HÄRJEDALEN</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31772-2025</t>
        </is>
      </c>
      <c r="B1323" s="1" t="n">
        <v>45834.51079861111</v>
      </c>
      <c r="C1323" s="1" t="n">
        <v>46166</v>
      </c>
      <c r="D1323" t="inlineStr">
        <is>
          <t>JÄMTLANDS LÄN</t>
        </is>
      </c>
      <c r="E1323" t="inlineStr">
        <is>
          <t>HÄRJEDALEN</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31915-2025</t>
        </is>
      </c>
      <c r="B1324" s="1" t="n">
        <v>45834.71440972222</v>
      </c>
      <c r="C1324" s="1" t="n">
        <v>46166</v>
      </c>
      <c r="D1324" t="inlineStr">
        <is>
          <t>JÄMTLANDS LÄN</t>
        </is>
      </c>
      <c r="E1324" t="inlineStr">
        <is>
          <t>HÄRJEDALEN</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32841-2025</t>
        </is>
      </c>
      <c r="B1325" s="1" t="n">
        <v>45839.5658912037</v>
      </c>
      <c r="C1325" s="1" t="n">
        <v>46166</v>
      </c>
      <c r="D1325" t="inlineStr">
        <is>
          <t>JÄMTLANDS LÄN</t>
        </is>
      </c>
      <c r="E1325" t="inlineStr">
        <is>
          <t>HÄRJEDALEN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33235-2025</t>
        </is>
      </c>
      <c r="B1326" s="1" t="n">
        <v>45840.64394675926</v>
      </c>
      <c r="C1326" s="1" t="n">
        <v>46166</v>
      </c>
      <c r="D1326" t="inlineStr">
        <is>
          <t>JÄMTLANDS LÄN</t>
        </is>
      </c>
      <c r="E1326" t="inlineStr">
        <is>
          <t>HÄRJEDALEN</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33690-2025</t>
        </is>
      </c>
      <c r="B1327" s="1" t="n">
        <v>45841.69273148148</v>
      </c>
      <c r="C1327" s="1" t="n">
        <v>46166</v>
      </c>
      <c r="D1327" t="inlineStr">
        <is>
          <t>JÄMTLANDS LÄN</t>
        </is>
      </c>
      <c r="E1327" t="inlineStr">
        <is>
          <t>HÄRJEDALEN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33406-2025</t>
        </is>
      </c>
      <c r="B1328" s="1" t="n">
        <v>45841.4312037037</v>
      </c>
      <c r="C1328" s="1" t="n">
        <v>46166</v>
      </c>
      <c r="D1328" t="inlineStr">
        <is>
          <t>JÄMTLANDS LÄN</t>
        </is>
      </c>
      <c r="E1328" t="inlineStr">
        <is>
          <t>HÄRJEDALEN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33447-2025</t>
        </is>
      </c>
      <c r="B1329" s="1" t="n">
        <v>45841.46512731481</v>
      </c>
      <c r="C1329" s="1" t="n">
        <v>46166</v>
      </c>
      <c r="D1329" t="inlineStr">
        <is>
          <t>JÄMTLANDS LÄN</t>
        </is>
      </c>
      <c r="E1329" t="inlineStr">
        <is>
          <t>HÄRJEDALEN</t>
        </is>
      </c>
      <c r="F1329" t="inlineStr">
        <is>
          <t>Bergvik skog väst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33438-2025</t>
        </is>
      </c>
      <c r="B1330" s="1" t="n">
        <v>45841.45137731481</v>
      </c>
      <c r="C1330" s="1" t="n">
        <v>46166</v>
      </c>
      <c r="D1330" t="inlineStr">
        <is>
          <t>JÄMTLANDS LÄN</t>
        </is>
      </c>
      <c r="E1330" t="inlineStr">
        <is>
          <t>HÄRJEDALEN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34254-2025</t>
        </is>
      </c>
      <c r="B1331" s="1" t="n">
        <v>45845.6920949074</v>
      </c>
      <c r="C1331" s="1" t="n">
        <v>46166</v>
      </c>
      <c r="D1331" t="inlineStr">
        <is>
          <t>JÄMTLANDS LÄN</t>
        </is>
      </c>
      <c r="E1331" t="inlineStr">
        <is>
          <t>HÄRJEDALEN</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34144-2025</t>
        </is>
      </c>
      <c r="B1332" s="1" t="n">
        <v>45845.55270833334</v>
      </c>
      <c r="C1332" s="1" t="n">
        <v>46166</v>
      </c>
      <c r="D1332" t="inlineStr">
        <is>
          <t>JÄMTLANDS LÄN</t>
        </is>
      </c>
      <c r="E1332" t="inlineStr">
        <is>
          <t>HÄRJEDALEN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33845-2025</t>
        </is>
      </c>
      <c r="B1333" s="1" t="n">
        <v>45842.48990740741</v>
      </c>
      <c r="C1333" s="1" t="n">
        <v>46166</v>
      </c>
      <c r="D1333" t="inlineStr">
        <is>
          <t>JÄMTLANDS LÄN</t>
        </is>
      </c>
      <c r="E1333" t="inlineStr">
        <is>
          <t>HÄRJEDALEN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34142-2025</t>
        </is>
      </c>
      <c r="B1334" s="1" t="n">
        <v>45845.55259259259</v>
      </c>
      <c r="C1334" s="1" t="n">
        <v>46166</v>
      </c>
      <c r="D1334" t="inlineStr">
        <is>
          <t>JÄMTLANDS LÄN</t>
        </is>
      </c>
      <c r="E1334" t="inlineStr">
        <is>
          <t>HÄRJEDALEN</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34143-2025</t>
        </is>
      </c>
      <c r="B1335" s="1" t="n">
        <v>45845.55266203704</v>
      </c>
      <c r="C1335" s="1" t="n">
        <v>46166</v>
      </c>
      <c r="D1335" t="inlineStr">
        <is>
          <t>JÄMTLANDS LÄN</t>
        </is>
      </c>
      <c r="E1335" t="inlineStr">
        <is>
          <t>HÄRJEDALEN</t>
        </is>
      </c>
      <c r="G1335" t="n">
        <v>5.9</v>
      </c>
      <c r="H1335" t="n">
        <v>0</v>
      </c>
      <c r="I1335" t="n">
        <v>0</v>
      </c>
      <c r="J1335" t="n">
        <v>0</v>
      </c>
      <c r="K1335" t="n">
        <v>0</v>
      </c>
      <c r="L1335" t="n">
        <v>0</v>
      </c>
      <c r="M1335" t="n">
        <v>0</v>
      </c>
      <c r="N1335" t="n">
        <v>0</v>
      </c>
      <c r="O1335" t="n">
        <v>0</v>
      </c>
      <c r="P1335" t="n">
        <v>0</v>
      </c>
      <c r="Q1335" t="n">
        <v>0</v>
      </c>
      <c r="R1335" s="2" t="inlineStr"/>
    </row>
    <row r="1336">
      <c r="A1336" t="inlineStr">
        <is>
          <t>A 34570-2025</t>
        </is>
      </c>
      <c r="B1336" s="1" t="n">
        <v>45847.58865740741</v>
      </c>
      <c r="C1336" s="1" t="n">
        <v>46166</v>
      </c>
      <c r="D1336" t="inlineStr">
        <is>
          <t>JÄMTLANDS LÄN</t>
        </is>
      </c>
      <c r="E1336" t="inlineStr">
        <is>
          <t>HÄRJEDALEN</t>
        </is>
      </c>
      <c r="F1336" t="inlineStr">
        <is>
          <t>Bergvik skog väst AB</t>
        </is>
      </c>
      <c r="G1336" t="n">
        <v>19.1</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2026-05-24T10:56:09Z</dcterms:created>
  <dcterms:modified xmlns:dcterms="http://purl.org/dc/terms/" xmlns:xsi="http://www.w3.org/2001/XMLSchema-instance" xsi:type="dcterms:W3CDTF">2026-05-24T10:56:10Z</dcterms:modified>
</cp:coreProperties>
</file>