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45346</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45346</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45346</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45346</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45346</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45346</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45346</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45346</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45346</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45346</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45346</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45346</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45346</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45346</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45346</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45346</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45346</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45346</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45346</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45346</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45346</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45346</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45346</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45346</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45346</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45346</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45346</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45346</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45346</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45346</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45346</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45346</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45346</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45346</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45346</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45346</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45346</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45346</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45346</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45346</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45346</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45346</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45346</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45346</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45346</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45346</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45346</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45346</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45346</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45346</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45346</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45346</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45346</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45346</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45346</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45346</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45346</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45346</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45346</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45346</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45346</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45346</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45346</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45346</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45346</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45346</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45346</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45346</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45346</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45346</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45346</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45346</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45346</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45346</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45346</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45346</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45346</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45346</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45346</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45346</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45346</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45346</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45346</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45346</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45346</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45346</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45346</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45346</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45346</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45346</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45346</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45346</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45346</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45346</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45346</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45346</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45346</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45346</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45346</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45346</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45346</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45346</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45346</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45346</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45346</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45346</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45346</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45346</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45346</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45346</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45346</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45346</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45346</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45346</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45346</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45346</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45346</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45346</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45346</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45346</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45346</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45346</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45346</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45346</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45346</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45346</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45346</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45346</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45346</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45346</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45346</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45346</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45346</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45346</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45346</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45346</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45346</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45346</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45346</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45346</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45346</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45346</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45346</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45346</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45346</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45346</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7327-2024</t>
        </is>
      </c>
      <c r="B148" s="1" t="n">
        <v>45345</v>
      </c>
      <c r="C148" s="1" t="n">
        <v>45346</v>
      </c>
      <c r="D148" t="inlineStr">
        <is>
          <t>JÄMTLANDS LÄN</t>
        </is>
      </c>
      <c r="E148" t="inlineStr">
        <is>
          <t>HÄRJEDALEN</t>
        </is>
      </c>
      <c r="F148" t="inlineStr">
        <is>
          <t>Sveaskog</t>
        </is>
      </c>
      <c r="G148" t="n">
        <v>0.3</v>
      </c>
      <c r="H148" t="n">
        <v>0</v>
      </c>
      <c r="I148" t="n">
        <v>0</v>
      </c>
      <c r="J148" t="n">
        <v>1</v>
      </c>
      <c r="K148" t="n">
        <v>0</v>
      </c>
      <c r="L148" t="n">
        <v>0</v>
      </c>
      <c r="M148" t="n">
        <v>0</v>
      </c>
      <c r="N148" t="n">
        <v>0</v>
      </c>
      <c r="O148" t="n">
        <v>1</v>
      </c>
      <c r="P148" t="n">
        <v>0</v>
      </c>
      <c r="Q148" t="n">
        <v>1</v>
      </c>
      <c r="R148" s="2" t="inlineStr">
        <is>
          <t>Kolflarnlav</t>
        </is>
      </c>
      <c r="S148">
        <f>HYPERLINK("https://klasma.github.io/Logging_2361/artfynd/A 7327-2024 artfynd.xlsx", "A 7327-2024")</f>
        <v/>
      </c>
      <c r="T148">
        <f>HYPERLINK("https://klasma.github.io/Logging_2361/kartor/A 7327-2024 karta.png", "A 7327-2024")</f>
        <v/>
      </c>
      <c r="V148">
        <f>HYPERLINK("https://klasma.github.io/Logging_2361/klagomål/A 7327-2024 FSC-klagomål.docx", "A 7327-2024")</f>
        <v/>
      </c>
      <c r="W148">
        <f>HYPERLINK("https://klasma.github.io/Logging_2361/klagomålsmail/A 7327-2024 FSC-klagomål mail.docx", "A 7327-2024")</f>
        <v/>
      </c>
      <c r="X148">
        <f>HYPERLINK("https://klasma.github.io/Logging_2361/tillsyn/A 7327-2024 tillsynsbegäran.docx", "A 7327-2024")</f>
        <v/>
      </c>
      <c r="Y148">
        <f>HYPERLINK("https://klasma.github.io/Logging_2361/tillsynsmail/A 7327-2024 tillsynsbegäran mail.docx", "A 7327-2024")</f>
        <v/>
      </c>
    </row>
    <row r="149" ht="15" customHeight="1">
      <c r="A149" t="inlineStr">
        <is>
          <t>A 38754-2018</t>
        </is>
      </c>
      <c r="B149" s="1" t="n">
        <v>43340</v>
      </c>
      <c r="C149" s="1" t="n">
        <v>45346</v>
      </c>
      <c r="D149" t="inlineStr">
        <is>
          <t>JÄMTLANDS LÄN</t>
        </is>
      </c>
      <c r="E149" t="inlineStr">
        <is>
          <t>HÄRJEDALEN</t>
        </is>
      </c>
      <c r="G149" t="n">
        <v>4.2</v>
      </c>
      <c r="H149" t="n">
        <v>0</v>
      </c>
      <c r="I149" t="n">
        <v>0</v>
      </c>
      <c r="J149" t="n">
        <v>0</v>
      </c>
      <c r="K149" t="n">
        <v>0</v>
      </c>
      <c r="L149" t="n">
        <v>0</v>
      </c>
      <c r="M149" t="n">
        <v>0</v>
      </c>
      <c r="N149" t="n">
        <v>0</v>
      </c>
      <c r="O149" t="n">
        <v>0</v>
      </c>
      <c r="P149" t="n">
        <v>0</v>
      </c>
      <c r="Q149" t="n">
        <v>0</v>
      </c>
      <c r="R149" s="2" t="inlineStr"/>
    </row>
    <row r="150" ht="15" customHeight="1">
      <c r="A150" t="inlineStr">
        <is>
          <t>A 38753-2018</t>
        </is>
      </c>
      <c r="B150" s="1" t="n">
        <v>43340</v>
      </c>
      <c r="C150" s="1" t="n">
        <v>45346</v>
      </c>
      <c r="D150" t="inlineStr">
        <is>
          <t>JÄMTLANDS LÄN</t>
        </is>
      </c>
      <c r="E150" t="inlineStr">
        <is>
          <t>HÄRJEDALEN</t>
        </is>
      </c>
      <c r="G150" t="n">
        <v>3.6</v>
      </c>
      <c r="H150" t="n">
        <v>0</v>
      </c>
      <c r="I150" t="n">
        <v>0</v>
      </c>
      <c r="J150" t="n">
        <v>0</v>
      </c>
      <c r="K150" t="n">
        <v>0</v>
      </c>
      <c r="L150" t="n">
        <v>0</v>
      </c>
      <c r="M150" t="n">
        <v>0</v>
      </c>
      <c r="N150" t="n">
        <v>0</v>
      </c>
      <c r="O150" t="n">
        <v>0</v>
      </c>
      <c r="P150" t="n">
        <v>0</v>
      </c>
      <c r="Q150" t="n">
        <v>0</v>
      </c>
      <c r="R150" s="2" t="inlineStr"/>
    </row>
    <row r="151" ht="15" customHeight="1">
      <c r="A151" t="inlineStr">
        <is>
          <t>A 41979-2018</t>
        </is>
      </c>
      <c r="B151" s="1" t="n">
        <v>43350</v>
      </c>
      <c r="C151" s="1" t="n">
        <v>45346</v>
      </c>
      <c r="D151" t="inlineStr">
        <is>
          <t>JÄMTLANDS LÄN</t>
        </is>
      </c>
      <c r="E151" t="inlineStr">
        <is>
          <t>HÄRJEDALEN</t>
        </is>
      </c>
      <c r="G151" t="n">
        <v>50</v>
      </c>
      <c r="H151" t="n">
        <v>0</v>
      </c>
      <c r="I151" t="n">
        <v>0</v>
      </c>
      <c r="J151" t="n">
        <v>0</v>
      </c>
      <c r="K151" t="n">
        <v>0</v>
      </c>
      <c r="L151" t="n">
        <v>0</v>
      </c>
      <c r="M151" t="n">
        <v>0</v>
      </c>
      <c r="N151" t="n">
        <v>0</v>
      </c>
      <c r="O151" t="n">
        <v>0</v>
      </c>
      <c r="P151" t="n">
        <v>0</v>
      </c>
      <c r="Q151" t="n">
        <v>0</v>
      </c>
      <c r="R151" s="2" t="inlineStr"/>
    </row>
    <row r="152" ht="15" customHeight="1">
      <c r="A152" t="inlineStr">
        <is>
          <t>A 44222-2018</t>
        </is>
      </c>
      <c r="B152" s="1" t="n">
        <v>43360</v>
      </c>
      <c r="C152" s="1" t="n">
        <v>45346</v>
      </c>
      <c r="D152" t="inlineStr">
        <is>
          <t>JÄMTLANDS LÄN</t>
        </is>
      </c>
      <c r="E152" t="inlineStr">
        <is>
          <t>HÄRJEDALEN</t>
        </is>
      </c>
      <c r="G152" t="n">
        <v>0.7</v>
      </c>
      <c r="H152" t="n">
        <v>0</v>
      </c>
      <c r="I152" t="n">
        <v>0</v>
      </c>
      <c r="J152" t="n">
        <v>0</v>
      </c>
      <c r="K152" t="n">
        <v>0</v>
      </c>
      <c r="L152" t="n">
        <v>0</v>
      </c>
      <c r="M152" t="n">
        <v>0</v>
      </c>
      <c r="N152" t="n">
        <v>0</v>
      </c>
      <c r="O152" t="n">
        <v>0</v>
      </c>
      <c r="P152" t="n">
        <v>0</v>
      </c>
      <c r="Q152" t="n">
        <v>0</v>
      </c>
      <c r="R152" s="2" t="inlineStr"/>
    </row>
    <row r="153" ht="15" customHeight="1">
      <c r="A153" t="inlineStr">
        <is>
          <t>A 46202-2018</t>
        </is>
      </c>
      <c r="B153" s="1" t="n">
        <v>43364</v>
      </c>
      <c r="C153" s="1" t="n">
        <v>45346</v>
      </c>
      <c r="D153" t="inlineStr">
        <is>
          <t>JÄMTLANDS LÄN</t>
        </is>
      </c>
      <c r="E153" t="inlineStr">
        <is>
          <t>HÄRJEDALEN</t>
        </is>
      </c>
      <c r="G153" t="n">
        <v>2.4</v>
      </c>
      <c r="H153" t="n">
        <v>0</v>
      </c>
      <c r="I153" t="n">
        <v>0</v>
      </c>
      <c r="J153" t="n">
        <v>0</v>
      </c>
      <c r="K153" t="n">
        <v>0</v>
      </c>
      <c r="L153" t="n">
        <v>0</v>
      </c>
      <c r="M153" t="n">
        <v>0</v>
      </c>
      <c r="N153" t="n">
        <v>0</v>
      </c>
      <c r="O153" t="n">
        <v>0</v>
      </c>
      <c r="P153" t="n">
        <v>0</v>
      </c>
      <c r="Q153" t="n">
        <v>0</v>
      </c>
      <c r="R153" s="2" t="inlineStr"/>
    </row>
    <row r="154" ht="15" customHeight="1">
      <c r="A154" t="inlineStr">
        <is>
          <t>A 47412-2018</t>
        </is>
      </c>
      <c r="B154" s="1" t="n">
        <v>43369</v>
      </c>
      <c r="C154" s="1" t="n">
        <v>45346</v>
      </c>
      <c r="D154" t="inlineStr">
        <is>
          <t>JÄMTLANDS LÄN</t>
        </is>
      </c>
      <c r="E154" t="inlineStr">
        <is>
          <t>HÄRJEDALEN</t>
        </is>
      </c>
      <c r="G154" t="n">
        <v>20.4</v>
      </c>
      <c r="H154" t="n">
        <v>0</v>
      </c>
      <c r="I154" t="n">
        <v>0</v>
      </c>
      <c r="J154" t="n">
        <v>0</v>
      </c>
      <c r="K154" t="n">
        <v>0</v>
      </c>
      <c r="L154" t="n">
        <v>0</v>
      </c>
      <c r="M154" t="n">
        <v>0</v>
      </c>
      <c r="N154" t="n">
        <v>0</v>
      </c>
      <c r="O154" t="n">
        <v>0</v>
      </c>
      <c r="P154" t="n">
        <v>0</v>
      </c>
      <c r="Q154" t="n">
        <v>0</v>
      </c>
      <c r="R154" s="2" t="inlineStr"/>
    </row>
    <row r="155" ht="15" customHeight="1">
      <c r="A155" t="inlineStr">
        <is>
          <t>A 48245-2018</t>
        </is>
      </c>
      <c r="B155" s="1" t="n">
        <v>43371</v>
      </c>
      <c r="C155" s="1" t="n">
        <v>45346</v>
      </c>
      <c r="D155" t="inlineStr">
        <is>
          <t>JÄMTLANDS LÄN</t>
        </is>
      </c>
      <c r="E155" t="inlineStr">
        <is>
          <t>HÄRJEDALEN</t>
        </is>
      </c>
      <c r="G155" t="n">
        <v>0.4</v>
      </c>
      <c r="H155" t="n">
        <v>0</v>
      </c>
      <c r="I155" t="n">
        <v>0</v>
      </c>
      <c r="J155" t="n">
        <v>0</v>
      </c>
      <c r="K155" t="n">
        <v>0</v>
      </c>
      <c r="L155" t="n">
        <v>0</v>
      </c>
      <c r="M155" t="n">
        <v>0</v>
      </c>
      <c r="N155" t="n">
        <v>0</v>
      </c>
      <c r="O155" t="n">
        <v>0</v>
      </c>
      <c r="P155" t="n">
        <v>0</v>
      </c>
      <c r="Q155" t="n">
        <v>0</v>
      </c>
      <c r="R155" s="2" t="inlineStr"/>
    </row>
    <row r="156" ht="15" customHeight="1">
      <c r="A156" t="inlineStr">
        <is>
          <t>A 49130-2018</t>
        </is>
      </c>
      <c r="B156" s="1" t="n">
        <v>43375</v>
      </c>
      <c r="C156" s="1" t="n">
        <v>45346</v>
      </c>
      <c r="D156" t="inlineStr">
        <is>
          <t>JÄMTLANDS LÄN</t>
        </is>
      </c>
      <c r="E156" t="inlineStr">
        <is>
          <t>HÄRJEDALEN</t>
        </is>
      </c>
      <c r="G156" t="n">
        <v>6.6</v>
      </c>
      <c r="H156" t="n">
        <v>0</v>
      </c>
      <c r="I156" t="n">
        <v>0</v>
      </c>
      <c r="J156" t="n">
        <v>0</v>
      </c>
      <c r="K156" t="n">
        <v>0</v>
      </c>
      <c r="L156" t="n">
        <v>0</v>
      </c>
      <c r="M156" t="n">
        <v>0</v>
      </c>
      <c r="N156" t="n">
        <v>0</v>
      </c>
      <c r="O156" t="n">
        <v>0</v>
      </c>
      <c r="P156" t="n">
        <v>0</v>
      </c>
      <c r="Q156" t="n">
        <v>0</v>
      </c>
      <c r="R156" s="2" t="inlineStr"/>
    </row>
    <row r="157" ht="15" customHeight="1">
      <c r="A157" t="inlineStr">
        <is>
          <t>A 51450-2018</t>
        </is>
      </c>
      <c r="B157" s="1" t="n">
        <v>43383</v>
      </c>
      <c r="C157" s="1" t="n">
        <v>45346</v>
      </c>
      <c r="D157" t="inlineStr">
        <is>
          <t>JÄMTLANDS LÄN</t>
        </is>
      </c>
      <c r="E157" t="inlineStr">
        <is>
          <t>HÄRJEDALEN</t>
        </is>
      </c>
      <c r="G157" t="n">
        <v>16.3</v>
      </c>
      <c r="H157" t="n">
        <v>0</v>
      </c>
      <c r="I157" t="n">
        <v>0</v>
      </c>
      <c r="J157" t="n">
        <v>0</v>
      </c>
      <c r="K157" t="n">
        <v>0</v>
      </c>
      <c r="L157" t="n">
        <v>0</v>
      </c>
      <c r="M157" t="n">
        <v>0</v>
      </c>
      <c r="N157" t="n">
        <v>0</v>
      </c>
      <c r="O157" t="n">
        <v>0</v>
      </c>
      <c r="P157" t="n">
        <v>0</v>
      </c>
      <c r="Q157" t="n">
        <v>0</v>
      </c>
      <c r="R157" s="2" t="inlineStr"/>
    </row>
    <row r="158" ht="15" customHeight="1">
      <c r="A158" t="inlineStr">
        <is>
          <t>A 54581-2018</t>
        </is>
      </c>
      <c r="B158" s="1" t="n">
        <v>43389</v>
      </c>
      <c r="C158" s="1" t="n">
        <v>45346</v>
      </c>
      <c r="D158" t="inlineStr">
        <is>
          <t>JÄMTLANDS LÄN</t>
        </is>
      </c>
      <c r="E158" t="inlineStr">
        <is>
          <t>HÄRJEDALEN</t>
        </is>
      </c>
      <c r="F158" t="inlineStr">
        <is>
          <t>Övriga statliga verk och myndigheter</t>
        </is>
      </c>
      <c r="G158" t="n">
        <v>58.9</v>
      </c>
      <c r="H158" t="n">
        <v>0</v>
      </c>
      <c r="I158" t="n">
        <v>0</v>
      </c>
      <c r="J158" t="n">
        <v>0</v>
      </c>
      <c r="K158" t="n">
        <v>0</v>
      </c>
      <c r="L158" t="n">
        <v>0</v>
      </c>
      <c r="M158" t="n">
        <v>0</v>
      </c>
      <c r="N158" t="n">
        <v>0</v>
      </c>
      <c r="O158" t="n">
        <v>0</v>
      </c>
      <c r="P158" t="n">
        <v>0</v>
      </c>
      <c r="Q158" t="n">
        <v>0</v>
      </c>
      <c r="R158" s="2" t="inlineStr"/>
    </row>
    <row r="159" ht="15" customHeight="1">
      <c r="A159" t="inlineStr">
        <is>
          <t>A 54538-2018</t>
        </is>
      </c>
      <c r="B159" s="1" t="n">
        <v>43390</v>
      </c>
      <c r="C159" s="1" t="n">
        <v>45346</v>
      </c>
      <c r="D159" t="inlineStr">
        <is>
          <t>JÄMTLANDS LÄN</t>
        </is>
      </c>
      <c r="E159" t="inlineStr">
        <is>
          <t>HÄRJEDALEN</t>
        </is>
      </c>
      <c r="G159" t="n">
        <v>1</v>
      </c>
      <c r="H159" t="n">
        <v>0</v>
      </c>
      <c r="I159" t="n">
        <v>0</v>
      </c>
      <c r="J159" t="n">
        <v>0</v>
      </c>
      <c r="K159" t="n">
        <v>0</v>
      </c>
      <c r="L159" t="n">
        <v>0</v>
      </c>
      <c r="M159" t="n">
        <v>0</v>
      </c>
      <c r="N159" t="n">
        <v>0</v>
      </c>
      <c r="O159" t="n">
        <v>0</v>
      </c>
      <c r="P159" t="n">
        <v>0</v>
      </c>
      <c r="Q159" t="n">
        <v>0</v>
      </c>
      <c r="R159" s="2" t="inlineStr"/>
    </row>
    <row r="160" ht="15" customHeight="1">
      <c r="A160" t="inlineStr">
        <is>
          <t>A 54602-2018</t>
        </is>
      </c>
      <c r="B160" s="1" t="n">
        <v>43390</v>
      </c>
      <c r="C160" s="1" t="n">
        <v>45346</v>
      </c>
      <c r="D160" t="inlineStr">
        <is>
          <t>JÄMTLANDS LÄN</t>
        </is>
      </c>
      <c r="E160" t="inlineStr">
        <is>
          <t>HÄRJEDALEN</t>
        </is>
      </c>
      <c r="G160" t="n">
        <v>2.3</v>
      </c>
      <c r="H160" t="n">
        <v>0</v>
      </c>
      <c r="I160" t="n">
        <v>0</v>
      </c>
      <c r="J160" t="n">
        <v>0</v>
      </c>
      <c r="K160" t="n">
        <v>0</v>
      </c>
      <c r="L160" t="n">
        <v>0</v>
      </c>
      <c r="M160" t="n">
        <v>0</v>
      </c>
      <c r="N160" t="n">
        <v>0</v>
      </c>
      <c r="O160" t="n">
        <v>0</v>
      </c>
      <c r="P160" t="n">
        <v>0</v>
      </c>
      <c r="Q160" t="n">
        <v>0</v>
      </c>
      <c r="R160" s="2" t="inlineStr"/>
    </row>
    <row r="161" ht="15" customHeight="1">
      <c r="A161" t="inlineStr">
        <is>
          <t>A 54050-2018</t>
        </is>
      </c>
      <c r="B161" s="1" t="n">
        <v>43392</v>
      </c>
      <c r="C161" s="1" t="n">
        <v>45346</v>
      </c>
      <c r="D161" t="inlineStr">
        <is>
          <t>JÄMTLANDS LÄN</t>
        </is>
      </c>
      <c r="E161" t="inlineStr">
        <is>
          <t>HÄRJEDALEN</t>
        </is>
      </c>
      <c r="F161" t="inlineStr">
        <is>
          <t>Bergvik skog väst AB</t>
        </is>
      </c>
      <c r="G161" t="n">
        <v>8.1</v>
      </c>
      <c r="H161" t="n">
        <v>0</v>
      </c>
      <c r="I161" t="n">
        <v>0</v>
      </c>
      <c r="J161" t="n">
        <v>0</v>
      </c>
      <c r="K161" t="n">
        <v>0</v>
      </c>
      <c r="L161" t="n">
        <v>0</v>
      </c>
      <c r="M161" t="n">
        <v>0</v>
      </c>
      <c r="N161" t="n">
        <v>0</v>
      </c>
      <c r="O161" t="n">
        <v>0</v>
      </c>
      <c r="P161" t="n">
        <v>0</v>
      </c>
      <c r="Q161" t="n">
        <v>0</v>
      </c>
      <c r="R161" s="2" t="inlineStr"/>
    </row>
    <row r="162" ht="15" customHeight="1">
      <c r="A162" t="inlineStr">
        <is>
          <t>A 55215-2018</t>
        </is>
      </c>
      <c r="B162" s="1" t="n">
        <v>43396</v>
      </c>
      <c r="C162" s="1" t="n">
        <v>45346</v>
      </c>
      <c r="D162" t="inlineStr">
        <is>
          <t>JÄMTLANDS LÄN</t>
        </is>
      </c>
      <c r="E162" t="inlineStr">
        <is>
          <t>HÄRJEDALEN</t>
        </is>
      </c>
      <c r="F162" t="inlineStr">
        <is>
          <t>SCA</t>
        </is>
      </c>
      <c r="G162" t="n">
        <v>13.1</v>
      </c>
      <c r="H162" t="n">
        <v>0</v>
      </c>
      <c r="I162" t="n">
        <v>0</v>
      </c>
      <c r="J162" t="n">
        <v>0</v>
      </c>
      <c r="K162" t="n">
        <v>0</v>
      </c>
      <c r="L162" t="n">
        <v>0</v>
      </c>
      <c r="M162" t="n">
        <v>0</v>
      </c>
      <c r="N162" t="n">
        <v>0</v>
      </c>
      <c r="O162" t="n">
        <v>0</v>
      </c>
      <c r="P162" t="n">
        <v>0</v>
      </c>
      <c r="Q162" t="n">
        <v>0</v>
      </c>
      <c r="R162" s="2" t="inlineStr"/>
    </row>
    <row r="163" ht="15" customHeight="1">
      <c r="A163" t="inlineStr">
        <is>
          <t>A 56473-2018</t>
        </is>
      </c>
      <c r="B163" s="1" t="n">
        <v>43399</v>
      </c>
      <c r="C163" s="1" t="n">
        <v>45346</v>
      </c>
      <c r="D163" t="inlineStr">
        <is>
          <t>JÄMTLANDS LÄN</t>
        </is>
      </c>
      <c r="E163" t="inlineStr">
        <is>
          <t>HÄRJEDALEN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56693-2018</t>
        </is>
      </c>
      <c r="B164" s="1" t="n">
        <v>43402</v>
      </c>
      <c r="C164" s="1" t="n">
        <v>45346</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57667-2018</t>
        </is>
      </c>
      <c r="B165" s="1" t="n">
        <v>43404</v>
      </c>
      <c r="C165" s="1" t="n">
        <v>45346</v>
      </c>
      <c r="D165" t="inlineStr">
        <is>
          <t>JÄMTLANDS LÄN</t>
        </is>
      </c>
      <c r="E165" t="inlineStr">
        <is>
          <t>HÄRJEDALEN</t>
        </is>
      </c>
      <c r="G165" t="n">
        <v>46.5</v>
      </c>
      <c r="H165" t="n">
        <v>0</v>
      </c>
      <c r="I165" t="n">
        <v>0</v>
      </c>
      <c r="J165" t="n">
        <v>0</v>
      </c>
      <c r="K165" t="n">
        <v>0</v>
      </c>
      <c r="L165" t="n">
        <v>0</v>
      </c>
      <c r="M165" t="n">
        <v>0</v>
      </c>
      <c r="N165" t="n">
        <v>0</v>
      </c>
      <c r="O165" t="n">
        <v>0</v>
      </c>
      <c r="P165" t="n">
        <v>0</v>
      </c>
      <c r="Q165" t="n">
        <v>0</v>
      </c>
      <c r="R165" s="2" t="inlineStr"/>
    </row>
    <row r="166" ht="15" customHeight="1">
      <c r="A166" t="inlineStr">
        <is>
          <t>A 58088-2018</t>
        </is>
      </c>
      <c r="B166" s="1" t="n">
        <v>43406</v>
      </c>
      <c r="C166" s="1" t="n">
        <v>45346</v>
      </c>
      <c r="D166" t="inlineStr">
        <is>
          <t>JÄMTLANDS LÄN</t>
        </is>
      </c>
      <c r="E166" t="inlineStr">
        <is>
          <t>HÄRJEDALEN</t>
        </is>
      </c>
      <c r="G166" t="n">
        <v>6.6</v>
      </c>
      <c r="H166" t="n">
        <v>0</v>
      </c>
      <c r="I166" t="n">
        <v>0</v>
      </c>
      <c r="J166" t="n">
        <v>0</v>
      </c>
      <c r="K166" t="n">
        <v>0</v>
      </c>
      <c r="L166" t="n">
        <v>0</v>
      </c>
      <c r="M166" t="n">
        <v>0</v>
      </c>
      <c r="N166" t="n">
        <v>0</v>
      </c>
      <c r="O166" t="n">
        <v>0</v>
      </c>
      <c r="P166" t="n">
        <v>0</v>
      </c>
      <c r="Q166" t="n">
        <v>0</v>
      </c>
      <c r="R166" s="2" t="inlineStr"/>
    </row>
    <row r="167" ht="15" customHeight="1">
      <c r="A167" t="inlineStr">
        <is>
          <t>A 62016-2018</t>
        </is>
      </c>
      <c r="B167" s="1" t="n">
        <v>43416</v>
      </c>
      <c r="C167" s="1" t="n">
        <v>45346</v>
      </c>
      <c r="D167" t="inlineStr">
        <is>
          <t>JÄMTLANDS LÄN</t>
        </is>
      </c>
      <c r="E167" t="inlineStr">
        <is>
          <t>HÄRJEDALEN</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59398-2018</t>
        </is>
      </c>
      <c r="B168" s="1" t="n">
        <v>43418</v>
      </c>
      <c r="C168" s="1" t="n">
        <v>45346</v>
      </c>
      <c r="D168" t="inlineStr">
        <is>
          <t>JÄMTLANDS LÄN</t>
        </is>
      </c>
      <c r="E168" t="inlineStr">
        <is>
          <t>HÄRJEDALEN</t>
        </is>
      </c>
      <c r="G168" t="n">
        <v>1.9</v>
      </c>
      <c r="H168" t="n">
        <v>0</v>
      </c>
      <c r="I168" t="n">
        <v>0</v>
      </c>
      <c r="J168" t="n">
        <v>0</v>
      </c>
      <c r="K168" t="n">
        <v>0</v>
      </c>
      <c r="L168" t="n">
        <v>0</v>
      </c>
      <c r="M168" t="n">
        <v>0</v>
      </c>
      <c r="N168" t="n">
        <v>0</v>
      </c>
      <c r="O168" t="n">
        <v>0</v>
      </c>
      <c r="P168" t="n">
        <v>0</v>
      </c>
      <c r="Q168" t="n">
        <v>0</v>
      </c>
      <c r="R168" s="2" t="inlineStr"/>
    </row>
    <row r="169" ht="15" customHeight="1">
      <c r="A169" t="inlineStr">
        <is>
          <t>A 59396-2018</t>
        </is>
      </c>
      <c r="B169" s="1" t="n">
        <v>43418</v>
      </c>
      <c r="C169" s="1" t="n">
        <v>45346</v>
      </c>
      <c r="D169" t="inlineStr">
        <is>
          <t>JÄMTLANDS LÄN</t>
        </is>
      </c>
      <c r="E169" t="inlineStr">
        <is>
          <t>HÄRJEDALEN</t>
        </is>
      </c>
      <c r="G169" t="n">
        <v>2.2</v>
      </c>
      <c r="H169" t="n">
        <v>0</v>
      </c>
      <c r="I169" t="n">
        <v>0</v>
      </c>
      <c r="J169" t="n">
        <v>0</v>
      </c>
      <c r="K169" t="n">
        <v>0</v>
      </c>
      <c r="L169" t="n">
        <v>0</v>
      </c>
      <c r="M169" t="n">
        <v>0</v>
      </c>
      <c r="N169" t="n">
        <v>0</v>
      </c>
      <c r="O169" t="n">
        <v>0</v>
      </c>
      <c r="P169" t="n">
        <v>0</v>
      </c>
      <c r="Q169" t="n">
        <v>0</v>
      </c>
      <c r="R169" s="2" t="inlineStr"/>
    </row>
    <row r="170" ht="15" customHeight="1">
      <c r="A170" t="inlineStr">
        <is>
          <t>A 63160-2018</t>
        </is>
      </c>
      <c r="B170" s="1" t="n">
        <v>43418</v>
      </c>
      <c r="C170" s="1" t="n">
        <v>45346</v>
      </c>
      <c r="D170" t="inlineStr">
        <is>
          <t>JÄMTLANDS LÄN</t>
        </is>
      </c>
      <c r="E170" t="inlineStr">
        <is>
          <t>HÄRJEDALEN</t>
        </is>
      </c>
      <c r="G170" t="n">
        <v>22.6</v>
      </c>
      <c r="H170" t="n">
        <v>0</v>
      </c>
      <c r="I170" t="n">
        <v>0</v>
      </c>
      <c r="J170" t="n">
        <v>0</v>
      </c>
      <c r="K170" t="n">
        <v>0</v>
      </c>
      <c r="L170" t="n">
        <v>0</v>
      </c>
      <c r="M170" t="n">
        <v>0</v>
      </c>
      <c r="N170" t="n">
        <v>0</v>
      </c>
      <c r="O170" t="n">
        <v>0</v>
      </c>
      <c r="P170" t="n">
        <v>0</v>
      </c>
      <c r="Q170" t="n">
        <v>0</v>
      </c>
      <c r="R170" s="2" t="inlineStr"/>
    </row>
    <row r="171" ht="15" customHeight="1">
      <c r="A171" t="inlineStr">
        <is>
          <t>A 59358-2018</t>
        </is>
      </c>
      <c r="B171" s="1" t="n">
        <v>43418</v>
      </c>
      <c r="C171" s="1" t="n">
        <v>45346</v>
      </c>
      <c r="D171" t="inlineStr">
        <is>
          <t>JÄMTLANDS LÄN</t>
        </is>
      </c>
      <c r="E171" t="inlineStr">
        <is>
          <t>HÄRJEDALEN</t>
        </is>
      </c>
      <c r="G171" t="n">
        <v>6.2</v>
      </c>
      <c r="H171" t="n">
        <v>0</v>
      </c>
      <c r="I171" t="n">
        <v>0</v>
      </c>
      <c r="J171" t="n">
        <v>0</v>
      </c>
      <c r="K171" t="n">
        <v>0</v>
      </c>
      <c r="L171" t="n">
        <v>0</v>
      </c>
      <c r="M171" t="n">
        <v>0</v>
      </c>
      <c r="N171" t="n">
        <v>0</v>
      </c>
      <c r="O171" t="n">
        <v>0</v>
      </c>
      <c r="P171" t="n">
        <v>0</v>
      </c>
      <c r="Q171" t="n">
        <v>0</v>
      </c>
      <c r="R171" s="2" t="inlineStr"/>
    </row>
    <row r="172" ht="15" customHeight="1">
      <c r="A172" t="inlineStr">
        <is>
          <t>A 59751-2018</t>
        </is>
      </c>
      <c r="B172" s="1" t="n">
        <v>43419</v>
      </c>
      <c r="C172" s="1" t="n">
        <v>45346</v>
      </c>
      <c r="D172" t="inlineStr">
        <is>
          <t>JÄMTLANDS LÄN</t>
        </is>
      </c>
      <c r="E172" t="inlineStr">
        <is>
          <t>HÄRJEDALEN</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59683-2018</t>
        </is>
      </c>
      <c r="B173" s="1" t="n">
        <v>43419</v>
      </c>
      <c r="C173" s="1" t="n">
        <v>45346</v>
      </c>
      <c r="D173" t="inlineStr">
        <is>
          <t>JÄMTLANDS LÄN</t>
        </is>
      </c>
      <c r="E173" t="inlineStr">
        <is>
          <t>HÄRJEDALEN</t>
        </is>
      </c>
      <c r="F173" t="inlineStr">
        <is>
          <t>Bergvik skog väst AB</t>
        </is>
      </c>
      <c r="G173" t="n">
        <v>6.2</v>
      </c>
      <c r="H173" t="n">
        <v>0</v>
      </c>
      <c r="I173" t="n">
        <v>0</v>
      </c>
      <c r="J173" t="n">
        <v>0</v>
      </c>
      <c r="K173" t="n">
        <v>0</v>
      </c>
      <c r="L173" t="n">
        <v>0</v>
      </c>
      <c r="M173" t="n">
        <v>0</v>
      </c>
      <c r="N173" t="n">
        <v>0</v>
      </c>
      <c r="O173" t="n">
        <v>0</v>
      </c>
      <c r="P173" t="n">
        <v>0</v>
      </c>
      <c r="Q173" t="n">
        <v>0</v>
      </c>
      <c r="R173" s="2" t="inlineStr"/>
    </row>
    <row r="174" ht="15" customHeight="1">
      <c r="A174" t="inlineStr">
        <is>
          <t>A 60348-2018</t>
        </is>
      </c>
      <c r="B174" s="1" t="n">
        <v>43420</v>
      </c>
      <c r="C174" s="1" t="n">
        <v>45346</v>
      </c>
      <c r="D174" t="inlineStr">
        <is>
          <t>JÄMTLANDS LÄN</t>
        </is>
      </c>
      <c r="E174" t="inlineStr">
        <is>
          <t>HÄRJEDALEN</t>
        </is>
      </c>
      <c r="F174" t="inlineStr">
        <is>
          <t>Övriga Aktiebolag</t>
        </is>
      </c>
      <c r="G174" t="n">
        <v>2.8</v>
      </c>
      <c r="H174" t="n">
        <v>0</v>
      </c>
      <c r="I174" t="n">
        <v>0</v>
      </c>
      <c r="J174" t="n">
        <v>0</v>
      </c>
      <c r="K174" t="n">
        <v>0</v>
      </c>
      <c r="L174" t="n">
        <v>0</v>
      </c>
      <c r="M174" t="n">
        <v>0</v>
      </c>
      <c r="N174" t="n">
        <v>0</v>
      </c>
      <c r="O174" t="n">
        <v>0</v>
      </c>
      <c r="P174" t="n">
        <v>0</v>
      </c>
      <c r="Q174" t="n">
        <v>0</v>
      </c>
      <c r="R174" s="2" t="inlineStr"/>
    </row>
    <row r="175" ht="15" customHeight="1">
      <c r="A175" t="inlineStr">
        <is>
          <t>A 60086-2018</t>
        </is>
      </c>
      <c r="B175" s="1" t="n">
        <v>43420</v>
      </c>
      <c r="C175" s="1" t="n">
        <v>45346</v>
      </c>
      <c r="D175" t="inlineStr">
        <is>
          <t>JÄMTLANDS LÄN</t>
        </is>
      </c>
      <c r="E175" t="inlineStr">
        <is>
          <t>HÄRJEDALEN</t>
        </is>
      </c>
      <c r="F175" t="inlineStr">
        <is>
          <t>Bergvik skog väst AB</t>
        </is>
      </c>
      <c r="G175" t="n">
        <v>25.8</v>
      </c>
      <c r="H175" t="n">
        <v>0</v>
      </c>
      <c r="I175" t="n">
        <v>0</v>
      </c>
      <c r="J175" t="n">
        <v>0</v>
      </c>
      <c r="K175" t="n">
        <v>0</v>
      </c>
      <c r="L175" t="n">
        <v>0</v>
      </c>
      <c r="M175" t="n">
        <v>0</v>
      </c>
      <c r="N175" t="n">
        <v>0</v>
      </c>
      <c r="O175" t="n">
        <v>0</v>
      </c>
      <c r="P175" t="n">
        <v>0</v>
      </c>
      <c r="Q175" t="n">
        <v>0</v>
      </c>
      <c r="R175" s="2" t="inlineStr"/>
    </row>
    <row r="176" ht="15" customHeight="1">
      <c r="A176" t="inlineStr">
        <is>
          <t>A 61016-2018</t>
        </is>
      </c>
      <c r="B176" s="1" t="n">
        <v>43423</v>
      </c>
      <c r="C176" s="1" t="n">
        <v>45346</v>
      </c>
      <c r="D176" t="inlineStr">
        <is>
          <t>JÄMTLANDS LÄN</t>
        </is>
      </c>
      <c r="E176" t="inlineStr">
        <is>
          <t>HÄRJEDALEN</t>
        </is>
      </c>
      <c r="G176" t="n">
        <v>4.2</v>
      </c>
      <c r="H176" t="n">
        <v>0</v>
      </c>
      <c r="I176" t="n">
        <v>0</v>
      </c>
      <c r="J176" t="n">
        <v>0</v>
      </c>
      <c r="K176" t="n">
        <v>0</v>
      </c>
      <c r="L176" t="n">
        <v>0</v>
      </c>
      <c r="M176" t="n">
        <v>0</v>
      </c>
      <c r="N176" t="n">
        <v>0</v>
      </c>
      <c r="O176" t="n">
        <v>0</v>
      </c>
      <c r="P176" t="n">
        <v>0</v>
      </c>
      <c r="Q176" t="n">
        <v>0</v>
      </c>
      <c r="R176" s="2" t="inlineStr"/>
    </row>
    <row r="177" ht="15" customHeight="1">
      <c r="A177" t="inlineStr">
        <is>
          <t>A 63207-2018</t>
        </is>
      </c>
      <c r="B177" s="1" t="n">
        <v>43426</v>
      </c>
      <c r="C177" s="1" t="n">
        <v>45346</v>
      </c>
      <c r="D177" t="inlineStr">
        <is>
          <t>JÄMTLANDS LÄN</t>
        </is>
      </c>
      <c r="E177" t="inlineStr">
        <is>
          <t>HÄRJEDALEN</t>
        </is>
      </c>
      <c r="G177" t="n">
        <v>0.9</v>
      </c>
      <c r="H177" t="n">
        <v>0</v>
      </c>
      <c r="I177" t="n">
        <v>0</v>
      </c>
      <c r="J177" t="n">
        <v>0</v>
      </c>
      <c r="K177" t="n">
        <v>0</v>
      </c>
      <c r="L177" t="n">
        <v>0</v>
      </c>
      <c r="M177" t="n">
        <v>0</v>
      </c>
      <c r="N177" t="n">
        <v>0</v>
      </c>
      <c r="O177" t="n">
        <v>0</v>
      </c>
      <c r="P177" t="n">
        <v>0</v>
      </c>
      <c r="Q177" t="n">
        <v>0</v>
      </c>
      <c r="R177" s="2" t="inlineStr"/>
    </row>
    <row r="178" ht="15" customHeight="1">
      <c r="A178" t="inlineStr">
        <is>
          <t>A 62889-2018</t>
        </is>
      </c>
      <c r="B178" s="1" t="n">
        <v>43426</v>
      </c>
      <c r="C178" s="1" t="n">
        <v>45346</v>
      </c>
      <c r="D178" t="inlineStr">
        <is>
          <t>JÄMTLANDS LÄN</t>
        </is>
      </c>
      <c r="E178" t="inlineStr">
        <is>
          <t>HÄRJEDALEN</t>
        </is>
      </c>
      <c r="G178" t="n">
        <v>4.6</v>
      </c>
      <c r="H178" t="n">
        <v>0</v>
      </c>
      <c r="I178" t="n">
        <v>0</v>
      </c>
      <c r="J178" t="n">
        <v>0</v>
      </c>
      <c r="K178" t="n">
        <v>0</v>
      </c>
      <c r="L178" t="n">
        <v>0</v>
      </c>
      <c r="M178" t="n">
        <v>0</v>
      </c>
      <c r="N178" t="n">
        <v>0</v>
      </c>
      <c r="O178" t="n">
        <v>0</v>
      </c>
      <c r="P178" t="n">
        <v>0</v>
      </c>
      <c r="Q178" t="n">
        <v>0</v>
      </c>
      <c r="R178" s="2" t="inlineStr"/>
    </row>
    <row r="179" ht="15" customHeight="1">
      <c r="A179" t="inlineStr">
        <is>
          <t>A 63265-2018</t>
        </is>
      </c>
      <c r="B179" s="1" t="n">
        <v>43426</v>
      </c>
      <c r="C179" s="1" t="n">
        <v>45346</v>
      </c>
      <c r="D179" t="inlineStr">
        <is>
          <t>JÄMTLANDS LÄN</t>
        </is>
      </c>
      <c r="E179" t="inlineStr">
        <is>
          <t>HÄRJEDALEN</t>
        </is>
      </c>
      <c r="G179" t="n">
        <v>45</v>
      </c>
      <c r="H179" t="n">
        <v>0</v>
      </c>
      <c r="I179" t="n">
        <v>0</v>
      </c>
      <c r="J179" t="n">
        <v>0</v>
      </c>
      <c r="K179" t="n">
        <v>0</v>
      </c>
      <c r="L179" t="n">
        <v>0</v>
      </c>
      <c r="M179" t="n">
        <v>0</v>
      </c>
      <c r="N179" t="n">
        <v>0</v>
      </c>
      <c r="O179" t="n">
        <v>0</v>
      </c>
      <c r="P179" t="n">
        <v>0</v>
      </c>
      <c r="Q179" t="n">
        <v>0</v>
      </c>
      <c r="R179" s="2" t="inlineStr"/>
    </row>
    <row r="180" ht="15" customHeight="1">
      <c r="A180" t="inlineStr">
        <is>
          <t>A 63355-2018</t>
        </is>
      </c>
      <c r="B180" s="1" t="n">
        <v>43427</v>
      </c>
      <c r="C180" s="1" t="n">
        <v>45346</v>
      </c>
      <c r="D180" t="inlineStr">
        <is>
          <t>JÄMTLANDS LÄN</t>
        </is>
      </c>
      <c r="E180" t="inlineStr">
        <is>
          <t>HÄRJEDALEN</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64493-2018</t>
        </is>
      </c>
      <c r="B181" s="1" t="n">
        <v>43431</v>
      </c>
      <c r="C181" s="1" t="n">
        <v>45346</v>
      </c>
      <c r="D181" t="inlineStr">
        <is>
          <t>JÄMTLANDS LÄN</t>
        </is>
      </c>
      <c r="E181" t="inlineStr">
        <is>
          <t>HÄRJEDALEN</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65832-2018</t>
        </is>
      </c>
      <c r="B182" s="1" t="n">
        <v>43433</v>
      </c>
      <c r="C182" s="1" t="n">
        <v>45346</v>
      </c>
      <c r="D182" t="inlineStr">
        <is>
          <t>JÄMTLANDS LÄN</t>
        </is>
      </c>
      <c r="E182" t="inlineStr">
        <is>
          <t>HÄRJEDALEN</t>
        </is>
      </c>
      <c r="F182" t="inlineStr">
        <is>
          <t>Sveaskog</t>
        </is>
      </c>
      <c r="G182" t="n">
        <v>30.2</v>
      </c>
      <c r="H182" t="n">
        <v>0</v>
      </c>
      <c r="I182" t="n">
        <v>0</v>
      </c>
      <c r="J182" t="n">
        <v>0</v>
      </c>
      <c r="K182" t="n">
        <v>0</v>
      </c>
      <c r="L182" t="n">
        <v>0</v>
      </c>
      <c r="M182" t="n">
        <v>0</v>
      </c>
      <c r="N182" t="n">
        <v>0</v>
      </c>
      <c r="O182" t="n">
        <v>0</v>
      </c>
      <c r="P182" t="n">
        <v>0</v>
      </c>
      <c r="Q182" t="n">
        <v>0</v>
      </c>
      <c r="R182" s="2" t="inlineStr"/>
    </row>
    <row r="183" ht="15" customHeight="1">
      <c r="A183" t="inlineStr">
        <is>
          <t>A 66771-2018</t>
        </is>
      </c>
      <c r="B183" s="1" t="n">
        <v>43437</v>
      </c>
      <c r="C183" s="1" t="n">
        <v>45346</v>
      </c>
      <c r="D183" t="inlineStr">
        <is>
          <t>JÄMTLANDS LÄN</t>
        </is>
      </c>
      <c r="E183" t="inlineStr">
        <is>
          <t>HÄRJEDALEN</t>
        </is>
      </c>
      <c r="G183" t="n">
        <v>2</v>
      </c>
      <c r="H183" t="n">
        <v>0</v>
      </c>
      <c r="I183" t="n">
        <v>0</v>
      </c>
      <c r="J183" t="n">
        <v>0</v>
      </c>
      <c r="K183" t="n">
        <v>0</v>
      </c>
      <c r="L183" t="n">
        <v>0</v>
      </c>
      <c r="M183" t="n">
        <v>0</v>
      </c>
      <c r="N183" t="n">
        <v>0</v>
      </c>
      <c r="O183" t="n">
        <v>0</v>
      </c>
      <c r="P183" t="n">
        <v>0</v>
      </c>
      <c r="Q183" t="n">
        <v>0</v>
      </c>
      <c r="R183" s="2" t="inlineStr"/>
    </row>
    <row r="184" ht="15" customHeight="1">
      <c r="A184" t="inlineStr">
        <is>
          <t>A 66753-2018</t>
        </is>
      </c>
      <c r="B184" s="1" t="n">
        <v>43438</v>
      </c>
      <c r="C184" s="1" t="n">
        <v>45346</v>
      </c>
      <c r="D184" t="inlineStr">
        <is>
          <t>JÄMTLANDS LÄN</t>
        </is>
      </c>
      <c r="E184" t="inlineStr">
        <is>
          <t>HÄRJEDALEN</t>
        </is>
      </c>
      <c r="G184" t="n">
        <v>0.2</v>
      </c>
      <c r="H184" t="n">
        <v>0</v>
      </c>
      <c r="I184" t="n">
        <v>0</v>
      </c>
      <c r="J184" t="n">
        <v>0</v>
      </c>
      <c r="K184" t="n">
        <v>0</v>
      </c>
      <c r="L184" t="n">
        <v>0</v>
      </c>
      <c r="M184" t="n">
        <v>0</v>
      </c>
      <c r="N184" t="n">
        <v>0</v>
      </c>
      <c r="O184" t="n">
        <v>0</v>
      </c>
      <c r="P184" t="n">
        <v>0</v>
      </c>
      <c r="Q184" t="n">
        <v>0</v>
      </c>
      <c r="R184" s="2" t="inlineStr"/>
    </row>
    <row r="185" ht="15" customHeight="1">
      <c r="A185" t="inlineStr">
        <is>
          <t>A 67377-2018</t>
        </is>
      </c>
      <c r="B185" s="1" t="n">
        <v>43439</v>
      </c>
      <c r="C185" s="1" t="n">
        <v>45346</v>
      </c>
      <c r="D185" t="inlineStr">
        <is>
          <t>JÄMTLANDS LÄN</t>
        </is>
      </c>
      <c r="E185" t="inlineStr">
        <is>
          <t>HÄRJEDALEN</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67690-2018</t>
        </is>
      </c>
      <c r="B186" s="1" t="n">
        <v>43440</v>
      </c>
      <c r="C186" s="1" t="n">
        <v>45346</v>
      </c>
      <c r="D186" t="inlineStr">
        <is>
          <t>JÄMTLANDS LÄN</t>
        </is>
      </c>
      <c r="E186" t="inlineStr">
        <is>
          <t>HÄRJEDALEN</t>
        </is>
      </c>
      <c r="G186" t="n">
        <v>5.2</v>
      </c>
      <c r="H186" t="n">
        <v>0</v>
      </c>
      <c r="I186" t="n">
        <v>0</v>
      </c>
      <c r="J186" t="n">
        <v>0</v>
      </c>
      <c r="K186" t="n">
        <v>0</v>
      </c>
      <c r="L186" t="n">
        <v>0</v>
      </c>
      <c r="M186" t="n">
        <v>0</v>
      </c>
      <c r="N186" t="n">
        <v>0</v>
      </c>
      <c r="O186" t="n">
        <v>0</v>
      </c>
      <c r="P186" t="n">
        <v>0</v>
      </c>
      <c r="Q186" t="n">
        <v>0</v>
      </c>
      <c r="R186" s="2" t="inlineStr"/>
    </row>
    <row r="187" ht="15" customHeight="1">
      <c r="A187" t="inlineStr">
        <is>
          <t>A 69217-2018</t>
        </is>
      </c>
      <c r="B187" s="1" t="n">
        <v>43445</v>
      </c>
      <c r="C187" s="1" t="n">
        <v>45346</v>
      </c>
      <c r="D187" t="inlineStr">
        <is>
          <t>JÄMTLANDS LÄN</t>
        </is>
      </c>
      <c r="E187" t="inlineStr">
        <is>
          <t>HÄRJEDALEN</t>
        </is>
      </c>
      <c r="G187" t="n">
        <v>0.5</v>
      </c>
      <c r="H187" t="n">
        <v>0</v>
      </c>
      <c r="I187" t="n">
        <v>0</v>
      </c>
      <c r="J187" t="n">
        <v>0</v>
      </c>
      <c r="K187" t="n">
        <v>0</v>
      </c>
      <c r="L187" t="n">
        <v>0</v>
      </c>
      <c r="M187" t="n">
        <v>0</v>
      </c>
      <c r="N187" t="n">
        <v>0</v>
      </c>
      <c r="O187" t="n">
        <v>0</v>
      </c>
      <c r="P187" t="n">
        <v>0</v>
      </c>
      <c r="Q187" t="n">
        <v>0</v>
      </c>
      <c r="R187" s="2" t="inlineStr"/>
    </row>
    <row r="188" ht="15" customHeight="1">
      <c r="A188" t="inlineStr">
        <is>
          <t>A 69220-2018</t>
        </is>
      </c>
      <c r="B188" s="1" t="n">
        <v>43445</v>
      </c>
      <c r="C188" s="1" t="n">
        <v>45346</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69218-2018</t>
        </is>
      </c>
      <c r="B189" s="1" t="n">
        <v>43445</v>
      </c>
      <c r="C189" s="1" t="n">
        <v>45346</v>
      </c>
      <c r="D189" t="inlineStr">
        <is>
          <t>JÄMTLANDS LÄN</t>
        </is>
      </c>
      <c r="E189" t="inlineStr">
        <is>
          <t>HÄRJEDALEN</t>
        </is>
      </c>
      <c r="G189" t="n">
        <v>0.2</v>
      </c>
      <c r="H189" t="n">
        <v>0</v>
      </c>
      <c r="I189" t="n">
        <v>0</v>
      </c>
      <c r="J189" t="n">
        <v>0</v>
      </c>
      <c r="K189" t="n">
        <v>0</v>
      </c>
      <c r="L189" t="n">
        <v>0</v>
      </c>
      <c r="M189" t="n">
        <v>0</v>
      </c>
      <c r="N189" t="n">
        <v>0</v>
      </c>
      <c r="O189" t="n">
        <v>0</v>
      </c>
      <c r="P189" t="n">
        <v>0</v>
      </c>
      <c r="Q189" t="n">
        <v>0</v>
      </c>
      <c r="R189" s="2" t="inlineStr"/>
    </row>
    <row r="190" ht="15" customHeight="1">
      <c r="A190" t="inlineStr">
        <is>
          <t>A 69219-2018</t>
        </is>
      </c>
      <c r="B190" s="1" t="n">
        <v>43445</v>
      </c>
      <c r="C190" s="1" t="n">
        <v>45346</v>
      </c>
      <c r="D190" t="inlineStr">
        <is>
          <t>JÄMTLANDS LÄN</t>
        </is>
      </c>
      <c r="E190" t="inlineStr">
        <is>
          <t>HÄRJEDALEN</t>
        </is>
      </c>
      <c r="G190" t="n">
        <v>0.1</v>
      </c>
      <c r="H190" t="n">
        <v>0</v>
      </c>
      <c r="I190" t="n">
        <v>0</v>
      </c>
      <c r="J190" t="n">
        <v>0</v>
      </c>
      <c r="K190" t="n">
        <v>0</v>
      </c>
      <c r="L190" t="n">
        <v>0</v>
      </c>
      <c r="M190" t="n">
        <v>0</v>
      </c>
      <c r="N190" t="n">
        <v>0</v>
      </c>
      <c r="O190" t="n">
        <v>0</v>
      </c>
      <c r="P190" t="n">
        <v>0</v>
      </c>
      <c r="Q190" t="n">
        <v>0</v>
      </c>
      <c r="R190" s="2" t="inlineStr"/>
    </row>
    <row r="191" ht="15" customHeight="1">
      <c r="A191" t="inlineStr">
        <is>
          <t>A 69190-2018</t>
        </is>
      </c>
      <c r="B191" s="1" t="n">
        <v>43445</v>
      </c>
      <c r="C191" s="1" t="n">
        <v>45346</v>
      </c>
      <c r="D191" t="inlineStr">
        <is>
          <t>JÄMTLANDS LÄN</t>
        </is>
      </c>
      <c r="E191" t="inlineStr">
        <is>
          <t>HÄRJEDALEN</t>
        </is>
      </c>
      <c r="G191" t="n">
        <v>0.8</v>
      </c>
      <c r="H191" t="n">
        <v>0</v>
      </c>
      <c r="I191" t="n">
        <v>0</v>
      </c>
      <c r="J191" t="n">
        <v>0</v>
      </c>
      <c r="K191" t="n">
        <v>0</v>
      </c>
      <c r="L191" t="n">
        <v>0</v>
      </c>
      <c r="M191" t="n">
        <v>0</v>
      </c>
      <c r="N191" t="n">
        <v>0</v>
      </c>
      <c r="O191" t="n">
        <v>0</v>
      </c>
      <c r="P191" t="n">
        <v>0</v>
      </c>
      <c r="Q191" t="n">
        <v>0</v>
      </c>
      <c r="R191" s="2" t="inlineStr"/>
    </row>
    <row r="192" ht="15" customHeight="1">
      <c r="A192" t="inlineStr">
        <is>
          <t>A 70674-2018</t>
        </is>
      </c>
      <c r="B192" s="1" t="n">
        <v>43451</v>
      </c>
      <c r="C192" s="1" t="n">
        <v>45346</v>
      </c>
      <c r="D192" t="inlineStr">
        <is>
          <t>JÄMTLANDS LÄN</t>
        </is>
      </c>
      <c r="E192" t="inlineStr">
        <is>
          <t>HÄRJEDALEN</t>
        </is>
      </c>
      <c r="G192" t="n">
        <v>11.9</v>
      </c>
      <c r="H192" t="n">
        <v>0</v>
      </c>
      <c r="I192" t="n">
        <v>0</v>
      </c>
      <c r="J192" t="n">
        <v>0</v>
      </c>
      <c r="K192" t="n">
        <v>0</v>
      </c>
      <c r="L192" t="n">
        <v>0</v>
      </c>
      <c r="M192" t="n">
        <v>0</v>
      </c>
      <c r="N192" t="n">
        <v>0</v>
      </c>
      <c r="O192" t="n">
        <v>0</v>
      </c>
      <c r="P192" t="n">
        <v>0</v>
      </c>
      <c r="Q192" t="n">
        <v>0</v>
      </c>
      <c r="R192" s="2" t="inlineStr"/>
    </row>
    <row r="193" ht="15" customHeight="1">
      <c r="A193" t="inlineStr">
        <is>
          <t>A 71199-2018</t>
        </is>
      </c>
      <c r="B193" s="1" t="n">
        <v>43453</v>
      </c>
      <c r="C193" s="1" t="n">
        <v>45346</v>
      </c>
      <c r="D193" t="inlineStr">
        <is>
          <t>JÄMTLANDS LÄN</t>
        </is>
      </c>
      <c r="E193" t="inlineStr">
        <is>
          <t>HÄRJEDALEN</t>
        </is>
      </c>
      <c r="F193" t="inlineStr">
        <is>
          <t>Sveaskog</t>
        </is>
      </c>
      <c r="G193" t="n">
        <v>6.1</v>
      </c>
      <c r="H193" t="n">
        <v>0</v>
      </c>
      <c r="I193" t="n">
        <v>0</v>
      </c>
      <c r="J193" t="n">
        <v>0</v>
      </c>
      <c r="K193" t="n">
        <v>0</v>
      </c>
      <c r="L193" t="n">
        <v>0</v>
      </c>
      <c r="M193" t="n">
        <v>0</v>
      </c>
      <c r="N193" t="n">
        <v>0</v>
      </c>
      <c r="O193" t="n">
        <v>0</v>
      </c>
      <c r="P193" t="n">
        <v>0</v>
      </c>
      <c r="Q193" t="n">
        <v>0</v>
      </c>
      <c r="R193" s="2" t="inlineStr"/>
    </row>
    <row r="194" ht="15" customHeight="1">
      <c r="A194" t="inlineStr">
        <is>
          <t>A 71185-2018</t>
        </is>
      </c>
      <c r="B194" s="1" t="n">
        <v>43453</v>
      </c>
      <c r="C194" s="1" t="n">
        <v>45346</v>
      </c>
      <c r="D194" t="inlineStr">
        <is>
          <t>JÄMTLANDS LÄN</t>
        </is>
      </c>
      <c r="E194" t="inlineStr">
        <is>
          <t>HÄRJEDALEN</t>
        </is>
      </c>
      <c r="F194" t="inlineStr">
        <is>
          <t>Sveaskog</t>
        </is>
      </c>
      <c r="G194" t="n">
        <v>24.8</v>
      </c>
      <c r="H194" t="n">
        <v>0</v>
      </c>
      <c r="I194" t="n">
        <v>0</v>
      </c>
      <c r="J194" t="n">
        <v>0</v>
      </c>
      <c r="K194" t="n">
        <v>0</v>
      </c>
      <c r="L194" t="n">
        <v>0</v>
      </c>
      <c r="M194" t="n">
        <v>0</v>
      </c>
      <c r="N194" t="n">
        <v>0</v>
      </c>
      <c r="O194" t="n">
        <v>0</v>
      </c>
      <c r="P194" t="n">
        <v>0</v>
      </c>
      <c r="Q194" t="n">
        <v>0</v>
      </c>
      <c r="R194" s="2" t="inlineStr"/>
    </row>
    <row r="195" ht="15" customHeight="1">
      <c r="A195" t="inlineStr">
        <is>
          <t>A 71624-2018</t>
        </is>
      </c>
      <c r="B195" s="1" t="n">
        <v>43454</v>
      </c>
      <c r="C195" s="1" t="n">
        <v>45346</v>
      </c>
      <c r="D195" t="inlineStr">
        <is>
          <t>JÄMTLANDS LÄN</t>
        </is>
      </c>
      <c r="E195" t="inlineStr">
        <is>
          <t>HÄRJEDALEN</t>
        </is>
      </c>
      <c r="F195" t="inlineStr">
        <is>
          <t>Bergvik skog väst AB</t>
        </is>
      </c>
      <c r="G195" t="n">
        <v>13.1</v>
      </c>
      <c r="H195" t="n">
        <v>0</v>
      </c>
      <c r="I195" t="n">
        <v>0</v>
      </c>
      <c r="J195" t="n">
        <v>0</v>
      </c>
      <c r="K195" t="n">
        <v>0</v>
      </c>
      <c r="L195" t="n">
        <v>0</v>
      </c>
      <c r="M195" t="n">
        <v>0</v>
      </c>
      <c r="N195" t="n">
        <v>0</v>
      </c>
      <c r="O195" t="n">
        <v>0</v>
      </c>
      <c r="P195" t="n">
        <v>0</v>
      </c>
      <c r="Q195" t="n">
        <v>0</v>
      </c>
      <c r="R195" s="2" t="inlineStr"/>
    </row>
    <row r="196" ht="15" customHeight="1">
      <c r="A196" t="inlineStr">
        <is>
          <t>A 71676-2018</t>
        </is>
      </c>
      <c r="B196" s="1" t="n">
        <v>43454</v>
      </c>
      <c r="C196" s="1" t="n">
        <v>45346</v>
      </c>
      <c r="D196" t="inlineStr">
        <is>
          <t>JÄMTLANDS LÄN</t>
        </is>
      </c>
      <c r="E196" t="inlineStr">
        <is>
          <t>HÄRJEDALEN</t>
        </is>
      </c>
      <c r="G196" t="n">
        <v>11.9</v>
      </c>
      <c r="H196" t="n">
        <v>0</v>
      </c>
      <c r="I196" t="n">
        <v>0</v>
      </c>
      <c r="J196" t="n">
        <v>0</v>
      </c>
      <c r="K196" t="n">
        <v>0</v>
      </c>
      <c r="L196" t="n">
        <v>0</v>
      </c>
      <c r="M196" t="n">
        <v>0</v>
      </c>
      <c r="N196" t="n">
        <v>0</v>
      </c>
      <c r="O196" t="n">
        <v>0</v>
      </c>
      <c r="P196" t="n">
        <v>0</v>
      </c>
      <c r="Q196" t="n">
        <v>0</v>
      </c>
      <c r="R196" s="2" t="inlineStr"/>
    </row>
    <row r="197" ht="15" customHeight="1">
      <c r="A197" t="inlineStr">
        <is>
          <t>A 71680-2018</t>
        </is>
      </c>
      <c r="B197" s="1" t="n">
        <v>43454</v>
      </c>
      <c r="C197" s="1" t="n">
        <v>45346</v>
      </c>
      <c r="D197" t="inlineStr">
        <is>
          <t>JÄMTLANDS LÄN</t>
        </is>
      </c>
      <c r="E197" t="inlineStr">
        <is>
          <t>HÄRJEDALEN</t>
        </is>
      </c>
      <c r="G197" t="n">
        <v>19.7</v>
      </c>
      <c r="H197" t="n">
        <v>0</v>
      </c>
      <c r="I197" t="n">
        <v>0</v>
      </c>
      <c r="J197" t="n">
        <v>0</v>
      </c>
      <c r="K197" t="n">
        <v>0</v>
      </c>
      <c r="L197" t="n">
        <v>0</v>
      </c>
      <c r="M197" t="n">
        <v>0</v>
      </c>
      <c r="N197" t="n">
        <v>0</v>
      </c>
      <c r="O197" t="n">
        <v>0</v>
      </c>
      <c r="P197" t="n">
        <v>0</v>
      </c>
      <c r="Q197" t="n">
        <v>0</v>
      </c>
      <c r="R197" s="2" t="inlineStr"/>
    </row>
    <row r="198" ht="15" customHeight="1">
      <c r="A198" t="inlineStr">
        <is>
          <t>A 1409-2019</t>
        </is>
      </c>
      <c r="B198" s="1" t="n">
        <v>43461</v>
      </c>
      <c r="C198" s="1" t="n">
        <v>45346</v>
      </c>
      <c r="D198" t="inlineStr">
        <is>
          <t>JÄMTLANDS LÄN</t>
        </is>
      </c>
      <c r="E198" t="inlineStr">
        <is>
          <t>HÄRJEDALEN</t>
        </is>
      </c>
      <c r="G198" t="n">
        <v>43.3</v>
      </c>
      <c r="H198" t="n">
        <v>0</v>
      </c>
      <c r="I198" t="n">
        <v>0</v>
      </c>
      <c r="J198" t="n">
        <v>0</v>
      </c>
      <c r="K198" t="n">
        <v>0</v>
      </c>
      <c r="L198" t="n">
        <v>0</v>
      </c>
      <c r="M198" t="n">
        <v>0</v>
      </c>
      <c r="N198" t="n">
        <v>0</v>
      </c>
      <c r="O198" t="n">
        <v>0</v>
      </c>
      <c r="P198" t="n">
        <v>0</v>
      </c>
      <c r="Q198" t="n">
        <v>0</v>
      </c>
      <c r="R198" s="2" t="inlineStr"/>
    </row>
    <row r="199" ht="15" customHeight="1">
      <c r="A199" t="inlineStr">
        <is>
          <t>A 556-2019</t>
        </is>
      </c>
      <c r="B199" s="1" t="n">
        <v>43469</v>
      </c>
      <c r="C199" s="1" t="n">
        <v>45346</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1750-2019</t>
        </is>
      </c>
      <c r="B200" s="1" t="n">
        <v>43474</v>
      </c>
      <c r="C200" s="1" t="n">
        <v>45346</v>
      </c>
      <c r="D200" t="inlineStr">
        <is>
          <t>JÄMTLANDS LÄN</t>
        </is>
      </c>
      <c r="E200" t="inlineStr">
        <is>
          <t>HÄRJEDALEN</t>
        </is>
      </c>
      <c r="G200" t="n">
        <v>6.4</v>
      </c>
      <c r="H200" t="n">
        <v>0</v>
      </c>
      <c r="I200" t="n">
        <v>0</v>
      </c>
      <c r="J200" t="n">
        <v>0</v>
      </c>
      <c r="K200" t="n">
        <v>0</v>
      </c>
      <c r="L200" t="n">
        <v>0</v>
      </c>
      <c r="M200" t="n">
        <v>0</v>
      </c>
      <c r="N200" t="n">
        <v>0</v>
      </c>
      <c r="O200" t="n">
        <v>0</v>
      </c>
      <c r="P200" t="n">
        <v>0</v>
      </c>
      <c r="Q200" t="n">
        <v>0</v>
      </c>
      <c r="R200" s="2" t="inlineStr"/>
    </row>
    <row r="201" ht="15" customHeight="1">
      <c r="A201" t="inlineStr">
        <is>
          <t>A 6025-2019</t>
        </is>
      </c>
      <c r="B201" s="1" t="n">
        <v>43474</v>
      </c>
      <c r="C201" s="1" t="n">
        <v>45346</v>
      </c>
      <c r="D201" t="inlineStr">
        <is>
          <t>JÄMTLANDS LÄN</t>
        </is>
      </c>
      <c r="E201" t="inlineStr">
        <is>
          <t>HÄRJEDALEN</t>
        </is>
      </c>
      <c r="F201" t="inlineStr">
        <is>
          <t>Bergvik skog väst AB</t>
        </is>
      </c>
      <c r="G201" t="n">
        <v>3.7</v>
      </c>
      <c r="H201" t="n">
        <v>0</v>
      </c>
      <c r="I201" t="n">
        <v>0</v>
      </c>
      <c r="J201" t="n">
        <v>0</v>
      </c>
      <c r="K201" t="n">
        <v>0</v>
      </c>
      <c r="L201" t="n">
        <v>0</v>
      </c>
      <c r="M201" t="n">
        <v>0</v>
      </c>
      <c r="N201" t="n">
        <v>0</v>
      </c>
      <c r="O201" t="n">
        <v>0</v>
      </c>
      <c r="P201" t="n">
        <v>0</v>
      </c>
      <c r="Q201" t="n">
        <v>0</v>
      </c>
      <c r="R201" s="2" t="inlineStr"/>
    </row>
    <row r="202" ht="15" customHeight="1">
      <c r="A202" t="inlineStr">
        <is>
          <t>A 3328-2019</t>
        </is>
      </c>
      <c r="B202" s="1" t="n">
        <v>43474</v>
      </c>
      <c r="C202" s="1" t="n">
        <v>45346</v>
      </c>
      <c r="D202" t="inlineStr">
        <is>
          <t>JÄMTLANDS LÄN</t>
        </is>
      </c>
      <c r="E202" t="inlineStr">
        <is>
          <t>HÄRJEDALEN</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1835-2019</t>
        </is>
      </c>
      <c r="B203" s="1" t="n">
        <v>43474</v>
      </c>
      <c r="C203" s="1" t="n">
        <v>45346</v>
      </c>
      <c r="D203" t="inlineStr">
        <is>
          <t>JÄMTLANDS LÄN</t>
        </is>
      </c>
      <c r="E203" t="inlineStr">
        <is>
          <t>HÄRJEDALEN</t>
        </is>
      </c>
      <c r="G203" t="n">
        <v>4.9</v>
      </c>
      <c r="H203" t="n">
        <v>0</v>
      </c>
      <c r="I203" t="n">
        <v>0</v>
      </c>
      <c r="J203" t="n">
        <v>0</v>
      </c>
      <c r="K203" t="n">
        <v>0</v>
      </c>
      <c r="L203" t="n">
        <v>0</v>
      </c>
      <c r="M203" t="n">
        <v>0</v>
      </c>
      <c r="N203" t="n">
        <v>0</v>
      </c>
      <c r="O203" t="n">
        <v>0</v>
      </c>
      <c r="P203" t="n">
        <v>0</v>
      </c>
      <c r="Q203" t="n">
        <v>0</v>
      </c>
      <c r="R203" s="2" t="inlineStr"/>
    </row>
    <row r="204" ht="15" customHeight="1">
      <c r="A204" t="inlineStr">
        <is>
          <t>A 6127-2019</t>
        </is>
      </c>
      <c r="B204" s="1" t="n">
        <v>43474</v>
      </c>
      <c r="C204" s="1" t="n">
        <v>45346</v>
      </c>
      <c r="D204" t="inlineStr">
        <is>
          <t>JÄMTLANDS LÄN</t>
        </is>
      </c>
      <c r="E204" t="inlineStr">
        <is>
          <t>HÄRJEDALEN</t>
        </is>
      </c>
      <c r="G204" t="n">
        <v>1.7</v>
      </c>
      <c r="H204" t="n">
        <v>0</v>
      </c>
      <c r="I204" t="n">
        <v>0</v>
      </c>
      <c r="J204" t="n">
        <v>0</v>
      </c>
      <c r="K204" t="n">
        <v>0</v>
      </c>
      <c r="L204" t="n">
        <v>0</v>
      </c>
      <c r="M204" t="n">
        <v>0</v>
      </c>
      <c r="N204" t="n">
        <v>0</v>
      </c>
      <c r="O204" t="n">
        <v>0</v>
      </c>
      <c r="P204" t="n">
        <v>0</v>
      </c>
      <c r="Q204" t="n">
        <v>0</v>
      </c>
      <c r="R204" s="2" t="inlineStr"/>
    </row>
    <row r="205" ht="15" customHeight="1">
      <c r="A205" t="inlineStr">
        <is>
          <t>A 2135-2019</t>
        </is>
      </c>
      <c r="B205" s="1" t="n">
        <v>43475</v>
      </c>
      <c r="C205" s="1" t="n">
        <v>45346</v>
      </c>
      <c r="D205" t="inlineStr">
        <is>
          <t>JÄMTLANDS LÄN</t>
        </is>
      </c>
      <c r="E205" t="inlineStr">
        <is>
          <t>HÄRJEDALEN</t>
        </is>
      </c>
      <c r="G205" t="n">
        <v>0.1</v>
      </c>
      <c r="H205" t="n">
        <v>0</v>
      </c>
      <c r="I205" t="n">
        <v>0</v>
      </c>
      <c r="J205" t="n">
        <v>0</v>
      </c>
      <c r="K205" t="n">
        <v>0</v>
      </c>
      <c r="L205" t="n">
        <v>0</v>
      </c>
      <c r="M205" t="n">
        <v>0</v>
      </c>
      <c r="N205" t="n">
        <v>0</v>
      </c>
      <c r="O205" t="n">
        <v>0</v>
      </c>
      <c r="P205" t="n">
        <v>0</v>
      </c>
      <c r="Q205" t="n">
        <v>0</v>
      </c>
      <c r="R205" s="2" t="inlineStr"/>
    </row>
    <row r="206" ht="15" customHeight="1">
      <c r="A206" t="inlineStr">
        <is>
          <t>A 3014-2019</t>
        </is>
      </c>
      <c r="B206" s="1" t="n">
        <v>43479</v>
      </c>
      <c r="C206" s="1" t="n">
        <v>45346</v>
      </c>
      <c r="D206" t="inlineStr">
        <is>
          <t>JÄMTLANDS LÄN</t>
        </is>
      </c>
      <c r="E206" t="inlineStr">
        <is>
          <t>HÄRJEDALEN</t>
        </is>
      </c>
      <c r="G206" t="n">
        <v>1.8</v>
      </c>
      <c r="H206" t="n">
        <v>0</v>
      </c>
      <c r="I206" t="n">
        <v>0</v>
      </c>
      <c r="J206" t="n">
        <v>0</v>
      </c>
      <c r="K206" t="n">
        <v>0</v>
      </c>
      <c r="L206" t="n">
        <v>0</v>
      </c>
      <c r="M206" t="n">
        <v>0</v>
      </c>
      <c r="N206" t="n">
        <v>0</v>
      </c>
      <c r="O206" t="n">
        <v>0</v>
      </c>
      <c r="P206" t="n">
        <v>0</v>
      </c>
      <c r="Q206" t="n">
        <v>0</v>
      </c>
      <c r="R206" s="2" t="inlineStr"/>
    </row>
    <row r="207" ht="15" customHeight="1">
      <c r="A207" t="inlineStr">
        <is>
          <t>A 3531-2019</t>
        </is>
      </c>
      <c r="B207" s="1" t="n">
        <v>43481</v>
      </c>
      <c r="C207" s="1" t="n">
        <v>45346</v>
      </c>
      <c r="D207" t="inlineStr">
        <is>
          <t>JÄMTLANDS LÄN</t>
        </is>
      </c>
      <c r="E207" t="inlineStr">
        <is>
          <t>HÄRJEDALEN</t>
        </is>
      </c>
      <c r="F207" t="inlineStr">
        <is>
          <t>Holmen skog AB</t>
        </is>
      </c>
      <c r="G207" t="n">
        <v>23.2</v>
      </c>
      <c r="H207" t="n">
        <v>0</v>
      </c>
      <c r="I207" t="n">
        <v>0</v>
      </c>
      <c r="J207" t="n">
        <v>0</v>
      </c>
      <c r="K207" t="n">
        <v>0</v>
      </c>
      <c r="L207" t="n">
        <v>0</v>
      </c>
      <c r="M207" t="n">
        <v>0</v>
      </c>
      <c r="N207" t="n">
        <v>0</v>
      </c>
      <c r="O207" t="n">
        <v>0</v>
      </c>
      <c r="P207" t="n">
        <v>0</v>
      </c>
      <c r="Q207" t="n">
        <v>0</v>
      </c>
      <c r="R207" s="2" t="inlineStr"/>
    </row>
    <row r="208" ht="15" customHeight="1">
      <c r="A208" t="inlineStr">
        <is>
          <t>A 3571-2019</t>
        </is>
      </c>
      <c r="B208" s="1" t="n">
        <v>43481</v>
      </c>
      <c r="C208" s="1" t="n">
        <v>45346</v>
      </c>
      <c r="D208" t="inlineStr">
        <is>
          <t>JÄMTLANDS LÄN</t>
        </is>
      </c>
      <c r="E208" t="inlineStr">
        <is>
          <t>HÄRJEDALEN</t>
        </is>
      </c>
      <c r="G208" t="n">
        <v>1.4</v>
      </c>
      <c r="H208" t="n">
        <v>0</v>
      </c>
      <c r="I208" t="n">
        <v>0</v>
      </c>
      <c r="J208" t="n">
        <v>0</v>
      </c>
      <c r="K208" t="n">
        <v>0</v>
      </c>
      <c r="L208" t="n">
        <v>0</v>
      </c>
      <c r="M208" t="n">
        <v>0</v>
      </c>
      <c r="N208" t="n">
        <v>0</v>
      </c>
      <c r="O208" t="n">
        <v>0</v>
      </c>
      <c r="P208" t="n">
        <v>0</v>
      </c>
      <c r="Q208" t="n">
        <v>0</v>
      </c>
      <c r="R208" s="2" t="inlineStr"/>
    </row>
    <row r="209" ht="15" customHeight="1">
      <c r="A209" t="inlineStr">
        <is>
          <t>A 3624-2019</t>
        </is>
      </c>
      <c r="B209" s="1" t="n">
        <v>43481</v>
      </c>
      <c r="C209" s="1" t="n">
        <v>45346</v>
      </c>
      <c r="D209" t="inlineStr">
        <is>
          <t>JÄMTLANDS LÄN</t>
        </is>
      </c>
      <c r="E209" t="inlineStr">
        <is>
          <t>HÄRJEDALEN</t>
        </is>
      </c>
      <c r="F209" t="inlineStr">
        <is>
          <t>Holmen skog AB</t>
        </is>
      </c>
      <c r="G209" t="n">
        <v>6.5</v>
      </c>
      <c r="H209" t="n">
        <v>0</v>
      </c>
      <c r="I209" t="n">
        <v>0</v>
      </c>
      <c r="J209" t="n">
        <v>0</v>
      </c>
      <c r="K209" t="n">
        <v>0</v>
      </c>
      <c r="L209" t="n">
        <v>0</v>
      </c>
      <c r="M209" t="n">
        <v>0</v>
      </c>
      <c r="N209" t="n">
        <v>0</v>
      </c>
      <c r="O209" t="n">
        <v>0</v>
      </c>
      <c r="P209" t="n">
        <v>0</v>
      </c>
      <c r="Q209" t="n">
        <v>0</v>
      </c>
      <c r="R209" s="2" t="inlineStr"/>
    </row>
    <row r="210" ht="15" customHeight="1">
      <c r="A210" t="inlineStr">
        <is>
          <t>A 3785-2019</t>
        </is>
      </c>
      <c r="B210" s="1" t="n">
        <v>43482</v>
      </c>
      <c r="C210" s="1" t="n">
        <v>45346</v>
      </c>
      <c r="D210" t="inlineStr">
        <is>
          <t>JÄMTLANDS LÄN</t>
        </is>
      </c>
      <c r="E210" t="inlineStr">
        <is>
          <t>HÄRJEDALEN</t>
        </is>
      </c>
      <c r="G210" t="n">
        <v>8.1</v>
      </c>
      <c r="H210" t="n">
        <v>0</v>
      </c>
      <c r="I210" t="n">
        <v>0</v>
      </c>
      <c r="J210" t="n">
        <v>0</v>
      </c>
      <c r="K210" t="n">
        <v>0</v>
      </c>
      <c r="L210" t="n">
        <v>0</v>
      </c>
      <c r="M210" t="n">
        <v>0</v>
      </c>
      <c r="N210" t="n">
        <v>0</v>
      </c>
      <c r="O210" t="n">
        <v>0</v>
      </c>
      <c r="P210" t="n">
        <v>0</v>
      </c>
      <c r="Q210" t="n">
        <v>0</v>
      </c>
      <c r="R210" s="2" t="inlineStr"/>
    </row>
    <row r="211" ht="15" customHeight="1">
      <c r="A211" t="inlineStr">
        <is>
          <t>A 3788-2019</t>
        </is>
      </c>
      <c r="B211" s="1" t="n">
        <v>43482</v>
      </c>
      <c r="C211" s="1" t="n">
        <v>45346</v>
      </c>
      <c r="D211" t="inlineStr">
        <is>
          <t>JÄMTLANDS LÄN</t>
        </is>
      </c>
      <c r="E211" t="inlineStr">
        <is>
          <t>HÄRJEDALEN</t>
        </is>
      </c>
      <c r="G211" t="n">
        <v>5.2</v>
      </c>
      <c r="H211" t="n">
        <v>0</v>
      </c>
      <c r="I211" t="n">
        <v>0</v>
      </c>
      <c r="J211" t="n">
        <v>0</v>
      </c>
      <c r="K211" t="n">
        <v>0</v>
      </c>
      <c r="L211" t="n">
        <v>0</v>
      </c>
      <c r="M211" t="n">
        <v>0</v>
      </c>
      <c r="N211" t="n">
        <v>0</v>
      </c>
      <c r="O211" t="n">
        <v>0</v>
      </c>
      <c r="P211" t="n">
        <v>0</v>
      </c>
      <c r="Q211" t="n">
        <v>0</v>
      </c>
      <c r="R211" s="2" t="inlineStr"/>
    </row>
    <row r="212" ht="15" customHeight="1">
      <c r="A212" t="inlineStr">
        <is>
          <t>A 3787-2019</t>
        </is>
      </c>
      <c r="B212" s="1" t="n">
        <v>43482</v>
      </c>
      <c r="C212" s="1" t="n">
        <v>45346</v>
      </c>
      <c r="D212" t="inlineStr">
        <is>
          <t>JÄMTLANDS LÄN</t>
        </is>
      </c>
      <c r="E212" t="inlineStr">
        <is>
          <t>HÄRJEDALEN</t>
        </is>
      </c>
      <c r="G212" t="n">
        <v>7.1</v>
      </c>
      <c r="H212" t="n">
        <v>0</v>
      </c>
      <c r="I212" t="n">
        <v>0</v>
      </c>
      <c r="J212" t="n">
        <v>0</v>
      </c>
      <c r="K212" t="n">
        <v>0</v>
      </c>
      <c r="L212" t="n">
        <v>0</v>
      </c>
      <c r="M212" t="n">
        <v>0</v>
      </c>
      <c r="N212" t="n">
        <v>0</v>
      </c>
      <c r="O212" t="n">
        <v>0</v>
      </c>
      <c r="P212" t="n">
        <v>0</v>
      </c>
      <c r="Q212" t="n">
        <v>0</v>
      </c>
      <c r="R212" s="2" t="inlineStr"/>
    </row>
    <row r="213" ht="15" customHeight="1">
      <c r="A213" t="inlineStr">
        <is>
          <t>A 4359-2019</t>
        </is>
      </c>
      <c r="B213" s="1" t="n">
        <v>43483</v>
      </c>
      <c r="C213" s="1" t="n">
        <v>45346</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4617-2019</t>
        </is>
      </c>
      <c r="B214" s="1" t="n">
        <v>43486</v>
      </c>
      <c r="C214" s="1" t="n">
        <v>45346</v>
      </c>
      <c r="D214" t="inlineStr">
        <is>
          <t>JÄMTLANDS LÄN</t>
        </is>
      </c>
      <c r="E214" t="inlineStr">
        <is>
          <t>HÄRJEDALEN</t>
        </is>
      </c>
      <c r="G214" t="n">
        <v>2.1</v>
      </c>
      <c r="H214" t="n">
        <v>0</v>
      </c>
      <c r="I214" t="n">
        <v>0</v>
      </c>
      <c r="J214" t="n">
        <v>0</v>
      </c>
      <c r="K214" t="n">
        <v>0</v>
      </c>
      <c r="L214" t="n">
        <v>0</v>
      </c>
      <c r="M214" t="n">
        <v>0</v>
      </c>
      <c r="N214" t="n">
        <v>0</v>
      </c>
      <c r="O214" t="n">
        <v>0</v>
      </c>
      <c r="P214" t="n">
        <v>0</v>
      </c>
      <c r="Q214" t="n">
        <v>0</v>
      </c>
      <c r="R214" s="2" t="inlineStr"/>
    </row>
    <row r="215" ht="15" customHeight="1">
      <c r="A215" t="inlineStr">
        <is>
          <t>A 6418-2019</t>
        </is>
      </c>
      <c r="B215" s="1" t="n">
        <v>43486</v>
      </c>
      <c r="C215" s="1" t="n">
        <v>45346</v>
      </c>
      <c r="D215" t="inlineStr">
        <is>
          <t>JÄMTLANDS LÄN</t>
        </is>
      </c>
      <c r="E215" t="inlineStr">
        <is>
          <t>HÄRJEDALEN</t>
        </is>
      </c>
      <c r="F215" t="inlineStr">
        <is>
          <t>Övriga statliga verk och myndigheter</t>
        </is>
      </c>
      <c r="G215" t="n">
        <v>0.3</v>
      </c>
      <c r="H215" t="n">
        <v>0</v>
      </c>
      <c r="I215" t="n">
        <v>0</v>
      </c>
      <c r="J215" t="n">
        <v>0</v>
      </c>
      <c r="K215" t="n">
        <v>0</v>
      </c>
      <c r="L215" t="n">
        <v>0</v>
      </c>
      <c r="M215" t="n">
        <v>0</v>
      </c>
      <c r="N215" t="n">
        <v>0</v>
      </c>
      <c r="O215" t="n">
        <v>0</v>
      </c>
      <c r="P215" t="n">
        <v>0</v>
      </c>
      <c r="Q215" t="n">
        <v>0</v>
      </c>
      <c r="R215" s="2" t="inlineStr"/>
    </row>
    <row r="216" ht="15" customHeight="1">
      <c r="A216" t="inlineStr">
        <is>
          <t>A 5327-2019</t>
        </is>
      </c>
      <c r="B216" s="1" t="n">
        <v>43488</v>
      </c>
      <c r="C216" s="1" t="n">
        <v>45346</v>
      </c>
      <c r="D216" t="inlineStr">
        <is>
          <t>JÄMTLANDS LÄN</t>
        </is>
      </c>
      <c r="E216" t="inlineStr">
        <is>
          <t>HÄRJEDALEN</t>
        </is>
      </c>
      <c r="F216" t="inlineStr">
        <is>
          <t>Bergvik skog väst AB</t>
        </is>
      </c>
      <c r="G216" t="n">
        <v>5.1</v>
      </c>
      <c r="H216" t="n">
        <v>0</v>
      </c>
      <c r="I216" t="n">
        <v>0</v>
      </c>
      <c r="J216" t="n">
        <v>0</v>
      </c>
      <c r="K216" t="n">
        <v>0</v>
      </c>
      <c r="L216" t="n">
        <v>0</v>
      </c>
      <c r="M216" t="n">
        <v>0</v>
      </c>
      <c r="N216" t="n">
        <v>0</v>
      </c>
      <c r="O216" t="n">
        <v>0</v>
      </c>
      <c r="P216" t="n">
        <v>0</v>
      </c>
      <c r="Q216" t="n">
        <v>0</v>
      </c>
      <c r="R216" s="2" t="inlineStr"/>
    </row>
    <row r="217" ht="15" customHeight="1">
      <c r="A217" t="inlineStr">
        <is>
          <t>A 5663-2019</t>
        </is>
      </c>
      <c r="B217" s="1" t="n">
        <v>43489</v>
      </c>
      <c r="C217" s="1" t="n">
        <v>45346</v>
      </c>
      <c r="D217" t="inlineStr">
        <is>
          <t>JÄMTLANDS LÄN</t>
        </is>
      </c>
      <c r="E217" t="inlineStr">
        <is>
          <t>HÄRJEDALEN</t>
        </is>
      </c>
      <c r="G217" t="n">
        <v>3.2</v>
      </c>
      <c r="H217" t="n">
        <v>0</v>
      </c>
      <c r="I217" t="n">
        <v>0</v>
      </c>
      <c r="J217" t="n">
        <v>0</v>
      </c>
      <c r="K217" t="n">
        <v>0</v>
      </c>
      <c r="L217" t="n">
        <v>0</v>
      </c>
      <c r="M217" t="n">
        <v>0</v>
      </c>
      <c r="N217" t="n">
        <v>0</v>
      </c>
      <c r="O217" t="n">
        <v>0</v>
      </c>
      <c r="P217" t="n">
        <v>0</v>
      </c>
      <c r="Q217" t="n">
        <v>0</v>
      </c>
      <c r="R217" s="2" t="inlineStr"/>
    </row>
    <row r="218" ht="15" customHeight="1">
      <c r="A218" t="inlineStr">
        <is>
          <t>A 5805-2019</t>
        </is>
      </c>
      <c r="B218" s="1" t="n">
        <v>43490</v>
      </c>
      <c r="C218" s="1" t="n">
        <v>45346</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5790-2019</t>
        </is>
      </c>
      <c r="B219" s="1" t="n">
        <v>43490</v>
      </c>
      <c r="C219" s="1" t="n">
        <v>45346</v>
      </c>
      <c r="D219" t="inlineStr">
        <is>
          <t>JÄMTLANDS LÄN</t>
        </is>
      </c>
      <c r="E219" t="inlineStr">
        <is>
          <t>HÄRJEDALEN</t>
        </is>
      </c>
      <c r="G219" t="n">
        <v>1</v>
      </c>
      <c r="H219" t="n">
        <v>0</v>
      </c>
      <c r="I219" t="n">
        <v>0</v>
      </c>
      <c r="J219" t="n">
        <v>0</v>
      </c>
      <c r="K219" t="n">
        <v>0</v>
      </c>
      <c r="L219" t="n">
        <v>0</v>
      </c>
      <c r="M219" t="n">
        <v>0</v>
      </c>
      <c r="N219" t="n">
        <v>0</v>
      </c>
      <c r="O219" t="n">
        <v>0</v>
      </c>
      <c r="P219" t="n">
        <v>0</v>
      </c>
      <c r="Q219" t="n">
        <v>0</v>
      </c>
      <c r="R219" s="2" t="inlineStr"/>
    </row>
    <row r="220" ht="15" customHeight="1">
      <c r="A220" t="inlineStr">
        <is>
          <t>A 5779-2019</t>
        </is>
      </c>
      <c r="B220" s="1" t="n">
        <v>43490</v>
      </c>
      <c r="C220" s="1" t="n">
        <v>45346</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8155-2019</t>
        </is>
      </c>
      <c r="B221" s="1" t="n">
        <v>43495</v>
      </c>
      <c r="C221" s="1" t="n">
        <v>45346</v>
      </c>
      <c r="D221" t="inlineStr">
        <is>
          <t>JÄMTLANDS LÄN</t>
        </is>
      </c>
      <c r="E221" t="inlineStr">
        <is>
          <t>HÄRJEDALEN</t>
        </is>
      </c>
      <c r="G221" t="n">
        <v>16.9</v>
      </c>
      <c r="H221" t="n">
        <v>0</v>
      </c>
      <c r="I221" t="n">
        <v>0</v>
      </c>
      <c r="J221" t="n">
        <v>0</v>
      </c>
      <c r="K221" t="n">
        <v>0</v>
      </c>
      <c r="L221" t="n">
        <v>0</v>
      </c>
      <c r="M221" t="n">
        <v>0</v>
      </c>
      <c r="N221" t="n">
        <v>0</v>
      </c>
      <c r="O221" t="n">
        <v>0</v>
      </c>
      <c r="P221" t="n">
        <v>0</v>
      </c>
      <c r="Q221" t="n">
        <v>0</v>
      </c>
      <c r="R221" s="2" t="inlineStr"/>
    </row>
    <row r="222" ht="15" customHeight="1">
      <c r="A222" t="inlineStr">
        <is>
          <t>A 6886-2019</t>
        </is>
      </c>
      <c r="B222" s="1" t="n">
        <v>43495</v>
      </c>
      <c r="C222" s="1" t="n">
        <v>45346</v>
      </c>
      <c r="D222" t="inlineStr">
        <is>
          <t>JÄMTLANDS LÄN</t>
        </is>
      </c>
      <c r="E222" t="inlineStr">
        <is>
          <t>HÄRJEDALEN</t>
        </is>
      </c>
      <c r="G222" t="n">
        <v>10.4</v>
      </c>
      <c r="H222" t="n">
        <v>0</v>
      </c>
      <c r="I222" t="n">
        <v>0</v>
      </c>
      <c r="J222" t="n">
        <v>0</v>
      </c>
      <c r="K222" t="n">
        <v>0</v>
      </c>
      <c r="L222" t="n">
        <v>0</v>
      </c>
      <c r="M222" t="n">
        <v>0</v>
      </c>
      <c r="N222" t="n">
        <v>0</v>
      </c>
      <c r="O222" t="n">
        <v>0</v>
      </c>
      <c r="P222" t="n">
        <v>0</v>
      </c>
      <c r="Q222" t="n">
        <v>0</v>
      </c>
      <c r="R222" s="2" t="inlineStr"/>
    </row>
    <row r="223" ht="15" customHeight="1">
      <c r="A223" t="inlineStr">
        <is>
          <t>A 7478-2019</t>
        </is>
      </c>
      <c r="B223" s="1" t="n">
        <v>43497</v>
      </c>
      <c r="C223" s="1" t="n">
        <v>45346</v>
      </c>
      <c r="D223" t="inlineStr">
        <is>
          <t>JÄMTLANDS LÄN</t>
        </is>
      </c>
      <c r="E223" t="inlineStr">
        <is>
          <t>HÄRJEDALEN</t>
        </is>
      </c>
      <c r="G223" t="n">
        <v>2.1</v>
      </c>
      <c r="H223" t="n">
        <v>0</v>
      </c>
      <c r="I223" t="n">
        <v>0</v>
      </c>
      <c r="J223" t="n">
        <v>0</v>
      </c>
      <c r="K223" t="n">
        <v>0</v>
      </c>
      <c r="L223" t="n">
        <v>0</v>
      </c>
      <c r="M223" t="n">
        <v>0</v>
      </c>
      <c r="N223" t="n">
        <v>0</v>
      </c>
      <c r="O223" t="n">
        <v>0</v>
      </c>
      <c r="P223" t="n">
        <v>0</v>
      </c>
      <c r="Q223" t="n">
        <v>0</v>
      </c>
      <c r="R223" s="2" t="inlineStr"/>
    </row>
    <row r="224" ht="15" customHeight="1">
      <c r="A224" t="inlineStr">
        <is>
          <t>A 7793-2019</t>
        </is>
      </c>
      <c r="B224" s="1" t="n">
        <v>43500</v>
      </c>
      <c r="C224" s="1" t="n">
        <v>45346</v>
      </c>
      <c r="D224" t="inlineStr">
        <is>
          <t>JÄMTLANDS LÄN</t>
        </is>
      </c>
      <c r="E224" t="inlineStr">
        <is>
          <t>HÄRJEDALEN</t>
        </is>
      </c>
      <c r="F224" t="inlineStr">
        <is>
          <t>Holmen skog AB</t>
        </is>
      </c>
      <c r="G224" t="n">
        <v>18</v>
      </c>
      <c r="H224" t="n">
        <v>0</v>
      </c>
      <c r="I224" t="n">
        <v>0</v>
      </c>
      <c r="J224" t="n">
        <v>0</v>
      </c>
      <c r="K224" t="n">
        <v>0</v>
      </c>
      <c r="L224" t="n">
        <v>0</v>
      </c>
      <c r="M224" t="n">
        <v>0</v>
      </c>
      <c r="N224" t="n">
        <v>0</v>
      </c>
      <c r="O224" t="n">
        <v>0</v>
      </c>
      <c r="P224" t="n">
        <v>0</v>
      </c>
      <c r="Q224" t="n">
        <v>0</v>
      </c>
      <c r="R224" s="2" t="inlineStr"/>
    </row>
    <row r="225" ht="15" customHeight="1">
      <c r="A225" t="inlineStr">
        <is>
          <t>A 7839-2019</t>
        </is>
      </c>
      <c r="B225" s="1" t="n">
        <v>43500</v>
      </c>
      <c r="C225" s="1" t="n">
        <v>45346</v>
      </c>
      <c r="D225" t="inlineStr">
        <is>
          <t>JÄMTLANDS LÄN</t>
        </is>
      </c>
      <c r="E225" t="inlineStr">
        <is>
          <t>HÄRJEDALEN</t>
        </is>
      </c>
      <c r="F225" t="inlineStr">
        <is>
          <t>Holmen skog AB</t>
        </is>
      </c>
      <c r="G225" t="n">
        <v>43</v>
      </c>
      <c r="H225" t="n">
        <v>0</v>
      </c>
      <c r="I225" t="n">
        <v>0</v>
      </c>
      <c r="J225" t="n">
        <v>0</v>
      </c>
      <c r="K225" t="n">
        <v>0</v>
      </c>
      <c r="L225" t="n">
        <v>0</v>
      </c>
      <c r="M225" t="n">
        <v>0</v>
      </c>
      <c r="N225" t="n">
        <v>0</v>
      </c>
      <c r="O225" t="n">
        <v>0</v>
      </c>
      <c r="P225" t="n">
        <v>0</v>
      </c>
      <c r="Q225" t="n">
        <v>0</v>
      </c>
      <c r="R225" s="2" t="inlineStr"/>
    </row>
    <row r="226" ht="15" customHeight="1">
      <c r="A226" t="inlineStr">
        <is>
          <t>A 7791-2019</t>
        </is>
      </c>
      <c r="B226" s="1" t="n">
        <v>43500</v>
      </c>
      <c r="C226" s="1" t="n">
        <v>45346</v>
      </c>
      <c r="D226" t="inlineStr">
        <is>
          <t>JÄMTLANDS LÄN</t>
        </is>
      </c>
      <c r="E226" t="inlineStr">
        <is>
          <t>HÄRJEDALEN</t>
        </is>
      </c>
      <c r="F226" t="inlineStr">
        <is>
          <t>Holmen skog AB</t>
        </is>
      </c>
      <c r="G226" t="n">
        <v>18.3</v>
      </c>
      <c r="H226" t="n">
        <v>0</v>
      </c>
      <c r="I226" t="n">
        <v>0</v>
      </c>
      <c r="J226" t="n">
        <v>0</v>
      </c>
      <c r="K226" t="n">
        <v>0</v>
      </c>
      <c r="L226" t="n">
        <v>0</v>
      </c>
      <c r="M226" t="n">
        <v>0</v>
      </c>
      <c r="N226" t="n">
        <v>0</v>
      </c>
      <c r="O226" t="n">
        <v>0</v>
      </c>
      <c r="P226" t="n">
        <v>0</v>
      </c>
      <c r="Q226" t="n">
        <v>0</v>
      </c>
      <c r="R226" s="2" t="inlineStr"/>
    </row>
    <row r="227" ht="15" customHeight="1">
      <c r="A227" t="inlineStr">
        <is>
          <t>A 7840-2019</t>
        </is>
      </c>
      <c r="B227" s="1" t="n">
        <v>43500</v>
      </c>
      <c r="C227" s="1" t="n">
        <v>45346</v>
      </c>
      <c r="D227" t="inlineStr">
        <is>
          <t>JÄMTLANDS LÄN</t>
        </is>
      </c>
      <c r="E227" t="inlineStr">
        <is>
          <t>HÄRJEDALEN</t>
        </is>
      </c>
      <c r="F227" t="inlineStr">
        <is>
          <t>Holmen skog AB</t>
        </is>
      </c>
      <c r="G227" t="n">
        <v>0.5</v>
      </c>
      <c r="H227" t="n">
        <v>0</v>
      </c>
      <c r="I227" t="n">
        <v>0</v>
      </c>
      <c r="J227" t="n">
        <v>0</v>
      </c>
      <c r="K227" t="n">
        <v>0</v>
      </c>
      <c r="L227" t="n">
        <v>0</v>
      </c>
      <c r="M227" t="n">
        <v>0</v>
      </c>
      <c r="N227" t="n">
        <v>0</v>
      </c>
      <c r="O227" t="n">
        <v>0</v>
      </c>
      <c r="P227" t="n">
        <v>0</v>
      </c>
      <c r="Q227" t="n">
        <v>0</v>
      </c>
      <c r="R227" s="2" t="inlineStr"/>
    </row>
    <row r="228" ht="15" customHeight="1">
      <c r="A228" t="inlineStr">
        <is>
          <t>A 7790-2019</t>
        </is>
      </c>
      <c r="B228" s="1" t="n">
        <v>43500</v>
      </c>
      <c r="C228" s="1" t="n">
        <v>45346</v>
      </c>
      <c r="D228" t="inlineStr">
        <is>
          <t>JÄMTLANDS LÄN</t>
        </is>
      </c>
      <c r="E228" t="inlineStr">
        <is>
          <t>HÄRJEDALEN</t>
        </is>
      </c>
      <c r="F228" t="inlineStr">
        <is>
          <t>Holmen skog AB</t>
        </is>
      </c>
      <c r="G228" t="n">
        <v>7.9</v>
      </c>
      <c r="H228" t="n">
        <v>0</v>
      </c>
      <c r="I228" t="n">
        <v>0</v>
      </c>
      <c r="J228" t="n">
        <v>0</v>
      </c>
      <c r="K228" t="n">
        <v>0</v>
      </c>
      <c r="L228" t="n">
        <v>0</v>
      </c>
      <c r="M228" t="n">
        <v>0</v>
      </c>
      <c r="N228" t="n">
        <v>0</v>
      </c>
      <c r="O228" t="n">
        <v>0</v>
      </c>
      <c r="P228" t="n">
        <v>0</v>
      </c>
      <c r="Q228" t="n">
        <v>0</v>
      </c>
      <c r="R228" s="2" t="inlineStr"/>
    </row>
    <row r="229" ht="15" customHeight="1">
      <c r="A229" t="inlineStr">
        <is>
          <t>A 7853-2019</t>
        </is>
      </c>
      <c r="B229" s="1" t="n">
        <v>43500</v>
      </c>
      <c r="C229" s="1" t="n">
        <v>45346</v>
      </c>
      <c r="D229" t="inlineStr">
        <is>
          <t>JÄMTLANDS LÄN</t>
        </is>
      </c>
      <c r="E229" t="inlineStr">
        <is>
          <t>HÄRJEDALEN</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9236-2019</t>
        </is>
      </c>
      <c r="B230" s="1" t="n">
        <v>43507</v>
      </c>
      <c r="C230" s="1" t="n">
        <v>45346</v>
      </c>
      <c r="D230" t="inlineStr">
        <is>
          <t>JÄMTLANDS LÄN</t>
        </is>
      </c>
      <c r="E230" t="inlineStr">
        <is>
          <t>HÄRJEDALEN</t>
        </is>
      </c>
      <c r="F230" t="inlineStr">
        <is>
          <t>Bergvik skog väst AB</t>
        </is>
      </c>
      <c r="G230" t="n">
        <v>23.2</v>
      </c>
      <c r="H230" t="n">
        <v>0</v>
      </c>
      <c r="I230" t="n">
        <v>0</v>
      </c>
      <c r="J230" t="n">
        <v>0</v>
      </c>
      <c r="K230" t="n">
        <v>0</v>
      </c>
      <c r="L230" t="n">
        <v>0</v>
      </c>
      <c r="M230" t="n">
        <v>0</v>
      </c>
      <c r="N230" t="n">
        <v>0</v>
      </c>
      <c r="O230" t="n">
        <v>0</v>
      </c>
      <c r="P230" t="n">
        <v>0</v>
      </c>
      <c r="Q230" t="n">
        <v>0</v>
      </c>
      <c r="R230" s="2" t="inlineStr"/>
    </row>
    <row r="231" ht="15" customHeight="1">
      <c r="A231" t="inlineStr">
        <is>
          <t>A 9670-2019</t>
        </is>
      </c>
      <c r="B231" s="1" t="n">
        <v>43508</v>
      </c>
      <c r="C231" s="1" t="n">
        <v>45346</v>
      </c>
      <c r="D231" t="inlineStr">
        <is>
          <t>JÄMTLANDS LÄN</t>
        </is>
      </c>
      <c r="E231" t="inlineStr">
        <is>
          <t>HÄRJEDALEN</t>
        </is>
      </c>
      <c r="G231" t="n">
        <v>34.2</v>
      </c>
      <c r="H231" t="n">
        <v>0</v>
      </c>
      <c r="I231" t="n">
        <v>0</v>
      </c>
      <c r="J231" t="n">
        <v>0</v>
      </c>
      <c r="K231" t="n">
        <v>0</v>
      </c>
      <c r="L231" t="n">
        <v>0</v>
      </c>
      <c r="M231" t="n">
        <v>0</v>
      </c>
      <c r="N231" t="n">
        <v>0</v>
      </c>
      <c r="O231" t="n">
        <v>0</v>
      </c>
      <c r="P231" t="n">
        <v>0</v>
      </c>
      <c r="Q231" t="n">
        <v>0</v>
      </c>
      <c r="R231" s="2" t="inlineStr"/>
    </row>
    <row r="232" ht="15" customHeight="1">
      <c r="A232" t="inlineStr">
        <is>
          <t>A 10139-2019</t>
        </is>
      </c>
      <c r="B232" s="1" t="n">
        <v>43510</v>
      </c>
      <c r="C232" s="1" t="n">
        <v>45346</v>
      </c>
      <c r="D232" t="inlineStr">
        <is>
          <t>JÄMTLANDS LÄN</t>
        </is>
      </c>
      <c r="E232" t="inlineStr">
        <is>
          <t>HÄRJEDALEN</t>
        </is>
      </c>
      <c r="G232" t="n">
        <v>2.4</v>
      </c>
      <c r="H232" t="n">
        <v>0</v>
      </c>
      <c r="I232" t="n">
        <v>0</v>
      </c>
      <c r="J232" t="n">
        <v>0</v>
      </c>
      <c r="K232" t="n">
        <v>0</v>
      </c>
      <c r="L232" t="n">
        <v>0</v>
      </c>
      <c r="M232" t="n">
        <v>0</v>
      </c>
      <c r="N232" t="n">
        <v>0</v>
      </c>
      <c r="O232" t="n">
        <v>0</v>
      </c>
      <c r="P232" t="n">
        <v>0</v>
      </c>
      <c r="Q232" t="n">
        <v>0</v>
      </c>
      <c r="R232" s="2" t="inlineStr"/>
    </row>
    <row r="233" ht="15" customHeight="1">
      <c r="A233" t="inlineStr">
        <is>
          <t>A 12151-2019</t>
        </is>
      </c>
      <c r="B233" s="1" t="n">
        <v>43522</v>
      </c>
      <c r="C233" s="1" t="n">
        <v>45346</v>
      </c>
      <c r="D233" t="inlineStr">
        <is>
          <t>JÄMTLANDS LÄN</t>
        </is>
      </c>
      <c r="E233" t="inlineStr">
        <is>
          <t>HÄRJEDALEN</t>
        </is>
      </c>
      <c r="G233" t="n">
        <v>5.6</v>
      </c>
      <c r="H233" t="n">
        <v>0</v>
      </c>
      <c r="I233" t="n">
        <v>0</v>
      </c>
      <c r="J233" t="n">
        <v>0</v>
      </c>
      <c r="K233" t="n">
        <v>0</v>
      </c>
      <c r="L233" t="n">
        <v>0</v>
      </c>
      <c r="M233" t="n">
        <v>0</v>
      </c>
      <c r="N233" t="n">
        <v>0</v>
      </c>
      <c r="O233" t="n">
        <v>0</v>
      </c>
      <c r="P233" t="n">
        <v>0</v>
      </c>
      <c r="Q233" t="n">
        <v>0</v>
      </c>
      <c r="R233" s="2" t="inlineStr"/>
    </row>
    <row r="234" ht="15" customHeight="1">
      <c r="A234" t="inlineStr">
        <is>
          <t>A 12149-2019</t>
        </is>
      </c>
      <c r="B234" s="1" t="n">
        <v>43522</v>
      </c>
      <c r="C234" s="1" t="n">
        <v>45346</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12822-2019</t>
        </is>
      </c>
      <c r="B235" s="1" t="n">
        <v>43525</v>
      </c>
      <c r="C235" s="1" t="n">
        <v>45346</v>
      </c>
      <c r="D235" t="inlineStr">
        <is>
          <t>JÄMTLANDS LÄN</t>
        </is>
      </c>
      <c r="E235" t="inlineStr">
        <is>
          <t>HÄRJEDALEN</t>
        </is>
      </c>
      <c r="G235" t="n">
        <v>17.1</v>
      </c>
      <c r="H235" t="n">
        <v>0</v>
      </c>
      <c r="I235" t="n">
        <v>0</v>
      </c>
      <c r="J235" t="n">
        <v>0</v>
      </c>
      <c r="K235" t="n">
        <v>0</v>
      </c>
      <c r="L235" t="n">
        <v>0</v>
      </c>
      <c r="M235" t="n">
        <v>0</v>
      </c>
      <c r="N235" t="n">
        <v>0</v>
      </c>
      <c r="O235" t="n">
        <v>0</v>
      </c>
      <c r="P235" t="n">
        <v>0</v>
      </c>
      <c r="Q235" t="n">
        <v>0</v>
      </c>
      <c r="R235" s="2" t="inlineStr"/>
    </row>
    <row r="236" ht="15" customHeight="1">
      <c r="A236" t="inlineStr">
        <is>
          <t>A 12829-2019</t>
        </is>
      </c>
      <c r="B236" s="1" t="n">
        <v>43525</v>
      </c>
      <c r="C236" s="1" t="n">
        <v>45346</v>
      </c>
      <c r="D236" t="inlineStr">
        <is>
          <t>JÄMTLANDS LÄN</t>
        </is>
      </c>
      <c r="E236" t="inlineStr">
        <is>
          <t>HÄRJEDALEN</t>
        </is>
      </c>
      <c r="G236" t="n">
        <v>20.6</v>
      </c>
      <c r="H236" t="n">
        <v>0</v>
      </c>
      <c r="I236" t="n">
        <v>0</v>
      </c>
      <c r="J236" t="n">
        <v>0</v>
      </c>
      <c r="K236" t="n">
        <v>0</v>
      </c>
      <c r="L236" t="n">
        <v>0</v>
      </c>
      <c r="M236" t="n">
        <v>0</v>
      </c>
      <c r="N236" t="n">
        <v>0</v>
      </c>
      <c r="O236" t="n">
        <v>0</v>
      </c>
      <c r="P236" t="n">
        <v>0</v>
      </c>
      <c r="Q236" t="n">
        <v>0</v>
      </c>
      <c r="R236" s="2" t="inlineStr"/>
    </row>
    <row r="237" ht="15" customHeight="1">
      <c r="A237" t="inlineStr">
        <is>
          <t>A 12825-2019</t>
        </is>
      </c>
      <c r="B237" s="1" t="n">
        <v>43525</v>
      </c>
      <c r="C237" s="1" t="n">
        <v>45346</v>
      </c>
      <c r="D237" t="inlineStr">
        <is>
          <t>JÄMTLANDS LÄN</t>
        </is>
      </c>
      <c r="E237" t="inlineStr">
        <is>
          <t>HÄRJEDALEN</t>
        </is>
      </c>
      <c r="G237" t="n">
        <v>19.6</v>
      </c>
      <c r="H237" t="n">
        <v>0</v>
      </c>
      <c r="I237" t="n">
        <v>0</v>
      </c>
      <c r="J237" t="n">
        <v>0</v>
      </c>
      <c r="K237" t="n">
        <v>0</v>
      </c>
      <c r="L237" t="n">
        <v>0</v>
      </c>
      <c r="M237" t="n">
        <v>0</v>
      </c>
      <c r="N237" t="n">
        <v>0</v>
      </c>
      <c r="O237" t="n">
        <v>0</v>
      </c>
      <c r="P237" t="n">
        <v>0</v>
      </c>
      <c r="Q237" t="n">
        <v>0</v>
      </c>
      <c r="R237" s="2" t="inlineStr"/>
    </row>
    <row r="238" ht="15" customHeight="1">
      <c r="A238" t="inlineStr">
        <is>
          <t>A 12764-2019</t>
        </is>
      </c>
      <c r="B238" s="1" t="n">
        <v>43525</v>
      </c>
      <c r="C238" s="1" t="n">
        <v>45346</v>
      </c>
      <c r="D238" t="inlineStr">
        <is>
          <t>JÄMTLANDS LÄN</t>
        </is>
      </c>
      <c r="E238" t="inlineStr">
        <is>
          <t>HÄRJEDALEN</t>
        </is>
      </c>
      <c r="F238" t="inlineStr">
        <is>
          <t>Kyrkan</t>
        </is>
      </c>
      <c r="G238" t="n">
        <v>19.2</v>
      </c>
      <c r="H238" t="n">
        <v>0</v>
      </c>
      <c r="I238" t="n">
        <v>0</v>
      </c>
      <c r="J238" t="n">
        <v>0</v>
      </c>
      <c r="K238" t="n">
        <v>0</v>
      </c>
      <c r="L238" t="n">
        <v>0</v>
      </c>
      <c r="M238" t="n">
        <v>0</v>
      </c>
      <c r="N238" t="n">
        <v>0</v>
      </c>
      <c r="O238" t="n">
        <v>0</v>
      </c>
      <c r="P238" t="n">
        <v>0</v>
      </c>
      <c r="Q238" t="n">
        <v>0</v>
      </c>
      <c r="R238" s="2" t="inlineStr"/>
    </row>
    <row r="239" ht="15" customHeight="1">
      <c r="A239" t="inlineStr">
        <is>
          <t>A 13202-2019</t>
        </is>
      </c>
      <c r="B239" s="1" t="n">
        <v>43528</v>
      </c>
      <c r="C239" s="1" t="n">
        <v>45346</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13182-2019</t>
        </is>
      </c>
      <c r="B240" s="1" t="n">
        <v>43528</v>
      </c>
      <c r="C240" s="1" t="n">
        <v>45346</v>
      </c>
      <c r="D240" t="inlineStr">
        <is>
          <t>JÄMTLANDS LÄN</t>
        </is>
      </c>
      <c r="E240" t="inlineStr">
        <is>
          <t>HÄRJEDALEN</t>
        </is>
      </c>
      <c r="G240" t="n">
        <v>1.3</v>
      </c>
      <c r="H240" t="n">
        <v>0</v>
      </c>
      <c r="I240" t="n">
        <v>0</v>
      </c>
      <c r="J240" t="n">
        <v>0</v>
      </c>
      <c r="K240" t="n">
        <v>0</v>
      </c>
      <c r="L240" t="n">
        <v>0</v>
      </c>
      <c r="M240" t="n">
        <v>0</v>
      </c>
      <c r="N240" t="n">
        <v>0</v>
      </c>
      <c r="O240" t="n">
        <v>0</v>
      </c>
      <c r="P240" t="n">
        <v>0</v>
      </c>
      <c r="Q240" t="n">
        <v>0</v>
      </c>
      <c r="R240" s="2" t="inlineStr"/>
    </row>
    <row r="241" ht="15" customHeight="1">
      <c r="A241" t="inlineStr">
        <is>
          <t>A 14268-2019</t>
        </is>
      </c>
      <c r="B241" s="1" t="n">
        <v>43535</v>
      </c>
      <c r="C241" s="1" t="n">
        <v>45346</v>
      </c>
      <c r="D241" t="inlineStr">
        <is>
          <t>JÄMTLANDS LÄN</t>
        </is>
      </c>
      <c r="E241" t="inlineStr">
        <is>
          <t>HÄRJEDALEN</t>
        </is>
      </c>
      <c r="G241" t="n">
        <v>20.2</v>
      </c>
      <c r="H241" t="n">
        <v>0</v>
      </c>
      <c r="I241" t="n">
        <v>0</v>
      </c>
      <c r="J241" t="n">
        <v>0</v>
      </c>
      <c r="K241" t="n">
        <v>0</v>
      </c>
      <c r="L241" t="n">
        <v>0</v>
      </c>
      <c r="M241" t="n">
        <v>0</v>
      </c>
      <c r="N241" t="n">
        <v>0</v>
      </c>
      <c r="O241" t="n">
        <v>0</v>
      </c>
      <c r="P241" t="n">
        <v>0</v>
      </c>
      <c r="Q241" t="n">
        <v>0</v>
      </c>
      <c r="R241" s="2" t="inlineStr"/>
    </row>
    <row r="242" ht="15" customHeight="1">
      <c r="A242" t="inlineStr">
        <is>
          <t>A 15617-2019</t>
        </is>
      </c>
      <c r="B242" s="1" t="n">
        <v>43539</v>
      </c>
      <c r="C242" s="1" t="n">
        <v>45346</v>
      </c>
      <c r="D242" t="inlineStr">
        <is>
          <t>JÄMTLANDS LÄN</t>
        </is>
      </c>
      <c r="E242" t="inlineStr">
        <is>
          <t>HÄRJEDALEN</t>
        </is>
      </c>
      <c r="G242" t="n">
        <v>1.7</v>
      </c>
      <c r="H242" t="n">
        <v>0</v>
      </c>
      <c r="I242" t="n">
        <v>0</v>
      </c>
      <c r="J242" t="n">
        <v>0</v>
      </c>
      <c r="K242" t="n">
        <v>0</v>
      </c>
      <c r="L242" t="n">
        <v>0</v>
      </c>
      <c r="M242" t="n">
        <v>0</v>
      </c>
      <c r="N242" t="n">
        <v>0</v>
      </c>
      <c r="O242" t="n">
        <v>0</v>
      </c>
      <c r="P242" t="n">
        <v>0</v>
      </c>
      <c r="Q242" t="n">
        <v>0</v>
      </c>
      <c r="R242" s="2" t="inlineStr"/>
    </row>
    <row r="243" ht="15" customHeight="1">
      <c r="A243" t="inlineStr">
        <is>
          <t>A 15557-2019</t>
        </is>
      </c>
      <c r="B243" s="1" t="n">
        <v>43542</v>
      </c>
      <c r="C243" s="1" t="n">
        <v>45346</v>
      </c>
      <c r="D243" t="inlineStr">
        <is>
          <t>JÄMTLANDS LÄN</t>
        </is>
      </c>
      <c r="E243" t="inlineStr">
        <is>
          <t>HÄRJEDALEN</t>
        </is>
      </c>
      <c r="G243" t="n">
        <v>5.9</v>
      </c>
      <c r="H243" t="n">
        <v>0</v>
      </c>
      <c r="I243" t="n">
        <v>0</v>
      </c>
      <c r="J243" t="n">
        <v>0</v>
      </c>
      <c r="K243" t="n">
        <v>0</v>
      </c>
      <c r="L243" t="n">
        <v>0</v>
      </c>
      <c r="M243" t="n">
        <v>0</v>
      </c>
      <c r="N243" t="n">
        <v>0</v>
      </c>
      <c r="O243" t="n">
        <v>0</v>
      </c>
      <c r="P243" t="n">
        <v>0</v>
      </c>
      <c r="Q243" t="n">
        <v>0</v>
      </c>
      <c r="R243" s="2" t="inlineStr"/>
    </row>
    <row r="244" ht="15" customHeight="1">
      <c r="A244" t="inlineStr">
        <is>
          <t>A 16004-2019</t>
        </is>
      </c>
      <c r="B244" s="1" t="n">
        <v>43543</v>
      </c>
      <c r="C244" s="1" t="n">
        <v>45346</v>
      </c>
      <c r="D244" t="inlineStr">
        <is>
          <t>JÄMTLANDS LÄN</t>
        </is>
      </c>
      <c r="E244" t="inlineStr">
        <is>
          <t>HÄRJEDALEN</t>
        </is>
      </c>
      <c r="G244" t="n">
        <v>19.7</v>
      </c>
      <c r="H244" t="n">
        <v>0</v>
      </c>
      <c r="I244" t="n">
        <v>0</v>
      </c>
      <c r="J244" t="n">
        <v>0</v>
      </c>
      <c r="K244" t="n">
        <v>0</v>
      </c>
      <c r="L244" t="n">
        <v>0</v>
      </c>
      <c r="M244" t="n">
        <v>0</v>
      </c>
      <c r="N244" t="n">
        <v>0</v>
      </c>
      <c r="O244" t="n">
        <v>0</v>
      </c>
      <c r="P244" t="n">
        <v>0</v>
      </c>
      <c r="Q244" t="n">
        <v>0</v>
      </c>
      <c r="R244" s="2" t="inlineStr"/>
    </row>
    <row r="245" ht="15" customHeight="1">
      <c r="A245" t="inlineStr">
        <is>
          <t>A 16062-2019</t>
        </is>
      </c>
      <c r="B245" s="1" t="n">
        <v>43544</v>
      </c>
      <c r="C245" s="1" t="n">
        <v>45346</v>
      </c>
      <c r="D245" t="inlineStr">
        <is>
          <t>JÄMTLANDS LÄN</t>
        </is>
      </c>
      <c r="E245" t="inlineStr">
        <is>
          <t>HÄRJEDALEN</t>
        </is>
      </c>
      <c r="G245" t="n">
        <v>18.4</v>
      </c>
      <c r="H245" t="n">
        <v>0</v>
      </c>
      <c r="I245" t="n">
        <v>0</v>
      </c>
      <c r="J245" t="n">
        <v>0</v>
      </c>
      <c r="K245" t="n">
        <v>0</v>
      </c>
      <c r="L245" t="n">
        <v>0</v>
      </c>
      <c r="M245" t="n">
        <v>0</v>
      </c>
      <c r="N245" t="n">
        <v>0</v>
      </c>
      <c r="O245" t="n">
        <v>0</v>
      </c>
      <c r="P245" t="n">
        <v>0</v>
      </c>
      <c r="Q245" t="n">
        <v>0</v>
      </c>
      <c r="R245" s="2" t="inlineStr"/>
    </row>
    <row r="246" ht="15" customHeight="1">
      <c r="A246" t="inlineStr">
        <is>
          <t>A 17528-2019</t>
        </is>
      </c>
      <c r="B246" s="1" t="n">
        <v>43553</v>
      </c>
      <c r="C246" s="1" t="n">
        <v>45346</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17811-2019</t>
        </is>
      </c>
      <c r="B247" s="1" t="n">
        <v>43556</v>
      </c>
      <c r="C247" s="1" t="n">
        <v>45346</v>
      </c>
      <c r="D247" t="inlineStr">
        <is>
          <t>JÄMTLANDS LÄN</t>
        </is>
      </c>
      <c r="E247" t="inlineStr">
        <is>
          <t>HÄRJEDALEN</t>
        </is>
      </c>
      <c r="G247" t="n">
        <v>10.3</v>
      </c>
      <c r="H247" t="n">
        <v>0</v>
      </c>
      <c r="I247" t="n">
        <v>0</v>
      </c>
      <c r="J247" t="n">
        <v>0</v>
      </c>
      <c r="K247" t="n">
        <v>0</v>
      </c>
      <c r="L247" t="n">
        <v>0</v>
      </c>
      <c r="M247" t="n">
        <v>0</v>
      </c>
      <c r="N247" t="n">
        <v>0</v>
      </c>
      <c r="O247" t="n">
        <v>0</v>
      </c>
      <c r="P247" t="n">
        <v>0</v>
      </c>
      <c r="Q247" t="n">
        <v>0</v>
      </c>
      <c r="R247" s="2" t="inlineStr"/>
    </row>
    <row r="248" ht="15" customHeight="1">
      <c r="A248" t="inlineStr">
        <is>
          <t>A 17986-2019</t>
        </is>
      </c>
      <c r="B248" s="1" t="n">
        <v>43557</v>
      </c>
      <c r="C248" s="1" t="n">
        <v>45346</v>
      </c>
      <c r="D248" t="inlineStr">
        <is>
          <t>JÄMTLANDS LÄN</t>
        </is>
      </c>
      <c r="E248" t="inlineStr">
        <is>
          <t>HÄRJEDALEN</t>
        </is>
      </c>
      <c r="F248" t="inlineStr">
        <is>
          <t>Kyrkan</t>
        </is>
      </c>
      <c r="G248" t="n">
        <v>17.5</v>
      </c>
      <c r="H248" t="n">
        <v>0</v>
      </c>
      <c r="I248" t="n">
        <v>0</v>
      </c>
      <c r="J248" t="n">
        <v>0</v>
      </c>
      <c r="K248" t="n">
        <v>0</v>
      </c>
      <c r="L248" t="n">
        <v>0</v>
      </c>
      <c r="M248" t="n">
        <v>0</v>
      </c>
      <c r="N248" t="n">
        <v>0</v>
      </c>
      <c r="O248" t="n">
        <v>0</v>
      </c>
      <c r="P248" t="n">
        <v>0</v>
      </c>
      <c r="Q248" t="n">
        <v>0</v>
      </c>
      <c r="R248" s="2" t="inlineStr"/>
    </row>
    <row r="249" ht="15" customHeight="1">
      <c r="A249" t="inlineStr">
        <is>
          <t>A 17917-2019</t>
        </is>
      </c>
      <c r="B249" s="1" t="n">
        <v>43557</v>
      </c>
      <c r="C249" s="1" t="n">
        <v>45346</v>
      </c>
      <c r="D249" t="inlineStr">
        <is>
          <t>JÄMTLANDS LÄN</t>
        </is>
      </c>
      <c r="E249" t="inlineStr">
        <is>
          <t>HÄRJEDALEN</t>
        </is>
      </c>
      <c r="F249" t="inlineStr">
        <is>
          <t>Bergvik skog väst AB</t>
        </is>
      </c>
      <c r="G249" t="n">
        <v>166.3</v>
      </c>
      <c r="H249" t="n">
        <v>0</v>
      </c>
      <c r="I249" t="n">
        <v>0</v>
      </c>
      <c r="J249" t="n">
        <v>0</v>
      </c>
      <c r="K249" t="n">
        <v>0</v>
      </c>
      <c r="L249" t="n">
        <v>0</v>
      </c>
      <c r="M249" t="n">
        <v>0</v>
      </c>
      <c r="N249" t="n">
        <v>0</v>
      </c>
      <c r="O249" t="n">
        <v>0</v>
      </c>
      <c r="P249" t="n">
        <v>0</v>
      </c>
      <c r="Q249" t="n">
        <v>0</v>
      </c>
      <c r="R249" s="2" t="inlineStr"/>
    </row>
    <row r="250" ht="15" customHeight="1">
      <c r="A250" t="inlineStr">
        <is>
          <t>A 18539-2019</t>
        </is>
      </c>
      <c r="B250" s="1" t="n">
        <v>43559</v>
      </c>
      <c r="C250" s="1" t="n">
        <v>45346</v>
      </c>
      <c r="D250" t="inlineStr">
        <is>
          <t>JÄMTLANDS LÄN</t>
        </is>
      </c>
      <c r="E250" t="inlineStr">
        <is>
          <t>HÄRJEDALEN</t>
        </is>
      </c>
      <c r="G250" t="n">
        <v>1.7</v>
      </c>
      <c r="H250" t="n">
        <v>0</v>
      </c>
      <c r="I250" t="n">
        <v>0</v>
      </c>
      <c r="J250" t="n">
        <v>0</v>
      </c>
      <c r="K250" t="n">
        <v>0</v>
      </c>
      <c r="L250" t="n">
        <v>0</v>
      </c>
      <c r="M250" t="n">
        <v>0</v>
      </c>
      <c r="N250" t="n">
        <v>0</v>
      </c>
      <c r="O250" t="n">
        <v>0</v>
      </c>
      <c r="P250" t="n">
        <v>0</v>
      </c>
      <c r="Q250" t="n">
        <v>0</v>
      </c>
      <c r="R250" s="2" t="inlineStr"/>
    </row>
    <row r="251" ht="15" customHeight="1">
      <c r="A251" t="inlineStr">
        <is>
          <t>A 18648-2019</t>
        </is>
      </c>
      <c r="B251" s="1" t="n">
        <v>43560</v>
      </c>
      <c r="C251" s="1" t="n">
        <v>45346</v>
      </c>
      <c r="D251" t="inlineStr">
        <is>
          <t>JÄMTLANDS LÄN</t>
        </is>
      </c>
      <c r="E251" t="inlineStr">
        <is>
          <t>HÄRJEDALEN</t>
        </is>
      </c>
      <c r="G251" t="n">
        <v>5.5</v>
      </c>
      <c r="H251" t="n">
        <v>0</v>
      </c>
      <c r="I251" t="n">
        <v>0</v>
      </c>
      <c r="J251" t="n">
        <v>0</v>
      </c>
      <c r="K251" t="n">
        <v>0</v>
      </c>
      <c r="L251" t="n">
        <v>0</v>
      </c>
      <c r="M251" t="n">
        <v>0</v>
      </c>
      <c r="N251" t="n">
        <v>0</v>
      </c>
      <c r="O251" t="n">
        <v>0</v>
      </c>
      <c r="P251" t="n">
        <v>0</v>
      </c>
      <c r="Q251" t="n">
        <v>0</v>
      </c>
      <c r="R251" s="2" t="inlineStr"/>
    </row>
    <row r="252" ht="15" customHeight="1">
      <c r="A252" t="inlineStr">
        <is>
          <t>A 19114-2019</t>
        </is>
      </c>
      <c r="B252" s="1" t="n">
        <v>43563</v>
      </c>
      <c r="C252" s="1" t="n">
        <v>45346</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20063-2019</t>
        </is>
      </c>
      <c r="B253" s="1" t="n">
        <v>43567</v>
      </c>
      <c r="C253" s="1" t="n">
        <v>45346</v>
      </c>
      <c r="D253" t="inlineStr">
        <is>
          <t>JÄMTLANDS LÄN</t>
        </is>
      </c>
      <c r="E253" t="inlineStr">
        <is>
          <t>HÄRJEDALEN</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19864-2019</t>
        </is>
      </c>
      <c r="B254" s="1" t="n">
        <v>43567</v>
      </c>
      <c r="C254" s="1" t="n">
        <v>45346</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20403-2019</t>
        </is>
      </c>
      <c r="B255" s="1" t="n">
        <v>43571</v>
      </c>
      <c r="C255" s="1" t="n">
        <v>45346</v>
      </c>
      <c r="D255" t="inlineStr">
        <is>
          <t>JÄMTLANDS LÄN</t>
        </is>
      </c>
      <c r="E255" t="inlineStr">
        <is>
          <t>HÄRJEDALEN</t>
        </is>
      </c>
      <c r="F255" t="inlineStr">
        <is>
          <t>Bergvik skog väst AB</t>
        </is>
      </c>
      <c r="G255" t="n">
        <v>7.8</v>
      </c>
      <c r="H255" t="n">
        <v>0</v>
      </c>
      <c r="I255" t="n">
        <v>0</v>
      </c>
      <c r="J255" t="n">
        <v>0</v>
      </c>
      <c r="K255" t="n">
        <v>0</v>
      </c>
      <c r="L255" t="n">
        <v>0</v>
      </c>
      <c r="M255" t="n">
        <v>0</v>
      </c>
      <c r="N255" t="n">
        <v>0</v>
      </c>
      <c r="O255" t="n">
        <v>0</v>
      </c>
      <c r="P255" t="n">
        <v>0</v>
      </c>
      <c r="Q255" t="n">
        <v>0</v>
      </c>
      <c r="R255" s="2" t="inlineStr"/>
    </row>
    <row r="256" ht="15" customHeight="1">
      <c r="A256" t="inlineStr">
        <is>
          <t>A 20373-2019</t>
        </is>
      </c>
      <c r="B256" s="1" t="n">
        <v>43571</v>
      </c>
      <c r="C256" s="1" t="n">
        <v>45346</v>
      </c>
      <c r="D256" t="inlineStr">
        <is>
          <t>JÄMTLANDS LÄN</t>
        </is>
      </c>
      <c r="E256" t="inlineStr">
        <is>
          <t>HÄRJEDALEN</t>
        </is>
      </c>
      <c r="G256" t="n">
        <v>0.8</v>
      </c>
      <c r="H256" t="n">
        <v>0</v>
      </c>
      <c r="I256" t="n">
        <v>0</v>
      </c>
      <c r="J256" t="n">
        <v>0</v>
      </c>
      <c r="K256" t="n">
        <v>0</v>
      </c>
      <c r="L256" t="n">
        <v>0</v>
      </c>
      <c r="M256" t="n">
        <v>0</v>
      </c>
      <c r="N256" t="n">
        <v>0</v>
      </c>
      <c r="O256" t="n">
        <v>0</v>
      </c>
      <c r="P256" t="n">
        <v>0</v>
      </c>
      <c r="Q256" t="n">
        <v>0</v>
      </c>
      <c r="R256" s="2" t="inlineStr"/>
    </row>
    <row r="257" ht="15" customHeight="1">
      <c r="A257" t="inlineStr">
        <is>
          <t>A 20851-2019</t>
        </is>
      </c>
      <c r="B257" s="1" t="n">
        <v>43577</v>
      </c>
      <c r="C257" s="1" t="n">
        <v>45346</v>
      </c>
      <c r="D257" t="inlineStr">
        <is>
          <t>JÄMTLANDS LÄN</t>
        </is>
      </c>
      <c r="E257" t="inlineStr">
        <is>
          <t>HÄRJEDALEN</t>
        </is>
      </c>
      <c r="F257" t="inlineStr">
        <is>
          <t>Övriga Aktiebolag</t>
        </is>
      </c>
      <c r="G257" t="n">
        <v>7.5</v>
      </c>
      <c r="H257" t="n">
        <v>0</v>
      </c>
      <c r="I257" t="n">
        <v>0</v>
      </c>
      <c r="J257" t="n">
        <v>0</v>
      </c>
      <c r="K257" t="n">
        <v>0</v>
      </c>
      <c r="L257" t="n">
        <v>0</v>
      </c>
      <c r="M257" t="n">
        <v>0</v>
      </c>
      <c r="N257" t="n">
        <v>0</v>
      </c>
      <c r="O257" t="n">
        <v>0</v>
      </c>
      <c r="P257" t="n">
        <v>0</v>
      </c>
      <c r="Q257" t="n">
        <v>0</v>
      </c>
      <c r="R257" s="2" t="inlineStr"/>
    </row>
    <row r="258" ht="15" customHeight="1">
      <c r="A258" t="inlineStr">
        <is>
          <t>A 21040-2019</t>
        </is>
      </c>
      <c r="B258" s="1" t="n">
        <v>43578</v>
      </c>
      <c r="C258" s="1" t="n">
        <v>45346</v>
      </c>
      <c r="D258" t="inlineStr">
        <is>
          <t>JÄMTLANDS LÄN</t>
        </is>
      </c>
      <c r="E258" t="inlineStr">
        <is>
          <t>HÄRJEDALEN</t>
        </is>
      </c>
      <c r="G258" t="n">
        <v>0.8</v>
      </c>
      <c r="H258" t="n">
        <v>0</v>
      </c>
      <c r="I258" t="n">
        <v>0</v>
      </c>
      <c r="J258" t="n">
        <v>0</v>
      </c>
      <c r="K258" t="n">
        <v>0</v>
      </c>
      <c r="L258" t="n">
        <v>0</v>
      </c>
      <c r="M258" t="n">
        <v>0</v>
      </c>
      <c r="N258" t="n">
        <v>0</v>
      </c>
      <c r="O258" t="n">
        <v>0</v>
      </c>
      <c r="P258" t="n">
        <v>0</v>
      </c>
      <c r="Q258" t="n">
        <v>0</v>
      </c>
      <c r="R258" s="2" t="inlineStr"/>
    </row>
    <row r="259" ht="15" customHeight="1">
      <c r="A259" t="inlineStr">
        <is>
          <t>A 21189-2019</t>
        </is>
      </c>
      <c r="B259" s="1" t="n">
        <v>43579</v>
      </c>
      <c r="C259" s="1" t="n">
        <v>45346</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22622-2019</t>
        </is>
      </c>
      <c r="B260" s="1" t="n">
        <v>43588</v>
      </c>
      <c r="C260" s="1" t="n">
        <v>45346</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24030-2019</t>
        </is>
      </c>
      <c r="B261" s="1" t="n">
        <v>43598</v>
      </c>
      <c r="C261" s="1" t="n">
        <v>45346</v>
      </c>
      <c r="D261" t="inlineStr">
        <is>
          <t>JÄMTLANDS LÄN</t>
        </is>
      </c>
      <c r="E261" t="inlineStr">
        <is>
          <t>HÄRJEDALEN</t>
        </is>
      </c>
      <c r="F261" t="inlineStr">
        <is>
          <t>Sveaskog</t>
        </is>
      </c>
      <c r="G261" t="n">
        <v>39.9</v>
      </c>
      <c r="H261" t="n">
        <v>0</v>
      </c>
      <c r="I261" t="n">
        <v>0</v>
      </c>
      <c r="J261" t="n">
        <v>0</v>
      </c>
      <c r="K261" t="n">
        <v>0</v>
      </c>
      <c r="L261" t="n">
        <v>0</v>
      </c>
      <c r="M261" t="n">
        <v>0</v>
      </c>
      <c r="N261" t="n">
        <v>0</v>
      </c>
      <c r="O261" t="n">
        <v>0</v>
      </c>
      <c r="P261" t="n">
        <v>0</v>
      </c>
      <c r="Q261" t="n">
        <v>0</v>
      </c>
      <c r="R261" s="2" t="inlineStr"/>
    </row>
    <row r="262" ht="15" customHeight="1">
      <c r="A262" t="inlineStr">
        <is>
          <t>A 24760-2019</t>
        </is>
      </c>
      <c r="B262" s="1" t="n">
        <v>43601</v>
      </c>
      <c r="C262" s="1" t="n">
        <v>45346</v>
      </c>
      <c r="D262" t="inlineStr">
        <is>
          <t>JÄMTLANDS LÄN</t>
        </is>
      </c>
      <c r="E262" t="inlineStr">
        <is>
          <t>HÄRJEDALEN</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25309-2019</t>
        </is>
      </c>
      <c r="B263" s="1" t="n">
        <v>43605</v>
      </c>
      <c r="C263" s="1" t="n">
        <v>45346</v>
      </c>
      <c r="D263" t="inlineStr">
        <is>
          <t>JÄMTLANDS LÄN</t>
        </is>
      </c>
      <c r="E263" t="inlineStr">
        <is>
          <t>HÄRJEDALEN</t>
        </is>
      </c>
      <c r="G263" t="n">
        <v>0.1</v>
      </c>
      <c r="H263" t="n">
        <v>0</v>
      </c>
      <c r="I263" t="n">
        <v>0</v>
      </c>
      <c r="J263" t="n">
        <v>0</v>
      </c>
      <c r="K263" t="n">
        <v>0</v>
      </c>
      <c r="L263" t="n">
        <v>0</v>
      </c>
      <c r="M263" t="n">
        <v>0</v>
      </c>
      <c r="N263" t="n">
        <v>0</v>
      </c>
      <c r="O263" t="n">
        <v>0</v>
      </c>
      <c r="P263" t="n">
        <v>0</v>
      </c>
      <c r="Q263" t="n">
        <v>0</v>
      </c>
      <c r="R263" s="2" t="inlineStr"/>
    </row>
    <row r="264" ht="15" customHeight="1">
      <c r="A264" t="inlineStr">
        <is>
          <t>A 25470-2019</t>
        </is>
      </c>
      <c r="B264" s="1" t="n">
        <v>43606</v>
      </c>
      <c r="C264" s="1" t="n">
        <v>45346</v>
      </c>
      <c r="D264" t="inlineStr">
        <is>
          <t>JÄMTLANDS LÄN</t>
        </is>
      </c>
      <c r="E264" t="inlineStr">
        <is>
          <t>HÄRJEDALEN</t>
        </is>
      </c>
      <c r="G264" t="n">
        <v>36.8</v>
      </c>
      <c r="H264" t="n">
        <v>0</v>
      </c>
      <c r="I264" t="n">
        <v>0</v>
      </c>
      <c r="J264" t="n">
        <v>0</v>
      </c>
      <c r="K264" t="n">
        <v>0</v>
      </c>
      <c r="L264" t="n">
        <v>0</v>
      </c>
      <c r="M264" t="n">
        <v>0</v>
      </c>
      <c r="N264" t="n">
        <v>0</v>
      </c>
      <c r="O264" t="n">
        <v>0</v>
      </c>
      <c r="P264" t="n">
        <v>0</v>
      </c>
      <c r="Q264" t="n">
        <v>0</v>
      </c>
      <c r="R264" s="2" t="inlineStr"/>
    </row>
    <row r="265" ht="15" customHeight="1">
      <c r="A265" t="inlineStr">
        <is>
          <t>A 26166-2019</t>
        </is>
      </c>
      <c r="B265" s="1" t="n">
        <v>43609</v>
      </c>
      <c r="C265" s="1" t="n">
        <v>45346</v>
      </c>
      <c r="D265" t="inlineStr">
        <is>
          <t>JÄMTLANDS LÄN</t>
        </is>
      </c>
      <c r="E265" t="inlineStr">
        <is>
          <t>HÄRJEDALEN</t>
        </is>
      </c>
      <c r="G265" t="n">
        <v>85.2</v>
      </c>
      <c r="H265" t="n">
        <v>0</v>
      </c>
      <c r="I265" t="n">
        <v>0</v>
      </c>
      <c r="J265" t="n">
        <v>0</v>
      </c>
      <c r="K265" t="n">
        <v>0</v>
      </c>
      <c r="L265" t="n">
        <v>0</v>
      </c>
      <c r="M265" t="n">
        <v>0</v>
      </c>
      <c r="N265" t="n">
        <v>0</v>
      </c>
      <c r="O265" t="n">
        <v>0</v>
      </c>
      <c r="P265" t="n">
        <v>0</v>
      </c>
      <c r="Q265" t="n">
        <v>0</v>
      </c>
      <c r="R265" s="2" t="inlineStr"/>
    </row>
    <row r="266" ht="15" customHeight="1">
      <c r="A266" t="inlineStr">
        <is>
          <t>A 26310-2019</t>
        </is>
      </c>
      <c r="B266" s="1" t="n">
        <v>43612</v>
      </c>
      <c r="C266" s="1" t="n">
        <v>45346</v>
      </c>
      <c r="D266" t="inlineStr">
        <is>
          <t>JÄMTLANDS LÄN</t>
        </is>
      </c>
      <c r="E266" t="inlineStr">
        <is>
          <t>HÄRJEDALEN</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26423-2019</t>
        </is>
      </c>
      <c r="B267" s="1" t="n">
        <v>43612</v>
      </c>
      <c r="C267" s="1" t="n">
        <v>45346</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27683-2019</t>
        </is>
      </c>
      <c r="B268" s="1" t="n">
        <v>43619</v>
      </c>
      <c r="C268" s="1" t="n">
        <v>45346</v>
      </c>
      <c r="D268" t="inlineStr">
        <is>
          <t>JÄMTLANDS LÄN</t>
        </is>
      </c>
      <c r="E268" t="inlineStr">
        <is>
          <t>HÄRJEDALEN</t>
        </is>
      </c>
      <c r="G268" t="n">
        <v>5.4</v>
      </c>
      <c r="H268" t="n">
        <v>0</v>
      </c>
      <c r="I268" t="n">
        <v>0</v>
      </c>
      <c r="J268" t="n">
        <v>0</v>
      </c>
      <c r="K268" t="n">
        <v>0</v>
      </c>
      <c r="L268" t="n">
        <v>0</v>
      </c>
      <c r="M268" t="n">
        <v>0</v>
      </c>
      <c r="N268" t="n">
        <v>0</v>
      </c>
      <c r="O268" t="n">
        <v>0</v>
      </c>
      <c r="P268" t="n">
        <v>0</v>
      </c>
      <c r="Q268" t="n">
        <v>0</v>
      </c>
      <c r="R268" s="2" t="inlineStr"/>
    </row>
    <row r="269" ht="15" customHeight="1">
      <c r="A269" t="inlineStr">
        <is>
          <t>A 27903-2019</t>
        </is>
      </c>
      <c r="B269" s="1" t="n">
        <v>43620</v>
      </c>
      <c r="C269" s="1" t="n">
        <v>45346</v>
      </c>
      <c r="D269" t="inlineStr">
        <is>
          <t>JÄMTLANDS LÄN</t>
        </is>
      </c>
      <c r="E269" t="inlineStr">
        <is>
          <t>HÄRJEDALEN</t>
        </is>
      </c>
      <c r="G269" t="n">
        <v>22</v>
      </c>
      <c r="H269" t="n">
        <v>0</v>
      </c>
      <c r="I269" t="n">
        <v>0</v>
      </c>
      <c r="J269" t="n">
        <v>0</v>
      </c>
      <c r="K269" t="n">
        <v>0</v>
      </c>
      <c r="L269" t="n">
        <v>0</v>
      </c>
      <c r="M269" t="n">
        <v>0</v>
      </c>
      <c r="N269" t="n">
        <v>0</v>
      </c>
      <c r="O269" t="n">
        <v>0</v>
      </c>
      <c r="P269" t="n">
        <v>0</v>
      </c>
      <c r="Q269" t="n">
        <v>0</v>
      </c>
      <c r="R269" s="2" t="inlineStr"/>
    </row>
    <row r="270" ht="15" customHeight="1">
      <c r="A270" t="inlineStr">
        <is>
          <t>A 28312-2019</t>
        </is>
      </c>
      <c r="B270" s="1" t="n">
        <v>43623</v>
      </c>
      <c r="C270" s="1" t="n">
        <v>45346</v>
      </c>
      <c r="D270" t="inlineStr">
        <is>
          <t>JÄMTLANDS LÄN</t>
        </is>
      </c>
      <c r="E270" t="inlineStr">
        <is>
          <t>HÄRJEDALEN</t>
        </is>
      </c>
      <c r="G270" t="n">
        <v>6.5</v>
      </c>
      <c r="H270" t="n">
        <v>0</v>
      </c>
      <c r="I270" t="n">
        <v>0</v>
      </c>
      <c r="J270" t="n">
        <v>0</v>
      </c>
      <c r="K270" t="n">
        <v>0</v>
      </c>
      <c r="L270" t="n">
        <v>0</v>
      </c>
      <c r="M270" t="n">
        <v>0</v>
      </c>
      <c r="N270" t="n">
        <v>0</v>
      </c>
      <c r="O270" t="n">
        <v>0</v>
      </c>
      <c r="P270" t="n">
        <v>0</v>
      </c>
      <c r="Q270" t="n">
        <v>0</v>
      </c>
      <c r="R270" s="2" t="inlineStr"/>
    </row>
    <row r="271" ht="15" customHeight="1">
      <c r="A271" t="inlineStr">
        <is>
          <t>A 28326-2019</t>
        </is>
      </c>
      <c r="B271" s="1" t="n">
        <v>43623</v>
      </c>
      <c r="C271" s="1" t="n">
        <v>45346</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28513-2019</t>
        </is>
      </c>
      <c r="B272" s="1" t="n">
        <v>43626</v>
      </c>
      <c r="C272" s="1" t="n">
        <v>45346</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29263-2019</t>
        </is>
      </c>
      <c r="B273" s="1" t="n">
        <v>43629</v>
      </c>
      <c r="C273" s="1" t="n">
        <v>45346</v>
      </c>
      <c r="D273" t="inlineStr">
        <is>
          <t>JÄMTLANDS LÄN</t>
        </is>
      </c>
      <c r="E273" t="inlineStr">
        <is>
          <t>HÄRJEDALEN</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29822-2019</t>
        </is>
      </c>
      <c r="B274" s="1" t="n">
        <v>43633</v>
      </c>
      <c r="C274" s="1" t="n">
        <v>45346</v>
      </c>
      <c r="D274" t="inlineStr">
        <is>
          <t>JÄMTLANDS LÄN</t>
        </is>
      </c>
      <c r="E274" t="inlineStr">
        <is>
          <t>HÄRJEDALEN</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34618-2019</t>
        </is>
      </c>
      <c r="B275" s="1" t="n">
        <v>43647</v>
      </c>
      <c r="C275" s="1" t="n">
        <v>45346</v>
      </c>
      <c r="D275" t="inlineStr">
        <is>
          <t>JÄMTLANDS LÄN</t>
        </is>
      </c>
      <c r="E275" t="inlineStr">
        <is>
          <t>HÄRJEDALEN</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32878-2019</t>
        </is>
      </c>
      <c r="B276" s="1" t="n">
        <v>43648</v>
      </c>
      <c r="C276" s="1" t="n">
        <v>45346</v>
      </c>
      <c r="D276" t="inlineStr">
        <is>
          <t>JÄMTLANDS LÄN</t>
        </is>
      </c>
      <c r="E276" t="inlineStr">
        <is>
          <t>HÄRJEDALEN</t>
        </is>
      </c>
      <c r="F276" t="inlineStr">
        <is>
          <t>Övriga Aktiebolag</t>
        </is>
      </c>
      <c r="G276" t="n">
        <v>91.8</v>
      </c>
      <c r="H276" t="n">
        <v>0</v>
      </c>
      <c r="I276" t="n">
        <v>0</v>
      </c>
      <c r="J276" t="n">
        <v>0</v>
      </c>
      <c r="K276" t="n">
        <v>0</v>
      </c>
      <c r="L276" t="n">
        <v>0</v>
      </c>
      <c r="M276" t="n">
        <v>0</v>
      </c>
      <c r="N276" t="n">
        <v>0</v>
      </c>
      <c r="O276" t="n">
        <v>0</v>
      </c>
      <c r="P276" t="n">
        <v>0</v>
      </c>
      <c r="Q276" t="n">
        <v>0</v>
      </c>
      <c r="R276" s="2" t="inlineStr"/>
    </row>
    <row r="277" ht="15" customHeight="1">
      <c r="A277" t="inlineStr">
        <is>
          <t>A 33496-2019</t>
        </is>
      </c>
      <c r="B277" s="1" t="n">
        <v>43651</v>
      </c>
      <c r="C277" s="1" t="n">
        <v>45346</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33497-2019</t>
        </is>
      </c>
      <c r="B278" s="1" t="n">
        <v>43651</v>
      </c>
      <c r="C278" s="1" t="n">
        <v>45346</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34688-2019</t>
        </is>
      </c>
      <c r="B279" s="1" t="n">
        <v>43657</v>
      </c>
      <c r="C279" s="1" t="n">
        <v>45346</v>
      </c>
      <c r="D279" t="inlineStr">
        <is>
          <t>JÄMTLANDS LÄN</t>
        </is>
      </c>
      <c r="E279" t="inlineStr">
        <is>
          <t>HÄRJEDALEN</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34805-2019</t>
        </is>
      </c>
      <c r="B280" s="1" t="n">
        <v>43658</v>
      </c>
      <c r="C280" s="1" t="n">
        <v>45346</v>
      </c>
      <c r="D280" t="inlineStr">
        <is>
          <t>JÄMTLANDS LÄN</t>
        </is>
      </c>
      <c r="E280" t="inlineStr">
        <is>
          <t>HÄRJEDALEN</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35160-2019</t>
        </is>
      </c>
      <c r="B281" s="1" t="n">
        <v>43661</v>
      </c>
      <c r="C281" s="1" t="n">
        <v>45346</v>
      </c>
      <c r="D281" t="inlineStr">
        <is>
          <t>JÄMTLANDS LÄN</t>
        </is>
      </c>
      <c r="E281" t="inlineStr">
        <is>
          <t>HÄRJEDALEN</t>
        </is>
      </c>
      <c r="F281" t="inlineStr">
        <is>
          <t>Sveaskog</t>
        </is>
      </c>
      <c r="G281" t="n">
        <v>1.3</v>
      </c>
      <c r="H281" t="n">
        <v>0</v>
      </c>
      <c r="I281" t="n">
        <v>0</v>
      </c>
      <c r="J281" t="n">
        <v>0</v>
      </c>
      <c r="K281" t="n">
        <v>0</v>
      </c>
      <c r="L281" t="n">
        <v>0</v>
      </c>
      <c r="M281" t="n">
        <v>0</v>
      </c>
      <c r="N281" t="n">
        <v>0</v>
      </c>
      <c r="O281" t="n">
        <v>0</v>
      </c>
      <c r="P281" t="n">
        <v>0</v>
      </c>
      <c r="Q281" t="n">
        <v>0</v>
      </c>
      <c r="R281" s="2" t="inlineStr"/>
    </row>
    <row r="282" ht="15" customHeight="1">
      <c r="A282" t="inlineStr">
        <is>
          <t>A 36343-2019</t>
        </is>
      </c>
      <c r="B282" s="1" t="n">
        <v>43662</v>
      </c>
      <c r="C282" s="1" t="n">
        <v>45346</v>
      </c>
      <c r="D282" t="inlineStr">
        <is>
          <t>JÄMTLANDS LÄN</t>
        </is>
      </c>
      <c r="E282" t="inlineStr">
        <is>
          <t>HÄRJEDALEN</t>
        </is>
      </c>
      <c r="G282" t="n">
        <v>8</v>
      </c>
      <c r="H282" t="n">
        <v>0</v>
      </c>
      <c r="I282" t="n">
        <v>0</v>
      </c>
      <c r="J282" t="n">
        <v>0</v>
      </c>
      <c r="K282" t="n">
        <v>0</v>
      </c>
      <c r="L282" t="n">
        <v>0</v>
      </c>
      <c r="M282" t="n">
        <v>0</v>
      </c>
      <c r="N282" t="n">
        <v>0</v>
      </c>
      <c r="O282" t="n">
        <v>0</v>
      </c>
      <c r="P282" t="n">
        <v>0</v>
      </c>
      <c r="Q282" t="n">
        <v>0</v>
      </c>
      <c r="R282" s="2" t="inlineStr"/>
    </row>
    <row r="283" ht="15" customHeight="1">
      <c r="A283" t="inlineStr">
        <is>
          <t>A 38283-2019</t>
        </is>
      </c>
      <c r="B283" s="1" t="n">
        <v>43684</v>
      </c>
      <c r="C283" s="1" t="n">
        <v>45346</v>
      </c>
      <c r="D283" t="inlineStr">
        <is>
          <t>JÄMTLANDS LÄN</t>
        </is>
      </c>
      <c r="E283" t="inlineStr">
        <is>
          <t>HÄRJEDALEN</t>
        </is>
      </c>
      <c r="F283" t="inlineStr">
        <is>
          <t>Bergvik skog väst AB</t>
        </is>
      </c>
      <c r="G283" t="n">
        <v>29.5</v>
      </c>
      <c r="H283" t="n">
        <v>0</v>
      </c>
      <c r="I283" t="n">
        <v>0</v>
      </c>
      <c r="J283" t="n">
        <v>0</v>
      </c>
      <c r="K283" t="n">
        <v>0</v>
      </c>
      <c r="L283" t="n">
        <v>0</v>
      </c>
      <c r="M283" t="n">
        <v>0</v>
      </c>
      <c r="N283" t="n">
        <v>0</v>
      </c>
      <c r="O283" t="n">
        <v>0</v>
      </c>
      <c r="P283" t="n">
        <v>0</v>
      </c>
      <c r="Q283" t="n">
        <v>0</v>
      </c>
      <c r="R283" s="2" t="inlineStr"/>
    </row>
    <row r="284" ht="15" customHeight="1">
      <c r="A284" t="inlineStr">
        <is>
          <t>A 38859-2019</t>
        </is>
      </c>
      <c r="B284" s="1" t="n">
        <v>43689</v>
      </c>
      <c r="C284" s="1" t="n">
        <v>45346</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38884-2019</t>
        </is>
      </c>
      <c r="B285" s="1" t="n">
        <v>43689</v>
      </c>
      <c r="C285" s="1" t="n">
        <v>45346</v>
      </c>
      <c r="D285" t="inlineStr">
        <is>
          <t>JÄMTLANDS LÄN</t>
        </is>
      </c>
      <c r="E285" t="inlineStr">
        <is>
          <t>HÄRJEDALEN</t>
        </is>
      </c>
      <c r="G285" t="n">
        <v>2.5</v>
      </c>
      <c r="H285" t="n">
        <v>0</v>
      </c>
      <c r="I285" t="n">
        <v>0</v>
      </c>
      <c r="J285" t="n">
        <v>0</v>
      </c>
      <c r="K285" t="n">
        <v>0</v>
      </c>
      <c r="L285" t="n">
        <v>0</v>
      </c>
      <c r="M285" t="n">
        <v>0</v>
      </c>
      <c r="N285" t="n">
        <v>0</v>
      </c>
      <c r="O285" t="n">
        <v>0</v>
      </c>
      <c r="P285" t="n">
        <v>0</v>
      </c>
      <c r="Q285" t="n">
        <v>0</v>
      </c>
      <c r="R285" s="2" t="inlineStr"/>
    </row>
    <row r="286" ht="15" customHeight="1">
      <c r="A286" t="inlineStr">
        <is>
          <t>A 40244-2019</t>
        </is>
      </c>
      <c r="B286" s="1" t="n">
        <v>43694</v>
      </c>
      <c r="C286" s="1" t="n">
        <v>45346</v>
      </c>
      <c r="D286" t="inlineStr">
        <is>
          <t>JÄMTLANDS LÄN</t>
        </is>
      </c>
      <c r="E286" t="inlineStr">
        <is>
          <t>HÄRJEDALEN</t>
        </is>
      </c>
      <c r="G286" t="n">
        <v>0.2</v>
      </c>
      <c r="H286" t="n">
        <v>0</v>
      </c>
      <c r="I286" t="n">
        <v>0</v>
      </c>
      <c r="J286" t="n">
        <v>0</v>
      </c>
      <c r="K286" t="n">
        <v>0</v>
      </c>
      <c r="L286" t="n">
        <v>0</v>
      </c>
      <c r="M286" t="n">
        <v>0</v>
      </c>
      <c r="N286" t="n">
        <v>0</v>
      </c>
      <c r="O286" t="n">
        <v>0</v>
      </c>
      <c r="P286" t="n">
        <v>0</v>
      </c>
      <c r="Q286" t="n">
        <v>0</v>
      </c>
      <c r="R286" s="2" t="inlineStr"/>
    </row>
    <row r="287" ht="15" customHeight="1">
      <c r="A287" t="inlineStr">
        <is>
          <t>A 42123-2019</t>
        </is>
      </c>
      <c r="B287" s="1" t="n">
        <v>43703</v>
      </c>
      <c r="C287" s="1" t="n">
        <v>45346</v>
      </c>
      <c r="D287" t="inlineStr">
        <is>
          <t>JÄMTLANDS LÄN</t>
        </is>
      </c>
      <c r="E287" t="inlineStr">
        <is>
          <t>HÄRJEDALEN</t>
        </is>
      </c>
      <c r="G287" t="n">
        <v>1.8</v>
      </c>
      <c r="H287" t="n">
        <v>0</v>
      </c>
      <c r="I287" t="n">
        <v>0</v>
      </c>
      <c r="J287" t="n">
        <v>0</v>
      </c>
      <c r="K287" t="n">
        <v>0</v>
      </c>
      <c r="L287" t="n">
        <v>0</v>
      </c>
      <c r="M287" t="n">
        <v>0</v>
      </c>
      <c r="N287" t="n">
        <v>0</v>
      </c>
      <c r="O287" t="n">
        <v>0</v>
      </c>
      <c r="P287" t="n">
        <v>0</v>
      </c>
      <c r="Q287" t="n">
        <v>0</v>
      </c>
      <c r="R287" s="2" t="inlineStr"/>
    </row>
    <row r="288" ht="15" customHeight="1">
      <c r="A288" t="inlineStr">
        <is>
          <t>A 43103-2019</t>
        </is>
      </c>
      <c r="B288" s="1" t="n">
        <v>43705</v>
      </c>
      <c r="C288" s="1" t="n">
        <v>45346</v>
      </c>
      <c r="D288" t="inlineStr">
        <is>
          <t>JÄMTLANDS LÄN</t>
        </is>
      </c>
      <c r="E288" t="inlineStr">
        <is>
          <t>HÄRJEDALEN</t>
        </is>
      </c>
      <c r="G288" t="n">
        <v>38.6</v>
      </c>
      <c r="H288" t="n">
        <v>0</v>
      </c>
      <c r="I288" t="n">
        <v>0</v>
      </c>
      <c r="J288" t="n">
        <v>0</v>
      </c>
      <c r="K288" t="n">
        <v>0</v>
      </c>
      <c r="L288" t="n">
        <v>0</v>
      </c>
      <c r="M288" t="n">
        <v>0</v>
      </c>
      <c r="N288" t="n">
        <v>0</v>
      </c>
      <c r="O288" t="n">
        <v>0</v>
      </c>
      <c r="P288" t="n">
        <v>0</v>
      </c>
      <c r="Q288" t="n">
        <v>0</v>
      </c>
      <c r="R288" s="2" t="inlineStr"/>
    </row>
    <row r="289" ht="15" customHeight="1">
      <c r="A289" t="inlineStr">
        <is>
          <t>A 43142-2019</t>
        </is>
      </c>
      <c r="B289" s="1" t="n">
        <v>43705</v>
      </c>
      <c r="C289" s="1" t="n">
        <v>45346</v>
      </c>
      <c r="D289" t="inlineStr">
        <is>
          <t>JÄMTLANDS LÄN</t>
        </is>
      </c>
      <c r="E289" t="inlineStr">
        <is>
          <t>HÄRJEDALEN</t>
        </is>
      </c>
      <c r="G289" t="n">
        <v>3.2</v>
      </c>
      <c r="H289" t="n">
        <v>0</v>
      </c>
      <c r="I289" t="n">
        <v>0</v>
      </c>
      <c r="J289" t="n">
        <v>0</v>
      </c>
      <c r="K289" t="n">
        <v>0</v>
      </c>
      <c r="L289" t="n">
        <v>0</v>
      </c>
      <c r="M289" t="n">
        <v>0</v>
      </c>
      <c r="N289" t="n">
        <v>0</v>
      </c>
      <c r="O289" t="n">
        <v>0</v>
      </c>
      <c r="P289" t="n">
        <v>0</v>
      </c>
      <c r="Q289" t="n">
        <v>0</v>
      </c>
      <c r="R289" s="2" t="inlineStr"/>
    </row>
    <row r="290" ht="15" customHeight="1">
      <c r="A290" t="inlineStr">
        <is>
          <t>A 43649-2019</t>
        </is>
      </c>
      <c r="B290" s="1" t="n">
        <v>43707</v>
      </c>
      <c r="C290" s="1" t="n">
        <v>45346</v>
      </c>
      <c r="D290" t="inlineStr">
        <is>
          <t>JÄMTLANDS LÄN</t>
        </is>
      </c>
      <c r="E290" t="inlineStr">
        <is>
          <t>HÄRJEDALEN</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43896-2019</t>
        </is>
      </c>
      <c r="B291" s="1" t="n">
        <v>43707</v>
      </c>
      <c r="C291" s="1" t="n">
        <v>45346</v>
      </c>
      <c r="D291" t="inlineStr">
        <is>
          <t>JÄMTLANDS LÄN</t>
        </is>
      </c>
      <c r="E291" t="inlineStr">
        <is>
          <t>HÄRJEDALEN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45167-2019</t>
        </is>
      </c>
      <c r="B292" s="1" t="n">
        <v>43713</v>
      </c>
      <c r="C292" s="1" t="n">
        <v>45346</v>
      </c>
      <c r="D292" t="inlineStr">
        <is>
          <t>JÄMTLANDS LÄN</t>
        </is>
      </c>
      <c r="E292" t="inlineStr">
        <is>
          <t>HÄRJEDALEN</t>
        </is>
      </c>
      <c r="F292" t="inlineStr">
        <is>
          <t>Holmen skog AB</t>
        </is>
      </c>
      <c r="G292" t="n">
        <v>15.9</v>
      </c>
      <c r="H292" t="n">
        <v>0</v>
      </c>
      <c r="I292" t="n">
        <v>0</v>
      </c>
      <c r="J292" t="n">
        <v>0</v>
      </c>
      <c r="K292" t="n">
        <v>0</v>
      </c>
      <c r="L292" t="n">
        <v>0</v>
      </c>
      <c r="M292" t="n">
        <v>0</v>
      </c>
      <c r="N292" t="n">
        <v>0</v>
      </c>
      <c r="O292" t="n">
        <v>0</v>
      </c>
      <c r="P292" t="n">
        <v>0</v>
      </c>
      <c r="Q292" t="n">
        <v>0</v>
      </c>
      <c r="R292" s="2" t="inlineStr"/>
    </row>
    <row r="293" ht="15" customHeight="1">
      <c r="A293" t="inlineStr">
        <is>
          <t>A 44939-2019</t>
        </is>
      </c>
      <c r="B293" s="1" t="n">
        <v>43713</v>
      </c>
      <c r="C293" s="1" t="n">
        <v>45346</v>
      </c>
      <c r="D293" t="inlineStr">
        <is>
          <t>JÄMTLANDS LÄN</t>
        </is>
      </c>
      <c r="E293" t="inlineStr">
        <is>
          <t>HÄRJEDALEN</t>
        </is>
      </c>
      <c r="G293" t="n">
        <v>1.2</v>
      </c>
      <c r="H293" t="n">
        <v>0</v>
      </c>
      <c r="I293" t="n">
        <v>0</v>
      </c>
      <c r="J293" t="n">
        <v>0</v>
      </c>
      <c r="K293" t="n">
        <v>0</v>
      </c>
      <c r="L293" t="n">
        <v>0</v>
      </c>
      <c r="M293" t="n">
        <v>0</v>
      </c>
      <c r="N293" t="n">
        <v>0</v>
      </c>
      <c r="O293" t="n">
        <v>0</v>
      </c>
      <c r="P293" t="n">
        <v>0</v>
      </c>
      <c r="Q293" t="n">
        <v>0</v>
      </c>
      <c r="R293" s="2" t="inlineStr"/>
    </row>
    <row r="294" ht="15" customHeight="1">
      <c r="A294" t="inlineStr">
        <is>
          <t>A 45858-2019</t>
        </is>
      </c>
      <c r="B294" s="1" t="n">
        <v>43717</v>
      </c>
      <c r="C294" s="1" t="n">
        <v>45346</v>
      </c>
      <c r="D294" t="inlineStr">
        <is>
          <t>JÄMTLANDS LÄN</t>
        </is>
      </c>
      <c r="E294" t="inlineStr">
        <is>
          <t>HÄRJEDALEN</t>
        </is>
      </c>
      <c r="F294" t="inlineStr">
        <is>
          <t>Holmen skog AB</t>
        </is>
      </c>
      <c r="G294" t="n">
        <v>3.9</v>
      </c>
      <c r="H294" t="n">
        <v>0</v>
      </c>
      <c r="I294" t="n">
        <v>0</v>
      </c>
      <c r="J294" t="n">
        <v>0</v>
      </c>
      <c r="K294" t="n">
        <v>0</v>
      </c>
      <c r="L294" t="n">
        <v>0</v>
      </c>
      <c r="M294" t="n">
        <v>0</v>
      </c>
      <c r="N294" t="n">
        <v>0</v>
      </c>
      <c r="O294" t="n">
        <v>0</v>
      </c>
      <c r="P294" t="n">
        <v>0</v>
      </c>
      <c r="Q294" t="n">
        <v>0</v>
      </c>
      <c r="R294" s="2" t="inlineStr"/>
    </row>
    <row r="295" ht="15" customHeight="1">
      <c r="A295" t="inlineStr">
        <is>
          <t>A 45781-2019</t>
        </is>
      </c>
      <c r="B295" s="1" t="n">
        <v>43717</v>
      </c>
      <c r="C295" s="1" t="n">
        <v>45346</v>
      </c>
      <c r="D295" t="inlineStr">
        <is>
          <t>JÄMTLANDS LÄN</t>
        </is>
      </c>
      <c r="E295" t="inlineStr">
        <is>
          <t>HÄRJEDALEN</t>
        </is>
      </c>
      <c r="F295" t="inlineStr">
        <is>
          <t>Holmen skog AB</t>
        </is>
      </c>
      <c r="G295" t="n">
        <v>13.8</v>
      </c>
      <c r="H295" t="n">
        <v>0</v>
      </c>
      <c r="I295" t="n">
        <v>0</v>
      </c>
      <c r="J295" t="n">
        <v>0</v>
      </c>
      <c r="K295" t="n">
        <v>0</v>
      </c>
      <c r="L295" t="n">
        <v>0</v>
      </c>
      <c r="M295" t="n">
        <v>0</v>
      </c>
      <c r="N295" t="n">
        <v>0</v>
      </c>
      <c r="O295" t="n">
        <v>0</v>
      </c>
      <c r="P295" t="n">
        <v>0</v>
      </c>
      <c r="Q295" t="n">
        <v>0</v>
      </c>
      <c r="R295" s="2" t="inlineStr"/>
    </row>
    <row r="296" ht="15" customHeight="1">
      <c r="A296" t="inlineStr">
        <is>
          <t>A 46156-2019</t>
        </is>
      </c>
      <c r="B296" s="1" t="n">
        <v>43718</v>
      </c>
      <c r="C296" s="1" t="n">
        <v>45346</v>
      </c>
      <c r="D296" t="inlineStr">
        <is>
          <t>JÄMTLANDS LÄN</t>
        </is>
      </c>
      <c r="E296" t="inlineStr">
        <is>
          <t>HÄRJEDALEN</t>
        </is>
      </c>
      <c r="G296" t="n">
        <v>3.9</v>
      </c>
      <c r="H296" t="n">
        <v>0</v>
      </c>
      <c r="I296" t="n">
        <v>0</v>
      </c>
      <c r="J296" t="n">
        <v>0</v>
      </c>
      <c r="K296" t="n">
        <v>0</v>
      </c>
      <c r="L296" t="n">
        <v>0</v>
      </c>
      <c r="M296" t="n">
        <v>0</v>
      </c>
      <c r="N296" t="n">
        <v>0</v>
      </c>
      <c r="O296" t="n">
        <v>0</v>
      </c>
      <c r="P296" t="n">
        <v>0</v>
      </c>
      <c r="Q296" t="n">
        <v>0</v>
      </c>
      <c r="R296" s="2" t="inlineStr"/>
    </row>
    <row r="297" ht="15" customHeight="1">
      <c r="A297" t="inlineStr">
        <is>
          <t>A 46133-2019</t>
        </is>
      </c>
      <c r="B297" s="1" t="n">
        <v>43718</v>
      </c>
      <c r="C297" s="1" t="n">
        <v>45346</v>
      </c>
      <c r="D297" t="inlineStr">
        <is>
          <t>JÄMTLANDS LÄN</t>
        </is>
      </c>
      <c r="E297" t="inlineStr">
        <is>
          <t>HÄRJEDALEN</t>
        </is>
      </c>
      <c r="G297" t="n">
        <v>17.6</v>
      </c>
      <c r="H297" t="n">
        <v>0</v>
      </c>
      <c r="I297" t="n">
        <v>0</v>
      </c>
      <c r="J297" t="n">
        <v>0</v>
      </c>
      <c r="K297" t="n">
        <v>0</v>
      </c>
      <c r="L297" t="n">
        <v>0</v>
      </c>
      <c r="M297" t="n">
        <v>0</v>
      </c>
      <c r="N297" t="n">
        <v>0</v>
      </c>
      <c r="O297" t="n">
        <v>0</v>
      </c>
      <c r="P297" t="n">
        <v>0</v>
      </c>
      <c r="Q297" t="n">
        <v>0</v>
      </c>
      <c r="R297" s="2" t="inlineStr"/>
    </row>
    <row r="298" ht="15" customHeight="1">
      <c r="A298" t="inlineStr">
        <is>
          <t>A 46163-2019</t>
        </is>
      </c>
      <c r="B298" s="1" t="n">
        <v>43718</v>
      </c>
      <c r="C298" s="1" t="n">
        <v>45346</v>
      </c>
      <c r="D298" t="inlineStr">
        <is>
          <t>JÄMTLANDS LÄN</t>
        </is>
      </c>
      <c r="E298" t="inlineStr">
        <is>
          <t>HÄRJEDALEN</t>
        </is>
      </c>
      <c r="G298" t="n">
        <v>28.9</v>
      </c>
      <c r="H298" t="n">
        <v>0</v>
      </c>
      <c r="I298" t="n">
        <v>0</v>
      </c>
      <c r="J298" t="n">
        <v>0</v>
      </c>
      <c r="K298" t="n">
        <v>0</v>
      </c>
      <c r="L298" t="n">
        <v>0</v>
      </c>
      <c r="M298" t="n">
        <v>0</v>
      </c>
      <c r="N298" t="n">
        <v>0</v>
      </c>
      <c r="O298" t="n">
        <v>0</v>
      </c>
      <c r="P298" t="n">
        <v>0</v>
      </c>
      <c r="Q298" t="n">
        <v>0</v>
      </c>
      <c r="R298" s="2" t="inlineStr"/>
    </row>
    <row r="299" ht="15" customHeight="1">
      <c r="A299" t="inlineStr">
        <is>
          <t>A 47004-2019</t>
        </is>
      </c>
      <c r="B299" s="1" t="n">
        <v>43720</v>
      </c>
      <c r="C299" s="1" t="n">
        <v>45346</v>
      </c>
      <c r="D299" t="inlineStr">
        <is>
          <t>JÄMTLANDS LÄN</t>
        </is>
      </c>
      <c r="E299" t="inlineStr">
        <is>
          <t>HÄRJEDALEN</t>
        </is>
      </c>
      <c r="F299" t="inlineStr">
        <is>
          <t>Bergvik skog väst AB</t>
        </is>
      </c>
      <c r="G299" t="n">
        <v>13.7</v>
      </c>
      <c r="H299" t="n">
        <v>0</v>
      </c>
      <c r="I299" t="n">
        <v>0</v>
      </c>
      <c r="J299" t="n">
        <v>0</v>
      </c>
      <c r="K299" t="n">
        <v>0</v>
      </c>
      <c r="L299" t="n">
        <v>0</v>
      </c>
      <c r="M299" t="n">
        <v>0</v>
      </c>
      <c r="N299" t="n">
        <v>0</v>
      </c>
      <c r="O299" t="n">
        <v>0</v>
      </c>
      <c r="P299" t="n">
        <v>0</v>
      </c>
      <c r="Q299" t="n">
        <v>0</v>
      </c>
      <c r="R299" s="2" t="inlineStr"/>
    </row>
    <row r="300" ht="15" customHeight="1">
      <c r="A300" t="inlineStr">
        <is>
          <t>A 49328-2019</t>
        </is>
      </c>
      <c r="B300" s="1" t="n">
        <v>43731</v>
      </c>
      <c r="C300" s="1" t="n">
        <v>45346</v>
      </c>
      <c r="D300" t="inlineStr">
        <is>
          <t>JÄMTLANDS LÄN</t>
        </is>
      </c>
      <c r="E300" t="inlineStr">
        <is>
          <t>HÄRJEDALEN</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49336-2019</t>
        </is>
      </c>
      <c r="B301" s="1" t="n">
        <v>43731</v>
      </c>
      <c r="C301" s="1" t="n">
        <v>45346</v>
      </c>
      <c r="D301" t="inlineStr">
        <is>
          <t>JÄMTLANDS LÄN</t>
        </is>
      </c>
      <c r="E301" t="inlineStr">
        <is>
          <t>HÄRJEDALEN</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50310-2019</t>
        </is>
      </c>
      <c r="B302" s="1" t="n">
        <v>43735</v>
      </c>
      <c r="C302" s="1" t="n">
        <v>45346</v>
      </c>
      <c r="D302" t="inlineStr">
        <is>
          <t>JÄMTLANDS LÄN</t>
        </is>
      </c>
      <c r="E302" t="inlineStr">
        <is>
          <t>HÄRJEDALEN</t>
        </is>
      </c>
      <c r="G302" t="n">
        <v>9.1</v>
      </c>
      <c r="H302" t="n">
        <v>0</v>
      </c>
      <c r="I302" t="n">
        <v>0</v>
      </c>
      <c r="J302" t="n">
        <v>0</v>
      </c>
      <c r="K302" t="n">
        <v>0</v>
      </c>
      <c r="L302" t="n">
        <v>0</v>
      </c>
      <c r="M302" t="n">
        <v>0</v>
      </c>
      <c r="N302" t="n">
        <v>0</v>
      </c>
      <c r="O302" t="n">
        <v>0</v>
      </c>
      <c r="P302" t="n">
        <v>0</v>
      </c>
      <c r="Q302" t="n">
        <v>0</v>
      </c>
      <c r="R302" s="2" t="inlineStr"/>
    </row>
    <row r="303" ht="15" customHeight="1">
      <c r="A303" t="inlineStr">
        <is>
          <t>A 50411-2019</t>
        </is>
      </c>
      <c r="B303" s="1" t="n">
        <v>43735</v>
      </c>
      <c r="C303" s="1" t="n">
        <v>45346</v>
      </c>
      <c r="D303" t="inlineStr">
        <is>
          <t>JÄMTLANDS LÄN</t>
        </is>
      </c>
      <c r="E303" t="inlineStr">
        <is>
          <t>HÄRJEDALEN</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50519-2019</t>
        </is>
      </c>
      <c r="B304" s="1" t="n">
        <v>43735</v>
      </c>
      <c r="C304" s="1" t="n">
        <v>45346</v>
      </c>
      <c r="D304" t="inlineStr">
        <is>
          <t>JÄMTLANDS LÄN</t>
        </is>
      </c>
      <c r="E304" t="inlineStr">
        <is>
          <t>HÄRJEDALEN</t>
        </is>
      </c>
      <c r="G304" t="n">
        <v>4.2</v>
      </c>
      <c r="H304" t="n">
        <v>0</v>
      </c>
      <c r="I304" t="n">
        <v>0</v>
      </c>
      <c r="J304" t="n">
        <v>0</v>
      </c>
      <c r="K304" t="n">
        <v>0</v>
      </c>
      <c r="L304" t="n">
        <v>0</v>
      </c>
      <c r="M304" t="n">
        <v>0</v>
      </c>
      <c r="N304" t="n">
        <v>0</v>
      </c>
      <c r="O304" t="n">
        <v>0</v>
      </c>
      <c r="P304" t="n">
        <v>0</v>
      </c>
      <c r="Q304" t="n">
        <v>0</v>
      </c>
      <c r="R304" s="2" t="inlineStr"/>
    </row>
    <row r="305" ht="15" customHeight="1">
      <c r="A305" t="inlineStr">
        <is>
          <t>A 50624-2019</t>
        </is>
      </c>
      <c r="B305" s="1" t="n">
        <v>43736</v>
      </c>
      <c r="C305" s="1" t="n">
        <v>45346</v>
      </c>
      <c r="D305" t="inlineStr">
        <is>
          <t>JÄMTLANDS LÄN</t>
        </is>
      </c>
      <c r="E305" t="inlineStr">
        <is>
          <t>HÄRJEDALEN</t>
        </is>
      </c>
      <c r="G305" t="n">
        <v>2.4</v>
      </c>
      <c r="H305" t="n">
        <v>0</v>
      </c>
      <c r="I305" t="n">
        <v>0</v>
      </c>
      <c r="J305" t="n">
        <v>0</v>
      </c>
      <c r="K305" t="n">
        <v>0</v>
      </c>
      <c r="L305" t="n">
        <v>0</v>
      </c>
      <c r="M305" t="n">
        <v>0</v>
      </c>
      <c r="N305" t="n">
        <v>0</v>
      </c>
      <c r="O305" t="n">
        <v>0</v>
      </c>
      <c r="P305" t="n">
        <v>0</v>
      </c>
      <c r="Q305" t="n">
        <v>0</v>
      </c>
      <c r="R305" s="2" t="inlineStr"/>
    </row>
    <row r="306" ht="15" customHeight="1">
      <c r="A306" t="inlineStr">
        <is>
          <t>A 51108-2019</t>
        </is>
      </c>
      <c r="B306" s="1" t="n">
        <v>43739</v>
      </c>
      <c r="C306" s="1" t="n">
        <v>45346</v>
      </c>
      <c r="D306" t="inlineStr">
        <is>
          <t>JÄMTLANDS LÄN</t>
        </is>
      </c>
      <c r="E306" t="inlineStr">
        <is>
          <t>HÄRJEDALEN</t>
        </is>
      </c>
      <c r="G306" t="n">
        <v>4.2</v>
      </c>
      <c r="H306" t="n">
        <v>0</v>
      </c>
      <c r="I306" t="n">
        <v>0</v>
      </c>
      <c r="J306" t="n">
        <v>0</v>
      </c>
      <c r="K306" t="n">
        <v>0</v>
      </c>
      <c r="L306" t="n">
        <v>0</v>
      </c>
      <c r="M306" t="n">
        <v>0</v>
      </c>
      <c r="N306" t="n">
        <v>0</v>
      </c>
      <c r="O306" t="n">
        <v>0</v>
      </c>
      <c r="P306" t="n">
        <v>0</v>
      </c>
      <c r="Q306" t="n">
        <v>0</v>
      </c>
      <c r="R306" s="2" t="inlineStr"/>
    </row>
    <row r="307" ht="15" customHeight="1">
      <c r="A307" t="inlineStr">
        <is>
          <t>A 51118-2019</t>
        </is>
      </c>
      <c r="B307" s="1" t="n">
        <v>43739</v>
      </c>
      <c r="C307" s="1" t="n">
        <v>45346</v>
      </c>
      <c r="D307" t="inlineStr">
        <is>
          <t>JÄMTLANDS LÄN</t>
        </is>
      </c>
      <c r="E307" t="inlineStr">
        <is>
          <t>HÄRJEDALEN</t>
        </is>
      </c>
      <c r="G307" t="n">
        <v>12.5</v>
      </c>
      <c r="H307" t="n">
        <v>0</v>
      </c>
      <c r="I307" t="n">
        <v>0</v>
      </c>
      <c r="J307" t="n">
        <v>0</v>
      </c>
      <c r="K307" t="n">
        <v>0</v>
      </c>
      <c r="L307" t="n">
        <v>0</v>
      </c>
      <c r="M307" t="n">
        <v>0</v>
      </c>
      <c r="N307" t="n">
        <v>0</v>
      </c>
      <c r="O307" t="n">
        <v>0</v>
      </c>
      <c r="P307" t="n">
        <v>0</v>
      </c>
      <c r="Q307" t="n">
        <v>0</v>
      </c>
      <c r="R307" s="2" t="inlineStr"/>
    </row>
    <row r="308" ht="15" customHeight="1">
      <c r="A308" t="inlineStr">
        <is>
          <t>A 51123-2019</t>
        </is>
      </c>
      <c r="B308" s="1" t="n">
        <v>43739</v>
      </c>
      <c r="C308" s="1" t="n">
        <v>45346</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51105-2019</t>
        </is>
      </c>
      <c r="B309" s="1" t="n">
        <v>43739</v>
      </c>
      <c r="C309" s="1" t="n">
        <v>45346</v>
      </c>
      <c r="D309" t="inlineStr">
        <is>
          <t>JÄMTLANDS LÄN</t>
        </is>
      </c>
      <c r="E309" t="inlineStr">
        <is>
          <t>HÄRJEDALEN</t>
        </is>
      </c>
      <c r="G309" t="n">
        <v>2</v>
      </c>
      <c r="H309" t="n">
        <v>0</v>
      </c>
      <c r="I309" t="n">
        <v>0</v>
      </c>
      <c r="J309" t="n">
        <v>0</v>
      </c>
      <c r="K309" t="n">
        <v>0</v>
      </c>
      <c r="L309" t="n">
        <v>0</v>
      </c>
      <c r="M309" t="n">
        <v>0</v>
      </c>
      <c r="N309" t="n">
        <v>0</v>
      </c>
      <c r="O309" t="n">
        <v>0</v>
      </c>
      <c r="P309" t="n">
        <v>0</v>
      </c>
      <c r="Q309" t="n">
        <v>0</v>
      </c>
      <c r="R309" s="2" t="inlineStr"/>
    </row>
    <row r="310" ht="15" customHeight="1">
      <c r="A310" t="inlineStr">
        <is>
          <t>A 51111-2019</t>
        </is>
      </c>
      <c r="B310" s="1" t="n">
        <v>43739</v>
      </c>
      <c r="C310" s="1" t="n">
        <v>45346</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52304-2019</t>
        </is>
      </c>
      <c r="B311" s="1" t="n">
        <v>43745</v>
      </c>
      <c r="C311" s="1" t="n">
        <v>45346</v>
      </c>
      <c r="D311" t="inlineStr">
        <is>
          <t>JÄMTLANDS LÄN</t>
        </is>
      </c>
      <c r="E311" t="inlineStr">
        <is>
          <t>HÄRJEDALEN</t>
        </is>
      </c>
      <c r="G311" t="n">
        <v>4.8</v>
      </c>
      <c r="H311" t="n">
        <v>0</v>
      </c>
      <c r="I311" t="n">
        <v>0</v>
      </c>
      <c r="J311" t="n">
        <v>0</v>
      </c>
      <c r="K311" t="n">
        <v>0</v>
      </c>
      <c r="L311" t="n">
        <v>0</v>
      </c>
      <c r="M311" t="n">
        <v>0</v>
      </c>
      <c r="N311" t="n">
        <v>0</v>
      </c>
      <c r="O311" t="n">
        <v>0</v>
      </c>
      <c r="P311" t="n">
        <v>0</v>
      </c>
      <c r="Q311" t="n">
        <v>0</v>
      </c>
      <c r="R311" s="2" t="inlineStr"/>
    </row>
    <row r="312" ht="15" customHeight="1">
      <c r="A312" t="inlineStr">
        <is>
          <t>A 52709-2019</t>
        </is>
      </c>
      <c r="B312" s="1" t="n">
        <v>43746</v>
      </c>
      <c r="C312" s="1" t="n">
        <v>45346</v>
      </c>
      <c r="D312" t="inlineStr">
        <is>
          <t>JÄMTLANDS LÄN</t>
        </is>
      </c>
      <c r="E312" t="inlineStr">
        <is>
          <t>HÄRJEDALEN</t>
        </is>
      </c>
      <c r="G312" t="n">
        <v>10.6</v>
      </c>
      <c r="H312" t="n">
        <v>0</v>
      </c>
      <c r="I312" t="n">
        <v>0</v>
      </c>
      <c r="J312" t="n">
        <v>0</v>
      </c>
      <c r="K312" t="n">
        <v>0</v>
      </c>
      <c r="L312" t="n">
        <v>0</v>
      </c>
      <c r="M312" t="n">
        <v>0</v>
      </c>
      <c r="N312" t="n">
        <v>0</v>
      </c>
      <c r="O312" t="n">
        <v>0</v>
      </c>
      <c r="P312" t="n">
        <v>0</v>
      </c>
      <c r="Q312" t="n">
        <v>0</v>
      </c>
      <c r="R312" s="2" t="inlineStr"/>
    </row>
    <row r="313" ht="15" customHeight="1">
      <c r="A313" t="inlineStr">
        <is>
          <t>A 52992-2019</t>
        </is>
      </c>
      <c r="B313" s="1" t="n">
        <v>43747</v>
      </c>
      <c r="C313" s="1" t="n">
        <v>45346</v>
      </c>
      <c r="D313" t="inlineStr">
        <is>
          <t>JÄMTLANDS LÄN</t>
        </is>
      </c>
      <c r="E313" t="inlineStr">
        <is>
          <t>HÄRJEDALEN</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52991-2019</t>
        </is>
      </c>
      <c r="B314" s="1" t="n">
        <v>43747</v>
      </c>
      <c r="C314" s="1" t="n">
        <v>45346</v>
      </c>
      <c r="D314" t="inlineStr">
        <is>
          <t>JÄMTLANDS LÄN</t>
        </is>
      </c>
      <c r="E314" t="inlineStr">
        <is>
          <t>HÄRJEDALEN</t>
        </is>
      </c>
      <c r="F314" t="inlineStr">
        <is>
          <t>Sveaskog</t>
        </is>
      </c>
      <c r="G314" t="n">
        <v>13.6</v>
      </c>
      <c r="H314" t="n">
        <v>0</v>
      </c>
      <c r="I314" t="n">
        <v>0</v>
      </c>
      <c r="J314" t="n">
        <v>0</v>
      </c>
      <c r="K314" t="n">
        <v>0</v>
      </c>
      <c r="L314" t="n">
        <v>0</v>
      </c>
      <c r="M314" t="n">
        <v>0</v>
      </c>
      <c r="N314" t="n">
        <v>0</v>
      </c>
      <c r="O314" t="n">
        <v>0</v>
      </c>
      <c r="P314" t="n">
        <v>0</v>
      </c>
      <c r="Q314" t="n">
        <v>0</v>
      </c>
      <c r="R314" s="2" t="inlineStr"/>
    </row>
    <row r="315" ht="15" customHeight="1">
      <c r="A315" t="inlineStr">
        <is>
          <t>A 53418-2019</t>
        </is>
      </c>
      <c r="B315" s="1" t="n">
        <v>43748</v>
      </c>
      <c r="C315" s="1" t="n">
        <v>45346</v>
      </c>
      <c r="D315" t="inlineStr">
        <is>
          <t>JÄMTLANDS LÄN</t>
        </is>
      </c>
      <c r="E315" t="inlineStr">
        <is>
          <t>HÄRJEDALEN</t>
        </is>
      </c>
      <c r="G315" t="n">
        <v>0.4</v>
      </c>
      <c r="H315" t="n">
        <v>0</v>
      </c>
      <c r="I315" t="n">
        <v>0</v>
      </c>
      <c r="J315" t="n">
        <v>0</v>
      </c>
      <c r="K315" t="n">
        <v>0</v>
      </c>
      <c r="L315" t="n">
        <v>0</v>
      </c>
      <c r="M315" t="n">
        <v>0</v>
      </c>
      <c r="N315" t="n">
        <v>0</v>
      </c>
      <c r="O315" t="n">
        <v>0</v>
      </c>
      <c r="P315" t="n">
        <v>0</v>
      </c>
      <c r="Q315" t="n">
        <v>0</v>
      </c>
      <c r="R315" s="2" t="inlineStr"/>
    </row>
    <row r="316" ht="15" customHeight="1">
      <c r="A316" t="inlineStr">
        <is>
          <t>A 53952-2019</t>
        </is>
      </c>
      <c r="B316" s="1" t="n">
        <v>43752</v>
      </c>
      <c r="C316" s="1" t="n">
        <v>45346</v>
      </c>
      <c r="D316" t="inlineStr">
        <is>
          <t>JÄMTLANDS LÄN</t>
        </is>
      </c>
      <c r="E316" t="inlineStr">
        <is>
          <t>HÄRJEDALEN</t>
        </is>
      </c>
      <c r="G316" t="n">
        <v>8.6</v>
      </c>
      <c r="H316" t="n">
        <v>0</v>
      </c>
      <c r="I316" t="n">
        <v>0</v>
      </c>
      <c r="J316" t="n">
        <v>0</v>
      </c>
      <c r="K316" t="n">
        <v>0</v>
      </c>
      <c r="L316" t="n">
        <v>0</v>
      </c>
      <c r="M316" t="n">
        <v>0</v>
      </c>
      <c r="N316" t="n">
        <v>0</v>
      </c>
      <c r="O316" t="n">
        <v>0</v>
      </c>
      <c r="P316" t="n">
        <v>0</v>
      </c>
      <c r="Q316" t="n">
        <v>0</v>
      </c>
      <c r="R316" s="2" t="inlineStr"/>
    </row>
    <row r="317" ht="15" customHeight="1">
      <c r="A317" t="inlineStr">
        <is>
          <t>A 53962-2019</t>
        </is>
      </c>
      <c r="B317" s="1" t="n">
        <v>43752</v>
      </c>
      <c r="C317" s="1" t="n">
        <v>45346</v>
      </c>
      <c r="D317" t="inlineStr">
        <is>
          <t>JÄMTLANDS LÄN</t>
        </is>
      </c>
      <c r="E317" t="inlineStr">
        <is>
          <t>HÄRJEDALEN</t>
        </is>
      </c>
      <c r="G317" t="n">
        <v>19.4</v>
      </c>
      <c r="H317" t="n">
        <v>0</v>
      </c>
      <c r="I317" t="n">
        <v>0</v>
      </c>
      <c r="J317" t="n">
        <v>0</v>
      </c>
      <c r="K317" t="n">
        <v>0</v>
      </c>
      <c r="L317" t="n">
        <v>0</v>
      </c>
      <c r="M317" t="n">
        <v>0</v>
      </c>
      <c r="N317" t="n">
        <v>0</v>
      </c>
      <c r="O317" t="n">
        <v>0</v>
      </c>
      <c r="P317" t="n">
        <v>0</v>
      </c>
      <c r="Q317" t="n">
        <v>0</v>
      </c>
      <c r="R317" s="2" t="inlineStr"/>
    </row>
    <row r="318" ht="15" customHeight="1">
      <c r="A318" t="inlineStr">
        <is>
          <t>A 54905-2019</t>
        </is>
      </c>
      <c r="B318" s="1" t="n">
        <v>43755</v>
      </c>
      <c r="C318" s="1" t="n">
        <v>45346</v>
      </c>
      <c r="D318" t="inlineStr">
        <is>
          <t>JÄMTLANDS LÄN</t>
        </is>
      </c>
      <c r="E318" t="inlineStr">
        <is>
          <t>HÄRJEDALEN</t>
        </is>
      </c>
      <c r="G318" t="n">
        <v>2</v>
      </c>
      <c r="H318" t="n">
        <v>0</v>
      </c>
      <c r="I318" t="n">
        <v>0</v>
      </c>
      <c r="J318" t="n">
        <v>0</v>
      </c>
      <c r="K318" t="n">
        <v>0</v>
      </c>
      <c r="L318" t="n">
        <v>0</v>
      </c>
      <c r="M318" t="n">
        <v>0</v>
      </c>
      <c r="N318" t="n">
        <v>0</v>
      </c>
      <c r="O318" t="n">
        <v>0</v>
      </c>
      <c r="P318" t="n">
        <v>0</v>
      </c>
      <c r="Q318" t="n">
        <v>0</v>
      </c>
      <c r="R318" s="2" t="inlineStr"/>
    </row>
    <row r="319" ht="15" customHeight="1">
      <c r="A319" t="inlineStr">
        <is>
          <t>A 55197-2019</t>
        </is>
      </c>
      <c r="B319" s="1" t="n">
        <v>43756</v>
      </c>
      <c r="C319" s="1" t="n">
        <v>45346</v>
      </c>
      <c r="D319" t="inlineStr">
        <is>
          <t>JÄMTLANDS LÄN</t>
        </is>
      </c>
      <c r="E319" t="inlineStr">
        <is>
          <t>HÄRJEDALEN</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55241-2019</t>
        </is>
      </c>
      <c r="B320" s="1" t="n">
        <v>43756</v>
      </c>
      <c r="C320" s="1" t="n">
        <v>45346</v>
      </c>
      <c r="D320" t="inlineStr">
        <is>
          <t>JÄMTLANDS LÄN</t>
        </is>
      </c>
      <c r="E320" t="inlineStr">
        <is>
          <t>HÄRJEDALEN</t>
        </is>
      </c>
      <c r="G320" t="n">
        <v>0.9</v>
      </c>
      <c r="H320" t="n">
        <v>0</v>
      </c>
      <c r="I320" t="n">
        <v>0</v>
      </c>
      <c r="J320" t="n">
        <v>0</v>
      </c>
      <c r="K320" t="n">
        <v>0</v>
      </c>
      <c r="L320" t="n">
        <v>0</v>
      </c>
      <c r="M320" t="n">
        <v>0</v>
      </c>
      <c r="N320" t="n">
        <v>0</v>
      </c>
      <c r="O320" t="n">
        <v>0</v>
      </c>
      <c r="P320" t="n">
        <v>0</v>
      </c>
      <c r="Q320" t="n">
        <v>0</v>
      </c>
      <c r="R320" s="2" t="inlineStr"/>
    </row>
    <row r="321" ht="15" customHeight="1">
      <c r="A321" t="inlineStr">
        <is>
          <t>A 55193-2019</t>
        </is>
      </c>
      <c r="B321" s="1" t="n">
        <v>43756</v>
      </c>
      <c r="C321" s="1" t="n">
        <v>45346</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55238-2019</t>
        </is>
      </c>
      <c r="B322" s="1" t="n">
        <v>43756</v>
      </c>
      <c r="C322" s="1" t="n">
        <v>45346</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55801-2019</t>
        </is>
      </c>
      <c r="B323" s="1" t="n">
        <v>43759</v>
      </c>
      <c r="C323" s="1" t="n">
        <v>45346</v>
      </c>
      <c r="D323" t="inlineStr">
        <is>
          <t>JÄMTLANDS LÄN</t>
        </is>
      </c>
      <c r="E323" t="inlineStr">
        <is>
          <t>HÄRJEDALEN</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55554-2019</t>
        </is>
      </c>
      <c r="B324" s="1" t="n">
        <v>43759</v>
      </c>
      <c r="C324" s="1" t="n">
        <v>45346</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57281-2019</t>
        </is>
      </c>
      <c r="B325" s="1" t="n">
        <v>43759</v>
      </c>
      <c r="C325" s="1" t="n">
        <v>45346</v>
      </c>
      <c r="D325" t="inlineStr">
        <is>
          <t>JÄMTLANDS LÄN</t>
        </is>
      </c>
      <c r="E325" t="inlineStr">
        <is>
          <t>HÄRJEDALEN</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55578-2019</t>
        </is>
      </c>
      <c r="B326" s="1" t="n">
        <v>43760</v>
      </c>
      <c r="C326" s="1" t="n">
        <v>45346</v>
      </c>
      <c r="D326" t="inlineStr">
        <is>
          <t>JÄMTLANDS LÄN</t>
        </is>
      </c>
      <c r="E326" t="inlineStr">
        <is>
          <t>HÄRJEDALEN</t>
        </is>
      </c>
      <c r="G326" t="n">
        <v>3.6</v>
      </c>
      <c r="H326" t="n">
        <v>0</v>
      </c>
      <c r="I326" t="n">
        <v>0</v>
      </c>
      <c r="J326" t="n">
        <v>0</v>
      </c>
      <c r="K326" t="n">
        <v>0</v>
      </c>
      <c r="L326" t="n">
        <v>0</v>
      </c>
      <c r="M326" t="n">
        <v>0</v>
      </c>
      <c r="N326" t="n">
        <v>0</v>
      </c>
      <c r="O326" t="n">
        <v>0</v>
      </c>
      <c r="P326" t="n">
        <v>0</v>
      </c>
      <c r="Q326" t="n">
        <v>0</v>
      </c>
      <c r="R326" s="2" t="inlineStr"/>
    </row>
    <row r="327" ht="15" customHeight="1">
      <c r="A327" t="inlineStr">
        <is>
          <t>A 55607-2019</t>
        </is>
      </c>
      <c r="B327" s="1" t="n">
        <v>43760</v>
      </c>
      <c r="C327" s="1" t="n">
        <v>45346</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56217-2019</t>
        </is>
      </c>
      <c r="B328" s="1" t="n">
        <v>43762</v>
      </c>
      <c r="C328" s="1" t="n">
        <v>45346</v>
      </c>
      <c r="D328" t="inlineStr">
        <is>
          <t>JÄMTLANDS LÄN</t>
        </is>
      </c>
      <c r="E328" t="inlineStr">
        <is>
          <t>HÄRJEDALEN</t>
        </is>
      </c>
      <c r="G328" t="n">
        <v>43.2</v>
      </c>
      <c r="H328" t="n">
        <v>0</v>
      </c>
      <c r="I328" t="n">
        <v>0</v>
      </c>
      <c r="J328" t="n">
        <v>0</v>
      </c>
      <c r="K328" t="n">
        <v>0</v>
      </c>
      <c r="L328" t="n">
        <v>0</v>
      </c>
      <c r="M328" t="n">
        <v>0</v>
      </c>
      <c r="N328" t="n">
        <v>0</v>
      </c>
      <c r="O328" t="n">
        <v>0</v>
      </c>
      <c r="P328" t="n">
        <v>0</v>
      </c>
      <c r="Q328" t="n">
        <v>0</v>
      </c>
      <c r="R328" s="2" t="inlineStr"/>
    </row>
    <row r="329" ht="15" customHeight="1">
      <c r="A329" t="inlineStr">
        <is>
          <t>A 58175-2019</t>
        </is>
      </c>
      <c r="B329" s="1" t="n">
        <v>43769</v>
      </c>
      <c r="C329" s="1" t="n">
        <v>45346</v>
      </c>
      <c r="D329" t="inlineStr">
        <is>
          <t>JÄMTLANDS LÄN</t>
        </is>
      </c>
      <c r="E329" t="inlineStr">
        <is>
          <t>HÄRJEDALEN</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59347-2019</t>
        </is>
      </c>
      <c r="B330" s="1" t="n">
        <v>43770</v>
      </c>
      <c r="C330" s="1" t="n">
        <v>45346</v>
      </c>
      <c r="D330" t="inlineStr">
        <is>
          <t>JÄMTLANDS LÄN</t>
        </is>
      </c>
      <c r="E330" t="inlineStr">
        <is>
          <t>HÄRJEDALEN</t>
        </is>
      </c>
      <c r="G330" t="n">
        <v>2.3</v>
      </c>
      <c r="H330" t="n">
        <v>0</v>
      </c>
      <c r="I330" t="n">
        <v>0</v>
      </c>
      <c r="J330" t="n">
        <v>0</v>
      </c>
      <c r="K330" t="n">
        <v>0</v>
      </c>
      <c r="L330" t="n">
        <v>0</v>
      </c>
      <c r="M330" t="n">
        <v>0</v>
      </c>
      <c r="N330" t="n">
        <v>0</v>
      </c>
      <c r="O330" t="n">
        <v>0</v>
      </c>
      <c r="P330" t="n">
        <v>0</v>
      </c>
      <c r="Q330" t="n">
        <v>0</v>
      </c>
      <c r="R330" s="2" t="inlineStr"/>
    </row>
    <row r="331" ht="15" customHeight="1">
      <c r="A331" t="inlineStr">
        <is>
          <t>A 58742-2019</t>
        </is>
      </c>
      <c r="B331" s="1" t="n">
        <v>43773</v>
      </c>
      <c r="C331" s="1" t="n">
        <v>45346</v>
      </c>
      <c r="D331" t="inlineStr">
        <is>
          <t>JÄMTLANDS LÄN</t>
        </is>
      </c>
      <c r="E331" t="inlineStr">
        <is>
          <t>HÄRJEDALEN</t>
        </is>
      </c>
      <c r="G331" t="n">
        <v>4</v>
      </c>
      <c r="H331" t="n">
        <v>0</v>
      </c>
      <c r="I331" t="n">
        <v>0</v>
      </c>
      <c r="J331" t="n">
        <v>0</v>
      </c>
      <c r="K331" t="n">
        <v>0</v>
      </c>
      <c r="L331" t="n">
        <v>0</v>
      </c>
      <c r="M331" t="n">
        <v>0</v>
      </c>
      <c r="N331" t="n">
        <v>0</v>
      </c>
      <c r="O331" t="n">
        <v>0</v>
      </c>
      <c r="P331" t="n">
        <v>0</v>
      </c>
      <c r="Q331" t="n">
        <v>0</v>
      </c>
      <c r="R331" s="2" t="inlineStr"/>
    </row>
    <row r="332" ht="15" customHeight="1">
      <c r="A332" t="inlineStr">
        <is>
          <t>A 59984-2019</t>
        </is>
      </c>
      <c r="B332" s="1" t="n">
        <v>43775</v>
      </c>
      <c r="C332" s="1" t="n">
        <v>45346</v>
      </c>
      <c r="D332" t="inlineStr">
        <is>
          <t>JÄMTLANDS LÄN</t>
        </is>
      </c>
      <c r="E332" t="inlineStr">
        <is>
          <t>HÄRJEDALEN</t>
        </is>
      </c>
      <c r="G332" t="n">
        <v>20.4</v>
      </c>
      <c r="H332" t="n">
        <v>0</v>
      </c>
      <c r="I332" t="n">
        <v>0</v>
      </c>
      <c r="J332" t="n">
        <v>0</v>
      </c>
      <c r="K332" t="n">
        <v>0</v>
      </c>
      <c r="L332" t="n">
        <v>0</v>
      </c>
      <c r="M332" t="n">
        <v>0</v>
      </c>
      <c r="N332" t="n">
        <v>0</v>
      </c>
      <c r="O332" t="n">
        <v>0</v>
      </c>
      <c r="P332" t="n">
        <v>0</v>
      </c>
      <c r="Q332" t="n">
        <v>0</v>
      </c>
      <c r="R332" s="2" t="inlineStr"/>
    </row>
    <row r="333" ht="15" customHeight="1">
      <c r="A333" t="inlineStr">
        <is>
          <t>A 59733-2019</t>
        </is>
      </c>
      <c r="B333" s="1" t="n">
        <v>43776</v>
      </c>
      <c r="C333" s="1" t="n">
        <v>45346</v>
      </c>
      <c r="D333" t="inlineStr">
        <is>
          <t>JÄMTLANDS LÄN</t>
        </is>
      </c>
      <c r="E333" t="inlineStr">
        <is>
          <t>HÄRJEDALEN</t>
        </is>
      </c>
      <c r="G333" t="n">
        <v>1.9</v>
      </c>
      <c r="H333" t="n">
        <v>0</v>
      </c>
      <c r="I333" t="n">
        <v>0</v>
      </c>
      <c r="J333" t="n">
        <v>0</v>
      </c>
      <c r="K333" t="n">
        <v>0</v>
      </c>
      <c r="L333" t="n">
        <v>0</v>
      </c>
      <c r="M333" t="n">
        <v>0</v>
      </c>
      <c r="N333" t="n">
        <v>0</v>
      </c>
      <c r="O333" t="n">
        <v>0</v>
      </c>
      <c r="P333" t="n">
        <v>0</v>
      </c>
      <c r="Q333" t="n">
        <v>0</v>
      </c>
      <c r="R333" s="2" t="inlineStr"/>
    </row>
    <row r="334" ht="15" customHeight="1">
      <c r="A334" t="inlineStr">
        <is>
          <t>A 60213-2019</t>
        </is>
      </c>
      <c r="B334" s="1" t="n">
        <v>43780</v>
      </c>
      <c r="C334" s="1" t="n">
        <v>45346</v>
      </c>
      <c r="D334" t="inlineStr">
        <is>
          <t>JÄMTLANDS LÄN</t>
        </is>
      </c>
      <c r="E334" t="inlineStr">
        <is>
          <t>HÄRJEDALEN</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62342-2019</t>
        </is>
      </c>
      <c r="B335" s="1" t="n">
        <v>43782</v>
      </c>
      <c r="C335" s="1" t="n">
        <v>45346</v>
      </c>
      <c r="D335" t="inlineStr">
        <is>
          <t>JÄMTLANDS LÄN</t>
        </is>
      </c>
      <c r="E335" t="inlineStr">
        <is>
          <t>HÄRJEDALEN</t>
        </is>
      </c>
      <c r="G335" t="n">
        <v>1.6</v>
      </c>
      <c r="H335" t="n">
        <v>0</v>
      </c>
      <c r="I335" t="n">
        <v>0</v>
      </c>
      <c r="J335" t="n">
        <v>0</v>
      </c>
      <c r="K335" t="n">
        <v>0</v>
      </c>
      <c r="L335" t="n">
        <v>0</v>
      </c>
      <c r="M335" t="n">
        <v>0</v>
      </c>
      <c r="N335" t="n">
        <v>0</v>
      </c>
      <c r="O335" t="n">
        <v>0</v>
      </c>
      <c r="P335" t="n">
        <v>0</v>
      </c>
      <c r="Q335" t="n">
        <v>0</v>
      </c>
      <c r="R335" s="2" t="inlineStr"/>
    </row>
    <row r="336" ht="15" customHeight="1">
      <c r="A336" t="inlineStr">
        <is>
          <t>A 60919-2019</t>
        </is>
      </c>
      <c r="B336" s="1" t="n">
        <v>43782</v>
      </c>
      <c r="C336" s="1" t="n">
        <v>45346</v>
      </c>
      <c r="D336" t="inlineStr">
        <is>
          <t>JÄMTLANDS LÄN</t>
        </is>
      </c>
      <c r="E336" t="inlineStr">
        <is>
          <t>HÄRJEDALEN</t>
        </is>
      </c>
      <c r="G336" t="n">
        <v>6.4</v>
      </c>
      <c r="H336" t="n">
        <v>0</v>
      </c>
      <c r="I336" t="n">
        <v>0</v>
      </c>
      <c r="J336" t="n">
        <v>0</v>
      </c>
      <c r="K336" t="n">
        <v>0</v>
      </c>
      <c r="L336" t="n">
        <v>0</v>
      </c>
      <c r="M336" t="n">
        <v>0</v>
      </c>
      <c r="N336" t="n">
        <v>0</v>
      </c>
      <c r="O336" t="n">
        <v>0</v>
      </c>
      <c r="P336" t="n">
        <v>0</v>
      </c>
      <c r="Q336" t="n">
        <v>0</v>
      </c>
      <c r="R336" s="2" t="inlineStr"/>
    </row>
    <row r="337" ht="15" customHeight="1">
      <c r="A337" t="inlineStr">
        <is>
          <t>A 62115-2019</t>
        </is>
      </c>
      <c r="B337" s="1" t="n">
        <v>43787</v>
      </c>
      <c r="C337" s="1" t="n">
        <v>45346</v>
      </c>
      <c r="D337" t="inlineStr">
        <is>
          <t>JÄMTLANDS LÄN</t>
        </is>
      </c>
      <c r="E337" t="inlineStr">
        <is>
          <t>HÄRJEDALEN</t>
        </is>
      </c>
      <c r="G337" t="n">
        <v>0.5</v>
      </c>
      <c r="H337" t="n">
        <v>0</v>
      </c>
      <c r="I337" t="n">
        <v>0</v>
      </c>
      <c r="J337" t="n">
        <v>0</v>
      </c>
      <c r="K337" t="n">
        <v>0</v>
      </c>
      <c r="L337" t="n">
        <v>0</v>
      </c>
      <c r="M337" t="n">
        <v>0</v>
      </c>
      <c r="N337" t="n">
        <v>0</v>
      </c>
      <c r="O337" t="n">
        <v>0</v>
      </c>
      <c r="P337" t="n">
        <v>0</v>
      </c>
      <c r="Q337" t="n">
        <v>0</v>
      </c>
      <c r="R337" s="2" t="inlineStr"/>
    </row>
    <row r="338" ht="15" customHeight="1">
      <c r="A338" t="inlineStr">
        <is>
          <t>A 62451-2019</t>
        </is>
      </c>
      <c r="B338" s="1" t="n">
        <v>43788</v>
      </c>
      <c r="C338" s="1" t="n">
        <v>45346</v>
      </c>
      <c r="D338" t="inlineStr">
        <is>
          <t>JÄMTLANDS LÄN</t>
        </is>
      </c>
      <c r="E338" t="inlineStr">
        <is>
          <t>HÄRJEDALEN</t>
        </is>
      </c>
      <c r="F338" t="inlineStr">
        <is>
          <t>Bergvik skog väst AB</t>
        </is>
      </c>
      <c r="G338" t="n">
        <v>22.2</v>
      </c>
      <c r="H338" t="n">
        <v>0</v>
      </c>
      <c r="I338" t="n">
        <v>0</v>
      </c>
      <c r="J338" t="n">
        <v>0</v>
      </c>
      <c r="K338" t="n">
        <v>0</v>
      </c>
      <c r="L338" t="n">
        <v>0</v>
      </c>
      <c r="M338" t="n">
        <v>0</v>
      </c>
      <c r="N338" t="n">
        <v>0</v>
      </c>
      <c r="O338" t="n">
        <v>0</v>
      </c>
      <c r="P338" t="n">
        <v>0</v>
      </c>
      <c r="Q338" t="n">
        <v>0</v>
      </c>
      <c r="R338" s="2" t="inlineStr"/>
    </row>
    <row r="339" ht="15" customHeight="1">
      <c r="A339" t="inlineStr">
        <is>
          <t>A 62971-2019</t>
        </is>
      </c>
      <c r="B339" s="1" t="n">
        <v>43790</v>
      </c>
      <c r="C339" s="1" t="n">
        <v>45346</v>
      </c>
      <c r="D339" t="inlineStr">
        <is>
          <t>JÄMTLANDS LÄN</t>
        </is>
      </c>
      <c r="E339" t="inlineStr">
        <is>
          <t>HÄRJEDALEN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64417-2019</t>
        </is>
      </c>
      <c r="B340" s="1" t="n">
        <v>43794</v>
      </c>
      <c r="C340" s="1" t="n">
        <v>45346</v>
      </c>
      <c r="D340" t="inlineStr">
        <is>
          <t>JÄMTLANDS LÄN</t>
        </is>
      </c>
      <c r="E340" t="inlineStr">
        <is>
          <t>HÄRJEDALEN</t>
        </is>
      </c>
      <c r="G340" t="n">
        <v>6.9</v>
      </c>
      <c r="H340" t="n">
        <v>0</v>
      </c>
      <c r="I340" t="n">
        <v>0</v>
      </c>
      <c r="J340" t="n">
        <v>0</v>
      </c>
      <c r="K340" t="n">
        <v>0</v>
      </c>
      <c r="L340" t="n">
        <v>0</v>
      </c>
      <c r="M340" t="n">
        <v>0</v>
      </c>
      <c r="N340" t="n">
        <v>0</v>
      </c>
      <c r="O340" t="n">
        <v>0</v>
      </c>
      <c r="P340" t="n">
        <v>0</v>
      </c>
      <c r="Q340" t="n">
        <v>0</v>
      </c>
      <c r="R340" s="2" t="inlineStr"/>
    </row>
    <row r="341" ht="15" customHeight="1">
      <c r="A341" t="inlineStr">
        <is>
          <t>A 64229-2019</t>
        </is>
      </c>
      <c r="B341" s="1" t="n">
        <v>43797</v>
      </c>
      <c r="C341" s="1" t="n">
        <v>45346</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64689-2019</t>
        </is>
      </c>
      <c r="B342" s="1" t="n">
        <v>43798</v>
      </c>
      <c r="C342" s="1" t="n">
        <v>45346</v>
      </c>
      <c r="D342" t="inlineStr">
        <is>
          <t>JÄMTLANDS LÄN</t>
        </is>
      </c>
      <c r="E342" t="inlineStr">
        <is>
          <t>HÄRJEDALEN</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65759-2019</t>
        </is>
      </c>
      <c r="B343" s="1" t="n">
        <v>43804</v>
      </c>
      <c r="C343" s="1" t="n">
        <v>45346</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66255-2019</t>
        </is>
      </c>
      <c r="B344" s="1" t="n">
        <v>43808</v>
      </c>
      <c r="C344" s="1" t="n">
        <v>45346</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66735-2019</t>
        </is>
      </c>
      <c r="B345" s="1" t="n">
        <v>43810</v>
      </c>
      <c r="C345" s="1" t="n">
        <v>45346</v>
      </c>
      <c r="D345" t="inlineStr">
        <is>
          <t>JÄMTLANDS LÄN</t>
        </is>
      </c>
      <c r="E345" t="inlineStr">
        <is>
          <t>HÄRJEDALEN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67619-2019</t>
        </is>
      </c>
      <c r="B346" s="1" t="n">
        <v>43815</v>
      </c>
      <c r="C346" s="1" t="n">
        <v>45346</v>
      </c>
      <c r="D346" t="inlineStr">
        <is>
          <t>JÄMTLANDS LÄN</t>
        </is>
      </c>
      <c r="E346" t="inlineStr">
        <is>
          <t>HÄRJEDALEN</t>
        </is>
      </c>
      <c r="F346" t="inlineStr">
        <is>
          <t>Holmen skog AB</t>
        </is>
      </c>
      <c r="G346" t="n">
        <v>6.4</v>
      </c>
      <c r="H346" t="n">
        <v>0</v>
      </c>
      <c r="I346" t="n">
        <v>0</v>
      </c>
      <c r="J346" t="n">
        <v>0</v>
      </c>
      <c r="K346" t="n">
        <v>0</v>
      </c>
      <c r="L346" t="n">
        <v>0</v>
      </c>
      <c r="M346" t="n">
        <v>0</v>
      </c>
      <c r="N346" t="n">
        <v>0</v>
      </c>
      <c r="O346" t="n">
        <v>0</v>
      </c>
      <c r="P346" t="n">
        <v>0</v>
      </c>
      <c r="Q346" t="n">
        <v>0</v>
      </c>
      <c r="R346" s="2" t="inlineStr"/>
    </row>
    <row r="347" ht="15" customHeight="1">
      <c r="A347" t="inlineStr">
        <is>
          <t>A 67693-2019</t>
        </is>
      </c>
      <c r="B347" s="1" t="n">
        <v>43815</v>
      </c>
      <c r="C347" s="1" t="n">
        <v>45346</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67500-2019</t>
        </is>
      </c>
      <c r="B348" s="1" t="n">
        <v>43815</v>
      </c>
      <c r="C348" s="1" t="n">
        <v>45346</v>
      </c>
      <c r="D348" t="inlineStr">
        <is>
          <t>JÄMTLANDS LÄN</t>
        </is>
      </c>
      <c r="E348" t="inlineStr">
        <is>
          <t>HÄRJEDALEN</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67695-2019</t>
        </is>
      </c>
      <c r="B349" s="1" t="n">
        <v>43815</v>
      </c>
      <c r="C349" s="1" t="n">
        <v>45346</v>
      </c>
      <c r="D349" t="inlineStr">
        <is>
          <t>JÄMTLANDS LÄN</t>
        </is>
      </c>
      <c r="E349" t="inlineStr">
        <is>
          <t>HÄRJEDALEN</t>
        </is>
      </c>
      <c r="F349" t="inlineStr">
        <is>
          <t>Holmen skog AB</t>
        </is>
      </c>
      <c r="G349" t="n">
        <v>0.9</v>
      </c>
      <c r="H349" t="n">
        <v>0</v>
      </c>
      <c r="I349" t="n">
        <v>0</v>
      </c>
      <c r="J349" t="n">
        <v>0</v>
      </c>
      <c r="K349" t="n">
        <v>0</v>
      </c>
      <c r="L349" t="n">
        <v>0</v>
      </c>
      <c r="M349" t="n">
        <v>0</v>
      </c>
      <c r="N349" t="n">
        <v>0</v>
      </c>
      <c r="O349" t="n">
        <v>0</v>
      </c>
      <c r="P349" t="n">
        <v>0</v>
      </c>
      <c r="Q349" t="n">
        <v>0</v>
      </c>
      <c r="R349" s="2" t="inlineStr"/>
    </row>
    <row r="350" ht="15" customHeight="1">
      <c r="A350" t="inlineStr">
        <is>
          <t>A 67757-2019</t>
        </is>
      </c>
      <c r="B350" s="1" t="n">
        <v>43815</v>
      </c>
      <c r="C350" s="1" t="n">
        <v>45346</v>
      </c>
      <c r="D350" t="inlineStr">
        <is>
          <t>JÄMTLANDS LÄN</t>
        </is>
      </c>
      <c r="E350" t="inlineStr">
        <is>
          <t>HÄRJEDALEN</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67688-2019</t>
        </is>
      </c>
      <c r="B351" s="1" t="n">
        <v>43815</v>
      </c>
      <c r="C351" s="1" t="n">
        <v>45346</v>
      </c>
      <c r="D351" t="inlineStr">
        <is>
          <t>JÄMTLANDS LÄN</t>
        </is>
      </c>
      <c r="E351" t="inlineStr">
        <is>
          <t>HÄRJEDALEN</t>
        </is>
      </c>
      <c r="F351" t="inlineStr">
        <is>
          <t>Holmen skog AB</t>
        </is>
      </c>
      <c r="G351" t="n">
        <v>4.2</v>
      </c>
      <c r="H351" t="n">
        <v>0</v>
      </c>
      <c r="I351" t="n">
        <v>0</v>
      </c>
      <c r="J351" t="n">
        <v>0</v>
      </c>
      <c r="K351" t="n">
        <v>0</v>
      </c>
      <c r="L351" t="n">
        <v>0</v>
      </c>
      <c r="M351" t="n">
        <v>0</v>
      </c>
      <c r="N351" t="n">
        <v>0</v>
      </c>
      <c r="O351" t="n">
        <v>0</v>
      </c>
      <c r="P351" t="n">
        <v>0</v>
      </c>
      <c r="Q351" t="n">
        <v>0</v>
      </c>
      <c r="R351" s="2" t="inlineStr"/>
    </row>
    <row r="352" ht="15" customHeight="1">
      <c r="A352" t="inlineStr">
        <is>
          <t>A 67738-2019</t>
        </is>
      </c>
      <c r="B352" s="1" t="n">
        <v>43815</v>
      </c>
      <c r="C352" s="1" t="n">
        <v>45346</v>
      </c>
      <c r="D352" t="inlineStr">
        <is>
          <t>JÄMTLANDS LÄN</t>
        </is>
      </c>
      <c r="E352" t="inlineStr">
        <is>
          <t>HÄRJEDALEN</t>
        </is>
      </c>
      <c r="F352" t="inlineStr">
        <is>
          <t>Holmen skog AB</t>
        </is>
      </c>
      <c r="G352" t="n">
        <v>15.9</v>
      </c>
      <c r="H352" t="n">
        <v>0</v>
      </c>
      <c r="I352" t="n">
        <v>0</v>
      </c>
      <c r="J352" t="n">
        <v>0</v>
      </c>
      <c r="K352" t="n">
        <v>0</v>
      </c>
      <c r="L352" t="n">
        <v>0</v>
      </c>
      <c r="M352" t="n">
        <v>0</v>
      </c>
      <c r="N352" t="n">
        <v>0</v>
      </c>
      <c r="O352" t="n">
        <v>0</v>
      </c>
      <c r="P352" t="n">
        <v>0</v>
      </c>
      <c r="Q352" t="n">
        <v>0</v>
      </c>
      <c r="R352" s="2" t="inlineStr"/>
    </row>
    <row r="353" ht="15" customHeight="1">
      <c r="A353" t="inlineStr">
        <is>
          <t>A 67506-2019</t>
        </is>
      </c>
      <c r="B353" s="1" t="n">
        <v>43815</v>
      </c>
      <c r="C353" s="1" t="n">
        <v>45346</v>
      </c>
      <c r="D353" t="inlineStr">
        <is>
          <t>JÄMTLANDS LÄN</t>
        </is>
      </c>
      <c r="E353" t="inlineStr">
        <is>
          <t>HÄRJEDALEN</t>
        </is>
      </c>
      <c r="F353" t="inlineStr">
        <is>
          <t>Holmen skog AB</t>
        </is>
      </c>
      <c r="G353" t="n">
        <v>27</v>
      </c>
      <c r="H353" t="n">
        <v>0</v>
      </c>
      <c r="I353" t="n">
        <v>0</v>
      </c>
      <c r="J353" t="n">
        <v>0</v>
      </c>
      <c r="K353" t="n">
        <v>0</v>
      </c>
      <c r="L353" t="n">
        <v>0</v>
      </c>
      <c r="M353" t="n">
        <v>0</v>
      </c>
      <c r="N353" t="n">
        <v>0</v>
      </c>
      <c r="O353" t="n">
        <v>0</v>
      </c>
      <c r="P353" t="n">
        <v>0</v>
      </c>
      <c r="Q353" t="n">
        <v>0</v>
      </c>
      <c r="R353" s="2" t="inlineStr"/>
    </row>
    <row r="354" ht="15" customHeight="1">
      <c r="A354" t="inlineStr">
        <is>
          <t>A 67692-2019</t>
        </is>
      </c>
      <c r="B354" s="1" t="n">
        <v>43815</v>
      </c>
      <c r="C354" s="1" t="n">
        <v>45346</v>
      </c>
      <c r="D354" t="inlineStr">
        <is>
          <t>JÄMTLANDS LÄN</t>
        </is>
      </c>
      <c r="E354" t="inlineStr">
        <is>
          <t>HÄRJEDALEN</t>
        </is>
      </c>
      <c r="F354" t="inlineStr">
        <is>
          <t>Holmen skog AB</t>
        </is>
      </c>
      <c r="G354" t="n">
        <v>12.9</v>
      </c>
      <c r="H354" t="n">
        <v>0</v>
      </c>
      <c r="I354" t="n">
        <v>0</v>
      </c>
      <c r="J354" t="n">
        <v>0</v>
      </c>
      <c r="K354" t="n">
        <v>0</v>
      </c>
      <c r="L354" t="n">
        <v>0</v>
      </c>
      <c r="M354" t="n">
        <v>0</v>
      </c>
      <c r="N354" t="n">
        <v>0</v>
      </c>
      <c r="O354" t="n">
        <v>0</v>
      </c>
      <c r="P354" t="n">
        <v>0</v>
      </c>
      <c r="Q354" t="n">
        <v>0</v>
      </c>
      <c r="R354" s="2" t="inlineStr"/>
    </row>
    <row r="355" ht="15" customHeight="1">
      <c r="A355" t="inlineStr">
        <is>
          <t>A 67733-2019</t>
        </is>
      </c>
      <c r="B355" s="1" t="n">
        <v>43815</v>
      </c>
      <c r="C355" s="1" t="n">
        <v>45346</v>
      </c>
      <c r="D355" t="inlineStr">
        <is>
          <t>JÄMTLANDS LÄN</t>
        </is>
      </c>
      <c r="E355" t="inlineStr">
        <is>
          <t>HÄRJEDALEN</t>
        </is>
      </c>
      <c r="F355" t="inlineStr">
        <is>
          <t>Holmen skog AB</t>
        </is>
      </c>
      <c r="G355" t="n">
        <v>15.5</v>
      </c>
      <c r="H355" t="n">
        <v>0</v>
      </c>
      <c r="I355" t="n">
        <v>0</v>
      </c>
      <c r="J355" t="n">
        <v>0</v>
      </c>
      <c r="K355" t="n">
        <v>0</v>
      </c>
      <c r="L355" t="n">
        <v>0</v>
      </c>
      <c r="M355" t="n">
        <v>0</v>
      </c>
      <c r="N355" t="n">
        <v>0</v>
      </c>
      <c r="O355" t="n">
        <v>0</v>
      </c>
      <c r="P355" t="n">
        <v>0</v>
      </c>
      <c r="Q355" t="n">
        <v>0</v>
      </c>
      <c r="R355" s="2" t="inlineStr"/>
    </row>
    <row r="356" ht="15" customHeight="1">
      <c r="A356" t="inlineStr">
        <is>
          <t>A 67593-2019</t>
        </is>
      </c>
      <c r="B356" s="1" t="n">
        <v>43815</v>
      </c>
      <c r="C356" s="1" t="n">
        <v>45346</v>
      </c>
      <c r="D356" t="inlineStr">
        <is>
          <t>JÄMTLANDS LÄN</t>
        </is>
      </c>
      <c r="E356" t="inlineStr">
        <is>
          <t>HÄRJEDALEN</t>
        </is>
      </c>
      <c r="F356" t="inlineStr">
        <is>
          <t>Holmen skog AB</t>
        </is>
      </c>
      <c r="G356" t="n">
        <v>7.9</v>
      </c>
      <c r="H356" t="n">
        <v>0</v>
      </c>
      <c r="I356" t="n">
        <v>0</v>
      </c>
      <c r="J356" t="n">
        <v>0</v>
      </c>
      <c r="K356" t="n">
        <v>0</v>
      </c>
      <c r="L356" t="n">
        <v>0</v>
      </c>
      <c r="M356" t="n">
        <v>0</v>
      </c>
      <c r="N356" t="n">
        <v>0</v>
      </c>
      <c r="O356" t="n">
        <v>0</v>
      </c>
      <c r="P356" t="n">
        <v>0</v>
      </c>
      <c r="Q356" t="n">
        <v>0</v>
      </c>
      <c r="R356" s="2" t="inlineStr"/>
    </row>
    <row r="357" ht="15" customHeight="1">
      <c r="A357" t="inlineStr">
        <is>
          <t>A 67535-2019</t>
        </is>
      </c>
      <c r="B357" s="1" t="n">
        <v>43815</v>
      </c>
      <c r="C357" s="1" t="n">
        <v>45346</v>
      </c>
      <c r="D357" t="inlineStr">
        <is>
          <t>JÄMTLANDS LÄN</t>
        </is>
      </c>
      <c r="E357" t="inlineStr">
        <is>
          <t>HÄRJEDALEN</t>
        </is>
      </c>
      <c r="F357" t="inlineStr">
        <is>
          <t>Holmen skog AB</t>
        </is>
      </c>
      <c r="G357" t="n">
        <v>34.3</v>
      </c>
      <c r="H357" t="n">
        <v>0</v>
      </c>
      <c r="I357" t="n">
        <v>0</v>
      </c>
      <c r="J357" t="n">
        <v>0</v>
      </c>
      <c r="K357" t="n">
        <v>0</v>
      </c>
      <c r="L357" t="n">
        <v>0</v>
      </c>
      <c r="M357" t="n">
        <v>0</v>
      </c>
      <c r="N357" t="n">
        <v>0</v>
      </c>
      <c r="O357" t="n">
        <v>0</v>
      </c>
      <c r="P357" t="n">
        <v>0</v>
      </c>
      <c r="Q357" t="n">
        <v>0</v>
      </c>
      <c r="R357" s="2" t="inlineStr"/>
    </row>
    <row r="358" ht="15" customHeight="1">
      <c r="A358" t="inlineStr">
        <is>
          <t>A 67972-2019</t>
        </is>
      </c>
      <c r="B358" s="1" t="n">
        <v>43816</v>
      </c>
      <c r="C358" s="1" t="n">
        <v>45346</v>
      </c>
      <c r="D358" t="inlineStr">
        <is>
          <t>JÄMTLANDS LÄN</t>
        </is>
      </c>
      <c r="E358" t="inlineStr">
        <is>
          <t>HÄRJEDALEN</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642-2020</t>
        </is>
      </c>
      <c r="B359" s="1" t="n">
        <v>43817</v>
      </c>
      <c r="C359" s="1" t="n">
        <v>45346</v>
      </c>
      <c r="D359" t="inlineStr">
        <is>
          <t>JÄMTLANDS LÄN</t>
        </is>
      </c>
      <c r="E359" t="inlineStr">
        <is>
          <t>HÄRJEDALEN</t>
        </is>
      </c>
      <c r="G359" t="n">
        <v>15.5</v>
      </c>
      <c r="H359" t="n">
        <v>0</v>
      </c>
      <c r="I359" t="n">
        <v>0</v>
      </c>
      <c r="J359" t="n">
        <v>0</v>
      </c>
      <c r="K359" t="n">
        <v>0</v>
      </c>
      <c r="L359" t="n">
        <v>0</v>
      </c>
      <c r="M359" t="n">
        <v>0</v>
      </c>
      <c r="N359" t="n">
        <v>0</v>
      </c>
      <c r="O359" t="n">
        <v>0</v>
      </c>
      <c r="P359" t="n">
        <v>0</v>
      </c>
      <c r="Q359" t="n">
        <v>0</v>
      </c>
      <c r="R359" s="2" t="inlineStr"/>
    </row>
    <row r="360" ht="15" customHeight="1">
      <c r="A360" t="inlineStr">
        <is>
          <t>A 159-2020</t>
        </is>
      </c>
      <c r="B360" s="1" t="n">
        <v>43833</v>
      </c>
      <c r="C360" s="1" t="n">
        <v>45346</v>
      </c>
      <c r="D360" t="inlineStr">
        <is>
          <t>JÄMTLANDS LÄN</t>
        </is>
      </c>
      <c r="E360" t="inlineStr">
        <is>
          <t>HÄRJEDALEN</t>
        </is>
      </c>
      <c r="G360" t="n">
        <v>1.4</v>
      </c>
      <c r="H360" t="n">
        <v>0</v>
      </c>
      <c r="I360" t="n">
        <v>0</v>
      </c>
      <c r="J360" t="n">
        <v>0</v>
      </c>
      <c r="K360" t="n">
        <v>0</v>
      </c>
      <c r="L360" t="n">
        <v>0</v>
      </c>
      <c r="M360" t="n">
        <v>0</v>
      </c>
      <c r="N360" t="n">
        <v>0</v>
      </c>
      <c r="O360" t="n">
        <v>0</v>
      </c>
      <c r="P360" t="n">
        <v>0</v>
      </c>
      <c r="Q360" t="n">
        <v>0</v>
      </c>
      <c r="R360" s="2" t="inlineStr"/>
    </row>
    <row r="361" ht="15" customHeight="1">
      <c r="A361" t="inlineStr">
        <is>
          <t>A 2320-2020</t>
        </is>
      </c>
      <c r="B361" s="1" t="n">
        <v>43846</v>
      </c>
      <c r="C361" s="1" t="n">
        <v>45346</v>
      </c>
      <c r="D361" t="inlineStr">
        <is>
          <t>JÄMTLANDS LÄN</t>
        </is>
      </c>
      <c r="E361" t="inlineStr">
        <is>
          <t>HÄRJEDALEN</t>
        </is>
      </c>
      <c r="F361" t="inlineStr">
        <is>
          <t>Bergvik skog väst AB</t>
        </is>
      </c>
      <c r="G361" t="n">
        <v>3.3</v>
      </c>
      <c r="H361" t="n">
        <v>0</v>
      </c>
      <c r="I361" t="n">
        <v>0</v>
      </c>
      <c r="J361" t="n">
        <v>0</v>
      </c>
      <c r="K361" t="n">
        <v>0</v>
      </c>
      <c r="L361" t="n">
        <v>0</v>
      </c>
      <c r="M361" t="n">
        <v>0</v>
      </c>
      <c r="N361" t="n">
        <v>0</v>
      </c>
      <c r="O361" t="n">
        <v>0</v>
      </c>
      <c r="P361" t="n">
        <v>0</v>
      </c>
      <c r="Q361" t="n">
        <v>0</v>
      </c>
      <c r="R361" s="2" t="inlineStr"/>
    </row>
    <row r="362" ht="15" customHeight="1">
      <c r="A362" t="inlineStr">
        <is>
          <t>A 4663-2020</t>
        </is>
      </c>
      <c r="B362" s="1" t="n">
        <v>43858</v>
      </c>
      <c r="C362" s="1" t="n">
        <v>45346</v>
      </c>
      <c r="D362" t="inlineStr">
        <is>
          <t>JÄMTLANDS LÄN</t>
        </is>
      </c>
      <c r="E362" t="inlineStr">
        <is>
          <t>HÄRJEDALEN</t>
        </is>
      </c>
      <c r="G362" t="n">
        <v>10.2</v>
      </c>
      <c r="H362" t="n">
        <v>0</v>
      </c>
      <c r="I362" t="n">
        <v>0</v>
      </c>
      <c r="J362" t="n">
        <v>0</v>
      </c>
      <c r="K362" t="n">
        <v>0</v>
      </c>
      <c r="L362" t="n">
        <v>0</v>
      </c>
      <c r="M362" t="n">
        <v>0</v>
      </c>
      <c r="N362" t="n">
        <v>0</v>
      </c>
      <c r="O362" t="n">
        <v>0</v>
      </c>
      <c r="P362" t="n">
        <v>0</v>
      </c>
      <c r="Q362" t="n">
        <v>0</v>
      </c>
      <c r="R362" s="2" t="inlineStr"/>
    </row>
    <row r="363" ht="15" customHeight="1">
      <c r="A363" t="inlineStr">
        <is>
          <t>A 6719-2020</t>
        </is>
      </c>
      <c r="B363" s="1" t="n">
        <v>43866</v>
      </c>
      <c r="C363" s="1" t="n">
        <v>45346</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6715-2020</t>
        </is>
      </c>
      <c r="B364" s="1" t="n">
        <v>43866</v>
      </c>
      <c r="C364" s="1" t="n">
        <v>45346</v>
      </c>
      <c r="D364" t="inlineStr">
        <is>
          <t>JÄMTLANDS LÄN</t>
        </is>
      </c>
      <c r="E364" t="inlineStr">
        <is>
          <t>HÄRJEDALEN</t>
        </is>
      </c>
      <c r="G364" t="n">
        <v>7.5</v>
      </c>
      <c r="H364" t="n">
        <v>0</v>
      </c>
      <c r="I364" t="n">
        <v>0</v>
      </c>
      <c r="J364" t="n">
        <v>0</v>
      </c>
      <c r="K364" t="n">
        <v>0</v>
      </c>
      <c r="L364" t="n">
        <v>0</v>
      </c>
      <c r="M364" t="n">
        <v>0</v>
      </c>
      <c r="N364" t="n">
        <v>0</v>
      </c>
      <c r="O364" t="n">
        <v>0</v>
      </c>
      <c r="P364" t="n">
        <v>0</v>
      </c>
      <c r="Q364" t="n">
        <v>0</v>
      </c>
      <c r="R364" s="2" t="inlineStr"/>
    </row>
    <row r="365" ht="15" customHeight="1">
      <c r="A365" t="inlineStr">
        <is>
          <t>A 6675-2020</t>
        </is>
      </c>
      <c r="B365" s="1" t="n">
        <v>43866</v>
      </c>
      <c r="C365" s="1" t="n">
        <v>45346</v>
      </c>
      <c r="D365" t="inlineStr">
        <is>
          <t>JÄMTLANDS LÄN</t>
        </is>
      </c>
      <c r="E365" t="inlineStr">
        <is>
          <t>HÄRJEDALEN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6584-2020</t>
        </is>
      </c>
      <c r="B366" s="1" t="n">
        <v>43867</v>
      </c>
      <c r="C366" s="1" t="n">
        <v>45346</v>
      </c>
      <c r="D366" t="inlineStr">
        <is>
          <t>JÄMTLANDS LÄN</t>
        </is>
      </c>
      <c r="E366" t="inlineStr">
        <is>
          <t>HÄRJEDALEN</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6903-2020</t>
        </is>
      </c>
      <c r="B367" s="1" t="n">
        <v>43867</v>
      </c>
      <c r="C367" s="1" t="n">
        <v>45346</v>
      </c>
      <c r="D367" t="inlineStr">
        <is>
          <t>JÄMTLANDS LÄN</t>
        </is>
      </c>
      <c r="E367" t="inlineStr">
        <is>
          <t>HÄRJEDALEN</t>
        </is>
      </c>
      <c r="G367" t="n">
        <v>10.5</v>
      </c>
      <c r="H367" t="n">
        <v>0</v>
      </c>
      <c r="I367" t="n">
        <v>0</v>
      </c>
      <c r="J367" t="n">
        <v>0</v>
      </c>
      <c r="K367" t="n">
        <v>0</v>
      </c>
      <c r="L367" t="n">
        <v>0</v>
      </c>
      <c r="M367" t="n">
        <v>0</v>
      </c>
      <c r="N367" t="n">
        <v>0</v>
      </c>
      <c r="O367" t="n">
        <v>0</v>
      </c>
      <c r="P367" t="n">
        <v>0</v>
      </c>
      <c r="Q367" t="n">
        <v>0</v>
      </c>
      <c r="R367" s="2" t="inlineStr"/>
    </row>
    <row r="368" ht="15" customHeight="1">
      <c r="A368" t="inlineStr">
        <is>
          <t>A 7184-2020</t>
        </is>
      </c>
      <c r="B368" s="1" t="n">
        <v>43871</v>
      </c>
      <c r="C368" s="1" t="n">
        <v>45346</v>
      </c>
      <c r="D368" t="inlineStr">
        <is>
          <t>JÄMTLANDS LÄN</t>
        </is>
      </c>
      <c r="E368" t="inlineStr">
        <is>
          <t>HÄRJEDALEN</t>
        </is>
      </c>
      <c r="G368" t="n">
        <v>41.4</v>
      </c>
      <c r="H368" t="n">
        <v>0</v>
      </c>
      <c r="I368" t="n">
        <v>0</v>
      </c>
      <c r="J368" t="n">
        <v>0</v>
      </c>
      <c r="K368" t="n">
        <v>0</v>
      </c>
      <c r="L368" t="n">
        <v>0</v>
      </c>
      <c r="M368" t="n">
        <v>0</v>
      </c>
      <c r="N368" t="n">
        <v>0</v>
      </c>
      <c r="O368" t="n">
        <v>0</v>
      </c>
      <c r="P368" t="n">
        <v>0</v>
      </c>
      <c r="Q368" t="n">
        <v>0</v>
      </c>
      <c r="R368" s="2" t="inlineStr"/>
    </row>
    <row r="369" ht="15" customHeight="1">
      <c r="A369" t="inlineStr">
        <is>
          <t>A 8111-2020</t>
        </is>
      </c>
      <c r="B369" s="1" t="n">
        <v>43874</v>
      </c>
      <c r="C369" s="1" t="n">
        <v>45346</v>
      </c>
      <c r="D369" t="inlineStr">
        <is>
          <t>JÄMTLANDS LÄN</t>
        </is>
      </c>
      <c r="E369" t="inlineStr">
        <is>
          <t>HÄRJEDALEN</t>
        </is>
      </c>
      <c r="G369" t="n">
        <v>15.4</v>
      </c>
      <c r="H369" t="n">
        <v>0</v>
      </c>
      <c r="I369" t="n">
        <v>0</v>
      </c>
      <c r="J369" t="n">
        <v>0</v>
      </c>
      <c r="K369" t="n">
        <v>0</v>
      </c>
      <c r="L369" t="n">
        <v>0</v>
      </c>
      <c r="M369" t="n">
        <v>0</v>
      </c>
      <c r="N369" t="n">
        <v>0</v>
      </c>
      <c r="O369" t="n">
        <v>0</v>
      </c>
      <c r="P369" t="n">
        <v>0</v>
      </c>
      <c r="Q369" t="n">
        <v>0</v>
      </c>
      <c r="R369" s="2" t="inlineStr"/>
    </row>
    <row r="370" ht="15" customHeight="1">
      <c r="A370" t="inlineStr">
        <is>
          <t>A 8762-2020</t>
        </is>
      </c>
      <c r="B370" s="1" t="n">
        <v>43875</v>
      </c>
      <c r="C370" s="1" t="n">
        <v>45346</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8908-2020</t>
        </is>
      </c>
      <c r="B371" s="1" t="n">
        <v>43878</v>
      </c>
      <c r="C371" s="1" t="n">
        <v>45346</v>
      </c>
      <c r="D371" t="inlineStr">
        <is>
          <t>JÄMTLANDS LÄN</t>
        </is>
      </c>
      <c r="E371" t="inlineStr">
        <is>
          <t>HÄRJEDALEN</t>
        </is>
      </c>
      <c r="G371" t="n">
        <v>18.1</v>
      </c>
      <c r="H371" t="n">
        <v>0</v>
      </c>
      <c r="I371" t="n">
        <v>0</v>
      </c>
      <c r="J371" t="n">
        <v>0</v>
      </c>
      <c r="K371" t="n">
        <v>0</v>
      </c>
      <c r="L371" t="n">
        <v>0</v>
      </c>
      <c r="M371" t="n">
        <v>0</v>
      </c>
      <c r="N371" t="n">
        <v>0</v>
      </c>
      <c r="O371" t="n">
        <v>0</v>
      </c>
      <c r="P371" t="n">
        <v>0</v>
      </c>
      <c r="Q371" t="n">
        <v>0</v>
      </c>
      <c r="R371" s="2" t="inlineStr"/>
    </row>
    <row r="372" ht="15" customHeight="1">
      <c r="A372" t="inlineStr">
        <is>
          <t>A 9034-2020</t>
        </is>
      </c>
      <c r="B372" s="1" t="n">
        <v>43879</v>
      </c>
      <c r="C372" s="1" t="n">
        <v>45346</v>
      </c>
      <c r="D372" t="inlineStr">
        <is>
          <t>JÄMTLANDS LÄN</t>
        </is>
      </c>
      <c r="E372" t="inlineStr">
        <is>
          <t>HÄRJEDALEN</t>
        </is>
      </c>
      <c r="G372" t="n">
        <v>0.7</v>
      </c>
      <c r="H372" t="n">
        <v>0</v>
      </c>
      <c r="I372" t="n">
        <v>0</v>
      </c>
      <c r="J372" t="n">
        <v>0</v>
      </c>
      <c r="K372" t="n">
        <v>0</v>
      </c>
      <c r="L372" t="n">
        <v>0</v>
      </c>
      <c r="M372" t="n">
        <v>0</v>
      </c>
      <c r="N372" t="n">
        <v>0</v>
      </c>
      <c r="O372" t="n">
        <v>0</v>
      </c>
      <c r="P372" t="n">
        <v>0</v>
      </c>
      <c r="Q372" t="n">
        <v>0</v>
      </c>
      <c r="R372" s="2" t="inlineStr"/>
    </row>
    <row r="373" ht="15" customHeight="1">
      <c r="A373" t="inlineStr">
        <is>
          <t>A 9591-2020</t>
        </is>
      </c>
      <c r="B373" s="1" t="n">
        <v>43881</v>
      </c>
      <c r="C373" s="1" t="n">
        <v>45346</v>
      </c>
      <c r="D373" t="inlineStr">
        <is>
          <t>JÄMTLANDS LÄN</t>
        </is>
      </c>
      <c r="E373" t="inlineStr">
        <is>
          <t>HÄRJEDALEN</t>
        </is>
      </c>
      <c r="G373" t="n">
        <v>6.4</v>
      </c>
      <c r="H373" t="n">
        <v>0</v>
      </c>
      <c r="I373" t="n">
        <v>0</v>
      </c>
      <c r="J373" t="n">
        <v>0</v>
      </c>
      <c r="K373" t="n">
        <v>0</v>
      </c>
      <c r="L373" t="n">
        <v>0</v>
      </c>
      <c r="M373" t="n">
        <v>0</v>
      </c>
      <c r="N373" t="n">
        <v>0</v>
      </c>
      <c r="O373" t="n">
        <v>0</v>
      </c>
      <c r="P373" t="n">
        <v>0</v>
      </c>
      <c r="Q373" t="n">
        <v>0</v>
      </c>
      <c r="R373" s="2" t="inlineStr"/>
    </row>
    <row r="374" ht="15" customHeight="1">
      <c r="A374" t="inlineStr">
        <is>
          <t>A 11731-2020</t>
        </is>
      </c>
      <c r="B374" s="1" t="n">
        <v>43894</v>
      </c>
      <c r="C374" s="1" t="n">
        <v>45346</v>
      </c>
      <c r="D374" t="inlineStr">
        <is>
          <t>JÄMTLANDS LÄN</t>
        </is>
      </c>
      <c r="E374" t="inlineStr">
        <is>
          <t>HÄRJEDALEN</t>
        </is>
      </c>
      <c r="F374" t="inlineStr">
        <is>
          <t>Holmen skog AB</t>
        </is>
      </c>
      <c r="G374" t="n">
        <v>0.4</v>
      </c>
      <c r="H374" t="n">
        <v>0</v>
      </c>
      <c r="I374" t="n">
        <v>0</v>
      </c>
      <c r="J374" t="n">
        <v>0</v>
      </c>
      <c r="K374" t="n">
        <v>0</v>
      </c>
      <c r="L374" t="n">
        <v>0</v>
      </c>
      <c r="M374" t="n">
        <v>0</v>
      </c>
      <c r="N374" t="n">
        <v>0</v>
      </c>
      <c r="O374" t="n">
        <v>0</v>
      </c>
      <c r="P374" t="n">
        <v>0</v>
      </c>
      <c r="Q374" t="n">
        <v>0</v>
      </c>
      <c r="R374" s="2" t="inlineStr"/>
    </row>
    <row r="375" ht="15" customHeight="1">
      <c r="A375" t="inlineStr">
        <is>
          <t>A 11816-2020</t>
        </is>
      </c>
      <c r="B375" s="1" t="n">
        <v>43894</v>
      </c>
      <c r="C375" s="1" t="n">
        <v>45346</v>
      </c>
      <c r="D375" t="inlineStr">
        <is>
          <t>JÄMTLANDS LÄN</t>
        </is>
      </c>
      <c r="E375" t="inlineStr">
        <is>
          <t>HÄRJEDALEN</t>
        </is>
      </c>
      <c r="F375" t="inlineStr">
        <is>
          <t>Holmen skog AB</t>
        </is>
      </c>
      <c r="G375" t="n">
        <v>20.4</v>
      </c>
      <c r="H375" t="n">
        <v>0</v>
      </c>
      <c r="I375" t="n">
        <v>0</v>
      </c>
      <c r="J375" t="n">
        <v>0</v>
      </c>
      <c r="K375" t="n">
        <v>0</v>
      </c>
      <c r="L375" t="n">
        <v>0</v>
      </c>
      <c r="M375" t="n">
        <v>0</v>
      </c>
      <c r="N375" t="n">
        <v>0</v>
      </c>
      <c r="O375" t="n">
        <v>0</v>
      </c>
      <c r="P375" t="n">
        <v>0</v>
      </c>
      <c r="Q375" t="n">
        <v>0</v>
      </c>
      <c r="R375" s="2" t="inlineStr"/>
    </row>
    <row r="376" ht="15" customHeight="1">
      <c r="A376" t="inlineStr">
        <is>
          <t>A 11818-2020</t>
        </is>
      </c>
      <c r="B376" s="1" t="n">
        <v>43894</v>
      </c>
      <c r="C376" s="1" t="n">
        <v>45346</v>
      </c>
      <c r="D376" t="inlineStr">
        <is>
          <t>JÄMTLANDS LÄN</t>
        </is>
      </c>
      <c r="E376" t="inlineStr">
        <is>
          <t>HÄRJEDALEN</t>
        </is>
      </c>
      <c r="F376" t="inlineStr">
        <is>
          <t>Holmen skog AB</t>
        </is>
      </c>
      <c r="G376" t="n">
        <v>6</v>
      </c>
      <c r="H376" t="n">
        <v>0</v>
      </c>
      <c r="I376" t="n">
        <v>0</v>
      </c>
      <c r="J376" t="n">
        <v>0</v>
      </c>
      <c r="K376" t="n">
        <v>0</v>
      </c>
      <c r="L376" t="n">
        <v>0</v>
      </c>
      <c r="M376" t="n">
        <v>0</v>
      </c>
      <c r="N376" t="n">
        <v>0</v>
      </c>
      <c r="O376" t="n">
        <v>0</v>
      </c>
      <c r="P376" t="n">
        <v>0</v>
      </c>
      <c r="Q376" t="n">
        <v>0</v>
      </c>
      <c r="R376" s="2" t="inlineStr"/>
    </row>
    <row r="377" ht="15" customHeight="1">
      <c r="A377" t="inlineStr">
        <is>
          <t>A 11885-2020</t>
        </is>
      </c>
      <c r="B377" s="1" t="n">
        <v>43894</v>
      </c>
      <c r="C377" s="1" t="n">
        <v>45346</v>
      </c>
      <c r="D377" t="inlineStr">
        <is>
          <t>JÄMTLANDS LÄN</t>
        </is>
      </c>
      <c r="E377" t="inlineStr">
        <is>
          <t>HÄRJEDALEN</t>
        </is>
      </c>
      <c r="F377" t="inlineStr">
        <is>
          <t>Holmen skog AB</t>
        </is>
      </c>
      <c r="G377" t="n">
        <v>3.5</v>
      </c>
      <c r="H377" t="n">
        <v>0</v>
      </c>
      <c r="I377" t="n">
        <v>0</v>
      </c>
      <c r="J377" t="n">
        <v>0</v>
      </c>
      <c r="K377" t="n">
        <v>0</v>
      </c>
      <c r="L377" t="n">
        <v>0</v>
      </c>
      <c r="M377" t="n">
        <v>0</v>
      </c>
      <c r="N377" t="n">
        <v>0</v>
      </c>
      <c r="O377" t="n">
        <v>0</v>
      </c>
      <c r="P377" t="n">
        <v>0</v>
      </c>
      <c r="Q377" t="n">
        <v>0</v>
      </c>
      <c r="R377" s="2" t="inlineStr"/>
    </row>
    <row r="378" ht="15" customHeight="1">
      <c r="A378" t="inlineStr">
        <is>
          <t>A 11828-2020</t>
        </is>
      </c>
      <c r="B378" s="1" t="n">
        <v>43894</v>
      </c>
      <c r="C378" s="1" t="n">
        <v>45346</v>
      </c>
      <c r="D378" t="inlineStr">
        <is>
          <t>JÄMTLANDS LÄN</t>
        </is>
      </c>
      <c r="E378" t="inlineStr">
        <is>
          <t>HÄRJEDALEN</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11905-2020</t>
        </is>
      </c>
      <c r="B379" s="1" t="n">
        <v>43894</v>
      </c>
      <c r="C379" s="1" t="n">
        <v>45346</v>
      </c>
      <c r="D379" t="inlineStr">
        <is>
          <t>JÄMTLANDS LÄN</t>
        </is>
      </c>
      <c r="E379" t="inlineStr">
        <is>
          <t>HÄRJEDALEN</t>
        </is>
      </c>
      <c r="F379" t="inlineStr">
        <is>
          <t>Holmen skog AB</t>
        </is>
      </c>
      <c r="G379" t="n">
        <v>10.3</v>
      </c>
      <c r="H379" t="n">
        <v>0</v>
      </c>
      <c r="I379" t="n">
        <v>0</v>
      </c>
      <c r="J379" t="n">
        <v>0</v>
      </c>
      <c r="K379" t="n">
        <v>0</v>
      </c>
      <c r="L379" t="n">
        <v>0</v>
      </c>
      <c r="M379" t="n">
        <v>0</v>
      </c>
      <c r="N379" t="n">
        <v>0</v>
      </c>
      <c r="O379" t="n">
        <v>0</v>
      </c>
      <c r="P379" t="n">
        <v>0</v>
      </c>
      <c r="Q379" t="n">
        <v>0</v>
      </c>
      <c r="R379" s="2" t="inlineStr"/>
    </row>
    <row r="380" ht="15" customHeight="1">
      <c r="A380" t="inlineStr">
        <is>
          <t>A 13604-2020</t>
        </is>
      </c>
      <c r="B380" s="1" t="n">
        <v>43895</v>
      </c>
      <c r="C380" s="1" t="n">
        <v>45346</v>
      </c>
      <c r="D380" t="inlineStr">
        <is>
          <t>JÄMTLANDS LÄN</t>
        </is>
      </c>
      <c r="E380" t="inlineStr">
        <is>
          <t>HÄRJEDALEN</t>
        </is>
      </c>
      <c r="G380" t="n">
        <v>0.6</v>
      </c>
      <c r="H380" t="n">
        <v>0</v>
      </c>
      <c r="I380" t="n">
        <v>0</v>
      </c>
      <c r="J380" t="n">
        <v>0</v>
      </c>
      <c r="K380" t="n">
        <v>0</v>
      </c>
      <c r="L380" t="n">
        <v>0</v>
      </c>
      <c r="M380" t="n">
        <v>0</v>
      </c>
      <c r="N380" t="n">
        <v>0</v>
      </c>
      <c r="O380" t="n">
        <v>0</v>
      </c>
      <c r="P380" t="n">
        <v>0</v>
      </c>
      <c r="Q380" t="n">
        <v>0</v>
      </c>
      <c r="R380" s="2" t="inlineStr"/>
    </row>
    <row r="381" ht="15" customHeight="1">
      <c r="A381" t="inlineStr">
        <is>
          <t>A 12398-2020</t>
        </is>
      </c>
      <c r="B381" s="1" t="n">
        <v>43896</v>
      </c>
      <c r="C381" s="1" t="n">
        <v>45346</v>
      </c>
      <c r="D381" t="inlineStr">
        <is>
          <t>JÄMTLANDS LÄN</t>
        </is>
      </c>
      <c r="E381" t="inlineStr">
        <is>
          <t>HÄRJEDALEN</t>
        </is>
      </c>
      <c r="G381" t="n">
        <v>12.3</v>
      </c>
      <c r="H381" t="n">
        <v>0</v>
      </c>
      <c r="I381" t="n">
        <v>0</v>
      </c>
      <c r="J381" t="n">
        <v>0</v>
      </c>
      <c r="K381" t="n">
        <v>0</v>
      </c>
      <c r="L381" t="n">
        <v>0</v>
      </c>
      <c r="M381" t="n">
        <v>0</v>
      </c>
      <c r="N381" t="n">
        <v>0</v>
      </c>
      <c r="O381" t="n">
        <v>0</v>
      </c>
      <c r="P381" t="n">
        <v>0</v>
      </c>
      <c r="Q381" t="n">
        <v>0</v>
      </c>
      <c r="R381" s="2" t="inlineStr"/>
    </row>
    <row r="382" ht="15" customHeight="1">
      <c r="A382" t="inlineStr">
        <is>
          <t>A 12410-2020</t>
        </is>
      </c>
      <c r="B382" s="1" t="n">
        <v>43896</v>
      </c>
      <c r="C382" s="1" t="n">
        <v>45346</v>
      </c>
      <c r="D382" t="inlineStr">
        <is>
          <t>JÄMTLANDS LÄN</t>
        </is>
      </c>
      <c r="E382" t="inlineStr">
        <is>
          <t>HÄRJEDALEN</t>
        </is>
      </c>
      <c r="G382" t="n">
        <v>0.7</v>
      </c>
      <c r="H382" t="n">
        <v>0</v>
      </c>
      <c r="I382" t="n">
        <v>0</v>
      </c>
      <c r="J382" t="n">
        <v>0</v>
      </c>
      <c r="K382" t="n">
        <v>0</v>
      </c>
      <c r="L382" t="n">
        <v>0</v>
      </c>
      <c r="M382" t="n">
        <v>0</v>
      </c>
      <c r="N382" t="n">
        <v>0</v>
      </c>
      <c r="O382" t="n">
        <v>0</v>
      </c>
      <c r="P382" t="n">
        <v>0</v>
      </c>
      <c r="Q382" t="n">
        <v>0</v>
      </c>
      <c r="R382" s="2" t="inlineStr"/>
    </row>
    <row r="383" ht="15" customHeight="1">
      <c r="A383" t="inlineStr">
        <is>
          <t>A 13588-2020</t>
        </is>
      </c>
      <c r="B383" s="1" t="n">
        <v>43896</v>
      </c>
      <c r="C383" s="1" t="n">
        <v>45346</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12898-2020</t>
        </is>
      </c>
      <c r="B384" s="1" t="n">
        <v>43900</v>
      </c>
      <c r="C384" s="1" t="n">
        <v>45346</v>
      </c>
      <c r="D384" t="inlineStr">
        <is>
          <t>JÄMTLANDS LÄN</t>
        </is>
      </c>
      <c r="E384" t="inlineStr">
        <is>
          <t>HÄRJEDALEN</t>
        </is>
      </c>
      <c r="G384" t="n">
        <v>2.6</v>
      </c>
      <c r="H384" t="n">
        <v>0</v>
      </c>
      <c r="I384" t="n">
        <v>0</v>
      </c>
      <c r="J384" t="n">
        <v>0</v>
      </c>
      <c r="K384" t="n">
        <v>0</v>
      </c>
      <c r="L384" t="n">
        <v>0</v>
      </c>
      <c r="M384" t="n">
        <v>0</v>
      </c>
      <c r="N384" t="n">
        <v>0</v>
      </c>
      <c r="O384" t="n">
        <v>0</v>
      </c>
      <c r="P384" t="n">
        <v>0</v>
      </c>
      <c r="Q384" t="n">
        <v>0</v>
      </c>
      <c r="R384" s="2" t="inlineStr"/>
    </row>
    <row r="385" ht="15" customHeight="1">
      <c r="A385" t="inlineStr">
        <is>
          <t>A 15020-2020</t>
        </is>
      </c>
      <c r="B385" s="1" t="n">
        <v>43907</v>
      </c>
      <c r="C385" s="1" t="n">
        <v>45346</v>
      </c>
      <c r="D385" t="inlineStr">
        <is>
          <t>JÄMTLANDS LÄN</t>
        </is>
      </c>
      <c r="E385" t="inlineStr">
        <is>
          <t>HÄRJEDALEN</t>
        </is>
      </c>
      <c r="F385" t="inlineStr">
        <is>
          <t>Sveaskog</t>
        </is>
      </c>
      <c r="G385" t="n">
        <v>7.7</v>
      </c>
      <c r="H385" t="n">
        <v>0</v>
      </c>
      <c r="I385" t="n">
        <v>0</v>
      </c>
      <c r="J385" t="n">
        <v>0</v>
      </c>
      <c r="K385" t="n">
        <v>0</v>
      </c>
      <c r="L385" t="n">
        <v>0</v>
      </c>
      <c r="M385" t="n">
        <v>0</v>
      </c>
      <c r="N385" t="n">
        <v>0</v>
      </c>
      <c r="O385" t="n">
        <v>0</v>
      </c>
      <c r="P385" t="n">
        <v>0</v>
      </c>
      <c r="Q385" t="n">
        <v>0</v>
      </c>
      <c r="R385" s="2" t="inlineStr"/>
    </row>
    <row r="386" ht="15" customHeight="1">
      <c r="A386" t="inlineStr">
        <is>
          <t>A 15576-2020</t>
        </is>
      </c>
      <c r="B386" s="1" t="n">
        <v>43914</v>
      </c>
      <c r="C386" s="1" t="n">
        <v>45346</v>
      </c>
      <c r="D386" t="inlineStr">
        <is>
          <t>JÄMTLANDS LÄN</t>
        </is>
      </c>
      <c r="E386" t="inlineStr">
        <is>
          <t>HÄRJEDALEN</t>
        </is>
      </c>
      <c r="F386" t="inlineStr">
        <is>
          <t>Kyrkan</t>
        </is>
      </c>
      <c r="G386" t="n">
        <v>8.1</v>
      </c>
      <c r="H386" t="n">
        <v>0</v>
      </c>
      <c r="I386" t="n">
        <v>0</v>
      </c>
      <c r="J386" t="n">
        <v>0</v>
      </c>
      <c r="K386" t="n">
        <v>0</v>
      </c>
      <c r="L386" t="n">
        <v>0</v>
      </c>
      <c r="M386" t="n">
        <v>0</v>
      </c>
      <c r="N386" t="n">
        <v>0</v>
      </c>
      <c r="O386" t="n">
        <v>0</v>
      </c>
      <c r="P386" t="n">
        <v>0</v>
      </c>
      <c r="Q386" t="n">
        <v>0</v>
      </c>
      <c r="R386" s="2" t="inlineStr"/>
    </row>
    <row r="387" ht="15" customHeight="1">
      <c r="A387" t="inlineStr">
        <is>
          <t>A 17515-2020</t>
        </is>
      </c>
      <c r="B387" s="1" t="n">
        <v>43920</v>
      </c>
      <c r="C387" s="1" t="n">
        <v>45346</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17024-2020</t>
        </is>
      </c>
      <c r="B388" s="1" t="n">
        <v>43921</v>
      </c>
      <c r="C388" s="1" t="n">
        <v>45346</v>
      </c>
      <c r="D388" t="inlineStr">
        <is>
          <t>JÄMTLANDS LÄN</t>
        </is>
      </c>
      <c r="E388" t="inlineStr">
        <is>
          <t>HÄRJEDALEN</t>
        </is>
      </c>
      <c r="G388" t="n">
        <v>0.8</v>
      </c>
      <c r="H388" t="n">
        <v>0</v>
      </c>
      <c r="I388" t="n">
        <v>0</v>
      </c>
      <c r="J388" t="n">
        <v>0</v>
      </c>
      <c r="K388" t="n">
        <v>0</v>
      </c>
      <c r="L388" t="n">
        <v>0</v>
      </c>
      <c r="M388" t="n">
        <v>0</v>
      </c>
      <c r="N388" t="n">
        <v>0</v>
      </c>
      <c r="O388" t="n">
        <v>0</v>
      </c>
      <c r="P388" t="n">
        <v>0</v>
      </c>
      <c r="Q388" t="n">
        <v>0</v>
      </c>
      <c r="R388" s="2" t="inlineStr"/>
    </row>
    <row r="389" ht="15" customHeight="1">
      <c r="A389" t="inlineStr">
        <is>
          <t>A 17676-2020</t>
        </is>
      </c>
      <c r="B389" s="1" t="n">
        <v>43924</v>
      </c>
      <c r="C389" s="1" t="n">
        <v>45346</v>
      </c>
      <c r="D389" t="inlineStr">
        <is>
          <t>JÄMTLANDS LÄN</t>
        </is>
      </c>
      <c r="E389" t="inlineStr">
        <is>
          <t>HÄRJEDALEN</t>
        </is>
      </c>
      <c r="G389" t="n">
        <v>1</v>
      </c>
      <c r="H389" t="n">
        <v>0</v>
      </c>
      <c r="I389" t="n">
        <v>0</v>
      </c>
      <c r="J389" t="n">
        <v>0</v>
      </c>
      <c r="K389" t="n">
        <v>0</v>
      </c>
      <c r="L389" t="n">
        <v>0</v>
      </c>
      <c r="M389" t="n">
        <v>0</v>
      </c>
      <c r="N389" t="n">
        <v>0</v>
      </c>
      <c r="O389" t="n">
        <v>0</v>
      </c>
      <c r="P389" t="n">
        <v>0</v>
      </c>
      <c r="Q389" t="n">
        <v>0</v>
      </c>
      <c r="R389" s="2" t="inlineStr"/>
    </row>
    <row r="390" ht="15" customHeight="1">
      <c r="A390" t="inlineStr">
        <is>
          <t>A 18038-2020</t>
        </is>
      </c>
      <c r="B390" s="1" t="n">
        <v>43927</v>
      </c>
      <c r="C390" s="1" t="n">
        <v>45346</v>
      </c>
      <c r="D390" t="inlineStr">
        <is>
          <t>JÄMTLANDS LÄN</t>
        </is>
      </c>
      <c r="E390" t="inlineStr">
        <is>
          <t>HÄRJEDALEN</t>
        </is>
      </c>
      <c r="G390" t="n">
        <v>13.5</v>
      </c>
      <c r="H390" t="n">
        <v>0</v>
      </c>
      <c r="I390" t="n">
        <v>0</v>
      </c>
      <c r="J390" t="n">
        <v>0</v>
      </c>
      <c r="K390" t="n">
        <v>0</v>
      </c>
      <c r="L390" t="n">
        <v>0</v>
      </c>
      <c r="M390" t="n">
        <v>0</v>
      </c>
      <c r="N390" t="n">
        <v>0</v>
      </c>
      <c r="O390" t="n">
        <v>0</v>
      </c>
      <c r="P390" t="n">
        <v>0</v>
      </c>
      <c r="Q390" t="n">
        <v>0</v>
      </c>
      <c r="R390" s="2" t="inlineStr"/>
    </row>
    <row r="391" ht="15" customHeight="1">
      <c r="A391" t="inlineStr">
        <is>
          <t>A 18761-2020</t>
        </is>
      </c>
      <c r="B391" s="1" t="n">
        <v>43930</v>
      </c>
      <c r="C391" s="1" t="n">
        <v>45346</v>
      </c>
      <c r="D391" t="inlineStr">
        <is>
          <t>JÄMTLANDS LÄN</t>
        </is>
      </c>
      <c r="E391" t="inlineStr">
        <is>
          <t>HÄRJEDALEN</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18760-2020</t>
        </is>
      </c>
      <c r="B392" s="1" t="n">
        <v>43930</v>
      </c>
      <c r="C392" s="1" t="n">
        <v>45346</v>
      </c>
      <c r="D392" t="inlineStr">
        <is>
          <t>JÄMTLANDS LÄN</t>
        </is>
      </c>
      <c r="E392" t="inlineStr">
        <is>
          <t>HÄRJEDALEN</t>
        </is>
      </c>
      <c r="F392" t="inlineStr">
        <is>
          <t>Sveaskog</t>
        </is>
      </c>
      <c r="G392" t="n">
        <v>16.1</v>
      </c>
      <c r="H392" t="n">
        <v>0</v>
      </c>
      <c r="I392" t="n">
        <v>0</v>
      </c>
      <c r="J392" t="n">
        <v>0</v>
      </c>
      <c r="K392" t="n">
        <v>0</v>
      </c>
      <c r="L392" t="n">
        <v>0</v>
      </c>
      <c r="M392" t="n">
        <v>0</v>
      </c>
      <c r="N392" t="n">
        <v>0</v>
      </c>
      <c r="O392" t="n">
        <v>0</v>
      </c>
      <c r="P392" t="n">
        <v>0</v>
      </c>
      <c r="Q392" t="n">
        <v>0</v>
      </c>
      <c r="R392" s="2" t="inlineStr"/>
    </row>
    <row r="393" ht="15" customHeight="1">
      <c r="A393" t="inlineStr">
        <is>
          <t>A 18759-2020</t>
        </is>
      </c>
      <c r="B393" s="1" t="n">
        <v>43930</v>
      </c>
      <c r="C393" s="1" t="n">
        <v>45346</v>
      </c>
      <c r="D393" t="inlineStr">
        <is>
          <t>JÄMTLANDS LÄN</t>
        </is>
      </c>
      <c r="E393" t="inlineStr">
        <is>
          <t>HÄRJEDALEN</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18877-2020</t>
        </is>
      </c>
      <c r="B394" s="1" t="n">
        <v>43935</v>
      </c>
      <c r="C394" s="1" t="n">
        <v>45346</v>
      </c>
      <c r="D394" t="inlineStr">
        <is>
          <t>JÄMTLANDS LÄN</t>
        </is>
      </c>
      <c r="E394" t="inlineStr">
        <is>
          <t>HÄRJEDALEN</t>
        </is>
      </c>
      <c r="G394" t="n">
        <v>7</v>
      </c>
      <c r="H394" t="n">
        <v>0</v>
      </c>
      <c r="I394" t="n">
        <v>0</v>
      </c>
      <c r="J394" t="n">
        <v>0</v>
      </c>
      <c r="K394" t="n">
        <v>0</v>
      </c>
      <c r="L394" t="n">
        <v>0</v>
      </c>
      <c r="M394" t="n">
        <v>0</v>
      </c>
      <c r="N394" t="n">
        <v>0</v>
      </c>
      <c r="O394" t="n">
        <v>0</v>
      </c>
      <c r="P394" t="n">
        <v>0</v>
      </c>
      <c r="Q394" t="n">
        <v>0</v>
      </c>
      <c r="R394" s="2" t="inlineStr"/>
    </row>
    <row r="395" ht="15" customHeight="1">
      <c r="A395" t="inlineStr">
        <is>
          <t>A 18879-2020</t>
        </is>
      </c>
      <c r="B395" s="1" t="n">
        <v>43935</v>
      </c>
      <c r="C395" s="1" t="n">
        <v>45346</v>
      </c>
      <c r="D395" t="inlineStr">
        <is>
          <t>JÄMTLANDS LÄN</t>
        </is>
      </c>
      <c r="E395" t="inlineStr">
        <is>
          <t>HÄRJEDALEN</t>
        </is>
      </c>
      <c r="G395" t="n">
        <v>5.5</v>
      </c>
      <c r="H395" t="n">
        <v>0</v>
      </c>
      <c r="I395" t="n">
        <v>0</v>
      </c>
      <c r="J395" t="n">
        <v>0</v>
      </c>
      <c r="K395" t="n">
        <v>0</v>
      </c>
      <c r="L395" t="n">
        <v>0</v>
      </c>
      <c r="M395" t="n">
        <v>0</v>
      </c>
      <c r="N395" t="n">
        <v>0</v>
      </c>
      <c r="O395" t="n">
        <v>0</v>
      </c>
      <c r="P395" t="n">
        <v>0</v>
      </c>
      <c r="Q395" t="n">
        <v>0</v>
      </c>
      <c r="R395" s="2" t="inlineStr"/>
    </row>
    <row r="396" ht="15" customHeight="1">
      <c r="A396" t="inlineStr">
        <is>
          <t>A 19304-2020</t>
        </is>
      </c>
      <c r="B396" s="1" t="n">
        <v>43937</v>
      </c>
      <c r="C396" s="1" t="n">
        <v>45346</v>
      </c>
      <c r="D396" t="inlineStr">
        <is>
          <t>JÄMTLANDS LÄN</t>
        </is>
      </c>
      <c r="E396" t="inlineStr">
        <is>
          <t>HÄRJEDALEN</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19506-2020</t>
        </is>
      </c>
      <c r="B397" s="1" t="n">
        <v>43938</v>
      </c>
      <c r="C397" s="1" t="n">
        <v>45346</v>
      </c>
      <c r="D397" t="inlineStr">
        <is>
          <t>JÄMTLANDS LÄN</t>
        </is>
      </c>
      <c r="E397" t="inlineStr">
        <is>
          <t>HÄRJEDALEN</t>
        </is>
      </c>
      <c r="F397" t="inlineStr">
        <is>
          <t>Sveaskog</t>
        </is>
      </c>
      <c r="G397" t="n">
        <v>6.8</v>
      </c>
      <c r="H397" t="n">
        <v>0</v>
      </c>
      <c r="I397" t="n">
        <v>0</v>
      </c>
      <c r="J397" t="n">
        <v>0</v>
      </c>
      <c r="K397" t="n">
        <v>0</v>
      </c>
      <c r="L397" t="n">
        <v>0</v>
      </c>
      <c r="M397" t="n">
        <v>0</v>
      </c>
      <c r="N397" t="n">
        <v>0</v>
      </c>
      <c r="O397" t="n">
        <v>0</v>
      </c>
      <c r="P397" t="n">
        <v>0</v>
      </c>
      <c r="Q397" t="n">
        <v>0</v>
      </c>
      <c r="R397" s="2" t="inlineStr"/>
    </row>
    <row r="398" ht="15" customHeight="1">
      <c r="A398" t="inlineStr">
        <is>
          <t>A 20781-2020</t>
        </is>
      </c>
      <c r="B398" s="1" t="n">
        <v>43949</v>
      </c>
      <c r="C398" s="1" t="n">
        <v>45346</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21537-2020</t>
        </is>
      </c>
      <c r="B399" s="1" t="n">
        <v>43956</v>
      </c>
      <c r="C399" s="1" t="n">
        <v>45346</v>
      </c>
      <c r="D399" t="inlineStr">
        <is>
          <t>JÄMTLANDS LÄN</t>
        </is>
      </c>
      <c r="E399" t="inlineStr">
        <is>
          <t>HÄRJEDALEN</t>
        </is>
      </c>
      <c r="G399" t="n">
        <v>4.3</v>
      </c>
      <c r="H399" t="n">
        <v>0</v>
      </c>
      <c r="I399" t="n">
        <v>0</v>
      </c>
      <c r="J399" t="n">
        <v>0</v>
      </c>
      <c r="K399" t="n">
        <v>0</v>
      </c>
      <c r="L399" t="n">
        <v>0</v>
      </c>
      <c r="M399" t="n">
        <v>0</v>
      </c>
      <c r="N399" t="n">
        <v>0</v>
      </c>
      <c r="O399" t="n">
        <v>0</v>
      </c>
      <c r="P399" t="n">
        <v>0</v>
      </c>
      <c r="Q399" t="n">
        <v>0</v>
      </c>
      <c r="R399" s="2" t="inlineStr"/>
    </row>
    <row r="400" ht="15" customHeight="1">
      <c r="A400" t="inlineStr">
        <is>
          <t>A 23082-2020</t>
        </is>
      </c>
      <c r="B400" s="1" t="n">
        <v>43964</v>
      </c>
      <c r="C400" s="1" t="n">
        <v>45346</v>
      </c>
      <c r="D400" t="inlineStr">
        <is>
          <t>JÄMTLANDS LÄN</t>
        </is>
      </c>
      <c r="E400" t="inlineStr">
        <is>
          <t>HÄRJEDALEN</t>
        </is>
      </c>
      <c r="G400" t="n">
        <v>2.1</v>
      </c>
      <c r="H400" t="n">
        <v>0</v>
      </c>
      <c r="I400" t="n">
        <v>0</v>
      </c>
      <c r="J400" t="n">
        <v>0</v>
      </c>
      <c r="K400" t="n">
        <v>0</v>
      </c>
      <c r="L400" t="n">
        <v>0</v>
      </c>
      <c r="M400" t="n">
        <v>0</v>
      </c>
      <c r="N400" t="n">
        <v>0</v>
      </c>
      <c r="O400" t="n">
        <v>0</v>
      </c>
      <c r="P400" t="n">
        <v>0</v>
      </c>
      <c r="Q400" t="n">
        <v>0</v>
      </c>
      <c r="R400" s="2" t="inlineStr"/>
    </row>
    <row r="401" ht="15" customHeight="1">
      <c r="A401" t="inlineStr">
        <is>
          <t>A 23310-2020</t>
        </is>
      </c>
      <c r="B401" s="1" t="n">
        <v>43966</v>
      </c>
      <c r="C401" s="1" t="n">
        <v>45346</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23174-2020</t>
        </is>
      </c>
      <c r="B402" s="1" t="n">
        <v>43966</v>
      </c>
      <c r="C402" s="1" t="n">
        <v>45346</v>
      </c>
      <c r="D402" t="inlineStr">
        <is>
          <t>JÄMTLANDS LÄN</t>
        </is>
      </c>
      <c r="E402" t="inlineStr">
        <is>
          <t>HÄRJEDALEN</t>
        </is>
      </c>
      <c r="G402" t="n">
        <v>2.9</v>
      </c>
      <c r="H402" t="n">
        <v>0</v>
      </c>
      <c r="I402" t="n">
        <v>0</v>
      </c>
      <c r="J402" t="n">
        <v>0</v>
      </c>
      <c r="K402" t="n">
        <v>0</v>
      </c>
      <c r="L402" t="n">
        <v>0</v>
      </c>
      <c r="M402" t="n">
        <v>0</v>
      </c>
      <c r="N402" t="n">
        <v>0</v>
      </c>
      <c r="O402" t="n">
        <v>0</v>
      </c>
      <c r="P402" t="n">
        <v>0</v>
      </c>
      <c r="Q402" t="n">
        <v>0</v>
      </c>
      <c r="R402" s="2" t="inlineStr"/>
    </row>
    <row r="403" ht="15" customHeight="1">
      <c r="A403" t="inlineStr">
        <is>
          <t>A 23560-2020</t>
        </is>
      </c>
      <c r="B403" s="1" t="n">
        <v>43969</v>
      </c>
      <c r="C403" s="1" t="n">
        <v>45346</v>
      </c>
      <c r="D403" t="inlineStr">
        <is>
          <t>JÄMTLANDS LÄN</t>
        </is>
      </c>
      <c r="E403" t="inlineStr">
        <is>
          <t>HÄRJEDALEN</t>
        </is>
      </c>
      <c r="G403" t="n">
        <v>1.7</v>
      </c>
      <c r="H403" t="n">
        <v>0</v>
      </c>
      <c r="I403" t="n">
        <v>0</v>
      </c>
      <c r="J403" t="n">
        <v>0</v>
      </c>
      <c r="K403" t="n">
        <v>0</v>
      </c>
      <c r="L403" t="n">
        <v>0</v>
      </c>
      <c r="M403" t="n">
        <v>0</v>
      </c>
      <c r="N403" t="n">
        <v>0</v>
      </c>
      <c r="O403" t="n">
        <v>0</v>
      </c>
      <c r="P403" t="n">
        <v>0</v>
      </c>
      <c r="Q403" t="n">
        <v>0</v>
      </c>
      <c r="R403" s="2" t="inlineStr"/>
    </row>
    <row r="404" ht="15" customHeight="1">
      <c r="A404" t="inlineStr">
        <is>
          <t>A 24077-2020</t>
        </is>
      </c>
      <c r="B404" s="1" t="n">
        <v>43972</v>
      </c>
      <c r="C404" s="1" t="n">
        <v>45346</v>
      </c>
      <c r="D404" t="inlineStr">
        <is>
          <t>JÄMTLANDS LÄN</t>
        </is>
      </c>
      <c r="E404" t="inlineStr">
        <is>
          <t>HÄRJEDALEN</t>
        </is>
      </c>
      <c r="F404" t="inlineStr">
        <is>
          <t>Sveaskog</t>
        </is>
      </c>
      <c r="G404" t="n">
        <v>9.6</v>
      </c>
      <c r="H404" t="n">
        <v>0</v>
      </c>
      <c r="I404" t="n">
        <v>0</v>
      </c>
      <c r="J404" t="n">
        <v>0</v>
      </c>
      <c r="K404" t="n">
        <v>0</v>
      </c>
      <c r="L404" t="n">
        <v>0</v>
      </c>
      <c r="M404" t="n">
        <v>0</v>
      </c>
      <c r="N404" t="n">
        <v>0</v>
      </c>
      <c r="O404" t="n">
        <v>0</v>
      </c>
      <c r="P404" t="n">
        <v>0</v>
      </c>
      <c r="Q404" t="n">
        <v>0</v>
      </c>
      <c r="R404" s="2" t="inlineStr"/>
    </row>
    <row r="405" ht="15" customHeight="1">
      <c r="A405" t="inlineStr">
        <is>
          <t>A 24127-2020</t>
        </is>
      </c>
      <c r="B405" s="1" t="n">
        <v>43973</v>
      </c>
      <c r="C405" s="1" t="n">
        <v>45346</v>
      </c>
      <c r="D405" t="inlineStr">
        <is>
          <t>JÄMTLANDS LÄN</t>
        </is>
      </c>
      <c r="E405" t="inlineStr">
        <is>
          <t>HÄRJEDALEN</t>
        </is>
      </c>
      <c r="G405" t="n">
        <v>4.6</v>
      </c>
      <c r="H405" t="n">
        <v>0</v>
      </c>
      <c r="I405" t="n">
        <v>0</v>
      </c>
      <c r="J405" t="n">
        <v>0</v>
      </c>
      <c r="K405" t="n">
        <v>0</v>
      </c>
      <c r="L405" t="n">
        <v>0</v>
      </c>
      <c r="M405" t="n">
        <v>0</v>
      </c>
      <c r="N405" t="n">
        <v>0</v>
      </c>
      <c r="O405" t="n">
        <v>0</v>
      </c>
      <c r="P405" t="n">
        <v>0</v>
      </c>
      <c r="Q405" t="n">
        <v>0</v>
      </c>
      <c r="R405" s="2" t="inlineStr"/>
    </row>
    <row r="406" ht="15" customHeight="1">
      <c r="A406" t="inlineStr">
        <is>
          <t>A 25240-2020</t>
        </is>
      </c>
      <c r="B406" s="1" t="n">
        <v>43980</v>
      </c>
      <c r="C406" s="1" t="n">
        <v>45346</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25341-2020</t>
        </is>
      </c>
      <c r="B407" s="1" t="n">
        <v>43980</v>
      </c>
      <c r="C407" s="1" t="n">
        <v>45346</v>
      </c>
      <c r="D407" t="inlineStr">
        <is>
          <t>JÄMTLANDS LÄN</t>
        </is>
      </c>
      <c r="E407" t="inlineStr">
        <is>
          <t>HÄRJEDALEN</t>
        </is>
      </c>
      <c r="G407" t="n">
        <v>2</v>
      </c>
      <c r="H407" t="n">
        <v>0</v>
      </c>
      <c r="I407" t="n">
        <v>0</v>
      </c>
      <c r="J407" t="n">
        <v>0</v>
      </c>
      <c r="K407" t="n">
        <v>0</v>
      </c>
      <c r="L407" t="n">
        <v>0</v>
      </c>
      <c r="M407" t="n">
        <v>0</v>
      </c>
      <c r="N407" t="n">
        <v>0</v>
      </c>
      <c r="O407" t="n">
        <v>0</v>
      </c>
      <c r="P407" t="n">
        <v>0</v>
      </c>
      <c r="Q407" t="n">
        <v>0</v>
      </c>
      <c r="R407" s="2" t="inlineStr"/>
    </row>
    <row r="408" ht="15" customHeight="1">
      <c r="A408" t="inlineStr">
        <is>
          <t>A 25232-2020</t>
        </is>
      </c>
      <c r="B408" s="1" t="n">
        <v>43980</v>
      </c>
      <c r="C408" s="1" t="n">
        <v>45346</v>
      </c>
      <c r="D408" t="inlineStr">
        <is>
          <t>JÄMTLANDS LÄN</t>
        </is>
      </c>
      <c r="E408" t="inlineStr">
        <is>
          <t>HÄRJEDALEN</t>
        </is>
      </c>
      <c r="G408" t="n">
        <v>14.9</v>
      </c>
      <c r="H408" t="n">
        <v>0</v>
      </c>
      <c r="I408" t="n">
        <v>0</v>
      </c>
      <c r="J408" t="n">
        <v>0</v>
      </c>
      <c r="K408" t="n">
        <v>0</v>
      </c>
      <c r="L408" t="n">
        <v>0</v>
      </c>
      <c r="M408" t="n">
        <v>0</v>
      </c>
      <c r="N408" t="n">
        <v>0</v>
      </c>
      <c r="O408" t="n">
        <v>0</v>
      </c>
      <c r="P408" t="n">
        <v>0</v>
      </c>
      <c r="Q408" t="n">
        <v>0</v>
      </c>
      <c r="R408" s="2" t="inlineStr"/>
    </row>
    <row r="409" ht="15" customHeight="1">
      <c r="A409" t="inlineStr">
        <is>
          <t>A 25238-2020</t>
        </is>
      </c>
      <c r="B409" s="1" t="n">
        <v>43980</v>
      </c>
      <c r="C409" s="1" t="n">
        <v>45346</v>
      </c>
      <c r="D409" t="inlineStr">
        <is>
          <t>JÄMTLANDS LÄN</t>
        </is>
      </c>
      <c r="E409" t="inlineStr">
        <is>
          <t>HÄRJEDALEN</t>
        </is>
      </c>
      <c r="G409" t="n">
        <v>2.6</v>
      </c>
      <c r="H409" t="n">
        <v>0</v>
      </c>
      <c r="I409" t="n">
        <v>0</v>
      </c>
      <c r="J409" t="n">
        <v>0</v>
      </c>
      <c r="K409" t="n">
        <v>0</v>
      </c>
      <c r="L409" t="n">
        <v>0</v>
      </c>
      <c r="M409" t="n">
        <v>0</v>
      </c>
      <c r="N409" t="n">
        <v>0</v>
      </c>
      <c r="O409" t="n">
        <v>0</v>
      </c>
      <c r="P409" t="n">
        <v>0</v>
      </c>
      <c r="Q409" t="n">
        <v>0</v>
      </c>
      <c r="R409" s="2" t="inlineStr"/>
    </row>
    <row r="410" ht="15" customHeight="1">
      <c r="A410" t="inlineStr">
        <is>
          <t>A 25236-2020</t>
        </is>
      </c>
      <c r="B410" s="1" t="n">
        <v>43980</v>
      </c>
      <c r="C410" s="1" t="n">
        <v>45346</v>
      </c>
      <c r="D410" t="inlineStr">
        <is>
          <t>JÄMTLANDS LÄN</t>
        </is>
      </c>
      <c r="E410" t="inlineStr">
        <is>
          <t>HÄRJEDALEN</t>
        </is>
      </c>
      <c r="G410" t="n">
        <v>2.2</v>
      </c>
      <c r="H410" t="n">
        <v>0</v>
      </c>
      <c r="I410" t="n">
        <v>0</v>
      </c>
      <c r="J410" t="n">
        <v>0</v>
      </c>
      <c r="K410" t="n">
        <v>0</v>
      </c>
      <c r="L410" t="n">
        <v>0</v>
      </c>
      <c r="M410" t="n">
        <v>0</v>
      </c>
      <c r="N410" t="n">
        <v>0</v>
      </c>
      <c r="O410" t="n">
        <v>0</v>
      </c>
      <c r="P410" t="n">
        <v>0</v>
      </c>
      <c r="Q410" t="n">
        <v>0</v>
      </c>
      <c r="R410" s="2" t="inlineStr"/>
    </row>
    <row r="411" ht="15" customHeight="1">
      <c r="A411" t="inlineStr">
        <is>
          <t>A 25779-2020</t>
        </is>
      </c>
      <c r="B411" s="1" t="n">
        <v>43984</v>
      </c>
      <c r="C411" s="1" t="n">
        <v>45346</v>
      </c>
      <c r="D411" t="inlineStr">
        <is>
          <t>JÄMTLANDS LÄN</t>
        </is>
      </c>
      <c r="E411" t="inlineStr">
        <is>
          <t>HÄRJEDALEN</t>
        </is>
      </c>
      <c r="G411" t="n">
        <v>22.2</v>
      </c>
      <c r="H411" t="n">
        <v>0</v>
      </c>
      <c r="I411" t="n">
        <v>0</v>
      </c>
      <c r="J411" t="n">
        <v>0</v>
      </c>
      <c r="K411" t="n">
        <v>0</v>
      </c>
      <c r="L411" t="n">
        <v>0</v>
      </c>
      <c r="M411" t="n">
        <v>0</v>
      </c>
      <c r="N411" t="n">
        <v>0</v>
      </c>
      <c r="O411" t="n">
        <v>0</v>
      </c>
      <c r="P411" t="n">
        <v>0</v>
      </c>
      <c r="Q411" t="n">
        <v>0</v>
      </c>
      <c r="R411" s="2" t="inlineStr"/>
    </row>
    <row r="412" ht="15" customHeight="1">
      <c r="A412" t="inlineStr">
        <is>
          <t>A 26056-2020</t>
        </is>
      </c>
      <c r="B412" s="1" t="n">
        <v>43984</v>
      </c>
      <c r="C412" s="1" t="n">
        <v>45346</v>
      </c>
      <c r="D412" t="inlineStr">
        <is>
          <t>JÄMTLANDS LÄN</t>
        </is>
      </c>
      <c r="E412" t="inlineStr">
        <is>
          <t>HÄRJEDALEN</t>
        </is>
      </c>
      <c r="G412" t="n">
        <v>53.1</v>
      </c>
      <c r="H412" t="n">
        <v>0</v>
      </c>
      <c r="I412" t="n">
        <v>0</v>
      </c>
      <c r="J412" t="n">
        <v>0</v>
      </c>
      <c r="K412" t="n">
        <v>0</v>
      </c>
      <c r="L412" t="n">
        <v>0</v>
      </c>
      <c r="M412" t="n">
        <v>0</v>
      </c>
      <c r="N412" t="n">
        <v>0</v>
      </c>
      <c r="O412" t="n">
        <v>0</v>
      </c>
      <c r="P412" t="n">
        <v>0</v>
      </c>
      <c r="Q412" t="n">
        <v>0</v>
      </c>
      <c r="R412" s="2" t="inlineStr"/>
    </row>
    <row r="413" ht="15" customHeight="1">
      <c r="A413" t="inlineStr">
        <is>
          <t>A 27854-2020</t>
        </is>
      </c>
      <c r="B413" s="1" t="n">
        <v>43994</v>
      </c>
      <c r="C413" s="1" t="n">
        <v>45346</v>
      </c>
      <c r="D413" t="inlineStr">
        <is>
          <t>JÄMTLANDS LÄN</t>
        </is>
      </c>
      <c r="E413" t="inlineStr">
        <is>
          <t>HÄRJEDALEN</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28543-2020</t>
        </is>
      </c>
      <c r="B414" s="1" t="n">
        <v>43999</v>
      </c>
      <c r="C414" s="1" t="n">
        <v>45346</v>
      </c>
      <c r="D414" t="inlineStr">
        <is>
          <t>JÄMTLANDS LÄN</t>
        </is>
      </c>
      <c r="E414" t="inlineStr">
        <is>
          <t>HÄRJEDALEN</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29158-2020</t>
        </is>
      </c>
      <c r="B415" s="1" t="n">
        <v>44004</v>
      </c>
      <c r="C415" s="1" t="n">
        <v>45346</v>
      </c>
      <c r="D415" t="inlineStr">
        <is>
          <t>JÄMTLANDS LÄN</t>
        </is>
      </c>
      <c r="E415" t="inlineStr">
        <is>
          <t>HÄRJEDALEN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29154-2020</t>
        </is>
      </c>
      <c r="B416" s="1" t="n">
        <v>44004</v>
      </c>
      <c r="C416" s="1" t="n">
        <v>45346</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30963-2020</t>
        </is>
      </c>
      <c r="B417" s="1" t="n">
        <v>44011</v>
      </c>
      <c r="C417" s="1" t="n">
        <v>45346</v>
      </c>
      <c r="D417" t="inlineStr">
        <is>
          <t>JÄMTLANDS LÄN</t>
        </is>
      </c>
      <c r="E417" t="inlineStr">
        <is>
          <t>HÄRJEDALEN</t>
        </is>
      </c>
      <c r="F417" t="inlineStr">
        <is>
          <t>Sveaskog</t>
        </is>
      </c>
      <c r="G417" t="n">
        <v>11.6</v>
      </c>
      <c r="H417" t="n">
        <v>0</v>
      </c>
      <c r="I417" t="n">
        <v>0</v>
      </c>
      <c r="J417" t="n">
        <v>0</v>
      </c>
      <c r="K417" t="n">
        <v>0</v>
      </c>
      <c r="L417" t="n">
        <v>0</v>
      </c>
      <c r="M417" t="n">
        <v>0</v>
      </c>
      <c r="N417" t="n">
        <v>0</v>
      </c>
      <c r="O417" t="n">
        <v>0</v>
      </c>
      <c r="P417" t="n">
        <v>0</v>
      </c>
      <c r="Q417" t="n">
        <v>0</v>
      </c>
      <c r="R417" s="2" t="inlineStr"/>
    </row>
    <row r="418" ht="15" customHeight="1">
      <c r="A418" t="inlineStr">
        <is>
          <t>A 30936-2020</t>
        </is>
      </c>
      <c r="B418" s="1" t="n">
        <v>44011</v>
      </c>
      <c r="C418" s="1" t="n">
        <v>45346</v>
      </c>
      <c r="D418" t="inlineStr">
        <is>
          <t>JÄMTLANDS LÄN</t>
        </is>
      </c>
      <c r="E418" t="inlineStr">
        <is>
          <t>HÄRJEDALEN</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30940-2020</t>
        </is>
      </c>
      <c r="B419" s="1" t="n">
        <v>44011</v>
      </c>
      <c r="C419" s="1" t="n">
        <v>45346</v>
      </c>
      <c r="D419" t="inlineStr">
        <is>
          <t>JÄMTLANDS LÄN</t>
        </is>
      </c>
      <c r="E419" t="inlineStr">
        <is>
          <t>HÄRJEDALEN</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31264-2020</t>
        </is>
      </c>
      <c r="B420" s="1" t="n">
        <v>44012</v>
      </c>
      <c r="C420" s="1" t="n">
        <v>45346</v>
      </c>
      <c r="D420" t="inlineStr">
        <is>
          <t>JÄMTLANDS LÄN</t>
        </is>
      </c>
      <c r="E420" t="inlineStr">
        <is>
          <t>HÄRJEDALEN</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31872-2020</t>
        </is>
      </c>
      <c r="B421" s="1" t="n">
        <v>44014</v>
      </c>
      <c r="C421" s="1" t="n">
        <v>45346</v>
      </c>
      <c r="D421" t="inlineStr">
        <is>
          <t>JÄMTLANDS LÄN</t>
        </is>
      </c>
      <c r="E421" t="inlineStr">
        <is>
          <t>HÄRJEDALEN</t>
        </is>
      </c>
      <c r="G421" t="n">
        <v>21.4</v>
      </c>
      <c r="H421" t="n">
        <v>0</v>
      </c>
      <c r="I421" t="n">
        <v>0</v>
      </c>
      <c r="J421" t="n">
        <v>0</v>
      </c>
      <c r="K421" t="n">
        <v>0</v>
      </c>
      <c r="L421" t="n">
        <v>0</v>
      </c>
      <c r="M421" t="n">
        <v>0</v>
      </c>
      <c r="N421" t="n">
        <v>0</v>
      </c>
      <c r="O421" t="n">
        <v>0</v>
      </c>
      <c r="P421" t="n">
        <v>0</v>
      </c>
      <c r="Q421" t="n">
        <v>0</v>
      </c>
      <c r="R421" s="2" t="inlineStr"/>
    </row>
    <row r="422" ht="15" customHeight="1">
      <c r="A422" t="inlineStr">
        <is>
          <t>A 31920-2020</t>
        </is>
      </c>
      <c r="B422" s="1" t="n">
        <v>44014</v>
      </c>
      <c r="C422" s="1" t="n">
        <v>45346</v>
      </c>
      <c r="D422" t="inlineStr">
        <is>
          <t>JÄMTLANDS LÄN</t>
        </is>
      </c>
      <c r="E422" t="inlineStr">
        <is>
          <t>HÄRJEDALEN</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33020-2020</t>
        </is>
      </c>
      <c r="B423" s="1" t="n">
        <v>44021</v>
      </c>
      <c r="C423" s="1" t="n">
        <v>45346</v>
      </c>
      <c r="D423" t="inlineStr">
        <is>
          <t>JÄMTLANDS LÄN</t>
        </is>
      </c>
      <c r="E423" t="inlineStr">
        <is>
          <t>HÄRJEDALEN</t>
        </is>
      </c>
      <c r="G423" t="n">
        <v>1.7</v>
      </c>
      <c r="H423" t="n">
        <v>0</v>
      </c>
      <c r="I423" t="n">
        <v>0</v>
      </c>
      <c r="J423" t="n">
        <v>0</v>
      </c>
      <c r="K423" t="n">
        <v>0</v>
      </c>
      <c r="L423" t="n">
        <v>0</v>
      </c>
      <c r="M423" t="n">
        <v>0</v>
      </c>
      <c r="N423" t="n">
        <v>0</v>
      </c>
      <c r="O423" t="n">
        <v>0</v>
      </c>
      <c r="P423" t="n">
        <v>0</v>
      </c>
      <c r="Q423" t="n">
        <v>0</v>
      </c>
      <c r="R423" s="2" t="inlineStr"/>
    </row>
    <row r="424" ht="15" customHeight="1">
      <c r="A424" t="inlineStr">
        <is>
          <t>A 33812-2020</t>
        </is>
      </c>
      <c r="B424" s="1" t="n">
        <v>44025</v>
      </c>
      <c r="C424" s="1" t="n">
        <v>45346</v>
      </c>
      <c r="D424" t="inlineStr">
        <is>
          <t>JÄMTLANDS LÄN</t>
        </is>
      </c>
      <c r="E424" t="inlineStr">
        <is>
          <t>HÄRJEDALEN</t>
        </is>
      </c>
      <c r="G424" t="n">
        <v>3.2</v>
      </c>
      <c r="H424" t="n">
        <v>0</v>
      </c>
      <c r="I424" t="n">
        <v>0</v>
      </c>
      <c r="J424" t="n">
        <v>0</v>
      </c>
      <c r="K424" t="n">
        <v>0</v>
      </c>
      <c r="L424" t="n">
        <v>0</v>
      </c>
      <c r="M424" t="n">
        <v>0</v>
      </c>
      <c r="N424" t="n">
        <v>0</v>
      </c>
      <c r="O424" t="n">
        <v>0</v>
      </c>
      <c r="P424" t="n">
        <v>0</v>
      </c>
      <c r="Q424" t="n">
        <v>0</v>
      </c>
      <c r="R424" s="2" t="inlineStr"/>
    </row>
    <row r="425" ht="15" customHeight="1">
      <c r="A425" t="inlineStr">
        <is>
          <t>A 33513-2020</t>
        </is>
      </c>
      <c r="B425" s="1" t="n">
        <v>44025</v>
      </c>
      <c r="C425" s="1" t="n">
        <v>45346</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33701-2020</t>
        </is>
      </c>
      <c r="B426" s="1" t="n">
        <v>44026</v>
      </c>
      <c r="C426" s="1" t="n">
        <v>45346</v>
      </c>
      <c r="D426" t="inlineStr">
        <is>
          <t>JÄMTLANDS LÄN</t>
        </is>
      </c>
      <c r="E426" t="inlineStr">
        <is>
          <t>HÄRJEDALEN</t>
        </is>
      </c>
      <c r="F426" t="inlineStr">
        <is>
          <t>Bergvik skog väst AB</t>
        </is>
      </c>
      <c r="G426" t="n">
        <v>7.2</v>
      </c>
      <c r="H426" t="n">
        <v>0</v>
      </c>
      <c r="I426" t="n">
        <v>0</v>
      </c>
      <c r="J426" t="n">
        <v>0</v>
      </c>
      <c r="K426" t="n">
        <v>0</v>
      </c>
      <c r="L426" t="n">
        <v>0</v>
      </c>
      <c r="M426" t="n">
        <v>0</v>
      </c>
      <c r="N426" t="n">
        <v>0</v>
      </c>
      <c r="O426" t="n">
        <v>0</v>
      </c>
      <c r="P426" t="n">
        <v>0</v>
      </c>
      <c r="Q426" t="n">
        <v>0</v>
      </c>
      <c r="R426" s="2" t="inlineStr"/>
    </row>
    <row r="427" ht="15" customHeight="1">
      <c r="A427" t="inlineStr">
        <is>
          <t>A 33942-2020</t>
        </is>
      </c>
      <c r="B427" s="1" t="n">
        <v>44028</v>
      </c>
      <c r="C427" s="1" t="n">
        <v>45346</v>
      </c>
      <c r="D427" t="inlineStr">
        <is>
          <t>JÄMTLANDS LÄN</t>
        </is>
      </c>
      <c r="E427" t="inlineStr">
        <is>
          <t>HÄRJEDALEN</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34191-2020</t>
        </is>
      </c>
      <c r="B428" s="1" t="n">
        <v>44029</v>
      </c>
      <c r="C428" s="1" t="n">
        <v>45346</v>
      </c>
      <c r="D428" t="inlineStr">
        <is>
          <t>JÄMTLANDS LÄN</t>
        </is>
      </c>
      <c r="E428" t="inlineStr">
        <is>
          <t>HÄRJEDALEN</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34894-2020</t>
        </is>
      </c>
      <c r="B429" s="1" t="n">
        <v>44036</v>
      </c>
      <c r="C429" s="1" t="n">
        <v>45346</v>
      </c>
      <c r="D429" t="inlineStr">
        <is>
          <t>JÄMTLANDS LÄN</t>
        </is>
      </c>
      <c r="E429" t="inlineStr">
        <is>
          <t>HÄRJEDALEN</t>
        </is>
      </c>
      <c r="G429" t="n">
        <v>4</v>
      </c>
      <c r="H429" t="n">
        <v>0</v>
      </c>
      <c r="I429" t="n">
        <v>0</v>
      </c>
      <c r="J429" t="n">
        <v>0</v>
      </c>
      <c r="K429" t="n">
        <v>0</v>
      </c>
      <c r="L429" t="n">
        <v>0</v>
      </c>
      <c r="M429" t="n">
        <v>0</v>
      </c>
      <c r="N429" t="n">
        <v>0</v>
      </c>
      <c r="O429" t="n">
        <v>0</v>
      </c>
      <c r="P429" t="n">
        <v>0</v>
      </c>
      <c r="Q429" t="n">
        <v>0</v>
      </c>
      <c r="R429" s="2" t="inlineStr"/>
    </row>
    <row r="430" ht="15" customHeight="1">
      <c r="A430" t="inlineStr">
        <is>
          <t>A 34900-2020</t>
        </is>
      </c>
      <c r="B430" s="1" t="n">
        <v>44036</v>
      </c>
      <c r="C430" s="1" t="n">
        <v>45346</v>
      </c>
      <c r="D430" t="inlineStr">
        <is>
          <t>JÄMTLANDS LÄN</t>
        </is>
      </c>
      <c r="E430" t="inlineStr">
        <is>
          <t>HÄRJEDALEN</t>
        </is>
      </c>
      <c r="G430" t="n">
        <v>13.1</v>
      </c>
      <c r="H430" t="n">
        <v>0</v>
      </c>
      <c r="I430" t="n">
        <v>0</v>
      </c>
      <c r="J430" t="n">
        <v>0</v>
      </c>
      <c r="K430" t="n">
        <v>0</v>
      </c>
      <c r="L430" t="n">
        <v>0</v>
      </c>
      <c r="M430" t="n">
        <v>0</v>
      </c>
      <c r="N430" t="n">
        <v>0</v>
      </c>
      <c r="O430" t="n">
        <v>0</v>
      </c>
      <c r="P430" t="n">
        <v>0</v>
      </c>
      <c r="Q430" t="n">
        <v>0</v>
      </c>
      <c r="R430" s="2" t="inlineStr"/>
    </row>
    <row r="431" ht="15" customHeight="1">
      <c r="A431" t="inlineStr">
        <is>
          <t>A 34975-2020</t>
        </is>
      </c>
      <c r="B431" s="1" t="n">
        <v>44039</v>
      </c>
      <c r="C431" s="1" t="n">
        <v>45346</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34963-2020</t>
        </is>
      </c>
      <c r="B432" s="1" t="n">
        <v>44039</v>
      </c>
      <c r="C432" s="1" t="n">
        <v>45346</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35160-2020</t>
        </is>
      </c>
      <c r="B433" s="1" t="n">
        <v>44040</v>
      </c>
      <c r="C433" s="1" t="n">
        <v>45346</v>
      </c>
      <c r="D433" t="inlineStr">
        <is>
          <t>JÄMTLANDS LÄN</t>
        </is>
      </c>
      <c r="E433" t="inlineStr">
        <is>
          <t>HÄRJEDALEN</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45346</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45346</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45346</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45346</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45346</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45346</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45346</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45346</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45346</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45346</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45346</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45346</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45346</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45346</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45346</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45346</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45346</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47685-2020</t>
        </is>
      </c>
      <c r="B451" s="1" t="n">
        <v>44096</v>
      </c>
      <c r="C451" s="1" t="n">
        <v>45346</v>
      </c>
      <c r="D451" t="inlineStr">
        <is>
          <t>JÄMTLANDS LÄN</t>
        </is>
      </c>
      <c r="E451" t="inlineStr">
        <is>
          <t>HÄRJEDALEN</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49430-2020</t>
        </is>
      </c>
      <c r="B452" s="1" t="n">
        <v>44102</v>
      </c>
      <c r="C452" s="1" t="n">
        <v>45346</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49447-2020</t>
        </is>
      </c>
      <c r="B453" s="1" t="n">
        <v>44102</v>
      </c>
      <c r="C453" s="1" t="n">
        <v>45346</v>
      </c>
      <c r="D453" t="inlineStr">
        <is>
          <t>JÄMTLANDS LÄN</t>
        </is>
      </c>
      <c r="E453" t="inlineStr">
        <is>
          <t>HÄRJEDALEN</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49248-2020</t>
        </is>
      </c>
      <c r="B454" s="1" t="n">
        <v>44105</v>
      </c>
      <c r="C454" s="1" t="n">
        <v>45346</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49246-2020</t>
        </is>
      </c>
      <c r="B455" s="1" t="n">
        <v>44105</v>
      </c>
      <c r="C455" s="1" t="n">
        <v>45346</v>
      </c>
      <c r="D455" t="inlineStr">
        <is>
          <t>JÄMTLANDS LÄN</t>
        </is>
      </c>
      <c r="E455" t="inlineStr">
        <is>
          <t>HÄRJEDALEN</t>
        </is>
      </c>
      <c r="G455" t="n">
        <v>3.7</v>
      </c>
      <c r="H455" t="n">
        <v>0</v>
      </c>
      <c r="I455" t="n">
        <v>0</v>
      </c>
      <c r="J455" t="n">
        <v>0</v>
      </c>
      <c r="K455" t="n">
        <v>0</v>
      </c>
      <c r="L455" t="n">
        <v>0</v>
      </c>
      <c r="M455" t="n">
        <v>0</v>
      </c>
      <c r="N455" t="n">
        <v>0</v>
      </c>
      <c r="O455" t="n">
        <v>0</v>
      </c>
      <c r="P455" t="n">
        <v>0</v>
      </c>
      <c r="Q455" t="n">
        <v>0</v>
      </c>
      <c r="R455" s="2" t="inlineStr"/>
    </row>
    <row r="456" ht="15" customHeight="1">
      <c r="A456" t="inlineStr">
        <is>
          <t>A 49903-2020</t>
        </is>
      </c>
      <c r="B456" s="1" t="n">
        <v>44108</v>
      </c>
      <c r="C456" s="1" t="n">
        <v>45346</v>
      </c>
      <c r="D456" t="inlineStr">
        <is>
          <t>JÄMTLANDS LÄN</t>
        </is>
      </c>
      <c r="E456" t="inlineStr">
        <is>
          <t>HÄRJEDALEN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50018-2020</t>
        </is>
      </c>
      <c r="B457" s="1" t="n">
        <v>44109</v>
      </c>
      <c r="C457" s="1" t="n">
        <v>45346</v>
      </c>
      <c r="D457" t="inlineStr">
        <is>
          <t>JÄMTLANDS LÄN</t>
        </is>
      </c>
      <c r="E457" t="inlineStr">
        <is>
          <t>HÄRJEDALEN</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54481-2020</t>
        </is>
      </c>
      <c r="B458" s="1" t="n">
        <v>44126</v>
      </c>
      <c r="C458" s="1" t="n">
        <v>45346</v>
      </c>
      <c r="D458" t="inlineStr">
        <is>
          <t>JÄMTLANDS LÄN</t>
        </is>
      </c>
      <c r="E458" t="inlineStr">
        <is>
          <t>HÄRJEDALEN</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54537-2020</t>
        </is>
      </c>
      <c r="B459" s="1" t="n">
        <v>44126</v>
      </c>
      <c r="C459" s="1" t="n">
        <v>45346</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54593-2020</t>
        </is>
      </c>
      <c r="B460" s="1" t="n">
        <v>44126</v>
      </c>
      <c r="C460" s="1" t="n">
        <v>45346</v>
      </c>
      <c r="D460" t="inlineStr">
        <is>
          <t>JÄMTLANDS LÄN</t>
        </is>
      </c>
      <c r="E460" t="inlineStr">
        <is>
          <t>HÄRJEDALEN</t>
        </is>
      </c>
      <c r="G460" t="n">
        <v>6.5</v>
      </c>
      <c r="H460" t="n">
        <v>0</v>
      </c>
      <c r="I460" t="n">
        <v>0</v>
      </c>
      <c r="J460" t="n">
        <v>0</v>
      </c>
      <c r="K460" t="n">
        <v>0</v>
      </c>
      <c r="L460" t="n">
        <v>0</v>
      </c>
      <c r="M460" t="n">
        <v>0</v>
      </c>
      <c r="N460" t="n">
        <v>0</v>
      </c>
      <c r="O460" t="n">
        <v>0</v>
      </c>
      <c r="P460" t="n">
        <v>0</v>
      </c>
      <c r="Q460" t="n">
        <v>0</v>
      </c>
      <c r="R460" s="2" t="inlineStr"/>
    </row>
    <row r="461" ht="15" customHeight="1">
      <c r="A461" t="inlineStr">
        <is>
          <t>A 54716-2020</t>
        </is>
      </c>
      <c r="B461" s="1" t="n">
        <v>44127</v>
      </c>
      <c r="C461" s="1" t="n">
        <v>45346</v>
      </c>
      <c r="D461" t="inlineStr">
        <is>
          <t>JÄMTLANDS LÄN</t>
        </is>
      </c>
      <c r="E461" t="inlineStr">
        <is>
          <t>HÄRJEDALEN</t>
        </is>
      </c>
      <c r="F461" t="inlineStr">
        <is>
          <t>Kyrkan</t>
        </is>
      </c>
      <c r="G461" t="n">
        <v>21.3</v>
      </c>
      <c r="H461" t="n">
        <v>0</v>
      </c>
      <c r="I461" t="n">
        <v>0</v>
      </c>
      <c r="J461" t="n">
        <v>0</v>
      </c>
      <c r="K461" t="n">
        <v>0</v>
      </c>
      <c r="L461" t="n">
        <v>0</v>
      </c>
      <c r="M461" t="n">
        <v>0</v>
      </c>
      <c r="N461" t="n">
        <v>0</v>
      </c>
      <c r="O461" t="n">
        <v>0</v>
      </c>
      <c r="P461" t="n">
        <v>0</v>
      </c>
      <c r="Q461" t="n">
        <v>0</v>
      </c>
      <c r="R461" s="2" t="inlineStr"/>
    </row>
    <row r="462" ht="15" customHeight="1">
      <c r="A462" t="inlineStr">
        <is>
          <t>A 55834-2020</t>
        </is>
      </c>
      <c r="B462" s="1" t="n">
        <v>44132</v>
      </c>
      <c r="C462" s="1" t="n">
        <v>45346</v>
      </c>
      <c r="D462" t="inlineStr">
        <is>
          <t>JÄMTLANDS LÄN</t>
        </is>
      </c>
      <c r="E462" t="inlineStr">
        <is>
          <t>HÄRJEDALEN</t>
        </is>
      </c>
      <c r="G462" t="n">
        <v>2.8</v>
      </c>
      <c r="H462" t="n">
        <v>0</v>
      </c>
      <c r="I462" t="n">
        <v>0</v>
      </c>
      <c r="J462" t="n">
        <v>0</v>
      </c>
      <c r="K462" t="n">
        <v>0</v>
      </c>
      <c r="L462" t="n">
        <v>0</v>
      </c>
      <c r="M462" t="n">
        <v>0</v>
      </c>
      <c r="N462" t="n">
        <v>0</v>
      </c>
      <c r="O462" t="n">
        <v>0</v>
      </c>
      <c r="P462" t="n">
        <v>0</v>
      </c>
      <c r="Q462" t="n">
        <v>0</v>
      </c>
      <c r="R462" s="2" t="inlineStr"/>
    </row>
    <row r="463" ht="15" customHeight="1">
      <c r="A463" t="inlineStr">
        <is>
          <t>A 56001-2020</t>
        </is>
      </c>
      <c r="B463" s="1" t="n">
        <v>44133</v>
      </c>
      <c r="C463" s="1" t="n">
        <v>45346</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57196-2020</t>
        </is>
      </c>
      <c r="B464" s="1" t="n">
        <v>44139</v>
      </c>
      <c r="C464" s="1" t="n">
        <v>45346</v>
      </c>
      <c r="D464" t="inlineStr">
        <is>
          <t>JÄMTLANDS LÄN</t>
        </is>
      </c>
      <c r="E464" t="inlineStr">
        <is>
          <t>HÄRJEDALEN</t>
        </is>
      </c>
      <c r="G464" t="n">
        <v>15.1</v>
      </c>
      <c r="H464" t="n">
        <v>0</v>
      </c>
      <c r="I464" t="n">
        <v>0</v>
      </c>
      <c r="J464" t="n">
        <v>0</v>
      </c>
      <c r="K464" t="n">
        <v>0</v>
      </c>
      <c r="L464" t="n">
        <v>0</v>
      </c>
      <c r="M464" t="n">
        <v>0</v>
      </c>
      <c r="N464" t="n">
        <v>0</v>
      </c>
      <c r="O464" t="n">
        <v>0</v>
      </c>
      <c r="P464" t="n">
        <v>0</v>
      </c>
      <c r="Q464" t="n">
        <v>0</v>
      </c>
      <c r="R464" s="2" t="inlineStr"/>
    </row>
    <row r="465" ht="15" customHeight="1">
      <c r="A465" t="inlineStr">
        <is>
          <t>A 59533-2020</t>
        </is>
      </c>
      <c r="B465" s="1" t="n">
        <v>44148</v>
      </c>
      <c r="C465" s="1" t="n">
        <v>45346</v>
      </c>
      <c r="D465" t="inlineStr">
        <is>
          <t>JÄMTLANDS LÄN</t>
        </is>
      </c>
      <c r="E465" t="inlineStr">
        <is>
          <t>HÄRJEDALEN</t>
        </is>
      </c>
      <c r="F465" t="inlineStr">
        <is>
          <t>Holmen skog AB</t>
        </is>
      </c>
      <c r="G465" t="n">
        <v>38.3</v>
      </c>
      <c r="H465" t="n">
        <v>0</v>
      </c>
      <c r="I465" t="n">
        <v>0</v>
      </c>
      <c r="J465" t="n">
        <v>0</v>
      </c>
      <c r="K465" t="n">
        <v>0</v>
      </c>
      <c r="L465" t="n">
        <v>0</v>
      </c>
      <c r="M465" t="n">
        <v>0</v>
      </c>
      <c r="N465" t="n">
        <v>0</v>
      </c>
      <c r="O465" t="n">
        <v>0</v>
      </c>
      <c r="P465" t="n">
        <v>0</v>
      </c>
      <c r="Q465" t="n">
        <v>0</v>
      </c>
      <c r="R465" s="2" t="inlineStr"/>
    </row>
    <row r="466" ht="15" customHeight="1">
      <c r="A466" t="inlineStr">
        <is>
          <t>A 60087-2020</t>
        </is>
      </c>
      <c r="B466" s="1" t="n">
        <v>44151</v>
      </c>
      <c r="C466" s="1" t="n">
        <v>45346</v>
      </c>
      <c r="D466" t="inlineStr">
        <is>
          <t>JÄMTLANDS LÄN</t>
        </is>
      </c>
      <c r="E466" t="inlineStr">
        <is>
          <t>HÄRJEDALEN</t>
        </is>
      </c>
      <c r="G466" t="n">
        <v>9.4</v>
      </c>
      <c r="H466" t="n">
        <v>0</v>
      </c>
      <c r="I466" t="n">
        <v>0</v>
      </c>
      <c r="J466" t="n">
        <v>0</v>
      </c>
      <c r="K466" t="n">
        <v>0</v>
      </c>
      <c r="L466" t="n">
        <v>0</v>
      </c>
      <c r="M466" t="n">
        <v>0</v>
      </c>
      <c r="N466" t="n">
        <v>0</v>
      </c>
      <c r="O466" t="n">
        <v>0</v>
      </c>
      <c r="P466" t="n">
        <v>0</v>
      </c>
      <c r="Q466" t="n">
        <v>0</v>
      </c>
      <c r="R466" s="2" t="inlineStr"/>
    </row>
    <row r="467" ht="15" customHeight="1">
      <c r="A467" t="inlineStr">
        <is>
          <t>A 60424-2020</t>
        </is>
      </c>
      <c r="B467" s="1" t="n">
        <v>44153</v>
      </c>
      <c r="C467" s="1" t="n">
        <v>45346</v>
      </c>
      <c r="D467" t="inlineStr">
        <is>
          <t>JÄMTLANDS LÄN</t>
        </is>
      </c>
      <c r="E467" t="inlineStr">
        <is>
          <t>HÄRJEDALEN</t>
        </is>
      </c>
      <c r="F467" t="inlineStr">
        <is>
          <t>Holmen skog AB</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60429-2020</t>
        </is>
      </c>
      <c r="B468" s="1" t="n">
        <v>44153</v>
      </c>
      <c r="C468" s="1" t="n">
        <v>45346</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60606-2020</t>
        </is>
      </c>
      <c r="B469" s="1" t="n">
        <v>44153</v>
      </c>
      <c r="C469" s="1" t="n">
        <v>45346</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60422-2020</t>
        </is>
      </c>
      <c r="B470" s="1" t="n">
        <v>44153</v>
      </c>
      <c r="C470" s="1" t="n">
        <v>45346</v>
      </c>
      <c r="D470" t="inlineStr">
        <is>
          <t>JÄMTLANDS LÄN</t>
        </is>
      </c>
      <c r="E470" t="inlineStr">
        <is>
          <t>HÄRJEDALEN</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60836-2020</t>
        </is>
      </c>
      <c r="B471" s="1" t="n">
        <v>44154</v>
      </c>
      <c r="C471" s="1" t="n">
        <v>45346</v>
      </c>
      <c r="D471" t="inlineStr">
        <is>
          <t>JÄMTLANDS LÄN</t>
        </is>
      </c>
      <c r="E471" t="inlineStr">
        <is>
          <t>HÄRJEDALEN</t>
        </is>
      </c>
      <c r="G471" t="n">
        <v>2.5</v>
      </c>
      <c r="H471" t="n">
        <v>0</v>
      </c>
      <c r="I471" t="n">
        <v>0</v>
      </c>
      <c r="J471" t="n">
        <v>0</v>
      </c>
      <c r="K471" t="n">
        <v>0</v>
      </c>
      <c r="L471" t="n">
        <v>0</v>
      </c>
      <c r="M471" t="n">
        <v>0</v>
      </c>
      <c r="N471" t="n">
        <v>0</v>
      </c>
      <c r="O471" t="n">
        <v>0</v>
      </c>
      <c r="P471" t="n">
        <v>0</v>
      </c>
      <c r="Q471" t="n">
        <v>0</v>
      </c>
      <c r="R471" s="2" t="inlineStr"/>
    </row>
    <row r="472" ht="15" customHeight="1">
      <c r="A472" t="inlineStr">
        <is>
          <t>A 60794-2020</t>
        </is>
      </c>
      <c r="B472" s="1" t="n">
        <v>44154</v>
      </c>
      <c r="C472" s="1" t="n">
        <v>45346</v>
      </c>
      <c r="D472" t="inlineStr">
        <is>
          <t>JÄMTLANDS LÄN</t>
        </is>
      </c>
      <c r="E472" t="inlineStr">
        <is>
          <t>HÄRJEDALEN</t>
        </is>
      </c>
      <c r="F472" t="inlineStr">
        <is>
          <t>Holmen skog AB</t>
        </is>
      </c>
      <c r="G472" t="n">
        <v>5.5</v>
      </c>
      <c r="H472" t="n">
        <v>0</v>
      </c>
      <c r="I472" t="n">
        <v>0</v>
      </c>
      <c r="J472" t="n">
        <v>0</v>
      </c>
      <c r="K472" t="n">
        <v>0</v>
      </c>
      <c r="L472" t="n">
        <v>0</v>
      </c>
      <c r="M472" t="n">
        <v>0</v>
      </c>
      <c r="N472" t="n">
        <v>0</v>
      </c>
      <c r="O472" t="n">
        <v>0</v>
      </c>
      <c r="P472" t="n">
        <v>0</v>
      </c>
      <c r="Q472" t="n">
        <v>0</v>
      </c>
      <c r="R472" s="2" t="inlineStr"/>
    </row>
    <row r="473" ht="15" customHeight="1">
      <c r="A473" t="inlineStr">
        <is>
          <t>A 61232-2020</t>
        </is>
      </c>
      <c r="B473" s="1" t="n">
        <v>44155</v>
      </c>
      <c r="C473" s="1" t="n">
        <v>45346</v>
      </c>
      <c r="D473" t="inlineStr">
        <is>
          <t>JÄMTLANDS LÄN</t>
        </is>
      </c>
      <c r="E473" t="inlineStr">
        <is>
          <t>HÄRJEDALEN</t>
        </is>
      </c>
      <c r="G473" t="n">
        <v>8.5</v>
      </c>
      <c r="H473" t="n">
        <v>0</v>
      </c>
      <c r="I473" t="n">
        <v>0</v>
      </c>
      <c r="J473" t="n">
        <v>0</v>
      </c>
      <c r="K473" t="n">
        <v>0</v>
      </c>
      <c r="L473" t="n">
        <v>0</v>
      </c>
      <c r="M473" t="n">
        <v>0</v>
      </c>
      <c r="N473" t="n">
        <v>0</v>
      </c>
      <c r="O473" t="n">
        <v>0</v>
      </c>
      <c r="P473" t="n">
        <v>0</v>
      </c>
      <c r="Q473" t="n">
        <v>0</v>
      </c>
      <c r="R473" s="2" t="inlineStr"/>
    </row>
    <row r="474" ht="15" customHeight="1">
      <c r="A474" t="inlineStr">
        <is>
          <t>A 63133-2020</t>
        </is>
      </c>
      <c r="B474" s="1" t="n">
        <v>44162</v>
      </c>
      <c r="C474" s="1" t="n">
        <v>45346</v>
      </c>
      <c r="D474" t="inlineStr">
        <is>
          <t>JÄMTLANDS LÄN</t>
        </is>
      </c>
      <c r="E474" t="inlineStr">
        <is>
          <t>HÄRJEDALEN</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64281-2020</t>
        </is>
      </c>
      <c r="B475" s="1" t="n">
        <v>44166</v>
      </c>
      <c r="C475" s="1" t="n">
        <v>45346</v>
      </c>
      <c r="D475" t="inlineStr">
        <is>
          <t>JÄMTLANDS LÄN</t>
        </is>
      </c>
      <c r="E475" t="inlineStr">
        <is>
          <t>HÄRJEDALEN</t>
        </is>
      </c>
      <c r="F475" t="inlineStr">
        <is>
          <t>Övriga statliga verk och myndigheter</t>
        </is>
      </c>
      <c r="G475" t="n">
        <v>4.1</v>
      </c>
      <c r="H475" t="n">
        <v>0</v>
      </c>
      <c r="I475" t="n">
        <v>0</v>
      </c>
      <c r="J475" t="n">
        <v>0</v>
      </c>
      <c r="K475" t="n">
        <v>0</v>
      </c>
      <c r="L475" t="n">
        <v>0</v>
      </c>
      <c r="M475" t="n">
        <v>0</v>
      </c>
      <c r="N475" t="n">
        <v>0</v>
      </c>
      <c r="O475" t="n">
        <v>0</v>
      </c>
      <c r="P475" t="n">
        <v>0</v>
      </c>
      <c r="Q475" t="n">
        <v>0</v>
      </c>
      <c r="R475" s="2" t="inlineStr"/>
    </row>
    <row r="476" ht="15" customHeight="1">
      <c r="A476" t="inlineStr">
        <is>
          <t>A 64300-2020</t>
        </is>
      </c>
      <c r="B476" s="1" t="n">
        <v>44166</v>
      </c>
      <c r="C476" s="1" t="n">
        <v>45346</v>
      </c>
      <c r="D476" t="inlineStr">
        <is>
          <t>JÄMTLANDS LÄN</t>
        </is>
      </c>
      <c r="E476" t="inlineStr">
        <is>
          <t>HÄRJEDALEN</t>
        </is>
      </c>
      <c r="F476" t="inlineStr">
        <is>
          <t>Övriga statliga verk och myndigheter</t>
        </is>
      </c>
      <c r="G476" t="n">
        <v>58</v>
      </c>
      <c r="H476" t="n">
        <v>0</v>
      </c>
      <c r="I476" t="n">
        <v>0</v>
      </c>
      <c r="J476" t="n">
        <v>0</v>
      </c>
      <c r="K476" t="n">
        <v>0</v>
      </c>
      <c r="L476" t="n">
        <v>0</v>
      </c>
      <c r="M476" t="n">
        <v>0</v>
      </c>
      <c r="N476" t="n">
        <v>0</v>
      </c>
      <c r="O476" t="n">
        <v>0</v>
      </c>
      <c r="P476" t="n">
        <v>0</v>
      </c>
      <c r="Q476" t="n">
        <v>0</v>
      </c>
      <c r="R476" s="2" t="inlineStr"/>
    </row>
    <row r="477" ht="15" customHeight="1">
      <c r="A477" t="inlineStr">
        <is>
          <t>A 63949-2020</t>
        </is>
      </c>
      <c r="B477" s="1" t="n">
        <v>44167</v>
      </c>
      <c r="C477" s="1" t="n">
        <v>45346</v>
      </c>
      <c r="D477" t="inlineStr">
        <is>
          <t>JÄMTLANDS LÄN</t>
        </is>
      </c>
      <c r="E477" t="inlineStr">
        <is>
          <t>HÄRJEDALEN</t>
        </is>
      </c>
      <c r="F477" t="inlineStr">
        <is>
          <t>Bergvik skog väst AB</t>
        </is>
      </c>
      <c r="G477" t="n">
        <v>10.8</v>
      </c>
      <c r="H477" t="n">
        <v>0</v>
      </c>
      <c r="I477" t="n">
        <v>0</v>
      </c>
      <c r="J477" t="n">
        <v>0</v>
      </c>
      <c r="K477" t="n">
        <v>0</v>
      </c>
      <c r="L477" t="n">
        <v>0</v>
      </c>
      <c r="M477" t="n">
        <v>0</v>
      </c>
      <c r="N477" t="n">
        <v>0</v>
      </c>
      <c r="O477" t="n">
        <v>0</v>
      </c>
      <c r="P477" t="n">
        <v>0</v>
      </c>
      <c r="Q477" t="n">
        <v>0</v>
      </c>
      <c r="R477" s="2" t="inlineStr"/>
    </row>
    <row r="478" ht="15" customHeight="1">
      <c r="A478" t="inlineStr">
        <is>
          <t>A 63979-2020</t>
        </is>
      </c>
      <c r="B478" s="1" t="n">
        <v>44167</v>
      </c>
      <c r="C478" s="1" t="n">
        <v>45346</v>
      </c>
      <c r="D478" t="inlineStr">
        <is>
          <t>JÄMTLANDS LÄN</t>
        </is>
      </c>
      <c r="E478" t="inlineStr">
        <is>
          <t>HÄRJEDALEN</t>
        </is>
      </c>
      <c r="G478" t="n">
        <v>10</v>
      </c>
      <c r="H478" t="n">
        <v>0</v>
      </c>
      <c r="I478" t="n">
        <v>0</v>
      </c>
      <c r="J478" t="n">
        <v>0</v>
      </c>
      <c r="K478" t="n">
        <v>0</v>
      </c>
      <c r="L478" t="n">
        <v>0</v>
      </c>
      <c r="M478" t="n">
        <v>0</v>
      </c>
      <c r="N478" t="n">
        <v>0</v>
      </c>
      <c r="O478" t="n">
        <v>0</v>
      </c>
      <c r="P478" t="n">
        <v>0</v>
      </c>
      <c r="Q478" t="n">
        <v>0</v>
      </c>
      <c r="R478" s="2" t="inlineStr"/>
    </row>
    <row r="479" ht="15" customHeight="1">
      <c r="A479" t="inlineStr">
        <is>
          <t>A 64539-2020</t>
        </is>
      </c>
      <c r="B479" s="1" t="n">
        <v>44169</v>
      </c>
      <c r="C479" s="1" t="n">
        <v>45346</v>
      </c>
      <c r="D479" t="inlineStr">
        <is>
          <t>JÄMTLANDS LÄN</t>
        </is>
      </c>
      <c r="E479" t="inlineStr">
        <is>
          <t>HÄRJEDALEN</t>
        </is>
      </c>
      <c r="G479" t="n">
        <v>5.6</v>
      </c>
      <c r="H479" t="n">
        <v>0</v>
      </c>
      <c r="I479" t="n">
        <v>0</v>
      </c>
      <c r="J479" t="n">
        <v>0</v>
      </c>
      <c r="K479" t="n">
        <v>0</v>
      </c>
      <c r="L479" t="n">
        <v>0</v>
      </c>
      <c r="M479" t="n">
        <v>0</v>
      </c>
      <c r="N479" t="n">
        <v>0</v>
      </c>
      <c r="O479" t="n">
        <v>0</v>
      </c>
      <c r="P479" t="n">
        <v>0</v>
      </c>
      <c r="Q479" t="n">
        <v>0</v>
      </c>
      <c r="R479" s="2" t="inlineStr"/>
    </row>
    <row r="480" ht="15" customHeight="1">
      <c r="A480" t="inlineStr">
        <is>
          <t>A 64579-2020</t>
        </is>
      </c>
      <c r="B480" s="1" t="n">
        <v>44169</v>
      </c>
      <c r="C480" s="1" t="n">
        <v>45346</v>
      </c>
      <c r="D480" t="inlineStr">
        <is>
          <t>JÄMTLANDS LÄN</t>
        </is>
      </c>
      <c r="E480" t="inlineStr">
        <is>
          <t>HÄRJEDALEN</t>
        </is>
      </c>
      <c r="G480" t="n">
        <v>12.4</v>
      </c>
      <c r="H480" t="n">
        <v>0</v>
      </c>
      <c r="I480" t="n">
        <v>0</v>
      </c>
      <c r="J480" t="n">
        <v>0</v>
      </c>
      <c r="K480" t="n">
        <v>0</v>
      </c>
      <c r="L480" t="n">
        <v>0</v>
      </c>
      <c r="M480" t="n">
        <v>0</v>
      </c>
      <c r="N480" t="n">
        <v>0</v>
      </c>
      <c r="O480" t="n">
        <v>0</v>
      </c>
      <c r="P480" t="n">
        <v>0</v>
      </c>
      <c r="Q480" t="n">
        <v>0</v>
      </c>
      <c r="R480" s="2" t="inlineStr"/>
    </row>
    <row r="481" ht="15" customHeight="1">
      <c r="A481" t="inlineStr">
        <is>
          <t>A 65817-2020</t>
        </is>
      </c>
      <c r="B481" s="1" t="n">
        <v>44174</v>
      </c>
      <c r="C481" s="1" t="n">
        <v>45346</v>
      </c>
      <c r="D481" t="inlineStr">
        <is>
          <t>JÄMTLANDS LÄN</t>
        </is>
      </c>
      <c r="E481" t="inlineStr">
        <is>
          <t>HÄRJEDALEN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66276-2020</t>
        </is>
      </c>
      <c r="B482" s="1" t="n">
        <v>44174</v>
      </c>
      <c r="C482" s="1" t="n">
        <v>45346</v>
      </c>
      <c r="D482" t="inlineStr">
        <is>
          <t>JÄMTLANDS LÄN</t>
        </is>
      </c>
      <c r="E482" t="inlineStr">
        <is>
          <t>HÄRJEDALEN</t>
        </is>
      </c>
      <c r="G482" t="n">
        <v>4</v>
      </c>
      <c r="H482" t="n">
        <v>0</v>
      </c>
      <c r="I482" t="n">
        <v>0</v>
      </c>
      <c r="J482" t="n">
        <v>0</v>
      </c>
      <c r="K482" t="n">
        <v>0</v>
      </c>
      <c r="L482" t="n">
        <v>0</v>
      </c>
      <c r="M482" t="n">
        <v>0</v>
      </c>
      <c r="N482" t="n">
        <v>0</v>
      </c>
      <c r="O482" t="n">
        <v>0</v>
      </c>
      <c r="P482" t="n">
        <v>0</v>
      </c>
      <c r="Q482" t="n">
        <v>0</v>
      </c>
      <c r="R482" s="2" t="inlineStr"/>
    </row>
    <row r="483" ht="15" customHeight="1">
      <c r="A483" t="inlineStr">
        <is>
          <t>A 66720-2020</t>
        </is>
      </c>
      <c r="B483" s="1" t="n">
        <v>44179</v>
      </c>
      <c r="C483" s="1" t="n">
        <v>45346</v>
      </c>
      <c r="D483" t="inlineStr">
        <is>
          <t>JÄMTLANDS LÄN</t>
        </is>
      </c>
      <c r="E483" t="inlineStr">
        <is>
          <t>HÄRJEDALEN</t>
        </is>
      </c>
      <c r="G483" t="n">
        <v>2.2</v>
      </c>
      <c r="H483" t="n">
        <v>0</v>
      </c>
      <c r="I483" t="n">
        <v>0</v>
      </c>
      <c r="J483" t="n">
        <v>0</v>
      </c>
      <c r="K483" t="n">
        <v>0</v>
      </c>
      <c r="L483" t="n">
        <v>0</v>
      </c>
      <c r="M483" t="n">
        <v>0</v>
      </c>
      <c r="N483" t="n">
        <v>0</v>
      </c>
      <c r="O483" t="n">
        <v>0</v>
      </c>
      <c r="P483" t="n">
        <v>0</v>
      </c>
      <c r="Q483" t="n">
        <v>0</v>
      </c>
      <c r="R483" s="2" t="inlineStr"/>
    </row>
    <row r="484" ht="15" customHeight="1">
      <c r="A484" t="inlineStr">
        <is>
          <t>A 67099-2020</t>
        </is>
      </c>
      <c r="B484" s="1" t="n">
        <v>44180</v>
      </c>
      <c r="C484" s="1" t="n">
        <v>45346</v>
      </c>
      <c r="D484" t="inlineStr">
        <is>
          <t>JÄMTLANDS LÄN</t>
        </is>
      </c>
      <c r="E484" t="inlineStr">
        <is>
          <t>HÄRJEDALEN</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67156-2020</t>
        </is>
      </c>
      <c r="B485" s="1" t="n">
        <v>44180</v>
      </c>
      <c r="C485" s="1" t="n">
        <v>45346</v>
      </c>
      <c r="D485" t="inlineStr">
        <is>
          <t>JÄMTLANDS LÄN</t>
        </is>
      </c>
      <c r="E485" t="inlineStr">
        <is>
          <t>HÄRJEDALEN</t>
        </is>
      </c>
      <c r="F485" t="inlineStr">
        <is>
          <t>Holmen skog AB</t>
        </is>
      </c>
      <c r="G485" t="n">
        <v>7.3</v>
      </c>
      <c r="H485" t="n">
        <v>0</v>
      </c>
      <c r="I485" t="n">
        <v>0</v>
      </c>
      <c r="J485" t="n">
        <v>0</v>
      </c>
      <c r="K485" t="n">
        <v>0</v>
      </c>
      <c r="L485" t="n">
        <v>0</v>
      </c>
      <c r="M485" t="n">
        <v>0</v>
      </c>
      <c r="N485" t="n">
        <v>0</v>
      </c>
      <c r="O485" t="n">
        <v>0</v>
      </c>
      <c r="P485" t="n">
        <v>0</v>
      </c>
      <c r="Q485" t="n">
        <v>0</v>
      </c>
      <c r="R485" s="2" t="inlineStr"/>
    </row>
    <row r="486" ht="15" customHeight="1">
      <c r="A486" t="inlineStr">
        <is>
          <t>A 67110-2020</t>
        </is>
      </c>
      <c r="B486" s="1" t="n">
        <v>44180</v>
      </c>
      <c r="C486" s="1" t="n">
        <v>45346</v>
      </c>
      <c r="D486" t="inlineStr">
        <is>
          <t>JÄMTLANDS LÄN</t>
        </is>
      </c>
      <c r="E486" t="inlineStr">
        <is>
          <t>HÄRJEDALEN</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67182-2020</t>
        </is>
      </c>
      <c r="B487" s="1" t="n">
        <v>44180</v>
      </c>
      <c r="C487" s="1" t="n">
        <v>45346</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67194-2020</t>
        </is>
      </c>
      <c r="B488" s="1" t="n">
        <v>44180</v>
      </c>
      <c r="C488" s="1" t="n">
        <v>45346</v>
      </c>
      <c r="D488" t="inlineStr">
        <is>
          <t>JÄMTLANDS LÄN</t>
        </is>
      </c>
      <c r="E488" t="inlineStr">
        <is>
          <t>HÄRJEDALEN</t>
        </is>
      </c>
      <c r="F488" t="inlineStr">
        <is>
          <t>Holmen skog AB</t>
        </is>
      </c>
      <c r="G488" t="n">
        <v>8.5</v>
      </c>
      <c r="H488" t="n">
        <v>0</v>
      </c>
      <c r="I488" t="n">
        <v>0</v>
      </c>
      <c r="J488" t="n">
        <v>0</v>
      </c>
      <c r="K488" t="n">
        <v>0</v>
      </c>
      <c r="L488" t="n">
        <v>0</v>
      </c>
      <c r="M488" t="n">
        <v>0</v>
      </c>
      <c r="N488" t="n">
        <v>0</v>
      </c>
      <c r="O488" t="n">
        <v>0</v>
      </c>
      <c r="P488" t="n">
        <v>0</v>
      </c>
      <c r="Q488" t="n">
        <v>0</v>
      </c>
      <c r="R488" s="2" t="inlineStr"/>
    </row>
    <row r="489" ht="15" customHeight="1">
      <c r="A489" t="inlineStr">
        <is>
          <t>A 67180-2020</t>
        </is>
      </c>
      <c r="B489" s="1" t="n">
        <v>44180</v>
      </c>
      <c r="C489" s="1" t="n">
        <v>45346</v>
      </c>
      <c r="D489" t="inlineStr">
        <is>
          <t>JÄMTLANDS LÄN</t>
        </is>
      </c>
      <c r="E489" t="inlineStr">
        <is>
          <t>HÄRJEDALEN</t>
        </is>
      </c>
      <c r="G489" t="n">
        <v>0</v>
      </c>
      <c r="H489" t="n">
        <v>0</v>
      </c>
      <c r="I489" t="n">
        <v>0</v>
      </c>
      <c r="J489" t="n">
        <v>0</v>
      </c>
      <c r="K489" t="n">
        <v>0</v>
      </c>
      <c r="L489" t="n">
        <v>0</v>
      </c>
      <c r="M489" t="n">
        <v>0</v>
      </c>
      <c r="N489" t="n">
        <v>0</v>
      </c>
      <c r="O489" t="n">
        <v>0</v>
      </c>
      <c r="P489" t="n">
        <v>0</v>
      </c>
      <c r="Q489" t="n">
        <v>0</v>
      </c>
      <c r="R489" s="2" t="inlineStr"/>
    </row>
    <row r="490" ht="15" customHeight="1">
      <c r="A490" t="inlineStr">
        <is>
          <t>A 67106-2020</t>
        </is>
      </c>
      <c r="B490" s="1" t="n">
        <v>44180</v>
      </c>
      <c r="C490" s="1" t="n">
        <v>45346</v>
      </c>
      <c r="D490" t="inlineStr">
        <is>
          <t>JÄMTLANDS LÄN</t>
        </is>
      </c>
      <c r="E490" t="inlineStr">
        <is>
          <t>HÄRJEDALEN</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67457-2020</t>
        </is>
      </c>
      <c r="B491" s="1" t="n">
        <v>44181</v>
      </c>
      <c r="C491" s="1" t="n">
        <v>45346</v>
      </c>
      <c r="D491" t="inlineStr">
        <is>
          <t>JÄMTLANDS LÄN</t>
        </is>
      </c>
      <c r="E491" t="inlineStr">
        <is>
          <t>HÄRJEDALEN</t>
        </is>
      </c>
      <c r="F491" t="inlineStr">
        <is>
          <t>Holmen skog AB</t>
        </is>
      </c>
      <c r="G491" t="n">
        <v>30</v>
      </c>
      <c r="H491" t="n">
        <v>0</v>
      </c>
      <c r="I491" t="n">
        <v>0</v>
      </c>
      <c r="J491" t="n">
        <v>0</v>
      </c>
      <c r="K491" t="n">
        <v>0</v>
      </c>
      <c r="L491" t="n">
        <v>0</v>
      </c>
      <c r="M491" t="n">
        <v>0</v>
      </c>
      <c r="N491" t="n">
        <v>0</v>
      </c>
      <c r="O491" t="n">
        <v>0</v>
      </c>
      <c r="P491" t="n">
        <v>0</v>
      </c>
      <c r="Q491" t="n">
        <v>0</v>
      </c>
      <c r="R491" s="2" t="inlineStr"/>
    </row>
    <row r="492" ht="15" customHeight="1">
      <c r="A492" t="inlineStr">
        <is>
          <t>A 67522-2020</t>
        </is>
      </c>
      <c r="B492" s="1" t="n">
        <v>44181</v>
      </c>
      <c r="C492" s="1" t="n">
        <v>45346</v>
      </c>
      <c r="D492" t="inlineStr">
        <is>
          <t>JÄMTLANDS LÄN</t>
        </is>
      </c>
      <c r="E492" t="inlineStr">
        <is>
          <t>HÄRJEDALEN</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67416-2020</t>
        </is>
      </c>
      <c r="B493" s="1" t="n">
        <v>44181</v>
      </c>
      <c r="C493" s="1" t="n">
        <v>45346</v>
      </c>
      <c r="D493" t="inlineStr">
        <is>
          <t>JÄMTLANDS LÄN</t>
        </is>
      </c>
      <c r="E493" t="inlineStr">
        <is>
          <t>HÄRJEDALEN</t>
        </is>
      </c>
      <c r="F493" t="inlineStr">
        <is>
          <t>Holmen skog AB</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67445-2020</t>
        </is>
      </c>
      <c r="B494" s="1" t="n">
        <v>44181</v>
      </c>
      <c r="C494" s="1" t="n">
        <v>45346</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67459-2020</t>
        </is>
      </c>
      <c r="B495" s="1" t="n">
        <v>44181</v>
      </c>
      <c r="C495" s="1" t="n">
        <v>45346</v>
      </c>
      <c r="D495" t="inlineStr">
        <is>
          <t>JÄMTLANDS LÄN</t>
        </is>
      </c>
      <c r="E495" t="inlineStr">
        <is>
          <t>HÄRJEDALEN</t>
        </is>
      </c>
      <c r="F495" t="inlineStr">
        <is>
          <t>Holmen skog AB</t>
        </is>
      </c>
      <c r="G495" t="n">
        <v>17.7</v>
      </c>
      <c r="H495" t="n">
        <v>0</v>
      </c>
      <c r="I495" t="n">
        <v>0</v>
      </c>
      <c r="J495" t="n">
        <v>0</v>
      </c>
      <c r="K495" t="n">
        <v>0</v>
      </c>
      <c r="L495" t="n">
        <v>0</v>
      </c>
      <c r="M495" t="n">
        <v>0</v>
      </c>
      <c r="N495" t="n">
        <v>0</v>
      </c>
      <c r="O495" t="n">
        <v>0</v>
      </c>
      <c r="P495" t="n">
        <v>0</v>
      </c>
      <c r="Q495" t="n">
        <v>0</v>
      </c>
      <c r="R495" s="2" t="inlineStr"/>
    </row>
    <row r="496" ht="15" customHeight="1">
      <c r="A496" t="inlineStr">
        <is>
          <t>A 67529-2020</t>
        </is>
      </c>
      <c r="B496" s="1" t="n">
        <v>44181</v>
      </c>
      <c r="C496" s="1" t="n">
        <v>45346</v>
      </c>
      <c r="D496" t="inlineStr">
        <is>
          <t>JÄMTLANDS LÄN</t>
        </is>
      </c>
      <c r="E496" t="inlineStr">
        <is>
          <t>HÄRJEDALEN</t>
        </is>
      </c>
      <c r="F496" t="inlineStr">
        <is>
          <t>Holmen skog AB</t>
        </is>
      </c>
      <c r="G496" t="n">
        <v>5.4</v>
      </c>
      <c r="H496" t="n">
        <v>0</v>
      </c>
      <c r="I496" t="n">
        <v>0</v>
      </c>
      <c r="J496" t="n">
        <v>0</v>
      </c>
      <c r="K496" t="n">
        <v>0</v>
      </c>
      <c r="L496" t="n">
        <v>0</v>
      </c>
      <c r="M496" t="n">
        <v>0</v>
      </c>
      <c r="N496" t="n">
        <v>0</v>
      </c>
      <c r="O496" t="n">
        <v>0</v>
      </c>
      <c r="P496" t="n">
        <v>0</v>
      </c>
      <c r="Q496" t="n">
        <v>0</v>
      </c>
      <c r="R496" s="2" t="inlineStr"/>
    </row>
    <row r="497" ht="15" customHeight="1">
      <c r="A497" t="inlineStr">
        <is>
          <t>A 67411-2020</t>
        </is>
      </c>
      <c r="B497" s="1" t="n">
        <v>44181</v>
      </c>
      <c r="C497" s="1" t="n">
        <v>45346</v>
      </c>
      <c r="D497" t="inlineStr">
        <is>
          <t>JÄMTLANDS LÄN</t>
        </is>
      </c>
      <c r="E497" t="inlineStr">
        <is>
          <t>HÄRJEDALEN</t>
        </is>
      </c>
      <c r="F497" t="inlineStr">
        <is>
          <t>Holmen skog AB</t>
        </is>
      </c>
      <c r="G497" t="n">
        <v>5.9</v>
      </c>
      <c r="H497" t="n">
        <v>0</v>
      </c>
      <c r="I497" t="n">
        <v>0</v>
      </c>
      <c r="J497" t="n">
        <v>0</v>
      </c>
      <c r="K497" t="n">
        <v>0</v>
      </c>
      <c r="L497" t="n">
        <v>0</v>
      </c>
      <c r="M497" t="n">
        <v>0</v>
      </c>
      <c r="N497" t="n">
        <v>0</v>
      </c>
      <c r="O497" t="n">
        <v>0</v>
      </c>
      <c r="P497" t="n">
        <v>0</v>
      </c>
      <c r="Q497" t="n">
        <v>0</v>
      </c>
      <c r="R497" s="2" t="inlineStr"/>
    </row>
    <row r="498" ht="15" customHeight="1">
      <c r="A498" t="inlineStr">
        <is>
          <t>A 67438-2020</t>
        </is>
      </c>
      <c r="B498" s="1" t="n">
        <v>44181</v>
      </c>
      <c r="C498" s="1" t="n">
        <v>45346</v>
      </c>
      <c r="D498" t="inlineStr">
        <is>
          <t>JÄMTLANDS LÄN</t>
        </is>
      </c>
      <c r="E498" t="inlineStr">
        <is>
          <t>HÄRJEDALEN</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67447-2020</t>
        </is>
      </c>
      <c r="B499" s="1" t="n">
        <v>44181</v>
      </c>
      <c r="C499" s="1" t="n">
        <v>45346</v>
      </c>
      <c r="D499" t="inlineStr">
        <is>
          <t>JÄMTLANDS LÄN</t>
        </is>
      </c>
      <c r="E499" t="inlineStr">
        <is>
          <t>HÄRJEDALEN</t>
        </is>
      </c>
      <c r="F499" t="inlineStr">
        <is>
          <t>Holmen skog AB</t>
        </is>
      </c>
      <c r="G499" t="n">
        <v>8.6</v>
      </c>
      <c r="H499" t="n">
        <v>0</v>
      </c>
      <c r="I499" t="n">
        <v>0</v>
      </c>
      <c r="J499" t="n">
        <v>0</v>
      </c>
      <c r="K499" t="n">
        <v>0</v>
      </c>
      <c r="L499" t="n">
        <v>0</v>
      </c>
      <c r="M499" t="n">
        <v>0</v>
      </c>
      <c r="N499" t="n">
        <v>0</v>
      </c>
      <c r="O499" t="n">
        <v>0</v>
      </c>
      <c r="P499" t="n">
        <v>0</v>
      </c>
      <c r="Q499" t="n">
        <v>0</v>
      </c>
      <c r="R499" s="2" t="inlineStr"/>
    </row>
    <row r="500" ht="15" customHeight="1">
      <c r="A500" t="inlineStr">
        <is>
          <t>A 67454-2020</t>
        </is>
      </c>
      <c r="B500" s="1" t="n">
        <v>44181</v>
      </c>
      <c r="C500" s="1" t="n">
        <v>45346</v>
      </c>
      <c r="D500" t="inlineStr">
        <is>
          <t>JÄMTLANDS LÄN</t>
        </is>
      </c>
      <c r="E500" t="inlineStr">
        <is>
          <t>HÄRJEDALEN</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67498-2020</t>
        </is>
      </c>
      <c r="B501" s="1" t="n">
        <v>44181</v>
      </c>
      <c r="C501" s="1" t="n">
        <v>45346</v>
      </c>
      <c r="D501" t="inlineStr">
        <is>
          <t>JÄMTLANDS LÄN</t>
        </is>
      </c>
      <c r="E501" t="inlineStr">
        <is>
          <t>HÄRJEDALEN</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67507-2020</t>
        </is>
      </c>
      <c r="B502" s="1" t="n">
        <v>44181</v>
      </c>
      <c r="C502" s="1" t="n">
        <v>45346</v>
      </c>
      <c r="D502" t="inlineStr">
        <is>
          <t>JÄMTLANDS LÄN</t>
        </is>
      </c>
      <c r="E502" t="inlineStr">
        <is>
          <t>HÄRJEDALEN</t>
        </is>
      </c>
      <c r="F502" t="inlineStr">
        <is>
          <t>Holmen skog AB</t>
        </is>
      </c>
      <c r="G502" t="n">
        <v>2.3</v>
      </c>
      <c r="H502" t="n">
        <v>0</v>
      </c>
      <c r="I502" t="n">
        <v>0</v>
      </c>
      <c r="J502" t="n">
        <v>0</v>
      </c>
      <c r="K502" t="n">
        <v>0</v>
      </c>
      <c r="L502" t="n">
        <v>0</v>
      </c>
      <c r="M502" t="n">
        <v>0</v>
      </c>
      <c r="N502" t="n">
        <v>0</v>
      </c>
      <c r="O502" t="n">
        <v>0</v>
      </c>
      <c r="P502" t="n">
        <v>0</v>
      </c>
      <c r="Q502" t="n">
        <v>0</v>
      </c>
      <c r="R502" s="2" t="inlineStr"/>
    </row>
    <row r="503" ht="15" customHeight="1">
      <c r="A503" t="inlineStr">
        <is>
          <t>A 67526-2020</t>
        </is>
      </c>
      <c r="B503" s="1" t="n">
        <v>44181</v>
      </c>
      <c r="C503" s="1" t="n">
        <v>45346</v>
      </c>
      <c r="D503" t="inlineStr">
        <is>
          <t>JÄMTLANDS LÄN</t>
        </is>
      </c>
      <c r="E503" t="inlineStr">
        <is>
          <t>HÄRJEDALEN</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67409-2020</t>
        </is>
      </c>
      <c r="B504" s="1" t="n">
        <v>44181</v>
      </c>
      <c r="C504" s="1" t="n">
        <v>45346</v>
      </c>
      <c r="D504" t="inlineStr">
        <is>
          <t>JÄMTLANDS LÄN</t>
        </is>
      </c>
      <c r="E504" t="inlineStr">
        <is>
          <t>HÄRJEDALEN</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67720-2020</t>
        </is>
      </c>
      <c r="B505" s="1" t="n">
        <v>44182</v>
      </c>
      <c r="C505" s="1" t="n">
        <v>45346</v>
      </c>
      <c r="D505" t="inlineStr">
        <is>
          <t>JÄMTLANDS LÄN</t>
        </is>
      </c>
      <c r="E505" t="inlineStr">
        <is>
          <t>HÄRJEDALEN</t>
        </is>
      </c>
      <c r="F505" t="inlineStr">
        <is>
          <t>Holmen skog AB</t>
        </is>
      </c>
      <c r="G505" t="n">
        <v>6</v>
      </c>
      <c r="H505" t="n">
        <v>0</v>
      </c>
      <c r="I505" t="n">
        <v>0</v>
      </c>
      <c r="J505" t="n">
        <v>0</v>
      </c>
      <c r="K505" t="n">
        <v>0</v>
      </c>
      <c r="L505" t="n">
        <v>0</v>
      </c>
      <c r="M505" t="n">
        <v>0</v>
      </c>
      <c r="N505" t="n">
        <v>0</v>
      </c>
      <c r="O505" t="n">
        <v>0</v>
      </c>
      <c r="P505" t="n">
        <v>0</v>
      </c>
      <c r="Q505" t="n">
        <v>0</v>
      </c>
      <c r="R505" s="2" t="inlineStr"/>
    </row>
    <row r="506" ht="15" customHeight="1">
      <c r="A506" t="inlineStr">
        <is>
          <t>A 67697-2020</t>
        </is>
      </c>
      <c r="B506" s="1" t="n">
        <v>44182</v>
      </c>
      <c r="C506" s="1" t="n">
        <v>45346</v>
      </c>
      <c r="D506" t="inlineStr">
        <is>
          <t>JÄMTLANDS LÄN</t>
        </is>
      </c>
      <c r="E506" t="inlineStr">
        <is>
          <t>HÄRJEDALEN</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67714-2020</t>
        </is>
      </c>
      <c r="B507" s="1" t="n">
        <v>44182</v>
      </c>
      <c r="C507" s="1" t="n">
        <v>45346</v>
      </c>
      <c r="D507" t="inlineStr">
        <is>
          <t>JÄMTLANDS LÄN</t>
        </is>
      </c>
      <c r="E507" t="inlineStr">
        <is>
          <t>HÄRJEDALEN</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67821-2020</t>
        </is>
      </c>
      <c r="B508" s="1" t="n">
        <v>44182</v>
      </c>
      <c r="C508" s="1" t="n">
        <v>45346</v>
      </c>
      <c r="D508" t="inlineStr">
        <is>
          <t>JÄMTLANDS LÄN</t>
        </is>
      </c>
      <c r="E508" t="inlineStr">
        <is>
          <t>HÄRJEDALEN</t>
        </is>
      </c>
      <c r="G508" t="n">
        <v>0.6</v>
      </c>
      <c r="H508" t="n">
        <v>0</v>
      </c>
      <c r="I508" t="n">
        <v>0</v>
      </c>
      <c r="J508" t="n">
        <v>0</v>
      </c>
      <c r="K508" t="n">
        <v>0</v>
      </c>
      <c r="L508" t="n">
        <v>0</v>
      </c>
      <c r="M508" t="n">
        <v>0</v>
      </c>
      <c r="N508" t="n">
        <v>0</v>
      </c>
      <c r="O508" t="n">
        <v>0</v>
      </c>
      <c r="P508" t="n">
        <v>0</v>
      </c>
      <c r="Q508" t="n">
        <v>0</v>
      </c>
      <c r="R508" s="2" t="inlineStr"/>
    </row>
    <row r="509" ht="15" customHeight="1">
      <c r="A509" t="inlineStr">
        <is>
          <t>A 68141-2020</t>
        </is>
      </c>
      <c r="B509" s="1" t="n">
        <v>44183</v>
      </c>
      <c r="C509" s="1" t="n">
        <v>45346</v>
      </c>
      <c r="D509" t="inlineStr">
        <is>
          <t>JÄMTLANDS LÄN</t>
        </is>
      </c>
      <c r="E509" t="inlineStr">
        <is>
          <t>HÄRJEDALEN</t>
        </is>
      </c>
      <c r="G509" t="n">
        <v>3.1</v>
      </c>
      <c r="H509" t="n">
        <v>0</v>
      </c>
      <c r="I509" t="n">
        <v>0</v>
      </c>
      <c r="J509" t="n">
        <v>0</v>
      </c>
      <c r="K509" t="n">
        <v>0</v>
      </c>
      <c r="L509" t="n">
        <v>0</v>
      </c>
      <c r="M509" t="n">
        <v>0</v>
      </c>
      <c r="N509" t="n">
        <v>0</v>
      </c>
      <c r="O509" t="n">
        <v>0</v>
      </c>
      <c r="P509" t="n">
        <v>0</v>
      </c>
      <c r="Q509" t="n">
        <v>0</v>
      </c>
      <c r="R509" s="2" t="inlineStr"/>
    </row>
    <row r="510" ht="15" customHeight="1">
      <c r="A510" t="inlineStr">
        <is>
          <t>A 69108-2020</t>
        </is>
      </c>
      <c r="B510" s="1" t="n">
        <v>44188</v>
      </c>
      <c r="C510" s="1" t="n">
        <v>45346</v>
      </c>
      <c r="D510" t="inlineStr">
        <is>
          <t>JÄMTLANDS LÄN</t>
        </is>
      </c>
      <c r="E510" t="inlineStr">
        <is>
          <t>HÄRJEDALEN</t>
        </is>
      </c>
      <c r="G510" t="n">
        <v>0.9</v>
      </c>
      <c r="H510" t="n">
        <v>0</v>
      </c>
      <c r="I510" t="n">
        <v>0</v>
      </c>
      <c r="J510" t="n">
        <v>0</v>
      </c>
      <c r="K510" t="n">
        <v>0</v>
      </c>
      <c r="L510" t="n">
        <v>0</v>
      </c>
      <c r="M510" t="n">
        <v>0</v>
      </c>
      <c r="N510" t="n">
        <v>0</v>
      </c>
      <c r="O510" t="n">
        <v>0</v>
      </c>
      <c r="P510" t="n">
        <v>0</v>
      </c>
      <c r="Q510" t="n">
        <v>0</v>
      </c>
      <c r="R510" s="2" t="inlineStr"/>
    </row>
    <row r="511" ht="15" customHeight="1">
      <c r="A511" t="inlineStr">
        <is>
          <t>A 69168-2020</t>
        </is>
      </c>
      <c r="B511" s="1" t="n">
        <v>44188</v>
      </c>
      <c r="C511" s="1" t="n">
        <v>45346</v>
      </c>
      <c r="D511" t="inlineStr">
        <is>
          <t>JÄMTLANDS LÄN</t>
        </is>
      </c>
      <c r="E511" t="inlineStr">
        <is>
          <t>HÄRJEDALEN</t>
        </is>
      </c>
      <c r="F511" t="inlineStr">
        <is>
          <t>Sveaskog</t>
        </is>
      </c>
      <c r="G511" t="n">
        <v>20</v>
      </c>
      <c r="H511" t="n">
        <v>0</v>
      </c>
      <c r="I511" t="n">
        <v>0</v>
      </c>
      <c r="J511" t="n">
        <v>0</v>
      </c>
      <c r="K511" t="n">
        <v>0</v>
      </c>
      <c r="L511" t="n">
        <v>0</v>
      </c>
      <c r="M511" t="n">
        <v>0</v>
      </c>
      <c r="N511" t="n">
        <v>0</v>
      </c>
      <c r="O511" t="n">
        <v>0</v>
      </c>
      <c r="P511" t="n">
        <v>0</v>
      </c>
      <c r="Q511" t="n">
        <v>0</v>
      </c>
      <c r="R511" s="2" t="inlineStr"/>
    </row>
    <row r="512" ht="15" customHeight="1">
      <c r="A512" t="inlineStr">
        <is>
          <t>A 69101-2020</t>
        </is>
      </c>
      <c r="B512" s="1" t="n">
        <v>44188</v>
      </c>
      <c r="C512" s="1" t="n">
        <v>45346</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1088-2021</t>
        </is>
      </c>
      <c r="B513" s="1" t="n">
        <v>44207</v>
      </c>
      <c r="C513" s="1" t="n">
        <v>45346</v>
      </c>
      <c r="D513" t="inlineStr">
        <is>
          <t>JÄMTLANDS LÄN</t>
        </is>
      </c>
      <c r="E513" t="inlineStr">
        <is>
          <t>HÄRJEDALEN</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1478-2021</t>
        </is>
      </c>
      <c r="B514" s="1" t="n">
        <v>44208</v>
      </c>
      <c r="C514" s="1" t="n">
        <v>45346</v>
      </c>
      <c r="D514" t="inlineStr">
        <is>
          <t>JÄMTLANDS LÄN</t>
        </is>
      </c>
      <c r="E514" t="inlineStr">
        <is>
          <t>HÄRJEDALEN</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1545-2021</t>
        </is>
      </c>
      <c r="B515" s="1" t="n">
        <v>44209</v>
      </c>
      <c r="C515" s="1" t="n">
        <v>45346</v>
      </c>
      <c r="D515" t="inlineStr">
        <is>
          <t>JÄMTLANDS LÄN</t>
        </is>
      </c>
      <c r="E515" t="inlineStr">
        <is>
          <t>HÄRJEDALEN</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1558-2021</t>
        </is>
      </c>
      <c r="B516" s="1" t="n">
        <v>44209</v>
      </c>
      <c r="C516" s="1" t="n">
        <v>45346</v>
      </c>
      <c r="D516" t="inlineStr">
        <is>
          <t>JÄMTLANDS LÄN</t>
        </is>
      </c>
      <c r="E516" t="inlineStr">
        <is>
          <t>HÄRJEDALEN</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1602-2021</t>
        </is>
      </c>
      <c r="B517" s="1" t="n">
        <v>44209</v>
      </c>
      <c r="C517" s="1" t="n">
        <v>45346</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2531-2021</t>
        </is>
      </c>
      <c r="B518" s="1" t="n">
        <v>44214</v>
      </c>
      <c r="C518" s="1" t="n">
        <v>45346</v>
      </c>
      <c r="D518" t="inlineStr">
        <is>
          <t>JÄMTLANDS LÄN</t>
        </is>
      </c>
      <c r="E518" t="inlineStr">
        <is>
          <t>HÄRJEDALEN</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2855-2021</t>
        </is>
      </c>
      <c r="B519" s="1" t="n">
        <v>44216</v>
      </c>
      <c r="C519" s="1" t="n">
        <v>45346</v>
      </c>
      <c r="D519" t="inlineStr">
        <is>
          <t>JÄMTLANDS LÄN</t>
        </is>
      </c>
      <c r="E519" t="inlineStr">
        <is>
          <t>HÄRJEDALEN</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2862-2021</t>
        </is>
      </c>
      <c r="B520" s="1" t="n">
        <v>44216</v>
      </c>
      <c r="C520" s="1" t="n">
        <v>45346</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3536-2021</t>
        </is>
      </c>
      <c r="B521" s="1" t="n">
        <v>44218</v>
      </c>
      <c r="C521" s="1" t="n">
        <v>45346</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5277-2021</t>
        </is>
      </c>
      <c r="B522" s="1" t="n">
        <v>44225</v>
      </c>
      <c r="C522" s="1" t="n">
        <v>45346</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5283-2021</t>
        </is>
      </c>
      <c r="B523" s="1" t="n">
        <v>44225</v>
      </c>
      <c r="C523" s="1" t="n">
        <v>45346</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5343-2021</t>
        </is>
      </c>
      <c r="B524" s="1" t="n">
        <v>44228</v>
      </c>
      <c r="C524" s="1" t="n">
        <v>45346</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5353-2021</t>
        </is>
      </c>
      <c r="B525" s="1" t="n">
        <v>44228</v>
      </c>
      <c r="C525" s="1" t="n">
        <v>45346</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5273-2021</t>
        </is>
      </c>
      <c r="B526" s="1" t="n">
        <v>44229</v>
      </c>
      <c r="C526" s="1" t="n">
        <v>45346</v>
      </c>
      <c r="D526" t="inlineStr">
        <is>
          <t>JÄMTLANDS LÄN</t>
        </is>
      </c>
      <c r="E526" t="inlineStr">
        <is>
          <t>HÄRJEDALEN</t>
        </is>
      </c>
      <c r="F526" t="inlineStr">
        <is>
          <t>Holmen skog AB</t>
        </is>
      </c>
      <c r="G526" t="n">
        <v>6.6</v>
      </c>
      <c r="H526" t="n">
        <v>0</v>
      </c>
      <c r="I526" t="n">
        <v>0</v>
      </c>
      <c r="J526" t="n">
        <v>0</v>
      </c>
      <c r="K526" t="n">
        <v>0</v>
      </c>
      <c r="L526" t="n">
        <v>0</v>
      </c>
      <c r="M526" t="n">
        <v>0</v>
      </c>
      <c r="N526" t="n">
        <v>0</v>
      </c>
      <c r="O526" t="n">
        <v>0</v>
      </c>
      <c r="P526" t="n">
        <v>0</v>
      </c>
      <c r="Q526" t="n">
        <v>0</v>
      </c>
      <c r="R526" s="2" t="inlineStr"/>
    </row>
    <row r="527" ht="15" customHeight="1">
      <c r="A527" t="inlineStr">
        <is>
          <t>A 5237-2021</t>
        </is>
      </c>
      <c r="B527" s="1" t="n">
        <v>44229</v>
      </c>
      <c r="C527" s="1" t="n">
        <v>45346</v>
      </c>
      <c r="D527" t="inlineStr">
        <is>
          <t>JÄMTLANDS LÄN</t>
        </is>
      </c>
      <c r="E527" t="inlineStr">
        <is>
          <t>HÄRJEDALEN</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5519-2021</t>
        </is>
      </c>
      <c r="B528" s="1" t="n">
        <v>44230</v>
      </c>
      <c r="C528" s="1" t="n">
        <v>45346</v>
      </c>
      <c r="D528" t="inlineStr">
        <is>
          <t>JÄMTLANDS LÄN</t>
        </is>
      </c>
      <c r="E528" t="inlineStr">
        <is>
          <t>HÄRJEDALEN</t>
        </is>
      </c>
      <c r="G528" t="n">
        <v>10.8</v>
      </c>
      <c r="H528" t="n">
        <v>0</v>
      </c>
      <c r="I528" t="n">
        <v>0</v>
      </c>
      <c r="J528" t="n">
        <v>0</v>
      </c>
      <c r="K528" t="n">
        <v>0</v>
      </c>
      <c r="L528" t="n">
        <v>0</v>
      </c>
      <c r="M528" t="n">
        <v>0</v>
      </c>
      <c r="N528" t="n">
        <v>0</v>
      </c>
      <c r="O528" t="n">
        <v>0</v>
      </c>
      <c r="P528" t="n">
        <v>0</v>
      </c>
      <c r="Q528" t="n">
        <v>0</v>
      </c>
      <c r="R528" s="2" t="inlineStr"/>
    </row>
    <row r="529" ht="15" customHeight="1">
      <c r="A529" t="inlineStr">
        <is>
          <t>A 5993-2021</t>
        </is>
      </c>
      <c r="B529" s="1" t="n">
        <v>44231</v>
      </c>
      <c r="C529" s="1" t="n">
        <v>45346</v>
      </c>
      <c r="D529" t="inlineStr">
        <is>
          <t>JÄMTLANDS LÄN</t>
        </is>
      </c>
      <c r="E529" t="inlineStr">
        <is>
          <t>HÄRJEDALEN</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7087-2021</t>
        </is>
      </c>
      <c r="B530" s="1" t="n">
        <v>44238</v>
      </c>
      <c r="C530" s="1" t="n">
        <v>45346</v>
      </c>
      <c r="D530" t="inlineStr">
        <is>
          <t>JÄMTLANDS LÄN</t>
        </is>
      </c>
      <c r="E530" t="inlineStr">
        <is>
          <t>HÄRJEDALEN</t>
        </is>
      </c>
      <c r="F530" t="inlineStr">
        <is>
          <t>Holmen skog AB</t>
        </is>
      </c>
      <c r="G530" t="n">
        <v>14.9</v>
      </c>
      <c r="H530" t="n">
        <v>0</v>
      </c>
      <c r="I530" t="n">
        <v>0</v>
      </c>
      <c r="J530" t="n">
        <v>0</v>
      </c>
      <c r="K530" t="n">
        <v>0</v>
      </c>
      <c r="L530" t="n">
        <v>0</v>
      </c>
      <c r="M530" t="n">
        <v>0</v>
      </c>
      <c r="N530" t="n">
        <v>0</v>
      </c>
      <c r="O530" t="n">
        <v>0</v>
      </c>
      <c r="P530" t="n">
        <v>0</v>
      </c>
      <c r="Q530" t="n">
        <v>0</v>
      </c>
      <c r="R530" s="2" t="inlineStr"/>
    </row>
    <row r="531" ht="15" customHeight="1">
      <c r="A531" t="inlineStr">
        <is>
          <t>A 7112-2021</t>
        </is>
      </c>
      <c r="B531" s="1" t="n">
        <v>44238</v>
      </c>
      <c r="C531" s="1" t="n">
        <v>45346</v>
      </c>
      <c r="D531" t="inlineStr">
        <is>
          <t>JÄMTLANDS LÄN</t>
        </is>
      </c>
      <c r="E531" t="inlineStr">
        <is>
          <t>HÄRJEDALEN</t>
        </is>
      </c>
      <c r="F531" t="inlineStr">
        <is>
          <t>Holmen skog AB</t>
        </is>
      </c>
      <c r="G531" t="n">
        <v>4.7</v>
      </c>
      <c r="H531" t="n">
        <v>0</v>
      </c>
      <c r="I531" t="n">
        <v>0</v>
      </c>
      <c r="J531" t="n">
        <v>0</v>
      </c>
      <c r="K531" t="n">
        <v>0</v>
      </c>
      <c r="L531" t="n">
        <v>0</v>
      </c>
      <c r="M531" t="n">
        <v>0</v>
      </c>
      <c r="N531" t="n">
        <v>0</v>
      </c>
      <c r="O531" t="n">
        <v>0</v>
      </c>
      <c r="P531" t="n">
        <v>0</v>
      </c>
      <c r="Q531" t="n">
        <v>0</v>
      </c>
      <c r="R531" s="2" t="inlineStr"/>
    </row>
    <row r="532" ht="15" customHeight="1">
      <c r="A532" t="inlineStr">
        <is>
          <t>A 7097-2021</t>
        </is>
      </c>
      <c r="B532" s="1" t="n">
        <v>44238</v>
      </c>
      <c r="C532" s="1" t="n">
        <v>45346</v>
      </c>
      <c r="D532" t="inlineStr">
        <is>
          <t>JÄMTLANDS LÄN</t>
        </is>
      </c>
      <c r="E532" t="inlineStr">
        <is>
          <t>HÄRJEDALEN</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7086-2021</t>
        </is>
      </c>
      <c r="B533" s="1" t="n">
        <v>44238</v>
      </c>
      <c r="C533" s="1" t="n">
        <v>45346</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7110-2021</t>
        </is>
      </c>
      <c r="B534" s="1" t="n">
        <v>44238</v>
      </c>
      <c r="C534" s="1" t="n">
        <v>45346</v>
      </c>
      <c r="D534" t="inlineStr">
        <is>
          <t>JÄMTLANDS LÄN</t>
        </is>
      </c>
      <c r="E534" t="inlineStr">
        <is>
          <t>HÄRJEDALEN</t>
        </is>
      </c>
      <c r="F534" t="inlineStr">
        <is>
          <t>Holmen skog AB</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7427-2021</t>
        </is>
      </c>
      <c r="B535" s="1" t="n">
        <v>44239</v>
      </c>
      <c r="C535" s="1" t="n">
        <v>45346</v>
      </c>
      <c r="D535" t="inlineStr">
        <is>
          <t>JÄMTLANDS LÄN</t>
        </is>
      </c>
      <c r="E535" t="inlineStr">
        <is>
          <t>HÄRJEDALEN</t>
        </is>
      </c>
      <c r="F535" t="inlineStr">
        <is>
          <t>Holmen skog AB</t>
        </is>
      </c>
      <c r="G535" t="n">
        <v>6.1</v>
      </c>
      <c r="H535" t="n">
        <v>0</v>
      </c>
      <c r="I535" t="n">
        <v>0</v>
      </c>
      <c r="J535" t="n">
        <v>0</v>
      </c>
      <c r="K535" t="n">
        <v>0</v>
      </c>
      <c r="L535" t="n">
        <v>0</v>
      </c>
      <c r="M535" t="n">
        <v>0</v>
      </c>
      <c r="N535" t="n">
        <v>0</v>
      </c>
      <c r="O535" t="n">
        <v>0</v>
      </c>
      <c r="P535" t="n">
        <v>0</v>
      </c>
      <c r="Q535" t="n">
        <v>0</v>
      </c>
      <c r="R535" s="2" t="inlineStr"/>
    </row>
    <row r="536" ht="15" customHeight="1">
      <c r="A536" t="inlineStr">
        <is>
          <t>A 7570-2021</t>
        </is>
      </c>
      <c r="B536" s="1" t="n">
        <v>44239</v>
      </c>
      <c r="C536" s="1" t="n">
        <v>45346</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7731-2021</t>
        </is>
      </c>
      <c r="B537" s="1" t="n">
        <v>44242</v>
      </c>
      <c r="C537" s="1" t="n">
        <v>45346</v>
      </c>
      <c r="D537" t="inlineStr">
        <is>
          <t>JÄMTLANDS LÄN</t>
        </is>
      </c>
      <c r="E537" t="inlineStr">
        <is>
          <t>HÄRJEDALEN</t>
        </is>
      </c>
      <c r="G537" t="n">
        <v>13.6</v>
      </c>
      <c r="H537" t="n">
        <v>0</v>
      </c>
      <c r="I537" t="n">
        <v>0</v>
      </c>
      <c r="J537" t="n">
        <v>0</v>
      </c>
      <c r="K537" t="n">
        <v>0</v>
      </c>
      <c r="L537" t="n">
        <v>0</v>
      </c>
      <c r="M537" t="n">
        <v>0</v>
      </c>
      <c r="N537" t="n">
        <v>0</v>
      </c>
      <c r="O537" t="n">
        <v>0</v>
      </c>
      <c r="P537" t="n">
        <v>0</v>
      </c>
      <c r="Q537" t="n">
        <v>0</v>
      </c>
      <c r="R537" s="2" t="inlineStr"/>
    </row>
    <row r="538" ht="15" customHeight="1">
      <c r="A538" t="inlineStr">
        <is>
          <t>A 8055-2021</t>
        </is>
      </c>
      <c r="B538" s="1" t="n">
        <v>44243</v>
      </c>
      <c r="C538" s="1" t="n">
        <v>45346</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9470-2021</t>
        </is>
      </c>
      <c r="B539" s="1" t="n">
        <v>44251</v>
      </c>
      <c r="C539" s="1" t="n">
        <v>45346</v>
      </c>
      <c r="D539" t="inlineStr">
        <is>
          <t>JÄMTLANDS LÄN</t>
        </is>
      </c>
      <c r="E539" t="inlineStr">
        <is>
          <t>HÄRJEDALEN</t>
        </is>
      </c>
      <c r="G539" t="n">
        <v>12.4</v>
      </c>
      <c r="H539" t="n">
        <v>0</v>
      </c>
      <c r="I539" t="n">
        <v>0</v>
      </c>
      <c r="J539" t="n">
        <v>0</v>
      </c>
      <c r="K539" t="n">
        <v>0</v>
      </c>
      <c r="L539" t="n">
        <v>0</v>
      </c>
      <c r="M539" t="n">
        <v>0</v>
      </c>
      <c r="N539" t="n">
        <v>0</v>
      </c>
      <c r="O539" t="n">
        <v>0</v>
      </c>
      <c r="P539" t="n">
        <v>0</v>
      </c>
      <c r="Q539" t="n">
        <v>0</v>
      </c>
      <c r="R539" s="2" t="inlineStr"/>
    </row>
    <row r="540" ht="15" customHeight="1">
      <c r="A540" t="inlineStr">
        <is>
          <t>A 10530-2021</t>
        </is>
      </c>
      <c r="B540" s="1" t="n">
        <v>44258</v>
      </c>
      <c r="C540" s="1" t="n">
        <v>45346</v>
      </c>
      <c r="D540" t="inlineStr">
        <is>
          <t>JÄMTLANDS LÄN</t>
        </is>
      </c>
      <c r="E540" t="inlineStr">
        <is>
          <t>HÄRJEDALEN</t>
        </is>
      </c>
      <c r="G540" t="n">
        <v>19.5</v>
      </c>
      <c r="H540" t="n">
        <v>0</v>
      </c>
      <c r="I540" t="n">
        <v>0</v>
      </c>
      <c r="J540" t="n">
        <v>0</v>
      </c>
      <c r="K540" t="n">
        <v>0</v>
      </c>
      <c r="L540" t="n">
        <v>0</v>
      </c>
      <c r="M540" t="n">
        <v>0</v>
      </c>
      <c r="N540" t="n">
        <v>0</v>
      </c>
      <c r="O540" t="n">
        <v>0</v>
      </c>
      <c r="P540" t="n">
        <v>0</v>
      </c>
      <c r="Q540" t="n">
        <v>0</v>
      </c>
      <c r="R540" s="2" t="inlineStr"/>
    </row>
    <row r="541" ht="15" customHeight="1">
      <c r="A541" t="inlineStr">
        <is>
          <t>A 10536-2021</t>
        </is>
      </c>
      <c r="B541" s="1" t="n">
        <v>44258</v>
      </c>
      <c r="C541" s="1" t="n">
        <v>45346</v>
      </c>
      <c r="D541" t="inlineStr">
        <is>
          <t>JÄMTLANDS LÄN</t>
        </is>
      </c>
      <c r="E541" t="inlineStr">
        <is>
          <t>HÄRJEDALEN</t>
        </is>
      </c>
      <c r="G541" t="n">
        <v>18.7</v>
      </c>
      <c r="H541" t="n">
        <v>0</v>
      </c>
      <c r="I541" t="n">
        <v>0</v>
      </c>
      <c r="J541" t="n">
        <v>0</v>
      </c>
      <c r="K541" t="n">
        <v>0</v>
      </c>
      <c r="L541" t="n">
        <v>0</v>
      </c>
      <c r="M541" t="n">
        <v>0</v>
      </c>
      <c r="N541" t="n">
        <v>0</v>
      </c>
      <c r="O541" t="n">
        <v>0</v>
      </c>
      <c r="P541" t="n">
        <v>0</v>
      </c>
      <c r="Q541" t="n">
        <v>0</v>
      </c>
      <c r="R541" s="2" t="inlineStr"/>
    </row>
    <row r="542" ht="15" customHeight="1">
      <c r="A542" t="inlineStr">
        <is>
          <t>A 12629-2021</t>
        </is>
      </c>
      <c r="B542" s="1" t="n">
        <v>44270</v>
      </c>
      <c r="C542" s="1" t="n">
        <v>45346</v>
      </c>
      <c r="D542" t="inlineStr">
        <is>
          <t>JÄMTLANDS LÄN</t>
        </is>
      </c>
      <c r="E542" t="inlineStr">
        <is>
          <t>HÄRJEDALEN</t>
        </is>
      </c>
      <c r="G542" t="n">
        <v>20.7</v>
      </c>
      <c r="H542" t="n">
        <v>0</v>
      </c>
      <c r="I542" t="n">
        <v>0</v>
      </c>
      <c r="J542" t="n">
        <v>0</v>
      </c>
      <c r="K542" t="n">
        <v>0</v>
      </c>
      <c r="L542" t="n">
        <v>0</v>
      </c>
      <c r="M542" t="n">
        <v>0</v>
      </c>
      <c r="N542" t="n">
        <v>0</v>
      </c>
      <c r="O542" t="n">
        <v>0</v>
      </c>
      <c r="P542" t="n">
        <v>0</v>
      </c>
      <c r="Q542" t="n">
        <v>0</v>
      </c>
      <c r="R542" s="2" t="inlineStr"/>
    </row>
    <row r="543" ht="15" customHeight="1">
      <c r="A543" t="inlineStr">
        <is>
          <t>A 14798-2021</t>
        </is>
      </c>
      <c r="B543" s="1" t="n">
        <v>44280</v>
      </c>
      <c r="C543" s="1" t="n">
        <v>45346</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15580-2021</t>
        </is>
      </c>
      <c r="B544" s="1" t="n">
        <v>44285</v>
      </c>
      <c r="C544" s="1" t="n">
        <v>45346</v>
      </c>
      <c r="D544" t="inlineStr">
        <is>
          <t>JÄMTLANDS LÄN</t>
        </is>
      </c>
      <c r="E544" t="inlineStr">
        <is>
          <t>HÄRJEDALEN</t>
        </is>
      </c>
      <c r="G544" t="n">
        <v>22.1</v>
      </c>
      <c r="H544" t="n">
        <v>0</v>
      </c>
      <c r="I544" t="n">
        <v>0</v>
      </c>
      <c r="J544" t="n">
        <v>0</v>
      </c>
      <c r="K544" t="n">
        <v>0</v>
      </c>
      <c r="L544" t="n">
        <v>0</v>
      </c>
      <c r="M544" t="n">
        <v>0</v>
      </c>
      <c r="N544" t="n">
        <v>0</v>
      </c>
      <c r="O544" t="n">
        <v>0</v>
      </c>
      <c r="P544" t="n">
        <v>0</v>
      </c>
      <c r="Q544" t="n">
        <v>0</v>
      </c>
      <c r="R544" s="2" t="inlineStr"/>
    </row>
    <row r="545" ht="15" customHeight="1">
      <c r="A545" t="inlineStr">
        <is>
          <t>A 15585-2021</t>
        </is>
      </c>
      <c r="B545" s="1" t="n">
        <v>44285</v>
      </c>
      <c r="C545" s="1" t="n">
        <v>45346</v>
      </c>
      <c r="D545" t="inlineStr">
        <is>
          <t>JÄMTLANDS LÄN</t>
        </is>
      </c>
      <c r="E545" t="inlineStr">
        <is>
          <t>HÄRJEDALEN</t>
        </is>
      </c>
      <c r="G545" t="n">
        <v>21.2</v>
      </c>
      <c r="H545" t="n">
        <v>0</v>
      </c>
      <c r="I545" t="n">
        <v>0</v>
      </c>
      <c r="J545" t="n">
        <v>0</v>
      </c>
      <c r="K545" t="n">
        <v>0</v>
      </c>
      <c r="L545" t="n">
        <v>0</v>
      </c>
      <c r="M545" t="n">
        <v>0</v>
      </c>
      <c r="N545" t="n">
        <v>0</v>
      </c>
      <c r="O545" t="n">
        <v>0</v>
      </c>
      <c r="P545" t="n">
        <v>0</v>
      </c>
      <c r="Q545" t="n">
        <v>0</v>
      </c>
      <c r="R545" s="2" t="inlineStr"/>
    </row>
    <row r="546" ht="15" customHeight="1">
      <c r="A546" t="inlineStr">
        <is>
          <t>A 15594-2021</t>
        </is>
      </c>
      <c r="B546" s="1" t="n">
        <v>44285</v>
      </c>
      <c r="C546" s="1" t="n">
        <v>45346</v>
      </c>
      <c r="D546" t="inlineStr">
        <is>
          <t>JÄMTLANDS LÄN</t>
        </is>
      </c>
      <c r="E546" t="inlineStr">
        <is>
          <t>HÄRJEDALEN</t>
        </is>
      </c>
      <c r="G546" t="n">
        <v>28.5</v>
      </c>
      <c r="H546" t="n">
        <v>0</v>
      </c>
      <c r="I546" t="n">
        <v>0</v>
      </c>
      <c r="J546" t="n">
        <v>0</v>
      </c>
      <c r="K546" t="n">
        <v>0</v>
      </c>
      <c r="L546" t="n">
        <v>0</v>
      </c>
      <c r="M546" t="n">
        <v>0</v>
      </c>
      <c r="N546" t="n">
        <v>0</v>
      </c>
      <c r="O546" t="n">
        <v>0</v>
      </c>
      <c r="P546" t="n">
        <v>0</v>
      </c>
      <c r="Q546" t="n">
        <v>0</v>
      </c>
      <c r="R546" s="2" t="inlineStr"/>
    </row>
    <row r="547" ht="15" customHeight="1">
      <c r="A547" t="inlineStr">
        <is>
          <t>A 15681-2021</t>
        </is>
      </c>
      <c r="B547" s="1" t="n">
        <v>44286</v>
      </c>
      <c r="C547" s="1" t="n">
        <v>45346</v>
      </c>
      <c r="D547" t="inlineStr">
        <is>
          <t>JÄMTLANDS LÄN</t>
        </is>
      </c>
      <c r="E547" t="inlineStr">
        <is>
          <t>HÄRJEDALEN</t>
        </is>
      </c>
      <c r="G547" t="n">
        <v>9.6</v>
      </c>
      <c r="H547" t="n">
        <v>0</v>
      </c>
      <c r="I547" t="n">
        <v>0</v>
      </c>
      <c r="J547" t="n">
        <v>0</v>
      </c>
      <c r="K547" t="n">
        <v>0</v>
      </c>
      <c r="L547" t="n">
        <v>0</v>
      </c>
      <c r="M547" t="n">
        <v>0</v>
      </c>
      <c r="N547" t="n">
        <v>0</v>
      </c>
      <c r="O547" t="n">
        <v>0</v>
      </c>
      <c r="P547" t="n">
        <v>0</v>
      </c>
      <c r="Q547" t="n">
        <v>0</v>
      </c>
      <c r="R547" s="2" t="inlineStr"/>
    </row>
    <row r="548" ht="15" customHeight="1">
      <c r="A548" t="inlineStr">
        <is>
          <t>A 15685-2021</t>
        </is>
      </c>
      <c r="B548" s="1" t="n">
        <v>44286</v>
      </c>
      <c r="C548" s="1" t="n">
        <v>45346</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17187-2021</t>
        </is>
      </c>
      <c r="B549" s="1" t="n">
        <v>44298</v>
      </c>
      <c r="C549" s="1" t="n">
        <v>45346</v>
      </c>
      <c r="D549" t="inlineStr">
        <is>
          <t>JÄMTLANDS LÄN</t>
        </is>
      </c>
      <c r="E549" t="inlineStr">
        <is>
          <t>HÄRJEDALEN</t>
        </is>
      </c>
      <c r="G549" t="n">
        <v>20.1</v>
      </c>
      <c r="H549" t="n">
        <v>0</v>
      </c>
      <c r="I549" t="n">
        <v>0</v>
      </c>
      <c r="J549" t="n">
        <v>0</v>
      </c>
      <c r="K549" t="n">
        <v>0</v>
      </c>
      <c r="L549" t="n">
        <v>0</v>
      </c>
      <c r="M549" t="n">
        <v>0</v>
      </c>
      <c r="N549" t="n">
        <v>0</v>
      </c>
      <c r="O549" t="n">
        <v>0</v>
      </c>
      <c r="P549" t="n">
        <v>0</v>
      </c>
      <c r="Q549" t="n">
        <v>0</v>
      </c>
      <c r="R549" s="2" t="inlineStr"/>
    </row>
    <row r="550" ht="15" customHeight="1">
      <c r="A550" t="inlineStr">
        <is>
          <t>A 17705-2021</t>
        </is>
      </c>
      <c r="B550" s="1" t="n">
        <v>44300</v>
      </c>
      <c r="C550" s="1" t="n">
        <v>45346</v>
      </c>
      <c r="D550" t="inlineStr">
        <is>
          <t>JÄMTLANDS LÄN</t>
        </is>
      </c>
      <c r="E550" t="inlineStr">
        <is>
          <t>HÄRJEDALEN</t>
        </is>
      </c>
      <c r="G550" t="n">
        <v>5.2</v>
      </c>
      <c r="H550" t="n">
        <v>0</v>
      </c>
      <c r="I550" t="n">
        <v>0</v>
      </c>
      <c r="J550" t="n">
        <v>0</v>
      </c>
      <c r="K550" t="n">
        <v>0</v>
      </c>
      <c r="L550" t="n">
        <v>0</v>
      </c>
      <c r="M550" t="n">
        <v>0</v>
      </c>
      <c r="N550" t="n">
        <v>0</v>
      </c>
      <c r="O550" t="n">
        <v>0</v>
      </c>
      <c r="P550" t="n">
        <v>0</v>
      </c>
      <c r="Q550" t="n">
        <v>0</v>
      </c>
      <c r="R550" s="2" t="inlineStr"/>
    </row>
    <row r="551" ht="15" customHeight="1">
      <c r="A551" t="inlineStr">
        <is>
          <t>A 18389-2021</t>
        </is>
      </c>
      <c r="B551" s="1" t="n">
        <v>44305</v>
      </c>
      <c r="C551" s="1" t="n">
        <v>45346</v>
      </c>
      <c r="D551" t="inlineStr">
        <is>
          <t>JÄMTLANDS LÄN</t>
        </is>
      </c>
      <c r="E551" t="inlineStr">
        <is>
          <t>HÄRJEDALEN</t>
        </is>
      </c>
      <c r="G551" t="n">
        <v>1.3</v>
      </c>
      <c r="H551" t="n">
        <v>0</v>
      </c>
      <c r="I551" t="n">
        <v>0</v>
      </c>
      <c r="J551" t="n">
        <v>0</v>
      </c>
      <c r="K551" t="n">
        <v>0</v>
      </c>
      <c r="L551" t="n">
        <v>0</v>
      </c>
      <c r="M551" t="n">
        <v>0</v>
      </c>
      <c r="N551" t="n">
        <v>0</v>
      </c>
      <c r="O551" t="n">
        <v>0</v>
      </c>
      <c r="P551" t="n">
        <v>0</v>
      </c>
      <c r="Q551" t="n">
        <v>0</v>
      </c>
      <c r="R551" s="2" t="inlineStr"/>
    </row>
    <row r="552" ht="15" customHeight="1">
      <c r="A552" t="inlineStr">
        <is>
          <t>A 19958-2021</t>
        </is>
      </c>
      <c r="B552" s="1" t="n">
        <v>44312</v>
      </c>
      <c r="C552" s="1" t="n">
        <v>45346</v>
      </c>
      <c r="D552" t="inlineStr">
        <is>
          <t>JÄMTLANDS LÄN</t>
        </is>
      </c>
      <c r="E552" t="inlineStr">
        <is>
          <t>HÄRJEDALEN</t>
        </is>
      </c>
      <c r="G552" t="n">
        <v>10.7</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45346</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19962-2021</t>
        </is>
      </c>
      <c r="B554" s="1" t="n">
        <v>44312</v>
      </c>
      <c r="C554" s="1" t="n">
        <v>45346</v>
      </c>
      <c r="D554" t="inlineStr">
        <is>
          <t>JÄMTLANDS LÄN</t>
        </is>
      </c>
      <c r="E554" t="inlineStr">
        <is>
          <t>HÄRJEDALEN</t>
        </is>
      </c>
      <c r="G554" t="n">
        <v>3.7</v>
      </c>
      <c r="H554" t="n">
        <v>0</v>
      </c>
      <c r="I554" t="n">
        <v>0</v>
      </c>
      <c r="J554" t="n">
        <v>0</v>
      </c>
      <c r="K554" t="n">
        <v>0</v>
      </c>
      <c r="L554" t="n">
        <v>0</v>
      </c>
      <c r="M554" t="n">
        <v>0</v>
      </c>
      <c r="N554" t="n">
        <v>0</v>
      </c>
      <c r="O554" t="n">
        <v>0</v>
      </c>
      <c r="P554" t="n">
        <v>0</v>
      </c>
      <c r="Q554" t="n">
        <v>0</v>
      </c>
      <c r="R554" s="2" t="inlineStr"/>
    </row>
    <row r="555" ht="15" customHeight="1">
      <c r="A555" t="inlineStr">
        <is>
          <t>A 21593-2021</t>
        </is>
      </c>
      <c r="B555" s="1" t="n">
        <v>44314</v>
      </c>
      <c r="C555" s="1" t="n">
        <v>45346</v>
      </c>
      <c r="D555" t="inlineStr">
        <is>
          <t>JÄMTLANDS LÄN</t>
        </is>
      </c>
      <c r="E555" t="inlineStr">
        <is>
          <t>HÄRJEDALEN</t>
        </is>
      </c>
      <c r="G555" t="n">
        <v>7.7</v>
      </c>
      <c r="H555" t="n">
        <v>0</v>
      </c>
      <c r="I555" t="n">
        <v>0</v>
      </c>
      <c r="J555" t="n">
        <v>0</v>
      </c>
      <c r="K555" t="n">
        <v>0</v>
      </c>
      <c r="L555" t="n">
        <v>0</v>
      </c>
      <c r="M555" t="n">
        <v>0</v>
      </c>
      <c r="N555" t="n">
        <v>0</v>
      </c>
      <c r="O555" t="n">
        <v>0</v>
      </c>
      <c r="P555" t="n">
        <v>0</v>
      </c>
      <c r="Q555" t="n">
        <v>0</v>
      </c>
      <c r="R555" s="2" t="inlineStr"/>
    </row>
    <row r="556" ht="15" customHeight="1">
      <c r="A556" t="inlineStr">
        <is>
          <t>A 21596-2021</t>
        </is>
      </c>
      <c r="B556" s="1" t="n">
        <v>44314</v>
      </c>
      <c r="C556" s="1" t="n">
        <v>45346</v>
      </c>
      <c r="D556" t="inlineStr">
        <is>
          <t>JÄMTLANDS LÄN</t>
        </is>
      </c>
      <c r="E556" t="inlineStr">
        <is>
          <t>HÄRJEDALEN</t>
        </is>
      </c>
      <c r="G556" t="n">
        <v>18.2</v>
      </c>
      <c r="H556" t="n">
        <v>0</v>
      </c>
      <c r="I556" t="n">
        <v>0</v>
      </c>
      <c r="J556" t="n">
        <v>0</v>
      </c>
      <c r="K556" t="n">
        <v>0</v>
      </c>
      <c r="L556" t="n">
        <v>0</v>
      </c>
      <c r="M556" t="n">
        <v>0</v>
      </c>
      <c r="N556" t="n">
        <v>0</v>
      </c>
      <c r="O556" t="n">
        <v>0</v>
      </c>
      <c r="P556" t="n">
        <v>0</v>
      </c>
      <c r="Q556" t="n">
        <v>0</v>
      </c>
      <c r="R556" s="2" t="inlineStr"/>
    </row>
    <row r="557" ht="15" customHeight="1">
      <c r="A557" t="inlineStr">
        <is>
          <t>A 21837-2021</t>
        </is>
      </c>
      <c r="B557" s="1" t="n">
        <v>44316</v>
      </c>
      <c r="C557" s="1" t="n">
        <v>45346</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21702-2021</t>
        </is>
      </c>
      <c r="B558" s="1" t="n">
        <v>44316</v>
      </c>
      <c r="C558" s="1" t="n">
        <v>45346</v>
      </c>
      <c r="D558" t="inlineStr">
        <is>
          <t>JÄMTLANDS LÄN</t>
        </is>
      </c>
      <c r="E558" t="inlineStr">
        <is>
          <t>HÄRJEDALEN</t>
        </is>
      </c>
      <c r="G558" t="n">
        <v>2.9</v>
      </c>
      <c r="H558" t="n">
        <v>0</v>
      </c>
      <c r="I558" t="n">
        <v>0</v>
      </c>
      <c r="J558" t="n">
        <v>0</v>
      </c>
      <c r="K558" t="n">
        <v>0</v>
      </c>
      <c r="L558" t="n">
        <v>0</v>
      </c>
      <c r="M558" t="n">
        <v>0</v>
      </c>
      <c r="N558" t="n">
        <v>0</v>
      </c>
      <c r="O558" t="n">
        <v>0</v>
      </c>
      <c r="P558" t="n">
        <v>0</v>
      </c>
      <c r="Q558" t="n">
        <v>0</v>
      </c>
      <c r="R558" s="2" t="inlineStr"/>
    </row>
    <row r="559" ht="15" customHeight="1">
      <c r="A559" t="inlineStr">
        <is>
          <t>A 21833-2021</t>
        </is>
      </c>
      <c r="B559" s="1" t="n">
        <v>44316</v>
      </c>
      <c r="C559" s="1" t="n">
        <v>45346</v>
      </c>
      <c r="D559" t="inlineStr">
        <is>
          <t>JÄMTLANDS LÄN</t>
        </is>
      </c>
      <c r="E559" t="inlineStr">
        <is>
          <t>HÄRJEDALEN</t>
        </is>
      </c>
      <c r="G559" t="n">
        <v>20.2</v>
      </c>
      <c r="H559" t="n">
        <v>0</v>
      </c>
      <c r="I559" t="n">
        <v>0</v>
      </c>
      <c r="J559" t="n">
        <v>0</v>
      </c>
      <c r="K559" t="n">
        <v>0</v>
      </c>
      <c r="L559" t="n">
        <v>0</v>
      </c>
      <c r="M559" t="n">
        <v>0</v>
      </c>
      <c r="N559" t="n">
        <v>0</v>
      </c>
      <c r="O559" t="n">
        <v>0</v>
      </c>
      <c r="P559" t="n">
        <v>0</v>
      </c>
      <c r="Q559" t="n">
        <v>0</v>
      </c>
      <c r="R559" s="2" t="inlineStr"/>
    </row>
    <row r="560" ht="15" customHeight="1">
      <c r="A560" t="inlineStr">
        <is>
          <t>A 21854-2021</t>
        </is>
      </c>
      <c r="B560" s="1" t="n">
        <v>44316</v>
      </c>
      <c r="C560" s="1" t="n">
        <v>45346</v>
      </c>
      <c r="D560" t="inlineStr">
        <is>
          <t>JÄMTLANDS LÄN</t>
        </is>
      </c>
      <c r="E560" t="inlineStr">
        <is>
          <t>HÄRJEDALEN</t>
        </is>
      </c>
      <c r="G560" t="n">
        <v>10.7</v>
      </c>
      <c r="H560" t="n">
        <v>0</v>
      </c>
      <c r="I560" t="n">
        <v>0</v>
      </c>
      <c r="J560" t="n">
        <v>0</v>
      </c>
      <c r="K560" t="n">
        <v>0</v>
      </c>
      <c r="L560" t="n">
        <v>0</v>
      </c>
      <c r="M560" t="n">
        <v>0</v>
      </c>
      <c r="N560" t="n">
        <v>0</v>
      </c>
      <c r="O560" t="n">
        <v>0</v>
      </c>
      <c r="P560" t="n">
        <v>0</v>
      </c>
      <c r="Q560" t="n">
        <v>0</v>
      </c>
      <c r="R560" s="2" t="inlineStr"/>
    </row>
    <row r="561" ht="15" customHeight="1">
      <c r="A561" t="inlineStr">
        <is>
          <t>A 21848-2021</t>
        </is>
      </c>
      <c r="B561" s="1" t="n">
        <v>44316</v>
      </c>
      <c r="C561" s="1" t="n">
        <v>45346</v>
      </c>
      <c r="D561" t="inlineStr">
        <is>
          <t>JÄMTLANDS LÄN</t>
        </is>
      </c>
      <c r="E561" t="inlineStr">
        <is>
          <t>HÄRJEDALEN</t>
        </is>
      </c>
      <c r="G561" t="n">
        <v>19.4</v>
      </c>
      <c r="H561" t="n">
        <v>0</v>
      </c>
      <c r="I561" t="n">
        <v>0</v>
      </c>
      <c r="J561" t="n">
        <v>0</v>
      </c>
      <c r="K561" t="n">
        <v>0</v>
      </c>
      <c r="L561" t="n">
        <v>0</v>
      </c>
      <c r="M561" t="n">
        <v>0</v>
      </c>
      <c r="N561" t="n">
        <v>0</v>
      </c>
      <c r="O561" t="n">
        <v>0</v>
      </c>
      <c r="P561" t="n">
        <v>0</v>
      </c>
      <c r="Q561" t="n">
        <v>0</v>
      </c>
      <c r="R561" s="2" t="inlineStr"/>
    </row>
    <row r="562" ht="15" customHeight="1">
      <c r="A562" t="inlineStr">
        <is>
          <t>A 21699-2021</t>
        </is>
      </c>
      <c r="B562" s="1" t="n">
        <v>44316</v>
      </c>
      <c r="C562" s="1" t="n">
        <v>45346</v>
      </c>
      <c r="D562" t="inlineStr">
        <is>
          <t>JÄMTLANDS LÄN</t>
        </is>
      </c>
      <c r="E562" t="inlineStr">
        <is>
          <t>HÄRJEDALEN</t>
        </is>
      </c>
      <c r="G562" t="n">
        <v>6.8</v>
      </c>
      <c r="H562" t="n">
        <v>0</v>
      </c>
      <c r="I562" t="n">
        <v>0</v>
      </c>
      <c r="J562" t="n">
        <v>0</v>
      </c>
      <c r="K562" t="n">
        <v>0</v>
      </c>
      <c r="L562" t="n">
        <v>0</v>
      </c>
      <c r="M562" t="n">
        <v>0</v>
      </c>
      <c r="N562" t="n">
        <v>0</v>
      </c>
      <c r="O562" t="n">
        <v>0</v>
      </c>
      <c r="P562" t="n">
        <v>0</v>
      </c>
      <c r="Q562" t="n">
        <v>0</v>
      </c>
      <c r="R562" s="2" t="inlineStr"/>
    </row>
    <row r="563" ht="15" customHeight="1">
      <c r="A563" t="inlineStr">
        <is>
          <t>A 21703-2021</t>
        </is>
      </c>
      <c r="B563" s="1" t="n">
        <v>44316</v>
      </c>
      <c r="C563" s="1" t="n">
        <v>45346</v>
      </c>
      <c r="D563" t="inlineStr">
        <is>
          <t>JÄMTLANDS LÄN</t>
        </is>
      </c>
      <c r="E563" t="inlineStr">
        <is>
          <t>HÄRJEDALEN</t>
        </is>
      </c>
      <c r="G563" t="n">
        <v>11.9</v>
      </c>
      <c r="H563" t="n">
        <v>0</v>
      </c>
      <c r="I563" t="n">
        <v>0</v>
      </c>
      <c r="J563" t="n">
        <v>0</v>
      </c>
      <c r="K563" t="n">
        <v>0</v>
      </c>
      <c r="L563" t="n">
        <v>0</v>
      </c>
      <c r="M563" t="n">
        <v>0</v>
      </c>
      <c r="N563" t="n">
        <v>0</v>
      </c>
      <c r="O563" t="n">
        <v>0</v>
      </c>
      <c r="P563" t="n">
        <v>0</v>
      </c>
      <c r="Q563" t="n">
        <v>0</v>
      </c>
      <c r="R563" s="2" t="inlineStr"/>
    </row>
    <row r="564" ht="15" customHeight="1">
      <c r="A564" t="inlineStr">
        <is>
          <t>A 21843-2021</t>
        </is>
      </c>
      <c r="B564" s="1" t="n">
        <v>44316</v>
      </c>
      <c r="C564" s="1" t="n">
        <v>45346</v>
      </c>
      <c r="D564" t="inlineStr">
        <is>
          <t>JÄMTLANDS LÄN</t>
        </is>
      </c>
      <c r="E564" t="inlineStr">
        <is>
          <t>HÄRJEDALEN</t>
        </is>
      </c>
      <c r="G564" t="n">
        <v>15.1</v>
      </c>
      <c r="H564" t="n">
        <v>0</v>
      </c>
      <c r="I564" t="n">
        <v>0</v>
      </c>
      <c r="J564" t="n">
        <v>0</v>
      </c>
      <c r="K564" t="n">
        <v>0</v>
      </c>
      <c r="L564" t="n">
        <v>0</v>
      </c>
      <c r="M564" t="n">
        <v>0</v>
      </c>
      <c r="N564" t="n">
        <v>0</v>
      </c>
      <c r="O564" t="n">
        <v>0</v>
      </c>
      <c r="P564" t="n">
        <v>0</v>
      </c>
      <c r="Q564" t="n">
        <v>0</v>
      </c>
      <c r="R564" s="2" t="inlineStr"/>
    </row>
    <row r="565" ht="15" customHeight="1">
      <c r="A565" t="inlineStr">
        <is>
          <t>A 21705-2021</t>
        </is>
      </c>
      <c r="B565" s="1" t="n">
        <v>44316</v>
      </c>
      <c r="C565" s="1" t="n">
        <v>45346</v>
      </c>
      <c r="D565" t="inlineStr">
        <is>
          <t>JÄMTLANDS LÄN</t>
        </is>
      </c>
      <c r="E565" t="inlineStr">
        <is>
          <t>HÄRJEDALEN</t>
        </is>
      </c>
      <c r="G565" t="n">
        <v>6.1</v>
      </c>
      <c r="H565" t="n">
        <v>0</v>
      </c>
      <c r="I565" t="n">
        <v>0</v>
      </c>
      <c r="J565" t="n">
        <v>0</v>
      </c>
      <c r="K565" t="n">
        <v>0</v>
      </c>
      <c r="L565" t="n">
        <v>0</v>
      </c>
      <c r="M565" t="n">
        <v>0</v>
      </c>
      <c r="N565" t="n">
        <v>0</v>
      </c>
      <c r="O565" t="n">
        <v>0</v>
      </c>
      <c r="P565" t="n">
        <v>0</v>
      </c>
      <c r="Q565" t="n">
        <v>0</v>
      </c>
      <c r="R565" s="2" t="inlineStr"/>
    </row>
    <row r="566" ht="15" customHeight="1">
      <c r="A566" t="inlineStr">
        <is>
          <t>A 20804-2021</t>
        </is>
      </c>
      <c r="B566" s="1" t="n">
        <v>44316</v>
      </c>
      <c r="C566" s="1" t="n">
        <v>45346</v>
      </c>
      <c r="D566" t="inlineStr">
        <is>
          <t>JÄMTLANDS LÄN</t>
        </is>
      </c>
      <c r="E566" t="inlineStr">
        <is>
          <t>HÄRJEDALEN</t>
        </is>
      </c>
      <c r="F566" t="inlineStr">
        <is>
          <t>SCA</t>
        </is>
      </c>
      <c r="G566" t="n">
        <v>11.2</v>
      </c>
      <c r="H566" t="n">
        <v>0</v>
      </c>
      <c r="I566" t="n">
        <v>0</v>
      </c>
      <c r="J566" t="n">
        <v>0</v>
      </c>
      <c r="K566" t="n">
        <v>0</v>
      </c>
      <c r="L566" t="n">
        <v>0</v>
      </c>
      <c r="M566" t="n">
        <v>0</v>
      </c>
      <c r="N566" t="n">
        <v>0</v>
      </c>
      <c r="O566" t="n">
        <v>0</v>
      </c>
      <c r="P566" t="n">
        <v>0</v>
      </c>
      <c r="Q566" t="n">
        <v>0</v>
      </c>
      <c r="R566" s="2" t="inlineStr"/>
    </row>
    <row r="567" ht="15" customHeight="1">
      <c r="A567" t="inlineStr">
        <is>
          <t>A 21753-2021</t>
        </is>
      </c>
      <c r="B567" s="1" t="n">
        <v>44319</v>
      </c>
      <c r="C567" s="1" t="n">
        <v>45346</v>
      </c>
      <c r="D567" t="inlineStr">
        <is>
          <t>JÄMTLANDS LÄN</t>
        </is>
      </c>
      <c r="E567" t="inlineStr">
        <is>
          <t>HÄRJEDALEN</t>
        </is>
      </c>
      <c r="G567" t="n">
        <v>6.2</v>
      </c>
      <c r="H567" t="n">
        <v>0</v>
      </c>
      <c r="I567" t="n">
        <v>0</v>
      </c>
      <c r="J567" t="n">
        <v>0</v>
      </c>
      <c r="K567" t="n">
        <v>0</v>
      </c>
      <c r="L567" t="n">
        <v>0</v>
      </c>
      <c r="M567" t="n">
        <v>0</v>
      </c>
      <c r="N567" t="n">
        <v>0</v>
      </c>
      <c r="O567" t="n">
        <v>0</v>
      </c>
      <c r="P567" t="n">
        <v>0</v>
      </c>
      <c r="Q567" t="n">
        <v>0</v>
      </c>
      <c r="R567" s="2" t="inlineStr"/>
    </row>
    <row r="568" ht="15" customHeight="1">
      <c r="A568" t="inlineStr">
        <is>
          <t>A 21298-2021</t>
        </is>
      </c>
      <c r="B568" s="1" t="n">
        <v>44320</v>
      </c>
      <c r="C568" s="1" t="n">
        <v>45346</v>
      </c>
      <c r="D568" t="inlineStr">
        <is>
          <t>JÄMTLANDS LÄN</t>
        </is>
      </c>
      <c r="E568" t="inlineStr">
        <is>
          <t>HÄRJEDALEN</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21334-2021</t>
        </is>
      </c>
      <c r="B569" s="1" t="n">
        <v>44320</v>
      </c>
      <c r="C569" s="1" t="n">
        <v>45346</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21346-2021</t>
        </is>
      </c>
      <c r="B570" s="1" t="n">
        <v>44321</v>
      </c>
      <c r="C570" s="1" t="n">
        <v>45346</v>
      </c>
      <c r="D570" t="inlineStr">
        <is>
          <t>JÄMTLANDS LÄN</t>
        </is>
      </c>
      <c r="E570" t="inlineStr">
        <is>
          <t>HÄRJEDALEN</t>
        </is>
      </c>
      <c r="G570" t="n">
        <v>9.9</v>
      </c>
      <c r="H570" t="n">
        <v>0</v>
      </c>
      <c r="I570" t="n">
        <v>0</v>
      </c>
      <c r="J570" t="n">
        <v>0</v>
      </c>
      <c r="K570" t="n">
        <v>0</v>
      </c>
      <c r="L570" t="n">
        <v>0</v>
      </c>
      <c r="M570" t="n">
        <v>0</v>
      </c>
      <c r="N570" t="n">
        <v>0</v>
      </c>
      <c r="O570" t="n">
        <v>0</v>
      </c>
      <c r="P570" t="n">
        <v>0</v>
      </c>
      <c r="Q570" t="n">
        <v>0</v>
      </c>
      <c r="R570" s="2" t="inlineStr"/>
    </row>
    <row r="571" ht="15" customHeight="1">
      <c r="A571" t="inlineStr">
        <is>
          <t>A 21661-2021</t>
        </is>
      </c>
      <c r="B571" s="1" t="n">
        <v>44322</v>
      </c>
      <c r="C571" s="1" t="n">
        <v>45346</v>
      </c>
      <c r="D571" t="inlineStr">
        <is>
          <t>JÄMTLANDS LÄN</t>
        </is>
      </c>
      <c r="E571" t="inlineStr">
        <is>
          <t>HÄRJEDALEN</t>
        </is>
      </c>
      <c r="F571" t="inlineStr">
        <is>
          <t>Holmen skog AB</t>
        </is>
      </c>
      <c r="G571" t="n">
        <v>3</v>
      </c>
      <c r="H571" t="n">
        <v>0</v>
      </c>
      <c r="I571" t="n">
        <v>0</v>
      </c>
      <c r="J571" t="n">
        <v>0</v>
      </c>
      <c r="K571" t="n">
        <v>0</v>
      </c>
      <c r="L571" t="n">
        <v>0</v>
      </c>
      <c r="M571" t="n">
        <v>0</v>
      </c>
      <c r="N571" t="n">
        <v>0</v>
      </c>
      <c r="O571" t="n">
        <v>0</v>
      </c>
      <c r="P571" t="n">
        <v>0</v>
      </c>
      <c r="Q571" t="n">
        <v>0</v>
      </c>
      <c r="R571" s="2" t="inlineStr"/>
    </row>
    <row r="572" ht="15" customHeight="1">
      <c r="A572" t="inlineStr">
        <is>
          <t>A 22160-2021</t>
        </is>
      </c>
      <c r="B572" s="1" t="n">
        <v>44325</v>
      </c>
      <c r="C572" s="1" t="n">
        <v>45346</v>
      </c>
      <c r="D572" t="inlineStr">
        <is>
          <t>JÄMTLANDS LÄN</t>
        </is>
      </c>
      <c r="E572" t="inlineStr">
        <is>
          <t>HÄRJEDALEN</t>
        </is>
      </c>
      <c r="G572" t="n">
        <v>0.9</v>
      </c>
      <c r="H572" t="n">
        <v>0</v>
      </c>
      <c r="I572" t="n">
        <v>0</v>
      </c>
      <c r="J572" t="n">
        <v>0</v>
      </c>
      <c r="K572" t="n">
        <v>0</v>
      </c>
      <c r="L572" t="n">
        <v>0</v>
      </c>
      <c r="M572" t="n">
        <v>0</v>
      </c>
      <c r="N572" t="n">
        <v>0</v>
      </c>
      <c r="O572" t="n">
        <v>0</v>
      </c>
      <c r="P572" t="n">
        <v>0</v>
      </c>
      <c r="Q572" t="n">
        <v>0</v>
      </c>
      <c r="R572" s="2" t="inlineStr"/>
    </row>
    <row r="573" ht="15" customHeight="1">
      <c r="A573" t="inlineStr">
        <is>
          <t>A 23869-2021</t>
        </is>
      </c>
      <c r="B573" s="1" t="n">
        <v>44335</v>
      </c>
      <c r="C573" s="1" t="n">
        <v>45346</v>
      </c>
      <c r="D573" t="inlineStr">
        <is>
          <t>JÄMTLANDS LÄN</t>
        </is>
      </c>
      <c r="E573" t="inlineStr">
        <is>
          <t>HÄRJEDALEN</t>
        </is>
      </c>
      <c r="G573" t="n">
        <v>15.3</v>
      </c>
      <c r="H573" t="n">
        <v>0</v>
      </c>
      <c r="I573" t="n">
        <v>0</v>
      </c>
      <c r="J573" t="n">
        <v>0</v>
      </c>
      <c r="K573" t="n">
        <v>0</v>
      </c>
      <c r="L573" t="n">
        <v>0</v>
      </c>
      <c r="M573" t="n">
        <v>0</v>
      </c>
      <c r="N573" t="n">
        <v>0</v>
      </c>
      <c r="O573" t="n">
        <v>0</v>
      </c>
      <c r="P573" t="n">
        <v>0</v>
      </c>
      <c r="Q573" t="n">
        <v>0</v>
      </c>
      <c r="R573" s="2" t="inlineStr"/>
    </row>
    <row r="574" ht="15" customHeight="1">
      <c r="A574" t="inlineStr">
        <is>
          <t>A 25444-2021</t>
        </is>
      </c>
      <c r="B574" s="1" t="n">
        <v>44342</v>
      </c>
      <c r="C574" s="1" t="n">
        <v>45346</v>
      </c>
      <c r="D574" t="inlineStr">
        <is>
          <t>JÄMTLANDS LÄN</t>
        </is>
      </c>
      <c r="E574" t="inlineStr">
        <is>
          <t>HÄRJEDALEN</t>
        </is>
      </c>
      <c r="G574" t="n">
        <v>0.8</v>
      </c>
      <c r="H574" t="n">
        <v>0</v>
      </c>
      <c r="I574" t="n">
        <v>0</v>
      </c>
      <c r="J574" t="n">
        <v>0</v>
      </c>
      <c r="K574" t="n">
        <v>0</v>
      </c>
      <c r="L574" t="n">
        <v>0</v>
      </c>
      <c r="M574" t="n">
        <v>0</v>
      </c>
      <c r="N574" t="n">
        <v>0</v>
      </c>
      <c r="O574" t="n">
        <v>0</v>
      </c>
      <c r="P574" t="n">
        <v>0</v>
      </c>
      <c r="Q574" t="n">
        <v>0</v>
      </c>
      <c r="R574" s="2" t="inlineStr"/>
    </row>
    <row r="575" ht="15" customHeight="1">
      <c r="A575" t="inlineStr">
        <is>
          <t>A 26167-2021</t>
        </is>
      </c>
      <c r="B575" s="1" t="n">
        <v>44344</v>
      </c>
      <c r="C575" s="1" t="n">
        <v>45346</v>
      </c>
      <c r="D575" t="inlineStr">
        <is>
          <t>JÄMTLANDS LÄN</t>
        </is>
      </c>
      <c r="E575" t="inlineStr">
        <is>
          <t>HÄRJEDALEN</t>
        </is>
      </c>
      <c r="G575" t="n">
        <v>2.6</v>
      </c>
      <c r="H575" t="n">
        <v>0</v>
      </c>
      <c r="I575" t="n">
        <v>0</v>
      </c>
      <c r="J575" t="n">
        <v>0</v>
      </c>
      <c r="K575" t="n">
        <v>0</v>
      </c>
      <c r="L575" t="n">
        <v>0</v>
      </c>
      <c r="M575" t="n">
        <v>0</v>
      </c>
      <c r="N575" t="n">
        <v>0</v>
      </c>
      <c r="O575" t="n">
        <v>0</v>
      </c>
      <c r="P575" t="n">
        <v>0</v>
      </c>
      <c r="Q575" t="n">
        <v>0</v>
      </c>
      <c r="R575" s="2" t="inlineStr"/>
    </row>
    <row r="576" ht="15" customHeight="1">
      <c r="A576" t="inlineStr">
        <is>
          <t>A 26656-2021</t>
        </is>
      </c>
      <c r="B576" s="1" t="n">
        <v>44348</v>
      </c>
      <c r="C576" s="1" t="n">
        <v>45346</v>
      </c>
      <c r="D576" t="inlineStr">
        <is>
          <t>JÄMTLANDS LÄN</t>
        </is>
      </c>
      <c r="E576" t="inlineStr">
        <is>
          <t>HÄRJEDALEN</t>
        </is>
      </c>
      <c r="G576" t="n">
        <v>1.6</v>
      </c>
      <c r="H576" t="n">
        <v>0</v>
      </c>
      <c r="I576" t="n">
        <v>0</v>
      </c>
      <c r="J576" t="n">
        <v>0</v>
      </c>
      <c r="K576" t="n">
        <v>0</v>
      </c>
      <c r="L576" t="n">
        <v>0</v>
      </c>
      <c r="M576" t="n">
        <v>0</v>
      </c>
      <c r="N576" t="n">
        <v>0</v>
      </c>
      <c r="O576" t="n">
        <v>0</v>
      </c>
      <c r="P576" t="n">
        <v>0</v>
      </c>
      <c r="Q576" t="n">
        <v>0</v>
      </c>
      <c r="R576" s="2" t="inlineStr"/>
    </row>
    <row r="577" ht="15" customHeight="1">
      <c r="A577" t="inlineStr">
        <is>
          <t>A 28446-2021</t>
        </is>
      </c>
      <c r="B577" s="1" t="n">
        <v>44356</v>
      </c>
      <c r="C577" s="1" t="n">
        <v>45346</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28693-2021</t>
        </is>
      </c>
      <c r="B578" s="1" t="n">
        <v>44357</v>
      </c>
      <c r="C578" s="1" t="n">
        <v>45346</v>
      </c>
      <c r="D578" t="inlineStr">
        <is>
          <t>JÄMTLANDS LÄN</t>
        </is>
      </c>
      <c r="E578" t="inlineStr">
        <is>
          <t>HÄRJEDALEN</t>
        </is>
      </c>
      <c r="G578" t="n">
        <v>20</v>
      </c>
      <c r="H578" t="n">
        <v>0</v>
      </c>
      <c r="I578" t="n">
        <v>0</v>
      </c>
      <c r="J578" t="n">
        <v>0</v>
      </c>
      <c r="K578" t="n">
        <v>0</v>
      </c>
      <c r="L578" t="n">
        <v>0</v>
      </c>
      <c r="M578" t="n">
        <v>0</v>
      </c>
      <c r="N578" t="n">
        <v>0</v>
      </c>
      <c r="O578" t="n">
        <v>0</v>
      </c>
      <c r="P578" t="n">
        <v>0</v>
      </c>
      <c r="Q578" t="n">
        <v>0</v>
      </c>
      <c r="R578" s="2" t="inlineStr"/>
    </row>
    <row r="579" ht="15" customHeight="1">
      <c r="A579" t="inlineStr">
        <is>
          <t>A 29284-2021</t>
        </is>
      </c>
      <c r="B579" s="1" t="n">
        <v>44361</v>
      </c>
      <c r="C579" s="1" t="n">
        <v>45346</v>
      </c>
      <c r="D579" t="inlineStr">
        <is>
          <t>JÄMTLANDS LÄN</t>
        </is>
      </c>
      <c r="E579" t="inlineStr">
        <is>
          <t>HÄRJEDALEN</t>
        </is>
      </c>
      <c r="F579" t="inlineStr">
        <is>
          <t>Holmen skog AB</t>
        </is>
      </c>
      <c r="G579" t="n">
        <v>10.5</v>
      </c>
      <c r="H579" t="n">
        <v>0</v>
      </c>
      <c r="I579" t="n">
        <v>0</v>
      </c>
      <c r="J579" t="n">
        <v>0</v>
      </c>
      <c r="K579" t="n">
        <v>0</v>
      </c>
      <c r="L579" t="n">
        <v>0</v>
      </c>
      <c r="M579" t="n">
        <v>0</v>
      </c>
      <c r="N579" t="n">
        <v>0</v>
      </c>
      <c r="O579" t="n">
        <v>0</v>
      </c>
      <c r="P579" t="n">
        <v>0</v>
      </c>
      <c r="Q579" t="n">
        <v>0</v>
      </c>
      <c r="R579" s="2" t="inlineStr"/>
    </row>
    <row r="580" ht="15" customHeight="1">
      <c r="A580" t="inlineStr">
        <is>
          <t>A 29372-2021</t>
        </is>
      </c>
      <c r="B580" s="1" t="n">
        <v>44361</v>
      </c>
      <c r="C580" s="1" t="n">
        <v>45346</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29452-2021</t>
        </is>
      </c>
      <c r="B581" s="1" t="n">
        <v>44361</v>
      </c>
      <c r="C581" s="1" t="n">
        <v>45346</v>
      </c>
      <c r="D581" t="inlineStr">
        <is>
          <t>JÄMTLANDS LÄN</t>
        </is>
      </c>
      <c r="E581" t="inlineStr">
        <is>
          <t>HÄRJEDALEN</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29581-2021</t>
        </is>
      </c>
      <c r="B582" s="1" t="n">
        <v>44361</v>
      </c>
      <c r="C582" s="1" t="n">
        <v>45346</v>
      </c>
      <c r="D582" t="inlineStr">
        <is>
          <t>JÄMTLANDS LÄN</t>
        </is>
      </c>
      <c r="E582" t="inlineStr">
        <is>
          <t>HÄRJEDALEN</t>
        </is>
      </c>
      <c r="G582" t="n">
        <v>50.9</v>
      </c>
      <c r="H582" t="n">
        <v>0</v>
      </c>
      <c r="I582" t="n">
        <v>0</v>
      </c>
      <c r="J582" t="n">
        <v>0</v>
      </c>
      <c r="K582" t="n">
        <v>0</v>
      </c>
      <c r="L582" t="n">
        <v>0</v>
      </c>
      <c r="M582" t="n">
        <v>0</v>
      </c>
      <c r="N582" t="n">
        <v>0</v>
      </c>
      <c r="O582" t="n">
        <v>0</v>
      </c>
      <c r="P582" t="n">
        <v>0</v>
      </c>
      <c r="Q582" t="n">
        <v>0</v>
      </c>
      <c r="R582" s="2" t="inlineStr"/>
    </row>
    <row r="583" ht="15" customHeight="1">
      <c r="A583" t="inlineStr">
        <is>
          <t>A 29585-2021</t>
        </is>
      </c>
      <c r="B583" s="1" t="n">
        <v>44361</v>
      </c>
      <c r="C583" s="1" t="n">
        <v>45346</v>
      </c>
      <c r="D583" t="inlineStr">
        <is>
          <t>JÄMTLANDS LÄN</t>
        </is>
      </c>
      <c r="E583" t="inlineStr">
        <is>
          <t>HÄRJEDALEN</t>
        </is>
      </c>
      <c r="G583" t="n">
        <v>3.4</v>
      </c>
      <c r="H583" t="n">
        <v>0</v>
      </c>
      <c r="I583" t="n">
        <v>0</v>
      </c>
      <c r="J583" t="n">
        <v>0</v>
      </c>
      <c r="K583" t="n">
        <v>0</v>
      </c>
      <c r="L583" t="n">
        <v>0</v>
      </c>
      <c r="M583" t="n">
        <v>0</v>
      </c>
      <c r="N583" t="n">
        <v>0</v>
      </c>
      <c r="O583" t="n">
        <v>0</v>
      </c>
      <c r="P583" t="n">
        <v>0</v>
      </c>
      <c r="Q583" t="n">
        <v>0</v>
      </c>
      <c r="R583" s="2" t="inlineStr"/>
    </row>
    <row r="584" ht="15" customHeight="1">
      <c r="A584" t="inlineStr">
        <is>
          <t>A 30302-2021</t>
        </is>
      </c>
      <c r="B584" s="1" t="n">
        <v>44364</v>
      </c>
      <c r="C584" s="1" t="n">
        <v>45346</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30323-2021</t>
        </is>
      </c>
      <c r="B585" s="1" t="n">
        <v>44364</v>
      </c>
      <c r="C585" s="1" t="n">
        <v>45346</v>
      </c>
      <c r="D585" t="inlineStr">
        <is>
          <t>JÄMTLANDS LÄN</t>
        </is>
      </c>
      <c r="E585" t="inlineStr">
        <is>
          <t>HÄRJEDALEN</t>
        </is>
      </c>
      <c r="F585" t="inlineStr">
        <is>
          <t>Holmen skog AB</t>
        </is>
      </c>
      <c r="G585" t="n">
        <v>11.2</v>
      </c>
      <c r="H585" t="n">
        <v>0</v>
      </c>
      <c r="I585" t="n">
        <v>0</v>
      </c>
      <c r="J585" t="n">
        <v>0</v>
      </c>
      <c r="K585" t="n">
        <v>0</v>
      </c>
      <c r="L585" t="n">
        <v>0</v>
      </c>
      <c r="M585" t="n">
        <v>0</v>
      </c>
      <c r="N585" t="n">
        <v>0</v>
      </c>
      <c r="O585" t="n">
        <v>0</v>
      </c>
      <c r="P585" t="n">
        <v>0</v>
      </c>
      <c r="Q585" t="n">
        <v>0</v>
      </c>
      <c r="R585" s="2" t="inlineStr"/>
    </row>
    <row r="586" ht="15" customHeight="1">
      <c r="A586" t="inlineStr">
        <is>
          <t>A 30315-2021</t>
        </is>
      </c>
      <c r="B586" s="1" t="n">
        <v>44364</v>
      </c>
      <c r="C586" s="1" t="n">
        <v>45346</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30311-2021</t>
        </is>
      </c>
      <c r="B587" s="1" t="n">
        <v>44364</v>
      </c>
      <c r="C587" s="1" t="n">
        <v>45346</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30321-2021</t>
        </is>
      </c>
      <c r="B588" s="1" t="n">
        <v>44364</v>
      </c>
      <c r="C588" s="1" t="n">
        <v>45346</v>
      </c>
      <c r="D588" t="inlineStr">
        <is>
          <t>JÄMTLANDS LÄN</t>
        </is>
      </c>
      <c r="E588" t="inlineStr">
        <is>
          <t>HÄRJEDALEN</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30317-2021</t>
        </is>
      </c>
      <c r="B589" s="1" t="n">
        <v>44364</v>
      </c>
      <c r="C589" s="1" t="n">
        <v>45346</v>
      </c>
      <c r="D589" t="inlineStr">
        <is>
          <t>JÄMTLANDS LÄN</t>
        </is>
      </c>
      <c r="E589" t="inlineStr">
        <is>
          <t>HÄRJEDALEN</t>
        </is>
      </c>
      <c r="F589" t="inlineStr">
        <is>
          <t>Holmen skog AB</t>
        </is>
      </c>
      <c r="G589" t="n">
        <v>8.4</v>
      </c>
      <c r="H589" t="n">
        <v>0</v>
      </c>
      <c r="I589" t="n">
        <v>0</v>
      </c>
      <c r="J589" t="n">
        <v>0</v>
      </c>
      <c r="K589" t="n">
        <v>0</v>
      </c>
      <c r="L589" t="n">
        <v>0</v>
      </c>
      <c r="M589" t="n">
        <v>0</v>
      </c>
      <c r="N589" t="n">
        <v>0</v>
      </c>
      <c r="O589" t="n">
        <v>0</v>
      </c>
      <c r="P589" t="n">
        <v>0</v>
      </c>
      <c r="Q589" t="n">
        <v>0</v>
      </c>
      <c r="R589" s="2" t="inlineStr"/>
    </row>
    <row r="590" ht="15" customHeight="1">
      <c r="A590" t="inlineStr">
        <is>
          <t>A 30684-2021</t>
        </is>
      </c>
      <c r="B590" s="1" t="n">
        <v>44365</v>
      </c>
      <c r="C590" s="1" t="n">
        <v>45346</v>
      </c>
      <c r="D590" t="inlineStr">
        <is>
          <t>JÄMTLANDS LÄN</t>
        </is>
      </c>
      <c r="E590" t="inlineStr">
        <is>
          <t>HÄRJEDALEN</t>
        </is>
      </c>
      <c r="G590" t="n">
        <v>4</v>
      </c>
      <c r="H590" t="n">
        <v>0</v>
      </c>
      <c r="I590" t="n">
        <v>0</v>
      </c>
      <c r="J590" t="n">
        <v>0</v>
      </c>
      <c r="K590" t="n">
        <v>0</v>
      </c>
      <c r="L590" t="n">
        <v>0</v>
      </c>
      <c r="M590" t="n">
        <v>0</v>
      </c>
      <c r="N590" t="n">
        <v>0</v>
      </c>
      <c r="O590" t="n">
        <v>0</v>
      </c>
      <c r="P590" t="n">
        <v>0</v>
      </c>
      <c r="Q590" t="n">
        <v>0</v>
      </c>
      <c r="R590" s="2" t="inlineStr"/>
    </row>
    <row r="591" ht="15" customHeight="1">
      <c r="A591" t="inlineStr">
        <is>
          <t>A 31212-2021</t>
        </is>
      </c>
      <c r="B591" s="1" t="n">
        <v>44368</v>
      </c>
      <c r="C591" s="1" t="n">
        <v>45346</v>
      </c>
      <c r="D591" t="inlineStr">
        <is>
          <t>JÄMTLANDS LÄN</t>
        </is>
      </c>
      <c r="E591" t="inlineStr">
        <is>
          <t>HÄRJEDALEN</t>
        </is>
      </c>
      <c r="G591" t="n">
        <v>5.5</v>
      </c>
      <c r="H591" t="n">
        <v>0</v>
      </c>
      <c r="I591" t="n">
        <v>0</v>
      </c>
      <c r="J591" t="n">
        <v>0</v>
      </c>
      <c r="K591" t="n">
        <v>0</v>
      </c>
      <c r="L591" t="n">
        <v>0</v>
      </c>
      <c r="M591" t="n">
        <v>0</v>
      </c>
      <c r="N591" t="n">
        <v>0</v>
      </c>
      <c r="O591" t="n">
        <v>0</v>
      </c>
      <c r="P591" t="n">
        <v>0</v>
      </c>
      <c r="Q591" t="n">
        <v>0</v>
      </c>
      <c r="R591" s="2" t="inlineStr"/>
    </row>
    <row r="592" ht="15" customHeight="1">
      <c r="A592" t="inlineStr">
        <is>
          <t>A 33424-2021</t>
        </is>
      </c>
      <c r="B592" s="1" t="n">
        <v>44377</v>
      </c>
      <c r="C592" s="1" t="n">
        <v>45346</v>
      </c>
      <c r="D592" t="inlineStr">
        <is>
          <t>JÄMTLANDS LÄN</t>
        </is>
      </c>
      <c r="E592" t="inlineStr">
        <is>
          <t>HÄRJEDALEN</t>
        </is>
      </c>
      <c r="G592" t="n">
        <v>2.5</v>
      </c>
      <c r="H592" t="n">
        <v>0</v>
      </c>
      <c r="I592" t="n">
        <v>0</v>
      </c>
      <c r="J592" t="n">
        <v>0</v>
      </c>
      <c r="K592" t="n">
        <v>0</v>
      </c>
      <c r="L592" t="n">
        <v>0</v>
      </c>
      <c r="M592" t="n">
        <v>0</v>
      </c>
      <c r="N592" t="n">
        <v>0</v>
      </c>
      <c r="O592" t="n">
        <v>0</v>
      </c>
      <c r="P592" t="n">
        <v>0</v>
      </c>
      <c r="Q592" t="n">
        <v>0</v>
      </c>
      <c r="R592" s="2" t="inlineStr"/>
    </row>
    <row r="593" ht="15" customHeight="1">
      <c r="A593" t="inlineStr">
        <is>
          <t>A 34453-2021</t>
        </is>
      </c>
      <c r="B593" s="1" t="n">
        <v>44381</v>
      </c>
      <c r="C593" s="1" t="n">
        <v>45346</v>
      </c>
      <c r="D593" t="inlineStr">
        <is>
          <t>JÄMTLANDS LÄN</t>
        </is>
      </c>
      <c r="E593" t="inlineStr">
        <is>
          <t>HÄRJEDALEN</t>
        </is>
      </c>
      <c r="G593" t="n">
        <v>12.7</v>
      </c>
      <c r="H593" t="n">
        <v>0</v>
      </c>
      <c r="I593" t="n">
        <v>0</v>
      </c>
      <c r="J593" t="n">
        <v>0</v>
      </c>
      <c r="K593" t="n">
        <v>0</v>
      </c>
      <c r="L593" t="n">
        <v>0</v>
      </c>
      <c r="M593" t="n">
        <v>0</v>
      </c>
      <c r="N593" t="n">
        <v>0</v>
      </c>
      <c r="O593" t="n">
        <v>0</v>
      </c>
      <c r="P593" t="n">
        <v>0</v>
      </c>
      <c r="Q593" t="n">
        <v>0</v>
      </c>
      <c r="R593" s="2" t="inlineStr"/>
    </row>
    <row r="594" ht="15" customHeight="1">
      <c r="A594" t="inlineStr">
        <is>
          <t>A 35194-2021</t>
        </is>
      </c>
      <c r="B594" s="1" t="n">
        <v>44384</v>
      </c>
      <c r="C594" s="1" t="n">
        <v>45346</v>
      </c>
      <c r="D594" t="inlineStr">
        <is>
          <t>JÄMTLANDS LÄN</t>
        </is>
      </c>
      <c r="E594" t="inlineStr">
        <is>
          <t>HÄRJEDALEN</t>
        </is>
      </c>
      <c r="G594" t="n">
        <v>46.4</v>
      </c>
      <c r="H594" t="n">
        <v>0</v>
      </c>
      <c r="I594" t="n">
        <v>0</v>
      </c>
      <c r="J594" t="n">
        <v>0</v>
      </c>
      <c r="K594" t="n">
        <v>0</v>
      </c>
      <c r="L594" t="n">
        <v>0</v>
      </c>
      <c r="M594" t="n">
        <v>0</v>
      </c>
      <c r="N594" t="n">
        <v>0</v>
      </c>
      <c r="O594" t="n">
        <v>0</v>
      </c>
      <c r="P594" t="n">
        <v>0</v>
      </c>
      <c r="Q594" t="n">
        <v>0</v>
      </c>
      <c r="R594" s="2" t="inlineStr"/>
    </row>
    <row r="595" ht="15" customHeight="1">
      <c r="A595" t="inlineStr">
        <is>
          <t>A 35532-2021</t>
        </is>
      </c>
      <c r="B595" s="1" t="n">
        <v>44385</v>
      </c>
      <c r="C595" s="1" t="n">
        <v>45346</v>
      </c>
      <c r="D595" t="inlineStr">
        <is>
          <t>JÄMTLANDS LÄN</t>
        </is>
      </c>
      <c r="E595" t="inlineStr">
        <is>
          <t>HÄRJEDALEN</t>
        </is>
      </c>
      <c r="G595" t="n">
        <v>4.3</v>
      </c>
      <c r="H595" t="n">
        <v>0</v>
      </c>
      <c r="I595" t="n">
        <v>0</v>
      </c>
      <c r="J595" t="n">
        <v>0</v>
      </c>
      <c r="K595" t="n">
        <v>0</v>
      </c>
      <c r="L595" t="n">
        <v>0</v>
      </c>
      <c r="M595" t="n">
        <v>0</v>
      </c>
      <c r="N595" t="n">
        <v>0</v>
      </c>
      <c r="O595" t="n">
        <v>0</v>
      </c>
      <c r="P595" t="n">
        <v>0</v>
      </c>
      <c r="Q595" t="n">
        <v>0</v>
      </c>
      <c r="R595" s="2" t="inlineStr"/>
    </row>
    <row r="596" ht="15" customHeight="1">
      <c r="A596" t="inlineStr">
        <is>
          <t>A 35572-2021</t>
        </is>
      </c>
      <c r="B596" s="1" t="n">
        <v>44386</v>
      </c>
      <c r="C596" s="1" t="n">
        <v>45346</v>
      </c>
      <c r="D596" t="inlineStr">
        <is>
          <t>JÄMTLANDS LÄN</t>
        </is>
      </c>
      <c r="E596" t="inlineStr">
        <is>
          <t>HÄRJEDALEN</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35573-2021</t>
        </is>
      </c>
      <c r="B597" s="1" t="n">
        <v>44386</v>
      </c>
      <c r="C597" s="1" t="n">
        <v>45346</v>
      </c>
      <c r="D597" t="inlineStr">
        <is>
          <t>JÄMTLANDS LÄN</t>
        </is>
      </c>
      <c r="E597" t="inlineStr">
        <is>
          <t>HÄRJEDALEN</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36235-2021</t>
        </is>
      </c>
      <c r="B598" s="1" t="n">
        <v>44389</v>
      </c>
      <c r="C598" s="1" t="n">
        <v>45346</v>
      </c>
      <c r="D598" t="inlineStr">
        <is>
          <t>JÄMTLANDS LÄN</t>
        </is>
      </c>
      <c r="E598" t="inlineStr">
        <is>
          <t>HÄRJEDALEN</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37155-2021</t>
        </is>
      </c>
      <c r="B599" s="1" t="n">
        <v>44396</v>
      </c>
      <c r="C599" s="1" t="n">
        <v>45346</v>
      </c>
      <c r="D599" t="inlineStr">
        <is>
          <t>JÄMTLANDS LÄN</t>
        </is>
      </c>
      <c r="E599" t="inlineStr">
        <is>
          <t>HÄRJEDALEN</t>
        </is>
      </c>
      <c r="G599" t="n">
        <v>2.3</v>
      </c>
      <c r="H599" t="n">
        <v>0</v>
      </c>
      <c r="I599" t="n">
        <v>0</v>
      </c>
      <c r="J599" t="n">
        <v>0</v>
      </c>
      <c r="K599" t="n">
        <v>0</v>
      </c>
      <c r="L599" t="n">
        <v>0</v>
      </c>
      <c r="M599" t="n">
        <v>0</v>
      </c>
      <c r="N599" t="n">
        <v>0</v>
      </c>
      <c r="O599" t="n">
        <v>0</v>
      </c>
      <c r="P599" t="n">
        <v>0</v>
      </c>
      <c r="Q599" t="n">
        <v>0</v>
      </c>
      <c r="R599" s="2" t="inlineStr"/>
    </row>
    <row r="600" ht="15" customHeight="1">
      <c r="A600" t="inlineStr">
        <is>
          <t>A 37832-2021</t>
        </is>
      </c>
      <c r="B600" s="1" t="n">
        <v>44403</v>
      </c>
      <c r="C600" s="1" t="n">
        <v>45346</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37825-2021</t>
        </is>
      </c>
      <c r="B601" s="1" t="n">
        <v>44403</v>
      </c>
      <c r="C601" s="1" t="n">
        <v>45346</v>
      </c>
      <c r="D601" t="inlineStr">
        <is>
          <t>JÄMTLANDS LÄN</t>
        </is>
      </c>
      <c r="E601" t="inlineStr">
        <is>
          <t>HÄRJEDALEN</t>
        </is>
      </c>
      <c r="G601" t="n">
        <v>0.1</v>
      </c>
      <c r="H601" t="n">
        <v>0</v>
      </c>
      <c r="I601" t="n">
        <v>0</v>
      </c>
      <c r="J601" t="n">
        <v>0</v>
      </c>
      <c r="K601" t="n">
        <v>0</v>
      </c>
      <c r="L601" t="n">
        <v>0</v>
      </c>
      <c r="M601" t="n">
        <v>0</v>
      </c>
      <c r="N601" t="n">
        <v>0</v>
      </c>
      <c r="O601" t="n">
        <v>0</v>
      </c>
      <c r="P601" t="n">
        <v>0</v>
      </c>
      <c r="Q601" t="n">
        <v>0</v>
      </c>
      <c r="R601" s="2" t="inlineStr"/>
    </row>
    <row r="602" ht="15" customHeight="1">
      <c r="A602" t="inlineStr">
        <is>
          <t>A 38001-2021</t>
        </is>
      </c>
      <c r="B602" s="1" t="n">
        <v>44404</v>
      </c>
      <c r="C602" s="1" t="n">
        <v>45346</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38215-2021</t>
        </is>
      </c>
      <c r="B603" s="1" t="n">
        <v>44405</v>
      </c>
      <c r="C603" s="1" t="n">
        <v>45346</v>
      </c>
      <c r="D603" t="inlineStr">
        <is>
          <t>JÄMTLANDS LÄN</t>
        </is>
      </c>
      <c r="E603" t="inlineStr">
        <is>
          <t>HÄRJEDALEN</t>
        </is>
      </c>
      <c r="F603" t="inlineStr">
        <is>
          <t>Övriga Aktiebolag</t>
        </is>
      </c>
      <c r="G603" t="n">
        <v>6.4</v>
      </c>
      <c r="H603" t="n">
        <v>0</v>
      </c>
      <c r="I603" t="n">
        <v>0</v>
      </c>
      <c r="J603" t="n">
        <v>0</v>
      </c>
      <c r="K603" t="n">
        <v>0</v>
      </c>
      <c r="L603" t="n">
        <v>0</v>
      </c>
      <c r="M603" t="n">
        <v>0</v>
      </c>
      <c r="N603" t="n">
        <v>0</v>
      </c>
      <c r="O603" t="n">
        <v>0</v>
      </c>
      <c r="P603" t="n">
        <v>0</v>
      </c>
      <c r="Q603" t="n">
        <v>0</v>
      </c>
      <c r="R603" s="2" t="inlineStr"/>
    </row>
    <row r="604" ht="15" customHeight="1">
      <c r="A604" t="inlineStr">
        <is>
          <t>A 38356-2021</t>
        </is>
      </c>
      <c r="B604" s="1" t="n">
        <v>44406</v>
      </c>
      <c r="C604" s="1" t="n">
        <v>45346</v>
      </c>
      <c r="D604" t="inlineStr">
        <is>
          <t>JÄMTLANDS LÄN</t>
        </is>
      </c>
      <c r="E604" t="inlineStr">
        <is>
          <t>HÄRJEDALEN</t>
        </is>
      </c>
      <c r="G604" t="n">
        <v>5.4</v>
      </c>
      <c r="H604" t="n">
        <v>0</v>
      </c>
      <c r="I604" t="n">
        <v>0</v>
      </c>
      <c r="J604" t="n">
        <v>0</v>
      </c>
      <c r="K604" t="n">
        <v>0</v>
      </c>
      <c r="L604" t="n">
        <v>0</v>
      </c>
      <c r="M604" t="n">
        <v>0</v>
      </c>
      <c r="N604" t="n">
        <v>0</v>
      </c>
      <c r="O604" t="n">
        <v>0</v>
      </c>
      <c r="P604" t="n">
        <v>0</v>
      </c>
      <c r="Q604" t="n">
        <v>0</v>
      </c>
      <c r="R604" s="2" t="inlineStr"/>
    </row>
    <row r="605" ht="15" customHeight="1">
      <c r="A605" t="inlineStr">
        <is>
          <t>A 38794-2021</t>
        </is>
      </c>
      <c r="B605" s="1" t="n">
        <v>44410</v>
      </c>
      <c r="C605" s="1" t="n">
        <v>45346</v>
      </c>
      <c r="D605" t="inlineStr">
        <is>
          <t>JÄMTLANDS LÄN</t>
        </is>
      </c>
      <c r="E605" t="inlineStr">
        <is>
          <t>HÄRJEDALEN</t>
        </is>
      </c>
      <c r="G605" t="n">
        <v>4.2</v>
      </c>
      <c r="H605" t="n">
        <v>0</v>
      </c>
      <c r="I605" t="n">
        <v>0</v>
      </c>
      <c r="J605" t="n">
        <v>0</v>
      </c>
      <c r="K605" t="n">
        <v>0</v>
      </c>
      <c r="L605" t="n">
        <v>0</v>
      </c>
      <c r="M605" t="n">
        <v>0</v>
      </c>
      <c r="N605" t="n">
        <v>0</v>
      </c>
      <c r="O605" t="n">
        <v>0</v>
      </c>
      <c r="P605" t="n">
        <v>0</v>
      </c>
      <c r="Q605" t="n">
        <v>0</v>
      </c>
      <c r="R605" s="2" t="inlineStr"/>
    </row>
    <row r="606" ht="15" customHeight="1">
      <c r="A606" t="inlineStr">
        <is>
          <t>A 39321-2021</t>
        </is>
      </c>
      <c r="B606" s="1" t="n">
        <v>44413</v>
      </c>
      <c r="C606" s="1" t="n">
        <v>45346</v>
      </c>
      <c r="D606" t="inlineStr">
        <is>
          <t>JÄMTLANDS LÄN</t>
        </is>
      </c>
      <c r="E606" t="inlineStr">
        <is>
          <t>HÄRJEDALEN</t>
        </is>
      </c>
      <c r="G606" t="n">
        <v>3.6</v>
      </c>
      <c r="H606" t="n">
        <v>0</v>
      </c>
      <c r="I606" t="n">
        <v>0</v>
      </c>
      <c r="J606" t="n">
        <v>0</v>
      </c>
      <c r="K606" t="n">
        <v>0</v>
      </c>
      <c r="L606" t="n">
        <v>0</v>
      </c>
      <c r="M606" t="n">
        <v>0</v>
      </c>
      <c r="N606" t="n">
        <v>0</v>
      </c>
      <c r="O606" t="n">
        <v>0</v>
      </c>
      <c r="P606" t="n">
        <v>0</v>
      </c>
      <c r="Q606" t="n">
        <v>0</v>
      </c>
      <c r="R606" s="2" t="inlineStr"/>
    </row>
    <row r="607" ht="15" customHeight="1">
      <c r="A607" t="inlineStr">
        <is>
          <t>A 39493-2021</t>
        </is>
      </c>
      <c r="B607" s="1" t="n">
        <v>44414</v>
      </c>
      <c r="C607" s="1" t="n">
        <v>45346</v>
      </c>
      <c r="D607" t="inlineStr">
        <is>
          <t>JÄMTLANDS LÄN</t>
        </is>
      </c>
      <c r="E607" t="inlineStr">
        <is>
          <t>HÄRJEDALEN</t>
        </is>
      </c>
      <c r="G607" t="n">
        <v>13.5</v>
      </c>
      <c r="H607" t="n">
        <v>0</v>
      </c>
      <c r="I607" t="n">
        <v>0</v>
      </c>
      <c r="J607" t="n">
        <v>0</v>
      </c>
      <c r="K607" t="n">
        <v>0</v>
      </c>
      <c r="L607" t="n">
        <v>0</v>
      </c>
      <c r="M607" t="n">
        <v>0</v>
      </c>
      <c r="N607" t="n">
        <v>0</v>
      </c>
      <c r="O607" t="n">
        <v>0</v>
      </c>
      <c r="P607" t="n">
        <v>0</v>
      </c>
      <c r="Q607" t="n">
        <v>0</v>
      </c>
      <c r="R607" s="2" t="inlineStr"/>
    </row>
    <row r="608" ht="15" customHeight="1">
      <c r="A608" t="inlineStr">
        <is>
          <t>A 39492-2021</t>
        </is>
      </c>
      <c r="B608" s="1" t="n">
        <v>44414</v>
      </c>
      <c r="C608" s="1" t="n">
        <v>45346</v>
      </c>
      <c r="D608" t="inlineStr">
        <is>
          <t>JÄMTLANDS LÄN</t>
        </is>
      </c>
      <c r="E608" t="inlineStr">
        <is>
          <t>HÄRJEDALEN</t>
        </is>
      </c>
      <c r="G608" t="n">
        <v>28.3</v>
      </c>
      <c r="H608" t="n">
        <v>0</v>
      </c>
      <c r="I608" t="n">
        <v>0</v>
      </c>
      <c r="J608" t="n">
        <v>0</v>
      </c>
      <c r="K608" t="n">
        <v>0</v>
      </c>
      <c r="L608" t="n">
        <v>0</v>
      </c>
      <c r="M608" t="n">
        <v>0</v>
      </c>
      <c r="N608" t="n">
        <v>0</v>
      </c>
      <c r="O608" t="n">
        <v>0</v>
      </c>
      <c r="P608" t="n">
        <v>0</v>
      </c>
      <c r="Q608" t="n">
        <v>0</v>
      </c>
      <c r="R608" s="2" t="inlineStr"/>
    </row>
    <row r="609" ht="15" customHeight="1">
      <c r="A609" t="inlineStr">
        <is>
          <t>A 39610-2021</t>
        </is>
      </c>
      <c r="B609" s="1" t="n">
        <v>44417</v>
      </c>
      <c r="C609" s="1" t="n">
        <v>45346</v>
      </c>
      <c r="D609" t="inlineStr">
        <is>
          <t>JÄMTLANDS LÄN</t>
        </is>
      </c>
      <c r="E609" t="inlineStr">
        <is>
          <t>HÄRJEDALEN</t>
        </is>
      </c>
      <c r="G609" t="n">
        <v>5.1</v>
      </c>
      <c r="H609" t="n">
        <v>0</v>
      </c>
      <c r="I609" t="n">
        <v>0</v>
      </c>
      <c r="J609" t="n">
        <v>0</v>
      </c>
      <c r="K609" t="n">
        <v>0</v>
      </c>
      <c r="L609" t="n">
        <v>0</v>
      </c>
      <c r="M609" t="n">
        <v>0</v>
      </c>
      <c r="N609" t="n">
        <v>0</v>
      </c>
      <c r="O609" t="n">
        <v>0</v>
      </c>
      <c r="P609" t="n">
        <v>0</v>
      </c>
      <c r="Q609" t="n">
        <v>0</v>
      </c>
      <c r="R609" s="2" t="inlineStr"/>
    </row>
    <row r="610" ht="15" customHeight="1">
      <c r="A610" t="inlineStr">
        <is>
          <t>A 39616-2021</t>
        </is>
      </c>
      <c r="B610" s="1" t="n">
        <v>44417</v>
      </c>
      <c r="C610" s="1" t="n">
        <v>45346</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39611-2021</t>
        </is>
      </c>
      <c r="B611" s="1" t="n">
        <v>44417</v>
      </c>
      <c r="C611" s="1" t="n">
        <v>45346</v>
      </c>
      <c r="D611" t="inlineStr">
        <is>
          <t>JÄMTLANDS LÄN</t>
        </is>
      </c>
      <c r="E611" t="inlineStr">
        <is>
          <t>HÄRJEDALEN</t>
        </is>
      </c>
      <c r="G611" t="n">
        <v>2</v>
      </c>
      <c r="H611" t="n">
        <v>0</v>
      </c>
      <c r="I611" t="n">
        <v>0</v>
      </c>
      <c r="J611" t="n">
        <v>0</v>
      </c>
      <c r="K611" t="n">
        <v>0</v>
      </c>
      <c r="L611" t="n">
        <v>0</v>
      </c>
      <c r="M611" t="n">
        <v>0</v>
      </c>
      <c r="N611" t="n">
        <v>0</v>
      </c>
      <c r="O611" t="n">
        <v>0</v>
      </c>
      <c r="P611" t="n">
        <v>0</v>
      </c>
      <c r="Q611" t="n">
        <v>0</v>
      </c>
      <c r="R611" s="2" t="inlineStr"/>
    </row>
    <row r="612" ht="15" customHeight="1">
      <c r="A612" t="inlineStr">
        <is>
          <t>A 39631-2021</t>
        </is>
      </c>
      <c r="B612" s="1" t="n">
        <v>44417</v>
      </c>
      <c r="C612" s="1" t="n">
        <v>45346</v>
      </c>
      <c r="D612" t="inlineStr">
        <is>
          <t>JÄMTLANDS LÄN</t>
        </is>
      </c>
      <c r="E612" t="inlineStr">
        <is>
          <t>HÄRJEDALEN</t>
        </is>
      </c>
      <c r="G612" t="n">
        <v>4.3</v>
      </c>
      <c r="H612" t="n">
        <v>0</v>
      </c>
      <c r="I612" t="n">
        <v>0</v>
      </c>
      <c r="J612" t="n">
        <v>0</v>
      </c>
      <c r="K612" t="n">
        <v>0</v>
      </c>
      <c r="L612" t="n">
        <v>0</v>
      </c>
      <c r="M612" t="n">
        <v>0</v>
      </c>
      <c r="N612" t="n">
        <v>0</v>
      </c>
      <c r="O612" t="n">
        <v>0</v>
      </c>
      <c r="P612" t="n">
        <v>0</v>
      </c>
      <c r="Q612" t="n">
        <v>0</v>
      </c>
      <c r="R612" s="2" t="inlineStr"/>
    </row>
    <row r="613" ht="15" customHeight="1">
      <c r="A613" t="inlineStr">
        <is>
          <t>A 39618-2021</t>
        </is>
      </c>
      <c r="B613" s="1" t="n">
        <v>44417</v>
      </c>
      <c r="C613" s="1" t="n">
        <v>45346</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39979-2021</t>
        </is>
      </c>
      <c r="B614" s="1" t="n">
        <v>44418</v>
      </c>
      <c r="C614" s="1" t="n">
        <v>45346</v>
      </c>
      <c r="D614" t="inlineStr">
        <is>
          <t>JÄMTLANDS LÄN</t>
        </is>
      </c>
      <c r="E614" t="inlineStr">
        <is>
          <t>HÄRJEDALEN</t>
        </is>
      </c>
      <c r="G614" t="n">
        <v>9</v>
      </c>
      <c r="H614" t="n">
        <v>0</v>
      </c>
      <c r="I614" t="n">
        <v>0</v>
      </c>
      <c r="J614" t="n">
        <v>0</v>
      </c>
      <c r="K614" t="n">
        <v>0</v>
      </c>
      <c r="L614" t="n">
        <v>0</v>
      </c>
      <c r="M614" t="n">
        <v>0</v>
      </c>
      <c r="N614" t="n">
        <v>0</v>
      </c>
      <c r="O614" t="n">
        <v>0</v>
      </c>
      <c r="P614" t="n">
        <v>0</v>
      </c>
      <c r="Q614" t="n">
        <v>0</v>
      </c>
      <c r="R614" s="2" t="inlineStr"/>
    </row>
    <row r="615" ht="15" customHeight="1">
      <c r="A615" t="inlineStr">
        <is>
          <t>A 39951-2021</t>
        </is>
      </c>
      <c r="B615" s="1" t="n">
        <v>44418</v>
      </c>
      <c r="C615" s="1" t="n">
        <v>45346</v>
      </c>
      <c r="D615" t="inlineStr">
        <is>
          <t>JÄMTLANDS LÄN</t>
        </is>
      </c>
      <c r="E615" t="inlineStr">
        <is>
          <t>HÄRJEDALEN</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39950-2021</t>
        </is>
      </c>
      <c r="B616" s="1" t="n">
        <v>44418</v>
      </c>
      <c r="C616" s="1" t="n">
        <v>45346</v>
      </c>
      <c r="D616" t="inlineStr">
        <is>
          <t>JÄMTLANDS LÄN</t>
        </is>
      </c>
      <c r="E616" t="inlineStr">
        <is>
          <t>HÄRJEDALEN</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40412-2021</t>
        </is>
      </c>
      <c r="B617" s="1" t="n">
        <v>44419</v>
      </c>
      <c r="C617" s="1" t="n">
        <v>45346</v>
      </c>
      <c r="D617" t="inlineStr">
        <is>
          <t>JÄMTLANDS LÄN</t>
        </is>
      </c>
      <c r="E617" t="inlineStr">
        <is>
          <t>HÄRJEDALEN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40497-2021</t>
        </is>
      </c>
      <c r="B618" s="1" t="n">
        <v>44420</v>
      </c>
      <c r="C618" s="1" t="n">
        <v>45346</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40808-2021</t>
        </is>
      </c>
      <c r="B619" s="1" t="n">
        <v>44421</v>
      </c>
      <c r="C619" s="1" t="n">
        <v>45346</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41149-2021</t>
        </is>
      </c>
      <c r="B620" s="1" t="n">
        <v>44423</v>
      </c>
      <c r="C620" s="1" t="n">
        <v>45346</v>
      </c>
      <c r="D620" t="inlineStr">
        <is>
          <t>JÄMTLANDS LÄN</t>
        </is>
      </c>
      <c r="E620" t="inlineStr">
        <is>
          <t>HÄRJEDALEN</t>
        </is>
      </c>
      <c r="G620" t="n">
        <v>1.2</v>
      </c>
      <c r="H620" t="n">
        <v>0</v>
      </c>
      <c r="I620" t="n">
        <v>0</v>
      </c>
      <c r="J620" t="n">
        <v>0</v>
      </c>
      <c r="K620" t="n">
        <v>0</v>
      </c>
      <c r="L620" t="n">
        <v>0</v>
      </c>
      <c r="M620" t="n">
        <v>0</v>
      </c>
      <c r="N620" t="n">
        <v>0</v>
      </c>
      <c r="O620" t="n">
        <v>0</v>
      </c>
      <c r="P620" t="n">
        <v>0</v>
      </c>
      <c r="Q620" t="n">
        <v>0</v>
      </c>
      <c r="R620" s="2" t="inlineStr"/>
    </row>
    <row r="621" ht="15" customHeight="1">
      <c r="A621" t="inlineStr">
        <is>
          <t>A 41147-2021</t>
        </is>
      </c>
      <c r="B621" s="1" t="n">
        <v>44423</v>
      </c>
      <c r="C621" s="1" t="n">
        <v>45346</v>
      </c>
      <c r="D621" t="inlineStr">
        <is>
          <t>JÄMTLANDS LÄN</t>
        </is>
      </c>
      <c r="E621" t="inlineStr">
        <is>
          <t>HÄRJEDALEN</t>
        </is>
      </c>
      <c r="G621" t="n">
        <v>2.2</v>
      </c>
      <c r="H621" t="n">
        <v>0</v>
      </c>
      <c r="I621" t="n">
        <v>0</v>
      </c>
      <c r="J621" t="n">
        <v>0</v>
      </c>
      <c r="K621" t="n">
        <v>0</v>
      </c>
      <c r="L621" t="n">
        <v>0</v>
      </c>
      <c r="M621" t="n">
        <v>0</v>
      </c>
      <c r="N621" t="n">
        <v>0</v>
      </c>
      <c r="O621" t="n">
        <v>0</v>
      </c>
      <c r="P621" t="n">
        <v>0</v>
      </c>
      <c r="Q621" t="n">
        <v>0</v>
      </c>
      <c r="R621" s="2" t="inlineStr"/>
    </row>
    <row r="622" ht="15" customHeight="1">
      <c r="A622" t="inlineStr">
        <is>
          <t>A 41146-2021</t>
        </is>
      </c>
      <c r="B622" s="1" t="n">
        <v>44423</v>
      </c>
      <c r="C622" s="1" t="n">
        <v>45346</v>
      </c>
      <c r="D622" t="inlineStr">
        <is>
          <t>JÄMTLANDS LÄN</t>
        </is>
      </c>
      <c r="E622" t="inlineStr">
        <is>
          <t>HÄRJEDALEN</t>
        </is>
      </c>
      <c r="G622" t="n">
        <v>14.9</v>
      </c>
      <c r="H622" t="n">
        <v>0</v>
      </c>
      <c r="I622" t="n">
        <v>0</v>
      </c>
      <c r="J622" t="n">
        <v>0</v>
      </c>
      <c r="K622" t="n">
        <v>0</v>
      </c>
      <c r="L622" t="n">
        <v>0</v>
      </c>
      <c r="M622" t="n">
        <v>0</v>
      </c>
      <c r="N622" t="n">
        <v>0</v>
      </c>
      <c r="O622" t="n">
        <v>0</v>
      </c>
      <c r="P622" t="n">
        <v>0</v>
      </c>
      <c r="Q622" t="n">
        <v>0</v>
      </c>
      <c r="R622" s="2" t="inlineStr"/>
    </row>
    <row r="623" ht="15" customHeight="1">
      <c r="A623" t="inlineStr">
        <is>
          <t>A 41387-2021</t>
        </is>
      </c>
      <c r="B623" s="1" t="n">
        <v>44424</v>
      </c>
      <c r="C623" s="1" t="n">
        <v>45346</v>
      </c>
      <c r="D623" t="inlineStr">
        <is>
          <t>JÄMTLANDS LÄN</t>
        </is>
      </c>
      <c r="E623" t="inlineStr">
        <is>
          <t>HÄRJEDALEN</t>
        </is>
      </c>
      <c r="G623" t="n">
        <v>9.5</v>
      </c>
      <c r="H623" t="n">
        <v>0</v>
      </c>
      <c r="I623" t="n">
        <v>0</v>
      </c>
      <c r="J623" t="n">
        <v>0</v>
      </c>
      <c r="K623" t="n">
        <v>0</v>
      </c>
      <c r="L623" t="n">
        <v>0</v>
      </c>
      <c r="M623" t="n">
        <v>0</v>
      </c>
      <c r="N623" t="n">
        <v>0</v>
      </c>
      <c r="O623" t="n">
        <v>0</v>
      </c>
      <c r="P623" t="n">
        <v>0</v>
      </c>
      <c r="Q623" t="n">
        <v>0</v>
      </c>
      <c r="R623" s="2" t="inlineStr"/>
    </row>
    <row r="624" ht="15" customHeight="1">
      <c r="A624" t="inlineStr">
        <is>
          <t>A 41395-2021</t>
        </is>
      </c>
      <c r="B624" s="1" t="n">
        <v>44424</v>
      </c>
      <c r="C624" s="1" t="n">
        <v>45346</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41400-2021</t>
        </is>
      </c>
      <c r="B625" s="1" t="n">
        <v>44424</v>
      </c>
      <c r="C625" s="1" t="n">
        <v>45346</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41391-2021</t>
        </is>
      </c>
      <c r="B626" s="1" t="n">
        <v>44424</v>
      </c>
      <c r="C626" s="1" t="n">
        <v>45346</v>
      </c>
      <c r="D626" t="inlineStr">
        <is>
          <t>JÄMTLANDS LÄN</t>
        </is>
      </c>
      <c r="E626" t="inlineStr">
        <is>
          <t>HÄRJEDALEN</t>
        </is>
      </c>
      <c r="G626" t="n">
        <v>1.5</v>
      </c>
      <c r="H626" t="n">
        <v>0</v>
      </c>
      <c r="I626" t="n">
        <v>0</v>
      </c>
      <c r="J626" t="n">
        <v>0</v>
      </c>
      <c r="K626" t="n">
        <v>0</v>
      </c>
      <c r="L626" t="n">
        <v>0</v>
      </c>
      <c r="M626" t="n">
        <v>0</v>
      </c>
      <c r="N626" t="n">
        <v>0</v>
      </c>
      <c r="O626" t="n">
        <v>0</v>
      </c>
      <c r="P626" t="n">
        <v>0</v>
      </c>
      <c r="Q626" t="n">
        <v>0</v>
      </c>
      <c r="R626" s="2" t="inlineStr"/>
    </row>
    <row r="627" ht="15" customHeight="1">
      <c r="A627" t="inlineStr">
        <is>
          <t>A 41978-2021</t>
        </is>
      </c>
      <c r="B627" s="1" t="n">
        <v>44426</v>
      </c>
      <c r="C627" s="1" t="n">
        <v>45346</v>
      </c>
      <c r="D627" t="inlineStr">
        <is>
          <t>JÄMTLANDS LÄN</t>
        </is>
      </c>
      <c r="E627" t="inlineStr">
        <is>
          <t>HÄRJEDALEN</t>
        </is>
      </c>
      <c r="G627" t="n">
        <v>2</v>
      </c>
      <c r="H627" t="n">
        <v>0</v>
      </c>
      <c r="I627" t="n">
        <v>0</v>
      </c>
      <c r="J627" t="n">
        <v>0</v>
      </c>
      <c r="K627" t="n">
        <v>0</v>
      </c>
      <c r="L627" t="n">
        <v>0</v>
      </c>
      <c r="M627" t="n">
        <v>0</v>
      </c>
      <c r="N627" t="n">
        <v>0</v>
      </c>
      <c r="O627" t="n">
        <v>0</v>
      </c>
      <c r="P627" t="n">
        <v>0</v>
      </c>
      <c r="Q627" t="n">
        <v>0</v>
      </c>
      <c r="R627" s="2" t="inlineStr"/>
    </row>
    <row r="628" ht="15" customHeight="1">
      <c r="A628" t="inlineStr">
        <is>
          <t>A 42827-2021</t>
        </is>
      </c>
      <c r="B628" s="1" t="n">
        <v>44430</v>
      </c>
      <c r="C628" s="1" t="n">
        <v>45346</v>
      </c>
      <c r="D628" t="inlineStr">
        <is>
          <t>JÄMTLANDS LÄN</t>
        </is>
      </c>
      <c r="E628" t="inlineStr">
        <is>
          <t>HÄRJEDALEN</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44519-2021</t>
        </is>
      </c>
      <c r="B629" s="1" t="n">
        <v>44435</v>
      </c>
      <c r="C629" s="1" t="n">
        <v>45346</v>
      </c>
      <c r="D629" t="inlineStr">
        <is>
          <t>JÄMTLANDS LÄN</t>
        </is>
      </c>
      <c r="E629" t="inlineStr">
        <is>
          <t>HÄRJEDALEN</t>
        </is>
      </c>
      <c r="F629" t="inlineStr">
        <is>
          <t>Kyrkan</t>
        </is>
      </c>
      <c r="G629" t="n">
        <v>6.7</v>
      </c>
      <c r="H629" t="n">
        <v>0</v>
      </c>
      <c r="I629" t="n">
        <v>0</v>
      </c>
      <c r="J629" t="n">
        <v>0</v>
      </c>
      <c r="K629" t="n">
        <v>0</v>
      </c>
      <c r="L629" t="n">
        <v>0</v>
      </c>
      <c r="M629" t="n">
        <v>0</v>
      </c>
      <c r="N629" t="n">
        <v>0</v>
      </c>
      <c r="O629" t="n">
        <v>0</v>
      </c>
      <c r="P629" t="n">
        <v>0</v>
      </c>
      <c r="Q629" t="n">
        <v>0</v>
      </c>
      <c r="R629" s="2" t="inlineStr"/>
    </row>
    <row r="630" ht="15" customHeight="1">
      <c r="A630" t="inlineStr">
        <is>
          <t>A 45409-2021</t>
        </is>
      </c>
      <c r="B630" s="1" t="n">
        <v>44440</v>
      </c>
      <c r="C630" s="1" t="n">
        <v>45346</v>
      </c>
      <c r="D630" t="inlineStr">
        <is>
          <t>JÄMTLANDS LÄN</t>
        </is>
      </c>
      <c r="E630" t="inlineStr">
        <is>
          <t>HÄRJEDALEN</t>
        </is>
      </c>
      <c r="G630" t="n">
        <v>18.9</v>
      </c>
      <c r="H630" t="n">
        <v>0</v>
      </c>
      <c r="I630" t="n">
        <v>0</v>
      </c>
      <c r="J630" t="n">
        <v>0</v>
      </c>
      <c r="K630" t="n">
        <v>0</v>
      </c>
      <c r="L630" t="n">
        <v>0</v>
      </c>
      <c r="M630" t="n">
        <v>0</v>
      </c>
      <c r="N630" t="n">
        <v>0</v>
      </c>
      <c r="O630" t="n">
        <v>0</v>
      </c>
      <c r="P630" t="n">
        <v>0</v>
      </c>
      <c r="Q630" t="n">
        <v>0</v>
      </c>
      <c r="R630" s="2" t="inlineStr"/>
    </row>
    <row r="631" ht="15" customHeight="1">
      <c r="A631" t="inlineStr">
        <is>
          <t>A 45363-2021</t>
        </is>
      </c>
      <c r="B631" s="1" t="n">
        <v>44440</v>
      </c>
      <c r="C631" s="1" t="n">
        <v>45346</v>
      </c>
      <c r="D631" t="inlineStr">
        <is>
          <t>JÄMTLANDS LÄN</t>
        </is>
      </c>
      <c r="E631" t="inlineStr">
        <is>
          <t>HÄRJEDALEN</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45557-2021</t>
        </is>
      </c>
      <c r="B632" s="1" t="n">
        <v>44440</v>
      </c>
      <c r="C632" s="1" t="n">
        <v>45346</v>
      </c>
      <c r="D632" t="inlineStr">
        <is>
          <t>JÄMTLANDS LÄN</t>
        </is>
      </c>
      <c r="E632" t="inlineStr">
        <is>
          <t>HÄRJEDALEN</t>
        </is>
      </c>
      <c r="G632" t="n">
        <v>11.4</v>
      </c>
      <c r="H632" t="n">
        <v>0</v>
      </c>
      <c r="I632" t="n">
        <v>0</v>
      </c>
      <c r="J632" t="n">
        <v>0</v>
      </c>
      <c r="K632" t="n">
        <v>0</v>
      </c>
      <c r="L632" t="n">
        <v>0</v>
      </c>
      <c r="M632" t="n">
        <v>0</v>
      </c>
      <c r="N632" t="n">
        <v>0</v>
      </c>
      <c r="O632" t="n">
        <v>0</v>
      </c>
      <c r="P632" t="n">
        <v>0</v>
      </c>
      <c r="Q632" t="n">
        <v>0</v>
      </c>
      <c r="R632" s="2" t="inlineStr"/>
    </row>
    <row r="633" ht="15" customHeight="1">
      <c r="A633" t="inlineStr">
        <is>
          <t>A 45365-2021</t>
        </is>
      </c>
      <c r="B633" s="1" t="n">
        <v>44440</v>
      </c>
      <c r="C633" s="1" t="n">
        <v>45346</v>
      </c>
      <c r="D633" t="inlineStr">
        <is>
          <t>JÄMTLANDS LÄN</t>
        </is>
      </c>
      <c r="E633" t="inlineStr">
        <is>
          <t>HÄRJEDALEN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45717-2021</t>
        </is>
      </c>
      <c r="B634" s="1" t="n">
        <v>44441</v>
      </c>
      <c r="C634" s="1" t="n">
        <v>45346</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45744-2021</t>
        </is>
      </c>
      <c r="B635" s="1" t="n">
        <v>44441</v>
      </c>
      <c r="C635" s="1" t="n">
        <v>45346</v>
      </c>
      <c r="D635" t="inlineStr">
        <is>
          <t>JÄMTLANDS LÄN</t>
        </is>
      </c>
      <c r="E635" t="inlineStr">
        <is>
          <t>HÄRJEDALEN</t>
        </is>
      </c>
      <c r="F635" t="inlineStr">
        <is>
          <t>Holmen skog AB</t>
        </is>
      </c>
      <c r="G635" t="n">
        <v>6.9</v>
      </c>
      <c r="H635" t="n">
        <v>0</v>
      </c>
      <c r="I635" t="n">
        <v>0</v>
      </c>
      <c r="J635" t="n">
        <v>0</v>
      </c>
      <c r="K635" t="n">
        <v>0</v>
      </c>
      <c r="L635" t="n">
        <v>0</v>
      </c>
      <c r="M635" t="n">
        <v>0</v>
      </c>
      <c r="N635" t="n">
        <v>0</v>
      </c>
      <c r="O635" t="n">
        <v>0</v>
      </c>
      <c r="P635" t="n">
        <v>0</v>
      </c>
      <c r="Q635" t="n">
        <v>0</v>
      </c>
      <c r="R635" s="2" t="inlineStr"/>
    </row>
    <row r="636" ht="15" customHeight="1">
      <c r="A636" t="inlineStr">
        <is>
          <t>A 46352-2021</t>
        </is>
      </c>
      <c r="B636" s="1" t="n">
        <v>44442</v>
      </c>
      <c r="C636" s="1" t="n">
        <v>45346</v>
      </c>
      <c r="D636" t="inlineStr">
        <is>
          <t>JÄMTLANDS LÄN</t>
        </is>
      </c>
      <c r="E636" t="inlineStr">
        <is>
          <t>HÄRJEDALEN</t>
        </is>
      </c>
      <c r="G636" t="n">
        <v>4.4</v>
      </c>
      <c r="H636" t="n">
        <v>0</v>
      </c>
      <c r="I636" t="n">
        <v>0</v>
      </c>
      <c r="J636" t="n">
        <v>0</v>
      </c>
      <c r="K636" t="n">
        <v>0</v>
      </c>
      <c r="L636" t="n">
        <v>0</v>
      </c>
      <c r="M636" t="n">
        <v>0</v>
      </c>
      <c r="N636" t="n">
        <v>0</v>
      </c>
      <c r="O636" t="n">
        <v>0</v>
      </c>
      <c r="P636" t="n">
        <v>0</v>
      </c>
      <c r="Q636" t="n">
        <v>0</v>
      </c>
      <c r="R636" s="2" t="inlineStr"/>
    </row>
    <row r="637" ht="15" customHeight="1">
      <c r="A637" t="inlineStr">
        <is>
          <t>A 47289-2021</t>
        </is>
      </c>
      <c r="B637" s="1" t="n">
        <v>44447</v>
      </c>
      <c r="C637" s="1" t="n">
        <v>45346</v>
      </c>
      <c r="D637" t="inlineStr">
        <is>
          <t>JÄMTLANDS LÄN</t>
        </is>
      </c>
      <c r="E637" t="inlineStr">
        <is>
          <t>HÄRJEDALEN</t>
        </is>
      </c>
      <c r="F637" t="inlineStr">
        <is>
          <t>Holmen skog AB</t>
        </is>
      </c>
      <c r="G637" t="n">
        <v>31.7</v>
      </c>
      <c r="H637" t="n">
        <v>0</v>
      </c>
      <c r="I637" t="n">
        <v>0</v>
      </c>
      <c r="J637" t="n">
        <v>0</v>
      </c>
      <c r="K637" t="n">
        <v>0</v>
      </c>
      <c r="L637" t="n">
        <v>0</v>
      </c>
      <c r="M637" t="n">
        <v>0</v>
      </c>
      <c r="N637" t="n">
        <v>0</v>
      </c>
      <c r="O637" t="n">
        <v>0</v>
      </c>
      <c r="P637" t="n">
        <v>0</v>
      </c>
      <c r="Q637" t="n">
        <v>0</v>
      </c>
      <c r="R637" s="2" t="inlineStr"/>
    </row>
    <row r="638" ht="15" customHeight="1">
      <c r="A638" t="inlineStr">
        <is>
          <t>A 48065-2021</t>
        </is>
      </c>
      <c r="B638" s="1" t="n">
        <v>44449</v>
      </c>
      <c r="C638" s="1" t="n">
        <v>45346</v>
      </c>
      <c r="D638" t="inlineStr">
        <is>
          <t>JÄMTLANDS LÄN</t>
        </is>
      </c>
      <c r="E638" t="inlineStr">
        <is>
          <t>HÄRJEDALEN</t>
        </is>
      </c>
      <c r="G638" t="n">
        <v>24.8</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45346</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45346</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45346</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45346</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45346</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45346</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45346</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45346</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45346</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45346</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45346</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45346</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54420-2021</t>
        </is>
      </c>
      <c r="B651" s="1" t="n">
        <v>44473</v>
      </c>
      <c r="C651" s="1" t="n">
        <v>45346</v>
      </c>
      <c r="D651" t="inlineStr">
        <is>
          <t>JÄMTLANDS LÄN</t>
        </is>
      </c>
      <c r="E651" t="inlineStr">
        <is>
          <t>HÄRJEDALEN</t>
        </is>
      </c>
      <c r="F651" t="inlineStr">
        <is>
          <t>Bergvik skog väst AB</t>
        </is>
      </c>
      <c r="G651" t="n">
        <v>18.5</v>
      </c>
      <c r="H651" t="n">
        <v>0</v>
      </c>
      <c r="I651" t="n">
        <v>0</v>
      </c>
      <c r="J651" t="n">
        <v>0</v>
      </c>
      <c r="K651" t="n">
        <v>0</v>
      </c>
      <c r="L651" t="n">
        <v>0</v>
      </c>
      <c r="M651" t="n">
        <v>0</v>
      </c>
      <c r="N651" t="n">
        <v>0</v>
      </c>
      <c r="O651" t="n">
        <v>0</v>
      </c>
      <c r="P651" t="n">
        <v>0</v>
      </c>
      <c r="Q651" t="n">
        <v>0</v>
      </c>
      <c r="R651" s="2" t="inlineStr"/>
    </row>
    <row r="652" ht="15" customHeight="1">
      <c r="A652" t="inlineStr">
        <is>
          <t>A 54842-2021</t>
        </is>
      </c>
      <c r="B652" s="1" t="n">
        <v>44473</v>
      </c>
      <c r="C652" s="1" t="n">
        <v>45346</v>
      </c>
      <c r="D652" t="inlineStr">
        <is>
          <t>JÄMTLANDS LÄN</t>
        </is>
      </c>
      <c r="E652" t="inlineStr">
        <is>
          <t>HÄRJEDALEN</t>
        </is>
      </c>
      <c r="G652" t="n">
        <v>0.6</v>
      </c>
      <c r="H652" t="n">
        <v>0</v>
      </c>
      <c r="I652" t="n">
        <v>0</v>
      </c>
      <c r="J652" t="n">
        <v>0</v>
      </c>
      <c r="K652" t="n">
        <v>0</v>
      </c>
      <c r="L652" t="n">
        <v>0</v>
      </c>
      <c r="M652" t="n">
        <v>0</v>
      </c>
      <c r="N652" t="n">
        <v>0</v>
      </c>
      <c r="O652" t="n">
        <v>0</v>
      </c>
      <c r="P652" t="n">
        <v>0</v>
      </c>
      <c r="Q652" t="n">
        <v>0</v>
      </c>
      <c r="R652" s="2" t="inlineStr"/>
    </row>
    <row r="653" ht="15" customHeight="1">
      <c r="A653" t="inlineStr">
        <is>
          <t>A 55029-2021</t>
        </is>
      </c>
      <c r="B653" s="1" t="n">
        <v>44474</v>
      </c>
      <c r="C653" s="1" t="n">
        <v>45346</v>
      </c>
      <c r="D653" t="inlineStr">
        <is>
          <t>JÄMTLANDS LÄN</t>
        </is>
      </c>
      <c r="E653" t="inlineStr">
        <is>
          <t>HÄRJEDALEN</t>
        </is>
      </c>
      <c r="G653" t="n">
        <v>6.2</v>
      </c>
      <c r="H653" t="n">
        <v>0</v>
      </c>
      <c r="I653" t="n">
        <v>0</v>
      </c>
      <c r="J653" t="n">
        <v>0</v>
      </c>
      <c r="K653" t="n">
        <v>0</v>
      </c>
      <c r="L653" t="n">
        <v>0</v>
      </c>
      <c r="M653" t="n">
        <v>0</v>
      </c>
      <c r="N653" t="n">
        <v>0</v>
      </c>
      <c r="O653" t="n">
        <v>0</v>
      </c>
      <c r="P653" t="n">
        <v>0</v>
      </c>
      <c r="Q653" t="n">
        <v>0</v>
      </c>
      <c r="R653" s="2" t="inlineStr"/>
    </row>
    <row r="654" ht="15" customHeight="1">
      <c r="A654" t="inlineStr">
        <is>
          <t>A 55219-2021</t>
        </is>
      </c>
      <c r="B654" s="1" t="n">
        <v>44475</v>
      </c>
      <c r="C654" s="1" t="n">
        <v>45346</v>
      </c>
      <c r="D654" t="inlineStr">
        <is>
          <t>JÄMTLANDS LÄN</t>
        </is>
      </c>
      <c r="E654" t="inlineStr">
        <is>
          <t>HÄRJEDALEN</t>
        </is>
      </c>
      <c r="G654" t="n">
        <v>2.5</v>
      </c>
      <c r="H654" t="n">
        <v>0</v>
      </c>
      <c r="I654" t="n">
        <v>0</v>
      </c>
      <c r="J654" t="n">
        <v>0</v>
      </c>
      <c r="K654" t="n">
        <v>0</v>
      </c>
      <c r="L654" t="n">
        <v>0</v>
      </c>
      <c r="M654" t="n">
        <v>0</v>
      </c>
      <c r="N654" t="n">
        <v>0</v>
      </c>
      <c r="O654" t="n">
        <v>0</v>
      </c>
      <c r="P654" t="n">
        <v>0</v>
      </c>
      <c r="Q654" t="n">
        <v>0</v>
      </c>
      <c r="R654" s="2" t="inlineStr"/>
    </row>
    <row r="655" ht="15" customHeight="1">
      <c r="A655" t="inlineStr">
        <is>
          <t>A 55226-2021</t>
        </is>
      </c>
      <c r="B655" s="1" t="n">
        <v>44475</v>
      </c>
      <c r="C655" s="1" t="n">
        <v>45346</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55232-2021</t>
        </is>
      </c>
      <c r="B656" s="1" t="n">
        <v>44475</v>
      </c>
      <c r="C656" s="1" t="n">
        <v>45346</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55250-2021</t>
        </is>
      </c>
      <c r="B657" s="1" t="n">
        <v>44475</v>
      </c>
      <c r="C657" s="1" t="n">
        <v>45346</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55231-2021</t>
        </is>
      </c>
      <c r="B658" s="1" t="n">
        <v>44475</v>
      </c>
      <c r="C658" s="1" t="n">
        <v>45346</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55238-2021</t>
        </is>
      </c>
      <c r="B659" s="1" t="n">
        <v>44475</v>
      </c>
      <c r="C659" s="1" t="n">
        <v>45346</v>
      </c>
      <c r="D659" t="inlineStr">
        <is>
          <t>JÄMTLANDS LÄN</t>
        </is>
      </c>
      <c r="E659" t="inlineStr">
        <is>
          <t>HÄRJEDALEN</t>
        </is>
      </c>
      <c r="G659" t="n">
        <v>2.2</v>
      </c>
      <c r="H659" t="n">
        <v>0</v>
      </c>
      <c r="I659" t="n">
        <v>0</v>
      </c>
      <c r="J659" t="n">
        <v>0</v>
      </c>
      <c r="K659" t="n">
        <v>0</v>
      </c>
      <c r="L659" t="n">
        <v>0</v>
      </c>
      <c r="M659" t="n">
        <v>0</v>
      </c>
      <c r="N659" t="n">
        <v>0</v>
      </c>
      <c r="O659" t="n">
        <v>0</v>
      </c>
      <c r="P659" t="n">
        <v>0</v>
      </c>
      <c r="Q659" t="n">
        <v>0</v>
      </c>
      <c r="R659" s="2" t="inlineStr"/>
    </row>
    <row r="660" ht="15" customHeight="1">
      <c r="A660" t="inlineStr">
        <is>
          <t>A 55242-2021</t>
        </is>
      </c>
      <c r="B660" s="1" t="n">
        <v>44475</v>
      </c>
      <c r="C660" s="1" t="n">
        <v>45346</v>
      </c>
      <c r="D660" t="inlineStr">
        <is>
          <t>JÄMTLANDS LÄN</t>
        </is>
      </c>
      <c r="E660" t="inlineStr">
        <is>
          <t>HÄRJEDALEN</t>
        </is>
      </c>
      <c r="G660" t="n">
        <v>26</v>
      </c>
      <c r="H660" t="n">
        <v>0</v>
      </c>
      <c r="I660" t="n">
        <v>0</v>
      </c>
      <c r="J660" t="n">
        <v>0</v>
      </c>
      <c r="K660" t="n">
        <v>0</v>
      </c>
      <c r="L660" t="n">
        <v>0</v>
      </c>
      <c r="M660" t="n">
        <v>0</v>
      </c>
      <c r="N660" t="n">
        <v>0</v>
      </c>
      <c r="O660" t="n">
        <v>0</v>
      </c>
      <c r="P660" t="n">
        <v>0</v>
      </c>
      <c r="Q660" t="n">
        <v>0</v>
      </c>
      <c r="R660" s="2" t="inlineStr"/>
    </row>
    <row r="661" ht="15" customHeight="1">
      <c r="A661" t="inlineStr">
        <is>
          <t>A 55252-2021</t>
        </is>
      </c>
      <c r="B661" s="1" t="n">
        <v>44475</v>
      </c>
      <c r="C661" s="1" t="n">
        <v>45346</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55257-2021</t>
        </is>
      </c>
      <c r="B662" s="1" t="n">
        <v>44475</v>
      </c>
      <c r="C662" s="1" t="n">
        <v>45346</v>
      </c>
      <c r="D662" t="inlineStr">
        <is>
          <t>JÄMTLANDS LÄN</t>
        </is>
      </c>
      <c r="E662" t="inlineStr">
        <is>
          <t>HÄRJEDALEN</t>
        </is>
      </c>
      <c r="G662" t="n">
        <v>0</v>
      </c>
      <c r="H662" t="n">
        <v>0</v>
      </c>
      <c r="I662" t="n">
        <v>0</v>
      </c>
      <c r="J662" t="n">
        <v>0</v>
      </c>
      <c r="K662" t="n">
        <v>0</v>
      </c>
      <c r="L662" t="n">
        <v>0</v>
      </c>
      <c r="M662" t="n">
        <v>0</v>
      </c>
      <c r="N662" t="n">
        <v>0</v>
      </c>
      <c r="O662" t="n">
        <v>0</v>
      </c>
      <c r="P662" t="n">
        <v>0</v>
      </c>
      <c r="Q662" t="n">
        <v>0</v>
      </c>
      <c r="R662" s="2" t="inlineStr"/>
    </row>
    <row r="663" ht="15" customHeight="1">
      <c r="A663" t="inlineStr">
        <is>
          <t>A 55255-2021</t>
        </is>
      </c>
      <c r="B663" s="1" t="n">
        <v>44475</v>
      </c>
      <c r="C663" s="1" t="n">
        <v>45346</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55246-2021</t>
        </is>
      </c>
      <c r="B664" s="1" t="n">
        <v>44475</v>
      </c>
      <c r="C664" s="1" t="n">
        <v>45346</v>
      </c>
      <c r="D664" t="inlineStr">
        <is>
          <t>JÄMTLANDS LÄN</t>
        </is>
      </c>
      <c r="E664" t="inlineStr">
        <is>
          <t>HÄRJEDALEN</t>
        </is>
      </c>
      <c r="G664" t="n">
        <v>3.8</v>
      </c>
      <c r="H664" t="n">
        <v>0</v>
      </c>
      <c r="I664" t="n">
        <v>0</v>
      </c>
      <c r="J664" t="n">
        <v>0</v>
      </c>
      <c r="K664" t="n">
        <v>0</v>
      </c>
      <c r="L664" t="n">
        <v>0</v>
      </c>
      <c r="M664" t="n">
        <v>0</v>
      </c>
      <c r="N664" t="n">
        <v>0</v>
      </c>
      <c r="O664" t="n">
        <v>0</v>
      </c>
      <c r="P664" t="n">
        <v>0</v>
      </c>
      <c r="Q664" t="n">
        <v>0</v>
      </c>
      <c r="R664" s="2" t="inlineStr"/>
    </row>
    <row r="665" ht="15" customHeight="1">
      <c r="A665" t="inlineStr">
        <is>
          <t>A 55384-2021</t>
        </is>
      </c>
      <c r="B665" s="1" t="n">
        <v>44475</v>
      </c>
      <c r="C665" s="1" t="n">
        <v>45346</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55379-2021</t>
        </is>
      </c>
      <c r="B666" s="1" t="n">
        <v>44475</v>
      </c>
      <c r="C666" s="1" t="n">
        <v>45346</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55388-2021</t>
        </is>
      </c>
      <c r="B667" s="1" t="n">
        <v>44475</v>
      </c>
      <c r="C667" s="1" t="n">
        <v>45346</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55396-2021</t>
        </is>
      </c>
      <c r="B668" s="1" t="n">
        <v>44475</v>
      </c>
      <c r="C668" s="1" t="n">
        <v>45346</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55385-2021</t>
        </is>
      </c>
      <c r="B669" s="1" t="n">
        <v>44475</v>
      </c>
      <c r="C669" s="1" t="n">
        <v>45346</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55381-2021</t>
        </is>
      </c>
      <c r="B670" s="1" t="n">
        <v>44475</v>
      </c>
      <c r="C670" s="1" t="n">
        <v>45346</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55399-2021</t>
        </is>
      </c>
      <c r="B671" s="1" t="n">
        <v>44475</v>
      </c>
      <c r="C671" s="1" t="n">
        <v>45346</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55517-2021</t>
        </is>
      </c>
      <c r="B672" s="1" t="n">
        <v>44475</v>
      </c>
      <c r="C672" s="1" t="n">
        <v>45346</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55542-2021</t>
        </is>
      </c>
      <c r="B673" s="1" t="n">
        <v>44475</v>
      </c>
      <c r="C673" s="1" t="n">
        <v>45346</v>
      </c>
      <c r="D673" t="inlineStr">
        <is>
          <t>JÄMTLANDS LÄN</t>
        </is>
      </c>
      <c r="E673" t="inlineStr">
        <is>
          <t>HÄRJEDALEN</t>
        </is>
      </c>
      <c r="G673" t="n">
        <v>1.3</v>
      </c>
      <c r="H673" t="n">
        <v>0</v>
      </c>
      <c r="I673" t="n">
        <v>0</v>
      </c>
      <c r="J673" t="n">
        <v>0</v>
      </c>
      <c r="K673" t="n">
        <v>0</v>
      </c>
      <c r="L673" t="n">
        <v>0</v>
      </c>
      <c r="M673" t="n">
        <v>0</v>
      </c>
      <c r="N673" t="n">
        <v>0</v>
      </c>
      <c r="O673" t="n">
        <v>0</v>
      </c>
      <c r="P673" t="n">
        <v>0</v>
      </c>
      <c r="Q673" t="n">
        <v>0</v>
      </c>
      <c r="R673" s="2" t="inlineStr"/>
    </row>
    <row r="674" ht="15" customHeight="1">
      <c r="A674" t="inlineStr">
        <is>
          <t>A 55393-2021</t>
        </is>
      </c>
      <c r="B674" s="1" t="n">
        <v>44475</v>
      </c>
      <c r="C674" s="1" t="n">
        <v>45346</v>
      </c>
      <c r="D674" t="inlineStr">
        <is>
          <t>JÄMTLANDS LÄN</t>
        </is>
      </c>
      <c r="E674" t="inlineStr">
        <is>
          <t>HÄRJEDALEN</t>
        </is>
      </c>
      <c r="G674" t="n">
        <v>3</v>
      </c>
      <c r="H674" t="n">
        <v>0</v>
      </c>
      <c r="I674" t="n">
        <v>0</v>
      </c>
      <c r="J674" t="n">
        <v>0</v>
      </c>
      <c r="K674" t="n">
        <v>0</v>
      </c>
      <c r="L674" t="n">
        <v>0</v>
      </c>
      <c r="M674" t="n">
        <v>0</v>
      </c>
      <c r="N674" t="n">
        <v>0</v>
      </c>
      <c r="O674" t="n">
        <v>0</v>
      </c>
      <c r="P674" t="n">
        <v>0</v>
      </c>
      <c r="Q674" t="n">
        <v>0</v>
      </c>
      <c r="R674" s="2" t="inlineStr"/>
    </row>
    <row r="675" ht="15" customHeight="1">
      <c r="A675" t="inlineStr">
        <is>
          <t>A 55215-2021</t>
        </is>
      </c>
      <c r="B675" s="1" t="n">
        <v>44475</v>
      </c>
      <c r="C675" s="1" t="n">
        <v>45346</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56852-2021</t>
        </is>
      </c>
      <c r="B676" s="1" t="n">
        <v>44481</v>
      </c>
      <c r="C676" s="1" t="n">
        <v>45346</v>
      </c>
      <c r="D676" t="inlineStr">
        <is>
          <t>JÄMTLANDS LÄN</t>
        </is>
      </c>
      <c r="E676" t="inlineStr">
        <is>
          <t>HÄRJEDALEN</t>
        </is>
      </c>
      <c r="G676" t="n">
        <v>2.8</v>
      </c>
      <c r="H676" t="n">
        <v>0</v>
      </c>
      <c r="I676" t="n">
        <v>0</v>
      </c>
      <c r="J676" t="n">
        <v>0</v>
      </c>
      <c r="K676" t="n">
        <v>0</v>
      </c>
      <c r="L676" t="n">
        <v>0</v>
      </c>
      <c r="M676" t="n">
        <v>0</v>
      </c>
      <c r="N676" t="n">
        <v>0</v>
      </c>
      <c r="O676" t="n">
        <v>0</v>
      </c>
      <c r="P676" t="n">
        <v>0</v>
      </c>
      <c r="Q676" t="n">
        <v>0</v>
      </c>
      <c r="R676" s="2" t="inlineStr"/>
    </row>
    <row r="677" ht="15" customHeight="1">
      <c r="A677" t="inlineStr">
        <is>
          <t>A 57381-2021</t>
        </is>
      </c>
      <c r="B677" s="1" t="n">
        <v>44483</v>
      </c>
      <c r="C677" s="1" t="n">
        <v>45346</v>
      </c>
      <c r="D677" t="inlineStr">
        <is>
          <t>JÄMTLANDS LÄN</t>
        </is>
      </c>
      <c r="E677" t="inlineStr">
        <is>
          <t>HÄRJEDALEN</t>
        </is>
      </c>
      <c r="G677" t="n">
        <v>17.9</v>
      </c>
      <c r="H677" t="n">
        <v>0</v>
      </c>
      <c r="I677" t="n">
        <v>0</v>
      </c>
      <c r="J677" t="n">
        <v>0</v>
      </c>
      <c r="K677" t="n">
        <v>0</v>
      </c>
      <c r="L677" t="n">
        <v>0</v>
      </c>
      <c r="M677" t="n">
        <v>0</v>
      </c>
      <c r="N677" t="n">
        <v>0</v>
      </c>
      <c r="O677" t="n">
        <v>0</v>
      </c>
      <c r="P677" t="n">
        <v>0</v>
      </c>
      <c r="Q677" t="n">
        <v>0</v>
      </c>
      <c r="R677" s="2" t="inlineStr"/>
    </row>
    <row r="678" ht="15" customHeight="1">
      <c r="A678" t="inlineStr">
        <is>
          <t>A 57256-2021</t>
        </is>
      </c>
      <c r="B678" s="1" t="n">
        <v>44483</v>
      </c>
      <c r="C678" s="1" t="n">
        <v>45346</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57373-2021</t>
        </is>
      </c>
      <c r="B679" s="1" t="n">
        <v>44483</v>
      </c>
      <c r="C679" s="1" t="n">
        <v>45346</v>
      </c>
      <c r="D679" t="inlineStr">
        <is>
          <t>JÄMTLANDS LÄN</t>
        </is>
      </c>
      <c r="E679" t="inlineStr">
        <is>
          <t>HÄRJEDALEN</t>
        </is>
      </c>
      <c r="G679" t="n">
        <v>10.8</v>
      </c>
      <c r="H679" t="n">
        <v>0</v>
      </c>
      <c r="I679" t="n">
        <v>0</v>
      </c>
      <c r="J679" t="n">
        <v>0</v>
      </c>
      <c r="K679" t="n">
        <v>0</v>
      </c>
      <c r="L679" t="n">
        <v>0</v>
      </c>
      <c r="M679" t="n">
        <v>0</v>
      </c>
      <c r="N679" t="n">
        <v>0</v>
      </c>
      <c r="O679" t="n">
        <v>0</v>
      </c>
      <c r="P679" t="n">
        <v>0</v>
      </c>
      <c r="Q679" t="n">
        <v>0</v>
      </c>
      <c r="R679" s="2" t="inlineStr"/>
    </row>
    <row r="680" ht="15" customHeight="1">
      <c r="A680" t="inlineStr">
        <is>
          <t>A 57755-2021</t>
        </is>
      </c>
      <c r="B680" s="1" t="n">
        <v>44484</v>
      </c>
      <c r="C680" s="1" t="n">
        <v>45346</v>
      </c>
      <c r="D680" t="inlineStr">
        <is>
          <t>JÄMTLANDS LÄN</t>
        </is>
      </c>
      <c r="E680" t="inlineStr">
        <is>
          <t>HÄRJEDALEN</t>
        </is>
      </c>
      <c r="G680" t="n">
        <v>3.9</v>
      </c>
      <c r="H680" t="n">
        <v>0</v>
      </c>
      <c r="I680" t="n">
        <v>0</v>
      </c>
      <c r="J680" t="n">
        <v>0</v>
      </c>
      <c r="K680" t="n">
        <v>0</v>
      </c>
      <c r="L680" t="n">
        <v>0</v>
      </c>
      <c r="M680" t="n">
        <v>0</v>
      </c>
      <c r="N680" t="n">
        <v>0</v>
      </c>
      <c r="O680" t="n">
        <v>0</v>
      </c>
      <c r="P680" t="n">
        <v>0</v>
      </c>
      <c r="Q680" t="n">
        <v>0</v>
      </c>
      <c r="R680" s="2" t="inlineStr"/>
    </row>
    <row r="681" ht="15" customHeight="1">
      <c r="A681" t="inlineStr">
        <is>
          <t>A 57782-2021</t>
        </is>
      </c>
      <c r="B681" s="1" t="n">
        <v>44484</v>
      </c>
      <c r="C681" s="1" t="n">
        <v>45346</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58451-2021</t>
        </is>
      </c>
      <c r="B682" s="1" t="n">
        <v>44488</v>
      </c>
      <c r="C682" s="1" t="n">
        <v>45346</v>
      </c>
      <c r="D682" t="inlineStr">
        <is>
          <t>JÄMTLANDS LÄN</t>
        </is>
      </c>
      <c r="E682" t="inlineStr">
        <is>
          <t>HÄRJEDALEN</t>
        </is>
      </c>
      <c r="F682" t="inlineStr">
        <is>
          <t>Naturvårdsverket</t>
        </is>
      </c>
      <c r="G682" t="n">
        <v>12</v>
      </c>
      <c r="H682" t="n">
        <v>0</v>
      </c>
      <c r="I682" t="n">
        <v>0</v>
      </c>
      <c r="J682" t="n">
        <v>0</v>
      </c>
      <c r="K682" t="n">
        <v>0</v>
      </c>
      <c r="L682" t="n">
        <v>0</v>
      </c>
      <c r="M682" t="n">
        <v>0</v>
      </c>
      <c r="N682" t="n">
        <v>0</v>
      </c>
      <c r="O682" t="n">
        <v>0</v>
      </c>
      <c r="P682" t="n">
        <v>0</v>
      </c>
      <c r="Q682" t="n">
        <v>0</v>
      </c>
      <c r="R682" s="2" t="inlineStr"/>
    </row>
    <row r="683" ht="15" customHeight="1">
      <c r="A683" t="inlineStr">
        <is>
          <t>A 59928-2021</t>
        </is>
      </c>
      <c r="B683" s="1" t="n">
        <v>44494</v>
      </c>
      <c r="C683" s="1" t="n">
        <v>45346</v>
      </c>
      <c r="D683" t="inlineStr">
        <is>
          <t>JÄMTLANDS LÄN</t>
        </is>
      </c>
      <c r="E683" t="inlineStr">
        <is>
          <t>HÄRJEDALEN</t>
        </is>
      </c>
      <c r="G683" t="n">
        <v>28.6</v>
      </c>
      <c r="H683" t="n">
        <v>0</v>
      </c>
      <c r="I683" t="n">
        <v>0</v>
      </c>
      <c r="J683" t="n">
        <v>0</v>
      </c>
      <c r="K683" t="n">
        <v>0</v>
      </c>
      <c r="L683" t="n">
        <v>0</v>
      </c>
      <c r="M683" t="n">
        <v>0</v>
      </c>
      <c r="N683" t="n">
        <v>0</v>
      </c>
      <c r="O683" t="n">
        <v>0</v>
      </c>
      <c r="P683" t="n">
        <v>0</v>
      </c>
      <c r="Q683" t="n">
        <v>0</v>
      </c>
      <c r="R683" s="2" t="inlineStr"/>
    </row>
    <row r="684" ht="15" customHeight="1">
      <c r="A684" t="inlineStr">
        <is>
          <t>A 60841-2021</t>
        </is>
      </c>
      <c r="B684" s="1" t="n">
        <v>44497</v>
      </c>
      <c r="C684" s="1" t="n">
        <v>45346</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61561-2021</t>
        </is>
      </c>
      <c r="B685" s="1" t="n">
        <v>44501</v>
      </c>
      <c r="C685" s="1" t="n">
        <v>45346</v>
      </c>
      <c r="D685" t="inlineStr">
        <is>
          <t>JÄMTLANDS LÄN</t>
        </is>
      </c>
      <c r="E685" t="inlineStr">
        <is>
          <t>HÄRJEDALEN</t>
        </is>
      </c>
      <c r="F685" t="inlineStr">
        <is>
          <t>Bergvik skog väst AB</t>
        </is>
      </c>
      <c r="G685" t="n">
        <v>16.2</v>
      </c>
      <c r="H685" t="n">
        <v>0</v>
      </c>
      <c r="I685" t="n">
        <v>0</v>
      </c>
      <c r="J685" t="n">
        <v>0</v>
      </c>
      <c r="K685" t="n">
        <v>0</v>
      </c>
      <c r="L685" t="n">
        <v>0</v>
      </c>
      <c r="M685" t="n">
        <v>0</v>
      </c>
      <c r="N685" t="n">
        <v>0</v>
      </c>
      <c r="O685" t="n">
        <v>0</v>
      </c>
      <c r="P685" t="n">
        <v>0</v>
      </c>
      <c r="Q685" t="n">
        <v>0</v>
      </c>
      <c r="R685" s="2" t="inlineStr"/>
    </row>
    <row r="686" ht="15" customHeight="1">
      <c r="A686" t="inlineStr">
        <is>
          <t>A 61547-2021</t>
        </is>
      </c>
      <c r="B686" s="1" t="n">
        <v>44501</v>
      </c>
      <c r="C686" s="1" t="n">
        <v>45346</v>
      </c>
      <c r="D686" t="inlineStr">
        <is>
          <t>JÄMTLANDS LÄN</t>
        </is>
      </c>
      <c r="E686" t="inlineStr">
        <is>
          <t>HÄRJEDALEN</t>
        </is>
      </c>
      <c r="G686" t="n">
        <v>2.1</v>
      </c>
      <c r="H686" t="n">
        <v>0</v>
      </c>
      <c r="I686" t="n">
        <v>0</v>
      </c>
      <c r="J686" t="n">
        <v>0</v>
      </c>
      <c r="K686" t="n">
        <v>0</v>
      </c>
      <c r="L686" t="n">
        <v>0</v>
      </c>
      <c r="M686" t="n">
        <v>0</v>
      </c>
      <c r="N686" t="n">
        <v>0</v>
      </c>
      <c r="O686" t="n">
        <v>0</v>
      </c>
      <c r="P686" t="n">
        <v>0</v>
      </c>
      <c r="Q686" t="n">
        <v>0</v>
      </c>
      <c r="R686" s="2" t="inlineStr"/>
    </row>
    <row r="687" ht="15" customHeight="1">
      <c r="A687" t="inlineStr">
        <is>
          <t>A 63774-2021</t>
        </is>
      </c>
      <c r="B687" s="1" t="n">
        <v>44508</v>
      </c>
      <c r="C687" s="1" t="n">
        <v>45346</v>
      </c>
      <c r="D687" t="inlineStr">
        <is>
          <t>JÄMTLANDS LÄN</t>
        </is>
      </c>
      <c r="E687" t="inlineStr">
        <is>
          <t>HÄRJEDALEN</t>
        </is>
      </c>
      <c r="F687" t="inlineStr">
        <is>
          <t>Holmen skog AB</t>
        </is>
      </c>
      <c r="G687" t="n">
        <v>14.8</v>
      </c>
      <c r="H687" t="n">
        <v>0</v>
      </c>
      <c r="I687" t="n">
        <v>0</v>
      </c>
      <c r="J687" t="n">
        <v>0</v>
      </c>
      <c r="K687" t="n">
        <v>0</v>
      </c>
      <c r="L687" t="n">
        <v>0</v>
      </c>
      <c r="M687" t="n">
        <v>0</v>
      </c>
      <c r="N687" t="n">
        <v>0</v>
      </c>
      <c r="O687" t="n">
        <v>0</v>
      </c>
      <c r="P687" t="n">
        <v>0</v>
      </c>
      <c r="Q687" t="n">
        <v>0</v>
      </c>
      <c r="R687" s="2" t="inlineStr"/>
    </row>
    <row r="688" ht="15" customHeight="1">
      <c r="A688" t="inlineStr">
        <is>
          <t>A 64937-2021</t>
        </is>
      </c>
      <c r="B688" s="1" t="n">
        <v>44512</v>
      </c>
      <c r="C688" s="1" t="n">
        <v>45346</v>
      </c>
      <c r="D688" t="inlineStr">
        <is>
          <t>JÄMTLANDS LÄN</t>
        </is>
      </c>
      <c r="E688" t="inlineStr">
        <is>
          <t>HÄRJEDALEN</t>
        </is>
      </c>
      <c r="G688" t="n">
        <v>7</v>
      </c>
      <c r="H688" t="n">
        <v>0</v>
      </c>
      <c r="I688" t="n">
        <v>0</v>
      </c>
      <c r="J688" t="n">
        <v>0</v>
      </c>
      <c r="K688" t="n">
        <v>0</v>
      </c>
      <c r="L688" t="n">
        <v>0</v>
      </c>
      <c r="M688" t="n">
        <v>0</v>
      </c>
      <c r="N688" t="n">
        <v>0</v>
      </c>
      <c r="O688" t="n">
        <v>0</v>
      </c>
      <c r="P688" t="n">
        <v>0</v>
      </c>
      <c r="Q688" t="n">
        <v>0</v>
      </c>
      <c r="R688" s="2" t="inlineStr"/>
    </row>
    <row r="689" ht="15" customHeight="1">
      <c r="A689" t="inlineStr">
        <is>
          <t>A 65125-2021</t>
        </is>
      </c>
      <c r="B689" s="1" t="n">
        <v>44515</v>
      </c>
      <c r="C689" s="1" t="n">
        <v>45346</v>
      </c>
      <c r="D689" t="inlineStr">
        <is>
          <t>JÄMTLANDS LÄN</t>
        </is>
      </c>
      <c r="E689" t="inlineStr">
        <is>
          <t>HÄRJEDALEN</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65549-2021</t>
        </is>
      </c>
      <c r="B690" s="1" t="n">
        <v>44516</v>
      </c>
      <c r="C690" s="1" t="n">
        <v>45346</v>
      </c>
      <c r="D690" t="inlineStr">
        <is>
          <t>JÄMTLANDS LÄN</t>
        </is>
      </c>
      <c r="E690" t="inlineStr">
        <is>
          <t>HÄRJEDALEN</t>
        </is>
      </c>
      <c r="F690" t="inlineStr">
        <is>
          <t>Bergvik skog väst AB</t>
        </is>
      </c>
      <c r="G690" t="n">
        <v>7</v>
      </c>
      <c r="H690" t="n">
        <v>0</v>
      </c>
      <c r="I690" t="n">
        <v>0</v>
      </c>
      <c r="J690" t="n">
        <v>0</v>
      </c>
      <c r="K690" t="n">
        <v>0</v>
      </c>
      <c r="L690" t="n">
        <v>0</v>
      </c>
      <c r="M690" t="n">
        <v>0</v>
      </c>
      <c r="N690" t="n">
        <v>0</v>
      </c>
      <c r="O690" t="n">
        <v>0</v>
      </c>
      <c r="P690" t="n">
        <v>0</v>
      </c>
      <c r="Q690" t="n">
        <v>0</v>
      </c>
      <c r="R690" s="2" t="inlineStr"/>
    </row>
    <row r="691" ht="15" customHeight="1">
      <c r="A691" t="inlineStr">
        <is>
          <t>A 68858-2021</t>
        </is>
      </c>
      <c r="B691" s="1" t="n">
        <v>44530</v>
      </c>
      <c r="C691" s="1" t="n">
        <v>45346</v>
      </c>
      <c r="D691" t="inlineStr">
        <is>
          <t>JÄMTLANDS LÄN</t>
        </is>
      </c>
      <c r="E691" t="inlineStr">
        <is>
          <t>HÄRJEDALEN</t>
        </is>
      </c>
      <c r="G691" t="n">
        <v>0.9</v>
      </c>
      <c r="H691" t="n">
        <v>0</v>
      </c>
      <c r="I691" t="n">
        <v>0</v>
      </c>
      <c r="J691" t="n">
        <v>0</v>
      </c>
      <c r="K691" t="n">
        <v>0</v>
      </c>
      <c r="L691" t="n">
        <v>0</v>
      </c>
      <c r="M691" t="n">
        <v>0</v>
      </c>
      <c r="N691" t="n">
        <v>0</v>
      </c>
      <c r="O691" t="n">
        <v>0</v>
      </c>
      <c r="P691" t="n">
        <v>0</v>
      </c>
      <c r="Q691" t="n">
        <v>0</v>
      </c>
      <c r="R691" s="2" t="inlineStr"/>
    </row>
    <row r="692" ht="15" customHeight="1">
      <c r="A692" t="inlineStr">
        <is>
          <t>A 69271-2021</t>
        </is>
      </c>
      <c r="B692" s="1" t="n">
        <v>44531</v>
      </c>
      <c r="C692" s="1" t="n">
        <v>45346</v>
      </c>
      <c r="D692" t="inlineStr">
        <is>
          <t>JÄMTLANDS LÄN</t>
        </is>
      </c>
      <c r="E692" t="inlineStr">
        <is>
          <t>HÄRJEDALEN</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69501-2021</t>
        </is>
      </c>
      <c r="B693" s="1" t="n">
        <v>44531</v>
      </c>
      <c r="C693" s="1" t="n">
        <v>45346</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69490-2021</t>
        </is>
      </c>
      <c r="B694" s="1" t="n">
        <v>44531</v>
      </c>
      <c r="C694" s="1" t="n">
        <v>45346</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69504-2021</t>
        </is>
      </c>
      <c r="B695" s="1" t="n">
        <v>44531</v>
      </c>
      <c r="C695" s="1" t="n">
        <v>45346</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69499-2021</t>
        </is>
      </c>
      <c r="B696" s="1" t="n">
        <v>44531</v>
      </c>
      <c r="C696" s="1" t="n">
        <v>45346</v>
      </c>
      <c r="D696" t="inlineStr">
        <is>
          <t>JÄMTLANDS LÄN</t>
        </is>
      </c>
      <c r="E696" t="inlineStr">
        <is>
          <t>HÄRJEDALEN</t>
        </is>
      </c>
      <c r="G696" t="n">
        <v>7.5</v>
      </c>
      <c r="H696" t="n">
        <v>0</v>
      </c>
      <c r="I696" t="n">
        <v>0</v>
      </c>
      <c r="J696" t="n">
        <v>0</v>
      </c>
      <c r="K696" t="n">
        <v>0</v>
      </c>
      <c r="L696" t="n">
        <v>0</v>
      </c>
      <c r="M696" t="n">
        <v>0</v>
      </c>
      <c r="N696" t="n">
        <v>0</v>
      </c>
      <c r="O696" t="n">
        <v>0</v>
      </c>
      <c r="P696" t="n">
        <v>0</v>
      </c>
      <c r="Q696" t="n">
        <v>0</v>
      </c>
      <c r="R696" s="2" t="inlineStr"/>
    </row>
    <row r="697" ht="15" customHeight="1">
      <c r="A697" t="inlineStr">
        <is>
          <t>A 71649-2021</t>
        </is>
      </c>
      <c r="B697" s="1" t="n">
        <v>44538</v>
      </c>
      <c r="C697" s="1" t="n">
        <v>45346</v>
      </c>
      <c r="D697" t="inlineStr">
        <is>
          <t>JÄMTLANDS LÄN</t>
        </is>
      </c>
      <c r="E697" t="inlineStr">
        <is>
          <t>HÄRJEDALEN</t>
        </is>
      </c>
      <c r="F697" t="inlineStr">
        <is>
          <t>Övriga statliga verk och myndigheter</t>
        </is>
      </c>
      <c r="G697" t="n">
        <v>3.7</v>
      </c>
      <c r="H697" t="n">
        <v>0</v>
      </c>
      <c r="I697" t="n">
        <v>0</v>
      </c>
      <c r="J697" t="n">
        <v>0</v>
      </c>
      <c r="K697" t="n">
        <v>0</v>
      </c>
      <c r="L697" t="n">
        <v>0</v>
      </c>
      <c r="M697" t="n">
        <v>0</v>
      </c>
      <c r="N697" t="n">
        <v>0</v>
      </c>
      <c r="O697" t="n">
        <v>0</v>
      </c>
      <c r="P697" t="n">
        <v>0</v>
      </c>
      <c r="Q697" t="n">
        <v>0</v>
      </c>
      <c r="R697" s="2" t="inlineStr"/>
    </row>
    <row r="698" ht="15" customHeight="1">
      <c r="A698" t="inlineStr">
        <is>
          <t>A 71668-2021</t>
        </is>
      </c>
      <c r="B698" s="1" t="n">
        <v>44538</v>
      </c>
      <c r="C698" s="1" t="n">
        <v>45346</v>
      </c>
      <c r="D698" t="inlineStr">
        <is>
          <t>JÄMTLANDS LÄN</t>
        </is>
      </c>
      <c r="E698" t="inlineStr">
        <is>
          <t>HÄRJEDALEN</t>
        </is>
      </c>
      <c r="F698" t="inlineStr">
        <is>
          <t>Övriga statliga verk och myndigheter</t>
        </is>
      </c>
      <c r="G698" t="n">
        <v>3.1</v>
      </c>
      <c r="H698" t="n">
        <v>0</v>
      </c>
      <c r="I698" t="n">
        <v>0</v>
      </c>
      <c r="J698" t="n">
        <v>0</v>
      </c>
      <c r="K698" t="n">
        <v>0</v>
      </c>
      <c r="L698" t="n">
        <v>0</v>
      </c>
      <c r="M698" t="n">
        <v>0</v>
      </c>
      <c r="N698" t="n">
        <v>0</v>
      </c>
      <c r="O698" t="n">
        <v>0</v>
      </c>
      <c r="P698" t="n">
        <v>0</v>
      </c>
      <c r="Q698" t="n">
        <v>0</v>
      </c>
      <c r="R698" s="2" t="inlineStr"/>
    </row>
    <row r="699" ht="15" customHeight="1">
      <c r="A699" t="inlineStr">
        <is>
          <t>A 71638-2021</t>
        </is>
      </c>
      <c r="B699" s="1" t="n">
        <v>44538</v>
      </c>
      <c r="C699" s="1" t="n">
        <v>45346</v>
      </c>
      <c r="D699" t="inlineStr">
        <is>
          <t>JÄMTLANDS LÄN</t>
        </is>
      </c>
      <c r="E699" t="inlineStr">
        <is>
          <t>HÄRJEDALEN</t>
        </is>
      </c>
      <c r="F699" t="inlineStr">
        <is>
          <t>Övriga statliga verk och myndigheter</t>
        </is>
      </c>
      <c r="G699" t="n">
        <v>1.2</v>
      </c>
      <c r="H699" t="n">
        <v>0</v>
      </c>
      <c r="I699" t="n">
        <v>0</v>
      </c>
      <c r="J699" t="n">
        <v>0</v>
      </c>
      <c r="K699" t="n">
        <v>0</v>
      </c>
      <c r="L699" t="n">
        <v>0</v>
      </c>
      <c r="M699" t="n">
        <v>0</v>
      </c>
      <c r="N699" t="n">
        <v>0</v>
      </c>
      <c r="O699" t="n">
        <v>0</v>
      </c>
      <c r="P699" t="n">
        <v>0</v>
      </c>
      <c r="Q699" t="n">
        <v>0</v>
      </c>
      <c r="R699" s="2" t="inlineStr"/>
    </row>
    <row r="700" ht="15" customHeight="1">
      <c r="A700" t="inlineStr">
        <is>
          <t>A 71493-2021</t>
        </is>
      </c>
      <c r="B700" s="1" t="n">
        <v>44540</v>
      </c>
      <c r="C700" s="1" t="n">
        <v>45346</v>
      </c>
      <c r="D700" t="inlineStr">
        <is>
          <t>JÄMTLANDS LÄN</t>
        </is>
      </c>
      <c r="E700" t="inlineStr">
        <is>
          <t>HÄRJEDALEN</t>
        </is>
      </c>
      <c r="G700" t="n">
        <v>0.4</v>
      </c>
      <c r="H700" t="n">
        <v>0</v>
      </c>
      <c r="I700" t="n">
        <v>0</v>
      </c>
      <c r="J700" t="n">
        <v>0</v>
      </c>
      <c r="K700" t="n">
        <v>0</v>
      </c>
      <c r="L700" t="n">
        <v>0</v>
      </c>
      <c r="M700" t="n">
        <v>0</v>
      </c>
      <c r="N700" t="n">
        <v>0</v>
      </c>
      <c r="O700" t="n">
        <v>0</v>
      </c>
      <c r="P700" t="n">
        <v>0</v>
      </c>
      <c r="Q700" t="n">
        <v>0</v>
      </c>
      <c r="R700" s="2" t="inlineStr"/>
    </row>
    <row r="701" ht="15" customHeight="1">
      <c r="A701" t="inlineStr">
        <is>
          <t>A 71467-2021</t>
        </is>
      </c>
      <c r="B701" s="1" t="n">
        <v>44540</v>
      </c>
      <c r="C701" s="1" t="n">
        <v>45346</v>
      </c>
      <c r="D701" t="inlineStr">
        <is>
          <t>JÄMTLANDS LÄN</t>
        </is>
      </c>
      <c r="E701" t="inlineStr">
        <is>
          <t>HÄRJEDALEN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71501-2021</t>
        </is>
      </c>
      <c r="B702" s="1" t="n">
        <v>44540</v>
      </c>
      <c r="C702" s="1" t="n">
        <v>45346</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71864-2021</t>
        </is>
      </c>
      <c r="B703" s="1" t="n">
        <v>44543</v>
      </c>
      <c r="C703" s="1" t="n">
        <v>45346</v>
      </c>
      <c r="D703" t="inlineStr">
        <is>
          <t>JÄMTLANDS LÄN</t>
        </is>
      </c>
      <c r="E703" t="inlineStr">
        <is>
          <t>HÄRJEDALEN</t>
        </is>
      </c>
      <c r="F703" t="inlineStr">
        <is>
          <t>Holmen skog AB</t>
        </is>
      </c>
      <c r="G703" t="n">
        <v>0.2</v>
      </c>
      <c r="H703" t="n">
        <v>0</v>
      </c>
      <c r="I703" t="n">
        <v>0</v>
      </c>
      <c r="J703" t="n">
        <v>0</v>
      </c>
      <c r="K703" t="n">
        <v>0</v>
      </c>
      <c r="L703" t="n">
        <v>0</v>
      </c>
      <c r="M703" t="n">
        <v>0</v>
      </c>
      <c r="N703" t="n">
        <v>0</v>
      </c>
      <c r="O703" t="n">
        <v>0</v>
      </c>
      <c r="P703" t="n">
        <v>0</v>
      </c>
      <c r="Q703" t="n">
        <v>0</v>
      </c>
      <c r="R703" s="2" t="inlineStr"/>
    </row>
    <row r="704" ht="15" customHeight="1">
      <c r="A704" t="inlineStr">
        <is>
          <t>A 71756-2021</t>
        </is>
      </c>
      <c r="B704" s="1" t="n">
        <v>44543</v>
      </c>
      <c r="C704" s="1" t="n">
        <v>45346</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71989-2021</t>
        </is>
      </c>
      <c r="B705" s="1" t="n">
        <v>44544</v>
      </c>
      <c r="C705" s="1" t="n">
        <v>45346</v>
      </c>
      <c r="D705" t="inlineStr">
        <is>
          <t>JÄMTLANDS LÄN</t>
        </is>
      </c>
      <c r="E705" t="inlineStr">
        <is>
          <t>HÄRJEDALEN</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72374-2021</t>
        </is>
      </c>
      <c r="B706" s="1" t="n">
        <v>44545</v>
      </c>
      <c r="C706" s="1" t="n">
        <v>45346</v>
      </c>
      <c r="D706" t="inlineStr">
        <is>
          <t>JÄMTLANDS LÄN</t>
        </is>
      </c>
      <c r="E706" t="inlineStr">
        <is>
          <t>HÄRJEDALEN</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72790-2021</t>
        </is>
      </c>
      <c r="B707" s="1" t="n">
        <v>44547</v>
      </c>
      <c r="C707" s="1" t="n">
        <v>45346</v>
      </c>
      <c r="D707" t="inlineStr">
        <is>
          <t>JÄMTLANDS LÄN</t>
        </is>
      </c>
      <c r="E707" t="inlineStr">
        <is>
          <t>HÄRJEDALEN</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73051-2021</t>
        </is>
      </c>
      <c r="B708" s="1" t="n">
        <v>44550</v>
      </c>
      <c r="C708" s="1" t="n">
        <v>45346</v>
      </c>
      <c r="D708" t="inlineStr">
        <is>
          <t>JÄMTLANDS LÄN</t>
        </is>
      </c>
      <c r="E708" t="inlineStr">
        <is>
          <t>HÄRJEDALEN</t>
        </is>
      </c>
      <c r="G708" t="n">
        <v>3.7</v>
      </c>
      <c r="H708" t="n">
        <v>0</v>
      </c>
      <c r="I708" t="n">
        <v>0</v>
      </c>
      <c r="J708" t="n">
        <v>0</v>
      </c>
      <c r="K708" t="n">
        <v>0</v>
      </c>
      <c r="L708" t="n">
        <v>0</v>
      </c>
      <c r="M708" t="n">
        <v>0</v>
      </c>
      <c r="N708" t="n">
        <v>0</v>
      </c>
      <c r="O708" t="n">
        <v>0</v>
      </c>
      <c r="P708" t="n">
        <v>0</v>
      </c>
      <c r="Q708" t="n">
        <v>0</v>
      </c>
      <c r="R708" s="2" t="inlineStr"/>
    </row>
    <row r="709" ht="15" customHeight="1">
      <c r="A709" t="inlineStr">
        <is>
          <t>A 73211-2021</t>
        </is>
      </c>
      <c r="B709" s="1" t="n">
        <v>44550</v>
      </c>
      <c r="C709" s="1" t="n">
        <v>45346</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73573-2021</t>
        </is>
      </c>
      <c r="B710" s="1" t="n">
        <v>44552</v>
      </c>
      <c r="C710" s="1" t="n">
        <v>45346</v>
      </c>
      <c r="D710" t="inlineStr">
        <is>
          <t>JÄMTLANDS LÄN</t>
        </is>
      </c>
      <c r="E710" t="inlineStr">
        <is>
          <t>HÄRJEDALEN</t>
        </is>
      </c>
      <c r="F710" t="inlineStr">
        <is>
          <t>Holmen skog AB</t>
        </is>
      </c>
      <c r="G710" t="n">
        <v>10.5</v>
      </c>
      <c r="H710" t="n">
        <v>0</v>
      </c>
      <c r="I710" t="n">
        <v>0</v>
      </c>
      <c r="J710" t="n">
        <v>0</v>
      </c>
      <c r="K710" t="n">
        <v>0</v>
      </c>
      <c r="L710" t="n">
        <v>0</v>
      </c>
      <c r="M710" t="n">
        <v>0</v>
      </c>
      <c r="N710" t="n">
        <v>0</v>
      </c>
      <c r="O710" t="n">
        <v>0</v>
      </c>
      <c r="P710" t="n">
        <v>0</v>
      </c>
      <c r="Q710" t="n">
        <v>0</v>
      </c>
      <c r="R710" s="2" t="inlineStr"/>
    </row>
    <row r="711" ht="15" customHeight="1">
      <c r="A711" t="inlineStr">
        <is>
          <t>A 197-2022</t>
        </is>
      </c>
      <c r="B711" s="1" t="n">
        <v>44564</v>
      </c>
      <c r="C711" s="1" t="n">
        <v>45346</v>
      </c>
      <c r="D711" t="inlineStr">
        <is>
          <t>JÄMTLANDS LÄN</t>
        </is>
      </c>
      <c r="E711" t="inlineStr">
        <is>
          <t>HÄRJEDALEN</t>
        </is>
      </c>
      <c r="F711" t="inlineStr">
        <is>
          <t>Övriga Aktiebolag</t>
        </is>
      </c>
      <c r="G711" t="n">
        <v>1.2</v>
      </c>
      <c r="H711" t="n">
        <v>0</v>
      </c>
      <c r="I711" t="n">
        <v>0</v>
      </c>
      <c r="J711" t="n">
        <v>0</v>
      </c>
      <c r="K711" t="n">
        <v>0</v>
      </c>
      <c r="L711" t="n">
        <v>0</v>
      </c>
      <c r="M711" t="n">
        <v>0</v>
      </c>
      <c r="N711" t="n">
        <v>0</v>
      </c>
      <c r="O711" t="n">
        <v>0</v>
      </c>
      <c r="P711" t="n">
        <v>0</v>
      </c>
      <c r="Q711" t="n">
        <v>0</v>
      </c>
      <c r="R711" s="2" t="inlineStr"/>
    </row>
    <row r="712" ht="15" customHeight="1">
      <c r="A712" t="inlineStr">
        <is>
          <t>A 241-2022</t>
        </is>
      </c>
      <c r="B712" s="1" t="n">
        <v>44565</v>
      </c>
      <c r="C712" s="1" t="n">
        <v>45346</v>
      </c>
      <c r="D712" t="inlineStr">
        <is>
          <t>JÄMTLANDS LÄN</t>
        </is>
      </c>
      <c r="E712" t="inlineStr">
        <is>
          <t>HÄRJEDALEN</t>
        </is>
      </c>
      <c r="F712" t="inlineStr">
        <is>
          <t>Övriga Aktiebolag</t>
        </is>
      </c>
      <c r="G712" t="n">
        <v>16.5</v>
      </c>
      <c r="H712" t="n">
        <v>0</v>
      </c>
      <c r="I712" t="n">
        <v>0</v>
      </c>
      <c r="J712" t="n">
        <v>0</v>
      </c>
      <c r="K712" t="n">
        <v>0</v>
      </c>
      <c r="L712" t="n">
        <v>0</v>
      </c>
      <c r="M712" t="n">
        <v>0</v>
      </c>
      <c r="N712" t="n">
        <v>0</v>
      </c>
      <c r="O712" t="n">
        <v>0</v>
      </c>
      <c r="P712" t="n">
        <v>0</v>
      </c>
      <c r="Q712" t="n">
        <v>0</v>
      </c>
      <c r="R712" s="2" t="inlineStr"/>
    </row>
    <row r="713" ht="15" customHeight="1">
      <c r="A713" t="inlineStr">
        <is>
          <t>A 239-2022</t>
        </is>
      </c>
      <c r="B713" s="1" t="n">
        <v>44565</v>
      </c>
      <c r="C713" s="1" t="n">
        <v>45346</v>
      </c>
      <c r="D713" t="inlineStr">
        <is>
          <t>JÄMTLANDS LÄN</t>
        </is>
      </c>
      <c r="E713" t="inlineStr">
        <is>
          <t>HÄRJEDALEN</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240-2022</t>
        </is>
      </c>
      <c r="B714" s="1" t="n">
        <v>44565</v>
      </c>
      <c r="C714" s="1" t="n">
        <v>45346</v>
      </c>
      <c r="D714" t="inlineStr">
        <is>
          <t>JÄMTLANDS LÄN</t>
        </is>
      </c>
      <c r="E714" t="inlineStr">
        <is>
          <t>HÄRJEDALEN</t>
        </is>
      </c>
      <c r="F714" t="inlineStr">
        <is>
          <t>Övriga Aktiebolag</t>
        </is>
      </c>
      <c r="G714" t="n">
        <v>53.9</v>
      </c>
      <c r="H714" t="n">
        <v>0</v>
      </c>
      <c r="I714" t="n">
        <v>0</v>
      </c>
      <c r="J714" t="n">
        <v>0</v>
      </c>
      <c r="K714" t="n">
        <v>0</v>
      </c>
      <c r="L714" t="n">
        <v>0</v>
      </c>
      <c r="M714" t="n">
        <v>0</v>
      </c>
      <c r="N714" t="n">
        <v>0</v>
      </c>
      <c r="O714" t="n">
        <v>0</v>
      </c>
      <c r="P714" t="n">
        <v>0</v>
      </c>
      <c r="Q714" t="n">
        <v>0</v>
      </c>
      <c r="R714" s="2" t="inlineStr"/>
    </row>
    <row r="715" ht="15" customHeight="1">
      <c r="A715" t="inlineStr">
        <is>
          <t>A 537-2022</t>
        </is>
      </c>
      <c r="B715" s="1" t="n">
        <v>44566</v>
      </c>
      <c r="C715" s="1" t="n">
        <v>45346</v>
      </c>
      <c r="D715" t="inlineStr">
        <is>
          <t>JÄMTLANDS LÄN</t>
        </is>
      </c>
      <c r="E715" t="inlineStr">
        <is>
          <t>HÄRJEDALEN</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859-2022</t>
        </is>
      </c>
      <c r="B716" s="1" t="n">
        <v>44571</v>
      </c>
      <c r="C716" s="1" t="n">
        <v>45346</v>
      </c>
      <c r="D716" t="inlineStr">
        <is>
          <t>JÄMTLANDS LÄN</t>
        </is>
      </c>
      <c r="E716" t="inlineStr">
        <is>
          <t>HÄRJEDALEN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2846-2022</t>
        </is>
      </c>
      <c r="B717" s="1" t="n">
        <v>44581</v>
      </c>
      <c r="C717" s="1" t="n">
        <v>45346</v>
      </c>
      <c r="D717" t="inlineStr">
        <is>
          <t>JÄMTLANDS LÄN</t>
        </is>
      </c>
      <c r="E717" t="inlineStr">
        <is>
          <t>HÄRJEDALEN</t>
        </is>
      </c>
      <c r="G717" t="n">
        <v>15.2</v>
      </c>
      <c r="H717" t="n">
        <v>0</v>
      </c>
      <c r="I717" t="n">
        <v>0</v>
      </c>
      <c r="J717" t="n">
        <v>0</v>
      </c>
      <c r="K717" t="n">
        <v>0</v>
      </c>
      <c r="L717" t="n">
        <v>0</v>
      </c>
      <c r="M717" t="n">
        <v>0</v>
      </c>
      <c r="N717" t="n">
        <v>0</v>
      </c>
      <c r="O717" t="n">
        <v>0</v>
      </c>
      <c r="P717" t="n">
        <v>0</v>
      </c>
      <c r="Q717" t="n">
        <v>0</v>
      </c>
      <c r="R717" s="2" t="inlineStr"/>
    </row>
    <row r="718" ht="15" customHeight="1">
      <c r="A718" t="inlineStr">
        <is>
          <t>A 3163-2022</t>
        </is>
      </c>
      <c r="B718" s="1" t="n">
        <v>44582</v>
      </c>
      <c r="C718" s="1" t="n">
        <v>45346</v>
      </c>
      <c r="D718" t="inlineStr">
        <is>
          <t>JÄMTLANDS LÄN</t>
        </is>
      </c>
      <c r="E718" t="inlineStr">
        <is>
          <t>HÄRJEDALEN</t>
        </is>
      </c>
      <c r="G718" t="n">
        <v>1.6</v>
      </c>
      <c r="H718" t="n">
        <v>0</v>
      </c>
      <c r="I718" t="n">
        <v>0</v>
      </c>
      <c r="J718" t="n">
        <v>0</v>
      </c>
      <c r="K718" t="n">
        <v>0</v>
      </c>
      <c r="L718" t="n">
        <v>0</v>
      </c>
      <c r="M718" t="n">
        <v>0</v>
      </c>
      <c r="N718" t="n">
        <v>0</v>
      </c>
      <c r="O718" t="n">
        <v>0</v>
      </c>
      <c r="P718" t="n">
        <v>0</v>
      </c>
      <c r="Q718" t="n">
        <v>0</v>
      </c>
      <c r="R718" s="2" t="inlineStr"/>
    </row>
    <row r="719" ht="15" customHeight="1">
      <c r="A719" t="inlineStr">
        <is>
          <t>A 3373-2022</t>
        </is>
      </c>
      <c r="B719" s="1" t="n">
        <v>44585</v>
      </c>
      <c r="C719" s="1" t="n">
        <v>45346</v>
      </c>
      <c r="D719" t="inlineStr">
        <is>
          <t>JÄMTLANDS LÄN</t>
        </is>
      </c>
      <c r="E719" t="inlineStr">
        <is>
          <t>HÄRJEDALEN</t>
        </is>
      </c>
      <c r="G719" t="n">
        <v>7.4</v>
      </c>
      <c r="H719" t="n">
        <v>0</v>
      </c>
      <c r="I719" t="n">
        <v>0</v>
      </c>
      <c r="J719" t="n">
        <v>0</v>
      </c>
      <c r="K719" t="n">
        <v>0</v>
      </c>
      <c r="L719" t="n">
        <v>0</v>
      </c>
      <c r="M719" t="n">
        <v>0</v>
      </c>
      <c r="N719" t="n">
        <v>0</v>
      </c>
      <c r="O719" t="n">
        <v>0</v>
      </c>
      <c r="P719" t="n">
        <v>0</v>
      </c>
      <c r="Q719" t="n">
        <v>0</v>
      </c>
      <c r="R719" s="2" t="inlineStr"/>
    </row>
    <row r="720" ht="15" customHeight="1">
      <c r="A720" t="inlineStr">
        <is>
          <t>A 4487-2022</t>
        </is>
      </c>
      <c r="B720" s="1" t="n">
        <v>44589</v>
      </c>
      <c r="C720" s="1" t="n">
        <v>45346</v>
      </c>
      <c r="D720" t="inlineStr">
        <is>
          <t>JÄMTLANDS LÄN</t>
        </is>
      </c>
      <c r="E720" t="inlineStr">
        <is>
          <t>HÄRJEDALEN</t>
        </is>
      </c>
      <c r="G720" t="n">
        <v>1.7</v>
      </c>
      <c r="H720" t="n">
        <v>0</v>
      </c>
      <c r="I720" t="n">
        <v>0</v>
      </c>
      <c r="J720" t="n">
        <v>0</v>
      </c>
      <c r="K720" t="n">
        <v>0</v>
      </c>
      <c r="L720" t="n">
        <v>0</v>
      </c>
      <c r="M720" t="n">
        <v>0</v>
      </c>
      <c r="N720" t="n">
        <v>0</v>
      </c>
      <c r="O720" t="n">
        <v>0</v>
      </c>
      <c r="P720" t="n">
        <v>0</v>
      </c>
      <c r="Q720" t="n">
        <v>0</v>
      </c>
      <c r="R720" s="2" t="inlineStr"/>
    </row>
    <row r="721" ht="15" customHeight="1">
      <c r="A721" t="inlineStr">
        <is>
          <t>A 4914-2022</t>
        </is>
      </c>
      <c r="B721" s="1" t="n">
        <v>44593</v>
      </c>
      <c r="C721" s="1" t="n">
        <v>45346</v>
      </c>
      <c r="D721" t="inlineStr">
        <is>
          <t>JÄMTLANDS LÄN</t>
        </is>
      </c>
      <c r="E721" t="inlineStr">
        <is>
          <t>HÄRJEDALEN</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6309-2022</t>
        </is>
      </c>
      <c r="B722" s="1" t="n">
        <v>44600</v>
      </c>
      <c r="C722" s="1" t="n">
        <v>45346</v>
      </c>
      <c r="D722" t="inlineStr">
        <is>
          <t>JÄMTLANDS LÄN</t>
        </is>
      </c>
      <c r="E722" t="inlineStr">
        <is>
          <t>HÄRJEDALEN</t>
        </is>
      </c>
      <c r="G722" t="n">
        <v>38.2</v>
      </c>
      <c r="H722" t="n">
        <v>0</v>
      </c>
      <c r="I722" t="n">
        <v>0</v>
      </c>
      <c r="J722" t="n">
        <v>0</v>
      </c>
      <c r="K722" t="n">
        <v>0</v>
      </c>
      <c r="L722" t="n">
        <v>0</v>
      </c>
      <c r="M722" t="n">
        <v>0</v>
      </c>
      <c r="N722" t="n">
        <v>0</v>
      </c>
      <c r="O722" t="n">
        <v>0</v>
      </c>
      <c r="P722" t="n">
        <v>0</v>
      </c>
      <c r="Q722" t="n">
        <v>0</v>
      </c>
      <c r="R722" s="2" t="inlineStr"/>
    </row>
    <row r="723" ht="15" customHeight="1">
      <c r="A723" t="inlineStr">
        <is>
          <t>A 6208-2022</t>
        </is>
      </c>
      <c r="B723" s="1" t="n">
        <v>44600</v>
      </c>
      <c r="C723" s="1" t="n">
        <v>45346</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6312-2022</t>
        </is>
      </c>
      <c r="B724" s="1" t="n">
        <v>44600</v>
      </c>
      <c r="C724" s="1" t="n">
        <v>45346</v>
      </c>
      <c r="D724" t="inlineStr">
        <is>
          <t>JÄMTLANDS LÄN</t>
        </is>
      </c>
      <c r="E724" t="inlineStr">
        <is>
          <t>HÄRJEDALEN</t>
        </is>
      </c>
      <c r="G724" t="n">
        <v>18.4</v>
      </c>
      <c r="H724" t="n">
        <v>0</v>
      </c>
      <c r="I724" t="n">
        <v>0</v>
      </c>
      <c r="J724" t="n">
        <v>0</v>
      </c>
      <c r="K724" t="n">
        <v>0</v>
      </c>
      <c r="L724" t="n">
        <v>0</v>
      </c>
      <c r="M724" t="n">
        <v>0</v>
      </c>
      <c r="N724" t="n">
        <v>0</v>
      </c>
      <c r="O724" t="n">
        <v>0</v>
      </c>
      <c r="P724" t="n">
        <v>0</v>
      </c>
      <c r="Q724" t="n">
        <v>0</v>
      </c>
      <c r="R724" s="2" t="inlineStr"/>
    </row>
    <row r="725" ht="15" customHeight="1">
      <c r="A725" t="inlineStr">
        <is>
          <t>A 6444-2022</t>
        </is>
      </c>
      <c r="B725" s="1" t="n">
        <v>44601</v>
      </c>
      <c r="C725" s="1" t="n">
        <v>45346</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6933-2022</t>
        </is>
      </c>
      <c r="B726" s="1" t="n">
        <v>44603</v>
      </c>
      <c r="C726" s="1" t="n">
        <v>45346</v>
      </c>
      <c r="D726" t="inlineStr">
        <is>
          <t>JÄMTLANDS LÄN</t>
        </is>
      </c>
      <c r="E726" t="inlineStr">
        <is>
          <t>HÄRJEDALEN</t>
        </is>
      </c>
      <c r="F726" t="inlineStr">
        <is>
          <t>Holmen skog AB</t>
        </is>
      </c>
      <c r="G726" t="n">
        <v>3.9</v>
      </c>
      <c r="H726" t="n">
        <v>0</v>
      </c>
      <c r="I726" t="n">
        <v>0</v>
      </c>
      <c r="J726" t="n">
        <v>0</v>
      </c>
      <c r="K726" t="n">
        <v>0</v>
      </c>
      <c r="L726" t="n">
        <v>0</v>
      </c>
      <c r="M726" t="n">
        <v>0</v>
      </c>
      <c r="N726" t="n">
        <v>0</v>
      </c>
      <c r="O726" t="n">
        <v>0</v>
      </c>
      <c r="P726" t="n">
        <v>0</v>
      </c>
      <c r="Q726" t="n">
        <v>0</v>
      </c>
      <c r="R726" s="2" t="inlineStr"/>
    </row>
    <row r="727" ht="15" customHeight="1">
      <c r="A727" t="inlineStr">
        <is>
          <t>A 6938-2022</t>
        </is>
      </c>
      <c r="B727" s="1" t="n">
        <v>44603</v>
      </c>
      <c r="C727" s="1" t="n">
        <v>45346</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6935-2022</t>
        </is>
      </c>
      <c r="B728" s="1" t="n">
        <v>44603</v>
      </c>
      <c r="C728" s="1" t="n">
        <v>45346</v>
      </c>
      <c r="D728" t="inlineStr">
        <is>
          <t>JÄMTLANDS LÄN</t>
        </is>
      </c>
      <c r="E728" t="inlineStr">
        <is>
          <t>HÄRJEDALEN</t>
        </is>
      </c>
      <c r="F728" t="inlineStr">
        <is>
          <t>Holmen skog AB</t>
        </is>
      </c>
      <c r="G728" t="n">
        <v>4</v>
      </c>
      <c r="H728" t="n">
        <v>0</v>
      </c>
      <c r="I728" t="n">
        <v>0</v>
      </c>
      <c r="J728" t="n">
        <v>0</v>
      </c>
      <c r="K728" t="n">
        <v>0</v>
      </c>
      <c r="L728" t="n">
        <v>0</v>
      </c>
      <c r="M728" t="n">
        <v>0</v>
      </c>
      <c r="N728" t="n">
        <v>0</v>
      </c>
      <c r="O728" t="n">
        <v>0</v>
      </c>
      <c r="P728" t="n">
        <v>0</v>
      </c>
      <c r="Q728" t="n">
        <v>0</v>
      </c>
      <c r="R728" s="2" t="inlineStr"/>
    </row>
    <row r="729" ht="15" customHeight="1">
      <c r="A729" t="inlineStr">
        <is>
          <t>A 6941-2022</t>
        </is>
      </c>
      <c r="B729" s="1" t="n">
        <v>44603</v>
      </c>
      <c r="C729" s="1" t="n">
        <v>45346</v>
      </c>
      <c r="D729" t="inlineStr">
        <is>
          <t>JÄMTLANDS LÄN</t>
        </is>
      </c>
      <c r="E729" t="inlineStr">
        <is>
          <t>HÄRJEDALEN</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8368-2022</t>
        </is>
      </c>
      <c r="B730" s="1" t="n">
        <v>44610</v>
      </c>
      <c r="C730" s="1" t="n">
        <v>45346</v>
      </c>
      <c r="D730" t="inlineStr">
        <is>
          <t>JÄMTLANDS LÄN</t>
        </is>
      </c>
      <c r="E730" t="inlineStr">
        <is>
          <t>HÄRJEDALEN</t>
        </is>
      </c>
      <c r="G730" t="n">
        <v>1.6</v>
      </c>
      <c r="H730" t="n">
        <v>0</v>
      </c>
      <c r="I730" t="n">
        <v>0</v>
      </c>
      <c r="J730" t="n">
        <v>0</v>
      </c>
      <c r="K730" t="n">
        <v>0</v>
      </c>
      <c r="L730" t="n">
        <v>0</v>
      </c>
      <c r="M730" t="n">
        <v>0</v>
      </c>
      <c r="N730" t="n">
        <v>0</v>
      </c>
      <c r="O730" t="n">
        <v>0</v>
      </c>
      <c r="P730" t="n">
        <v>0</v>
      </c>
      <c r="Q730" t="n">
        <v>0</v>
      </c>
      <c r="R730" s="2" t="inlineStr"/>
    </row>
    <row r="731" ht="15" customHeight="1">
      <c r="A731" t="inlineStr">
        <is>
          <t>A 8538-2022</t>
        </is>
      </c>
      <c r="B731" s="1" t="n">
        <v>44613</v>
      </c>
      <c r="C731" s="1" t="n">
        <v>45346</v>
      </c>
      <c r="D731" t="inlineStr">
        <is>
          <t>JÄMTLANDS LÄN</t>
        </is>
      </c>
      <c r="E731" t="inlineStr">
        <is>
          <t>HÄRJEDALEN</t>
        </is>
      </c>
      <c r="F731" t="inlineStr">
        <is>
          <t>Naturvårdsverket</t>
        </is>
      </c>
      <c r="G731" t="n">
        <v>0.4</v>
      </c>
      <c r="H731" t="n">
        <v>0</v>
      </c>
      <c r="I731" t="n">
        <v>0</v>
      </c>
      <c r="J731" t="n">
        <v>0</v>
      </c>
      <c r="K731" t="n">
        <v>0</v>
      </c>
      <c r="L731" t="n">
        <v>0</v>
      </c>
      <c r="M731" t="n">
        <v>0</v>
      </c>
      <c r="N731" t="n">
        <v>0</v>
      </c>
      <c r="O731" t="n">
        <v>0</v>
      </c>
      <c r="P731" t="n">
        <v>0</v>
      </c>
      <c r="Q731" t="n">
        <v>0</v>
      </c>
      <c r="R731" s="2" t="inlineStr"/>
    </row>
    <row r="732" ht="15" customHeight="1">
      <c r="A732" t="inlineStr">
        <is>
          <t>A 8823-2022</t>
        </is>
      </c>
      <c r="B732" s="1" t="n">
        <v>44614</v>
      </c>
      <c r="C732" s="1" t="n">
        <v>45346</v>
      </c>
      <c r="D732" t="inlineStr">
        <is>
          <t>JÄMTLANDS LÄN</t>
        </is>
      </c>
      <c r="E732" t="inlineStr">
        <is>
          <t>HÄRJEDALEN</t>
        </is>
      </c>
      <c r="F732" t="inlineStr">
        <is>
          <t>Naturvårdsverket</t>
        </is>
      </c>
      <c r="G732" t="n">
        <v>23.7</v>
      </c>
      <c r="H732" t="n">
        <v>0</v>
      </c>
      <c r="I732" t="n">
        <v>0</v>
      </c>
      <c r="J732" t="n">
        <v>0</v>
      </c>
      <c r="K732" t="n">
        <v>0</v>
      </c>
      <c r="L732" t="n">
        <v>0</v>
      </c>
      <c r="M732" t="n">
        <v>0</v>
      </c>
      <c r="N732" t="n">
        <v>0</v>
      </c>
      <c r="O732" t="n">
        <v>0</v>
      </c>
      <c r="P732" t="n">
        <v>0</v>
      </c>
      <c r="Q732" t="n">
        <v>0</v>
      </c>
      <c r="R732" s="2" t="inlineStr"/>
    </row>
    <row r="733" ht="15" customHeight="1">
      <c r="A733" t="inlineStr">
        <is>
          <t>A 9095-2022</t>
        </is>
      </c>
      <c r="B733" s="1" t="n">
        <v>44615</v>
      </c>
      <c r="C733" s="1" t="n">
        <v>45346</v>
      </c>
      <c r="D733" t="inlineStr">
        <is>
          <t>JÄMTLANDS LÄN</t>
        </is>
      </c>
      <c r="E733" t="inlineStr">
        <is>
          <t>HÄRJEDALEN</t>
        </is>
      </c>
      <c r="F733" t="inlineStr">
        <is>
          <t>Kyrkan</t>
        </is>
      </c>
      <c r="G733" t="n">
        <v>15.9</v>
      </c>
      <c r="H733" t="n">
        <v>0</v>
      </c>
      <c r="I733" t="n">
        <v>0</v>
      </c>
      <c r="J733" t="n">
        <v>0</v>
      </c>
      <c r="K733" t="n">
        <v>0</v>
      </c>
      <c r="L733" t="n">
        <v>0</v>
      </c>
      <c r="M733" t="n">
        <v>0</v>
      </c>
      <c r="N733" t="n">
        <v>0</v>
      </c>
      <c r="O733" t="n">
        <v>0</v>
      </c>
      <c r="P733" t="n">
        <v>0</v>
      </c>
      <c r="Q733" t="n">
        <v>0</v>
      </c>
      <c r="R733" s="2" t="inlineStr"/>
    </row>
    <row r="734" ht="15" customHeight="1">
      <c r="A734" t="inlineStr">
        <is>
          <t>A 10504-2022</t>
        </is>
      </c>
      <c r="B734" s="1" t="n">
        <v>44623</v>
      </c>
      <c r="C734" s="1" t="n">
        <v>45346</v>
      </c>
      <c r="D734" t="inlineStr">
        <is>
          <t>JÄMTLANDS LÄN</t>
        </is>
      </c>
      <c r="E734" t="inlineStr">
        <is>
          <t>HÄRJEDALEN</t>
        </is>
      </c>
      <c r="F734" t="inlineStr">
        <is>
          <t>Holmen skog AB</t>
        </is>
      </c>
      <c r="G734" t="n">
        <v>11.6</v>
      </c>
      <c r="H734" t="n">
        <v>0</v>
      </c>
      <c r="I734" t="n">
        <v>0</v>
      </c>
      <c r="J734" t="n">
        <v>0</v>
      </c>
      <c r="K734" t="n">
        <v>0</v>
      </c>
      <c r="L734" t="n">
        <v>0</v>
      </c>
      <c r="M734" t="n">
        <v>0</v>
      </c>
      <c r="N734" t="n">
        <v>0</v>
      </c>
      <c r="O734" t="n">
        <v>0</v>
      </c>
      <c r="P734" t="n">
        <v>0</v>
      </c>
      <c r="Q734" t="n">
        <v>0</v>
      </c>
      <c r="R734" s="2" t="inlineStr"/>
    </row>
    <row r="735" ht="15" customHeight="1">
      <c r="A735" t="inlineStr">
        <is>
          <t>A 10727-2022</t>
        </is>
      </c>
      <c r="B735" s="1" t="n">
        <v>44627</v>
      </c>
      <c r="C735" s="1" t="n">
        <v>45346</v>
      </c>
      <c r="D735" t="inlineStr">
        <is>
          <t>JÄMTLANDS LÄN</t>
        </is>
      </c>
      <c r="E735" t="inlineStr">
        <is>
          <t>HÄRJEDALEN</t>
        </is>
      </c>
      <c r="F735" t="inlineStr">
        <is>
          <t>Holmen skog AB</t>
        </is>
      </c>
      <c r="G735" t="n">
        <v>12.6</v>
      </c>
      <c r="H735" t="n">
        <v>0</v>
      </c>
      <c r="I735" t="n">
        <v>0</v>
      </c>
      <c r="J735" t="n">
        <v>0</v>
      </c>
      <c r="K735" t="n">
        <v>0</v>
      </c>
      <c r="L735" t="n">
        <v>0</v>
      </c>
      <c r="M735" t="n">
        <v>0</v>
      </c>
      <c r="N735" t="n">
        <v>0</v>
      </c>
      <c r="O735" t="n">
        <v>0</v>
      </c>
      <c r="P735" t="n">
        <v>0</v>
      </c>
      <c r="Q735" t="n">
        <v>0</v>
      </c>
      <c r="R735" s="2" t="inlineStr"/>
    </row>
    <row r="736" ht="15" customHeight="1">
      <c r="A736" t="inlineStr">
        <is>
          <t>A 10741-2022</t>
        </is>
      </c>
      <c r="B736" s="1" t="n">
        <v>44627</v>
      </c>
      <c r="C736" s="1" t="n">
        <v>45346</v>
      </c>
      <c r="D736" t="inlineStr">
        <is>
          <t>JÄMTLANDS LÄN</t>
        </is>
      </c>
      <c r="E736" t="inlineStr">
        <is>
          <t>HÄRJEDALEN</t>
        </is>
      </c>
      <c r="F736" t="inlineStr">
        <is>
          <t>Holmen skog AB</t>
        </is>
      </c>
      <c r="G736" t="n">
        <v>8</v>
      </c>
      <c r="H736" t="n">
        <v>0</v>
      </c>
      <c r="I736" t="n">
        <v>0</v>
      </c>
      <c r="J736" t="n">
        <v>0</v>
      </c>
      <c r="K736" t="n">
        <v>0</v>
      </c>
      <c r="L736" t="n">
        <v>0</v>
      </c>
      <c r="M736" t="n">
        <v>0</v>
      </c>
      <c r="N736" t="n">
        <v>0</v>
      </c>
      <c r="O736" t="n">
        <v>0</v>
      </c>
      <c r="P736" t="n">
        <v>0</v>
      </c>
      <c r="Q736" t="n">
        <v>0</v>
      </c>
      <c r="R736" s="2" t="inlineStr"/>
    </row>
    <row r="737" ht="15" customHeight="1">
      <c r="A737" t="inlineStr">
        <is>
          <t>A 10956-2022</t>
        </is>
      </c>
      <c r="B737" s="1" t="n">
        <v>44628</v>
      </c>
      <c r="C737" s="1" t="n">
        <v>45346</v>
      </c>
      <c r="D737" t="inlineStr">
        <is>
          <t>JÄMTLANDS LÄN</t>
        </is>
      </c>
      <c r="E737" t="inlineStr">
        <is>
          <t>HÄRJEDALEN</t>
        </is>
      </c>
      <c r="F737" t="inlineStr">
        <is>
          <t>Holmen skog AB</t>
        </is>
      </c>
      <c r="G737" t="n">
        <v>21.8</v>
      </c>
      <c r="H737" t="n">
        <v>0</v>
      </c>
      <c r="I737" t="n">
        <v>0</v>
      </c>
      <c r="J737" t="n">
        <v>0</v>
      </c>
      <c r="K737" t="n">
        <v>0</v>
      </c>
      <c r="L737" t="n">
        <v>0</v>
      </c>
      <c r="M737" t="n">
        <v>0</v>
      </c>
      <c r="N737" t="n">
        <v>0</v>
      </c>
      <c r="O737" t="n">
        <v>0</v>
      </c>
      <c r="P737" t="n">
        <v>0</v>
      </c>
      <c r="Q737" t="n">
        <v>0</v>
      </c>
      <c r="R737" s="2" t="inlineStr"/>
    </row>
    <row r="738" ht="15" customHeight="1">
      <c r="A738" t="inlineStr">
        <is>
          <t>A 10959-2022</t>
        </is>
      </c>
      <c r="B738" s="1" t="n">
        <v>44628</v>
      </c>
      <c r="C738" s="1" t="n">
        <v>45346</v>
      </c>
      <c r="D738" t="inlineStr">
        <is>
          <t>JÄMTLANDS LÄN</t>
        </is>
      </c>
      <c r="E738" t="inlineStr">
        <is>
          <t>HÄRJEDALEN</t>
        </is>
      </c>
      <c r="G738" t="n">
        <v>2.1</v>
      </c>
      <c r="H738" t="n">
        <v>0</v>
      </c>
      <c r="I738" t="n">
        <v>0</v>
      </c>
      <c r="J738" t="n">
        <v>0</v>
      </c>
      <c r="K738" t="n">
        <v>0</v>
      </c>
      <c r="L738" t="n">
        <v>0</v>
      </c>
      <c r="M738" t="n">
        <v>0</v>
      </c>
      <c r="N738" t="n">
        <v>0</v>
      </c>
      <c r="O738" t="n">
        <v>0</v>
      </c>
      <c r="P738" t="n">
        <v>0</v>
      </c>
      <c r="Q738" t="n">
        <v>0</v>
      </c>
      <c r="R738" s="2" t="inlineStr"/>
    </row>
    <row r="739" ht="15" customHeight="1">
      <c r="A739" t="inlineStr">
        <is>
          <t>A 11334-2022</t>
        </is>
      </c>
      <c r="B739" s="1" t="n">
        <v>44630</v>
      </c>
      <c r="C739" s="1" t="n">
        <v>45346</v>
      </c>
      <c r="D739" t="inlineStr">
        <is>
          <t>JÄMTLANDS LÄN</t>
        </is>
      </c>
      <c r="E739" t="inlineStr">
        <is>
          <t>HÄRJEDALEN</t>
        </is>
      </c>
      <c r="F739" t="inlineStr">
        <is>
          <t>Holmen skog AB</t>
        </is>
      </c>
      <c r="G739" t="n">
        <v>5.8</v>
      </c>
      <c r="H739" t="n">
        <v>0</v>
      </c>
      <c r="I739" t="n">
        <v>0</v>
      </c>
      <c r="J739" t="n">
        <v>0</v>
      </c>
      <c r="K739" t="n">
        <v>0</v>
      </c>
      <c r="L739" t="n">
        <v>0</v>
      </c>
      <c r="M739" t="n">
        <v>0</v>
      </c>
      <c r="N739" t="n">
        <v>0</v>
      </c>
      <c r="O739" t="n">
        <v>0</v>
      </c>
      <c r="P739" t="n">
        <v>0</v>
      </c>
      <c r="Q739" t="n">
        <v>0</v>
      </c>
      <c r="R739" s="2" t="inlineStr"/>
    </row>
    <row r="740" ht="15" customHeight="1">
      <c r="A740" t="inlineStr">
        <is>
          <t>A 11512-2022</t>
        </is>
      </c>
      <c r="B740" s="1" t="n">
        <v>44631</v>
      </c>
      <c r="C740" s="1" t="n">
        <v>45346</v>
      </c>
      <c r="D740" t="inlineStr">
        <is>
          <t>JÄMTLANDS LÄN</t>
        </is>
      </c>
      <c r="E740" t="inlineStr">
        <is>
          <t>HÄRJEDALEN</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11528-2022</t>
        </is>
      </c>
      <c r="B741" s="1" t="n">
        <v>44631</v>
      </c>
      <c r="C741" s="1" t="n">
        <v>45346</v>
      </c>
      <c r="D741" t="inlineStr">
        <is>
          <t>JÄMTLANDS LÄN</t>
        </is>
      </c>
      <c r="E741" t="inlineStr">
        <is>
          <t>HÄRJEDALEN</t>
        </is>
      </c>
      <c r="F741" t="inlineStr">
        <is>
          <t>Holmen skog AB</t>
        </is>
      </c>
      <c r="G741" t="n">
        <v>6.1</v>
      </c>
      <c r="H741" t="n">
        <v>0</v>
      </c>
      <c r="I741" t="n">
        <v>0</v>
      </c>
      <c r="J741" t="n">
        <v>0</v>
      </c>
      <c r="K741" t="n">
        <v>0</v>
      </c>
      <c r="L741" t="n">
        <v>0</v>
      </c>
      <c r="M741" t="n">
        <v>0</v>
      </c>
      <c r="N741" t="n">
        <v>0</v>
      </c>
      <c r="O741" t="n">
        <v>0</v>
      </c>
      <c r="P741" t="n">
        <v>0</v>
      </c>
      <c r="Q741" t="n">
        <v>0</v>
      </c>
      <c r="R741" s="2" t="inlineStr"/>
    </row>
    <row r="742" ht="15" customHeight="1">
      <c r="A742" t="inlineStr">
        <is>
          <t>A 11553-2022</t>
        </is>
      </c>
      <c r="B742" s="1" t="n">
        <v>44631</v>
      </c>
      <c r="C742" s="1" t="n">
        <v>45346</v>
      </c>
      <c r="D742" t="inlineStr">
        <is>
          <t>JÄMTLANDS LÄN</t>
        </is>
      </c>
      <c r="E742" t="inlineStr">
        <is>
          <t>HÄRJEDALEN</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11525-2022</t>
        </is>
      </c>
      <c r="B743" s="1" t="n">
        <v>44631</v>
      </c>
      <c r="C743" s="1" t="n">
        <v>45346</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11545-2022</t>
        </is>
      </c>
      <c r="B744" s="1" t="n">
        <v>44631</v>
      </c>
      <c r="C744" s="1" t="n">
        <v>45346</v>
      </c>
      <c r="D744" t="inlineStr">
        <is>
          <t>JÄMTLANDS LÄN</t>
        </is>
      </c>
      <c r="E744" t="inlineStr">
        <is>
          <t>HÄRJEDALEN</t>
        </is>
      </c>
      <c r="F744" t="inlineStr">
        <is>
          <t>Holmen skog AB</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11522-2022</t>
        </is>
      </c>
      <c r="B745" s="1" t="n">
        <v>44631</v>
      </c>
      <c r="C745" s="1" t="n">
        <v>45346</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11527-2022</t>
        </is>
      </c>
      <c r="B746" s="1" t="n">
        <v>44631</v>
      </c>
      <c r="C746" s="1" t="n">
        <v>45346</v>
      </c>
      <c r="D746" t="inlineStr">
        <is>
          <t>JÄMTLANDS LÄN</t>
        </is>
      </c>
      <c r="E746" t="inlineStr">
        <is>
          <t>HÄRJEDALEN</t>
        </is>
      </c>
      <c r="F746" t="inlineStr">
        <is>
          <t>Holmen skog AB</t>
        </is>
      </c>
      <c r="G746" t="n">
        <v>4.6</v>
      </c>
      <c r="H746" t="n">
        <v>0</v>
      </c>
      <c r="I746" t="n">
        <v>0</v>
      </c>
      <c r="J746" t="n">
        <v>0</v>
      </c>
      <c r="K746" t="n">
        <v>0</v>
      </c>
      <c r="L746" t="n">
        <v>0</v>
      </c>
      <c r="M746" t="n">
        <v>0</v>
      </c>
      <c r="N746" t="n">
        <v>0</v>
      </c>
      <c r="O746" t="n">
        <v>0</v>
      </c>
      <c r="P746" t="n">
        <v>0</v>
      </c>
      <c r="Q746" t="n">
        <v>0</v>
      </c>
      <c r="R746" s="2" t="inlineStr"/>
    </row>
    <row r="747" ht="15" customHeight="1">
      <c r="A747" t="inlineStr">
        <is>
          <t>A 11557-2022</t>
        </is>
      </c>
      <c r="B747" s="1" t="n">
        <v>44631</v>
      </c>
      <c r="C747" s="1" t="n">
        <v>45346</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11541-2022</t>
        </is>
      </c>
      <c r="B748" s="1" t="n">
        <v>44631</v>
      </c>
      <c r="C748" s="1" t="n">
        <v>45346</v>
      </c>
      <c r="D748" t="inlineStr">
        <is>
          <t>JÄMTLANDS LÄN</t>
        </is>
      </c>
      <c r="E748" t="inlineStr">
        <is>
          <t>HÄRJEDALEN</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11551-2022</t>
        </is>
      </c>
      <c r="B749" s="1" t="n">
        <v>44631</v>
      </c>
      <c r="C749" s="1" t="n">
        <v>45346</v>
      </c>
      <c r="D749" t="inlineStr">
        <is>
          <t>JÄMTLANDS LÄN</t>
        </is>
      </c>
      <c r="E749" t="inlineStr">
        <is>
          <t>HÄRJEDALEN</t>
        </is>
      </c>
      <c r="F749" t="inlineStr">
        <is>
          <t>Holmen skog AB</t>
        </is>
      </c>
      <c r="G749" t="n">
        <v>17.6</v>
      </c>
      <c r="H749" t="n">
        <v>0</v>
      </c>
      <c r="I749" t="n">
        <v>0</v>
      </c>
      <c r="J749" t="n">
        <v>0</v>
      </c>
      <c r="K749" t="n">
        <v>0</v>
      </c>
      <c r="L749" t="n">
        <v>0</v>
      </c>
      <c r="M749" t="n">
        <v>0</v>
      </c>
      <c r="N749" t="n">
        <v>0</v>
      </c>
      <c r="O749" t="n">
        <v>0</v>
      </c>
      <c r="P749" t="n">
        <v>0</v>
      </c>
      <c r="Q749" t="n">
        <v>0</v>
      </c>
      <c r="R749" s="2" t="inlineStr"/>
    </row>
    <row r="750" ht="15" customHeight="1">
      <c r="A750" t="inlineStr">
        <is>
          <t>A 12468-2022</t>
        </is>
      </c>
      <c r="B750" s="1" t="n">
        <v>44638</v>
      </c>
      <c r="C750" s="1" t="n">
        <v>45346</v>
      </c>
      <c r="D750" t="inlineStr">
        <is>
          <t>JÄMTLANDS LÄN</t>
        </is>
      </c>
      <c r="E750" t="inlineStr">
        <is>
          <t>HÄRJEDALEN</t>
        </is>
      </c>
      <c r="G750" t="n">
        <v>2.5</v>
      </c>
      <c r="H750" t="n">
        <v>0</v>
      </c>
      <c r="I750" t="n">
        <v>0</v>
      </c>
      <c r="J750" t="n">
        <v>0</v>
      </c>
      <c r="K750" t="n">
        <v>0</v>
      </c>
      <c r="L750" t="n">
        <v>0</v>
      </c>
      <c r="M750" t="n">
        <v>0</v>
      </c>
      <c r="N750" t="n">
        <v>0</v>
      </c>
      <c r="O750" t="n">
        <v>0</v>
      </c>
      <c r="P750" t="n">
        <v>0</v>
      </c>
      <c r="Q750" t="n">
        <v>0</v>
      </c>
      <c r="R750" s="2" t="inlineStr"/>
    </row>
    <row r="751" ht="15" customHeight="1">
      <c r="A751" t="inlineStr">
        <is>
          <t>A 12810-2022</t>
        </is>
      </c>
      <c r="B751" s="1" t="n">
        <v>44642</v>
      </c>
      <c r="C751" s="1" t="n">
        <v>45346</v>
      </c>
      <c r="D751" t="inlineStr">
        <is>
          <t>JÄMTLANDS LÄN</t>
        </is>
      </c>
      <c r="E751" t="inlineStr">
        <is>
          <t>HÄRJEDALEN</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13081-2022</t>
        </is>
      </c>
      <c r="B752" s="1" t="n">
        <v>44643</v>
      </c>
      <c r="C752" s="1" t="n">
        <v>45346</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13991-2022</t>
        </is>
      </c>
      <c r="B753" s="1" t="n">
        <v>44650</v>
      </c>
      <c r="C753" s="1" t="n">
        <v>45346</v>
      </c>
      <c r="D753" t="inlineStr">
        <is>
          <t>JÄMTLANDS LÄN</t>
        </is>
      </c>
      <c r="E753" t="inlineStr">
        <is>
          <t>HÄRJEDALEN</t>
        </is>
      </c>
      <c r="F753" t="inlineStr">
        <is>
          <t>Holmen skog AB</t>
        </is>
      </c>
      <c r="G753" t="n">
        <v>6.2</v>
      </c>
      <c r="H753" t="n">
        <v>0</v>
      </c>
      <c r="I753" t="n">
        <v>0</v>
      </c>
      <c r="J753" t="n">
        <v>0</v>
      </c>
      <c r="K753" t="n">
        <v>0</v>
      </c>
      <c r="L753" t="n">
        <v>0</v>
      </c>
      <c r="M753" t="n">
        <v>0</v>
      </c>
      <c r="N753" t="n">
        <v>0</v>
      </c>
      <c r="O753" t="n">
        <v>0</v>
      </c>
      <c r="P753" t="n">
        <v>0</v>
      </c>
      <c r="Q753" t="n">
        <v>0</v>
      </c>
      <c r="R753" s="2" t="inlineStr"/>
    </row>
    <row r="754" ht="15" customHeight="1">
      <c r="A754" t="inlineStr">
        <is>
          <t>A 14648-2022</t>
        </is>
      </c>
      <c r="B754" s="1" t="n">
        <v>44655</v>
      </c>
      <c r="C754" s="1" t="n">
        <v>45346</v>
      </c>
      <c r="D754" t="inlineStr">
        <is>
          <t>JÄMTLANDS LÄN</t>
        </is>
      </c>
      <c r="E754" t="inlineStr">
        <is>
          <t>HÄRJEDALEN</t>
        </is>
      </c>
      <c r="G754" t="n">
        <v>4.8</v>
      </c>
      <c r="H754" t="n">
        <v>0</v>
      </c>
      <c r="I754" t="n">
        <v>0</v>
      </c>
      <c r="J754" t="n">
        <v>0</v>
      </c>
      <c r="K754" t="n">
        <v>0</v>
      </c>
      <c r="L754" t="n">
        <v>0</v>
      </c>
      <c r="M754" t="n">
        <v>0</v>
      </c>
      <c r="N754" t="n">
        <v>0</v>
      </c>
      <c r="O754" t="n">
        <v>0</v>
      </c>
      <c r="P754" t="n">
        <v>0</v>
      </c>
      <c r="Q754" t="n">
        <v>0</v>
      </c>
      <c r="R754" s="2" t="inlineStr"/>
    </row>
    <row r="755" ht="15" customHeight="1">
      <c r="A755" t="inlineStr">
        <is>
          <t>A 15374-2022</t>
        </is>
      </c>
      <c r="B755" s="1" t="n">
        <v>44659</v>
      </c>
      <c r="C755" s="1" t="n">
        <v>45346</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15611-2022</t>
        </is>
      </c>
      <c r="B756" s="1" t="n">
        <v>44662</v>
      </c>
      <c r="C756" s="1" t="n">
        <v>45346</v>
      </c>
      <c r="D756" t="inlineStr">
        <is>
          <t>JÄMTLANDS LÄN</t>
        </is>
      </c>
      <c r="E756" t="inlineStr">
        <is>
          <t>HÄRJEDALEN</t>
        </is>
      </c>
      <c r="F756" t="inlineStr">
        <is>
          <t>Kyrkan</t>
        </is>
      </c>
      <c r="G756" t="n">
        <v>6.9</v>
      </c>
      <c r="H756" t="n">
        <v>0</v>
      </c>
      <c r="I756" t="n">
        <v>0</v>
      </c>
      <c r="J756" t="n">
        <v>0</v>
      </c>
      <c r="K756" t="n">
        <v>0</v>
      </c>
      <c r="L756" t="n">
        <v>0</v>
      </c>
      <c r="M756" t="n">
        <v>0</v>
      </c>
      <c r="N756" t="n">
        <v>0</v>
      </c>
      <c r="O756" t="n">
        <v>0</v>
      </c>
      <c r="P756" t="n">
        <v>0</v>
      </c>
      <c r="Q756" t="n">
        <v>0</v>
      </c>
      <c r="R756" s="2" t="inlineStr"/>
    </row>
    <row r="757" ht="15" customHeight="1">
      <c r="A757" t="inlineStr">
        <is>
          <t>A 15763-2022</t>
        </is>
      </c>
      <c r="B757" s="1" t="n">
        <v>44663</v>
      </c>
      <c r="C757" s="1" t="n">
        <v>45346</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16014-2022</t>
        </is>
      </c>
      <c r="B758" s="1" t="n">
        <v>44665</v>
      </c>
      <c r="C758" s="1" t="n">
        <v>45346</v>
      </c>
      <c r="D758" t="inlineStr">
        <is>
          <t>JÄMTLANDS LÄN</t>
        </is>
      </c>
      <c r="E758" t="inlineStr">
        <is>
          <t>HÄRJEDALEN</t>
        </is>
      </c>
      <c r="G758" t="n">
        <v>38.7</v>
      </c>
      <c r="H758" t="n">
        <v>0</v>
      </c>
      <c r="I758" t="n">
        <v>0</v>
      </c>
      <c r="J758" t="n">
        <v>0</v>
      </c>
      <c r="K758" t="n">
        <v>0</v>
      </c>
      <c r="L758" t="n">
        <v>0</v>
      </c>
      <c r="M758" t="n">
        <v>0</v>
      </c>
      <c r="N758" t="n">
        <v>0</v>
      </c>
      <c r="O758" t="n">
        <v>0</v>
      </c>
      <c r="P758" t="n">
        <v>0</v>
      </c>
      <c r="Q758" t="n">
        <v>0</v>
      </c>
      <c r="R758" s="2" t="inlineStr"/>
    </row>
    <row r="759" ht="15" customHeight="1">
      <c r="A759" t="inlineStr">
        <is>
          <t>A 17805-2022</t>
        </is>
      </c>
      <c r="B759" s="1" t="n">
        <v>44683</v>
      </c>
      <c r="C759" s="1" t="n">
        <v>45346</v>
      </c>
      <c r="D759" t="inlineStr">
        <is>
          <t>JÄMTLANDS LÄN</t>
        </is>
      </c>
      <c r="E759" t="inlineStr">
        <is>
          <t>HÄRJEDALEN</t>
        </is>
      </c>
      <c r="G759" t="n">
        <v>15.7</v>
      </c>
      <c r="H759" t="n">
        <v>0</v>
      </c>
      <c r="I759" t="n">
        <v>0</v>
      </c>
      <c r="J759" t="n">
        <v>0</v>
      </c>
      <c r="K759" t="n">
        <v>0</v>
      </c>
      <c r="L759" t="n">
        <v>0</v>
      </c>
      <c r="M759" t="n">
        <v>0</v>
      </c>
      <c r="N759" t="n">
        <v>0</v>
      </c>
      <c r="O759" t="n">
        <v>0</v>
      </c>
      <c r="P759" t="n">
        <v>0</v>
      </c>
      <c r="Q759" t="n">
        <v>0</v>
      </c>
      <c r="R759" s="2" t="inlineStr"/>
    </row>
    <row r="760" ht="15" customHeight="1">
      <c r="A760" t="inlineStr">
        <is>
          <t>A 17797-2022</t>
        </is>
      </c>
      <c r="B760" s="1" t="n">
        <v>44683</v>
      </c>
      <c r="C760" s="1" t="n">
        <v>45346</v>
      </c>
      <c r="D760" t="inlineStr">
        <is>
          <t>JÄMTLANDS LÄN</t>
        </is>
      </c>
      <c r="E760" t="inlineStr">
        <is>
          <t>HÄRJEDALEN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17935-2022</t>
        </is>
      </c>
      <c r="B761" s="1" t="n">
        <v>44683</v>
      </c>
      <c r="C761" s="1" t="n">
        <v>45346</v>
      </c>
      <c r="D761" t="inlineStr">
        <is>
          <t>JÄMTLANDS LÄN</t>
        </is>
      </c>
      <c r="E761" t="inlineStr">
        <is>
          <t>HÄRJEDALEN</t>
        </is>
      </c>
      <c r="G761" t="n">
        <v>4.2</v>
      </c>
      <c r="H761" t="n">
        <v>0</v>
      </c>
      <c r="I761" t="n">
        <v>0</v>
      </c>
      <c r="J761" t="n">
        <v>0</v>
      </c>
      <c r="K761" t="n">
        <v>0</v>
      </c>
      <c r="L761" t="n">
        <v>0</v>
      </c>
      <c r="M761" t="n">
        <v>0</v>
      </c>
      <c r="N761" t="n">
        <v>0</v>
      </c>
      <c r="O761" t="n">
        <v>0</v>
      </c>
      <c r="P761" t="n">
        <v>0</v>
      </c>
      <c r="Q761" t="n">
        <v>0</v>
      </c>
      <c r="R761" s="2" t="inlineStr"/>
    </row>
    <row r="762" ht="15" customHeight="1">
      <c r="A762" t="inlineStr">
        <is>
          <t>A 18169-2022</t>
        </is>
      </c>
      <c r="B762" s="1" t="n">
        <v>44684</v>
      </c>
      <c r="C762" s="1" t="n">
        <v>45346</v>
      </c>
      <c r="D762" t="inlineStr">
        <is>
          <t>JÄMTLANDS LÄN</t>
        </is>
      </c>
      <c r="E762" t="inlineStr">
        <is>
          <t>HÄRJEDALEN</t>
        </is>
      </c>
      <c r="F762" t="inlineStr">
        <is>
          <t>Kyrkan</t>
        </is>
      </c>
      <c r="G762" t="n">
        <v>2.4</v>
      </c>
      <c r="H762" t="n">
        <v>0</v>
      </c>
      <c r="I762" t="n">
        <v>0</v>
      </c>
      <c r="J762" t="n">
        <v>0</v>
      </c>
      <c r="K762" t="n">
        <v>0</v>
      </c>
      <c r="L762" t="n">
        <v>0</v>
      </c>
      <c r="M762" t="n">
        <v>0</v>
      </c>
      <c r="N762" t="n">
        <v>0</v>
      </c>
      <c r="O762" t="n">
        <v>0</v>
      </c>
      <c r="P762" t="n">
        <v>0</v>
      </c>
      <c r="Q762" t="n">
        <v>0</v>
      </c>
      <c r="R762" s="2" t="inlineStr"/>
    </row>
    <row r="763" ht="15" customHeight="1">
      <c r="A763" t="inlineStr">
        <is>
          <t>A 18778-2022</t>
        </is>
      </c>
      <c r="B763" s="1" t="n">
        <v>44689</v>
      </c>
      <c r="C763" s="1" t="n">
        <v>45346</v>
      </c>
      <c r="D763" t="inlineStr">
        <is>
          <t>JÄMTLANDS LÄN</t>
        </is>
      </c>
      <c r="E763" t="inlineStr">
        <is>
          <t>HÄRJEDALEN</t>
        </is>
      </c>
      <c r="G763" t="n">
        <v>4.1</v>
      </c>
      <c r="H763" t="n">
        <v>0</v>
      </c>
      <c r="I763" t="n">
        <v>0</v>
      </c>
      <c r="J763" t="n">
        <v>0</v>
      </c>
      <c r="K763" t="n">
        <v>0</v>
      </c>
      <c r="L763" t="n">
        <v>0</v>
      </c>
      <c r="M763" t="n">
        <v>0</v>
      </c>
      <c r="N763" t="n">
        <v>0</v>
      </c>
      <c r="O763" t="n">
        <v>0</v>
      </c>
      <c r="P763" t="n">
        <v>0</v>
      </c>
      <c r="Q763" t="n">
        <v>0</v>
      </c>
      <c r="R763" s="2" t="inlineStr"/>
    </row>
    <row r="764" ht="15" customHeight="1">
      <c r="A764" t="inlineStr">
        <is>
          <t>A 18808-2022</t>
        </is>
      </c>
      <c r="B764" s="1" t="n">
        <v>44690</v>
      </c>
      <c r="C764" s="1" t="n">
        <v>45346</v>
      </c>
      <c r="D764" t="inlineStr">
        <is>
          <t>JÄMTLANDS LÄN</t>
        </is>
      </c>
      <c r="E764" t="inlineStr">
        <is>
          <t>HÄRJEDALEN</t>
        </is>
      </c>
      <c r="G764" t="n">
        <v>0.5</v>
      </c>
      <c r="H764" t="n">
        <v>0</v>
      </c>
      <c r="I764" t="n">
        <v>0</v>
      </c>
      <c r="J764" t="n">
        <v>0</v>
      </c>
      <c r="K764" t="n">
        <v>0</v>
      </c>
      <c r="L764" t="n">
        <v>0</v>
      </c>
      <c r="M764" t="n">
        <v>0</v>
      </c>
      <c r="N764" t="n">
        <v>0</v>
      </c>
      <c r="O764" t="n">
        <v>0</v>
      </c>
      <c r="P764" t="n">
        <v>0</v>
      </c>
      <c r="Q764" t="n">
        <v>0</v>
      </c>
      <c r="R764" s="2" t="inlineStr"/>
    </row>
    <row r="765" ht="15" customHeight="1">
      <c r="A765" t="inlineStr">
        <is>
          <t>A 20059-2022</t>
        </is>
      </c>
      <c r="B765" s="1" t="n">
        <v>44698</v>
      </c>
      <c r="C765" s="1" t="n">
        <v>45346</v>
      </c>
      <c r="D765" t="inlineStr">
        <is>
          <t>JÄMTLANDS LÄN</t>
        </is>
      </c>
      <c r="E765" t="inlineStr">
        <is>
          <t>HÄRJEDALEN</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20206-2022</t>
        </is>
      </c>
      <c r="B766" s="1" t="n">
        <v>44698</v>
      </c>
      <c r="C766" s="1" t="n">
        <v>45346</v>
      </c>
      <c r="D766" t="inlineStr">
        <is>
          <t>JÄMTLANDS LÄN</t>
        </is>
      </c>
      <c r="E766" t="inlineStr">
        <is>
          <t>HÄRJEDALEN</t>
        </is>
      </c>
      <c r="F766" t="inlineStr">
        <is>
          <t>Bergvik skog väst AB</t>
        </is>
      </c>
      <c r="G766" t="n">
        <v>5.8</v>
      </c>
      <c r="H766" t="n">
        <v>0</v>
      </c>
      <c r="I766" t="n">
        <v>0</v>
      </c>
      <c r="J766" t="n">
        <v>0</v>
      </c>
      <c r="K766" t="n">
        <v>0</v>
      </c>
      <c r="L766" t="n">
        <v>0</v>
      </c>
      <c r="M766" t="n">
        <v>0</v>
      </c>
      <c r="N766" t="n">
        <v>0</v>
      </c>
      <c r="O766" t="n">
        <v>0</v>
      </c>
      <c r="P766" t="n">
        <v>0</v>
      </c>
      <c r="Q766" t="n">
        <v>0</v>
      </c>
      <c r="R766" s="2" t="inlineStr"/>
    </row>
    <row r="767" ht="15" customHeight="1">
      <c r="A767" t="inlineStr">
        <is>
          <t>A 21610-2022</t>
        </is>
      </c>
      <c r="B767" s="1" t="n">
        <v>44706</v>
      </c>
      <c r="C767" s="1" t="n">
        <v>45346</v>
      </c>
      <c r="D767" t="inlineStr">
        <is>
          <t>JÄMTLANDS LÄN</t>
        </is>
      </c>
      <c r="E767" t="inlineStr">
        <is>
          <t>HÄRJEDALEN</t>
        </is>
      </c>
      <c r="F767" t="inlineStr">
        <is>
          <t>Holmen skog AB</t>
        </is>
      </c>
      <c r="G767" t="n">
        <v>15.3</v>
      </c>
      <c r="H767" t="n">
        <v>0</v>
      </c>
      <c r="I767" t="n">
        <v>0</v>
      </c>
      <c r="J767" t="n">
        <v>0</v>
      </c>
      <c r="K767" t="n">
        <v>0</v>
      </c>
      <c r="L767" t="n">
        <v>0</v>
      </c>
      <c r="M767" t="n">
        <v>0</v>
      </c>
      <c r="N767" t="n">
        <v>0</v>
      </c>
      <c r="O767" t="n">
        <v>0</v>
      </c>
      <c r="P767" t="n">
        <v>0</v>
      </c>
      <c r="Q767" t="n">
        <v>0</v>
      </c>
      <c r="R767" s="2" t="inlineStr"/>
    </row>
    <row r="768" ht="15" customHeight="1">
      <c r="A768" t="inlineStr">
        <is>
          <t>A 21767-2022</t>
        </is>
      </c>
      <c r="B768" s="1" t="n">
        <v>44708</v>
      </c>
      <c r="C768" s="1" t="n">
        <v>45346</v>
      </c>
      <c r="D768" t="inlineStr">
        <is>
          <t>JÄMTLANDS LÄN</t>
        </is>
      </c>
      <c r="E768" t="inlineStr">
        <is>
          <t>HÄRJEDALEN</t>
        </is>
      </c>
      <c r="F768" t="inlineStr">
        <is>
          <t>Holmen skog AB</t>
        </is>
      </c>
      <c r="G768" t="n">
        <v>8.1</v>
      </c>
      <c r="H768" t="n">
        <v>0</v>
      </c>
      <c r="I768" t="n">
        <v>0</v>
      </c>
      <c r="J768" t="n">
        <v>0</v>
      </c>
      <c r="K768" t="n">
        <v>0</v>
      </c>
      <c r="L768" t="n">
        <v>0</v>
      </c>
      <c r="M768" t="n">
        <v>0</v>
      </c>
      <c r="N768" t="n">
        <v>0</v>
      </c>
      <c r="O768" t="n">
        <v>0</v>
      </c>
      <c r="P768" t="n">
        <v>0</v>
      </c>
      <c r="Q768" t="n">
        <v>0</v>
      </c>
      <c r="R768" s="2" t="inlineStr"/>
    </row>
    <row r="769" ht="15" customHeight="1">
      <c r="A769" t="inlineStr">
        <is>
          <t>A 21774-2022</t>
        </is>
      </c>
      <c r="B769" s="1" t="n">
        <v>44708</v>
      </c>
      <c r="C769" s="1" t="n">
        <v>45346</v>
      </c>
      <c r="D769" t="inlineStr">
        <is>
          <t>JÄMTLANDS LÄN</t>
        </is>
      </c>
      <c r="E769" t="inlineStr">
        <is>
          <t>HÄRJEDALEN</t>
        </is>
      </c>
      <c r="F769" t="inlineStr">
        <is>
          <t>Holmen skog AB</t>
        </is>
      </c>
      <c r="G769" t="n">
        <v>17.3</v>
      </c>
      <c r="H769" t="n">
        <v>0</v>
      </c>
      <c r="I769" t="n">
        <v>0</v>
      </c>
      <c r="J769" t="n">
        <v>0</v>
      </c>
      <c r="K769" t="n">
        <v>0</v>
      </c>
      <c r="L769" t="n">
        <v>0</v>
      </c>
      <c r="M769" t="n">
        <v>0</v>
      </c>
      <c r="N769" t="n">
        <v>0</v>
      </c>
      <c r="O769" t="n">
        <v>0</v>
      </c>
      <c r="P769" t="n">
        <v>0</v>
      </c>
      <c r="Q769" t="n">
        <v>0</v>
      </c>
      <c r="R769" s="2" t="inlineStr"/>
    </row>
    <row r="770" ht="15" customHeight="1">
      <c r="A770" t="inlineStr">
        <is>
          <t>A 21778-2022</t>
        </is>
      </c>
      <c r="B770" s="1" t="n">
        <v>44708</v>
      </c>
      <c r="C770" s="1" t="n">
        <v>45346</v>
      </c>
      <c r="D770" t="inlineStr">
        <is>
          <t>JÄMTLANDS LÄN</t>
        </is>
      </c>
      <c r="E770" t="inlineStr">
        <is>
          <t>HÄRJEDALEN</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21770-2022</t>
        </is>
      </c>
      <c r="B771" s="1" t="n">
        <v>44708</v>
      </c>
      <c r="C771" s="1" t="n">
        <v>45346</v>
      </c>
      <c r="D771" t="inlineStr">
        <is>
          <t>JÄMTLANDS LÄN</t>
        </is>
      </c>
      <c r="E771" t="inlineStr">
        <is>
          <t>HÄRJEDALEN</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21781-2022</t>
        </is>
      </c>
      <c r="B772" s="1" t="n">
        <v>44708</v>
      </c>
      <c r="C772" s="1" t="n">
        <v>45346</v>
      </c>
      <c r="D772" t="inlineStr">
        <is>
          <t>JÄMTLANDS LÄN</t>
        </is>
      </c>
      <c r="E772" t="inlineStr">
        <is>
          <t>HÄRJEDALEN</t>
        </is>
      </c>
      <c r="F772" t="inlineStr">
        <is>
          <t>Holmen skog AB</t>
        </is>
      </c>
      <c r="G772" t="n">
        <v>16.3</v>
      </c>
      <c r="H772" t="n">
        <v>0</v>
      </c>
      <c r="I772" t="n">
        <v>0</v>
      </c>
      <c r="J772" t="n">
        <v>0</v>
      </c>
      <c r="K772" t="n">
        <v>0</v>
      </c>
      <c r="L772" t="n">
        <v>0</v>
      </c>
      <c r="M772" t="n">
        <v>0</v>
      </c>
      <c r="N772" t="n">
        <v>0</v>
      </c>
      <c r="O772" t="n">
        <v>0</v>
      </c>
      <c r="P772" t="n">
        <v>0</v>
      </c>
      <c r="Q772" t="n">
        <v>0</v>
      </c>
      <c r="R772" s="2" t="inlineStr"/>
    </row>
    <row r="773" ht="15" customHeight="1">
      <c r="A773" t="inlineStr">
        <is>
          <t>A 21796-2022</t>
        </is>
      </c>
      <c r="B773" s="1" t="n">
        <v>44708</v>
      </c>
      <c r="C773" s="1" t="n">
        <v>45346</v>
      </c>
      <c r="D773" t="inlineStr">
        <is>
          <t>JÄMTLANDS LÄN</t>
        </is>
      </c>
      <c r="E773" t="inlineStr">
        <is>
          <t>HÄRJEDALEN</t>
        </is>
      </c>
      <c r="F773" t="inlineStr">
        <is>
          <t>Holmen skog AB</t>
        </is>
      </c>
      <c r="G773" t="n">
        <v>22.3</v>
      </c>
      <c r="H773" t="n">
        <v>0</v>
      </c>
      <c r="I773" t="n">
        <v>0</v>
      </c>
      <c r="J773" t="n">
        <v>0</v>
      </c>
      <c r="K773" t="n">
        <v>0</v>
      </c>
      <c r="L773" t="n">
        <v>0</v>
      </c>
      <c r="M773" t="n">
        <v>0</v>
      </c>
      <c r="N773" t="n">
        <v>0</v>
      </c>
      <c r="O773" t="n">
        <v>0</v>
      </c>
      <c r="P773" t="n">
        <v>0</v>
      </c>
      <c r="Q773" t="n">
        <v>0</v>
      </c>
      <c r="R773" s="2" t="inlineStr"/>
    </row>
    <row r="774" ht="15" customHeight="1">
      <c r="A774" t="inlineStr">
        <is>
          <t>A 22166-2022</t>
        </is>
      </c>
      <c r="B774" s="1" t="n">
        <v>44712</v>
      </c>
      <c r="C774" s="1" t="n">
        <v>45346</v>
      </c>
      <c r="D774" t="inlineStr">
        <is>
          <t>JÄMTLANDS LÄN</t>
        </is>
      </c>
      <c r="E774" t="inlineStr">
        <is>
          <t>HÄRJEDALEN</t>
        </is>
      </c>
      <c r="F774" t="inlineStr">
        <is>
          <t>Holmen skog AB</t>
        </is>
      </c>
      <c r="G774" t="n">
        <v>5.6</v>
      </c>
      <c r="H774" t="n">
        <v>0</v>
      </c>
      <c r="I774" t="n">
        <v>0</v>
      </c>
      <c r="J774" t="n">
        <v>0</v>
      </c>
      <c r="K774" t="n">
        <v>0</v>
      </c>
      <c r="L774" t="n">
        <v>0</v>
      </c>
      <c r="M774" t="n">
        <v>0</v>
      </c>
      <c r="N774" t="n">
        <v>0</v>
      </c>
      <c r="O774" t="n">
        <v>0</v>
      </c>
      <c r="P774" t="n">
        <v>0</v>
      </c>
      <c r="Q774" t="n">
        <v>0</v>
      </c>
      <c r="R774" s="2" t="inlineStr"/>
    </row>
    <row r="775" ht="15" customHeight="1">
      <c r="A775" t="inlineStr">
        <is>
          <t>A 23074-2022</t>
        </is>
      </c>
      <c r="B775" s="1" t="n">
        <v>44719</v>
      </c>
      <c r="C775" s="1" t="n">
        <v>45346</v>
      </c>
      <c r="D775" t="inlineStr">
        <is>
          <t>JÄMTLANDS LÄN</t>
        </is>
      </c>
      <c r="E775" t="inlineStr">
        <is>
          <t>HÄRJEDALEN</t>
        </is>
      </c>
      <c r="F775" t="inlineStr">
        <is>
          <t>Bergvik skog väst AB</t>
        </is>
      </c>
      <c r="G775" t="n">
        <v>23.2</v>
      </c>
      <c r="H775" t="n">
        <v>0</v>
      </c>
      <c r="I775" t="n">
        <v>0</v>
      </c>
      <c r="J775" t="n">
        <v>0</v>
      </c>
      <c r="K775" t="n">
        <v>0</v>
      </c>
      <c r="L775" t="n">
        <v>0</v>
      </c>
      <c r="M775" t="n">
        <v>0</v>
      </c>
      <c r="N775" t="n">
        <v>0</v>
      </c>
      <c r="O775" t="n">
        <v>0</v>
      </c>
      <c r="P775" t="n">
        <v>0</v>
      </c>
      <c r="Q775" t="n">
        <v>0</v>
      </c>
      <c r="R775" s="2" t="inlineStr"/>
    </row>
    <row r="776" ht="15" customHeight="1">
      <c r="A776" t="inlineStr">
        <is>
          <t>A 23140-2022</t>
        </is>
      </c>
      <c r="B776" s="1" t="n">
        <v>44719</v>
      </c>
      <c r="C776" s="1" t="n">
        <v>45346</v>
      </c>
      <c r="D776" t="inlineStr">
        <is>
          <t>JÄMTLANDS LÄN</t>
        </is>
      </c>
      <c r="E776" t="inlineStr">
        <is>
          <t>HÄRJEDALEN</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23731-2022</t>
        </is>
      </c>
      <c r="B777" s="1" t="n">
        <v>44722</v>
      </c>
      <c r="C777" s="1" t="n">
        <v>45346</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24214-2022</t>
        </is>
      </c>
      <c r="B778" s="1" t="n">
        <v>44725</v>
      </c>
      <c r="C778" s="1" t="n">
        <v>45346</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24426-2022</t>
        </is>
      </c>
      <c r="B779" s="1" t="n">
        <v>44726</v>
      </c>
      <c r="C779" s="1" t="n">
        <v>45346</v>
      </c>
      <c r="D779" t="inlineStr">
        <is>
          <t>JÄMTLANDS LÄN</t>
        </is>
      </c>
      <c r="E779" t="inlineStr">
        <is>
          <t>HÄRJEDALEN</t>
        </is>
      </c>
      <c r="G779" t="n">
        <v>1.5</v>
      </c>
      <c r="H779" t="n">
        <v>0</v>
      </c>
      <c r="I779" t="n">
        <v>0</v>
      </c>
      <c r="J779" t="n">
        <v>0</v>
      </c>
      <c r="K779" t="n">
        <v>0</v>
      </c>
      <c r="L779" t="n">
        <v>0</v>
      </c>
      <c r="M779" t="n">
        <v>0</v>
      </c>
      <c r="N779" t="n">
        <v>0</v>
      </c>
      <c r="O779" t="n">
        <v>0</v>
      </c>
      <c r="P779" t="n">
        <v>0</v>
      </c>
      <c r="Q779" t="n">
        <v>0</v>
      </c>
      <c r="R779" s="2" t="inlineStr"/>
    </row>
    <row r="780" ht="15" customHeight="1">
      <c r="A780" t="inlineStr">
        <is>
          <t>A 24530-2022</t>
        </is>
      </c>
      <c r="B780" s="1" t="n">
        <v>44726</v>
      </c>
      <c r="C780" s="1" t="n">
        <v>45346</v>
      </c>
      <c r="D780" t="inlineStr">
        <is>
          <t>JÄMTLANDS LÄN</t>
        </is>
      </c>
      <c r="E780" t="inlineStr">
        <is>
          <t>HÄRJEDALEN</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24571-2022</t>
        </is>
      </c>
      <c r="B781" s="1" t="n">
        <v>44727</v>
      </c>
      <c r="C781" s="1" t="n">
        <v>45346</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24690-2022</t>
        </is>
      </c>
      <c r="B782" s="1" t="n">
        <v>44727</v>
      </c>
      <c r="C782" s="1" t="n">
        <v>45346</v>
      </c>
      <c r="D782" t="inlineStr">
        <is>
          <t>JÄMTLANDS LÄN</t>
        </is>
      </c>
      <c r="E782" t="inlineStr">
        <is>
          <t>HÄRJEDALEN</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24693-2022</t>
        </is>
      </c>
      <c r="B783" s="1" t="n">
        <v>44727</v>
      </c>
      <c r="C783" s="1" t="n">
        <v>45346</v>
      </c>
      <c r="D783" t="inlineStr">
        <is>
          <t>JÄMTLANDS LÄN</t>
        </is>
      </c>
      <c r="E783" t="inlineStr">
        <is>
          <t>HÄRJEDALEN</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24824-2022</t>
        </is>
      </c>
      <c r="B784" s="1" t="n">
        <v>44728</v>
      </c>
      <c r="C784" s="1" t="n">
        <v>45346</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24834-2022</t>
        </is>
      </c>
      <c r="B785" s="1" t="n">
        <v>44728</v>
      </c>
      <c r="C785" s="1" t="n">
        <v>45346</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24792-2022</t>
        </is>
      </c>
      <c r="B786" s="1" t="n">
        <v>44728</v>
      </c>
      <c r="C786" s="1" t="n">
        <v>45346</v>
      </c>
      <c r="D786" t="inlineStr">
        <is>
          <t>JÄMTLANDS LÄN</t>
        </is>
      </c>
      <c r="E786" t="inlineStr">
        <is>
          <t>HÄRJEDALEN</t>
        </is>
      </c>
      <c r="G786" t="n">
        <v>0.2</v>
      </c>
      <c r="H786" t="n">
        <v>0</v>
      </c>
      <c r="I786" t="n">
        <v>0</v>
      </c>
      <c r="J786" t="n">
        <v>0</v>
      </c>
      <c r="K786" t="n">
        <v>0</v>
      </c>
      <c r="L786" t="n">
        <v>0</v>
      </c>
      <c r="M786" t="n">
        <v>0</v>
      </c>
      <c r="N786" t="n">
        <v>0</v>
      </c>
      <c r="O786" t="n">
        <v>0</v>
      </c>
      <c r="P786" t="n">
        <v>0</v>
      </c>
      <c r="Q786" t="n">
        <v>0</v>
      </c>
      <c r="R786" s="2" t="inlineStr"/>
    </row>
    <row r="787" ht="15" customHeight="1">
      <c r="A787" t="inlineStr">
        <is>
          <t>A 25500-2022</t>
        </is>
      </c>
      <c r="B787" s="1" t="n">
        <v>44732</v>
      </c>
      <c r="C787" s="1" t="n">
        <v>45346</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25583-2022</t>
        </is>
      </c>
      <c r="B788" s="1" t="n">
        <v>44732</v>
      </c>
      <c r="C788" s="1" t="n">
        <v>45346</v>
      </c>
      <c r="D788" t="inlineStr">
        <is>
          <t>JÄMTLANDS LÄN</t>
        </is>
      </c>
      <c r="E788" t="inlineStr">
        <is>
          <t>HÄRJEDALEN</t>
        </is>
      </c>
      <c r="F788" t="inlineStr">
        <is>
          <t>Bergvik skog väst AB</t>
        </is>
      </c>
      <c r="G788" t="n">
        <v>7.5</v>
      </c>
      <c r="H788" t="n">
        <v>0</v>
      </c>
      <c r="I788" t="n">
        <v>0</v>
      </c>
      <c r="J788" t="n">
        <v>0</v>
      </c>
      <c r="K788" t="n">
        <v>0</v>
      </c>
      <c r="L788" t="n">
        <v>0</v>
      </c>
      <c r="M788" t="n">
        <v>0</v>
      </c>
      <c r="N788" t="n">
        <v>0</v>
      </c>
      <c r="O788" t="n">
        <v>0</v>
      </c>
      <c r="P788" t="n">
        <v>0</v>
      </c>
      <c r="Q788" t="n">
        <v>0</v>
      </c>
      <c r="R788" s="2" t="inlineStr"/>
    </row>
    <row r="789" ht="15" customHeight="1">
      <c r="A789" t="inlineStr">
        <is>
          <t>A 25780-2022</t>
        </is>
      </c>
      <c r="B789" s="1" t="n">
        <v>44733</v>
      </c>
      <c r="C789" s="1" t="n">
        <v>45346</v>
      </c>
      <c r="D789" t="inlineStr">
        <is>
          <t>JÄMTLANDS LÄN</t>
        </is>
      </c>
      <c r="E789" t="inlineStr">
        <is>
          <t>HÄRJEDALEN</t>
        </is>
      </c>
      <c r="F789" t="inlineStr">
        <is>
          <t>Kyrkan</t>
        </is>
      </c>
      <c r="G789" t="n">
        <v>7.7</v>
      </c>
      <c r="H789" t="n">
        <v>0</v>
      </c>
      <c r="I789" t="n">
        <v>0</v>
      </c>
      <c r="J789" t="n">
        <v>0</v>
      </c>
      <c r="K789" t="n">
        <v>0</v>
      </c>
      <c r="L789" t="n">
        <v>0</v>
      </c>
      <c r="M789" t="n">
        <v>0</v>
      </c>
      <c r="N789" t="n">
        <v>0</v>
      </c>
      <c r="O789" t="n">
        <v>0</v>
      </c>
      <c r="P789" t="n">
        <v>0</v>
      </c>
      <c r="Q789" t="n">
        <v>0</v>
      </c>
      <c r="R789" s="2" t="inlineStr"/>
    </row>
    <row r="790" ht="15" customHeight="1">
      <c r="A790" t="inlineStr">
        <is>
          <t>A 25725-2022</t>
        </is>
      </c>
      <c r="B790" s="1" t="n">
        <v>44733</v>
      </c>
      <c r="C790" s="1" t="n">
        <v>45346</v>
      </c>
      <c r="D790" t="inlineStr">
        <is>
          <t>JÄMTLANDS LÄN</t>
        </is>
      </c>
      <c r="E790" t="inlineStr">
        <is>
          <t>HÄRJEDALEN</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25912-2022</t>
        </is>
      </c>
      <c r="B791" s="1" t="n">
        <v>44734</v>
      </c>
      <c r="C791" s="1" t="n">
        <v>45346</v>
      </c>
      <c r="D791" t="inlineStr">
        <is>
          <t>JÄMTLANDS LÄN</t>
        </is>
      </c>
      <c r="E791" t="inlineStr">
        <is>
          <t>HÄRJEDALEN</t>
        </is>
      </c>
      <c r="F791" t="inlineStr">
        <is>
          <t>Bergvik skog väst AB</t>
        </is>
      </c>
      <c r="G791" t="n">
        <v>13.7</v>
      </c>
      <c r="H791" t="n">
        <v>0</v>
      </c>
      <c r="I791" t="n">
        <v>0</v>
      </c>
      <c r="J791" t="n">
        <v>0</v>
      </c>
      <c r="K791" t="n">
        <v>0</v>
      </c>
      <c r="L791" t="n">
        <v>0</v>
      </c>
      <c r="M791" t="n">
        <v>0</v>
      </c>
      <c r="N791" t="n">
        <v>0</v>
      </c>
      <c r="O791" t="n">
        <v>0</v>
      </c>
      <c r="P791" t="n">
        <v>0</v>
      </c>
      <c r="Q791" t="n">
        <v>0</v>
      </c>
      <c r="R791" s="2" t="inlineStr"/>
    </row>
    <row r="792" ht="15" customHeight="1">
      <c r="A792" t="inlineStr">
        <is>
          <t>A 26613-2022</t>
        </is>
      </c>
      <c r="B792" s="1" t="n">
        <v>44739</v>
      </c>
      <c r="C792" s="1" t="n">
        <v>45346</v>
      </c>
      <c r="D792" t="inlineStr">
        <is>
          <t>JÄMTLANDS LÄN</t>
        </is>
      </c>
      <c r="E792" t="inlineStr">
        <is>
          <t>HÄRJEDALEN</t>
        </is>
      </c>
      <c r="F792" t="inlineStr">
        <is>
          <t>Bergvik skog väst AB</t>
        </is>
      </c>
      <c r="G792" t="n">
        <v>7.9</v>
      </c>
      <c r="H792" t="n">
        <v>0</v>
      </c>
      <c r="I792" t="n">
        <v>0</v>
      </c>
      <c r="J792" t="n">
        <v>0</v>
      </c>
      <c r="K792" t="n">
        <v>0</v>
      </c>
      <c r="L792" t="n">
        <v>0</v>
      </c>
      <c r="M792" t="n">
        <v>0</v>
      </c>
      <c r="N792" t="n">
        <v>0</v>
      </c>
      <c r="O792" t="n">
        <v>0</v>
      </c>
      <c r="P792" t="n">
        <v>0</v>
      </c>
      <c r="Q792" t="n">
        <v>0</v>
      </c>
      <c r="R792" s="2" t="inlineStr"/>
    </row>
    <row r="793" ht="15" customHeight="1">
      <c r="A793" t="inlineStr">
        <is>
          <t>A 26935-2022</t>
        </is>
      </c>
      <c r="B793" s="1" t="n">
        <v>44740</v>
      </c>
      <c r="C793" s="1" t="n">
        <v>45346</v>
      </c>
      <c r="D793" t="inlineStr">
        <is>
          <t>JÄMTLANDS LÄN</t>
        </is>
      </c>
      <c r="E793" t="inlineStr">
        <is>
          <t>HÄRJEDALEN</t>
        </is>
      </c>
      <c r="G793" t="n">
        <v>10.8</v>
      </c>
      <c r="H793" t="n">
        <v>0</v>
      </c>
      <c r="I793" t="n">
        <v>0</v>
      </c>
      <c r="J793" t="n">
        <v>0</v>
      </c>
      <c r="K793" t="n">
        <v>0</v>
      </c>
      <c r="L793" t="n">
        <v>0</v>
      </c>
      <c r="M793" t="n">
        <v>0</v>
      </c>
      <c r="N793" t="n">
        <v>0</v>
      </c>
      <c r="O793" t="n">
        <v>0</v>
      </c>
      <c r="P793" t="n">
        <v>0</v>
      </c>
      <c r="Q793" t="n">
        <v>0</v>
      </c>
      <c r="R793" s="2" t="inlineStr"/>
    </row>
    <row r="794" ht="15" customHeight="1">
      <c r="A794" t="inlineStr">
        <is>
          <t>A 27483-2022</t>
        </is>
      </c>
      <c r="B794" s="1" t="n">
        <v>44742</v>
      </c>
      <c r="C794" s="1" t="n">
        <v>45346</v>
      </c>
      <c r="D794" t="inlineStr">
        <is>
          <t>JÄMTLANDS LÄN</t>
        </is>
      </c>
      <c r="E794" t="inlineStr">
        <is>
          <t>HÄRJEDALEN</t>
        </is>
      </c>
      <c r="F794" t="inlineStr">
        <is>
          <t>Holmen skog AB</t>
        </is>
      </c>
      <c r="G794" t="n">
        <v>0</v>
      </c>
      <c r="H794" t="n">
        <v>0</v>
      </c>
      <c r="I794" t="n">
        <v>0</v>
      </c>
      <c r="J794" t="n">
        <v>0</v>
      </c>
      <c r="K794" t="n">
        <v>0</v>
      </c>
      <c r="L794" t="n">
        <v>0</v>
      </c>
      <c r="M794" t="n">
        <v>0</v>
      </c>
      <c r="N794" t="n">
        <v>0</v>
      </c>
      <c r="O794" t="n">
        <v>0</v>
      </c>
      <c r="P794" t="n">
        <v>0</v>
      </c>
      <c r="Q794" t="n">
        <v>0</v>
      </c>
      <c r="R794" s="2" t="inlineStr"/>
    </row>
    <row r="795" ht="15" customHeight="1">
      <c r="A795" t="inlineStr">
        <is>
          <t>A 29000-2022</t>
        </is>
      </c>
      <c r="B795" s="1" t="n">
        <v>44749</v>
      </c>
      <c r="C795" s="1" t="n">
        <v>45346</v>
      </c>
      <c r="D795" t="inlineStr">
        <is>
          <t>JÄMTLANDS LÄN</t>
        </is>
      </c>
      <c r="E795" t="inlineStr">
        <is>
          <t>HÄRJEDALEN</t>
        </is>
      </c>
      <c r="F795" t="inlineStr">
        <is>
          <t>Kyrkan</t>
        </is>
      </c>
      <c r="G795" t="n">
        <v>16.7</v>
      </c>
      <c r="H795" t="n">
        <v>0</v>
      </c>
      <c r="I795" t="n">
        <v>0</v>
      </c>
      <c r="J795" t="n">
        <v>0</v>
      </c>
      <c r="K795" t="n">
        <v>0</v>
      </c>
      <c r="L795" t="n">
        <v>0</v>
      </c>
      <c r="M795" t="n">
        <v>0</v>
      </c>
      <c r="N795" t="n">
        <v>0</v>
      </c>
      <c r="O795" t="n">
        <v>0</v>
      </c>
      <c r="P795" t="n">
        <v>0</v>
      </c>
      <c r="Q795" t="n">
        <v>0</v>
      </c>
      <c r="R795" s="2" t="inlineStr"/>
    </row>
    <row r="796" ht="15" customHeight="1">
      <c r="A796" t="inlineStr">
        <is>
          <t>A 29455-2022</t>
        </is>
      </c>
      <c r="B796" s="1" t="n">
        <v>44753</v>
      </c>
      <c r="C796" s="1" t="n">
        <v>45346</v>
      </c>
      <c r="D796" t="inlineStr">
        <is>
          <t>JÄMTLANDS LÄN</t>
        </is>
      </c>
      <c r="E796" t="inlineStr">
        <is>
          <t>HÄRJEDALEN</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30082-2022</t>
        </is>
      </c>
      <c r="B797" s="1" t="n">
        <v>44757</v>
      </c>
      <c r="C797" s="1" t="n">
        <v>45346</v>
      </c>
      <c r="D797" t="inlineStr">
        <is>
          <t>JÄMTLANDS LÄN</t>
        </is>
      </c>
      <c r="E797" t="inlineStr">
        <is>
          <t>HÄRJEDALEN</t>
        </is>
      </c>
      <c r="G797" t="n">
        <v>3</v>
      </c>
      <c r="H797" t="n">
        <v>0</v>
      </c>
      <c r="I797" t="n">
        <v>0</v>
      </c>
      <c r="J797" t="n">
        <v>0</v>
      </c>
      <c r="K797" t="n">
        <v>0</v>
      </c>
      <c r="L797" t="n">
        <v>0</v>
      </c>
      <c r="M797" t="n">
        <v>0</v>
      </c>
      <c r="N797" t="n">
        <v>0</v>
      </c>
      <c r="O797" t="n">
        <v>0</v>
      </c>
      <c r="P797" t="n">
        <v>0</v>
      </c>
      <c r="Q797" t="n">
        <v>0</v>
      </c>
      <c r="R797" s="2" t="inlineStr"/>
    </row>
    <row r="798" ht="15" customHeight="1">
      <c r="A798" t="inlineStr">
        <is>
          <t>A 30537-2022</t>
        </is>
      </c>
      <c r="B798" s="1" t="n">
        <v>44762</v>
      </c>
      <c r="C798" s="1" t="n">
        <v>45346</v>
      </c>
      <c r="D798" t="inlineStr">
        <is>
          <t>JÄMTLANDS LÄN</t>
        </is>
      </c>
      <c r="E798" t="inlineStr">
        <is>
          <t>HÄRJEDALEN</t>
        </is>
      </c>
      <c r="F798" t="inlineStr">
        <is>
          <t>Bergvik skog väst AB</t>
        </is>
      </c>
      <c r="G798" t="n">
        <v>18.5</v>
      </c>
      <c r="H798" t="n">
        <v>0</v>
      </c>
      <c r="I798" t="n">
        <v>0</v>
      </c>
      <c r="J798" t="n">
        <v>0</v>
      </c>
      <c r="K798" t="n">
        <v>0</v>
      </c>
      <c r="L798" t="n">
        <v>0</v>
      </c>
      <c r="M798" t="n">
        <v>0</v>
      </c>
      <c r="N798" t="n">
        <v>0</v>
      </c>
      <c r="O798" t="n">
        <v>0</v>
      </c>
      <c r="P798" t="n">
        <v>0</v>
      </c>
      <c r="Q798" t="n">
        <v>0</v>
      </c>
      <c r="R798" s="2" t="inlineStr"/>
    </row>
    <row r="799" ht="15" customHeight="1">
      <c r="A799" t="inlineStr">
        <is>
          <t>A 30643-2022</t>
        </is>
      </c>
      <c r="B799" s="1" t="n">
        <v>44763</v>
      </c>
      <c r="C799" s="1" t="n">
        <v>45346</v>
      </c>
      <c r="D799" t="inlineStr">
        <is>
          <t>JÄMTLANDS LÄN</t>
        </is>
      </c>
      <c r="E799" t="inlineStr">
        <is>
          <t>HÄRJEDALEN</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30962-2022</t>
        </is>
      </c>
      <c r="B800" s="1" t="n">
        <v>44768</v>
      </c>
      <c r="C800" s="1" t="n">
        <v>45346</v>
      </c>
      <c r="D800" t="inlineStr">
        <is>
          <t>JÄMTLANDS LÄN</t>
        </is>
      </c>
      <c r="E800" t="inlineStr">
        <is>
          <t>HÄRJEDALEN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31061-2022</t>
        </is>
      </c>
      <c r="B801" s="1" t="n">
        <v>44769</v>
      </c>
      <c r="C801" s="1" t="n">
        <v>45346</v>
      </c>
      <c r="D801" t="inlineStr">
        <is>
          <t>JÄMTLANDS LÄN</t>
        </is>
      </c>
      <c r="E801" t="inlineStr">
        <is>
          <t>HÄRJEDALEN</t>
        </is>
      </c>
      <c r="F801" t="inlineStr">
        <is>
          <t>Bergvik skog väst AB</t>
        </is>
      </c>
      <c r="G801" t="n">
        <v>15.8</v>
      </c>
      <c r="H801" t="n">
        <v>0</v>
      </c>
      <c r="I801" t="n">
        <v>0</v>
      </c>
      <c r="J801" t="n">
        <v>0</v>
      </c>
      <c r="K801" t="n">
        <v>0</v>
      </c>
      <c r="L801" t="n">
        <v>0</v>
      </c>
      <c r="M801" t="n">
        <v>0</v>
      </c>
      <c r="N801" t="n">
        <v>0</v>
      </c>
      <c r="O801" t="n">
        <v>0</v>
      </c>
      <c r="P801" t="n">
        <v>0</v>
      </c>
      <c r="Q801" t="n">
        <v>0</v>
      </c>
      <c r="R801" s="2" t="inlineStr"/>
    </row>
    <row r="802" ht="15" customHeight="1">
      <c r="A802" t="inlineStr">
        <is>
          <t>A 31167-2022</t>
        </is>
      </c>
      <c r="B802" s="1" t="n">
        <v>44770</v>
      </c>
      <c r="C802" s="1" t="n">
        <v>45346</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32910-2022</t>
        </is>
      </c>
      <c r="B803" s="1" t="n">
        <v>44784</v>
      </c>
      <c r="C803" s="1" t="n">
        <v>45346</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32974-2022</t>
        </is>
      </c>
      <c r="B804" s="1" t="n">
        <v>44784</v>
      </c>
      <c r="C804" s="1" t="n">
        <v>45346</v>
      </c>
      <c r="D804" t="inlineStr">
        <is>
          <t>JÄMTLANDS LÄN</t>
        </is>
      </c>
      <c r="E804" t="inlineStr">
        <is>
          <t>HÄRJEDALEN</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33465-2022</t>
        </is>
      </c>
      <c r="B805" s="1" t="n">
        <v>44788</v>
      </c>
      <c r="C805" s="1" t="n">
        <v>45346</v>
      </c>
      <c r="D805" t="inlineStr">
        <is>
          <t>JÄMTLANDS LÄN</t>
        </is>
      </c>
      <c r="E805" t="inlineStr">
        <is>
          <t>HÄRJEDALEN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33900-2022</t>
        </is>
      </c>
      <c r="B806" s="1" t="n">
        <v>44790</v>
      </c>
      <c r="C806" s="1" t="n">
        <v>45346</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33889-2022</t>
        </is>
      </c>
      <c r="B807" s="1" t="n">
        <v>44790</v>
      </c>
      <c r="C807" s="1" t="n">
        <v>45346</v>
      </c>
      <c r="D807" t="inlineStr">
        <is>
          <t>JÄMTLANDS LÄN</t>
        </is>
      </c>
      <c r="E807" t="inlineStr">
        <is>
          <t>HÄRJEDALEN</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34112-2022</t>
        </is>
      </c>
      <c r="B808" s="1" t="n">
        <v>44791</v>
      </c>
      <c r="C808" s="1" t="n">
        <v>45346</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34359-2022</t>
        </is>
      </c>
      <c r="B809" s="1" t="n">
        <v>44792</v>
      </c>
      <c r="C809" s="1" t="n">
        <v>45346</v>
      </c>
      <c r="D809" t="inlineStr">
        <is>
          <t>JÄMTLANDS LÄN</t>
        </is>
      </c>
      <c r="E809" t="inlineStr">
        <is>
          <t>HÄRJEDALEN</t>
        </is>
      </c>
      <c r="F809" t="inlineStr">
        <is>
          <t>Bergvik skog väst AB</t>
        </is>
      </c>
      <c r="G809" t="n">
        <v>23.1</v>
      </c>
      <c r="H809" t="n">
        <v>0</v>
      </c>
      <c r="I809" t="n">
        <v>0</v>
      </c>
      <c r="J809" t="n">
        <v>0</v>
      </c>
      <c r="K809" t="n">
        <v>0</v>
      </c>
      <c r="L809" t="n">
        <v>0</v>
      </c>
      <c r="M809" t="n">
        <v>0</v>
      </c>
      <c r="N809" t="n">
        <v>0</v>
      </c>
      <c r="O809" t="n">
        <v>0</v>
      </c>
      <c r="P809" t="n">
        <v>0</v>
      </c>
      <c r="Q809" t="n">
        <v>0</v>
      </c>
      <c r="R809" s="2" t="inlineStr"/>
    </row>
    <row r="810" ht="15" customHeight="1">
      <c r="A810" t="inlineStr">
        <is>
          <t>A 34361-2022</t>
        </is>
      </c>
      <c r="B810" s="1" t="n">
        <v>44792</v>
      </c>
      <c r="C810" s="1" t="n">
        <v>45346</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34392-2022</t>
        </is>
      </c>
      <c r="B811" s="1" t="n">
        <v>44792</v>
      </c>
      <c r="C811" s="1" t="n">
        <v>45346</v>
      </c>
      <c r="D811" t="inlineStr">
        <is>
          <t>JÄMTLANDS LÄN</t>
        </is>
      </c>
      <c r="E811" t="inlineStr">
        <is>
          <t>HÄRJEDALEN</t>
        </is>
      </c>
      <c r="G811" t="n">
        <v>23.5</v>
      </c>
      <c r="H811" t="n">
        <v>0</v>
      </c>
      <c r="I811" t="n">
        <v>0</v>
      </c>
      <c r="J811" t="n">
        <v>0</v>
      </c>
      <c r="K811" t="n">
        <v>0</v>
      </c>
      <c r="L811" t="n">
        <v>0</v>
      </c>
      <c r="M811" t="n">
        <v>0</v>
      </c>
      <c r="N811" t="n">
        <v>0</v>
      </c>
      <c r="O811" t="n">
        <v>0</v>
      </c>
      <c r="P811" t="n">
        <v>0</v>
      </c>
      <c r="Q811" t="n">
        <v>0</v>
      </c>
      <c r="R811" s="2" t="inlineStr"/>
    </row>
    <row r="812" ht="15" customHeight="1">
      <c r="A812" t="inlineStr">
        <is>
          <t>A 34492-2022</t>
        </is>
      </c>
      <c r="B812" s="1" t="n">
        <v>44792</v>
      </c>
      <c r="C812" s="1" t="n">
        <v>45346</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34627-2022</t>
        </is>
      </c>
      <c r="B813" s="1" t="n">
        <v>44795</v>
      </c>
      <c r="C813" s="1" t="n">
        <v>45346</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34621-2022</t>
        </is>
      </c>
      <c r="B814" s="1" t="n">
        <v>44795</v>
      </c>
      <c r="C814" s="1" t="n">
        <v>45346</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35614-2022</t>
        </is>
      </c>
      <c r="B815" s="1" t="n">
        <v>44799</v>
      </c>
      <c r="C815" s="1" t="n">
        <v>45346</v>
      </c>
      <c r="D815" t="inlineStr">
        <is>
          <t>JÄMTLANDS LÄN</t>
        </is>
      </c>
      <c r="E815" t="inlineStr">
        <is>
          <t>HÄRJEDALEN</t>
        </is>
      </c>
      <c r="F815" t="inlineStr">
        <is>
          <t>Bergvik skog väst AB</t>
        </is>
      </c>
      <c r="G815" t="n">
        <v>72.09999999999999</v>
      </c>
      <c r="H815" t="n">
        <v>0</v>
      </c>
      <c r="I815" t="n">
        <v>0</v>
      </c>
      <c r="J815" t="n">
        <v>0</v>
      </c>
      <c r="K815" t="n">
        <v>0</v>
      </c>
      <c r="L815" t="n">
        <v>0</v>
      </c>
      <c r="M815" t="n">
        <v>0</v>
      </c>
      <c r="N815" t="n">
        <v>0</v>
      </c>
      <c r="O815" t="n">
        <v>0</v>
      </c>
      <c r="P815" t="n">
        <v>0</v>
      </c>
      <c r="Q815" t="n">
        <v>0</v>
      </c>
      <c r="R815" s="2" t="inlineStr"/>
    </row>
    <row r="816" ht="15" customHeight="1">
      <c r="A816" t="inlineStr">
        <is>
          <t>A 36249-2022</t>
        </is>
      </c>
      <c r="B816" s="1" t="n">
        <v>44803</v>
      </c>
      <c r="C816" s="1" t="n">
        <v>45346</v>
      </c>
      <c r="D816" t="inlineStr">
        <is>
          <t>JÄMTLANDS LÄN</t>
        </is>
      </c>
      <c r="E816" t="inlineStr">
        <is>
          <t>HÄRJEDALEN</t>
        </is>
      </c>
      <c r="G816" t="n">
        <v>7.2</v>
      </c>
      <c r="H816" t="n">
        <v>0</v>
      </c>
      <c r="I816" t="n">
        <v>0</v>
      </c>
      <c r="J816" t="n">
        <v>0</v>
      </c>
      <c r="K816" t="n">
        <v>0</v>
      </c>
      <c r="L816" t="n">
        <v>0</v>
      </c>
      <c r="M816" t="n">
        <v>0</v>
      </c>
      <c r="N816" t="n">
        <v>0</v>
      </c>
      <c r="O816" t="n">
        <v>0</v>
      </c>
      <c r="P816" t="n">
        <v>0</v>
      </c>
      <c r="Q816" t="n">
        <v>0</v>
      </c>
      <c r="R816" s="2" t="inlineStr"/>
    </row>
    <row r="817" ht="15" customHeight="1">
      <c r="A817" t="inlineStr">
        <is>
          <t>A 36170-2022</t>
        </is>
      </c>
      <c r="B817" s="1" t="n">
        <v>44803</v>
      </c>
      <c r="C817" s="1" t="n">
        <v>45346</v>
      </c>
      <c r="D817" t="inlineStr">
        <is>
          <t>JÄMTLANDS LÄN</t>
        </is>
      </c>
      <c r="E817" t="inlineStr">
        <is>
          <t>HÄRJEDALEN</t>
        </is>
      </c>
      <c r="G817" t="n">
        <v>14.7</v>
      </c>
      <c r="H817" t="n">
        <v>0</v>
      </c>
      <c r="I817" t="n">
        <v>0</v>
      </c>
      <c r="J817" t="n">
        <v>0</v>
      </c>
      <c r="K817" t="n">
        <v>0</v>
      </c>
      <c r="L817" t="n">
        <v>0</v>
      </c>
      <c r="M817" t="n">
        <v>0</v>
      </c>
      <c r="N817" t="n">
        <v>0</v>
      </c>
      <c r="O817" t="n">
        <v>0</v>
      </c>
      <c r="P817" t="n">
        <v>0</v>
      </c>
      <c r="Q817" t="n">
        <v>0</v>
      </c>
      <c r="R817" s="2" t="inlineStr"/>
    </row>
    <row r="818" ht="15" customHeight="1">
      <c r="A818" t="inlineStr">
        <is>
          <t>A 36182-2022</t>
        </is>
      </c>
      <c r="B818" s="1" t="n">
        <v>44803</v>
      </c>
      <c r="C818" s="1" t="n">
        <v>45346</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36187-2022</t>
        </is>
      </c>
      <c r="B819" s="1" t="n">
        <v>44803</v>
      </c>
      <c r="C819" s="1" t="n">
        <v>45346</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36448-2022</t>
        </is>
      </c>
      <c r="B820" s="1" t="n">
        <v>44804</v>
      </c>
      <c r="C820" s="1" t="n">
        <v>45346</v>
      </c>
      <c r="D820" t="inlineStr">
        <is>
          <t>JÄMTLANDS LÄN</t>
        </is>
      </c>
      <c r="E820" t="inlineStr">
        <is>
          <t>HÄRJEDALEN</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37515-2022</t>
        </is>
      </c>
      <c r="B821" s="1" t="n">
        <v>44809</v>
      </c>
      <c r="C821" s="1" t="n">
        <v>45346</v>
      </c>
      <c r="D821" t="inlineStr">
        <is>
          <t>JÄMTLANDS LÄN</t>
        </is>
      </c>
      <c r="E821" t="inlineStr">
        <is>
          <t>HÄRJEDALEN</t>
        </is>
      </c>
      <c r="F821" t="inlineStr">
        <is>
          <t>Bergvik skog väst AB</t>
        </is>
      </c>
      <c r="G821" t="n">
        <v>3.2</v>
      </c>
      <c r="H821" t="n">
        <v>0</v>
      </c>
      <c r="I821" t="n">
        <v>0</v>
      </c>
      <c r="J821" t="n">
        <v>0</v>
      </c>
      <c r="K821" t="n">
        <v>0</v>
      </c>
      <c r="L821" t="n">
        <v>0</v>
      </c>
      <c r="M821" t="n">
        <v>0</v>
      </c>
      <c r="N821" t="n">
        <v>0</v>
      </c>
      <c r="O821" t="n">
        <v>0</v>
      </c>
      <c r="P821" t="n">
        <v>0</v>
      </c>
      <c r="Q821" t="n">
        <v>0</v>
      </c>
      <c r="R821" s="2" t="inlineStr"/>
    </row>
    <row r="822" ht="15" customHeight="1">
      <c r="A822" t="inlineStr">
        <is>
          <t>A 37666-2022</t>
        </is>
      </c>
      <c r="B822" s="1" t="n">
        <v>44810</v>
      </c>
      <c r="C822" s="1" t="n">
        <v>45346</v>
      </c>
      <c r="D822" t="inlineStr">
        <is>
          <t>JÄMTLANDS LÄN</t>
        </is>
      </c>
      <c r="E822" t="inlineStr">
        <is>
          <t>HÄRJEDALEN</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37690-2022</t>
        </is>
      </c>
      <c r="B823" s="1" t="n">
        <v>44810</v>
      </c>
      <c r="C823" s="1" t="n">
        <v>45346</v>
      </c>
      <c r="D823" t="inlineStr">
        <is>
          <t>JÄMTLANDS LÄN</t>
        </is>
      </c>
      <c r="E823" t="inlineStr">
        <is>
          <t>HÄRJEDALEN</t>
        </is>
      </c>
      <c r="F823" t="inlineStr">
        <is>
          <t>Holmen skog AB</t>
        </is>
      </c>
      <c r="G823" t="n">
        <v>7.8</v>
      </c>
      <c r="H823" t="n">
        <v>0</v>
      </c>
      <c r="I823" t="n">
        <v>0</v>
      </c>
      <c r="J823" t="n">
        <v>0</v>
      </c>
      <c r="K823" t="n">
        <v>0</v>
      </c>
      <c r="L823" t="n">
        <v>0</v>
      </c>
      <c r="M823" t="n">
        <v>0</v>
      </c>
      <c r="N823" t="n">
        <v>0</v>
      </c>
      <c r="O823" t="n">
        <v>0</v>
      </c>
      <c r="P823" t="n">
        <v>0</v>
      </c>
      <c r="Q823" t="n">
        <v>0</v>
      </c>
      <c r="R823" s="2" t="inlineStr"/>
    </row>
    <row r="824" ht="15" customHeight="1">
      <c r="A824" t="inlineStr">
        <is>
          <t>A 37678-2022</t>
        </is>
      </c>
      <c r="B824" s="1" t="n">
        <v>44810</v>
      </c>
      <c r="C824" s="1" t="n">
        <v>45346</v>
      </c>
      <c r="D824" t="inlineStr">
        <is>
          <t>JÄMTLANDS LÄN</t>
        </is>
      </c>
      <c r="E824" t="inlineStr">
        <is>
          <t>HÄRJEDALEN</t>
        </is>
      </c>
      <c r="F824" t="inlineStr">
        <is>
          <t>Bergvik skog väst AB</t>
        </is>
      </c>
      <c r="G824" t="n">
        <v>4.7</v>
      </c>
      <c r="H824" t="n">
        <v>0</v>
      </c>
      <c r="I824" t="n">
        <v>0</v>
      </c>
      <c r="J824" t="n">
        <v>0</v>
      </c>
      <c r="K824" t="n">
        <v>0</v>
      </c>
      <c r="L824" t="n">
        <v>0</v>
      </c>
      <c r="M824" t="n">
        <v>0</v>
      </c>
      <c r="N824" t="n">
        <v>0</v>
      </c>
      <c r="O824" t="n">
        <v>0</v>
      </c>
      <c r="P824" t="n">
        <v>0</v>
      </c>
      <c r="Q824" t="n">
        <v>0</v>
      </c>
      <c r="R824" s="2" t="inlineStr"/>
    </row>
    <row r="825" ht="15" customHeight="1">
      <c r="A825" t="inlineStr">
        <is>
          <t>A 37873-2022</t>
        </is>
      </c>
      <c r="B825" s="1" t="n">
        <v>44811</v>
      </c>
      <c r="C825" s="1" t="n">
        <v>45346</v>
      </c>
      <c r="D825" t="inlineStr">
        <is>
          <t>JÄMTLANDS LÄN</t>
        </is>
      </c>
      <c r="E825" t="inlineStr">
        <is>
          <t>HÄRJEDALEN</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37990-2022</t>
        </is>
      </c>
      <c r="B826" s="1" t="n">
        <v>44811</v>
      </c>
      <c r="C826" s="1" t="n">
        <v>45346</v>
      </c>
      <c r="D826" t="inlineStr">
        <is>
          <t>JÄMTLANDS LÄN</t>
        </is>
      </c>
      <c r="E826" t="inlineStr">
        <is>
          <t>HÄRJEDALEN</t>
        </is>
      </c>
      <c r="F826" t="inlineStr">
        <is>
          <t>Bergvik skog väst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37988-2022</t>
        </is>
      </c>
      <c r="B827" s="1" t="n">
        <v>44811</v>
      </c>
      <c r="C827" s="1" t="n">
        <v>45346</v>
      </c>
      <c r="D827" t="inlineStr">
        <is>
          <t>JÄMTLANDS LÄN</t>
        </is>
      </c>
      <c r="E827" t="inlineStr">
        <is>
          <t>HÄRJEDALEN</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39396-2022</t>
        </is>
      </c>
      <c r="B828" s="1" t="n">
        <v>44818</v>
      </c>
      <c r="C828" s="1" t="n">
        <v>45346</v>
      </c>
      <c r="D828" t="inlineStr">
        <is>
          <t>JÄMTLANDS LÄN</t>
        </is>
      </c>
      <c r="E828" t="inlineStr">
        <is>
          <t>HÄRJEDALEN</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39625-2022</t>
        </is>
      </c>
      <c r="B829" s="1" t="n">
        <v>44818</v>
      </c>
      <c r="C829" s="1" t="n">
        <v>45346</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39618-2022</t>
        </is>
      </c>
      <c r="B830" s="1" t="n">
        <v>44818</v>
      </c>
      <c r="C830" s="1" t="n">
        <v>45346</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v>
      </c>
      <c r="C831" s="1" t="n">
        <v>45346</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40084-2022</t>
        </is>
      </c>
      <c r="B832" s="1" t="n">
        <v>44820</v>
      </c>
      <c r="C832" s="1" t="n">
        <v>45346</v>
      </c>
      <c r="D832" t="inlineStr">
        <is>
          <t>JÄMTLANDS LÄN</t>
        </is>
      </c>
      <c r="E832" t="inlineStr">
        <is>
          <t>HÄRJEDALEN</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40201-2022</t>
        </is>
      </c>
      <c r="B833" s="1" t="n">
        <v>44820</v>
      </c>
      <c r="C833" s="1" t="n">
        <v>45346</v>
      </c>
      <c r="D833" t="inlineStr">
        <is>
          <t>JÄMTLANDS LÄN</t>
        </is>
      </c>
      <c r="E833" t="inlineStr">
        <is>
          <t>HÄRJEDALEN</t>
        </is>
      </c>
      <c r="F833" t="inlineStr">
        <is>
          <t>Kyrkan</t>
        </is>
      </c>
      <c r="G833" t="n">
        <v>14.6</v>
      </c>
      <c r="H833" t="n">
        <v>0</v>
      </c>
      <c r="I833" t="n">
        <v>0</v>
      </c>
      <c r="J833" t="n">
        <v>0</v>
      </c>
      <c r="K833" t="n">
        <v>0</v>
      </c>
      <c r="L833" t="n">
        <v>0</v>
      </c>
      <c r="M833" t="n">
        <v>0</v>
      </c>
      <c r="N833" t="n">
        <v>0</v>
      </c>
      <c r="O833" t="n">
        <v>0</v>
      </c>
      <c r="P833" t="n">
        <v>0</v>
      </c>
      <c r="Q833" t="n">
        <v>0</v>
      </c>
      <c r="R833" s="2" t="inlineStr"/>
    </row>
    <row r="834" ht="15" customHeight="1">
      <c r="A834" t="inlineStr">
        <is>
          <t>A 40596-2022</t>
        </is>
      </c>
      <c r="B834" s="1" t="n">
        <v>44823</v>
      </c>
      <c r="C834" s="1" t="n">
        <v>45346</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40561-2022</t>
        </is>
      </c>
      <c r="B835" s="1" t="n">
        <v>44823</v>
      </c>
      <c r="C835" s="1" t="n">
        <v>45346</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40578-2022</t>
        </is>
      </c>
      <c r="B836" s="1" t="n">
        <v>44823</v>
      </c>
      <c r="C836" s="1" t="n">
        <v>45346</v>
      </c>
      <c r="D836" t="inlineStr">
        <is>
          <t>JÄMTLANDS LÄN</t>
        </is>
      </c>
      <c r="E836" t="inlineStr">
        <is>
          <t>HÄRJEDALEN</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41080-2022</t>
        </is>
      </c>
      <c r="B837" s="1" t="n">
        <v>44825</v>
      </c>
      <c r="C837" s="1" t="n">
        <v>45346</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41164-2022</t>
        </is>
      </c>
      <c r="B838" s="1" t="n">
        <v>44825</v>
      </c>
      <c r="C838" s="1" t="n">
        <v>45346</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41209-2022</t>
        </is>
      </c>
      <c r="B839" s="1" t="n">
        <v>44825</v>
      </c>
      <c r="C839" s="1" t="n">
        <v>45346</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41293-2022</t>
        </is>
      </c>
      <c r="B840" s="1" t="n">
        <v>44826</v>
      </c>
      <c r="C840" s="1" t="n">
        <v>45346</v>
      </c>
      <c r="D840" t="inlineStr">
        <is>
          <t>JÄMTLANDS LÄN</t>
        </is>
      </c>
      <c r="E840" t="inlineStr">
        <is>
          <t>HÄRJEDALEN</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41759-2022</t>
        </is>
      </c>
      <c r="B841" s="1" t="n">
        <v>44827</v>
      </c>
      <c r="C841" s="1" t="n">
        <v>45346</v>
      </c>
      <c r="D841" t="inlineStr">
        <is>
          <t>JÄMTLANDS LÄN</t>
        </is>
      </c>
      <c r="E841" t="inlineStr">
        <is>
          <t>HÄRJEDALEN</t>
        </is>
      </c>
      <c r="G841" t="n">
        <v>20</v>
      </c>
      <c r="H841" t="n">
        <v>0</v>
      </c>
      <c r="I841" t="n">
        <v>0</v>
      </c>
      <c r="J841" t="n">
        <v>0</v>
      </c>
      <c r="K841" t="n">
        <v>0</v>
      </c>
      <c r="L841" t="n">
        <v>0</v>
      </c>
      <c r="M841" t="n">
        <v>0</v>
      </c>
      <c r="N841" t="n">
        <v>0</v>
      </c>
      <c r="O841" t="n">
        <v>0</v>
      </c>
      <c r="P841" t="n">
        <v>0</v>
      </c>
      <c r="Q841" t="n">
        <v>0</v>
      </c>
      <c r="R841" s="2" t="inlineStr"/>
    </row>
    <row r="842" ht="15" customHeight="1">
      <c r="A842" t="inlineStr">
        <is>
          <t>A 41711-2022</t>
        </is>
      </c>
      <c r="B842" s="1" t="n">
        <v>44827</v>
      </c>
      <c r="C842" s="1" t="n">
        <v>45346</v>
      </c>
      <c r="D842" t="inlineStr">
        <is>
          <t>JÄMTLANDS LÄN</t>
        </is>
      </c>
      <c r="E842" t="inlineStr">
        <is>
          <t>HÄRJEDALEN</t>
        </is>
      </c>
      <c r="G842" t="n">
        <v>18.3</v>
      </c>
      <c r="H842" t="n">
        <v>0</v>
      </c>
      <c r="I842" t="n">
        <v>0</v>
      </c>
      <c r="J842" t="n">
        <v>0</v>
      </c>
      <c r="K842" t="n">
        <v>0</v>
      </c>
      <c r="L842" t="n">
        <v>0</v>
      </c>
      <c r="M842" t="n">
        <v>0</v>
      </c>
      <c r="N842" t="n">
        <v>0</v>
      </c>
      <c r="O842" t="n">
        <v>0</v>
      </c>
      <c r="P842" t="n">
        <v>0</v>
      </c>
      <c r="Q842" t="n">
        <v>0</v>
      </c>
      <c r="R842" s="2" t="inlineStr"/>
    </row>
    <row r="843" ht="15" customHeight="1">
      <c r="A843" t="inlineStr">
        <is>
          <t>A 41771-2022</t>
        </is>
      </c>
      <c r="B843" s="1" t="n">
        <v>44827</v>
      </c>
      <c r="C843" s="1" t="n">
        <v>45346</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41766-2022</t>
        </is>
      </c>
      <c r="B844" s="1" t="n">
        <v>44827</v>
      </c>
      <c r="C844" s="1" t="n">
        <v>45346</v>
      </c>
      <c r="D844" t="inlineStr">
        <is>
          <t>JÄMTLANDS LÄN</t>
        </is>
      </c>
      <c r="E844" t="inlineStr">
        <is>
          <t>HÄRJEDALEN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42576-2022</t>
        </is>
      </c>
      <c r="B845" s="1" t="n">
        <v>44831</v>
      </c>
      <c r="C845" s="1" t="n">
        <v>45346</v>
      </c>
      <c r="D845" t="inlineStr">
        <is>
          <t>JÄMTLANDS LÄN</t>
        </is>
      </c>
      <c r="E845" t="inlineStr">
        <is>
          <t>HÄRJEDALEN</t>
        </is>
      </c>
      <c r="F845" t="inlineStr">
        <is>
          <t>Sveaskog</t>
        </is>
      </c>
      <c r="G845" t="n">
        <v>24.4</v>
      </c>
      <c r="H845" t="n">
        <v>0</v>
      </c>
      <c r="I845" t="n">
        <v>0</v>
      </c>
      <c r="J845" t="n">
        <v>0</v>
      </c>
      <c r="K845" t="n">
        <v>0</v>
      </c>
      <c r="L845" t="n">
        <v>0</v>
      </c>
      <c r="M845" t="n">
        <v>0</v>
      </c>
      <c r="N845" t="n">
        <v>0</v>
      </c>
      <c r="O845" t="n">
        <v>0</v>
      </c>
      <c r="P845" t="n">
        <v>0</v>
      </c>
      <c r="Q845" t="n">
        <v>0</v>
      </c>
      <c r="R845" s="2" t="inlineStr"/>
    </row>
    <row r="846" ht="15" customHeight="1">
      <c r="A846" t="inlineStr">
        <is>
          <t>A 42673-2022</t>
        </is>
      </c>
      <c r="B846" s="1" t="n">
        <v>44832</v>
      </c>
      <c r="C846" s="1" t="n">
        <v>45346</v>
      </c>
      <c r="D846" t="inlineStr">
        <is>
          <t>JÄMTLANDS LÄN</t>
        </is>
      </c>
      <c r="E846" t="inlineStr">
        <is>
          <t>HÄRJEDALEN</t>
        </is>
      </c>
      <c r="F846" t="inlineStr">
        <is>
          <t>Bergvik skog väst AB</t>
        </is>
      </c>
      <c r="G846" t="n">
        <v>18.6</v>
      </c>
      <c r="H846" t="n">
        <v>0</v>
      </c>
      <c r="I846" t="n">
        <v>0</v>
      </c>
      <c r="J846" t="n">
        <v>0</v>
      </c>
      <c r="K846" t="n">
        <v>0</v>
      </c>
      <c r="L846" t="n">
        <v>0</v>
      </c>
      <c r="M846" t="n">
        <v>0</v>
      </c>
      <c r="N846" t="n">
        <v>0</v>
      </c>
      <c r="O846" t="n">
        <v>0</v>
      </c>
      <c r="P846" t="n">
        <v>0</v>
      </c>
      <c r="Q846" t="n">
        <v>0</v>
      </c>
      <c r="R846" s="2" t="inlineStr"/>
    </row>
    <row r="847" ht="15" customHeight="1">
      <c r="A847" t="inlineStr">
        <is>
          <t>A 42916-2022</t>
        </is>
      </c>
      <c r="B847" s="1" t="n">
        <v>44833</v>
      </c>
      <c r="C847" s="1" t="n">
        <v>45346</v>
      </c>
      <c r="D847" t="inlineStr">
        <is>
          <t>JÄMTLANDS LÄN</t>
        </is>
      </c>
      <c r="E847" t="inlineStr">
        <is>
          <t>HÄRJEDALEN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43293-2022</t>
        </is>
      </c>
      <c r="B848" s="1" t="n">
        <v>44834</v>
      </c>
      <c r="C848" s="1" t="n">
        <v>45346</v>
      </c>
      <c r="D848" t="inlineStr">
        <is>
          <t>JÄMTLANDS LÄN</t>
        </is>
      </c>
      <c r="E848" t="inlineStr">
        <is>
          <t>HÄRJEDALEN</t>
        </is>
      </c>
      <c r="F848" t="inlineStr">
        <is>
          <t>Bergvik skog väst AB</t>
        </is>
      </c>
      <c r="G848" t="n">
        <v>6.7</v>
      </c>
      <c r="H848" t="n">
        <v>0</v>
      </c>
      <c r="I848" t="n">
        <v>0</v>
      </c>
      <c r="J848" t="n">
        <v>0</v>
      </c>
      <c r="K848" t="n">
        <v>0</v>
      </c>
      <c r="L848" t="n">
        <v>0</v>
      </c>
      <c r="M848" t="n">
        <v>0</v>
      </c>
      <c r="N848" t="n">
        <v>0</v>
      </c>
      <c r="O848" t="n">
        <v>0</v>
      </c>
      <c r="P848" t="n">
        <v>0</v>
      </c>
      <c r="Q848" t="n">
        <v>0</v>
      </c>
      <c r="R848" s="2" t="inlineStr"/>
    </row>
    <row r="849" ht="15" customHeight="1">
      <c r="A849" t="inlineStr">
        <is>
          <t>A 43531-2022</t>
        </is>
      </c>
      <c r="B849" s="1" t="n">
        <v>44837</v>
      </c>
      <c r="C849" s="1" t="n">
        <v>45346</v>
      </c>
      <c r="D849" t="inlineStr">
        <is>
          <t>JÄMTLANDS LÄN</t>
        </is>
      </c>
      <c r="E849" t="inlineStr">
        <is>
          <t>HÄRJEDALEN</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43552-2022</t>
        </is>
      </c>
      <c r="B850" s="1" t="n">
        <v>44837</v>
      </c>
      <c r="C850" s="1" t="n">
        <v>45346</v>
      </c>
      <c r="D850" t="inlineStr">
        <is>
          <t>JÄMTLANDS LÄN</t>
        </is>
      </c>
      <c r="E850" t="inlineStr">
        <is>
          <t>HÄRJEDALEN</t>
        </is>
      </c>
      <c r="F850" t="inlineStr">
        <is>
          <t>Bergvik skog väst AB</t>
        </is>
      </c>
      <c r="G850" t="n">
        <v>1.5</v>
      </c>
      <c r="H850" t="n">
        <v>0</v>
      </c>
      <c r="I850" t="n">
        <v>0</v>
      </c>
      <c r="J850" t="n">
        <v>0</v>
      </c>
      <c r="K850" t="n">
        <v>0</v>
      </c>
      <c r="L850" t="n">
        <v>0</v>
      </c>
      <c r="M850" t="n">
        <v>0</v>
      </c>
      <c r="N850" t="n">
        <v>0</v>
      </c>
      <c r="O850" t="n">
        <v>0</v>
      </c>
      <c r="P850" t="n">
        <v>0</v>
      </c>
      <c r="Q850" t="n">
        <v>0</v>
      </c>
      <c r="R850" s="2" t="inlineStr"/>
    </row>
    <row r="851" ht="15" customHeight="1">
      <c r="A851" t="inlineStr">
        <is>
          <t>A 43825-2022</t>
        </is>
      </c>
      <c r="B851" s="1" t="n">
        <v>44838</v>
      </c>
      <c r="C851" s="1" t="n">
        <v>45346</v>
      </c>
      <c r="D851" t="inlineStr">
        <is>
          <t>JÄMTLANDS LÄN</t>
        </is>
      </c>
      <c r="E851" t="inlineStr">
        <is>
          <t>HÄRJEDALEN</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45017-2022</t>
        </is>
      </c>
      <c r="B852" s="1" t="n">
        <v>44841</v>
      </c>
      <c r="C852" s="1" t="n">
        <v>45346</v>
      </c>
      <c r="D852" t="inlineStr">
        <is>
          <t>JÄMTLANDS LÄN</t>
        </is>
      </c>
      <c r="E852" t="inlineStr">
        <is>
          <t>HÄRJEDALEN</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47351-2022</t>
        </is>
      </c>
      <c r="B853" s="1" t="n">
        <v>44853</v>
      </c>
      <c r="C853" s="1" t="n">
        <v>45346</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47450-2022</t>
        </is>
      </c>
      <c r="B854" s="1" t="n">
        <v>44853</v>
      </c>
      <c r="C854" s="1" t="n">
        <v>45346</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47635-2022</t>
        </is>
      </c>
      <c r="B855" s="1" t="n">
        <v>44854</v>
      </c>
      <c r="C855" s="1" t="n">
        <v>45346</v>
      </c>
      <c r="D855" t="inlineStr">
        <is>
          <t>JÄMTLANDS LÄN</t>
        </is>
      </c>
      <c r="E855" t="inlineStr">
        <is>
          <t>HÄRJEDALEN</t>
        </is>
      </c>
      <c r="G855" t="n">
        <v>2.2</v>
      </c>
      <c r="H855" t="n">
        <v>0</v>
      </c>
      <c r="I855" t="n">
        <v>0</v>
      </c>
      <c r="J855" t="n">
        <v>0</v>
      </c>
      <c r="K855" t="n">
        <v>0</v>
      </c>
      <c r="L855" t="n">
        <v>0</v>
      </c>
      <c r="M855" t="n">
        <v>0</v>
      </c>
      <c r="N855" t="n">
        <v>0</v>
      </c>
      <c r="O855" t="n">
        <v>0</v>
      </c>
      <c r="P855" t="n">
        <v>0</v>
      </c>
      <c r="Q855" t="n">
        <v>0</v>
      </c>
      <c r="R855" s="2" t="inlineStr"/>
    </row>
    <row r="856" ht="15" customHeight="1">
      <c r="A856" t="inlineStr">
        <is>
          <t>A 47738-2022</t>
        </is>
      </c>
      <c r="B856" s="1" t="n">
        <v>44854</v>
      </c>
      <c r="C856" s="1" t="n">
        <v>45346</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47975-2022</t>
        </is>
      </c>
      <c r="B857" s="1" t="n">
        <v>44855</v>
      </c>
      <c r="C857" s="1" t="n">
        <v>45346</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48438-2022</t>
        </is>
      </c>
      <c r="B858" s="1" t="n">
        <v>44858</v>
      </c>
      <c r="C858" s="1" t="n">
        <v>45346</v>
      </c>
      <c r="D858" t="inlineStr">
        <is>
          <t>JÄMTLANDS LÄN</t>
        </is>
      </c>
      <c r="E858" t="inlineStr">
        <is>
          <t>HÄRJEDALEN</t>
        </is>
      </c>
      <c r="G858" t="n">
        <v>1.9</v>
      </c>
      <c r="H858" t="n">
        <v>0</v>
      </c>
      <c r="I858" t="n">
        <v>0</v>
      </c>
      <c r="J858" t="n">
        <v>0</v>
      </c>
      <c r="K858" t="n">
        <v>0</v>
      </c>
      <c r="L858" t="n">
        <v>0</v>
      </c>
      <c r="M858" t="n">
        <v>0</v>
      </c>
      <c r="N858" t="n">
        <v>0</v>
      </c>
      <c r="O858" t="n">
        <v>0</v>
      </c>
      <c r="P858" t="n">
        <v>0</v>
      </c>
      <c r="Q858" t="n">
        <v>0</v>
      </c>
      <c r="R858" s="2" t="inlineStr"/>
    </row>
    <row r="859" ht="15" customHeight="1">
      <c r="A859" t="inlineStr">
        <is>
          <t>A 48583-2022</t>
        </is>
      </c>
      <c r="B859" s="1" t="n">
        <v>44859</v>
      </c>
      <c r="C859" s="1" t="n">
        <v>45346</v>
      </c>
      <c r="D859" t="inlineStr">
        <is>
          <t>JÄMTLANDS LÄN</t>
        </is>
      </c>
      <c r="E859" t="inlineStr">
        <is>
          <t>HÄRJEDALEN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49237-2022</t>
        </is>
      </c>
      <c r="B860" s="1" t="n">
        <v>44861</v>
      </c>
      <c r="C860" s="1" t="n">
        <v>45346</v>
      </c>
      <c r="D860" t="inlineStr">
        <is>
          <t>JÄMTLANDS LÄN</t>
        </is>
      </c>
      <c r="E860" t="inlineStr">
        <is>
          <t>HÄRJEDALEN</t>
        </is>
      </c>
      <c r="G860" t="n">
        <v>5.8</v>
      </c>
      <c r="H860" t="n">
        <v>0</v>
      </c>
      <c r="I860" t="n">
        <v>0</v>
      </c>
      <c r="J860" t="n">
        <v>0</v>
      </c>
      <c r="K860" t="n">
        <v>0</v>
      </c>
      <c r="L860" t="n">
        <v>0</v>
      </c>
      <c r="M860" t="n">
        <v>0</v>
      </c>
      <c r="N860" t="n">
        <v>0</v>
      </c>
      <c r="O860" t="n">
        <v>0</v>
      </c>
      <c r="P860" t="n">
        <v>0</v>
      </c>
      <c r="Q860" t="n">
        <v>0</v>
      </c>
      <c r="R860" s="2" t="inlineStr"/>
    </row>
    <row r="861" ht="15" customHeight="1">
      <c r="A861" t="inlineStr">
        <is>
          <t>A 49295-2022</t>
        </is>
      </c>
      <c r="B861" s="1" t="n">
        <v>44861</v>
      </c>
      <c r="C861" s="1" t="n">
        <v>45346</v>
      </c>
      <c r="D861" t="inlineStr">
        <is>
          <t>JÄMTLANDS LÄN</t>
        </is>
      </c>
      <c r="E861" t="inlineStr">
        <is>
          <t>HÄRJEDALEN</t>
        </is>
      </c>
      <c r="G861" t="n">
        <v>1</v>
      </c>
      <c r="H861" t="n">
        <v>0</v>
      </c>
      <c r="I861" t="n">
        <v>0</v>
      </c>
      <c r="J861" t="n">
        <v>0</v>
      </c>
      <c r="K861" t="n">
        <v>0</v>
      </c>
      <c r="L861" t="n">
        <v>0</v>
      </c>
      <c r="M861" t="n">
        <v>0</v>
      </c>
      <c r="N861" t="n">
        <v>0</v>
      </c>
      <c r="O861" t="n">
        <v>0</v>
      </c>
      <c r="P861" t="n">
        <v>0</v>
      </c>
      <c r="Q861" t="n">
        <v>0</v>
      </c>
      <c r="R861" s="2" t="inlineStr"/>
    </row>
    <row r="862" ht="15" customHeight="1">
      <c r="A862" t="inlineStr">
        <is>
          <t>A 49663-2022</t>
        </is>
      </c>
      <c r="B862" s="1" t="n">
        <v>44862</v>
      </c>
      <c r="C862" s="1" t="n">
        <v>45346</v>
      </c>
      <c r="D862" t="inlineStr">
        <is>
          <t>JÄMTLANDS LÄN</t>
        </is>
      </c>
      <c r="E862" t="inlineStr">
        <is>
          <t>HÄRJEDALEN</t>
        </is>
      </c>
      <c r="F862" t="inlineStr">
        <is>
          <t>Bergvik skog väst AB</t>
        </is>
      </c>
      <c r="G862" t="n">
        <v>17.5</v>
      </c>
      <c r="H862" t="n">
        <v>0</v>
      </c>
      <c r="I862" t="n">
        <v>0</v>
      </c>
      <c r="J862" t="n">
        <v>0</v>
      </c>
      <c r="K862" t="n">
        <v>0</v>
      </c>
      <c r="L862" t="n">
        <v>0</v>
      </c>
      <c r="M862" t="n">
        <v>0</v>
      </c>
      <c r="N862" t="n">
        <v>0</v>
      </c>
      <c r="O862" t="n">
        <v>0</v>
      </c>
      <c r="P862" t="n">
        <v>0</v>
      </c>
      <c r="Q862" t="n">
        <v>0</v>
      </c>
      <c r="R862" s="2" t="inlineStr"/>
    </row>
    <row r="863" ht="15" customHeight="1">
      <c r="A863" t="inlineStr">
        <is>
          <t>A 49689-2022</t>
        </is>
      </c>
      <c r="B863" s="1" t="n">
        <v>44862</v>
      </c>
      <c r="C863" s="1" t="n">
        <v>45346</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50145-2022</t>
        </is>
      </c>
      <c r="B864" s="1" t="n">
        <v>44865</v>
      </c>
      <c r="C864" s="1" t="n">
        <v>45346</v>
      </c>
      <c r="D864" t="inlineStr">
        <is>
          <t>JÄMTLANDS LÄN</t>
        </is>
      </c>
      <c r="E864" t="inlineStr">
        <is>
          <t>HÄRJEDALEN</t>
        </is>
      </c>
      <c r="F864" t="inlineStr">
        <is>
          <t>Bergvik skog väst AB</t>
        </is>
      </c>
      <c r="G864" t="n">
        <v>7.1</v>
      </c>
      <c r="H864" t="n">
        <v>0</v>
      </c>
      <c r="I864" t="n">
        <v>0</v>
      </c>
      <c r="J864" t="n">
        <v>0</v>
      </c>
      <c r="K864" t="n">
        <v>0</v>
      </c>
      <c r="L864" t="n">
        <v>0</v>
      </c>
      <c r="M864" t="n">
        <v>0</v>
      </c>
      <c r="N864" t="n">
        <v>0</v>
      </c>
      <c r="O864" t="n">
        <v>0</v>
      </c>
      <c r="P864" t="n">
        <v>0</v>
      </c>
      <c r="Q864" t="n">
        <v>0</v>
      </c>
      <c r="R864" s="2" t="inlineStr"/>
    </row>
    <row r="865" ht="15" customHeight="1">
      <c r="A865" t="inlineStr">
        <is>
          <t>A 49995-2022</t>
        </is>
      </c>
      <c r="B865" s="1" t="n">
        <v>44865</v>
      </c>
      <c r="C865" s="1" t="n">
        <v>45346</v>
      </c>
      <c r="D865" t="inlineStr">
        <is>
          <t>JÄMTLANDS LÄN</t>
        </is>
      </c>
      <c r="E865" t="inlineStr">
        <is>
          <t>HÄRJEDALEN</t>
        </is>
      </c>
      <c r="F865" t="inlineStr">
        <is>
          <t>Bergvik skog väst AB</t>
        </is>
      </c>
      <c r="G865" t="n">
        <v>3</v>
      </c>
      <c r="H865" t="n">
        <v>0</v>
      </c>
      <c r="I865" t="n">
        <v>0</v>
      </c>
      <c r="J865" t="n">
        <v>0</v>
      </c>
      <c r="K865" t="n">
        <v>0</v>
      </c>
      <c r="L865" t="n">
        <v>0</v>
      </c>
      <c r="M865" t="n">
        <v>0</v>
      </c>
      <c r="N865" t="n">
        <v>0</v>
      </c>
      <c r="O865" t="n">
        <v>0</v>
      </c>
      <c r="P865" t="n">
        <v>0</v>
      </c>
      <c r="Q865" t="n">
        <v>0</v>
      </c>
      <c r="R865" s="2" t="inlineStr"/>
    </row>
    <row r="866" ht="15" customHeight="1">
      <c r="A866" t="inlineStr">
        <is>
          <t>A 51948-2022</t>
        </is>
      </c>
      <c r="B866" s="1" t="n">
        <v>44872</v>
      </c>
      <c r="C866" s="1" t="n">
        <v>45346</v>
      </c>
      <c r="D866" t="inlineStr">
        <is>
          <t>JÄMTLANDS LÄN</t>
        </is>
      </c>
      <c r="E866" t="inlineStr">
        <is>
          <t>HÄRJEDALEN</t>
        </is>
      </c>
      <c r="F866" t="inlineStr">
        <is>
          <t>Bergvik skog väst AB</t>
        </is>
      </c>
      <c r="G866" t="n">
        <v>3.8</v>
      </c>
      <c r="H866" t="n">
        <v>0</v>
      </c>
      <c r="I866" t="n">
        <v>0</v>
      </c>
      <c r="J866" t="n">
        <v>0</v>
      </c>
      <c r="K866" t="n">
        <v>0</v>
      </c>
      <c r="L866" t="n">
        <v>0</v>
      </c>
      <c r="M866" t="n">
        <v>0</v>
      </c>
      <c r="N866" t="n">
        <v>0</v>
      </c>
      <c r="O866" t="n">
        <v>0</v>
      </c>
      <c r="P866" t="n">
        <v>0</v>
      </c>
      <c r="Q866" t="n">
        <v>0</v>
      </c>
      <c r="R866" s="2" t="inlineStr"/>
    </row>
    <row r="867" ht="15" customHeight="1">
      <c r="A867" t="inlineStr">
        <is>
          <t>A 52852-2022</t>
        </is>
      </c>
      <c r="B867" s="1" t="n">
        <v>44872</v>
      </c>
      <c r="C867" s="1" t="n">
        <v>45346</v>
      </c>
      <c r="D867" t="inlineStr">
        <is>
          <t>JÄMTLANDS LÄN</t>
        </is>
      </c>
      <c r="E867" t="inlineStr">
        <is>
          <t>HÄRJEDALEN</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52867-2022</t>
        </is>
      </c>
      <c r="B868" s="1" t="n">
        <v>44872</v>
      </c>
      <c r="C868" s="1" t="n">
        <v>45346</v>
      </c>
      <c r="D868" t="inlineStr">
        <is>
          <t>JÄMTLANDS LÄN</t>
        </is>
      </c>
      <c r="E868" t="inlineStr">
        <is>
          <t>HÄRJEDALEN</t>
        </is>
      </c>
      <c r="G868" t="n">
        <v>0.3</v>
      </c>
      <c r="H868" t="n">
        <v>0</v>
      </c>
      <c r="I868" t="n">
        <v>0</v>
      </c>
      <c r="J868" t="n">
        <v>0</v>
      </c>
      <c r="K868" t="n">
        <v>0</v>
      </c>
      <c r="L868" t="n">
        <v>0</v>
      </c>
      <c r="M868" t="n">
        <v>0</v>
      </c>
      <c r="N868" t="n">
        <v>0</v>
      </c>
      <c r="O868" t="n">
        <v>0</v>
      </c>
      <c r="P868" t="n">
        <v>0</v>
      </c>
      <c r="Q868" t="n">
        <v>0</v>
      </c>
      <c r="R868" s="2" t="inlineStr"/>
    </row>
    <row r="869" ht="15" customHeight="1">
      <c r="A869" t="inlineStr">
        <is>
          <t>A 52339-2022</t>
        </is>
      </c>
      <c r="B869" s="1" t="n">
        <v>44873</v>
      </c>
      <c r="C869" s="1" t="n">
        <v>45346</v>
      </c>
      <c r="D869" t="inlineStr">
        <is>
          <t>JÄMTLANDS LÄN</t>
        </is>
      </c>
      <c r="E869" t="inlineStr">
        <is>
          <t>HÄRJEDALEN</t>
        </is>
      </c>
      <c r="G869" t="n">
        <v>28.1</v>
      </c>
      <c r="H869" t="n">
        <v>0</v>
      </c>
      <c r="I869" t="n">
        <v>0</v>
      </c>
      <c r="J869" t="n">
        <v>0</v>
      </c>
      <c r="K869" t="n">
        <v>0</v>
      </c>
      <c r="L869" t="n">
        <v>0</v>
      </c>
      <c r="M869" t="n">
        <v>0</v>
      </c>
      <c r="N869" t="n">
        <v>0</v>
      </c>
      <c r="O869" t="n">
        <v>0</v>
      </c>
      <c r="P869" t="n">
        <v>0</v>
      </c>
      <c r="Q869" t="n">
        <v>0</v>
      </c>
      <c r="R869" s="2" t="inlineStr"/>
    </row>
    <row r="870" ht="15" customHeight="1">
      <c r="A870" t="inlineStr">
        <is>
          <t>A 52586-2022</t>
        </is>
      </c>
      <c r="B870" s="1" t="n">
        <v>44874</v>
      </c>
      <c r="C870" s="1" t="n">
        <v>45346</v>
      </c>
      <c r="D870" t="inlineStr">
        <is>
          <t>JÄMTLANDS LÄN</t>
        </is>
      </c>
      <c r="E870" t="inlineStr">
        <is>
          <t>HÄRJEDALEN</t>
        </is>
      </c>
      <c r="F870" t="inlineStr">
        <is>
          <t>Bergvik skog väst AB</t>
        </is>
      </c>
      <c r="G870" t="n">
        <v>6.1</v>
      </c>
      <c r="H870" t="n">
        <v>0</v>
      </c>
      <c r="I870" t="n">
        <v>0</v>
      </c>
      <c r="J870" t="n">
        <v>0</v>
      </c>
      <c r="K870" t="n">
        <v>0</v>
      </c>
      <c r="L870" t="n">
        <v>0</v>
      </c>
      <c r="M870" t="n">
        <v>0</v>
      </c>
      <c r="N870" t="n">
        <v>0</v>
      </c>
      <c r="O870" t="n">
        <v>0</v>
      </c>
      <c r="P870" t="n">
        <v>0</v>
      </c>
      <c r="Q870" t="n">
        <v>0</v>
      </c>
      <c r="R870" s="2" t="inlineStr"/>
    </row>
    <row r="871" ht="15" customHeight="1">
      <c r="A871" t="inlineStr">
        <is>
          <t>A 53104-2022</t>
        </is>
      </c>
      <c r="B871" s="1" t="n">
        <v>44876</v>
      </c>
      <c r="C871" s="1" t="n">
        <v>45346</v>
      </c>
      <c r="D871" t="inlineStr">
        <is>
          <t>JÄMTLANDS LÄN</t>
        </is>
      </c>
      <c r="E871" t="inlineStr">
        <is>
          <t>HÄRJEDALEN</t>
        </is>
      </c>
      <c r="F871" t="inlineStr">
        <is>
          <t>Bergvik skog väst AB</t>
        </is>
      </c>
      <c r="G871" t="n">
        <v>0.7</v>
      </c>
      <c r="H871" t="n">
        <v>0</v>
      </c>
      <c r="I871" t="n">
        <v>0</v>
      </c>
      <c r="J871" t="n">
        <v>0</v>
      </c>
      <c r="K871" t="n">
        <v>0</v>
      </c>
      <c r="L871" t="n">
        <v>0</v>
      </c>
      <c r="M871" t="n">
        <v>0</v>
      </c>
      <c r="N871" t="n">
        <v>0</v>
      </c>
      <c r="O871" t="n">
        <v>0</v>
      </c>
      <c r="P871" t="n">
        <v>0</v>
      </c>
      <c r="Q871" t="n">
        <v>0</v>
      </c>
      <c r="R871" s="2" t="inlineStr"/>
    </row>
    <row r="872" ht="15" customHeight="1">
      <c r="A872" t="inlineStr">
        <is>
          <t>A 53107-2022</t>
        </is>
      </c>
      <c r="B872" s="1" t="n">
        <v>44876</v>
      </c>
      <c r="C872" s="1" t="n">
        <v>45346</v>
      </c>
      <c r="D872" t="inlineStr">
        <is>
          <t>JÄMTLANDS LÄN</t>
        </is>
      </c>
      <c r="E872" t="inlineStr">
        <is>
          <t>HÄRJEDALEN</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53120-2022</t>
        </is>
      </c>
      <c r="B873" s="1" t="n">
        <v>44876</v>
      </c>
      <c r="C873" s="1" t="n">
        <v>45346</v>
      </c>
      <c r="D873" t="inlineStr">
        <is>
          <t>JÄMTLANDS LÄN</t>
        </is>
      </c>
      <c r="E873" t="inlineStr">
        <is>
          <t>HÄRJEDALEN</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53563-2022</t>
        </is>
      </c>
      <c r="B874" s="1" t="n">
        <v>44879</v>
      </c>
      <c r="C874" s="1" t="n">
        <v>45346</v>
      </c>
      <c r="D874" t="inlineStr">
        <is>
          <t>JÄMTLANDS LÄN</t>
        </is>
      </c>
      <c r="E874" t="inlineStr">
        <is>
          <t>HÄRJEDALEN</t>
        </is>
      </c>
      <c r="G874" t="n">
        <v>8.6</v>
      </c>
      <c r="H874" t="n">
        <v>0</v>
      </c>
      <c r="I874" t="n">
        <v>0</v>
      </c>
      <c r="J874" t="n">
        <v>0</v>
      </c>
      <c r="K874" t="n">
        <v>0</v>
      </c>
      <c r="L874" t="n">
        <v>0</v>
      </c>
      <c r="M874" t="n">
        <v>0</v>
      </c>
      <c r="N874" t="n">
        <v>0</v>
      </c>
      <c r="O874" t="n">
        <v>0</v>
      </c>
      <c r="P874" t="n">
        <v>0</v>
      </c>
      <c r="Q874" t="n">
        <v>0</v>
      </c>
      <c r="R874" s="2" t="inlineStr"/>
    </row>
    <row r="875" ht="15" customHeight="1">
      <c r="A875" t="inlineStr">
        <is>
          <t>A 54059-2022</t>
        </is>
      </c>
      <c r="B875" s="1" t="n">
        <v>44881</v>
      </c>
      <c r="C875" s="1" t="n">
        <v>45346</v>
      </c>
      <c r="D875" t="inlineStr">
        <is>
          <t>JÄMTLANDS LÄN</t>
        </is>
      </c>
      <c r="E875" t="inlineStr">
        <is>
          <t>HÄRJEDALEN</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54065-2022</t>
        </is>
      </c>
      <c r="B876" s="1" t="n">
        <v>44881</v>
      </c>
      <c r="C876" s="1" t="n">
        <v>45346</v>
      </c>
      <c r="D876" t="inlineStr">
        <is>
          <t>JÄMTLANDS LÄN</t>
        </is>
      </c>
      <c r="E876" t="inlineStr">
        <is>
          <t>HÄRJEDALEN</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54305-2022</t>
        </is>
      </c>
      <c r="B877" s="1" t="n">
        <v>44882</v>
      </c>
      <c r="C877" s="1" t="n">
        <v>45346</v>
      </c>
      <c r="D877" t="inlineStr">
        <is>
          <t>JÄMTLANDS LÄN</t>
        </is>
      </c>
      <c r="E877" t="inlineStr">
        <is>
          <t>HÄRJEDALEN</t>
        </is>
      </c>
      <c r="G877" t="n">
        <v>2.3</v>
      </c>
      <c r="H877" t="n">
        <v>0</v>
      </c>
      <c r="I877" t="n">
        <v>0</v>
      </c>
      <c r="J877" t="n">
        <v>0</v>
      </c>
      <c r="K877" t="n">
        <v>0</v>
      </c>
      <c r="L877" t="n">
        <v>0</v>
      </c>
      <c r="M877" t="n">
        <v>0</v>
      </c>
      <c r="N877" t="n">
        <v>0</v>
      </c>
      <c r="O877" t="n">
        <v>0</v>
      </c>
      <c r="P877" t="n">
        <v>0</v>
      </c>
      <c r="Q877" t="n">
        <v>0</v>
      </c>
      <c r="R877" s="2" t="inlineStr"/>
    </row>
    <row r="878" ht="15" customHeight="1">
      <c r="A878" t="inlineStr">
        <is>
          <t>A 54661-2022</t>
        </is>
      </c>
      <c r="B878" s="1" t="n">
        <v>44883</v>
      </c>
      <c r="C878" s="1" t="n">
        <v>45346</v>
      </c>
      <c r="D878" t="inlineStr">
        <is>
          <t>JÄMTLANDS LÄN</t>
        </is>
      </c>
      <c r="E878" t="inlineStr">
        <is>
          <t>HÄRJEDALEN</t>
        </is>
      </c>
      <c r="G878" t="n">
        <v>5.9</v>
      </c>
      <c r="H878" t="n">
        <v>0</v>
      </c>
      <c r="I878" t="n">
        <v>0</v>
      </c>
      <c r="J878" t="n">
        <v>0</v>
      </c>
      <c r="K878" t="n">
        <v>0</v>
      </c>
      <c r="L878" t="n">
        <v>0</v>
      </c>
      <c r="M878" t="n">
        <v>0</v>
      </c>
      <c r="N878" t="n">
        <v>0</v>
      </c>
      <c r="O878" t="n">
        <v>0</v>
      </c>
      <c r="P878" t="n">
        <v>0</v>
      </c>
      <c r="Q878" t="n">
        <v>0</v>
      </c>
      <c r="R878" s="2" t="inlineStr"/>
    </row>
    <row r="879" ht="15" customHeight="1">
      <c r="A879" t="inlineStr">
        <is>
          <t>A 54762-2022</t>
        </is>
      </c>
      <c r="B879" s="1" t="n">
        <v>44883</v>
      </c>
      <c r="C879" s="1" t="n">
        <v>45346</v>
      </c>
      <c r="D879" t="inlineStr">
        <is>
          <t>JÄMTLANDS LÄN</t>
        </is>
      </c>
      <c r="E879" t="inlineStr">
        <is>
          <t>HÄRJEDALEN</t>
        </is>
      </c>
      <c r="G879" t="n">
        <v>1.8</v>
      </c>
      <c r="H879" t="n">
        <v>0</v>
      </c>
      <c r="I879" t="n">
        <v>0</v>
      </c>
      <c r="J879" t="n">
        <v>0</v>
      </c>
      <c r="K879" t="n">
        <v>0</v>
      </c>
      <c r="L879" t="n">
        <v>0</v>
      </c>
      <c r="M879" t="n">
        <v>0</v>
      </c>
      <c r="N879" t="n">
        <v>0</v>
      </c>
      <c r="O879" t="n">
        <v>0</v>
      </c>
      <c r="P879" t="n">
        <v>0</v>
      </c>
      <c r="Q879" t="n">
        <v>0</v>
      </c>
      <c r="R879" s="2" t="inlineStr"/>
    </row>
    <row r="880" ht="15" customHeight="1">
      <c r="A880" t="inlineStr">
        <is>
          <t>A 55100-2022</t>
        </is>
      </c>
      <c r="B880" s="1" t="n">
        <v>44886</v>
      </c>
      <c r="C880" s="1" t="n">
        <v>45346</v>
      </c>
      <c r="D880" t="inlineStr">
        <is>
          <t>JÄMTLANDS LÄN</t>
        </is>
      </c>
      <c r="E880" t="inlineStr">
        <is>
          <t>HÄRJEDALEN</t>
        </is>
      </c>
      <c r="G880" t="n">
        <v>4.4</v>
      </c>
      <c r="H880" t="n">
        <v>0</v>
      </c>
      <c r="I880" t="n">
        <v>0</v>
      </c>
      <c r="J880" t="n">
        <v>0</v>
      </c>
      <c r="K880" t="n">
        <v>0</v>
      </c>
      <c r="L880" t="n">
        <v>0</v>
      </c>
      <c r="M880" t="n">
        <v>0</v>
      </c>
      <c r="N880" t="n">
        <v>0</v>
      </c>
      <c r="O880" t="n">
        <v>0</v>
      </c>
      <c r="P880" t="n">
        <v>0</v>
      </c>
      <c r="Q880" t="n">
        <v>0</v>
      </c>
      <c r="R880" s="2" t="inlineStr"/>
    </row>
    <row r="881" ht="15" customHeight="1">
      <c r="A881" t="inlineStr">
        <is>
          <t>A 55103-2022</t>
        </is>
      </c>
      <c r="B881" s="1" t="n">
        <v>44886</v>
      </c>
      <c r="C881" s="1" t="n">
        <v>45346</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55931-2022</t>
        </is>
      </c>
      <c r="B882" s="1" t="n">
        <v>44886</v>
      </c>
      <c r="C882" s="1" t="n">
        <v>45346</v>
      </c>
      <c r="D882" t="inlineStr">
        <is>
          <t>JÄMTLANDS LÄN</t>
        </is>
      </c>
      <c r="E882" t="inlineStr">
        <is>
          <t>HÄRJEDALEN</t>
        </is>
      </c>
      <c r="F882" t="inlineStr">
        <is>
          <t>Övriga statliga verk och myndigheter</t>
        </is>
      </c>
      <c r="G882" t="n">
        <v>2.9</v>
      </c>
      <c r="H882" t="n">
        <v>0</v>
      </c>
      <c r="I882" t="n">
        <v>0</v>
      </c>
      <c r="J882" t="n">
        <v>0</v>
      </c>
      <c r="K882" t="n">
        <v>0</v>
      </c>
      <c r="L882" t="n">
        <v>0</v>
      </c>
      <c r="M882" t="n">
        <v>0</v>
      </c>
      <c r="N882" t="n">
        <v>0</v>
      </c>
      <c r="O882" t="n">
        <v>0</v>
      </c>
      <c r="P882" t="n">
        <v>0</v>
      </c>
      <c r="Q882" t="n">
        <v>0</v>
      </c>
      <c r="R882" s="2" t="inlineStr"/>
    </row>
    <row r="883" ht="15" customHeight="1">
      <c r="A883" t="inlineStr">
        <is>
          <t>A 55969-2022</t>
        </is>
      </c>
      <c r="B883" s="1" t="n">
        <v>44886</v>
      </c>
      <c r="C883" s="1" t="n">
        <v>45346</v>
      </c>
      <c r="D883" t="inlineStr">
        <is>
          <t>JÄMTLANDS LÄN</t>
        </is>
      </c>
      <c r="E883" t="inlineStr">
        <is>
          <t>HÄRJEDALEN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56043-2022</t>
        </is>
      </c>
      <c r="B884" s="1" t="n">
        <v>44889</v>
      </c>
      <c r="C884" s="1" t="n">
        <v>45346</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57223-2022</t>
        </is>
      </c>
      <c r="B885" s="1" t="n">
        <v>44889</v>
      </c>
      <c r="C885" s="1" t="n">
        <v>45346</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56533-2022</t>
        </is>
      </c>
      <c r="B886" s="1" t="n">
        <v>44893</v>
      </c>
      <c r="C886" s="1" t="n">
        <v>45346</v>
      </c>
      <c r="D886" t="inlineStr">
        <is>
          <t>JÄMTLANDS LÄN</t>
        </is>
      </c>
      <c r="E886" t="inlineStr">
        <is>
          <t>HÄRJEDALEN</t>
        </is>
      </c>
      <c r="F886" t="inlineStr">
        <is>
          <t>Bergvik skog väst AB</t>
        </is>
      </c>
      <c r="G886" t="n">
        <v>3</v>
      </c>
      <c r="H886" t="n">
        <v>0</v>
      </c>
      <c r="I886" t="n">
        <v>0</v>
      </c>
      <c r="J886" t="n">
        <v>0</v>
      </c>
      <c r="K886" t="n">
        <v>0</v>
      </c>
      <c r="L886" t="n">
        <v>0</v>
      </c>
      <c r="M886" t="n">
        <v>0</v>
      </c>
      <c r="N886" t="n">
        <v>0</v>
      </c>
      <c r="O886" t="n">
        <v>0</v>
      </c>
      <c r="P886" t="n">
        <v>0</v>
      </c>
      <c r="Q886" t="n">
        <v>0</v>
      </c>
      <c r="R886" s="2" t="inlineStr"/>
    </row>
    <row r="887" ht="15" customHeight="1">
      <c r="A887" t="inlineStr">
        <is>
          <t>A 56992-2022</t>
        </is>
      </c>
      <c r="B887" s="1" t="n">
        <v>44894</v>
      </c>
      <c r="C887" s="1" t="n">
        <v>45346</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58425-2022</t>
        </is>
      </c>
      <c r="B888" s="1" t="n">
        <v>44901</v>
      </c>
      <c r="C888" s="1" t="n">
        <v>45346</v>
      </c>
      <c r="D888" t="inlineStr">
        <is>
          <t>JÄMTLANDS LÄN</t>
        </is>
      </c>
      <c r="E888" t="inlineStr">
        <is>
          <t>HÄRJEDALEN</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59094-2022</t>
        </is>
      </c>
      <c r="B889" s="1" t="n">
        <v>44904</v>
      </c>
      <c r="C889" s="1" t="n">
        <v>45346</v>
      </c>
      <c r="D889" t="inlineStr">
        <is>
          <t>JÄMTLANDS LÄN</t>
        </is>
      </c>
      <c r="E889" t="inlineStr">
        <is>
          <t>HÄRJEDALEN</t>
        </is>
      </c>
      <c r="F889" t="inlineStr">
        <is>
          <t>Bergvik skog väst AB</t>
        </is>
      </c>
      <c r="G889" t="n">
        <v>49.8</v>
      </c>
      <c r="H889" t="n">
        <v>0</v>
      </c>
      <c r="I889" t="n">
        <v>0</v>
      </c>
      <c r="J889" t="n">
        <v>0</v>
      </c>
      <c r="K889" t="n">
        <v>0</v>
      </c>
      <c r="L889" t="n">
        <v>0</v>
      </c>
      <c r="M889" t="n">
        <v>0</v>
      </c>
      <c r="N889" t="n">
        <v>0</v>
      </c>
      <c r="O889" t="n">
        <v>0</v>
      </c>
      <c r="P889" t="n">
        <v>0</v>
      </c>
      <c r="Q889" t="n">
        <v>0</v>
      </c>
      <c r="R889" s="2" t="inlineStr"/>
    </row>
    <row r="890" ht="15" customHeight="1">
      <c r="A890" t="inlineStr">
        <is>
          <t>A 59112-2022</t>
        </is>
      </c>
      <c r="B890" s="1" t="n">
        <v>44904</v>
      </c>
      <c r="C890" s="1" t="n">
        <v>45346</v>
      </c>
      <c r="D890" t="inlineStr">
        <is>
          <t>JÄMTLANDS LÄN</t>
        </is>
      </c>
      <c r="E890" t="inlineStr">
        <is>
          <t>HÄRJEDALEN</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59824-2022</t>
        </is>
      </c>
      <c r="B891" s="1" t="n">
        <v>44908</v>
      </c>
      <c r="C891" s="1" t="n">
        <v>45346</v>
      </c>
      <c r="D891" t="inlineStr">
        <is>
          <t>JÄMTLANDS LÄN</t>
        </is>
      </c>
      <c r="E891" t="inlineStr">
        <is>
          <t>HÄRJEDALEN</t>
        </is>
      </c>
      <c r="G891" t="n">
        <v>4.9</v>
      </c>
      <c r="H891" t="n">
        <v>0</v>
      </c>
      <c r="I891" t="n">
        <v>0</v>
      </c>
      <c r="J891" t="n">
        <v>0</v>
      </c>
      <c r="K891" t="n">
        <v>0</v>
      </c>
      <c r="L891" t="n">
        <v>0</v>
      </c>
      <c r="M891" t="n">
        <v>0</v>
      </c>
      <c r="N891" t="n">
        <v>0</v>
      </c>
      <c r="O891" t="n">
        <v>0</v>
      </c>
      <c r="P891" t="n">
        <v>0</v>
      </c>
      <c r="Q891" t="n">
        <v>0</v>
      </c>
      <c r="R891" s="2" t="inlineStr"/>
    </row>
    <row r="892" ht="15" customHeight="1">
      <c r="A892" t="inlineStr">
        <is>
          <t>A 59851-2022</t>
        </is>
      </c>
      <c r="B892" s="1" t="n">
        <v>44908</v>
      </c>
      <c r="C892" s="1" t="n">
        <v>45346</v>
      </c>
      <c r="D892" t="inlineStr">
        <is>
          <t>JÄMTLANDS LÄN</t>
        </is>
      </c>
      <c r="E892" t="inlineStr">
        <is>
          <t>HÄRJEDALEN</t>
        </is>
      </c>
      <c r="G892" t="n">
        <v>3.2</v>
      </c>
      <c r="H892" t="n">
        <v>0</v>
      </c>
      <c r="I892" t="n">
        <v>0</v>
      </c>
      <c r="J892" t="n">
        <v>0</v>
      </c>
      <c r="K892" t="n">
        <v>0</v>
      </c>
      <c r="L892" t="n">
        <v>0</v>
      </c>
      <c r="M892" t="n">
        <v>0</v>
      </c>
      <c r="N892" t="n">
        <v>0</v>
      </c>
      <c r="O892" t="n">
        <v>0</v>
      </c>
      <c r="P892" t="n">
        <v>0</v>
      </c>
      <c r="Q892" t="n">
        <v>0</v>
      </c>
      <c r="R892" s="2" t="inlineStr"/>
    </row>
    <row r="893" ht="15" customHeight="1">
      <c r="A893" t="inlineStr">
        <is>
          <t>A 59828-2022</t>
        </is>
      </c>
      <c r="B893" s="1" t="n">
        <v>44908</v>
      </c>
      <c r="C893" s="1" t="n">
        <v>45346</v>
      </c>
      <c r="D893" t="inlineStr">
        <is>
          <t>JÄMTLANDS LÄN</t>
        </is>
      </c>
      <c r="E893" t="inlineStr">
        <is>
          <t>HÄRJEDALEN</t>
        </is>
      </c>
      <c r="G893" t="n">
        <v>7.4</v>
      </c>
      <c r="H893" t="n">
        <v>0</v>
      </c>
      <c r="I893" t="n">
        <v>0</v>
      </c>
      <c r="J893" t="n">
        <v>0</v>
      </c>
      <c r="K893" t="n">
        <v>0</v>
      </c>
      <c r="L893" t="n">
        <v>0</v>
      </c>
      <c r="M893" t="n">
        <v>0</v>
      </c>
      <c r="N893" t="n">
        <v>0</v>
      </c>
      <c r="O893" t="n">
        <v>0</v>
      </c>
      <c r="P893" t="n">
        <v>0</v>
      </c>
      <c r="Q893" t="n">
        <v>0</v>
      </c>
      <c r="R893" s="2" t="inlineStr"/>
    </row>
    <row r="894" ht="15" customHeight="1">
      <c r="A894" t="inlineStr">
        <is>
          <t>A 59818-2022</t>
        </is>
      </c>
      <c r="B894" s="1" t="n">
        <v>44908</v>
      </c>
      <c r="C894" s="1" t="n">
        <v>45346</v>
      </c>
      <c r="D894" t="inlineStr">
        <is>
          <t>JÄMTLANDS LÄN</t>
        </is>
      </c>
      <c r="E894" t="inlineStr">
        <is>
          <t>HÄRJEDALEN</t>
        </is>
      </c>
      <c r="G894" t="n">
        <v>5.3</v>
      </c>
      <c r="H894" t="n">
        <v>0</v>
      </c>
      <c r="I894" t="n">
        <v>0</v>
      </c>
      <c r="J894" t="n">
        <v>0</v>
      </c>
      <c r="K894" t="n">
        <v>0</v>
      </c>
      <c r="L894" t="n">
        <v>0</v>
      </c>
      <c r="M894" t="n">
        <v>0</v>
      </c>
      <c r="N894" t="n">
        <v>0</v>
      </c>
      <c r="O894" t="n">
        <v>0</v>
      </c>
      <c r="P894" t="n">
        <v>0</v>
      </c>
      <c r="Q894" t="n">
        <v>0</v>
      </c>
      <c r="R894" s="2" t="inlineStr"/>
    </row>
    <row r="895" ht="15" customHeight="1">
      <c r="A895" t="inlineStr">
        <is>
          <t>A 61300-2022</t>
        </is>
      </c>
      <c r="B895" s="1" t="n">
        <v>44909</v>
      </c>
      <c r="C895" s="1" t="n">
        <v>45346</v>
      </c>
      <c r="D895" t="inlineStr">
        <is>
          <t>JÄMTLANDS LÄN</t>
        </is>
      </c>
      <c r="E895" t="inlineStr">
        <is>
          <t>HÄRJEDALEN</t>
        </is>
      </c>
      <c r="F895" t="inlineStr">
        <is>
          <t>Bergvik skog väst AB</t>
        </is>
      </c>
      <c r="G895" t="n">
        <v>14.1</v>
      </c>
      <c r="H895" t="n">
        <v>0</v>
      </c>
      <c r="I895" t="n">
        <v>0</v>
      </c>
      <c r="J895" t="n">
        <v>0</v>
      </c>
      <c r="K895" t="n">
        <v>0</v>
      </c>
      <c r="L895" t="n">
        <v>0</v>
      </c>
      <c r="M895" t="n">
        <v>0</v>
      </c>
      <c r="N895" t="n">
        <v>0</v>
      </c>
      <c r="O895" t="n">
        <v>0</v>
      </c>
      <c r="P895" t="n">
        <v>0</v>
      </c>
      <c r="Q895" t="n">
        <v>0</v>
      </c>
      <c r="R895" s="2" t="inlineStr"/>
    </row>
    <row r="896" ht="15" customHeight="1">
      <c r="A896" t="inlineStr">
        <is>
          <t>A 60236-2022</t>
        </is>
      </c>
      <c r="B896" s="1" t="n">
        <v>44910</v>
      </c>
      <c r="C896" s="1" t="n">
        <v>45346</v>
      </c>
      <c r="D896" t="inlineStr">
        <is>
          <t>JÄMTLANDS LÄN</t>
        </is>
      </c>
      <c r="E896" t="inlineStr">
        <is>
          <t>HÄRJEDALEN</t>
        </is>
      </c>
      <c r="G896" t="n">
        <v>2</v>
      </c>
      <c r="H896" t="n">
        <v>0</v>
      </c>
      <c r="I896" t="n">
        <v>0</v>
      </c>
      <c r="J896" t="n">
        <v>0</v>
      </c>
      <c r="K896" t="n">
        <v>0</v>
      </c>
      <c r="L896" t="n">
        <v>0</v>
      </c>
      <c r="M896" t="n">
        <v>0</v>
      </c>
      <c r="N896" t="n">
        <v>0</v>
      </c>
      <c r="O896" t="n">
        <v>0</v>
      </c>
      <c r="P896" t="n">
        <v>0</v>
      </c>
      <c r="Q896" t="n">
        <v>0</v>
      </c>
      <c r="R896" s="2" t="inlineStr"/>
    </row>
    <row r="897" ht="15" customHeight="1">
      <c r="A897" t="inlineStr">
        <is>
          <t>A 60542-2022</t>
        </is>
      </c>
      <c r="B897" s="1" t="n">
        <v>44911</v>
      </c>
      <c r="C897" s="1" t="n">
        <v>45346</v>
      </c>
      <c r="D897" t="inlineStr">
        <is>
          <t>JÄMTLANDS LÄN</t>
        </is>
      </c>
      <c r="E897" t="inlineStr">
        <is>
          <t>HÄRJEDALEN</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60887-2022</t>
        </is>
      </c>
      <c r="B898" s="1" t="n">
        <v>44914</v>
      </c>
      <c r="C898" s="1" t="n">
        <v>45346</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60983-2022</t>
        </is>
      </c>
      <c r="B899" s="1" t="n">
        <v>44914</v>
      </c>
      <c r="C899" s="1" t="n">
        <v>45346</v>
      </c>
      <c r="D899" t="inlineStr">
        <is>
          <t>JÄMTLANDS LÄN</t>
        </is>
      </c>
      <c r="E899" t="inlineStr">
        <is>
          <t>HÄRJEDALEN</t>
        </is>
      </c>
      <c r="G899" t="n">
        <v>44</v>
      </c>
      <c r="H899" t="n">
        <v>0</v>
      </c>
      <c r="I899" t="n">
        <v>0</v>
      </c>
      <c r="J899" t="n">
        <v>0</v>
      </c>
      <c r="K899" t="n">
        <v>0</v>
      </c>
      <c r="L899" t="n">
        <v>0</v>
      </c>
      <c r="M899" t="n">
        <v>0</v>
      </c>
      <c r="N899" t="n">
        <v>0</v>
      </c>
      <c r="O899" t="n">
        <v>0</v>
      </c>
      <c r="P899" t="n">
        <v>0</v>
      </c>
      <c r="Q899" t="n">
        <v>0</v>
      </c>
      <c r="R899" s="2" t="inlineStr"/>
    </row>
    <row r="900" ht="15" customHeight="1">
      <c r="A900" t="inlineStr">
        <is>
          <t>A 60897-2022</t>
        </is>
      </c>
      <c r="B900" s="1" t="n">
        <v>44914</v>
      </c>
      <c r="C900" s="1" t="n">
        <v>45346</v>
      </c>
      <c r="D900" t="inlineStr">
        <is>
          <t>JÄMTLANDS LÄN</t>
        </is>
      </c>
      <c r="E900" t="inlineStr">
        <is>
          <t>HÄRJEDALEN</t>
        </is>
      </c>
      <c r="F900" t="inlineStr">
        <is>
          <t>Holmen skog AB</t>
        </is>
      </c>
      <c r="G900" t="n">
        <v>0.3</v>
      </c>
      <c r="H900" t="n">
        <v>0</v>
      </c>
      <c r="I900" t="n">
        <v>0</v>
      </c>
      <c r="J900" t="n">
        <v>0</v>
      </c>
      <c r="K900" t="n">
        <v>0</v>
      </c>
      <c r="L900" t="n">
        <v>0</v>
      </c>
      <c r="M900" t="n">
        <v>0</v>
      </c>
      <c r="N900" t="n">
        <v>0</v>
      </c>
      <c r="O900" t="n">
        <v>0</v>
      </c>
      <c r="P900" t="n">
        <v>0</v>
      </c>
      <c r="Q900" t="n">
        <v>0</v>
      </c>
      <c r="R900" s="2" t="inlineStr"/>
      <c r="U900">
        <f>HYPERLINK("https://klasma.github.io/Logging_2361/knärot/A 60897-2022 karta knärot.png", "A 60897-2022")</f>
        <v/>
      </c>
      <c r="V900">
        <f>HYPERLINK("https://klasma.github.io/Logging_2361/klagomål/A 60897-2022 FSC-klagomål.docx", "A 60897-2022")</f>
        <v/>
      </c>
      <c r="W900">
        <f>HYPERLINK("https://klasma.github.io/Logging_2361/klagomålsmail/A 60897-2022 FSC-klagomål mail.docx", "A 60897-2022")</f>
        <v/>
      </c>
      <c r="X900">
        <f>HYPERLINK("https://klasma.github.io/Logging_2361/tillsyn/A 60897-2022 tillsynsbegäran.docx", "A 60897-2022")</f>
        <v/>
      </c>
      <c r="Y900">
        <f>HYPERLINK("https://klasma.github.io/Logging_2361/tillsynsmail/A 60897-2022 tillsynsbegäran mail.docx", "A 60897-2022")</f>
        <v/>
      </c>
    </row>
    <row r="901" ht="15" customHeight="1">
      <c r="A901" t="inlineStr">
        <is>
          <t>A 60933-2022</t>
        </is>
      </c>
      <c r="B901" s="1" t="n">
        <v>44914</v>
      </c>
      <c r="C901" s="1" t="n">
        <v>45346</v>
      </c>
      <c r="D901" t="inlineStr">
        <is>
          <t>JÄMTLANDS LÄN</t>
        </is>
      </c>
      <c r="E901" t="inlineStr">
        <is>
          <t>HÄRJEDALEN</t>
        </is>
      </c>
      <c r="G901" t="n">
        <v>0.7</v>
      </c>
      <c r="H901" t="n">
        <v>0</v>
      </c>
      <c r="I901" t="n">
        <v>0</v>
      </c>
      <c r="J901" t="n">
        <v>0</v>
      </c>
      <c r="K901" t="n">
        <v>0</v>
      </c>
      <c r="L901" t="n">
        <v>0</v>
      </c>
      <c r="M901" t="n">
        <v>0</v>
      </c>
      <c r="N901" t="n">
        <v>0</v>
      </c>
      <c r="O901" t="n">
        <v>0</v>
      </c>
      <c r="P901" t="n">
        <v>0</v>
      </c>
      <c r="Q901" t="n">
        <v>0</v>
      </c>
      <c r="R901" s="2" t="inlineStr"/>
    </row>
    <row r="902" ht="15" customHeight="1">
      <c r="A902" t="inlineStr">
        <is>
          <t>A 61571-2022</t>
        </is>
      </c>
      <c r="B902" s="1" t="n">
        <v>44916</v>
      </c>
      <c r="C902" s="1" t="n">
        <v>45346</v>
      </c>
      <c r="D902" t="inlineStr">
        <is>
          <t>JÄMTLANDS LÄN</t>
        </is>
      </c>
      <c r="E902" t="inlineStr">
        <is>
          <t>HÄRJEDALEN</t>
        </is>
      </c>
      <c r="G902" t="n">
        <v>3.4</v>
      </c>
      <c r="H902" t="n">
        <v>0</v>
      </c>
      <c r="I902" t="n">
        <v>0</v>
      </c>
      <c r="J902" t="n">
        <v>0</v>
      </c>
      <c r="K902" t="n">
        <v>0</v>
      </c>
      <c r="L902" t="n">
        <v>0</v>
      </c>
      <c r="M902" t="n">
        <v>0</v>
      </c>
      <c r="N902" t="n">
        <v>0</v>
      </c>
      <c r="O902" t="n">
        <v>0</v>
      </c>
      <c r="P902" t="n">
        <v>0</v>
      </c>
      <c r="Q902" t="n">
        <v>0</v>
      </c>
      <c r="R902" s="2" t="inlineStr"/>
    </row>
    <row r="903" ht="15" customHeight="1">
      <c r="A903" t="inlineStr">
        <is>
          <t>A 62500-2022</t>
        </is>
      </c>
      <c r="B903" s="1" t="n">
        <v>44924</v>
      </c>
      <c r="C903" s="1" t="n">
        <v>45346</v>
      </c>
      <c r="D903" t="inlineStr">
        <is>
          <t>JÄMTLANDS LÄN</t>
        </is>
      </c>
      <c r="E903" t="inlineStr">
        <is>
          <t>HÄRJEDALEN</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62513-2022</t>
        </is>
      </c>
      <c r="B904" s="1" t="n">
        <v>44924</v>
      </c>
      <c r="C904" s="1" t="n">
        <v>45346</v>
      </c>
      <c r="D904" t="inlineStr">
        <is>
          <t>JÄMTLANDS LÄN</t>
        </is>
      </c>
      <c r="E904" t="inlineStr">
        <is>
          <t>HÄRJEDALEN</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62535-2022</t>
        </is>
      </c>
      <c r="B905" s="1" t="n">
        <v>44924</v>
      </c>
      <c r="C905" s="1" t="n">
        <v>45346</v>
      </c>
      <c r="D905" t="inlineStr">
        <is>
          <t>JÄMTLANDS LÄN</t>
        </is>
      </c>
      <c r="E905" t="inlineStr">
        <is>
          <t>HÄRJEDALEN</t>
        </is>
      </c>
      <c r="F905" t="inlineStr">
        <is>
          <t>Holmen skog AB</t>
        </is>
      </c>
      <c r="G905" t="n">
        <v>5.9</v>
      </c>
      <c r="H905" t="n">
        <v>0</v>
      </c>
      <c r="I905" t="n">
        <v>0</v>
      </c>
      <c r="J905" t="n">
        <v>0</v>
      </c>
      <c r="K905" t="n">
        <v>0</v>
      </c>
      <c r="L905" t="n">
        <v>0</v>
      </c>
      <c r="M905" t="n">
        <v>0</v>
      </c>
      <c r="N905" t="n">
        <v>0</v>
      </c>
      <c r="O905" t="n">
        <v>0</v>
      </c>
      <c r="P905" t="n">
        <v>0</v>
      </c>
      <c r="Q905" t="n">
        <v>0</v>
      </c>
      <c r="R905" s="2" t="inlineStr"/>
    </row>
    <row r="906" ht="15" customHeight="1">
      <c r="A906" t="inlineStr">
        <is>
          <t>A 62505-2022</t>
        </is>
      </c>
      <c r="B906" s="1" t="n">
        <v>44924</v>
      </c>
      <c r="C906" s="1" t="n">
        <v>45346</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62533-2022</t>
        </is>
      </c>
      <c r="B907" s="1" t="n">
        <v>44924</v>
      </c>
      <c r="C907" s="1" t="n">
        <v>45346</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62639-2022</t>
        </is>
      </c>
      <c r="B908" s="1" t="n">
        <v>44925</v>
      </c>
      <c r="C908" s="1" t="n">
        <v>45346</v>
      </c>
      <c r="D908" t="inlineStr">
        <is>
          <t>JÄMTLANDS LÄN</t>
        </is>
      </c>
      <c r="E908" t="inlineStr">
        <is>
          <t>HÄRJEDALEN</t>
        </is>
      </c>
      <c r="G908" t="n">
        <v>4.3</v>
      </c>
      <c r="H908" t="n">
        <v>0</v>
      </c>
      <c r="I908" t="n">
        <v>0</v>
      </c>
      <c r="J908" t="n">
        <v>0</v>
      </c>
      <c r="K908" t="n">
        <v>0</v>
      </c>
      <c r="L908" t="n">
        <v>0</v>
      </c>
      <c r="M908" t="n">
        <v>0</v>
      </c>
      <c r="N908" t="n">
        <v>0</v>
      </c>
      <c r="O908" t="n">
        <v>0</v>
      </c>
      <c r="P908" t="n">
        <v>0</v>
      </c>
      <c r="Q908" t="n">
        <v>0</v>
      </c>
      <c r="R908" s="2" t="inlineStr"/>
    </row>
    <row r="909" ht="15" customHeight="1">
      <c r="A909" t="inlineStr">
        <is>
          <t>A 62696-2022</t>
        </is>
      </c>
      <c r="B909" s="1" t="n">
        <v>44925</v>
      </c>
      <c r="C909" s="1" t="n">
        <v>45346</v>
      </c>
      <c r="D909" t="inlineStr">
        <is>
          <t>JÄMTLANDS LÄN</t>
        </is>
      </c>
      <c r="E909" t="inlineStr">
        <is>
          <t>HÄRJEDALEN</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62702-2022</t>
        </is>
      </c>
      <c r="B910" s="1" t="n">
        <v>44925</v>
      </c>
      <c r="C910" s="1" t="n">
        <v>45346</v>
      </c>
      <c r="D910" t="inlineStr">
        <is>
          <t>JÄMTLANDS LÄN</t>
        </is>
      </c>
      <c r="E910" t="inlineStr">
        <is>
          <t>HÄRJEDALEN</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62719-2022</t>
        </is>
      </c>
      <c r="B911" s="1" t="n">
        <v>44925</v>
      </c>
      <c r="C911" s="1" t="n">
        <v>45346</v>
      </c>
      <c r="D911" t="inlineStr">
        <is>
          <t>JÄMTLANDS LÄN</t>
        </is>
      </c>
      <c r="E911" t="inlineStr">
        <is>
          <t>HÄRJEDALEN</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62724-2022</t>
        </is>
      </c>
      <c r="B912" s="1" t="n">
        <v>44925</v>
      </c>
      <c r="C912" s="1" t="n">
        <v>45346</v>
      </c>
      <c r="D912" t="inlineStr">
        <is>
          <t>JÄMTLANDS LÄN</t>
        </is>
      </c>
      <c r="E912" t="inlineStr">
        <is>
          <t>HÄRJEDALEN</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62599-2022</t>
        </is>
      </c>
      <c r="B913" s="1" t="n">
        <v>44925</v>
      </c>
      <c r="C913" s="1" t="n">
        <v>45346</v>
      </c>
      <c r="D913" t="inlineStr">
        <is>
          <t>JÄMTLANDS LÄN</t>
        </is>
      </c>
      <c r="E913" t="inlineStr">
        <is>
          <t>HÄRJEDALEN</t>
        </is>
      </c>
      <c r="F913" t="inlineStr">
        <is>
          <t>Holmen skog AB</t>
        </is>
      </c>
      <c r="G913" t="n">
        <v>8.1</v>
      </c>
      <c r="H913" t="n">
        <v>0</v>
      </c>
      <c r="I913" t="n">
        <v>0</v>
      </c>
      <c r="J913" t="n">
        <v>0</v>
      </c>
      <c r="K913" t="n">
        <v>0</v>
      </c>
      <c r="L913" t="n">
        <v>0</v>
      </c>
      <c r="M913" t="n">
        <v>0</v>
      </c>
      <c r="N913" t="n">
        <v>0</v>
      </c>
      <c r="O913" t="n">
        <v>0</v>
      </c>
      <c r="P913" t="n">
        <v>0</v>
      </c>
      <c r="Q913" t="n">
        <v>0</v>
      </c>
      <c r="R913" s="2" t="inlineStr"/>
    </row>
    <row r="914" ht="15" customHeight="1">
      <c r="A914" t="inlineStr">
        <is>
          <t>A 62641-2022</t>
        </is>
      </c>
      <c r="B914" s="1" t="n">
        <v>44925</v>
      </c>
      <c r="C914" s="1" t="n">
        <v>45346</v>
      </c>
      <c r="D914" t="inlineStr">
        <is>
          <t>JÄMTLANDS LÄN</t>
        </is>
      </c>
      <c r="E914" t="inlineStr">
        <is>
          <t>HÄRJEDALEN</t>
        </is>
      </c>
      <c r="G914" t="n">
        <v>2.7</v>
      </c>
      <c r="H914" t="n">
        <v>0</v>
      </c>
      <c r="I914" t="n">
        <v>0</v>
      </c>
      <c r="J914" t="n">
        <v>0</v>
      </c>
      <c r="K914" t="n">
        <v>0</v>
      </c>
      <c r="L914" t="n">
        <v>0</v>
      </c>
      <c r="M914" t="n">
        <v>0</v>
      </c>
      <c r="N914" t="n">
        <v>0</v>
      </c>
      <c r="O914" t="n">
        <v>0</v>
      </c>
      <c r="P914" t="n">
        <v>0</v>
      </c>
      <c r="Q914" t="n">
        <v>0</v>
      </c>
      <c r="R914" s="2" t="inlineStr"/>
    </row>
    <row r="915" ht="15" customHeight="1">
      <c r="A915" t="inlineStr">
        <is>
          <t>A 62591-2022</t>
        </is>
      </c>
      <c r="B915" s="1" t="n">
        <v>44925</v>
      </c>
      <c r="C915" s="1" t="n">
        <v>45346</v>
      </c>
      <c r="D915" t="inlineStr">
        <is>
          <t>JÄMTLANDS LÄN</t>
        </is>
      </c>
      <c r="E915" t="inlineStr">
        <is>
          <t>HÄRJEDALEN</t>
        </is>
      </c>
      <c r="G915" t="n">
        <v>32.7</v>
      </c>
      <c r="H915" t="n">
        <v>0</v>
      </c>
      <c r="I915" t="n">
        <v>0</v>
      </c>
      <c r="J915" t="n">
        <v>0</v>
      </c>
      <c r="K915" t="n">
        <v>0</v>
      </c>
      <c r="L915" t="n">
        <v>0</v>
      </c>
      <c r="M915" t="n">
        <v>0</v>
      </c>
      <c r="N915" t="n">
        <v>0</v>
      </c>
      <c r="O915" t="n">
        <v>0</v>
      </c>
      <c r="P915" t="n">
        <v>0</v>
      </c>
      <c r="Q915" t="n">
        <v>0</v>
      </c>
      <c r="R915" s="2" t="inlineStr"/>
    </row>
    <row r="916" ht="15" customHeight="1">
      <c r="A916" t="inlineStr">
        <is>
          <t>A 62653-2022</t>
        </is>
      </c>
      <c r="B916" s="1" t="n">
        <v>44925</v>
      </c>
      <c r="C916" s="1" t="n">
        <v>45346</v>
      </c>
      <c r="D916" t="inlineStr">
        <is>
          <t>JÄMTLANDS LÄN</t>
        </is>
      </c>
      <c r="E916" t="inlineStr">
        <is>
          <t>HÄRJEDALEN</t>
        </is>
      </c>
      <c r="G916" t="n">
        <v>3.8</v>
      </c>
      <c r="H916" t="n">
        <v>0</v>
      </c>
      <c r="I916" t="n">
        <v>0</v>
      </c>
      <c r="J916" t="n">
        <v>0</v>
      </c>
      <c r="K916" t="n">
        <v>0</v>
      </c>
      <c r="L916" t="n">
        <v>0</v>
      </c>
      <c r="M916" t="n">
        <v>0</v>
      </c>
      <c r="N916" t="n">
        <v>0</v>
      </c>
      <c r="O916" t="n">
        <v>0</v>
      </c>
      <c r="P916" t="n">
        <v>0</v>
      </c>
      <c r="Q916" t="n">
        <v>0</v>
      </c>
      <c r="R916" s="2" t="inlineStr"/>
    </row>
    <row r="917" ht="15" customHeight="1">
      <c r="A917" t="inlineStr">
        <is>
          <t>A 62687-2022</t>
        </is>
      </c>
      <c r="B917" s="1" t="n">
        <v>44925</v>
      </c>
      <c r="C917" s="1" t="n">
        <v>45346</v>
      </c>
      <c r="D917" t="inlineStr">
        <is>
          <t>JÄMTLANDS LÄN</t>
        </is>
      </c>
      <c r="E917" t="inlineStr">
        <is>
          <t>HÄRJEDALEN</t>
        </is>
      </c>
      <c r="F917" t="inlineStr">
        <is>
          <t>Holmen skog AB</t>
        </is>
      </c>
      <c r="G917" t="n">
        <v>5.7</v>
      </c>
      <c r="H917" t="n">
        <v>0</v>
      </c>
      <c r="I917" t="n">
        <v>0</v>
      </c>
      <c r="J917" t="n">
        <v>0</v>
      </c>
      <c r="K917" t="n">
        <v>0</v>
      </c>
      <c r="L917" t="n">
        <v>0</v>
      </c>
      <c r="M917" t="n">
        <v>0</v>
      </c>
      <c r="N917" t="n">
        <v>0</v>
      </c>
      <c r="O917" t="n">
        <v>0</v>
      </c>
      <c r="P917" t="n">
        <v>0</v>
      </c>
      <c r="Q917" t="n">
        <v>0</v>
      </c>
      <c r="R917" s="2" t="inlineStr"/>
    </row>
    <row r="918" ht="15" customHeight="1">
      <c r="A918" t="inlineStr">
        <is>
          <t>A 62694-2022</t>
        </is>
      </c>
      <c r="B918" s="1" t="n">
        <v>44925</v>
      </c>
      <c r="C918" s="1" t="n">
        <v>45346</v>
      </c>
      <c r="D918" t="inlineStr">
        <is>
          <t>JÄMTLANDS LÄN</t>
        </is>
      </c>
      <c r="E918" t="inlineStr">
        <is>
          <t>HÄRJEDALEN</t>
        </is>
      </c>
      <c r="F918" t="inlineStr">
        <is>
          <t>Holmen skog AB</t>
        </is>
      </c>
      <c r="G918" t="n">
        <v>4.5</v>
      </c>
      <c r="H918" t="n">
        <v>0</v>
      </c>
      <c r="I918" t="n">
        <v>0</v>
      </c>
      <c r="J918" t="n">
        <v>0</v>
      </c>
      <c r="K918" t="n">
        <v>0</v>
      </c>
      <c r="L918" t="n">
        <v>0</v>
      </c>
      <c r="M918" t="n">
        <v>0</v>
      </c>
      <c r="N918" t="n">
        <v>0</v>
      </c>
      <c r="O918" t="n">
        <v>0</v>
      </c>
      <c r="P918" t="n">
        <v>0</v>
      </c>
      <c r="Q918" t="n">
        <v>0</v>
      </c>
      <c r="R918" s="2" t="inlineStr"/>
    </row>
    <row r="919" ht="15" customHeight="1">
      <c r="A919" t="inlineStr">
        <is>
          <t>A 62708-2022</t>
        </is>
      </c>
      <c r="B919" s="1" t="n">
        <v>44925</v>
      </c>
      <c r="C919" s="1" t="n">
        <v>45346</v>
      </c>
      <c r="D919" t="inlineStr">
        <is>
          <t>JÄMTLANDS LÄN</t>
        </is>
      </c>
      <c r="E919" t="inlineStr">
        <is>
          <t>HÄRJEDALEN</t>
        </is>
      </c>
      <c r="F919" t="inlineStr">
        <is>
          <t>Holmen skog AB</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62590-2022</t>
        </is>
      </c>
      <c r="B920" s="1" t="n">
        <v>44925</v>
      </c>
      <c r="C920" s="1" t="n">
        <v>45346</v>
      </c>
      <c r="D920" t="inlineStr">
        <is>
          <t>JÄMTLANDS LÄN</t>
        </is>
      </c>
      <c r="E920" t="inlineStr">
        <is>
          <t>HÄRJEDALEN</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62684-2022</t>
        </is>
      </c>
      <c r="B921" s="1" t="n">
        <v>44925</v>
      </c>
      <c r="C921" s="1" t="n">
        <v>45346</v>
      </c>
      <c r="D921" t="inlineStr">
        <is>
          <t>JÄMTLANDS LÄN</t>
        </is>
      </c>
      <c r="E921" t="inlineStr">
        <is>
          <t>HÄRJEDALEN</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62699-2022</t>
        </is>
      </c>
      <c r="B922" s="1" t="n">
        <v>44925</v>
      </c>
      <c r="C922" s="1" t="n">
        <v>45346</v>
      </c>
      <c r="D922" t="inlineStr">
        <is>
          <t>JÄMTLANDS LÄN</t>
        </is>
      </c>
      <c r="E922" t="inlineStr">
        <is>
          <t>HÄRJEDALEN</t>
        </is>
      </c>
      <c r="F922" t="inlineStr">
        <is>
          <t>Holmen skog AB</t>
        </is>
      </c>
      <c r="G922" t="n">
        <v>5</v>
      </c>
      <c r="H922" t="n">
        <v>0</v>
      </c>
      <c r="I922" t="n">
        <v>0</v>
      </c>
      <c r="J922" t="n">
        <v>0</v>
      </c>
      <c r="K922" t="n">
        <v>0</v>
      </c>
      <c r="L922" t="n">
        <v>0</v>
      </c>
      <c r="M922" t="n">
        <v>0</v>
      </c>
      <c r="N922" t="n">
        <v>0</v>
      </c>
      <c r="O922" t="n">
        <v>0</v>
      </c>
      <c r="P922" t="n">
        <v>0</v>
      </c>
      <c r="Q922" t="n">
        <v>0</v>
      </c>
      <c r="R922" s="2" t="inlineStr"/>
    </row>
    <row r="923" ht="15" customHeight="1">
      <c r="A923" t="inlineStr">
        <is>
          <t>A 62706-2022</t>
        </is>
      </c>
      <c r="B923" s="1" t="n">
        <v>44925</v>
      </c>
      <c r="C923" s="1" t="n">
        <v>45346</v>
      </c>
      <c r="D923" t="inlineStr">
        <is>
          <t>JÄMTLANDS LÄN</t>
        </is>
      </c>
      <c r="E923" t="inlineStr">
        <is>
          <t>HÄRJEDALEN</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62721-2022</t>
        </is>
      </c>
      <c r="B924" s="1" t="n">
        <v>44925</v>
      </c>
      <c r="C924" s="1" t="n">
        <v>45346</v>
      </c>
      <c r="D924" t="inlineStr">
        <is>
          <t>JÄMTLANDS LÄN</t>
        </is>
      </c>
      <c r="E924" t="inlineStr">
        <is>
          <t>HÄRJEDALEN</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105-2023</t>
        </is>
      </c>
      <c r="B925" s="1" t="n">
        <v>44928</v>
      </c>
      <c r="C925" s="1" t="n">
        <v>45346</v>
      </c>
      <c r="D925" t="inlineStr">
        <is>
          <t>JÄMTLANDS LÄN</t>
        </is>
      </c>
      <c r="E925" t="inlineStr">
        <is>
          <t>HÄRJEDALEN</t>
        </is>
      </c>
      <c r="F925" t="inlineStr">
        <is>
          <t>Holmen skog AB</t>
        </is>
      </c>
      <c r="G925" t="n">
        <v>17.5</v>
      </c>
      <c r="H925" t="n">
        <v>0</v>
      </c>
      <c r="I925" t="n">
        <v>0</v>
      </c>
      <c r="J925" t="n">
        <v>0</v>
      </c>
      <c r="K925" t="n">
        <v>0</v>
      </c>
      <c r="L925" t="n">
        <v>0</v>
      </c>
      <c r="M925" t="n">
        <v>0</v>
      </c>
      <c r="N925" t="n">
        <v>0</v>
      </c>
      <c r="O925" t="n">
        <v>0</v>
      </c>
      <c r="P925" t="n">
        <v>0</v>
      </c>
      <c r="Q925" t="n">
        <v>0</v>
      </c>
      <c r="R925" s="2" t="inlineStr"/>
    </row>
    <row r="926" ht="15" customHeight="1">
      <c r="A926" t="inlineStr">
        <is>
          <t>A 29-2023</t>
        </is>
      </c>
      <c r="B926" s="1" t="n">
        <v>44928</v>
      </c>
      <c r="C926" s="1" t="n">
        <v>45346</v>
      </c>
      <c r="D926" t="inlineStr">
        <is>
          <t>JÄMTLANDS LÄN</t>
        </is>
      </c>
      <c r="E926" t="inlineStr">
        <is>
          <t>HÄRJEDALEN</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35-2023</t>
        </is>
      </c>
      <c r="B927" s="1" t="n">
        <v>44928</v>
      </c>
      <c r="C927" s="1" t="n">
        <v>45346</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78-2023</t>
        </is>
      </c>
      <c r="B928" s="1" t="n">
        <v>44928</v>
      </c>
      <c r="C928" s="1" t="n">
        <v>45346</v>
      </c>
      <c r="D928" t="inlineStr">
        <is>
          <t>JÄMTLANDS LÄN</t>
        </is>
      </c>
      <c r="E928" t="inlineStr">
        <is>
          <t>HÄRJEDALEN</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103-2023</t>
        </is>
      </c>
      <c r="B929" s="1" t="n">
        <v>44928</v>
      </c>
      <c r="C929" s="1" t="n">
        <v>45346</v>
      </c>
      <c r="D929" t="inlineStr">
        <is>
          <t>JÄMTLANDS LÄN</t>
        </is>
      </c>
      <c r="E929" t="inlineStr">
        <is>
          <t>HÄRJEDALEN</t>
        </is>
      </c>
      <c r="F929" t="inlineStr">
        <is>
          <t>Holmen skog AB</t>
        </is>
      </c>
      <c r="G929" t="n">
        <v>6.9</v>
      </c>
      <c r="H929" t="n">
        <v>0</v>
      </c>
      <c r="I929" t="n">
        <v>0</v>
      </c>
      <c r="J929" t="n">
        <v>0</v>
      </c>
      <c r="K929" t="n">
        <v>0</v>
      </c>
      <c r="L929" t="n">
        <v>0</v>
      </c>
      <c r="M929" t="n">
        <v>0</v>
      </c>
      <c r="N929" t="n">
        <v>0</v>
      </c>
      <c r="O929" t="n">
        <v>0</v>
      </c>
      <c r="P929" t="n">
        <v>0</v>
      </c>
      <c r="Q929" t="n">
        <v>0</v>
      </c>
      <c r="R929" s="2" t="inlineStr"/>
    </row>
    <row r="930" ht="15" customHeight="1">
      <c r="A930" t="inlineStr">
        <is>
          <t>A 166-2023</t>
        </is>
      </c>
      <c r="B930" s="1" t="n">
        <v>44928</v>
      </c>
      <c r="C930" s="1" t="n">
        <v>45346</v>
      </c>
      <c r="D930" t="inlineStr">
        <is>
          <t>JÄMTLANDS LÄN</t>
        </is>
      </c>
      <c r="E930" t="inlineStr">
        <is>
          <t>HÄRJEDALEN</t>
        </is>
      </c>
      <c r="F930" t="inlineStr">
        <is>
          <t>Holmen skog AB</t>
        </is>
      </c>
      <c r="G930" t="n">
        <v>13.5</v>
      </c>
      <c r="H930" t="n">
        <v>0</v>
      </c>
      <c r="I930" t="n">
        <v>0</v>
      </c>
      <c r="J930" t="n">
        <v>0</v>
      </c>
      <c r="K930" t="n">
        <v>0</v>
      </c>
      <c r="L930" t="n">
        <v>0</v>
      </c>
      <c r="M930" t="n">
        <v>0</v>
      </c>
      <c r="N930" t="n">
        <v>0</v>
      </c>
      <c r="O930" t="n">
        <v>0</v>
      </c>
      <c r="P930" t="n">
        <v>0</v>
      </c>
      <c r="Q930" t="n">
        <v>0</v>
      </c>
      <c r="R930" s="2" t="inlineStr"/>
    </row>
    <row r="931" ht="15" customHeight="1">
      <c r="A931" t="inlineStr">
        <is>
          <t>A 176-2023</t>
        </is>
      </c>
      <c r="B931" s="1" t="n">
        <v>44928</v>
      </c>
      <c r="C931" s="1" t="n">
        <v>45346</v>
      </c>
      <c r="D931" t="inlineStr">
        <is>
          <t>JÄMTLANDS LÄN</t>
        </is>
      </c>
      <c r="E931" t="inlineStr">
        <is>
          <t>HÄRJEDALEN</t>
        </is>
      </c>
      <c r="F931" t="inlineStr">
        <is>
          <t>Holmen skog AB</t>
        </is>
      </c>
      <c r="G931" t="n">
        <v>5.9</v>
      </c>
      <c r="H931" t="n">
        <v>0</v>
      </c>
      <c r="I931" t="n">
        <v>0</v>
      </c>
      <c r="J931" t="n">
        <v>0</v>
      </c>
      <c r="K931" t="n">
        <v>0</v>
      </c>
      <c r="L931" t="n">
        <v>0</v>
      </c>
      <c r="M931" t="n">
        <v>0</v>
      </c>
      <c r="N931" t="n">
        <v>0</v>
      </c>
      <c r="O931" t="n">
        <v>0</v>
      </c>
      <c r="P931" t="n">
        <v>0</v>
      </c>
      <c r="Q931" t="n">
        <v>0</v>
      </c>
      <c r="R931" s="2" t="inlineStr"/>
    </row>
    <row r="932" ht="15" customHeight="1">
      <c r="A932" t="inlineStr">
        <is>
          <t>A 171-2023</t>
        </is>
      </c>
      <c r="B932" s="1" t="n">
        <v>44928</v>
      </c>
      <c r="C932" s="1" t="n">
        <v>45346</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1907-2023</t>
        </is>
      </c>
      <c r="B933" s="1" t="n">
        <v>44939</v>
      </c>
      <c r="C933" s="1" t="n">
        <v>45346</v>
      </c>
      <c r="D933" t="inlineStr">
        <is>
          <t>JÄMTLANDS LÄN</t>
        </is>
      </c>
      <c r="E933" t="inlineStr">
        <is>
          <t>HÄRJEDALEN</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1954-2023</t>
        </is>
      </c>
      <c r="B934" s="1" t="n">
        <v>44939</v>
      </c>
      <c r="C934" s="1" t="n">
        <v>45346</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4196-2023</t>
        </is>
      </c>
      <c r="B935" s="1" t="n">
        <v>44953</v>
      </c>
      <c r="C935" s="1" t="n">
        <v>45346</v>
      </c>
      <c r="D935" t="inlineStr">
        <is>
          <t>JÄMTLANDS LÄN</t>
        </is>
      </c>
      <c r="E935" t="inlineStr">
        <is>
          <t>HÄRJEDALEN</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4694-2023</t>
        </is>
      </c>
      <c r="B936" s="1" t="n">
        <v>44957</v>
      </c>
      <c r="C936" s="1" t="n">
        <v>45346</v>
      </c>
      <c r="D936" t="inlineStr">
        <is>
          <t>JÄMTLANDS LÄN</t>
        </is>
      </c>
      <c r="E936" t="inlineStr">
        <is>
          <t>HÄRJEDALEN</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4712-2023</t>
        </is>
      </c>
      <c r="B937" s="1" t="n">
        <v>44957</v>
      </c>
      <c r="C937" s="1" t="n">
        <v>45346</v>
      </c>
      <c r="D937" t="inlineStr">
        <is>
          <t>JÄMTLANDS LÄN</t>
        </is>
      </c>
      <c r="E937" t="inlineStr">
        <is>
          <t>HÄRJEDALEN</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4711-2023</t>
        </is>
      </c>
      <c r="B938" s="1" t="n">
        <v>44957</v>
      </c>
      <c r="C938" s="1" t="n">
        <v>45346</v>
      </c>
      <c r="D938" t="inlineStr">
        <is>
          <t>JÄMTLANDS LÄN</t>
        </is>
      </c>
      <c r="E938" t="inlineStr">
        <is>
          <t>HÄRJEDALEN</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4782-2023</t>
        </is>
      </c>
      <c r="B939" s="1" t="n">
        <v>44957</v>
      </c>
      <c r="C939" s="1" t="n">
        <v>45346</v>
      </c>
      <c r="D939" t="inlineStr">
        <is>
          <t>JÄMTLANDS LÄN</t>
        </is>
      </c>
      <c r="E939" t="inlineStr">
        <is>
          <t>HÄRJEDALEN</t>
        </is>
      </c>
      <c r="F939" t="inlineStr">
        <is>
          <t>Holmen skog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5013-2023</t>
        </is>
      </c>
      <c r="B940" s="1" t="n">
        <v>44958</v>
      </c>
      <c r="C940" s="1" t="n">
        <v>45346</v>
      </c>
      <c r="D940" t="inlineStr">
        <is>
          <t>JÄMTLANDS LÄN</t>
        </is>
      </c>
      <c r="E940" t="inlineStr">
        <is>
          <t>HÄRJEDALEN</t>
        </is>
      </c>
      <c r="F940" t="inlineStr">
        <is>
          <t>Bergvik skog väst AB</t>
        </is>
      </c>
      <c r="G940" t="n">
        <v>0.2</v>
      </c>
      <c r="H940" t="n">
        <v>0</v>
      </c>
      <c r="I940" t="n">
        <v>0</v>
      </c>
      <c r="J940" t="n">
        <v>0</v>
      </c>
      <c r="K940" t="n">
        <v>0</v>
      </c>
      <c r="L940" t="n">
        <v>0</v>
      </c>
      <c r="M940" t="n">
        <v>0</v>
      </c>
      <c r="N940" t="n">
        <v>0</v>
      </c>
      <c r="O940" t="n">
        <v>0</v>
      </c>
      <c r="P940" t="n">
        <v>0</v>
      </c>
      <c r="Q940" t="n">
        <v>0</v>
      </c>
      <c r="R940" s="2" t="inlineStr"/>
    </row>
    <row r="941" ht="15" customHeight="1">
      <c r="A941" t="inlineStr">
        <is>
          <t>A 5640-2023</t>
        </is>
      </c>
      <c r="B941" s="1" t="n">
        <v>44960</v>
      </c>
      <c r="C941" s="1" t="n">
        <v>45346</v>
      </c>
      <c r="D941" t="inlineStr">
        <is>
          <t>JÄMTLANDS LÄN</t>
        </is>
      </c>
      <c r="E941" t="inlineStr">
        <is>
          <t>HÄRJEDALEN</t>
        </is>
      </c>
      <c r="G941" t="n">
        <v>8.4</v>
      </c>
      <c r="H941" t="n">
        <v>0</v>
      </c>
      <c r="I941" t="n">
        <v>0</v>
      </c>
      <c r="J941" t="n">
        <v>0</v>
      </c>
      <c r="K941" t="n">
        <v>0</v>
      </c>
      <c r="L941" t="n">
        <v>0</v>
      </c>
      <c r="M941" t="n">
        <v>0</v>
      </c>
      <c r="N941" t="n">
        <v>0</v>
      </c>
      <c r="O941" t="n">
        <v>0</v>
      </c>
      <c r="P941" t="n">
        <v>0</v>
      </c>
      <c r="Q941" t="n">
        <v>0</v>
      </c>
      <c r="R941" s="2" t="inlineStr"/>
    </row>
    <row r="942" ht="15" customHeight="1">
      <c r="A942" t="inlineStr">
        <is>
          <t>A 6001-2023</t>
        </is>
      </c>
      <c r="B942" s="1" t="n">
        <v>44964</v>
      </c>
      <c r="C942" s="1" t="n">
        <v>45346</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6124-2023</t>
        </is>
      </c>
      <c r="B943" s="1" t="n">
        <v>44964</v>
      </c>
      <c r="C943" s="1" t="n">
        <v>45346</v>
      </c>
      <c r="D943" t="inlineStr">
        <is>
          <t>JÄMTLANDS LÄN</t>
        </is>
      </c>
      <c r="E943" t="inlineStr">
        <is>
          <t>HÄRJEDALEN</t>
        </is>
      </c>
      <c r="G943" t="n">
        <v>20</v>
      </c>
      <c r="H943" t="n">
        <v>0</v>
      </c>
      <c r="I943" t="n">
        <v>0</v>
      </c>
      <c r="J943" t="n">
        <v>0</v>
      </c>
      <c r="K943" t="n">
        <v>0</v>
      </c>
      <c r="L943" t="n">
        <v>0</v>
      </c>
      <c r="M943" t="n">
        <v>0</v>
      </c>
      <c r="N943" t="n">
        <v>0</v>
      </c>
      <c r="O943" t="n">
        <v>0</v>
      </c>
      <c r="P943" t="n">
        <v>0</v>
      </c>
      <c r="Q943" t="n">
        <v>0</v>
      </c>
      <c r="R943" s="2" t="inlineStr"/>
    </row>
    <row r="944" ht="15" customHeight="1">
      <c r="A944" t="inlineStr">
        <is>
          <t>A 7636-2023</t>
        </is>
      </c>
      <c r="B944" s="1" t="n">
        <v>44972</v>
      </c>
      <c r="C944" s="1" t="n">
        <v>45346</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8365-2023</t>
        </is>
      </c>
      <c r="B945" s="1" t="n">
        <v>44977</v>
      </c>
      <c r="C945" s="1" t="n">
        <v>45346</v>
      </c>
      <c r="D945" t="inlineStr">
        <is>
          <t>JÄMTLANDS LÄN</t>
        </is>
      </c>
      <c r="E945" t="inlineStr">
        <is>
          <t>HÄRJEDALEN</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8420-2023</t>
        </is>
      </c>
      <c r="B946" s="1" t="n">
        <v>44977</v>
      </c>
      <c r="C946" s="1" t="n">
        <v>45346</v>
      </c>
      <c r="D946" t="inlineStr">
        <is>
          <t>JÄMTLANDS LÄN</t>
        </is>
      </c>
      <c r="E946" t="inlineStr">
        <is>
          <t>HÄRJEDALEN</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8577-2023</t>
        </is>
      </c>
      <c r="B947" s="1" t="n">
        <v>44977</v>
      </c>
      <c r="C947" s="1" t="n">
        <v>45346</v>
      </c>
      <c r="D947" t="inlineStr">
        <is>
          <t>JÄMTLANDS LÄN</t>
        </is>
      </c>
      <c r="E947" t="inlineStr">
        <is>
          <t>HÄRJEDALEN</t>
        </is>
      </c>
      <c r="G947" t="n">
        <v>19.6</v>
      </c>
      <c r="H947" t="n">
        <v>0</v>
      </c>
      <c r="I947" t="n">
        <v>0</v>
      </c>
      <c r="J947" t="n">
        <v>0</v>
      </c>
      <c r="K947" t="n">
        <v>0</v>
      </c>
      <c r="L947" t="n">
        <v>0</v>
      </c>
      <c r="M947" t="n">
        <v>0</v>
      </c>
      <c r="N947" t="n">
        <v>0</v>
      </c>
      <c r="O947" t="n">
        <v>0</v>
      </c>
      <c r="P947" t="n">
        <v>0</v>
      </c>
      <c r="Q947" t="n">
        <v>0</v>
      </c>
      <c r="R947" s="2" t="inlineStr"/>
    </row>
    <row r="948" ht="15" customHeight="1">
      <c r="A948" t="inlineStr">
        <is>
          <t>A 8804-2023</t>
        </is>
      </c>
      <c r="B948" s="1" t="n">
        <v>44978</v>
      </c>
      <c r="C948" s="1" t="n">
        <v>45346</v>
      </c>
      <c r="D948" t="inlineStr">
        <is>
          <t>JÄMTLANDS LÄN</t>
        </is>
      </c>
      <c r="E948" t="inlineStr">
        <is>
          <t>HÄRJEDALEN</t>
        </is>
      </c>
      <c r="G948" t="n">
        <v>14</v>
      </c>
      <c r="H948" t="n">
        <v>0</v>
      </c>
      <c r="I948" t="n">
        <v>0</v>
      </c>
      <c r="J948" t="n">
        <v>0</v>
      </c>
      <c r="K948" t="n">
        <v>0</v>
      </c>
      <c r="L948" t="n">
        <v>0</v>
      </c>
      <c r="M948" t="n">
        <v>0</v>
      </c>
      <c r="N948" t="n">
        <v>0</v>
      </c>
      <c r="O948" t="n">
        <v>0</v>
      </c>
      <c r="P948" t="n">
        <v>0</v>
      </c>
      <c r="Q948" t="n">
        <v>0</v>
      </c>
      <c r="R948" s="2" t="inlineStr"/>
    </row>
    <row r="949" ht="15" customHeight="1">
      <c r="A949" t="inlineStr">
        <is>
          <t>A 9188-2023</t>
        </is>
      </c>
      <c r="B949" s="1" t="n">
        <v>44980</v>
      </c>
      <c r="C949" s="1" t="n">
        <v>45346</v>
      </c>
      <c r="D949" t="inlineStr">
        <is>
          <t>JÄMTLANDS LÄN</t>
        </is>
      </c>
      <c r="E949" t="inlineStr">
        <is>
          <t>HÄRJEDALEN</t>
        </is>
      </c>
      <c r="F949" t="inlineStr">
        <is>
          <t>Holmen skog AB</t>
        </is>
      </c>
      <c r="G949" t="n">
        <v>1.9</v>
      </c>
      <c r="H949" t="n">
        <v>0</v>
      </c>
      <c r="I949" t="n">
        <v>0</v>
      </c>
      <c r="J949" t="n">
        <v>0</v>
      </c>
      <c r="K949" t="n">
        <v>0</v>
      </c>
      <c r="L949" t="n">
        <v>0</v>
      </c>
      <c r="M949" t="n">
        <v>0</v>
      </c>
      <c r="N949" t="n">
        <v>0</v>
      </c>
      <c r="O949" t="n">
        <v>0</v>
      </c>
      <c r="P949" t="n">
        <v>0</v>
      </c>
      <c r="Q949" t="n">
        <v>0</v>
      </c>
      <c r="R949" s="2" t="inlineStr"/>
    </row>
    <row r="950" ht="15" customHeight="1">
      <c r="A950" t="inlineStr">
        <is>
          <t>A 9998-2023</t>
        </is>
      </c>
      <c r="B950" s="1" t="n">
        <v>44985</v>
      </c>
      <c r="C950" s="1" t="n">
        <v>45346</v>
      </c>
      <c r="D950" t="inlineStr">
        <is>
          <t>JÄMTLANDS LÄN</t>
        </is>
      </c>
      <c r="E950" t="inlineStr">
        <is>
          <t>HÄRJEDALEN</t>
        </is>
      </c>
      <c r="F950" t="inlineStr">
        <is>
          <t>Holmen skog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10002-2023</t>
        </is>
      </c>
      <c r="B951" s="1" t="n">
        <v>44985</v>
      </c>
      <c r="C951" s="1" t="n">
        <v>45346</v>
      </c>
      <c r="D951" t="inlineStr">
        <is>
          <t>JÄMTLANDS LÄN</t>
        </is>
      </c>
      <c r="E951" t="inlineStr">
        <is>
          <t>HÄRJEDALEN</t>
        </is>
      </c>
      <c r="F951" t="inlineStr">
        <is>
          <t>Holmen skog AB</t>
        </is>
      </c>
      <c r="G951" t="n">
        <v>8.6</v>
      </c>
      <c r="H951" t="n">
        <v>0</v>
      </c>
      <c r="I951" t="n">
        <v>0</v>
      </c>
      <c r="J951" t="n">
        <v>0</v>
      </c>
      <c r="K951" t="n">
        <v>0</v>
      </c>
      <c r="L951" t="n">
        <v>0</v>
      </c>
      <c r="M951" t="n">
        <v>0</v>
      </c>
      <c r="N951" t="n">
        <v>0</v>
      </c>
      <c r="O951" t="n">
        <v>0</v>
      </c>
      <c r="P951" t="n">
        <v>0</v>
      </c>
      <c r="Q951" t="n">
        <v>0</v>
      </c>
      <c r="R951" s="2" t="inlineStr"/>
    </row>
    <row r="952" ht="15" customHeight="1">
      <c r="A952" t="inlineStr">
        <is>
          <t>A 10006-2023</t>
        </is>
      </c>
      <c r="B952" s="1" t="n">
        <v>44985</v>
      </c>
      <c r="C952" s="1" t="n">
        <v>45346</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10000-2023</t>
        </is>
      </c>
      <c r="B953" s="1" t="n">
        <v>44985</v>
      </c>
      <c r="C953" s="1" t="n">
        <v>45346</v>
      </c>
      <c r="D953" t="inlineStr">
        <is>
          <t>JÄMTLANDS LÄN</t>
        </is>
      </c>
      <c r="E953" t="inlineStr">
        <is>
          <t>HÄRJEDALEN</t>
        </is>
      </c>
      <c r="F953" t="inlineStr">
        <is>
          <t>Holmen skog AB</t>
        </is>
      </c>
      <c r="G953" t="n">
        <v>12.6</v>
      </c>
      <c r="H953" t="n">
        <v>0</v>
      </c>
      <c r="I953" t="n">
        <v>0</v>
      </c>
      <c r="J953" t="n">
        <v>0</v>
      </c>
      <c r="K953" t="n">
        <v>0</v>
      </c>
      <c r="L953" t="n">
        <v>0</v>
      </c>
      <c r="M953" t="n">
        <v>0</v>
      </c>
      <c r="N953" t="n">
        <v>0</v>
      </c>
      <c r="O953" t="n">
        <v>0</v>
      </c>
      <c r="P953" t="n">
        <v>0</v>
      </c>
      <c r="Q953" t="n">
        <v>0</v>
      </c>
      <c r="R953" s="2" t="inlineStr"/>
    </row>
    <row r="954" ht="15" customHeight="1">
      <c r="A954" t="inlineStr">
        <is>
          <t>A 9997-2023</t>
        </is>
      </c>
      <c r="B954" s="1" t="n">
        <v>44985</v>
      </c>
      <c r="C954" s="1" t="n">
        <v>45346</v>
      </c>
      <c r="D954" t="inlineStr">
        <is>
          <t>JÄMTLANDS LÄN</t>
        </is>
      </c>
      <c r="E954" t="inlineStr">
        <is>
          <t>HÄRJEDALEN</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10014-2023</t>
        </is>
      </c>
      <c r="B955" s="1" t="n">
        <v>44985</v>
      </c>
      <c r="C955" s="1" t="n">
        <v>45346</v>
      </c>
      <c r="D955" t="inlineStr">
        <is>
          <t>JÄMTLANDS LÄN</t>
        </is>
      </c>
      <c r="E955" t="inlineStr">
        <is>
          <t>HÄRJEDALEN</t>
        </is>
      </c>
      <c r="F955" t="inlineStr">
        <is>
          <t>Holmen skog AB</t>
        </is>
      </c>
      <c r="G955" t="n">
        <v>2.5</v>
      </c>
      <c r="H955" t="n">
        <v>0</v>
      </c>
      <c r="I955" t="n">
        <v>0</v>
      </c>
      <c r="J955" t="n">
        <v>0</v>
      </c>
      <c r="K955" t="n">
        <v>0</v>
      </c>
      <c r="L955" t="n">
        <v>0</v>
      </c>
      <c r="M955" t="n">
        <v>0</v>
      </c>
      <c r="N955" t="n">
        <v>0</v>
      </c>
      <c r="O955" t="n">
        <v>0</v>
      </c>
      <c r="P955" t="n">
        <v>0</v>
      </c>
      <c r="Q955" t="n">
        <v>0</v>
      </c>
      <c r="R955" s="2" t="inlineStr"/>
    </row>
    <row r="956" ht="15" customHeight="1">
      <c r="A956" t="inlineStr">
        <is>
          <t>A 10008-2023</t>
        </is>
      </c>
      <c r="B956" s="1" t="n">
        <v>44985</v>
      </c>
      <c r="C956" s="1" t="n">
        <v>45346</v>
      </c>
      <c r="D956" t="inlineStr">
        <is>
          <t>JÄMTLANDS LÄN</t>
        </is>
      </c>
      <c r="E956" t="inlineStr">
        <is>
          <t>HÄRJEDALEN</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10046-2023</t>
        </is>
      </c>
      <c r="B957" s="1" t="n">
        <v>44985</v>
      </c>
      <c r="C957" s="1" t="n">
        <v>45346</v>
      </c>
      <c r="D957" t="inlineStr">
        <is>
          <t>JÄMTLANDS LÄN</t>
        </is>
      </c>
      <c r="E957" t="inlineStr">
        <is>
          <t>HÄRJEDALEN</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10015-2023</t>
        </is>
      </c>
      <c r="B958" s="1" t="n">
        <v>44985</v>
      </c>
      <c r="C958" s="1" t="n">
        <v>45346</v>
      </c>
      <c r="D958" t="inlineStr">
        <is>
          <t>JÄMTLANDS LÄN</t>
        </is>
      </c>
      <c r="E958" t="inlineStr">
        <is>
          <t>HÄRJEDALEN</t>
        </is>
      </c>
      <c r="F958" t="inlineStr">
        <is>
          <t>Holmen skog AB</t>
        </is>
      </c>
      <c r="G958" t="n">
        <v>3.2</v>
      </c>
      <c r="H958" t="n">
        <v>0</v>
      </c>
      <c r="I958" t="n">
        <v>0</v>
      </c>
      <c r="J958" t="n">
        <v>0</v>
      </c>
      <c r="K958" t="n">
        <v>0</v>
      </c>
      <c r="L958" t="n">
        <v>0</v>
      </c>
      <c r="M958" t="n">
        <v>0</v>
      </c>
      <c r="N958" t="n">
        <v>0</v>
      </c>
      <c r="O958" t="n">
        <v>0</v>
      </c>
      <c r="P958" t="n">
        <v>0</v>
      </c>
      <c r="Q958" t="n">
        <v>0</v>
      </c>
      <c r="R958" s="2" t="inlineStr"/>
    </row>
    <row r="959" ht="15" customHeight="1">
      <c r="A959" t="inlineStr">
        <is>
          <t>A 10043-2023</t>
        </is>
      </c>
      <c r="B959" s="1" t="n">
        <v>44985</v>
      </c>
      <c r="C959" s="1" t="n">
        <v>45346</v>
      </c>
      <c r="D959" t="inlineStr">
        <is>
          <t>JÄMTLANDS LÄN</t>
        </is>
      </c>
      <c r="E959" t="inlineStr">
        <is>
          <t>HÄRJEDALEN</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9993-2023</t>
        </is>
      </c>
      <c r="B960" s="1" t="n">
        <v>44985</v>
      </c>
      <c r="C960" s="1" t="n">
        <v>45346</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10003-2023</t>
        </is>
      </c>
      <c r="B961" s="1" t="n">
        <v>44985</v>
      </c>
      <c r="C961" s="1" t="n">
        <v>45346</v>
      </c>
      <c r="D961" t="inlineStr">
        <is>
          <t>JÄMTLANDS LÄN</t>
        </is>
      </c>
      <c r="E961" t="inlineStr">
        <is>
          <t>HÄRJEDALEN</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10007-2023</t>
        </is>
      </c>
      <c r="B962" s="1" t="n">
        <v>44985</v>
      </c>
      <c r="C962" s="1" t="n">
        <v>45346</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10012-2023</t>
        </is>
      </c>
      <c r="B963" s="1" t="n">
        <v>44985</v>
      </c>
      <c r="C963" s="1" t="n">
        <v>45346</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10040-2023</t>
        </is>
      </c>
      <c r="B964" s="1" t="n">
        <v>44985</v>
      </c>
      <c r="C964" s="1" t="n">
        <v>45346</v>
      </c>
      <c r="D964" t="inlineStr">
        <is>
          <t>JÄMTLANDS LÄN</t>
        </is>
      </c>
      <c r="E964" t="inlineStr">
        <is>
          <t>HÄRJEDALEN</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10329-2023</t>
        </is>
      </c>
      <c r="B965" s="1" t="n">
        <v>44987</v>
      </c>
      <c r="C965" s="1" t="n">
        <v>45346</v>
      </c>
      <c r="D965" t="inlineStr">
        <is>
          <t>JÄMTLANDS LÄN</t>
        </is>
      </c>
      <c r="E965" t="inlineStr">
        <is>
          <t>HÄRJEDALEN</t>
        </is>
      </c>
      <c r="F965" t="inlineStr">
        <is>
          <t>Holmen skog AB</t>
        </is>
      </c>
      <c r="G965" t="n">
        <v>4.7</v>
      </c>
      <c r="H965" t="n">
        <v>0</v>
      </c>
      <c r="I965" t="n">
        <v>0</v>
      </c>
      <c r="J965" t="n">
        <v>0</v>
      </c>
      <c r="K965" t="n">
        <v>0</v>
      </c>
      <c r="L965" t="n">
        <v>0</v>
      </c>
      <c r="M965" t="n">
        <v>0</v>
      </c>
      <c r="N965" t="n">
        <v>0</v>
      </c>
      <c r="O965" t="n">
        <v>0</v>
      </c>
      <c r="P965" t="n">
        <v>0</v>
      </c>
      <c r="Q965" t="n">
        <v>0</v>
      </c>
      <c r="R965" s="2" t="inlineStr"/>
    </row>
    <row r="966" ht="15" customHeight="1">
      <c r="A966" t="inlineStr">
        <is>
          <t>A 10353-2023</t>
        </is>
      </c>
      <c r="B966" s="1" t="n">
        <v>44987</v>
      </c>
      <c r="C966" s="1" t="n">
        <v>45346</v>
      </c>
      <c r="D966" t="inlineStr">
        <is>
          <t>JÄMTLANDS LÄN</t>
        </is>
      </c>
      <c r="E966" t="inlineStr">
        <is>
          <t>HÄRJEDALEN</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10342-2023</t>
        </is>
      </c>
      <c r="B967" s="1" t="n">
        <v>44987</v>
      </c>
      <c r="C967" s="1" t="n">
        <v>45346</v>
      </c>
      <c r="D967" t="inlineStr">
        <is>
          <t>JÄMTLANDS LÄN</t>
        </is>
      </c>
      <c r="E967" t="inlineStr">
        <is>
          <t>HÄRJEDALEN</t>
        </is>
      </c>
      <c r="F967" t="inlineStr">
        <is>
          <t>Holmen skog AB</t>
        </is>
      </c>
      <c r="G967" t="n">
        <v>32.6</v>
      </c>
      <c r="H967" t="n">
        <v>0</v>
      </c>
      <c r="I967" t="n">
        <v>0</v>
      </c>
      <c r="J967" t="n">
        <v>0</v>
      </c>
      <c r="K967" t="n">
        <v>0</v>
      </c>
      <c r="L967" t="n">
        <v>0</v>
      </c>
      <c r="M967" t="n">
        <v>0</v>
      </c>
      <c r="N967" t="n">
        <v>0</v>
      </c>
      <c r="O967" t="n">
        <v>0</v>
      </c>
      <c r="P967" t="n">
        <v>0</v>
      </c>
      <c r="Q967" t="n">
        <v>0</v>
      </c>
      <c r="R967" s="2" t="inlineStr"/>
    </row>
    <row r="968" ht="15" customHeight="1">
      <c r="A968" t="inlineStr">
        <is>
          <t>A 10340-2023</t>
        </is>
      </c>
      <c r="B968" s="1" t="n">
        <v>44987</v>
      </c>
      <c r="C968" s="1" t="n">
        <v>45346</v>
      </c>
      <c r="D968" t="inlineStr">
        <is>
          <t>JÄMTLANDS LÄN</t>
        </is>
      </c>
      <c r="E968" t="inlineStr">
        <is>
          <t>HÄRJEDALEN</t>
        </is>
      </c>
      <c r="F968" t="inlineStr">
        <is>
          <t>Holmen skog AB</t>
        </is>
      </c>
      <c r="G968" t="n">
        <v>5.7</v>
      </c>
      <c r="H968" t="n">
        <v>0</v>
      </c>
      <c r="I968" t="n">
        <v>0</v>
      </c>
      <c r="J968" t="n">
        <v>0</v>
      </c>
      <c r="K968" t="n">
        <v>0</v>
      </c>
      <c r="L968" t="n">
        <v>0</v>
      </c>
      <c r="M968" t="n">
        <v>0</v>
      </c>
      <c r="N968" t="n">
        <v>0</v>
      </c>
      <c r="O968" t="n">
        <v>0</v>
      </c>
      <c r="P968" t="n">
        <v>0</v>
      </c>
      <c r="Q968" t="n">
        <v>0</v>
      </c>
      <c r="R968" s="2" t="inlineStr"/>
    </row>
    <row r="969" ht="15" customHeight="1">
      <c r="A969" t="inlineStr">
        <is>
          <t>A 10348-2023</t>
        </is>
      </c>
      <c r="B969" s="1" t="n">
        <v>44987</v>
      </c>
      <c r="C969" s="1" t="n">
        <v>45346</v>
      </c>
      <c r="D969" t="inlineStr">
        <is>
          <t>JÄMTLANDS LÄN</t>
        </is>
      </c>
      <c r="E969" t="inlineStr">
        <is>
          <t>HÄRJEDALEN</t>
        </is>
      </c>
      <c r="F969" t="inlineStr">
        <is>
          <t>Holmen skog AB</t>
        </is>
      </c>
      <c r="G969" t="n">
        <v>17.8</v>
      </c>
      <c r="H969" t="n">
        <v>0</v>
      </c>
      <c r="I969" t="n">
        <v>0</v>
      </c>
      <c r="J969" t="n">
        <v>0</v>
      </c>
      <c r="K969" t="n">
        <v>0</v>
      </c>
      <c r="L969" t="n">
        <v>0</v>
      </c>
      <c r="M969" t="n">
        <v>0</v>
      </c>
      <c r="N969" t="n">
        <v>0</v>
      </c>
      <c r="O969" t="n">
        <v>0</v>
      </c>
      <c r="P969" t="n">
        <v>0</v>
      </c>
      <c r="Q969" t="n">
        <v>0</v>
      </c>
      <c r="R969" s="2" t="inlineStr"/>
    </row>
    <row r="970" ht="15" customHeight="1">
      <c r="A970" t="inlineStr">
        <is>
          <t>A 10338-2023</t>
        </is>
      </c>
      <c r="B970" s="1" t="n">
        <v>44987</v>
      </c>
      <c r="C970" s="1" t="n">
        <v>45346</v>
      </c>
      <c r="D970" t="inlineStr">
        <is>
          <t>JÄMTLANDS LÄN</t>
        </is>
      </c>
      <c r="E970" t="inlineStr">
        <is>
          <t>HÄRJEDALEN</t>
        </is>
      </c>
      <c r="F970" t="inlineStr">
        <is>
          <t>Holmen skog AB</t>
        </is>
      </c>
      <c r="G970" t="n">
        <v>11.8</v>
      </c>
      <c r="H970" t="n">
        <v>0</v>
      </c>
      <c r="I970" t="n">
        <v>0</v>
      </c>
      <c r="J970" t="n">
        <v>0</v>
      </c>
      <c r="K970" t="n">
        <v>0</v>
      </c>
      <c r="L970" t="n">
        <v>0</v>
      </c>
      <c r="M970" t="n">
        <v>0</v>
      </c>
      <c r="N970" t="n">
        <v>0</v>
      </c>
      <c r="O970" t="n">
        <v>0</v>
      </c>
      <c r="P970" t="n">
        <v>0</v>
      </c>
      <c r="Q970" t="n">
        <v>0</v>
      </c>
      <c r="R970" s="2" t="inlineStr"/>
    </row>
    <row r="971" ht="15" customHeight="1">
      <c r="A971" t="inlineStr">
        <is>
          <t>A 11448-2023</t>
        </is>
      </c>
      <c r="B971" s="1" t="n">
        <v>44993</v>
      </c>
      <c r="C971" s="1" t="n">
        <v>45346</v>
      </c>
      <c r="D971" t="inlineStr">
        <is>
          <t>JÄMTLANDS LÄN</t>
        </is>
      </c>
      <c r="E971" t="inlineStr">
        <is>
          <t>HÄRJEDALEN</t>
        </is>
      </c>
      <c r="G971" t="n">
        <v>12.1</v>
      </c>
      <c r="H971" t="n">
        <v>0</v>
      </c>
      <c r="I971" t="n">
        <v>0</v>
      </c>
      <c r="J971" t="n">
        <v>0</v>
      </c>
      <c r="K971" t="n">
        <v>0</v>
      </c>
      <c r="L971" t="n">
        <v>0</v>
      </c>
      <c r="M971" t="n">
        <v>0</v>
      </c>
      <c r="N971" t="n">
        <v>0</v>
      </c>
      <c r="O971" t="n">
        <v>0</v>
      </c>
      <c r="P971" t="n">
        <v>0</v>
      </c>
      <c r="Q971" t="n">
        <v>0</v>
      </c>
      <c r="R971" s="2" t="inlineStr"/>
    </row>
    <row r="972" ht="15" customHeight="1">
      <c r="A972" t="inlineStr">
        <is>
          <t>A 11818-2023</t>
        </is>
      </c>
      <c r="B972" s="1" t="n">
        <v>44994</v>
      </c>
      <c r="C972" s="1" t="n">
        <v>45346</v>
      </c>
      <c r="D972" t="inlineStr">
        <is>
          <t>JÄMTLANDS LÄN</t>
        </is>
      </c>
      <c r="E972" t="inlineStr">
        <is>
          <t>HÄRJEDALEN</t>
        </is>
      </c>
      <c r="G972" t="n">
        <v>8.9</v>
      </c>
      <c r="H972" t="n">
        <v>0</v>
      </c>
      <c r="I972" t="n">
        <v>0</v>
      </c>
      <c r="J972" t="n">
        <v>0</v>
      </c>
      <c r="K972" t="n">
        <v>0</v>
      </c>
      <c r="L972" t="n">
        <v>0</v>
      </c>
      <c r="M972" t="n">
        <v>0</v>
      </c>
      <c r="N972" t="n">
        <v>0</v>
      </c>
      <c r="O972" t="n">
        <v>0</v>
      </c>
      <c r="P972" t="n">
        <v>0</v>
      </c>
      <c r="Q972" t="n">
        <v>0</v>
      </c>
      <c r="R972" s="2" t="inlineStr"/>
    </row>
    <row r="973" ht="15" customHeight="1">
      <c r="A973" t="inlineStr">
        <is>
          <t>A 12484-2023</t>
        </is>
      </c>
      <c r="B973" s="1" t="n">
        <v>44998</v>
      </c>
      <c r="C973" s="1" t="n">
        <v>45346</v>
      </c>
      <c r="D973" t="inlineStr">
        <is>
          <t>JÄMTLANDS LÄN</t>
        </is>
      </c>
      <c r="E973" t="inlineStr">
        <is>
          <t>HÄRJEDALEN</t>
        </is>
      </c>
      <c r="G973" t="n">
        <v>43.1</v>
      </c>
      <c r="H973" t="n">
        <v>0</v>
      </c>
      <c r="I973" t="n">
        <v>0</v>
      </c>
      <c r="J973" t="n">
        <v>0</v>
      </c>
      <c r="K973" t="n">
        <v>0</v>
      </c>
      <c r="L973" t="n">
        <v>0</v>
      </c>
      <c r="M973" t="n">
        <v>0</v>
      </c>
      <c r="N973" t="n">
        <v>0</v>
      </c>
      <c r="O973" t="n">
        <v>0</v>
      </c>
      <c r="P973" t="n">
        <v>0</v>
      </c>
      <c r="Q973" t="n">
        <v>0</v>
      </c>
      <c r="R973" s="2" t="inlineStr"/>
    </row>
    <row r="974" ht="15" customHeight="1">
      <c r="A974" t="inlineStr">
        <is>
          <t>A 12462-2023</t>
        </is>
      </c>
      <c r="B974" s="1" t="n">
        <v>44999</v>
      </c>
      <c r="C974" s="1" t="n">
        <v>45346</v>
      </c>
      <c r="D974" t="inlineStr">
        <is>
          <t>JÄMTLANDS LÄN</t>
        </is>
      </c>
      <c r="E974" t="inlineStr">
        <is>
          <t>HÄRJEDALEN</t>
        </is>
      </c>
      <c r="G974" t="n">
        <v>7.8</v>
      </c>
      <c r="H974" t="n">
        <v>0</v>
      </c>
      <c r="I974" t="n">
        <v>0</v>
      </c>
      <c r="J974" t="n">
        <v>0</v>
      </c>
      <c r="K974" t="n">
        <v>0</v>
      </c>
      <c r="L974" t="n">
        <v>0</v>
      </c>
      <c r="M974" t="n">
        <v>0</v>
      </c>
      <c r="N974" t="n">
        <v>0</v>
      </c>
      <c r="O974" t="n">
        <v>0</v>
      </c>
      <c r="P974" t="n">
        <v>0</v>
      </c>
      <c r="Q974" t="n">
        <v>0</v>
      </c>
      <c r="R974" s="2" t="inlineStr"/>
    </row>
    <row r="975" ht="15" customHeight="1">
      <c r="A975" t="inlineStr">
        <is>
          <t>A 12625-2023</t>
        </is>
      </c>
      <c r="B975" s="1" t="n">
        <v>45000</v>
      </c>
      <c r="C975" s="1" t="n">
        <v>45346</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12921-2023</t>
        </is>
      </c>
      <c r="B976" s="1" t="n">
        <v>45001</v>
      </c>
      <c r="C976" s="1" t="n">
        <v>45346</v>
      </c>
      <c r="D976" t="inlineStr">
        <is>
          <t>JÄMTLANDS LÄN</t>
        </is>
      </c>
      <c r="E976" t="inlineStr">
        <is>
          <t>HÄRJEDALEN</t>
        </is>
      </c>
      <c r="G976" t="n">
        <v>13.9</v>
      </c>
      <c r="H976" t="n">
        <v>0</v>
      </c>
      <c r="I976" t="n">
        <v>0</v>
      </c>
      <c r="J976" t="n">
        <v>0</v>
      </c>
      <c r="K976" t="n">
        <v>0</v>
      </c>
      <c r="L976" t="n">
        <v>0</v>
      </c>
      <c r="M976" t="n">
        <v>0</v>
      </c>
      <c r="N976" t="n">
        <v>0</v>
      </c>
      <c r="O976" t="n">
        <v>0</v>
      </c>
      <c r="P976" t="n">
        <v>0</v>
      </c>
      <c r="Q976" t="n">
        <v>0</v>
      </c>
      <c r="R976" s="2" t="inlineStr"/>
    </row>
    <row r="977" ht="15" customHeight="1">
      <c r="A977" t="inlineStr">
        <is>
          <t>A 13774-2023</t>
        </is>
      </c>
      <c r="B977" s="1" t="n">
        <v>45007</v>
      </c>
      <c r="C977" s="1" t="n">
        <v>45346</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14631-2023</t>
        </is>
      </c>
      <c r="B978" s="1" t="n">
        <v>45012</v>
      </c>
      <c r="C978" s="1" t="n">
        <v>45346</v>
      </c>
      <c r="D978" t="inlineStr">
        <is>
          <t>JÄMTLANDS LÄN</t>
        </is>
      </c>
      <c r="E978" t="inlineStr">
        <is>
          <t>HÄRJEDALEN</t>
        </is>
      </c>
      <c r="F978" t="inlineStr">
        <is>
          <t>Bergvik skog väst AB</t>
        </is>
      </c>
      <c r="G978" t="n">
        <v>14.2</v>
      </c>
      <c r="H978" t="n">
        <v>0</v>
      </c>
      <c r="I978" t="n">
        <v>0</v>
      </c>
      <c r="J978" t="n">
        <v>0</v>
      </c>
      <c r="K978" t="n">
        <v>0</v>
      </c>
      <c r="L978" t="n">
        <v>0</v>
      </c>
      <c r="M978" t="n">
        <v>0</v>
      </c>
      <c r="N978" t="n">
        <v>0</v>
      </c>
      <c r="O978" t="n">
        <v>0</v>
      </c>
      <c r="P978" t="n">
        <v>0</v>
      </c>
      <c r="Q978" t="n">
        <v>0</v>
      </c>
      <c r="R978" s="2" t="inlineStr"/>
    </row>
    <row r="979" ht="15" customHeight="1">
      <c r="A979" t="inlineStr">
        <is>
          <t>A 15511-2023</t>
        </is>
      </c>
      <c r="B979" s="1" t="n">
        <v>45020</v>
      </c>
      <c r="C979" s="1" t="n">
        <v>45346</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15747-2023</t>
        </is>
      </c>
      <c r="B980" s="1" t="n">
        <v>45020</v>
      </c>
      <c r="C980" s="1" t="n">
        <v>45346</v>
      </c>
      <c r="D980" t="inlineStr">
        <is>
          <t>JÄMTLANDS LÄN</t>
        </is>
      </c>
      <c r="E980" t="inlineStr">
        <is>
          <t>HÄRJEDALEN</t>
        </is>
      </c>
      <c r="G980" t="n">
        <v>0.1</v>
      </c>
      <c r="H980" t="n">
        <v>0</v>
      </c>
      <c r="I980" t="n">
        <v>0</v>
      </c>
      <c r="J980" t="n">
        <v>0</v>
      </c>
      <c r="K980" t="n">
        <v>0</v>
      </c>
      <c r="L980" t="n">
        <v>0</v>
      </c>
      <c r="M980" t="n">
        <v>0</v>
      </c>
      <c r="N980" t="n">
        <v>0</v>
      </c>
      <c r="O980" t="n">
        <v>0</v>
      </c>
      <c r="P980" t="n">
        <v>0</v>
      </c>
      <c r="Q980" t="n">
        <v>0</v>
      </c>
      <c r="R980" s="2" t="inlineStr"/>
    </row>
    <row r="981" ht="15" customHeight="1">
      <c r="A981" t="inlineStr">
        <is>
          <t>A 16115-2023</t>
        </is>
      </c>
      <c r="B981" s="1" t="n">
        <v>45027</v>
      </c>
      <c r="C981" s="1" t="n">
        <v>45346</v>
      </c>
      <c r="D981" t="inlineStr">
        <is>
          <t>JÄMTLANDS LÄN</t>
        </is>
      </c>
      <c r="E981" t="inlineStr">
        <is>
          <t>HÄRJEDALEN</t>
        </is>
      </c>
      <c r="G981" t="n">
        <v>26</v>
      </c>
      <c r="H981" t="n">
        <v>0</v>
      </c>
      <c r="I981" t="n">
        <v>0</v>
      </c>
      <c r="J981" t="n">
        <v>0</v>
      </c>
      <c r="K981" t="n">
        <v>0</v>
      </c>
      <c r="L981" t="n">
        <v>0</v>
      </c>
      <c r="M981" t="n">
        <v>0</v>
      </c>
      <c r="N981" t="n">
        <v>0</v>
      </c>
      <c r="O981" t="n">
        <v>0</v>
      </c>
      <c r="P981" t="n">
        <v>0</v>
      </c>
      <c r="Q981" t="n">
        <v>0</v>
      </c>
      <c r="R981" s="2" t="inlineStr"/>
    </row>
    <row r="982" ht="15" customHeight="1">
      <c r="A982" t="inlineStr">
        <is>
          <t>A 16468-2023</t>
        </is>
      </c>
      <c r="B982" s="1" t="n">
        <v>45029</v>
      </c>
      <c r="C982" s="1" t="n">
        <v>45346</v>
      </c>
      <c r="D982" t="inlineStr">
        <is>
          <t>JÄMTLANDS LÄN</t>
        </is>
      </c>
      <c r="E982" t="inlineStr">
        <is>
          <t>HÄRJEDALEN</t>
        </is>
      </c>
      <c r="G982" t="n">
        <v>6.7</v>
      </c>
      <c r="H982" t="n">
        <v>0</v>
      </c>
      <c r="I982" t="n">
        <v>0</v>
      </c>
      <c r="J982" t="n">
        <v>0</v>
      </c>
      <c r="K982" t="n">
        <v>0</v>
      </c>
      <c r="L982" t="n">
        <v>0</v>
      </c>
      <c r="M982" t="n">
        <v>0</v>
      </c>
      <c r="N982" t="n">
        <v>0</v>
      </c>
      <c r="O982" t="n">
        <v>0</v>
      </c>
      <c r="P982" t="n">
        <v>0</v>
      </c>
      <c r="Q982" t="n">
        <v>0</v>
      </c>
      <c r="R982" s="2" t="inlineStr"/>
    </row>
    <row r="983" ht="15" customHeight="1">
      <c r="A983" t="inlineStr">
        <is>
          <t>A 17121-2023</t>
        </is>
      </c>
      <c r="B983" s="1" t="n">
        <v>45034</v>
      </c>
      <c r="C983" s="1" t="n">
        <v>45346</v>
      </c>
      <c r="D983" t="inlineStr">
        <is>
          <t>JÄMTLANDS LÄN</t>
        </is>
      </c>
      <c r="E983" t="inlineStr">
        <is>
          <t>HÄRJEDALEN</t>
        </is>
      </c>
      <c r="G983" t="n">
        <v>6.4</v>
      </c>
      <c r="H983" t="n">
        <v>0</v>
      </c>
      <c r="I983" t="n">
        <v>0</v>
      </c>
      <c r="J983" t="n">
        <v>0</v>
      </c>
      <c r="K983" t="n">
        <v>0</v>
      </c>
      <c r="L983" t="n">
        <v>0</v>
      </c>
      <c r="M983" t="n">
        <v>0</v>
      </c>
      <c r="N983" t="n">
        <v>0</v>
      </c>
      <c r="O983" t="n">
        <v>0</v>
      </c>
      <c r="P983" t="n">
        <v>0</v>
      </c>
      <c r="Q983" t="n">
        <v>0</v>
      </c>
      <c r="R983" s="2" t="inlineStr"/>
    </row>
    <row r="984" ht="15" customHeight="1">
      <c r="A984" t="inlineStr">
        <is>
          <t>A 17105-2023</t>
        </is>
      </c>
      <c r="B984" s="1" t="n">
        <v>45034</v>
      </c>
      <c r="C984" s="1" t="n">
        <v>45346</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17122-2023</t>
        </is>
      </c>
      <c r="B985" s="1" t="n">
        <v>45034</v>
      </c>
      <c r="C985" s="1" t="n">
        <v>45346</v>
      </c>
      <c r="D985" t="inlineStr">
        <is>
          <t>JÄMTLANDS LÄN</t>
        </is>
      </c>
      <c r="E985" t="inlineStr">
        <is>
          <t>HÄRJEDALEN</t>
        </is>
      </c>
      <c r="G985" t="n">
        <v>3.8</v>
      </c>
      <c r="H985" t="n">
        <v>0</v>
      </c>
      <c r="I985" t="n">
        <v>0</v>
      </c>
      <c r="J985" t="n">
        <v>0</v>
      </c>
      <c r="K985" t="n">
        <v>0</v>
      </c>
      <c r="L985" t="n">
        <v>0</v>
      </c>
      <c r="M985" t="n">
        <v>0</v>
      </c>
      <c r="N985" t="n">
        <v>0</v>
      </c>
      <c r="O985" t="n">
        <v>0</v>
      </c>
      <c r="P985" t="n">
        <v>0</v>
      </c>
      <c r="Q985" t="n">
        <v>0</v>
      </c>
      <c r="R985" s="2" t="inlineStr"/>
    </row>
    <row r="986" ht="15" customHeight="1">
      <c r="A986" t="inlineStr">
        <is>
          <t>A 17153-2023</t>
        </is>
      </c>
      <c r="B986" s="1" t="n">
        <v>45034</v>
      </c>
      <c r="C986" s="1" t="n">
        <v>45346</v>
      </c>
      <c r="D986" t="inlineStr">
        <is>
          <t>JÄMTLANDS LÄN</t>
        </is>
      </c>
      <c r="E986" t="inlineStr">
        <is>
          <t>HÄRJEDALEN</t>
        </is>
      </c>
      <c r="G986" t="n">
        <v>5.6</v>
      </c>
      <c r="H986" t="n">
        <v>0</v>
      </c>
      <c r="I986" t="n">
        <v>0</v>
      </c>
      <c r="J986" t="n">
        <v>0</v>
      </c>
      <c r="K986" t="n">
        <v>0</v>
      </c>
      <c r="L986" t="n">
        <v>0</v>
      </c>
      <c r="M986" t="n">
        <v>0</v>
      </c>
      <c r="N986" t="n">
        <v>0</v>
      </c>
      <c r="O986" t="n">
        <v>0</v>
      </c>
      <c r="P986" t="n">
        <v>0</v>
      </c>
      <c r="Q986" t="n">
        <v>0</v>
      </c>
      <c r="R986" s="2" t="inlineStr"/>
    </row>
    <row r="987" ht="15" customHeight="1">
      <c r="A987" t="inlineStr">
        <is>
          <t>A 17118-2023</t>
        </is>
      </c>
      <c r="B987" s="1" t="n">
        <v>45034</v>
      </c>
      <c r="C987" s="1" t="n">
        <v>45346</v>
      </c>
      <c r="D987" t="inlineStr">
        <is>
          <t>JÄMTLANDS LÄN</t>
        </is>
      </c>
      <c r="E987" t="inlineStr">
        <is>
          <t>HÄRJEDALEN</t>
        </is>
      </c>
      <c r="G987" t="n">
        <v>0.6</v>
      </c>
      <c r="H987" t="n">
        <v>0</v>
      </c>
      <c r="I987" t="n">
        <v>0</v>
      </c>
      <c r="J987" t="n">
        <v>0</v>
      </c>
      <c r="K987" t="n">
        <v>0</v>
      </c>
      <c r="L987" t="n">
        <v>0</v>
      </c>
      <c r="M987" t="n">
        <v>0</v>
      </c>
      <c r="N987" t="n">
        <v>0</v>
      </c>
      <c r="O987" t="n">
        <v>0</v>
      </c>
      <c r="P987" t="n">
        <v>0</v>
      </c>
      <c r="Q987" t="n">
        <v>0</v>
      </c>
      <c r="R987" s="2" t="inlineStr"/>
    </row>
    <row r="988" ht="15" customHeight="1">
      <c r="A988" t="inlineStr">
        <is>
          <t>A 17238-2023</t>
        </is>
      </c>
      <c r="B988" s="1" t="n">
        <v>45035</v>
      </c>
      <c r="C988" s="1" t="n">
        <v>45346</v>
      </c>
      <c r="D988" t="inlineStr">
        <is>
          <t>JÄMTLANDS LÄN</t>
        </is>
      </c>
      <c r="E988" t="inlineStr">
        <is>
          <t>HÄRJEDALEN</t>
        </is>
      </c>
      <c r="G988" t="n">
        <v>3.1</v>
      </c>
      <c r="H988" t="n">
        <v>0</v>
      </c>
      <c r="I988" t="n">
        <v>0</v>
      </c>
      <c r="J988" t="n">
        <v>0</v>
      </c>
      <c r="K988" t="n">
        <v>0</v>
      </c>
      <c r="L988" t="n">
        <v>0</v>
      </c>
      <c r="M988" t="n">
        <v>0</v>
      </c>
      <c r="N988" t="n">
        <v>0</v>
      </c>
      <c r="O988" t="n">
        <v>0</v>
      </c>
      <c r="P988" t="n">
        <v>0</v>
      </c>
      <c r="Q988" t="n">
        <v>0</v>
      </c>
      <c r="R988" s="2" t="inlineStr"/>
    </row>
    <row r="989" ht="15" customHeight="1">
      <c r="A989" t="inlineStr">
        <is>
          <t>A 17246-2023</t>
        </is>
      </c>
      <c r="B989" s="1" t="n">
        <v>45035</v>
      </c>
      <c r="C989" s="1" t="n">
        <v>45346</v>
      </c>
      <c r="D989" t="inlineStr">
        <is>
          <t>JÄMTLANDS LÄN</t>
        </is>
      </c>
      <c r="E989" t="inlineStr">
        <is>
          <t>HÄRJEDALEN</t>
        </is>
      </c>
      <c r="G989" t="n">
        <v>2.4</v>
      </c>
      <c r="H989" t="n">
        <v>0</v>
      </c>
      <c r="I989" t="n">
        <v>0</v>
      </c>
      <c r="J989" t="n">
        <v>0</v>
      </c>
      <c r="K989" t="n">
        <v>0</v>
      </c>
      <c r="L989" t="n">
        <v>0</v>
      </c>
      <c r="M989" t="n">
        <v>0</v>
      </c>
      <c r="N989" t="n">
        <v>0</v>
      </c>
      <c r="O989" t="n">
        <v>0</v>
      </c>
      <c r="P989" t="n">
        <v>0</v>
      </c>
      <c r="Q989" t="n">
        <v>0</v>
      </c>
      <c r="R989" s="2" t="inlineStr"/>
    </row>
    <row r="990" ht="15" customHeight="1">
      <c r="A990" t="inlineStr">
        <is>
          <t>A 17232-2023</t>
        </is>
      </c>
      <c r="B990" s="1" t="n">
        <v>45035</v>
      </c>
      <c r="C990" s="1" t="n">
        <v>45346</v>
      </c>
      <c r="D990" t="inlineStr">
        <is>
          <t>JÄMTLANDS LÄN</t>
        </is>
      </c>
      <c r="E990" t="inlineStr">
        <is>
          <t>HÄRJEDALEN</t>
        </is>
      </c>
      <c r="G990" t="n">
        <v>6.9</v>
      </c>
      <c r="H990" t="n">
        <v>0</v>
      </c>
      <c r="I990" t="n">
        <v>0</v>
      </c>
      <c r="J990" t="n">
        <v>0</v>
      </c>
      <c r="K990" t="n">
        <v>0</v>
      </c>
      <c r="L990" t="n">
        <v>0</v>
      </c>
      <c r="M990" t="n">
        <v>0</v>
      </c>
      <c r="N990" t="n">
        <v>0</v>
      </c>
      <c r="O990" t="n">
        <v>0</v>
      </c>
      <c r="P990" t="n">
        <v>0</v>
      </c>
      <c r="Q990" t="n">
        <v>0</v>
      </c>
      <c r="R990" s="2" t="inlineStr"/>
    </row>
    <row r="991" ht="15" customHeight="1">
      <c r="A991" t="inlineStr">
        <is>
          <t>A 17368-2023</t>
        </is>
      </c>
      <c r="B991" s="1" t="n">
        <v>45035</v>
      </c>
      <c r="C991" s="1" t="n">
        <v>45346</v>
      </c>
      <c r="D991" t="inlineStr">
        <is>
          <t>JÄMTLANDS LÄN</t>
        </is>
      </c>
      <c r="E991" t="inlineStr">
        <is>
          <t>HÄRJEDALEN</t>
        </is>
      </c>
      <c r="F991" t="inlineStr">
        <is>
          <t>Kyrkan</t>
        </is>
      </c>
      <c r="G991" t="n">
        <v>1.3</v>
      </c>
      <c r="H991" t="n">
        <v>0</v>
      </c>
      <c r="I991" t="n">
        <v>0</v>
      </c>
      <c r="J991" t="n">
        <v>0</v>
      </c>
      <c r="K991" t="n">
        <v>0</v>
      </c>
      <c r="L991" t="n">
        <v>0</v>
      </c>
      <c r="M991" t="n">
        <v>0</v>
      </c>
      <c r="N991" t="n">
        <v>0</v>
      </c>
      <c r="O991" t="n">
        <v>0</v>
      </c>
      <c r="P991" t="n">
        <v>0</v>
      </c>
      <c r="Q991" t="n">
        <v>0</v>
      </c>
      <c r="R991" s="2" t="inlineStr"/>
    </row>
    <row r="992" ht="15" customHeight="1">
      <c r="A992" t="inlineStr">
        <is>
          <t>A 18334-2023</t>
        </is>
      </c>
      <c r="B992" s="1" t="n">
        <v>45041</v>
      </c>
      <c r="C992" s="1" t="n">
        <v>45346</v>
      </c>
      <c r="D992" t="inlineStr">
        <is>
          <t>JÄMTLANDS LÄN</t>
        </is>
      </c>
      <c r="E992" t="inlineStr">
        <is>
          <t>HÄRJEDALEN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18258-2023</t>
        </is>
      </c>
      <c r="B993" s="1" t="n">
        <v>45041</v>
      </c>
      <c r="C993" s="1" t="n">
        <v>45346</v>
      </c>
      <c r="D993" t="inlineStr">
        <is>
          <t>JÄMTLANDS LÄN</t>
        </is>
      </c>
      <c r="E993" t="inlineStr">
        <is>
          <t>HÄRJEDALEN</t>
        </is>
      </c>
      <c r="F993" t="inlineStr">
        <is>
          <t>Bergvik skog väst AB</t>
        </is>
      </c>
      <c r="G993" t="n">
        <v>14.7</v>
      </c>
      <c r="H993" t="n">
        <v>0</v>
      </c>
      <c r="I993" t="n">
        <v>0</v>
      </c>
      <c r="J993" t="n">
        <v>0</v>
      </c>
      <c r="K993" t="n">
        <v>0</v>
      </c>
      <c r="L993" t="n">
        <v>0</v>
      </c>
      <c r="M993" t="n">
        <v>0</v>
      </c>
      <c r="N993" t="n">
        <v>0</v>
      </c>
      <c r="O993" t="n">
        <v>0</v>
      </c>
      <c r="P993" t="n">
        <v>0</v>
      </c>
      <c r="Q993" t="n">
        <v>0</v>
      </c>
      <c r="R993" s="2" t="inlineStr"/>
    </row>
    <row r="994" ht="15" customHeight="1">
      <c r="A994" t="inlineStr">
        <is>
          <t>A 18620-2023</t>
        </is>
      </c>
      <c r="B994" s="1" t="n">
        <v>45041</v>
      </c>
      <c r="C994" s="1" t="n">
        <v>45346</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18646-2023</t>
        </is>
      </c>
      <c r="B995" s="1" t="n">
        <v>45041</v>
      </c>
      <c r="C995" s="1" t="n">
        <v>45346</v>
      </c>
      <c r="D995" t="inlineStr">
        <is>
          <t>JÄMTLANDS LÄN</t>
        </is>
      </c>
      <c r="E995" t="inlineStr">
        <is>
          <t>HÄRJEDALEN</t>
        </is>
      </c>
      <c r="G995" t="n">
        <v>0.2</v>
      </c>
      <c r="H995" t="n">
        <v>0</v>
      </c>
      <c r="I995" t="n">
        <v>0</v>
      </c>
      <c r="J995" t="n">
        <v>0</v>
      </c>
      <c r="K995" t="n">
        <v>0</v>
      </c>
      <c r="L995" t="n">
        <v>0</v>
      </c>
      <c r="M995" t="n">
        <v>0</v>
      </c>
      <c r="N995" t="n">
        <v>0</v>
      </c>
      <c r="O995" t="n">
        <v>0</v>
      </c>
      <c r="P995" t="n">
        <v>0</v>
      </c>
      <c r="Q995" t="n">
        <v>0</v>
      </c>
      <c r="R995" s="2" t="inlineStr"/>
    </row>
    <row r="996" ht="15" customHeight="1">
      <c r="A996" t="inlineStr">
        <is>
          <t>A 18659-2023</t>
        </is>
      </c>
      <c r="B996" s="1" t="n">
        <v>45041</v>
      </c>
      <c r="C996" s="1" t="n">
        <v>45346</v>
      </c>
      <c r="D996" t="inlineStr">
        <is>
          <t>JÄMTLANDS LÄN</t>
        </is>
      </c>
      <c r="E996" t="inlineStr">
        <is>
          <t>HÄRJEDALEN</t>
        </is>
      </c>
      <c r="G996" t="n">
        <v>0.9</v>
      </c>
      <c r="H996" t="n">
        <v>0</v>
      </c>
      <c r="I996" t="n">
        <v>0</v>
      </c>
      <c r="J996" t="n">
        <v>0</v>
      </c>
      <c r="K996" t="n">
        <v>0</v>
      </c>
      <c r="L996" t="n">
        <v>0</v>
      </c>
      <c r="M996" t="n">
        <v>0</v>
      </c>
      <c r="N996" t="n">
        <v>0</v>
      </c>
      <c r="O996" t="n">
        <v>0</v>
      </c>
      <c r="P996" t="n">
        <v>0</v>
      </c>
      <c r="Q996" t="n">
        <v>0</v>
      </c>
      <c r="R996" s="2" t="inlineStr"/>
    </row>
    <row r="997" ht="15" customHeight="1">
      <c r="A997" t="inlineStr">
        <is>
          <t>A 18617-2023</t>
        </is>
      </c>
      <c r="B997" s="1" t="n">
        <v>45043</v>
      </c>
      <c r="C997" s="1" t="n">
        <v>45346</v>
      </c>
      <c r="D997" t="inlineStr">
        <is>
          <t>JÄMTLANDS LÄN</t>
        </is>
      </c>
      <c r="E997" t="inlineStr">
        <is>
          <t>HÄRJEDALEN</t>
        </is>
      </c>
      <c r="G997" t="n">
        <v>15.1</v>
      </c>
      <c r="H997" t="n">
        <v>0</v>
      </c>
      <c r="I997" t="n">
        <v>0</v>
      </c>
      <c r="J997" t="n">
        <v>0</v>
      </c>
      <c r="K997" t="n">
        <v>0</v>
      </c>
      <c r="L997" t="n">
        <v>0</v>
      </c>
      <c r="M997" t="n">
        <v>0</v>
      </c>
      <c r="N997" t="n">
        <v>0</v>
      </c>
      <c r="O997" t="n">
        <v>0</v>
      </c>
      <c r="P997" t="n">
        <v>0</v>
      </c>
      <c r="Q997" t="n">
        <v>0</v>
      </c>
      <c r="R997" s="2" t="inlineStr"/>
    </row>
    <row r="998" ht="15" customHeight="1">
      <c r="A998" t="inlineStr">
        <is>
          <t>A 18875-2023</t>
        </is>
      </c>
      <c r="B998" s="1" t="n">
        <v>45044</v>
      </c>
      <c r="C998" s="1" t="n">
        <v>45346</v>
      </c>
      <c r="D998" t="inlineStr">
        <is>
          <t>JÄMTLANDS LÄN</t>
        </is>
      </c>
      <c r="E998" t="inlineStr">
        <is>
          <t>HÄRJEDALEN</t>
        </is>
      </c>
      <c r="F998" t="inlineStr">
        <is>
          <t>Kyrkan</t>
        </is>
      </c>
      <c r="G998" t="n">
        <v>1.4</v>
      </c>
      <c r="H998" t="n">
        <v>0</v>
      </c>
      <c r="I998" t="n">
        <v>0</v>
      </c>
      <c r="J998" t="n">
        <v>0</v>
      </c>
      <c r="K998" t="n">
        <v>0</v>
      </c>
      <c r="L998" t="n">
        <v>0</v>
      </c>
      <c r="M998" t="n">
        <v>0</v>
      </c>
      <c r="N998" t="n">
        <v>0</v>
      </c>
      <c r="O998" t="n">
        <v>0</v>
      </c>
      <c r="P998" t="n">
        <v>0</v>
      </c>
      <c r="Q998" t="n">
        <v>0</v>
      </c>
      <c r="R998" s="2" t="inlineStr"/>
    </row>
    <row r="999" ht="15" customHeight="1">
      <c r="A999" t="inlineStr">
        <is>
          <t>A 19353-2023</t>
        </is>
      </c>
      <c r="B999" s="1" t="n">
        <v>45049</v>
      </c>
      <c r="C999" s="1" t="n">
        <v>45346</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19337-2023</t>
        </is>
      </c>
      <c r="B1000" s="1" t="n">
        <v>45049</v>
      </c>
      <c r="C1000" s="1" t="n">
        <v>45346</v>
      </c>
      <c r="D1000" t="inlineStr">
        <is>
          <t>JÄMTLANDS LÄN</t>
        </is>
      </c>
      <c r="E1000" t="inlineStr">
        <is>
          <t>HÄRJEDALEN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19730-2023</t>
        </is>
      </c>
      <c r="B1001" s="1" t="n">
        <v>45050</v>
      </c>
      <c r="C1001" s="1" t="n">
        <v>45346</v>
      </c>
      <c r="D1001" t="inlineStr">
        <is>
          <t>JÄMTLANDS LÄN</t>
        </is>
      </c>
      <c r="E1001" t="inlineStr">
        <is>
          <t>HÄRJEDALEN</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19915-2023</t>
        </is>
      </c>
      <c r="B1002" s="1" t="n">
        <v>45054</v>
      </c>
      <c r="C1002" s="1" t="n">
        <v>45346</v>
      </c>
      <c r="D1002" t="inlineStr">
        <is>
          <t>JÄMTLANDS LÄN</t>
        </is>
      </c>
      <c r="E1002" t="inlineStr">
        <is>
          <t>HÄRJEDALEN</t>
        </is>
      </c>
      <c r="F1002" t="inlineStr">
        <is>
          <t>Sveaskog</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19981-2023</t>
        </is>
      </c>
      <c r="B1003" s="1" t="n">
        <v>45054</v>
      </c>
      <c r="C1003" s="1" t="n">
        <v>45346</v>
      </c>
      <c r="D1003" t="inlineStr">
        <is>
          <t>JÄMTLANDS LÄN</t>
        </is>
      </c>
      <c r="E1003" t="inlineStr">
        <is>
          <t>HÄRJEDALEN</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20539-2023</t>
        </is>
      </c>
      <c r="B1004" s="1" t="n">
        <v>45055</v>
      </c>
      <c r="C1004" s="1" t="n">
        <v>45346</v>
      </c>
      <c r="D1004" t="inlineStr">
        <is>
          <t>JÄMTLANDS LÄN</t>
        </is>
      </c>
      <c r="E1004" t="inlineStr">
        <is>
          <t>HÄRJEDALEN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20851-2023</t>
        </is>
      </c>
      <c r="B1005" s="1" t="n">
        <v>45056</v>
      </c>
      <c r="C1005" s="1" t="n">
        <v>45346</v>
      </c>
      <c r="D1005" t="inlineStr">
        <is>
          <t>JÄMTLANDS LÄN</t>
        </is>
      </c>
      <c r="E1005" t="inlineStr">
        <is>
          <t>HÄRJEDALEN</t>
        </is>
      </c>
      <c r="F1005" t="inlineStr">
        <is>
          <t>Holmen skog AB</t>
        </is>
      </c>
      <c r="G1005" t="n">
        <v>41.1</v>
      </c>
      <c r="H1005" t="n">
        <v>0</v>
      </c>
      <c r="I1005" t="n">
        <v>0</v>
      </c>
      <c r="J1005" t="n">
        <v>0</v>
      </c>
      <c r="K1005" t="n">
        <v>0</v>
      </c>
      <c r="L1005" t="n">
        <v>0</v>
      </c>
      <c r="M1005" t="n">
        <v>0</v>
      </c>
      <c r="N1005" t="n">
        <v>0</v>
      </c>
      <c r="O1005" t="n">
        <v>0</v>
      </c>
      <c r="P1005" t="n">
        <v>0</v>
      </c>
      <c r="Q1005" t="n">
        <v>0</v>
      </c>
      <c r="R1005" s="2" t="inlineStr"/>
    </row>
    <row r="1006" ht="15" customHeight="1">
      <c r="A1006" t="inlineStr">
        <is>
          <t>A 20609-2023</t>
        </is>
      </c>
      <c r="B1006" s="1" t="n">
        <v>45057</v>
      </c>
      <c r="C1006" s="1" t="n">
        <v>45346</v>
      </c>
      <c r="D1006" t="inlineStr">
        <is>
          <t>JÄMTLANDS LÄN</t>
        </is>
      </c>
      <c r="E1006" t="inlineStr">
        <is>
          <t>HÄRJEDALEN</t>
        </is>
      </c>
      <c r="F1006" t="inlineStr">
        <is>
          <t>SCA</t>
        </is>
      </c>
      <c r="G1006" t="n">
        <v>15.6</v>
      </c>
      <c r="H1006" t="n">
        <v>0</v>
      </c>
      <c r="I1006" t="n">
        <v>0</v>
      </c>
      <c r="J1006" t="n">
        <v>0</v>
      </c>
      <c r="K1006" t="n">
        <v>0</v>
      </c>
      <c r="L1006" t="n">
        <v>0</v>
      </c>
      <c r="M1006" t="n">
        <v>0</v>
      </c>
      <c r="N1006" t="n">
        <v>0</v>
      </c>
      <c r="O1006" t="n">
        <v>0</v>
      </c>
      <c r="P1006" t="n">
        <v>0</v>
      </c>
      <c r="Q1006" t="n">
        <v>0</v>
      </c>
      <c r="R1006" s="2" t="inlineStr"/>
      <c r="U1006">
        <f>HYPERLINK("https://klasma.github.io/Logging_2361/knärot/A 20609-2023 karta knärot.png", "A 20609-2023")</f>
        <v/>
      </c>
      <c r="V1006">
        <f>HYPERLINK("https://klasma.github.io/Logging_2361/klagomål/A 20609-2023 FSC-klagomål.docx", "A 20609-2023")</f>
        <v/>
      </c>
      <c r="W1006">
        <f>HYPERLINK("https://klasma.github.io/Logging_2361/klagomålsmail/A 20609-2023 FSC-klagomål mail.docx", "A 20609-2023")</f>
        <v/>
      </c>
      <c r="X1006">
        <f>HYPERLINK("https://klasma.github.io/Logging_2361/tillsyn/A 20609-2023 tillsynsbegäran.docx", "A 20609-2023")</f>
        <v/>
      </c>
      <c r="Y1006">
        <f>HYPERLINK("https://klasma.github.io/Logging_2361/tillsynsmail/A 20609-2023 tillsynsbegäran mail.docx", "A 20609-2023")</f>
        <v/>
      </c>
    </row>
    <row r="1007" ht="15" customHeight="1">
      <c r="A1007" t="inlineStr">
        <is>
          <t>A 20768-2023</t>
        </is>
      </c>
      <c r="B1007" s="1" t="n">
        <v>45058</v>
      </c>
      <c r="C1007" s="1" t="n">
        <v>45346</v>
      </c>
      <c r="D1007" t="inlineStr">
        <is>
          <t>JÄMTLANDS LÄN</t>
        </is>
      </c>
      <c r="E1007" t="inlineStr">
        <is>
          <t>HÄRJEDALEN</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20718-2023</t>
        </is>
      </c>
      <c r="B1008" s="1" t="n">
        <v>45058</v>
      </c>
      <c r="C1008" s="1" t="n">
        <v>45346</v>
      </c>
      <c r="D1008" t="inlineStr">
        <is>
          <t>JÄMTLANDS LÄN</t>
        </is>
      </c>
      <c r="E1008" t="inlineStr">
        <is>
          <t>HÄRJEDALEN</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20935-2023</t>
        </is>
      </c>
      <c r="B1009" s="1" t="n">
        <v>45061</v>
      </c>
      <c r="C1009" s="1" t="n">
        <v>45346</v>
      </c>
      <c r="D1009" t="inlineStr">
        <is>
          <t>JÄMTLANDS LÄN</t>
        </is>
      </c>
      <c r="E1009" t="inlineStr">
        <is>
          <t>HÄRJEDALEN</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21050-2023</t>
        </is>
      </c>
      <c r="B1010" s="1" t="n">
        <v>45061</v>
      </c>
      <c r="C1010" s="1" t="n">
        <v>45346</v>
      </c>
      <c r="D1010" t="inlineStr">
        <is>
          <t>JÄMTLANDS LÄN</t>
        </is>
      </c>
      <c r="E1010" t="inlineStr">
        <is>
          <t>HÄRJEDALEN</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21054-2023</t>
        </is>
      </c>
      <c r="B1011" s="1" t="n">
        <v>45061</v>
      </c>
      <c r="C1011" s="1" t="n">
        <v>45346</v>
      </c>
      <c r="D1011" t="inlineStr">
        <is>
          <t>JÄMTLANDS LÄN</t>
        </is>
      </c>
      <c r="E1011" t="inlineStr">
        <is>
          <t>HÄRJEDALEN</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21517-2023</t>
        </is>
      </c>
      <c r="B1012" s="1" t="n">
        <v>45063</v>
      </c>
      <c r="C1012" s="1" t="n">
        <v>45346</v>
      </c>
      <c r="D1012" t="inlineStr">
        <is>
          <t>JÄMTLANDS LÄN</t>
        </is>
      </c>
      <c r="E1012" t="inlineStr">
        <is>
          <t>HÄRJEDALEN</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21531-2023</t>
        </is>
      </c>
      <c r="B1013" s="1" t="n">
        <v>45063</v>
      </c>
      <c r="C1013" s="1" t="n">
        <v>45346</v>
      </c>
      <c r="D1013" t="inlineStr">
        <is>
          <t>JÄMTLANDS LÄN</t>
        </is>
      </c>
      <c r="E1013" t="inlineStr">
        <is>
          <t>HÄRJEDALEN</t>
        </is>
      </c>
      <c r="G1013" t="n">
        <v>14.6</v>
      </c>
      <c r="H1013" t="n">
        <v>0</v>
      </c>
      <c r="I1013" t="n">
        <v>0</v>
      </c>
      <c r="J1013" t="n">
        <v>0</v>
      </c>
      <c r="K1013" t="n">
        <v>0</v>
      </c>
      <c r="L1013" t="n">
        <v>0</v>
      </c>
      <c r="M1013" t="n">
        <v>0</v>
      </c>
      <c r="N1013" t="n">
        <v>0</v>
      </c>
      <c r="O1013" t="n">
        <v>0</v>
      </c>
      <c r="P1013" t="n">
        <v>0</v>
      </c>
      <c r="Q1013" t="n">
        <v>0</v>
      </c>
      <c r="R1013" s="2" t="inlineStr"/>
    </row>
    <row r="1014" ht="15" customHeight="1">
      <c r="A1014" t="inlineStr">
        <is>
          <t>A 21439-2023</t>
        </is>
      </c>
      <c r="B1014" s="1" t="n">
        <v>45063</v>
      </c>
      <c r="C1014" s="1" t="n">
        <v>45346</v>
      </c>
      <c r="D1014" t="inlineStr">
        <is>
          <t>JÄMTLANDS LÄN</t>
        </is>
      </c>
      <c r="E1014" t="inlineStr">
        <is>
          <t>HÄRJEDALEN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21521-2023</t>
        </is>
      </c>
      <c r="B1015" s="1" t="n">
        <v>45063</v>
      </c>
      <c r="C1015" s="1" t="n">
        <v>45346</v>
      </c>
      <c r="D1015" t="inlineStr">
        <is>
          <t>JÄMTLANDS LÄN</t>
        </is>
      </c>
      <c r="E1015" t="inlineStr">
        <is>
          <t>HÄRJEDALEN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21525-2023</t>
        </is>
      </c>
      <c r="B1016" s="1" t="n">
        <v>45063</v>
      </c>
      <c r="C1016" s="1" t="n">
        <v>45346</v>
      </c>
      <c r="D1016" t="inlineStr">
        <is>
          <t>JÄMTLANDS LÄN</t>
        </is>
      </c>
      <c r="E1016" t="inlineStr">
        <is>
          <t>HÄRJEDALEN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21530-2023</t>
        </is>
      </c>
      <c r="B1017" s="1" t="n">
        <v>45063</v>
      </c>
      <c r="C1017" s="1" t="n">
        <v>45346</v>
      </c>
      <c r="D1017" t="inlineStr">
        <is>
          <t>JÄMTLANDS LÄN</t>
        </is>
      </c>
      <c r="E1017" t="inlineStr">
        <is>
          <t>HÄRJEDALEN</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21645-2023</t>
        </is>
      </c>
      <c r="B1018" s="1" t="n">
        <v>45063</v>
      </c>
      <c r="C1018" s="1" t="n">
        <v>45346</v>
      </c>
      <c r="D1018" t="inlineStr">
        <is>
          <t>JÄMTLANDS LÄN</t>
        </is>
      </c>
      <c r="E1018" t="inlineStr">
        <is>
          <t>HÄRJEDALEN</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21646-2023</t>
        </is>
      </c>
      <c r="B1019" s="1" t="n">
        <v>45063</v>
      </c>
      <c r="C1019" s="1" t="n">
        <v>45346</v>
      </c>
      <c r="D1019" t="inlineStr">
        <is>
          <t>JÄMTLANDS LÄN</t>
        </is>
      </c>
      <c r="E1019" t="inlineStr">
        <is>
          <t>HÄRJEDALEN</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21665-2023</t>
        </is>
      </c>
      <c r="B1020" s="1" t="n">
        <v>45063</v>
      </c>
      <c r="C1020" s="1" t="n">
        <v>45346</v>
      </c>
      <c r="D1020" t="inlineStr">
        <is>
          <t>JÄMTLANDS LÄN</t>
        </is>
      </c>
      <c r="E1020" t="inlineStr">
        <is>
          <t>HÄRJEDALEN</t>
        </is>
      </c>
      <c r="G1020" t="n">
        <v>19.3</v>
      </c>
      <c r="H1020" t="n">
        <v>0</v>
      </c>
      <c r="I1020" t="n">
        <v>0</v>
      </c>
      <c r="J1020" t="n">
        <v>0</v>
      </c>
      <c r="K1020" t="n">
        <v>0</v>
      </c>
      <c r="L1020" t="n">
        <v>0</v>
      </c>
      <c r="M1020" t="n">
        <v>0</v>
      </c>
      <c r="N1020" t="n">
        <v>0</v>
      </c>
      <c r="O1020" t="n">
        <v>0</v>
      </c>
      <c r="P1020" t="n">
        <v>0</v>
      </c>
      <c r="Q1020" t="n">
        <v>0</v>
      </c>
      <c r="R1020" s="2" t="inlineStr"/>
    </row>
    <row r="1021" ht="15" customHeight="1">
      <c r="A1021" t="inlineStr">
        <is>
          <t>A 21666-2023</t>
        </is>
      </c>
      <c r="B1021" s="1" t="n">
        <v>45064</v>
      </c>
      <c r="C1021" s="1" t="n">
        <v>45346</v>
      </c>
      <c r="D1021" t="inlineStr">
        <is>
          <t>JÄMTLANDS LÄN</t>
        </is>
      </c>
      <c r="E1021" t="inlineStr">
        <is>
          <t>HÄRJEDALEN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22674-2023</t>
        </is>
      </c>
      <c r="B1022" s="1" t="n">
        <v>45071</v>
      </c>
      <c r="C1022" s="1" t="n">
        <v>45346</v>
      </c>
      <c r="D1022" t="inlineStr">
        <is>
          <t>JÄMTLANDS LÄN</t>
        </is>
      </c>
      <c r="E1022" t="inlineStr">
        <is>
          <t>HÄRJEDALEN</t>
        </is>
      </c>
      <c r="F1022" t="inlineStr">
        <is>
          <t>Bergvik skog väst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22728-2023</t>
        </is>
      </c>
      <c r="B1023" s="1" t="n">
        <v>45072</v>
      </c>
      <c r="C1023" s="1" t="n">
        <v>45346</v>
      </c>
      <c r="D1023" t="inlineStr">
        <is>
          <t>JÄMTLANDS LÄN</t>
        </is>
      </c>
      <c r="E1023" t="inlineStr">
        <is>
          <t>HÄRJEDALEN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22747-2023</t>
        </is>
      </c>
      <c r="B1024" s="1" t="n">
        <v>45071</v>
      </c>
      <c r="C1024" s="1" t="n">
        <v>45346</v>
      </c>
      <c r="D1024" t="inlineStr">
        <is>
          <t>JÄMTLANDS LÄN</t>
        </is>
      </c>
      <c r="E1024" t="inlineStr">
        <is>
          <t>HÄRJEDALEN</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22746-2023</t>
        </is>
      </c>
      <c r="B1025" s="1" t="n">
        <v>45071</v>
      </c>
      <c r="C1025" s="1" t="n">
        <v>45346</v>
      </c>
      <c r="D1025" t="inlineStr">
        <is>
          <t>JÄMTLANDS LÄN</t>
        </is>
      </c>
      <c r="E1025" t="inlineStr">
        <is>
          <t>HÄRJEDALEN</t>
        </is>
      </c>
      <c r="F1025" t="inlineStr">
        <is>
          <t>SCA</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22729-2023</t>
        </is>
      </c>
      <c r="B1026" s="1" t="n">
        <v>45072</v>
      </c>
      <c r="C1026" s="1" t="n">
        <v>45346</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23186-2023</t>
        </is>
      </c>
      <c r="B1027" s="1" t="n">
        <v>45075</v>
      </c>
      <c r="C1027" s="1" t="n">
        <v>45346</v>
      </c>
      <c r="D1027" t="inlineStr">
        <is>
          <t>JÄMTLANDS LÄN</t>
        </is>
      </c>
      <c r="E1027" t="inlineStr">
        <is>
          <t>HÄRJEDALEN</t>
        </is>
      </c>
      <c r="F1027" t="inlineStr">
        <is>
          <t>Bergvik skog väst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23185-2023</t>
        </is>
      </c>
      <c r="B1028" s="1" t="n">
        <v>45075</v>
      </c>
      <c r="C1028" s="1" t="n">
        <v>45346</v>
      </c>
      <c r="D1028" t="inlineStr">
        <is>
          <t>JÄMTLANDS LÄN</t>
        </is>
      </c>
      <c r="E1028" t="inlineStr">
        <is>
          <t>HÄRJEDALEN</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23356-2023</t>
        </is>
      </c>
      <c r="B1029" s="1" t="n">
        <v>45076</v>
      </c>
      <c r="C1029" s="1" t="n">
        <v>45346</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23465-2023</t>
        </is>
      </c>
      <c r="B1030" s="1" t="n">
        <v>45076</v>
      </c>
      <c r="C1030" s="1" t="n">
        <v>45346</v>
      </c>
      <c r="D1030" t="inlineStr">
        <is>
          <t>JÄMTLANDS LÄN</t>
        </is>
      </c>
      <c r="E1030" t="inlineStr">
        <is>
          <t>HÄRJEDALEN</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23895-2023</t>
        </is>
      </c>
      <c r="B1031" s="1" t="n">
        <v>45078</v>
      </c>
      <c r="C1031" s="1" t="n">
        <v>45346</v>
      </c>
      <c r="D1031" t="inlineStr">
        <is>
          <t>JÄMTLANDS LÄN</t>
        </is>
      </c>
      <c r="E1031" t="inlineStr">
        <is>
          <t>HÄRJEDALEN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23908-2023</t>
        </is>
      </c>
      <c r="B1032" s="1" t="n">
        <v>45078</v>
      </c>
      <c r="C1032" s="1" t="n">
        <v>45346</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24240-2023</t>
        </is>
      </c>
      <c r="B1033" s="1" t="n">
        <v>45079</v>
      </c>
      <c r="C1033" s="1" t="n">
        <v>45346</v>
      </c>
      <c r="D1033" t="inlineStr">
        <is>
          <t>JÄMTLANDS LÄN</t>
        </is>
      </c>
      <c r="E1033" t="inlineStr">
        <is>
          <t>HÄRJEDALEN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24238-2023</t>
        </is>
      </c>
      <c r="B1034" s="1" t="n">
        <v>45079</v>
      </c>
      <c r="C1034" s="1" t="n">
        <v>45346</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24255-2023</t>
        </is>
      </c>
      <c r="B1035" s="1" t="n">
        <v>45079</v>
      </c>
      <c r="C1035" s="1" t="n">
        <v>45346</v>
      </c>
      <c r="D1035" t="inlineStr">
        <is>
          <t>JÄMTLANDS LÄN</t>
        </is>
      </c>
      <c r="E1035" t="inlineStr">
        <is>
          <t>HÄRJEDALEN</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24220-2023</t>
        </is>
      </c>
      <c r="B1036" s="1" t="n">
        <v>45079</v>
      </c>
      <c r="C1036" s="1" t="n">
        <v>45346</v>
      </c>
      <c r="D1036" t="inlineStr">
        <is>
          <t>JÄMTLANDS LÄN</t>
        </is>
      </c>
      <c r="E1036" t="inlineStr">
        <is>
          <t>HÄRJEDALEN</t>
        </is>
      </c>
      <c r="F1036" t="inlineStr">
        <is>
          <t>Bergvik skog väst AB</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25536-2023</t>
        </is>
      </c>
      <c r="B1037" s="1" t="n">
        <v>45082</v>
      </c>
      <c r="C1037" s="1" t="n">
        <v>45346</v>
      </c>
      <c r="D1037" t="inlineStr">
        <is>
          <t>JÄMTLANDS LÄN</t>
        </is>
      </c>
      <c r="E1037" t="inlineStr">
        <is>
          <t>HÄRJEDALEN</t>
        </is>
      </c>
      <c r="F1037" t="inlineStr">
        <is>
          <t>Bergvik skog väst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25526-2023</t>
        </is>
      </c>
      <c r="B1038" s="1" t="n">
        <v>45082</v>
      </c>
      <c r="C1038" s="1" t="n">
        <v>45346</v>
      </c>
      <c r="D1038" t="inlineStr">
        <is>
          <t>JÄMTLANDS LÄN</t>
        </is>
      </c>
      <c r="E1038" t="inlineStr">
        <is>
          <t>HÄRJEDALEN</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25582-2023</t>
        </is>
      </c>
      <c r="B1039" s="1" t="n">
        <v>45082</v>
      </c>
      <c r="C1039" s="1" t="n">
        <v>45346</v>
      </c>
      <c r="D1039" t="inlineStr">
        <is>
          <t>JÄMTLANDS LÄN</t>
        </is>
      </c>
      <c r="E1039" t="inlineStr">
        <is>
          <t>HÄRJEDALEN</t>
        </is>
      </c>
      <c r="F1039" t="inlineStr">
        <is>
          <t>Bergvik skog väst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24834-2023</t>
        </is>
      </c>
      <c r="B1040" s="1" t="n">
        <v>45084</v>
      </c>
      <c r="C1040" s="1" t="n">
        <v>45346</v>
      </c>
      <c r="D1040" t="inlineStr">
        <is>
          <t>JÄMTLANDS LÄN</t>
        </is>
      </c>
      <c r="E1040" t="inlineStr">
        <is>
          <t>HÄRJEDALEN</t>
        </is>
      </c>
      <c r="F1040" t="inlineStr">
        <is>
          <t>SCA</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24835-2023</t>
        </is>
      </c>
      <c r="B1041" s="1" t="n">
        <v>45084</v>
      </c>
      <c r="C1041" s="1" t="n">
        <v>45346</v>
      </c>
      <c r="D1041" t="inlineStr">
        <is>
          <t>JÄMTLANDS LÄN</t>
        </is>
      </c>
      <c r="E1041" t="inlineStr">
        <is>
          <t>HÄRJEDALEN</t>
        </is>
      </c>
      <c r="F1041" t="inlineStr">
        <is>
          <t>SCA</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25018-2023</t>
        </is>
      </c>
      <c r="B1042" s="1" t="n">
        <v>45085</v>
      </c>
      <c r="C1042" s="1" t="n">
        <v>45346</v>
      </c>
      <c r="D1042" t="inlineStr">
        <is>
          <t>JÄMTLANDS LÄN</t>
        </is>
      </c>
      <c r="E1042" t="inlineStr">
        <is>
          <t>HÄRJEDALEN</t>
        </is>
      </c>
      <c r="F1042" t="inlineStr">
        <is>
          <t>Sveaskog</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24964-2023</t>
        </is>
      </c>
      <c r="B1043" s="1" t="n">
        <v>45085</v>
      </c>
      <c r="C1043" s="1" t="n">
        <v>45346</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25181-2023</t>
        </is>
      </c>
      <c r="B1044" s="1" t="n">
        <v>45086</v>
      </c>
      <c r="C1044" s="1" t="n">
        <v>45346</v>
      </c>
      <c r="D1044" t="inlineStr">
        <is>
          <t>JÄMTLANDS LÄN</t>
        </is>
      </c>
      <c r="E1044" t="inlineStr">
        <is>
          <t>HÄRJEDALEN</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25485-2023</t>
        </is>
      </c>
      <c r="B1045" s="1" t="n">
        <v>45089</v>
      </c>
      <c r="C1045" s="1" t="n">
        <v>45346</v>
      </c>
      <c r="D1045" t="inlineStr">
        <is>
          <t>JÄMTLANDS LÄN</t>
        </is>
      </c>
      <c r="E1045" t="inlineStr">
        <is>
          <t>HÄRJEDALEN</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26411-2023</t>
        </is>
      </c>
      <c r="B1046" s="1" t="n">
        <v>45092</v>
      </c>
      <c r="C1046" s="1" t="n">
        <v>45346</v>
      </c>
      <c r="D1046" t="inlineStr">
        <is>
          <t>JÄMTLANDS LÄN</t>
        </is>
      </c>
      <c r="E1046" t="inlineStr">
        <is>
          <t>HÄRJEDALEN</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26701-2023</t>
        </is>
      </c>
      <c r="B1047" s="1" t="n">
        <v>45093</v>
      </c>
      <c r="C1047" s="1" t="n">
        <v>45346</v>
      </c>
      <c r="D1047" t="inlineStr">
        <is>
          <t>JÄMTLANDS LÄN</t>
        </is>
      </c>
      <c r="E1047" t="inlineStr">
        <is>
          <t>HÄRJEDALEN</t>
        </is>
      </c>
      <c r="F1047" t="inlineStr">
        <is>
          <t>Bergvik skog väst AB</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26902-2023</t>
        </is>
      </c>
      <c r="B1048" s="1" t="n">
        <v>45093</v>
      </c>
      <c r="C1048" s="1" t="n">
        <v>45346</v>
      </c>
      <c r="D1048" t="inlineStr">
        <is>
          <t>JÄMTLANDS LÄN</t>
        </is>
      </c>
      <c r="E1048" t="inlineStr">
        <is>
          <t>HÄRJEDALEN</t>
        </is>
      </c>
      <c r="F1048" t="inlineStr">
        <is>
          <t>Bergvik skog väst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26905-2023</t>
        </is>
      </c>
      <c r="B1049" s="1" t="n">
        <v>45093</v>
      </c>
      <c r="C1049" s="1" t="n">
        <v>45346</v>
      </c>
      <c r="D1049" t="inlineStr">
        <is>
          <t>JÄMTLANDS LÄN</t>
        </is>
      </c>
      <c r="E1049" t="inlineStr">
        <is>
          <t>HÄRJEDALEN</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27136-2023</t>
        </is>
      </c>
      <c r="B1050" s="1" t="n">
        <v>45096</v>
      </c>
      <c r="C1050" s="1" t="n">
        <v>45346</v>
      </c>
      <c r="D1050" t="inlineStr">
        <is>
          <t>JÄMTLANDS LÄN</t>
        </is>
      </c>
      <c r="E1050" t="inlineStr">
        <is>
          <t>HÄRJEDALEN</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27261-2023</t>
        </is>
      </c>
      <c r="B1051" s="1" t="n">
        <v>45096</v>
      </c>
      <c r="C1051" s="1" t="n">
        <v>45346</v>
      </c>
      <c r="D1051" t="inlineStr">
        <is>
          <t>JÄMTLANDS LÄN</t>
        </is>
      </c>
      <c r="E1051" t="inlineStr">
        <is>
          <t>HÄRJEDALEN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27541-2023</t>
        </is>
      </c>
      <c r="B1052" s="1" t="n">
        <v>45097</v>
      </c>
      <c r="C1052" s="1" t="n">
        <v>45346</v>
      </c>
      <c r="D1052" t="inlineStr">
        <is>
          <t>JÄMTLANDS LÄN</t>
        </is>
      </c>
      <c r="E1052" t="inlineStr">
        <is>
          <t>HÄRJEDALEN</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27764-2023</t>
        </is>
      </c>
      <c r="B1053" s="1" t="n">
        <v>45098</v>
      </c>
      <c r="C1053" s="1" t="n">
        <v>45346</v>
      </c>
      <c r="D1053" t="inlineStr">
        <is>
          <t>JÄMTLANDS LÄN</t>
        </is>
      </c>
      <c r="E1053" t="inlineStr">
        <is>
          <t>HÄRJEDALEN</t>
        </is>
      </c>
      <c r="G1053" t="n">
        <v>66.40000000000001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27812-2023</t>
        </is>
      </c>
      <c r="B1054" s="1" t="n">
        <v>45098</v>
      </c>
      <c r="C1054" s="1" t="n">
        <v>45346</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27940-2023</t>
        </is>
      </c>
      <c r="B1055" s="1" t="n">
        <v>45098</v>
      </c>
      <c r="C1055" s="1" t="n">
        <v>45346</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28078-2023</t>
        </is>
      </c>
      <c r="B1056" s="1" t="n">
        <v>45099</v>
      </c>
      <c r="C1056" s="1" t="n">
        <v>45346</v>
      </c>
      <c r="D1056" t="inlineStr">
        <is>
          <t>JÄMTLANDS LÄN</t>
        </is>
      </c>
      <c r="E1056" t="inlineStr">
        <is>
          <t>HÄRJEDALEN</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28059-2023</t>
        </is>
      </c>
      <c r="B1057" s="1" t="n">
        <v>45099</v>
      </c>
      <c r="C1057" s="1" t="n">
        <v>45346</v>
      </c>
      <c r="D1057" t="inlineStr">
        <is>
          <t>JÄMTLANDS LÄN</t>
        </is>
      </c>
      <c r="E1057" t="inlineStr">
        <is>
          <t>HÄRJEDALEN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28209-2023</t>
        </is>
      </c>
      <c r="B1058" s="1" t="n">
        <v>45099</v>
      </c>
      <c r="C1058" s="1" t="n">
        <v>45346</v>
      </c>
      <c r="D1058" t="inlineStr">
        <is>
          <t>JÄMTLANDS LÄN</t>
        </is>
      </c>
      <c r="E1058" t="inlineStr">
        <is>
          <t>HÄRJEDALEN</t>
        </is>
      </c>
      <c r="F1058" t="inlineStr">
        <is>
          <t>Bergvik skog väst AB</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28802-2023</t>
        </is>
      </c>
      <c r="B1059" s="1" t="n">
        <v>45104</v>
      </c>
      <c r="C1059" s="1" t="n">
        <v>45346</v>
      </c>
      <c r="D1059" t="inlineStr">
        <is>
          <t>JÄMTLANDS LÄN</t>
        </is>
      </c>
      <c r="E1059" t="inlineStr">
        <is>
          <t>HÄRJEDALEN</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29067-2023</t>
        </is>
      </c>
      <c r="B1060" s="1" t="n">
        <v>45104</v>
      </c>
      <c r="C1060" s="1" t="n">
        <v>45346</v>
      </c>
      <c r="D1060" t="inlineStr">
        <is>
          <t>JÄMTLANDS LÄN</t>
        </is>
      </c>
      <c r="E1060" t="inlineStr">
        <is>
          <t>HÄRJEDALEN</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29194-2023</t>
        </is>
      </c>
      <c r="B1061" s="1" t="n">
        <v>45105</v>
      </c>
      <c r="C1061" s="1" t="n">
        <v>45346</v>
      </c>
      <c r="D1061" t="inlineStr">
        <is>
          <t>JÄMTLANDS LÄN</t>
        </is>
      </c>
      <c r="E1061" t="inlineStr">
        <is>
          <t>HÄRJEDALEN</t>
        </is>
      </c>
      <c r="F1061" t="inlineStr">
        <is>
          <t>Bergvik skog väst AB</t>
        </is>
      </c>
      <c r="G1061" t="n">
        <v>21.4</v>
      </c>
      <c r="H1061" t="n">
        <v>0</v>
      </c>
      <c r="I1061" t="n">
        <v>0</v>
      </c>
      <c r="J1061" t="n">
        <v>0</v>
      </c>
      <c r="K1061" t="n">
        <v>0</v>
      </c>
      <c r="L1061" t="n">
        <v>0</v>
      </c>
      <c r="M1061" t="n">
        <v>0</v>
      </c>
      <c r="N1061" t="n">
        <v>0</v>
      </c>
      <c r="O1061" t="n">
        <v>0</v>
      </c>
      <c r="P1061" t="n">
        <v>0</v>
      </c>
      <c r="Q1061" t="n">
        <v>0</v>
      </c>
      <c r="R1061" s="2" t="inlineStr"/>
    </row>
    <row r="1062" ht="15" customHeight="1">
      <c r="A1062" t="inlineStr">
        <is>
          <t>A 29094-2023</t>
        </is>
      </c>
      <c r="B1062" s="1" t="n">
        <v>45105</v>
      </c>
      <c r="C1062" s="1" t="n">
        <v>45346</v>
      </c>
      <c r="D1062" t="inlineStr">
        <is>
          <t>JÄMTLANDS LÄN</t>
        </is>
      </c>
      <c r="E1062" t="inlineStr">
        <is>
          <t>HÄRJEDALEN</t>
        </is>
      </c>
      <c r="F1062" t="inlineStr">
        <is>
          <t>Bergvik skog väst AB</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29431-2023</t>
        </is>
      </c>
      <c r="B1063" s="1" t="n">
        <v>45106</v>
      </c>
      <c r="C1063" s="1" t="n">
        <v>45346</v>
      </c>
      <c r="D1063" t="inlineStr">
        <is>
          <t>JÄMTLANDS LÄN</t>
        </is>
      </c>
      <c r="E1063" t="inlineStr">
        <is>
          <t>HÄRJEDALEN</t>
        </is>
      </c>
      <c r="F1063" t="inlineStr">
        <is>
          <t>Bergvik skog väst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29772-2023</t>
        </is>
      </c>
      <c r="B1064" s="1" t="n">
        <v>45107</v>
      </c>
      <c r="C1064" s="1" t="n">
        <v>45346</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30411-2023</t>
        </is>
      </c>
      <c r="B1065" s="1" t="n">
        <v>45111</v>
      </c>
      <c r="C1065" s="1" t="n">
        <v>45346</v>
      </c>
      <c r="D1065" t="inlineStr">
        <is>
          <t>JÄMTLANDS LÄN</t>
        </is>
      </c>
      <c r="E1065" t="inlineStr">
        <is>
          <t>HÄRJEDALEN</t>
        </is>
      </c>
      <c r="F1065" t="inlineStr">
        <is>
          <t>Bergvik skog väst AB</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30435-2023</t>
        </is>
      </c>
      <c r="B1066" s="1" t="n">
        <v>45111</v>
      </c>
      <c r="C1066" s="1" t="n">
        <v>45346</v>
      </c>
      <c r="D1066" t="inlineStr">
        <is>
          <t>JÄMTLANDS LÄN</t>
        </is>
      </c>
      <c r="E1066" t="inlineStr">
        <is>
          <t>HÄRJEDALEN</t>
        </is>
      </c>
      <c r="G1066" t="n">
        <v>20</v>
      </c>
      <c r="H1066" t="n">
        <v>0</v>
      </c>
      <c r="I1066" t="n">
        <v>0</v>
      </c>
      <c r="J1066" t="n">
        <v>0</v>
      </c>
      <c r="K1066" t="n">
        <v>0</v>
      </c>
      <c r="L1066" t="n">
        <v>0</v>
      </c>
      <c r="M1066" t="n">
        <v>0</v>
      </c>
      <c r="N1066" t="n">
        <v>0</v>
      </c>
      <c r="O1066" t="n">
        <v>0</v>
      </c>
      <c r="P1066" t="n">
        <v>0</v>
      </c>
      <c r="Q1066" t="n">
        <v>0</v>
      </c>
      <c r="R1066" s="2" t="inlineStr"/>
    </row>
    <row r="1067" ht="15" customHeight="1">
      <c r="A1067" t="inlineStr">
        <is>
          <t>A 30751-2023</t>
        </is>
      </c>
      <c r="B1067" s="1" t="n">
        <v>45112</v>
      </c>
      <c r="C1067" s="1" t="n">
        <v>45346</v>
      </c>
      <c r="D1067" t="inlineStr">
        <is>
          <t>JÄMTLANDS LÄN</t>
        </is>
      </c>
      <c r="E1067" t="inlineStr">
        <is>
          <t>HÄRJEDALEN</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30709-2023</t>
        </is>
      </c>
      <c r="B1068" s="1" t="n">
        <v>45112</v>
      </c>
      <c r="C1068" s="1" t="n">
        <v>45346</v>
      </c>
      <c r="D1068" t="inlineStr">
        <is>
          <t>JÄMTLANDS LÄN</t>
        </is>
      </c>
      <c r="E1068" t="inlineStr">
        <is>
          <t>HÄRJEDALEN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30984-2023</t>
        </is>
      </c>
      <c r="B1069" s="1" t="n">
        <v>45113</v>
      </c>
      <c r="C1069" s="1" t="n">
        <v>45346</v>
      </c>
      <c r="D1069" t="inlineStr">
        <is>
          <t>JÄMTLANDS LÄN</t>
        </is>
      </c>
      <c r="E1069" t="inlineStr">
        <is>
          <t>HÄRJEDALEN</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31269-2023</t>
        </is>
      </c>
      <c r="B1070" s="1" t="n">
        <v>45114</v>
      </c>
      <c r="C1070" s="1" t="n">
        <v>45346</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31435-2023</t>
        </is>
      </c>
      <c r="B1071" s="1" t="n">
        <v>45114</v>
      </c>
      <c r="C1071" s="1" t="n">
        <v>45346</v>
      </c>
      <c r="D1071" t="inlineStr">
        <is>
          <t>JÄMTLANDS LÄN</t>
        </is>
      </c>
      <c r="E1071" t="inlineStr">
        <is>
          <t>HÄRJEDALEN</t>
        </is>
      </c>
      <c r="G1071" t="n">
        <v>20.9</v>
      </c>
      <c r="H1071" t="n">
        <v>0</v>
      </c>
      <c r="I1071" t="n">
        <v>0</v>
      </c>
      <c r="J1071" t="n">
        <v>0</v>
      </c>
      <c r="K1071" t="n">
        <v>0</v>
      </c>
      <c r="L1071" t="n">
        <v>0</v>
      </c>
      <c r="M1071" t="n">
        <v>0</v>
      </c>
      <c r="N1071" t="n">
        <v>0</v>
      </c>
      <c r="O1071" t="n">
        <v>0</v>
      </c>
      <c r="P1071" t="n">
        <v>0</v>
      </c>
      <c r="Q1071" t="n">
        <v>0</v>
      </c>
      <c r="R1071" s="2" t="inlineStr"/>
    </row>
    <row r="1072" ht="15" customHeight="1">
      <c r="A1072" t="inlineStr">
        <is>
          <t>A 31778-2023</t>
        </is>
      </c>
      <c r="B1072" s="1" t="n">
        <v>45118</v>
      </c>
      <c r="C1072" s="1" t="n">
        <v>45346</v>
      </c>
      <c r="D1072" t="inlineStr">
        <is>
          <t>JÄMTLANDS LÄN</t>
        </is>
      </c>
      <c r="E1072" t="inlineStr">
        <is>
          <t>HÄRJEDALEN</t>
        </is>
      </c>
      <c r="F1072" t="inlineStr">
        <is>
          <t>Bergvik skog väst AB</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31811-2023</t>
        </is>
      </c>
      <c r="B1073" s="1" t="n">
        <v>45118</v>
      </c>
      <c r="C1073" s="1" t="n">
        <v>45346</v>
      </c>
      <c r="D1073" t="inlineStr">
        <is>
          <t>JÄMTLANDS LÄN</t>
        </is>
      </c>
      <c r="E1073" t="inlineStr">
        <is>
          <t>HÄRJEDALEN</t>
        </is>
      </c>
      <c r="F1073" t="inlineStr">
        <is>
          <t>Bergvik skog väst AB</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31910-2023</t>
        </is>
      </c>
      <c r="B1074" s="1" t="n">
        <v>45118</v>
      </c>
      <c r="C1074" s="1" t="n">
        <v>45346</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31958-2023</t>
        </is>
      </c>
      <c r="B1075" s="1" t="n">
        <v>45119</v>
      </c>
      <c r="C1075" s="1" t="n">
        <v>45346</v>
      </c>
      <c r="D1075" t="inlineStr">
        <is>
          <t>JÄMTLANDS LÄN</t>
        </is>
      </c>
      <c r="E1075" t="inlineStr">
        <is>
          <t>HÄRJEDALEN</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31996-2023</t>
        </is>
      </c>
      <c r="B1076" s="1" t="n">
        <v>45119</v>
      </c>
      <c r="C1076" s="1" t="n">
        <v>45346</v>
      </c>
      <c r="D1076" t="inlineStr">
        <is>
          <t>JÄMTLANDS LÄN</t>
        </is>
      </c>
      <c r="E1076" t="inlineStr">
        <is>
          <t>HÄRJEDALEN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31960-2023</t>
        </is>
      </c>
      <c r="B1077" s="1" t="n">
        <v>45119</v>
      </c>
      <c r="C1077" s="1" t="n">
        <v>45346</v>
      </c>
      <c r="D1077" t="inlineStr">
        <is>
          <t>JÄMTLANDS LÄN</t>
        </is>
      </c>
      <c r="E1077" t="inlineStr">
        <is>
          <t>HÄRJEDALEN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31956-2023</t>
        </is>
      </c>
      <c r="B1078" s="1" t="n">
        <v>45119</v>
      </c>
      <c r="C1078" s="1" t="n">
        <v>45346</v>
      </c>
      <c r="D1078" t="inlineStr">
        <is>
          <t>JÄMTLANDS LÄN</t>
        </is>
      </c>
      <c r="E1078" t="inlineStr">
        <is>
          <t>HÄRJEDALEN</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31961-2023</t>
        </is>
      </c>
      <c r="B1079" s="1" t="n">
        <v>45119</v>
      </c>
      <c r="C1079" s="1" t="n">
        <v>45346</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33257-2023</t>
        </is>
      </c>
      <c r="B1080" s="1" t="n">
        <v>45127</v>
      </c>
      <c r="C1080" s="1" t="n">
        <v>45346</v>
      </c>
      <c r="D1080" t="inlineStr">
        <is>
          <t>JÄMTLANDS LÄN</t>
        </is>
      </c>
      <c r="E1080" t="inlineStr">
        <is>
          <t>HÄRJEDALEN</t>
        </is>
      </c>
      <c r="F1080" t="inlineStr">
        <is>
          <t>Bergvik skog väst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33232-2023</t>
        </is>
      </c>
      <c r="B1081" s="1" t="n">
        <v>45127</v>
      </c>
      <c r="C1081" s="1" t="n">
        <v>45346</v>
      </c>
      <c r="D1081" t="inlineStr">
        <is>
          <t>JÄMTLANDS LÄN</t>
        </is>
      </c>
      <c r="E1081" t="inlineStr">
        <is>
          <t>HÄRJEDALEN</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33992-2023</t>
        </is>
      </c>
      <c r="B1082" s="1" t="n">
        <v>45134</v>
      </c>
      <c r="C1082" s="1" t="n">
        <v>45346</v>
      </c>
      <c r="D1082" t="inlineStr">
        <is>
          <t>JÄMTLANDS LÄN</t>
        </is>
      </c>
      <c r="E1082" t="inlineStr">
        <is>
          <t>HÄRJEDALEN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34260-2023</t>
        </is>
      </c>
      <c r="B1083" s="1" t="n">
        <v>45138</v>
      </c>
      <c r="C1083" s="1" t="n">
        <v>45346</v>
      </c>
      <c r="D1083" t="inlineStr">
        <is>
          <t>JÄMTLANDS LÄN</t>
        </is>
      </c>
      <c r="E1083" t="inlineStr">
        <is>
          <t>HÄRJEDALEN</t>
        </is>
      </c>
      <c r="F1083" t="inlineStr">
        <is>
          <t>Holmen skog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34313-2023</t>
        </is>
      </c>
      <c r="B1084" s="1" t="n">
        <v>45139</v>
      </c>
      <c r="C1084" s="1" t="n">
        <v>45346</v>
      </c>
      <c r="D1084" t="inlineStr">
        <is>
          <t>JÄMTLANDS LÄN</t>
        </is>
      </c>
      <c r="E1084" t="inlineStr">
        <is>
          <t>HÄRJEDALEN</t>
        </is>
      </c>
      <c r="F1084" t="inlineStr">
        <is>
          <t>SCA</t>
        </is>
      </c>
      <c r="G1084" t="n">
        <v>31.6</v>
      </c>
      <c r="H1084" t="n">
        <v>0</v>
      </c>
      <c r="I1084" t="n">
        <v>0</v>
      </c>
      <c r="J1084" t="n">
        <v>0</v>
      </c>
      <c r="K1084" t="n">
        <v>0</v>
      </c>
      <c r="L1084" t="n">
        <v>0</v>
      </c>
      <c r="M1084" t="n">
        <v>0</v>
      </c>
      <c r="N1084" t="n">
        <v>0</v>
      </c>
      <c r="O1084" t="n">
        <v>0</v>
      </c>
      <c r="P1084" t="n">
        <v>0</v>
      </c>
      <c r="Q1084" t="n">
        <v>0</v>
      </c>
      <c r="R1084" s="2" t="inlineStr"/>
    </row>
    <row r="1085" ht="15" customHeight="1">
      <c r="A1085" t="inlineStr">
        <is>
          <t>A 34314-2023</t>
        </is>
      </c>
      <c r="B1085" s="1" t="n">
        <v>45138</v>
      </c>
      <c r="C1085" s="1" t="n">
        <v>45346</v>
      </c>
      <c r="D1085" t="inlineStr">
        <is>
          <t>JÄMTLANDS LÄN</t>
        </is>
      </c>
      <c r="E1085" t="inlineStr">
        <is>
          <t>HÄRJEDALEN</t>
        </is>
      </c>
      <c r="F1085" t="inlineStr">
        <is>
          <t>SCA</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35396-2023</t>
        </is>
      </c>
      <c r="B1086" s="1" t="n">
        <v>45146</v>
      </c>
      <c r="C1086" s="1" t="n">
        <v>45346</v>
      </c>
      <c r="D1086" t="inlineStr">
        <is>
          <t>JÄMTLANDS LÄN</t>
        </is>
      </c>
      <c r="E1086" t="inlineStr">
        <is>
          <t>HÄRJEDALEN</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35813-2023</t>
        </is>
      </c>
      <c r="B1087" s="1" t="n">
        <v>45147</v>
      </c>
      <c r="C1087" s="1" t="n">
        <v>45346</v>
      </c>
      <c r="D1087" t="inlineStr">
        <is>
          <t>JÄMTLANDS LÄN</t>
        </is>
      </c>
      <c r="E1087" t="inlineStr">
        <is>
          <t>HÄRJEDALEN</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35891-2023</t>
        </is>
      </c>
      <c r="B1088" s="1" t="n">
        <v>45148</v>
      </c>
      <c r="C1088" s="1" t="n">
        <v>45346</v>
      </c>
      <c r="D1088" t="inlineStr">
        <is>
          <t>JÄMTLANDS LÄN</t>
        </is>
      </c>
      <c r="E1088" t="inlineStr">
        <is>
          <t>HÄRJEDALEN</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36027-2023</t>
        </is>
      </c>
      <c r="B1089" s="1" t="n">
        <v>45149</v>
      </c>
      <c r="C1089" s="1" t="n">
        <v>45346</v>
      </c>
      <c r="D1089" t="inlineStr">
        <is>
          <t>JÄMTLANDS LÄN</t>
        </is>
      </c>
      <c r="E1089" t="inlineStr">
        <is>
          <t>HÄRJEDALEN</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36111-2023</t>
        </is>
      </c>
      <c r="B1090" s="1" t="n">
        <v>45149</v>
      </c>
      <c r="C1090" s="1" t="n">
        <v>45346</v>
      </c>
      <c r="D1090" t="inlineStr">
        <is>
          <t>JÄMTLANDS LÄN</t>
        </is>
      </c>
      <c r="E1090" t="inlineStr">
        <is>
          <t>HÄRJEDALEN</t>
        </is>
      </c>
      <c r="F1090" t="inlineStr">
        <is>
          <t>Bergvik skog väst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36143-2023</t>
        </is>
      </c>
      <c r="B1091" s="1" t="n">
        <v>45149</v>
      </c>
      <c r="C1091" s="1" t="n">
        <v>45346</v>
      </c>
      <c r="D1091" t="inlineStr">
        <is>
          <t>JÄMTLANDS LÄN</t>
        </is>
      </c>
      <c r="E1091" t="inlineStr">
        <is>
          <t>HÄRJEDALEN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36570-2023</t>
        </is>
      </c>
      <c r="B1092" s="1" t="n">
        <v>45153</v>
      </c>
      <c r="C1092" s="1" t="n">
        <v>45346</v>
      </c>
      <c r="D1092" t="inlineStr">
        <is>
          <t>JÄMTLANDS LÄN</t>
        </is>
      </c>
      <c r="E1092" t="inlineStr">
        <is>
          <t>HÄRJEDALEN</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36565-2023</t>
        </is>
      </c>
      <c r="B1093" s="1" t="n">
        <v>45153</v>
      </c>
      <c r="C1093" s="1" t="n">
        <v>45346</v>
      </c>
      <c r="D1093" t="inlineStr">
        <is>
          <t>JÄMTLANDS LÄN</t>
        </is>
      </c>
      <c r="E1093" t="inlineStr">
        <is>
          <t>HÄRJEDALEN</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36568-2023</t>
        </is>
      </c>
      <c r="B1094" s="1" t="n">
        <v>45153</v>
      </c>
      <c r="C1094" s="1" t="n">
        <v>45346</v>
      </c>
      <c r="D1094" t="inlineStr">
        <is>
          <t>JÄMTLANDS LÄN</t>
        </is>
      </c>
      <c r="E1094" t="inlineStr">
        <is>
          <t>HÄRJEDALEN</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36651-2023</t>
        </is>
      </c>
      <c r="B1095" s="1" t="n">
        <v>45153</v>
      </c>
      <c r="C1095" s="1" t="n">
        <v>45346</v>
      </c>
      <c r="D1095" t="inlineStr">
        <is>
          <t>JÄMTLANDS LÄN</t>
        </is>
      </c>
      <c r="E1095" t="inlineStr">
        <is>
          <t>HÄRJEDALEN</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36720-2023</t>
        </is>
      </c>
      <c r="B1096" s="1" t="n">
        <v>45153</v>
      </c>
      <c r="C1096" s="1" t="n">
        <v>45346</v>
      </c>
      <c r="D1096" t="inlineStr">
        <is>
          <t>JÄMTLANDS LÄN</t>
        </is>
      </c>
      <c r="E1096" t="inlineStr">
        <is>
          <t>HÄRJEDALEN</t>
        </is>
      </c>
      <c r="F1096" t="inlineStr">
        <is>
          <t>Bergvik skog väst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36677-2023</t>
        </is>
      </c>
      <c r="B1097" s="1" t="n">
        <v>45153</v>
      </c>
      <c r="C1097" s="1" t="n">
        <v>45346</v>
      </c>
      <c r="D1097" t="inlineStr">
        <is>
          <t>JÄMTLANDS LÄN</t>
        </is>
      </c>
      <c r="E1097" t="inlineStr">
        <is>
          <t>HÄRJEDALEN</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36921-2023</t>
        </is>
      </c>
      <c r="B1098" s="1" t="n">
        <v>45154</v>
      </c>
      <c r="C1098" s="1" t="n">
        <v>45346</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36926-2023</t>
        </is>
      </c>
      <c r="B1099" s="1" t="n">
        <v>45154</v>
      </c>
      <c r="C1099" s="1" t="n">
        <v>45346</v>
      </c>
      <c r="D1099" t="inlineStr">
        <is>
          <t>JÄMTLANDS LÄN</t>
        </is>
      </c>
      <c r="E1099" t="inlineStr">
        <is>
          <t>HÄRJEDALEN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36930-2023</t>
        </is>
      </c>
      <c r="B1100" s="1" t="n">
        <v>45154</v>
      </c>
      <c r="C1100" s="1" t="n">
        <v>45346</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36946-2023</t>
        </is>
      </c>
      <c r="B1101" s="1" t="n">
        <v>45154</v>
      </c>
      <c r="C1101" s="1" t="n">
        <v>45346</v>
      </c>
      <c r="D1101" t="inlineStr">
        <is>
          <t>JÄMTLANDS LÄN</t>
        </is>
      </c>
      <c r="E1101" t="inlineStr">
        <is>
          <t>HÄRJEDALEN</t>
        </is>
      </c>
      <c r="F1101" t="inlineStr">
        <is>
          <t>Kyrkan</t>
        </is>
      </c>
      <c r="G1101" t="n">
        <v>43.1</v>
      </c>
      <c r="H1101" t="n">
        <v>0</v>
      </c>
      <c r="I1101" t="n">
        <v>0</v>
      </c>
      <c r="J1101" t="n">
        <v>0</v>
      </c>
      <c r="K1101" t="n">
        <v>0</v>
      </c>
      <c r="L1101" t="n">
        <v>0</v>
      </c>
      <c r="M1101" t="n">
        <v>0</v>
      </c>
      <c r="N1101" t="n">
        <v>0</v>
      </c>
      <c r="O1101" t="n">
        <v>0</v>
      </c>
      <c r="P1101" t="n">
        <v>0</v>
      </c>
      <c r="Q1101" t="n">
        <v>0</v>
      </c>
      <c r="R1101" s="2" t="inlineStr"/>
    </row>
    <row r="1102" ht="15" customHeight="1">
      <c r="A1102" t="inlineStr">
        <is>
          <t>A 36840-2023</t>
        </is>
      </c>
      <c r="B1102" s="1" t="n">
        <v>45154</v>
      </c>
      <c r="C1102" s="1" t="n">
        <v>45346</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c r="U1102">
        <f>HYPERLINK("https://klasma.github.io/Logging_2361/knärot/A 36840-2023 karta knärot.png", "A 36840-2023")</f>
        <v/>
      </c>
      <c r="V1102">
        <f>HYPERLINK("https://klasma.github.io/Logging_2361/klagomål/A 36840-2023 FSC-klagomål.docx", "A 36840-2023")</f>
        <v/>
      </c>
      <c r="W1102">
        <f>HYPERLINK("https://klasma.github.io/Logging_2361/klagomålsmail/A 36840-2023 FSC-klagomål mail.docx", "A 36840-2023")</f>
        <v/>
      </c>
      <c r="X1102">
        <f>HYPERLINK("https://klasma.github.io/Logging_2361/tillsyn/A 36840-2023 tillsynsbegäran.docx", "A 36840-2023")</f>
        <v/>
      </c>
      <c r="Y1102">
        <f>HYPERLINK("https://klasma.github.io/Logging_2361/tillsynsmail/A 36840-2023 tillsynsbegäran mail.docx", "A 36840-2023")</f>
        <v/>
      </c>
    </row>
    <row r="1103" ht="15" customHeight="1">
      <c r="A1103" t="inlineStr">
        <is>
          <t>A 37054-2023</t>
        </is>
      </c>
      <c r="B1103" s="1" t="n">
        <v>45154</v>
      </c>
      <c r="C1103" s="1" t="n">
        <v>45346</v>
      </c>
      <c r="D1103" t="inlineStr">
        <is>
          <t>JÄMTLANDS LÄN</t>
        </is>
      </c>
      <c r="E1103" t="inlineStr">
        <is>
          <t>HÄRJEDALEN</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36931-2023</t>
        </is>
      </c>
      <c r="B1104" s="1" t="n">
        <v>45154</v>
      </c>
      <c r="C1104" s="1" t="n">
        <v>45346</v>
      </c>
      <c r="D1104" t="inlineStr">
        <is>
          <t>JÄMTLANDS LÄN</t>
        </is>
      </c>
      <c r="E1104" t="inlineStr">
        <is>
          <t>HÄRJEDALEN</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37315-2023</t>
        </is>
      </c>
      <c r="B1105" s="1" t="n">
        <v>45156</v>
      </c>
      <c r="C1105" s="1" t="n">
        <v>45346</v>
      </c>
      <c r="D1105" t="inlineStr">
        <is>
          <t>JÄMTLANDS LÄN</t>
        </is>
      </c>
      <c r="E1105" t="inlineStr">
        <is>
          <t>HÄRJEDALEN</t>
        </is>
      </c>
      <c r="F1105" t="inlineStr">
        <is>
          <t>Bergvik skog väst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37345-2023</t>
        </is>
      </c>
      <c r="B1106" s="1" t="n">
        <v>45156</v>
      </c>
      <c r="C1106" s="1" t="n">
        <v>45346</v>
      </c>
      <c r="D1106" t="inlineStr">
        <is>
          <t>JÄMTLANDS LÄN</t>
        </is>
      </c>
      <c r="E1106" t="inlineStr">
        <is>
          <t>HÄRJEDALEN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37365-2023</t>
        </is>
      </c>
      <c r="B1107" s="1" t="n">
        <v>45156</v>
      </c>
      <c r="C1107" s="1" t="n">
        <v>45346</v>
      </c>
      <c r="D1107" t="inlineStr">
        <is>
          <t>JÄMTLANDS LÄN</t>
        </is>
      </c>
      <c r="E1107" t="inlineStr">
        <is>
          <t>HÄRJEDALEN</t>
        </is>
      </c>
      <c r="F1107" t="inlineStr">
        <is>
          <t>Bergvik skog väst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37363-2023</t>
        </is>
      </c>
      <c r="B1108" s="1" t="n">
        <v>45156</v>
      </c>
      <c r="C1108" s="1" t="n">
        <v>45346</v>
      </c>
      <c r="D1108" t="inlineStr">
        <is>
          <t>JÄMTLANDS LÄN</t>
        </is>
      </c>
      <c r="E1108" t="inlineStr">
        <is>
          <t>HÄRJEDALEN</t>
        </is>
      </c>
      <c r="F1108" t="inlineStr">
        <is>
          <t>Bergvik skog väst AB</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37638-2023</t>
        </is>
      </c>
      <c r="B1109" s="1" t="n">
        <v>45159</v>
      </c>
      <c r="C1109" s="1" t="n">
        <v>45346</v>
      </c>
      <c r="D1109" t="inlineStr">
        <is>
          <t>JÄMTLANDS LÄN</t>
        </is>
      </c>
      <c r="E1109" t="inlineStr">
        <is>
          <t>HÄRJEDALEN</t>
        </is>
      </c>
      <c r="F1109" t="inlineStr">
        <is>
          <t>Bergvik skog väst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37764-2023</t>
        </is>
      </c>
      <c r="B1110" s="1" t="n">
        <v>45159</v>
      </c>
      <c r="C1110" s="1" t="n">
        <v>45346</v>
      </c>
      <c r="D1110" t="inlineStr">
        <is>
          <t>JÄMTLANDS LÄN</t>
        </is>
      </c>
      <c r="E1110" t="inlineStr">
        <is>
          <t>HÄRJEDALEN</t>
        </is>
      </c>
      <c r="F1110" t="inlineStr">
        <is>
          <t>Bergvik skog väst AB</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37715-2023</t>
        </is>
      </c>
      <c r="B1111" s="1" t="n">
        <v>45159</v>
      </c>
      <c r="C1111" s="1" t="n">
        <v>45346</v>
      </c>
      <c r="D1111" t="inlineStr">
        <is>
          <t>JÄMTLANDS LÄN</t>
        </is>
      </c>
      <c r="E1111" t="inlineStr">
        <is>
          <t>HÄRJEDALEN</t>
        </is>
      </c>
      <c r="G1111" t="n">
        <v>23.3</v>
      </c>
      <c r="H1111" t="n">
        <v>0</v>
      </c>
      <c r="I1111" t="n">
        <v>0</v>
      </c>
      <c r="J1111" t="n">
        <v>0</v>
      </c>
      <c r="K1111" t="n">
        <v>0</v>
      </c>
      <c r="L1111" t="n">
        <v>0</v>
      </c>
      <c r="M1111" t="n">
        <v>0</v>
      </c>
      <c r="N1111" t="n">
        <v>0</v>
      </c>
      <c r="O1111" t="n">
        <v>0</v>
      </c>
      <c r="P1111" t="n">
        <v>0</v>
      </c>
      <c r="Q1111" t="n">
        <v>0</v>
      </c>
      <c r="R1111" s="2" t="inlineStr"/>
    </row>
    <row r="1112" ht="15" customHeight="1">
      <c r="A1112" t="inlineStr">
        <is>
          <t>A 37719-2023</t>
        </is>
      </c>
      <c r="B1112" s="1" t="n">
        <v>45159</v>
      </c>
      <c r="C1112" s="1" t="n">
        <v>45346</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37747-2023</t>
        </is>
      </c>
      <c r="B1113" s="1" t="n">
        <v>45159</v>
      </c>
      <c r="C1113" s="1" t="n">
        <v>45346</v>
      </c>
      <c r="D1113" t="inlineStr">
        <is>
          <t>JÄMTLANDS LÄN</t>
        </is>
      </c>
      <c r="E1113" t="inlineStr">
        <is>
          <t>HÄRJEDALEN</t>
        </is>
      </c>
      <c r="F1113" t="inlineStr">
        <is>
          <t>Bergvik skog väst AB</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37762-2023</t>
        </is>
      </c>
      <c r="B1114" s="1" t="n">
        <v>45159</v>
      </c>
      <c r="C1114" s="1" t="n">
        <v>45346</v>
      </c>
      <c r="D1114" t="inlineStr">
        <is>
          <t>JÄMTLANDS LÄN</t>
        </is>
      </c>
      <c r="E1114" t="inlineStr">
        <is>
          <t>HÄRJEDALEN</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38683-2023</t>
        </is>
      </c>
      <c r="B1115" s="1" t="n">
        <v>45162</v>
      </c>
      <c r="C1115" s="1" t="n">
        <v>45346</v>
      </c>
      <c r="D1115" t="inlineStr">
        <is>
          <t>JÄMTLANDS LÄN</t>
        </is>
      </c>
      <c r="E1115" t="inlineStr">
        <is>
          <t>HÄRJEDALEN</t>
        </is>
      </c>
      <c r="F1115" t="inlineStr">
        <is>
          <t>SCA</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38929-2023</t>
        </is>
      </c>
      <c r="B1116" s="1" t="n">
        <v>45163</v>
      </c>
      <c r="C1116" s="1" t="n">
        <v>45346</v>
      </c>
      <c r="D1116" t="inlineStr">
        <is>
          <t>JÄMTLANDS LÄN</t>
        </is>
      </c>
      <c r="E1116" t="inlineStr">
        <is>
          <t>HÄRJEDALEN</t>
        </is>
      </c>
      <c r="G1116" t="n">
        <v>23.1</v>
      </c>
      <c r="H1116" t="n">
        <v>0</v>
      </c>
      <c r="I1116" t="n">
        <v>0</v>
      </c>
      <c r="J1116" t="n">
        <v>0</v>
      </c>
      <c r="K1116" t="n">
        <v>0</v>
      </c>
      <c r="L1116" t="n">
        <v>0</v>
      </c>
      <c r="M1116" t="n">
        <v>0</v>
      </c>
      <c r="N1116" t="n">
        <v>0</v>
      </c>
      <c r="O1116" t="n">
        <v>0</v>
      </c>
      <c r="P1116" t="n">
        <v>0</v>
      </c>
      <c r="Q1116" t="n">
        <v>0</v>
      </c>
      <c r="R1116" s="2" t="inlineStr"/>
    </row>
    <row r="1117" ht="15" customHeight="1">
      <c r="A1117" t="inlineStr">
        <is>
          <t>A 39158-2023</t>
        </is>
      </c>
      <c r="B1117" s="1" t="n">
        <v>45166</v>
      </c>
      <c r="C1117" s="1" t="n">
        <v>45346</v>
      </c>
      <c r="D1117" t="inlineStr">
        <is>
          <t>JÄMTLANDS LÄN</t>
        </is>
      </c>
      <c r="E1117" t="inlineStr">
        <is>
          <t>HÄRJEDALEN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39355-2023</t>
        </is>
      </c>
      <c r="B1118" s="1" t="n">
        <v>45166</v>
      </c>
      <c r="C1118" s="1" t="n">
        <v>45346</v>
      </c>
      <c r="D1118" t="inlineStr">
        <is>
          <t>JÄMTLANDS LÄN</t>
        </is>
      </c>
      <c r="E1118" t="inlineStr">
        <is>
          <t>HÄRJEDALEN</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39614-2023</t>
        </is>
      </c>
      <c r="B1119" s="1" t="n">
        <v>45167</v>
      </c>
      <c r="C1119" s="1" t="n">
        <v>45346</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39612-2023</t>
        </is>
      </c>
      <c r="B1120" s="1" t="n">
        <v>45167</v>
      </c>
      <c r="C1120" s="1" t="n">
        <v>45346</v>
      </c>
      <c r="D1120" t="inlineStr">
        <is>
          <t>JÄMTLANDS LÄN</t>
        </is>
      </c>
      <c r="E1120" t="inlineStr">
        <is>
          <t>HÄRJEDALEN</t>
        </is>
      </c>
      <c r="F1120" t="inlineStr">
        <is>
          <t>Bergvik skog väst AB</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39649-2023</t>
        </is>
      </c>
      <c r="B1121" s="1" t="n">
        <v>45167</v>
      </c>
      <c r="C1121" s="1" t="n">
        <v>45346</v>
      </c>
      <c r="D1121" t="inlineStr">
        <is>
          <t>JÄMTLANDS LÄN</t>
        </is>
      </c>
      <c r="E1121" t="inlineStr">
        <is>
          <t>HÄRJEDALEN</t>
        </is>
      </c>
      <c r="F1121" t="inlineStr">
        <is>
          <t>Bergvik skog väst AB</t>
        </is>
      </c>
      <c r="G1121" t="n">
        <v>23.6</v>
      </c>
      <c r="H1121" t="n">
        <v>0</v>
      </c>
      <c r="I1121" t="n">
        <v>0</v>
      </c>
      <c r="J1121" t="n">
        <v>0</v>
      </c>
      <c r="K1121" t="n">
        <v>0</v>
      </c>
      <c r="L1121" t="n">
        <v>0</v>
      </c>
      <c r="M1121" t="n">
        <v>0</v>
      </c>
      <c r="N1121" t="n">
        <v>0</v>
      </c>
      <c r="O1121" t="n">
        <v>0</v>
      </c>
      <c r="P1121" t="n">
        <v>0</v>
      </c>
      <c r="Q1121" t="n">
        <v>0</v>
      </c>
      <c r="R1121" s="2" t="inlineStr"/>
    </row>
    <row r="1122" ht="15" customHeight="1">
      <c r="A1122" t="inlineStr">
        <is>
          <t>A 40215-2023</t>
        </is>
      </c>
      <c r="B1122" s="1" t="n">
        <v>45169</v>
      </c>
      <c r="C1122" s="1" t="n">
        <v>45346</v>
      </c>
      <c r="D1122" t="inlineStr">
        <is>
          <t>JÄMTLANDS LÄN</t>
        </is>
      </c>
      <c r="E1122" t="inlineStr">
        <is>
          <t>HÄRJEDALEN</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40217-2023</t>
        </is>
      </c>
      <c r="B1123" s="1" t="n">
        <v>45169</v>
      </c>
      <c r="C1123" s="1" t="n">
        <v>45346</v>
      </c>
      <c r="D1123" t="inlineStr">
        <is>
          <t>JÄMTLANDS LÄN</t>
        </is>
      </c>
      <c r="E1123" t="inlineStr">
        <is>
          <t>HÄRJEDALEN</t>
        </is>
      </c>
      <c r="G1123" t="n">
        <v>23.5</v>
      </c>
      <c r="H1123" t="n">
        <v>0</v>
      </c>
      <c r="I1123" t="n">
        <v>0</v>
      </c>
      <c r="J1123" t="n">
        <v>0</v>
      </c>
      <c r="K1123" t="n">
        <v>0</v>
      </c>
      <c r="L1123" t="n">
        <v>0</v>
      </c>
      <c r="M1123" t="n">
        <v>0</v>
      </c>
      <c r="N1123" t="n">
        <v>0</v>
      </c>
      <c r="O1123" t="n">
        <v>0</v>
      </c>
      <c r="P1123" t="n">
        <v>0</v>
      </c>
      <c r="Q1123" t="n">
        <v>0</v>
      </c>
      <c r="R1123" s="2" t="inlineStr"/>
    </row>
    <row r="1124" ht="15" customHeight="1">
      <c r="A1124" t="inlineStr">
        <is>
          <t>A 40560-2023</t>
        </is>
      </c>
      <c r="B1124" s="1" t="n">
        <v>45170</v>
      </c>
      <c r="C1124" s="1" t="n">
        <v>45346</v>
      </c>
      <c r="D1124" t="inlineStr">
        <is>
          <t>JÄMTLANDS LÄN</t>
        </is>
      </c>
      <c r="E1124" t="inlineStr">
        <is>
          <t>HÄRJEDALEN</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40569-2023</t>
        </is>
      </c>
      <c r="B1125" s="1" t="n">
        <v>45170</v>
      </c>
      <c r="C1125" s="1" t="n">
        <v>45346</v>
      </c>
      <c r="D1125" t="inlineStr">
        <is>
          <t>JÄMTLANDS LÄN</t>
        </is>
      </c>
      <c r="E1125" t="inlineStr">
        <is>
          <t>HÄRJEDALEN</t>
        </is>
      </c>
      <c r="F1125" t="inlineStr">
        <is>
          <t>Holmen skog AB</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40578-2023</t>
        </is>
      </c>
      <c r="B1126" s="1" t="n">
        <v>45170</v>
      </c>
      <c r="C1126" s="1" t="n">
        <v>45346</v>
      </c>
      <c r="D1126" t="inlineStr">
        <is>
          <t>JÄMTLANDS LÄN</t>
        </is>
      </c>
      <c r="E1126" t="inlineStr">
        <is>
          <t>HÄRJEDALEN</t>
        </is>
      </c>
      <c r="F1126" t="inlineStr">
        <is>
          <t>Holmen skog AB</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40664-2023</t>
        </is>
      </c>
      <c r="B1127" s="1" t="n">
        <v>45170</v>
      </c>
      <c r="C1127" s="1" t="n">
        <v>45346</v>
      </c>
      <c r="D1127" t="inlineStr">
        <is>
          <t>JÄMTLANDS LÄN</t>
        </is>
      </c>
      <c r="E1127" t="inlineStr">
        <is>
          <t>HÄRJEDALEN</t>
        </is>
      </c>
      <c r="G1127" t="n">
        <v>65.3</v>
      </c>
      <c r="H1127" t="n">
        <v>0</v>
      </c>
      <c r="I1127" t="n">
        <v>0</v>
      </c>
      <c r="J1127" t="n">
        <v>0</v>
      </c>
      <c r="K1127" t="n">
        <v>0</v>
      </c>
      <c r="L1127" t="n">
        <v>0</v>
      </c>
      <c r="M1127" t="n">
        <v>0</v>
      </c>
      <c r="N1127" t="n">
        <v>0</v>
      </c>
      <c r="O1127" t="n">
        <v>0</v>
      </c>
      <c r="P1127" t="n">
        <v>0</v>
      </c>
      <c r="Q1127" t="n">
        <v>0</v>
      </c>
      <c r="R1127" s="2" t="inlineStr"/>
    </row>
    <row r="1128" ht="15" customHeight="1">
      <c r="A1128" t="inlineStr">
        <is>
          <t>A 40567-2023</t>
        </is>
      </c>
      <c r="B1128" s="1" t="n">
        <v>45170</v>
      </c>
      <c r="C1128" s="1" t="n">
        <v>45346</v>
      </c>
      <c r="D1128" t="inlineStr">
        <is>
          <t>JÄMTLANDS LÄN</t>
        </is>
      </c>
      <c r="E1128" t="inlineStr">
        <is>
          <t>HÄRJEDALEN</t>
        </is>
      </c>
      <c r="F1128" t="inlineStr">
        <is>
          <t>Holmen skog AB</t>
        </is>
      </c>
      <c r="G1128" t="n">
        <v>19.4</v>
      </c>
      <c r="H1128" t="n">
        <v>0</v>
      </c>
      <c r="I1128" t="n">
        <v>0</v>
      </c>
      <c r="J1128" t="n">
        <v>0</v>
      </c>
      <c r="K1128" t="n">
        <v>0</v>
      </c>
      <c r="L1128" t="n">
        <v>0</v>
      </c>
      <c r="M1128" t="n">
        <v>0</v>
      </c>
      <c r="N1128" t="n">
        <v>0</v>
      </c>
      <c r="O1128" t="n">
        <v>0</v>
      </c>
      <c r="P1128" t="n">
        <v>0</v>
      </c>
      <c r="Q1128" t="n">
        <v>0</v>
      </c>
      <c r="R1128" s="2" t="inlineStr"/>
    </row>
    <row r="1129" ht="15" customHeight="1">
      <c r="A1129" t="inlineStr">
        <is>
          <t>A 40573-2023</t>
        </is>
      </c>
      <c r="B1129" s="1" t="n">
        <v>45170</v>
      </c>
      <c r="C1129" s="1" t="n">
        <v>45346</v>
      </c>
      <c r="D1129" t="inlineStr">
        <is>
          <t>JÄMTLANDS LÄN</t>
        </is>
      </c>
      <c r="E1129" t="inlineStr">
        <is>
          <t>HÄRJEDALEN</t>
        </is>
      </c>
      <c r="F1129" t="inlineStr">
        <is>
          <t>Holmen skog AB</t>
        </is>
      </c>
      <c r="G1129" t="n">
        <v>13.1</v>
      </c>
      <c r="H1129" t="n">
        <v>0</v>
      </c>
      <c r="I1129" t="n">
        <v>0</v>
      </c>
      <c r="J1129" t="n">
        <v>0</v>
      </c>
      <c r="K1129" t="n">
        <v>0</v>
      </c>
      <c r="L1129" t="n">
        <v>0</v>
      </c>
      <c r="M1129" t="n">
        <v>0</v>
      </c>
      <c r="N1129" t="n">
        <v>0</v>
      </c>
      <c r="O1129" t="n">
        <v>0</v>
      </c>
      <c r="P1129" t="n">
        <v>0</v>
      </c>
      <c r="Q1129" t="n">
        <v>0</v>
      </c>
      <c r="R1129" s="2" t="inlineStr"/>
    </row>
    <row r="1130" ht="15" customHeight="1">
      <c r="A1130" t="inlineStr">
        <is>
          <t>A 40900-2023</t>
        </is>
      </c>
      <c r="B1130" s="1" t="n">
        <v>45173</v>
      </c>
      <c r="C1130" s="1" t="n">
        <v>45346</v>
      </c>
      <c r="D1130" t="inlineStr">
        <is>
          <t>JÄMTLANDS LÄN</t>
        </is>
      </c>
      <c r="E1130" t="inlineStr">
        <is>
          <t>HÄRJEDALEN</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40904-2023</t>
        </is>
      </c>
      <c r="B1131" s="1" t="n">
        <v>45173</v>
      </c>
      <c r="C1131" s="1" t="n">
        <v>45346</v>
      </c>
      <c r="D1131" t="inlineStr">
        <is>
          <t>JÄMTLANDS LÄN</t>
        </is>
      </c>
      <c r="E1131" t="inlineStr">
        <is>
          <t>HÄRJEDALEN</t>
        </is>
      </c>
      <c r="F1131" t="inlineStr">
        <is>
          <t>Bergvik skog väst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41058-2023</t>
        </is>
      </c>
      <c r="B1132" s="1" t="n">
        <v>45173</v>
      </c>
      <c r="C1132" s="1" t="n">
        <v>45346</v>
      </c>
      <c r="D1132" t="inlineStr">
        <is>
          <t>JÄMTLANDS LÄN</t>
        </is>
      </c>
      <c r="E1132" t="inlineStr">
        <is>
          <t>HÄRJEDALEN</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41094-2023</t>
        </is>
      </c>
      <c r="B1133" s="1" t="n">
        <v>45173</v>
      </c>
      <c r="C1133" s="1" t="n">
        <v>45346</v>
      </c>
      <c r="D1133" t="inlineStr">
        <is>
          <t>JÄMTLANDS LÄN</t>
        </is>
      </c>
      <c r="E1133" t="inlineStr">
        <is>
          <t>HÄRJEDALEN</t>
        </is>
      </c>
      <c r="F1133" t="inlineStr">
        <is>
          <t>Sveaskog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41955-2023</t>
        </is>
      </c>
      <c r="B1134" s="1" t="n">
        <v>45174</v>
      </c>
      <c r="C1134" s="1" t="n">
        <v>45346</v>
      </c>
      <c r="D1134" t="inlineStr">
        <is>
          <t>JÄMTLANDS LÄN</t>
        </is>
      </c>
      <c r="E1134" t="inlineStr">
        <is>
          <t>HÄRJEDALEN</t>
        </is>
      </c>
      <c r="G1134" t="n">
        <v>60.4</v>
      </c>
      <c r="H1134" t="n">
        <v>0</v>
      </c>
      <c r="I1134" t="n">
        <v>0</v>
      </c>
      <c r="J1134" t="n">
        <v>0</v>
      </c>
      <c r="K1134" t="n">
        <v>0</v>
      </c>
      <c r="L1134" t="n">
        <v>0</v>
      </c>
      <c r="M1134" t="n">
        <v>0</v>
      </c>
      <c r="N1134" t="n">
        <v>0</v>
      </c>
      <c r="O1134" t="n">
        <v>0</v>
      </c>
      <c r="P1134" t="n">
        <v>0</v>
      </c>
      <c r="Q1134" t="n">
        <v>0</v>
      </c>
      <c r="R1134" s="2" t="inlineStr"/>
    </row>
    <row r="1135" ht="15" customHeight="1">
      <c r="A1135" t="inlineStr">
        <is>
          <t>A 41555-2023</t>
        </is>
      </c>
      <c r="B1135" s="1" t="n">
        <v>45175</v>
      </c>
      <c r="C1135" s="1" t="n">
        <v>45346</v>
      </c>
      <c r="D1135" t="inlineStr">
        <is>
          <t>JÄMTLANDS LÄN</t>
        </is>
      </c>
      <c r="E1135" t="inlineStr">
        <is>
          <t>HÄRJEDALEN</t>
        </is>
      </c>
      <c r="F1135" t="inlineStr">
        <is>
          <t>Bergvik skog väst AB</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42146-2023</t>
        </is>
      </c>
      <c r="B1136" s="1" t="n">
        <v>45178</v>
      </c>
      <c r="C1136" s="1" t="n">
        <v>45346</v>
      </c>
      <c r="D1136" t="inlineStr">
        <is>
          <t>JÄMTLANDS LÄN</t>
        </is>
      </c>
      <c r="E1136" t="inlineStr">
        <is>
          <t>HÄRJEDALEN</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42143-2023</t>
        </is>
      </c>
      <c r="B1137" s="1" t="n">
        <v>45178</v>
      </c>
      <c r="C1137" s="1" t="n">
        <v>45346</v>
      </c>
      <c r="D1137" t="inlineStr">
        <is>
          <t>JÄMTLANDS LÄN</t>
        </is>
      </c>
      <c r="E1137" t="inlineStr">
        <is>
          <t>HÄRJEDALEN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43192-2023</t>
        </is>
      </c>
      <c r="B1138" s="1" t="n">
        <v>45180</v>
      </c>
      <c r="C1138" s="1" t="n">
        <v>45346</v>
      </c>
      <c r="D1138" t="inlineStr">
        <is>
          <t>JÄMTLANDS LÄN</t>
        </is>
      </c>
      <c r="E1138" t="inlineStr">
        <is>
          <t>HÄRJEDALEN</t>
        </is>
      </c>
      <c r="F1138" t="inlineStr">
        <is>
          <t>Övriga Aktiebolag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43211-2023</t>
        </is>
      </c>
      <c r="B1139" s="1" t="n">
        <v>45180</v>
      </c>
      <c r="C1139" s="1" t="n">
        <v>45346</v>
      </c>
      <c r="D1139" t="inlineStr">
        <is>
          <t>JÄMTLANDS LÄN</t>
        </is>
      </c>
      <c r="E1139" t="inlineStr">
        <is>
          <t>HÄRJEDALEN</t>
        </is>
      </c>
      <c r="F1139" t="inlineStr">
        <is>
          <t>Övriga Aktiebolag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42720-2023</t>
        </is>
      </c>
      <c r="B1140" s="1" t="n">
        <v>45181</v>
      </c>
      <c r="C1140" s="1" t="n">
        <v>45346</v>
      </c>
      <c r="D1140" t="inlineStr">
        <is>
          <t>JÄMTLANDS LÄN</t>
        </is>
      </c>
      <c r="E1140" t="inlineStr">
        <is>
          <t>HÄRJEDALEN</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43503-2023</t>
        </is>
      </c>
      <c r="B1141" s="1" t="n">
        <v>45184</v>
      </c>
      <c r="C1141" s="1" t="n">
        <v>45346</v>
      </c>
      <c r="D1141" t="inlineStr">
        <is>
          <t>JÄMTLANDS LÄN</t>
        </is>
      </c>
      <c r="E1141" t="inlineStr">
        <is>
          <t>HÄRJEDALEN</t>
        </is>
      </c>
      <c r="F1141" t="inlineStr">
        <is>
          <t>Bergvik skog väst AB</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43481-2023</t>
        </is>
      </c>
      <c r="B1142" s="1" t="n">
        <v>45184</v>
      </c>
      <c r="C1142" s="1" t="n">
        <v>45346</v>
      </c>
      <c r="D1142" t="inlineStr">
        <is>
          <t>JÄMTLANDS LÄN</t>
        </is>
      </c>
      <c r="E1142" t="inlineStr">
        <is>
          <t>HÄRJEDALEN</t>
        </is>
      </c>
      <c r="F1142" t="inlineStr">
        <is>
          <t>Bergvik skog väst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43870-2023</t>
        </is>
      </c>
      <c r="B1143" s="1" t="n">
        <v>45187</v>
      </c>
      <c r="C1143" s="1" t="n">
        <v>45346</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43804-2023</t>
        </is>
      </c>
      <c r="B1144" s="1" t="n">
        <v>45187</v>
      </c>
      <c r="C1144" s="1" t="n">
        <v>45346</v>
      </c>
      <c r="D1144" t="inlineStr">
        <is>
          <t>JÄMTLANDS LÄN</t>
        </is>
      </c>
      <c r="E1144" t="inlineStr">
        <is>
          <t>HÄRJEDALEN</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43811-2023</t>
        </is>
      </c>
      <c r="B1145" s="1" t="n">
        <v>45187</v>
      </c>
      <c r="C1145" s="1" t="n">
        <v>45346</v>
      </c>
      <c r="D1145" t="inlineStr">
        <is>
          <t>JÄMTLANDS LÄN</t>
        </is>
      </c>
      <c r="E1145" t="inlineStr">
        <is>
          <t>HÄRJEDALEN</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43820-2023</t>
        </is>
      </c>
      <c r="B1146" s="1" t="n">
        <v>45187</v>
      </c>
      <c r="C1146" s="1" t="n">
        <v>45346</v>
      </c>
      <c r="D1146" t="inlineStr">
        <is>
          <t>JÄMTLANDS LÄN</t>
        </is>
      </c>
      <c r="E1146" t="inlineStr">
        <is>
          <t>HÄRJEDALEN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44102-2023</t>
        </is>
      </c>
      <c r="B1147" s="1" t="n">
        <v>45188</v>
      </c>
      <c r="C1147" s="1" t="n">
        <v>45346</v>
      </c>
      <c r="D1147" t="inlineStr">
        <is>
          <t>JÄMTLANDS LÄN</t>
        </is>
      </c>
      <c r="E1147" t="inlineStr">
        <is>
          <t>HÄRJEDALEN</t>
        </is>
      </c>
      <c r="F1147" t="inlineStr">
        <is>
          <t>Bergvik skog väst AB</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44270-2023</t>
        </is>
      </c>
      <c r="B1148" s="1" t="n">
        <v>45188</v>
      </c>
      <c r="C1148" s="1" t="n">
        <v>45346</v>
      </c>
      <c r="D1148" t="inlineStr">
        <is>
          <t>JÄMTLANDS LÄN</t>
        </is>
      </c>
      <c r="E1148" t="inlineStr">
        <is>
          <t>HÄRJEDALEN</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45640-2023</t>
        </is>
      </c>
      <c r="B1149" s="1" t="n">
        <v>45188</v>
      </c>
      <c r="C1149" s="1" t="n">
        <v>45346</v>
      </c>
      <c r="D1149" t="inlineStr">
        <is>
          <t>JÄMTLANDS LÄN</t>
        </is>
      </c>
      <c r="E1149" t="inlineStr">
        <is>
          <t>HÄRJEDALEN</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45179-2023</t>
        </is>
      </c>
      <c r="B1150" s="1" t="n">
        <v>45191</v>
      </c>
      <c r="C1150" s="1" t="n">
        <v>45346</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45143-2023</t>
        </is>
      </c>
      <c r="B1151" s="1" t="n">
        <v>45191</v>
      </c>
      <c r="C1151" s="1" t="n">
        <v>45346</v>
      </c>
      <c r="D1151" t="inlineStr">
        <is>
          <t>JÄMTLANDS LÄN</t>
        </is>
      </c>
      <c r="E1151" t="inlineStr">
        <is>
          <t>HÄRJEDALEN</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45274-2023</t>
        </is>
      </c>
      <c r="B1152" s="1" t="n">
        <v>45191</v>
      </c>
      <c r="C1152" s="1" t="n">
        <v>45346</v>
      </c>
      <c r="D1152" t="inlineStr">
        <is>
          <t>JÄMTLANDS LÄN</t>
        </is>
      </c>
      <c r="E1152" t="inlineStr">
        <is>
          <t>HÄRJEDALEN</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45491-2023</t>
        </is>
      </c>
      <c r="B1153" s="1" t="n">
        <v>45194</v>
      </c>
      <c r="C1153" s="1" t="n">
        <v>45346</v>
      </c>
      <c r="D1153" t="inlineStr">
        <is>
          <t>JÄMTLANDS LÄN</t>
        </is>
      </c>
      <c r="E1153" t="inlineStr">
        <is>
          <t>HÄRJEDALEN</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45495-2023</t>
        </is>
      </c>
      <c r="B1154" s="1" t="n">
        <v>45194</v>
      </c>
      <c r="C1154" s="1" t="n">
        <v>45346</v>
      </c>
      <c r="D1154" t="inlineStr">
        <is>
          <t>JÄMTLANDS LÄN</t>
        </is>
      </c>
      <c r="E1154" t="inlineStr">
        <is>
          <t>HÄRJEDALEN</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45613-2023</t>
        </is>
      </c>
      <c r="B1155" s="1" t="n">
        <v>45194</v>
      </c>
      <c r="C1155" s="1" t="n">
        <v>45346</v>
      </c>
      <c r="D1155" t="inlineStr">
        <is>
          <t>JÄMTLANDS LÄN</t>
        </is>
      </c>
      <c r="E1155" t="inlineStr">
        <is>
          <t>HÄRJEDALEN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45636-2023</t>
        </is>
      </c>
      <c r="B1156" s="1" t="n">
        <v>45194</v>
      </c>
      <c r="C1156" s="1" t="n">
        <v>45346</v>
      </c>
      <c r="D1156" t="inlineStr">
        <is>
          <t>JÄMTLANDS LÄN</t>
        </is>
      </c>
      <c r="E1156" t="inlineStr">
        <is>
          <t>HÄRJEDALEN</t>
        </is>
      </c>
      <c r="F1156" t="inlineStr">
        <is>
          <t>Bergvik skog väst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45616-2023</t>
        </is>
      </c>
      <c r="B1157" s="1" t="n">
        <v>45194</v>
      </c>
      <c r="C1157" s="1" t="n">
        <v>45346</v>
      </c>
      <c r="D1157" t="inlineStr">
        <is>
          <t>JÄMTLANDS LÄN</t>
        </is>
      </c>
      <c r="E1157" t="inlineStr">
        <is>
          <t>HÄRJEDALEN</t>
        </is>
      </c>
      <c r="G1157" t="n">
        <v>10.3</v>
      </c>
      <c r="H1157" t="n">
        <v>0</v>
      </c>
      <c r="I1157" t="n">
        <v>0</v>
      </c>
      <c r="J1157" t="n">
        <v>0</v>
      </c>
      <c r="K1157" t="n">
        <v>0</v>
      </c>
      <c r="L1157" t="n">
        <v>0</v>
      </c>
      <c r="M1157" t="n">
        <v>0</v>
      </c>
      <c r="N1157" t="n">
        <v>0</v>
      </c>
      <c r="O1157" t="n">
        <v>0</v>
      </c>
      <c r="P1157" t="n">
        <v>0</v>
      </c>
      <c r="Q1157" t="n">
        <v>0</v>
      </c>
      <c r="R1157" s="2" t="inlineStr"/>
    </row>
    <row r="1158" ht="15" customHeight="1">
      <c r="A1158" t="inlineStr">
        <is>
          <t>A 45684-2023</t>
        </is>
      </c>
      <c r="B1158" s="1" t="n">
        <v>45195</v>
      </c>
      <c r="C1158" s="1" t="n">
        <v>45346</v>
      </c>
      <c r="D1158" t="inlineStr">
        <is>
          <t>JÄMTLANDS LÄN</t>
        </is>
      </c>
      <c r="E1158" t="inlineStr">
        <is>
          <t>HÄRJEDALEN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45716-2023</t>
        </is>
      </c>
      <c r="B1159" s="1" t="n">
        <v>45195</v>
      </c>
      <c r="C1159" s="1" t="n">
        <v>45346</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45720-2023</t>
        </is>
      </c>
      <c r="B1160" s="1" t="n">
        <v>45195</v>
      </c>
      <c r="C1160" s="1" t="n">
        <v>45346</v>
      </c>
      <c r="D1160" t="inlineStr">
        <is>
          <t>JÄMTLANDS LÄN</t>
        </is>
      </c>
      <c r="E1160" t="inlineStr">
        <is>
          <t>HÄRJEDALEN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45747-2023</t>
        </is>
      </c>
      <c r="B1161" s="1" t="n">
        <v>45195</v>
      </c>
      <c r="C1161" s="1" t="n">
        <v>45346</v>
      </c>
      <c r="D1161" t="inlineStr">
        <is>
          <t>JÄMTLANDS LÄN</t>
        </is>
      </c>
      <c r="E1161" t="inlineStr">
        <is>
          <t>HÄRJEDALEN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45864-2023</t>
        </is>
      </c>
      <c r="B1162" s="1" t="n">
        <v>45195</v>
      </c>
      <c r="C1162" s="1" t="n">
        <v>45346</v>
      </c>
      <c r="D1162" t="inlineStr">
        <is>
          <t>JÄMTLANDS LÄN</t>
        </is>
      </c>
      <c r="E1162" t="inlineStr">
        <is>
          <t>HÄRJEDALEN</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45843-2023</t>
        </is>
      </c>
      <c r="B1163" s="1" t="n">
        <v>45195</v>
      </c>
      <c r="C1163" s="1" t="n">
        <v>45346</v>
      </c>
      <c r="D1163" t="inlineStr">
        <is>
          <t>JÄMTLANDS LÄN</t>
        </is>
      </c>
      <c r="E1163" t="inlineStr">
        <is>
          <t>HÄRJEDALEN</t>
        </is>
      </c>
      <c r="G1163" t="n">
        <v>19.5</v>
      </c>
      <c r="H1163" t="n">
        <v>0</v>
      </c>
      <c r="I1163" t="n">
        <v>0</v>
      </c>
      <c r="J1163" t="n">
        <v>0</v>
      </c>
      <c r="K1163" t="n">
        <v>0</v>
      </c>
      <c r="L1163" t="n">
        <v>0</v>
      </c>
      <c r="M1163" t="n">
        <v>0</v>
      </c>
      <c r="N1163" t="n">
        <v>0</v>
      </c>
      <c r="O1163" t="n">
        <v>0</v>
      </c>
      <c r="P1163" t="n">
        <v>0</v>
      </c>
      <c r="Q1163" t="n">
        <v>0</v>
      </c>
      <c r="R1163" s="2" t="inlineStr"/>
    </row>
    <row r="1164" ht="15" customHeight="1">
      <c r="A1164" t="inlineStr">
        <is>
          <t>A 45999-2023</t>
        </is>
      </c>
      <c r="B1164" s="1" t="n">
        <v>45196</v>
      </c>
      <c r="C1164" s="1" t="n">
        <v>45346</v>
      </c>
      <c r="D1164" t="inlineStr">
        <is>
          <t>JÄMTLANDS LÄN</t>
        </is>
      </c>
      <c r="E1164" t="inlineStr">
        <is>
          <t>HÄRJEDALEN</t>
        </is>
      </c>
      <c r="F1164" t="inlineStr">
        <is>
          <t>Bergvik skog väst AB</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46383-2023</t>
        </is>
      </c>
      <c r="B1165" s="1" t="n">
        <v>45197</v>
      </c>
      <c r="C1165" s="1" t="n">
        <v>45346</v>
      </c>
      <c r="D1165" t="inlineStr">
        <is>
          <t>JÄMTLANDS LÄN</t>
        </is>
      </c>
      <c r="E1165" t="inlineStr">
        <is>
          <t>HÄRJEDALEN</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46394-2023</t>
        </is>
      </c>
      <c r="B1166" s="1" t="n">
        <v>45197</v>
      </c>
      <c r="C1166" s="1" t="n">
        <v>45346</v>
      </c>
      <c r="D1166" t="inlineStr">
        <is>
          <t>JÄMTLANDS LÄN</t>
        </is>
      </c>
      <c r="E1166" t="inlineStr">
        <is>
          <t>HÄRJEDALEN</t>
        </is>
      </c>
      <c r="F1166" t="inlineStr">
        <is>
          <t>Bergvik skog väst AB</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46633-2023</t>
        </is>
      </c>
      <c r="B1167" s="1" t="n">
        <v>45198</v>
      </c>
      <c r="C1167" s="1" t="n">
        <v>45346</v>
      </c>
      <c r="D1167" t="inlineStr">
        <is>
          <t>JÄMTLANDS LÄN</t>
        </is>
      </c>
      <c r="E1167" t="inlineStr">
        <is>
          <t>HÄRJEDALEN</t>
        </is>
      </c>
      <c r="F1167" t="inlineStr">
        <is>
          <t>Bergvik skog väst AB</t>
        </is>
      </c>
      <c r="G1167" t="n">
        <v>13.3</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45346</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45346</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45346</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45346</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45346</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45346</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45346</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45346</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45346</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45346</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45346</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45346</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45346</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45346</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45346</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45346</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45346</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45346</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45346</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45346</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45346</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45346</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45346</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45346</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45346</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45346</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45346</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45346</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45346</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45346</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45346</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45346</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45346</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45346</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45346</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45346</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45346</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45346</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45346</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45346</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45346</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45346</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45346</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45346</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45346</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45346</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45346</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45346</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45346</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45346</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45346</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45346</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45346</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45346</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45346</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45346</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45346</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45346</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45346</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45346</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45346</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45346</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45346</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45346</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45346</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45346</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45346</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45346</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45346</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45346</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45346</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45346</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45346</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45346</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56483-2023</t>
        </is>
      </c>
      <c r="B1242" s="1" t="n">
        <v>45243</v>
      </c>
      <c r="C1242" s="1" t="n">
        <v>45346</v>
      </c>
      <c r="D1242" t="inlineStr">
        <is>
          <t>JÄMTLANDS LÄN</t>
        </is>
      </c>
      <c r="E1242" t="inlineStr">
        <is>
          <t>HÄRJEDALEN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45346</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45346</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45346</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45346</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45346</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45346</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45346</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45346</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45346</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45346</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45346</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45346</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45346</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45346</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45346</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45346</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45346</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45346</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45346</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45346</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45346</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45346</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45346</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45346</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45346</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59750-2023</t>
        </is>
      </c>
      <c r="B1268" s="1" t="n">
        <v>45257</v>
      </c>
      <c r="C1268" s="1" t="n">
        <v>45346</v>
      </c>
      <c r="D1268" t="inlineStr">
        <is>
          <t>JÄMTLANDS LÄN</t>
        </is>
      </c>
      <c r="E1268" t="inlineStr">
        <is>
          <t>HÄRJEDALEN</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60521-2023</t>
        </is>
      </c>
      <c r="B1269" s="1" t="n">
        <v>45259</v>
      </c>
      <c r="C1269" s="1" t="n">
        <v>45346</v>
      </c>
      <c r="D1269" t="inlineStr">
        <is>
          <t>JÄMTLANDS LÄN</t>
        </is>
      </c>
      <c r="E1269" t="inlineStr">
        <is>
          <t>HÄRJEDALEN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60611-2023</t>
        </is>
      </c>
      <c r="B1270" s="1" t="n">
        <v>45260</v>
      </c>
      <c r="C1270" s="1" t="n">
        <v>45346</v>
      </c>
      <c r="D1270" t="inlineStr">
        <is>
          <t>JÄMTLANDS LÄN</t>
        </is>
      </c>
      <c r="E1270" t="inlineStr">
        <is>
          <t>HÄRJEDALEN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60749-2023</t>
        </is>
      </c>
      <c r="B1271" s="1" t="n">
        <v>45260</v>
      </c>
      <c r="C1271" s="1" t="n">
        <v>45346</v>
      </c>
      <c r="D1271" t="inlineStr">
        <is>
          <t>JÄMTLANDS LÄN</t>
        </is>
      </c>
      <c r="E1271" t="inlineStr">
        <is>
          <t>HÄRJEDALEN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61465-2023</t>
        </is>
      </c>
      <c r="B1272" s="1" t="n">
        <v>45264</v>
      </c>
      <c r="C1272" s="1" t="n">
        <v>45346</v>
      </c>
      <c r="D1272" t="inlineStr">
        <is>
          <t>JÄMTLANDS LÄN</t>
        </is>
      </c>
      <c r="E1272" t="inlineStr">
        <is>
          <t>HÄRJEDALEN</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61751-2023</t>
        </is>
      </c>
      <c r="B1273" s="1" t="n">
        <v>45265</v>
      </c>
      <c r="C1273" s="1" t="n">
        <v>45346</v>
      </c>
      <c r="D1273" t="inlineStr">
        <is>
          <t>JÄMTLANDS LÄN</t>
        </is>
      </c>
      <c r="E1273" t="inlineStr">
        <is>
          <t>HÄRJEDALEN</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62482-2023</t>
        </is>
      </c>
      <c r="B1274" s="1" t="n">
        <v>45268</v>
      </c>
      <c r="C1274" s="1" t="n">
        <v>45346</v>
      </c>
      <c r="D1274" t="inlineStr">
        <is>
          <t>JÄMTLANDS LÄN</t>
        </is>
      </c>
      <c r="E1274" t="inlineStr">
        <is>
          <t>HÄRJEDALEN</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62784-2023</t>
        </is>
      </c>
      <c r="B1275" s="1" t="n">
        <v>45271</v>
      </c>
      <c r="C1275" s="1" t="n">
        <v>45346</v>
      </c>
      <c r="D1275" t="inlineStr">
        <is>
          <t>JÄMTLANDS LÄN</t>
        </is>
      </c>
      <c r="E1275" t="inlineStr">
        <is>
          <t>HÄRJEDALEN</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63323-2023</t>
        </is>
      </c>
      <c r="B1276" s="1" t="n">
        <v>45274</v>
      </c>
      <c r="C1276" s="1" t="n">
        <v>45346</v>
      </c>
      <c r="D1276" t="inlineStr">
        <is>
          <t>JÄMTLANDS LÄN</t>
        </is>
      </c>
      <c r="E1276" t="inlineStr">
        <is>
          <t>HÄRJEDALEN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45346</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63546-2023</t>
        </is>
      </c>
      <c r="B1278" s="1" t="n">
        <v>45275</v>
      </c>
      <c r="C1278" s="1" t="n">
        <v>45346</v>
      </c>
      <c r="D1278" t="inlineStr">
        <is>
          <t>JÄMTLANDS LÄN</t>
        </is>
      </c>
      <c r="E1278" t="inlineStr">
        <is>
          <t>HÄRJEDALEN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45346</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63934-2023</t>
        </is>
      </c>
      <c r="B1280" s="1" t="n">
        <v>45278</v>
      </c>
      <c r="C1280" s="1" t="n">
        <v>45346</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45346</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64144-2023</t>
        </is>
      </c>
      <c r="B1282" s="1" t="n">
        <v>45279</v>
      </c>
      <c r="C1282" s="1" t="n">
        <v>45346</v>
      </c>
      <c r="D1282" t="inlineStr">
        <is>
          <t>JÄMTLANDS LÄN</t>
        </is>
      </c>
      <c r="E1282" t="inlineStr">
        <is>
          <t>HÄRJEDALEN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64165-2023</t>
        </is>
      </c>
      <c r="B1283" s="1" t="n">
        <v>45279</v>
      </c>
      <c r="C1283" s="1" t="n">
        <v>45346</v>
      </c>
      <c r="D1283" t="inlineStr">
        <is>
          <t>JÄMTLANDS LÄN</t>
        </is>
      </c>
      <c r="E1283" t="inlineStr">
        <is>
          <t>HÄRJEDALEN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45346</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45346</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64484-2023</t>
        </is>
      </c>
      <c r="B1286" s="1" t="n">
        <v>45280</v>
      </c>
      <c r="C1286" s="1" t="n">
        <v>45346</v>
      </c>
      <c r="D1286" t="inlineStr">
        <is>
          <t>JÄMTLANDS LÄN</t>
        </is>
      </c>
      <c r="E1286" t="inlineStr">
        <is>
          <t>HÄRJEDALEN</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45346</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64630-2023</t>
        </is>
      </c>
      <c r="B1288" s="1" t="n">
        <v>45281</v>
      </c>
      <c r="C1288" s="1" t="n">
        <v>45346</v>
      </c>
      <c r="D1288" t="inlineStr">
        <is>
          <t>JÄMTLANDS LÄN</t>
        </is>
      </c>
      <c r="E1288" t="inlineStr">
        <is>
          <t>HÄRJEDALEN</t>
        </is>
      </c>
      <c r="G1288" t="n">
        <v>82.2</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45346</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64645-2023</t>
        </is>
      </c>
      <c r="B1290" s="1" t="n">
        <v>45281</v>
      </c>
      <c r="C1290" s="1" t="n">
        <v>45346</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64909-2023</t>
        </is>
      </c>
      <c r="B1291" s="1" t="n">
        <v>45282</v>
      </c>
      <c r="C1291" s="1" t="n">
        <v>45346</v>
      </c>
      <c r="D1291" t="inlineStr">
        <is>
          <t>JÄMTLANDS LÄN</t>
        </is>
      </c>
      <c r="E1291" t="inlineStr">
        <is>
          <t>HÄRJEDALEN</t>
        </is>
      </c>
      <c r="F1291" t="inlineStr">
        <is>
          <t>Holmen skog AB</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65032-2023</t>
        </is>
      </c>
      <c r="B1292" s="1" t="n">
        <v>45287</v>
      </c>
      <c r="C1292" s="1" t="n">
        <v>45346</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65152-2023</t>
        </is>
      </c>
      <c r="B1293" s="1" t="n">
        <v>45288</v>
      </c>
      <c r="C1293" s="1" t="n">
        <v>45346</v>
      </c>
      <c r="D1293" t="inlineStr">
        <is>
          <t>JÄMTLANDS LÄN</t>
        </is>
      </c>
      <c r="E1293" t="inlineStr">
        <is>
          <t>HÄRJEDALEN</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65150-2023</t>
        </is>
      </c>
      <c r="B1294" s="1" t="n">
        <v>45288</v>
      </c>
      <c r="C1294" s="1" t="n">
        <v>45346</v>
      </c>
      <c r="D1294" t="inlineStr">
        <is>
          <t>JÄMTLANDS LÄN</t>
        </is>
      </c>
      <c r="E1294" t="inlineStr">
        <is>
          <t>HÄRJEDALEN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65248-2023</t>
        </is>
      </c>
      <c r="B1295" s="1" t="n">
        <v>45290</v>
      </c>
      <c r="C1295" s="1" t="n">
        <v>45346</v>
      </c>
      <c r="D1295" t="inlineStr">
        <is>
          <t>JÄMTLANDS LÄN</t>
        </is>
      </c>
      <c r="E1295" t="inlineStr">
        <is>
          <t>HÄRJEDALEN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45346</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54-2024</t>
        </is>
      </c>
      <c r="B1297" s="1" t="n">
        <v>45293</v>
      </c>
      <c r="C1297" s="1" t="n">
        <v>45346</v>
      </c>
      <c r="D1297" t="inlineStr">
        <is>
          <t>JÄMTLANDS LÄN</t>
        </is>
      </c>
      <c r="E1297" t="inlineStr">
        <is>
          <t>HÄRJEDALEN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1211-2024</t>
        </is>
      </c>
      <c r="B1298" s="1" t="n">
        <v>45302</v>
      </c>
      <c r="C1298" s="1" t="n">
        <v>45346</v>
      </c>
      <c r="D1298" t="inlineStr">
        <is>
          <t>JÄMTLANDS LÄN</t>
        </is>
      </c>
      <c r="E1298" t="inlineStr">
        <is>
          <t>HÄRJEDALEN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1366-2024</t>
        </is>
      </c>
      <c r="B1299" s="1" t="n">
        <v>45303</v>
      </c>
      <c r="C1299" s="1" t="n">
        <v>45346</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1398-2024</t>
        </is>
      </c>
      <c r="B1300" s="1" t="n">
        <v>45303</v>
      </c>
      <c r="C1300" s="1" t="n">
        <v>45346</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45346</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1361-2024</t>
        </is>
      </c>
      <c r="B1302" s="1" t="n">
        <v>45303</v>
      </c>
      <c r="C1302" s="1" t="n">
        <v>45346</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1587-2024</t>
        </is>
      </c>
      <c r="B1303" s="1" t="n">
        <v>45306</v>
      </c>
      <c r="C1303" s="1" t="n">
        <v>45346</v>
      </c>
      <c r="D1303" t="inlineStr">
        <is>
          <t>JÄMTLANDS LÄN</t>
        </is>
      </c>
      <c r="E1303" t="inlineStr">
        <is>
          <t>HÄRJEDALEN</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1952-2024</t>
        </is>
      </c>
      <c r="B1304" s="1" t="n">
        <v>45308</v>
      </c>
      <c r="C1304" s="1" t="n">
        <v>45346</v>
      </c>
      <c r="D1304" t="inlineStr">
        <is>
          <t>JÄMTLANDS LÄN</t>
        </is>
      </c>
      <c r="E1304" t="inlineStr">
        <is>
          <t>HÄRJEDALEN</t>
        </is>
      </c>
      <c r="F1304" t="inlineStr">
        <is>
          <t>Kyrkan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2066-2024</t>
        </is>
      </c>
      <c r="B1305" s="1" t="n">
        <v>45308</v>
      </c>
      <c r="C1305" s="1" t="n">
        <v>45346</v>
      </c>
      <c r="D1305" t="inlineStr">
        <is>
          <t>JÄMTLANDS LÄN</t>
        </is>
      </c>
      <c r="E1305" t="inlineStr">
        <is>
          <t>HÄRJEDALEN</t>
        </is>
      </c>
      <c r="G1305" t="n">
        <v>23.2</v>
      </c>
      <c r="H1305" t="n">
        <v>0</v>
      </c>
      <c r="I1305" t="n">
        <v>0</v>
      </c>
      <c r="J1305" t="n">
        <v>0</v>
      </c>
      <c r="K1305" t="n">
        <v>0</v>
      </c>
      <c r="L1305" t="n">
        <v>0</v>
      </c>
      <c r="M1305" t="n">
        <v>0</v>
      </c>
      <c r="N1305" t="n">
        <v>0</v>
      </c>
      <c r="O1305" t="n">
        <v>0</v>
      </c>
      <c r="P1305" t="n">
        <v>0</v>
      </c>
      <c r="Q1305" t="n">
        <v>0</v>
      </c>
      <c r="R1305" s="2" t="inlineStr"/>
    </row>
    <row r="1306" ht="15" customHeight="1">
      <c r="A1306" t="inlineStr">
        <is>
          <t>A 2185-2024</t>
        </is>
      </c>
      <c r="B1306" s="1" t="n">
        <v>45309</v>
      </c>
      <c r="C1306" s="1" t="n">
        <v>45346</v>
      </c>
      <c r="D1306" t="inlineStr">
        <is>
          <t>JÄMTLANDS LÄN</t>
        </is>
      </c>
      <c r="E1306" t="inlineStr">
        <is>
          <t>HÄRJEDALEN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4533-2024</t>
        </is>
      </c>
      <c r="B1307" s="1" t="n">
        <v>45327</v>
      </c>
      <c r="C1307" s="1" t="n">
        <v>45346</v>
      </c>
      <c r="D1307" t="inlineStr">
        <is>
          <t>JÄMTLANDS LÄN</t>
        </is>
      </c>
      <c r="E1307" t="inlineStr">
        <is>
          <t>HÄRJEDALEN</t>
        </is>
      </c>
      <c r="F1307" t="inlineStr">
        <is>
          <t>Övriga statliga verk och myndigheter</t>
        </is>
      </c>
      <c r="G1307" t="n">
        <v>21.1</v>
      </c>
      <c r="H1307" t="n">
        <v>0</v>
      </c>
      <c r="I1307" t="n">
        <v>0</v>
      </c>
      <c r="J1307" t="n">
        <v>0</v>
      </c>
      <c r="K1307" t="n">
        <v>0</v>
      </c>
      <c r="L1307" t="n">
        <v>0</v>
      </c>
      <c r="M1307" t="n">
        <v>0</v>
      </c>
      <c r="N1307" t="n">
        <v>0</v>
      </c>
      <c r="O1307" t="n">
        <v>0</v>
      </c>
      <c r="P1307" t="n">
        <v>0</v>
      </c>
      <c r="Q1307" t="n">
        <v>0</v>
      </c>
      <c r="R1307" s="2" t="inlineStr"/>
    </row>
    <row r="1308" ht="15" customHeight="1">
      <c r="A1308" t="inlineStr">
        <is>
          <t>A 5630-2024</t>
        </is>
      </c>
      <c r="B1308" s="1" t="n">
        <v>45334</v>
      </c>
      <c r="C1308" s="1" t="n">
        <v>45346</v>
      </c>
      <c r="D1308" t="inlineStr">
        <is>
          <t>JÄMTLANDS LÄN</t>
        </is>
      </c>
      <c r="E1308" t="inlineStr">
        <is>
          <t>HÄRJEDALEN</t>
        </is>
      </c>
      <c r="F1308" t="inlineStr">
        <is>
          <t>Övriga statliga verk och myndigheter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5913-2024</t>
        </is>
      </c>
      <c r="B1309" s="1" t="n">
        <v>45335</v>
      </c>
      <c r="C1309" s="1" t="n">
        <v>45346</v>
      </c>
      <c r="D1309" t="inlineStr">
        <is>
          <t>JÄMTLANDS LÄN</t>
        </is>
      </c>
      <c r="E1309" t="inlineStr">
        <is>
          <t>HÄRJEDALEN</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5912-2024</t>
        </is>
      </c>
      <c r="B1310" s="1" t="n">
        <v>45335</v>
      </c>
      <c r="C1310" s="1" t="n">
        <v>45346</v>
      </c>
      <c r="D1310" t="inlineStr">
        <is>
          <t>JÄMTLANDS LÄN</t>
        </is>
      </c>
      <c r="E1310" t="inlineStr">
        <is>
          <t>HÄRJEDALEN</t>
        </is>
      </c>
      <c r="G1310" t="n">
        <v>39.3</v>
      </c>
      <c r="H1310" t="n">
        <v>0</v>
      </c>
      <c r="I1310" t="n">
        <v>0</v>
      </c>
      <c r="J1310" t="n">
        <v>0</v>
      </c>
      <c r="K1310" t="n">
        <v>0</v>
      </c>
      <c r="L1310" t="n">
        <v>0</v>
      </c>
      <c r="M1310" t="n">
        <v>0</v>
      </c>
      <c r="N1310" t="n">
        <v>0</v>
      </c>
      <c r="O1310" t="n">
        <v>0</v>
      </c>
      <c r="P1310" t="n">
        <v>0</v>
      </c>
      <c r="Q1310" t="n">
        <v>0</v>
      </c>
      <c r="R1310" s="2" t="inlineStr"/>
    </row>
    <row r="1311" ht="15" customHeight="1">
      <c r="A1311" t="inlineStr">
        <is>
          <t>A 6286-2024</t>
        </is>
      </c>
      <c r="B1311" s="1" t="n">
        <v>45337</v>
      </c>
      <c r="C1311" s="1" t="n">
        <v>45346</v>
      </c>
      <c r="D1311" t="inlineStr">
        <is>
          <t>JÄMTLANDS LÄN</t>
        </is>
      </c>
      <c r="E1311" t="inlineStr">
        <is>
          <t>HÄRJEDALEN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6218-2024</t>
        </is>
      </c>
      <c r="B1312" s="1" t="n">
        <v>45337</v>
      </c>
      <c r="C1312" s="1" t="n">
        <v>45346</v>
      </c>
      <c r="D1312" t="inlineStr">
        <is>
          <t>JÄMTLANDS LÄN</t>
        </is>
      </c>
      <c r="E1312" t="inlineStr">
        <is>
          <t>HÄRJEDALEN</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6304-2024</t>
        </is>
      </c>
      <c r="B1313" s="1" t="n">
        <v>45338</v>
      </c>
      <c r="C1313" s="1" t="n">
        <v>45346</v>
      </c>
      <c r="D1313" t="inlineStr">
        <is>
          <t>JÄMTLANDS LÄN</t>
        </is>
      </c>
      <c r="E1313" t="inlineStr">
        <is>
          <t>HÄRJEDALEN</t>
        </is>
      </c>
      <c r="F1313" t="inlineStr">
        <is>
          <t>Bergvik skog väst AB</t>
        </is>
      </c>
      <c r="G1313" t="n">
        <v>23.5</v>
      </c>
      <c r="H1313" t="n">
        <v>0</v>
      </c>
      <c r="I1313" t="n">
        <v>0</v>
      </c>
      <c r="J1313" t="n">
        <v>0</v>
      </c>
      <c r="K1313" t="n">
        <v>0</v>
      </c>
      <c r="L1313" t="n">
        <v>0</v>
      </c>
      <c r="M1313" t="n">
        <v>0</v>
      </c>
      <c r="N1313" t="n">
        <v>0</v>
      </c>
      <c r="O1313" t="n">
        <v>0</v>
      </c>
      <c r="P1313" t="n">
        <v>0</v>
      </c>
      <c r="Q1313" t="n">
        <v>0</v>
      </c>
      <c r="R1313" s="2" t="inlineStr"/>
    </row>
    <row r="1314" ht="15" customHeight="1">
      <c r="A1314" t="inlineStr">
        <is>
          <t>A 6313-2024</t>
        </is>
      </c>
      <c r="B1314" s="1" t="n">
        <v>45338</v>
      </c>
      <c r="C1314" s="1" t="n">
        <v>45346</v>
      </c>
      <c r="D1314" t="inlineStr">
        <is>
          <t>JÄMTLANDS LÄN</t>
        </is>
      </c>
      <c r="E1314" t="inlineStr">
        <is>
          <t>HÄRJEDALEN</t>
        </is>
      </c>
      <c r="F1314" t="inlineStr">
        <is>
          <t>Bergvik skog väst AB</t>
        </is>
      </c>
      <c r="G1314" t="n">
        <v>60.7</v>
      </c>
      <c r="H1314" t="n">
        <v>0</v>
      </c>
      <c r="I1314" t="n">
        <v>0</v>
      </c>
      <c r="J1314" t="n">
        <v>0</v>
      </c>
      <c r="K1314" t="n">
        <v>0</v>
      </c>
      <c r="L1314" t="n">
        <v>0</v>
      </c>
      <c r="M1314" t="n">
        <v>0</v>
      </c>
      <c r="N1314" t="n">
        <v>0</v>
      </c>
      <c r="O1314" t="n">
        <v>0</v>
      </c>
      <c r="P1314" t="n">
        <v>0</v>
      </c>
      <c r="Q1314" t="n">
        <v>0</v>
      </c>
      <c r="R1314" s="2" t="inlineStr"/>
    </row>
    <row r="1315" ht="15" customHeight="1">
      <c r="A1315" t="inlineStr">
        <is>
          <t>A 7199-2024</t>
        </is>
      </c>
      <c r="B1315" s="1" t="n">
        <v>45344</v>
      </c>
      <c r="C1315" s="1" t="n">
        <v>45346</v>
      </c>
      <c r="D1315" t="inlineStr">
        <is>
          <t>JÄMTLANDS LÄN</t>
        </is>
      </c>
      <c r="E1315" t="inlineStr">
        <is>
          <t>HÄRJEDALEN</t>
        </is>
      </c>
      <c r="F1315" t="inlineStr">
        <is>
          <t>Holmen skog AB</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7243-2024</t>
        </is>
      </c>
      <c r="B1316" s="1" t="n">
        <v>45344</v>
      </c>
      <c r="C1316" s="1" t="n">
        <v>45346</v>
      </c>
      <c r="D1316" t="inlineStr">
        <is>
          <t>JÄMTLANDS LÄN</t>
        </is>
      </c>
      <c r="E1316" t="inlineStr">
        <is>
          <t>HÄRJEDALEN</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7200-2024</t>
        </is>
      </c>
      <c r="B1317" s="1" t="n">
        <v>45344</v>
      </c>
      <c r="C1317" s="1" t="n">
        <v>45346</v>
      </c>
      <c r="D1317" t="inlineStr">
        <is>
          <t>JÄMTLANDS LÄN</t>
        </is>
      </c>
      <c r="E1317" t="inlineStr">
        <is>
          <t>HÄRJEDALEN</t>
        </is>
      </c>
      <c r="F1317" t="inlineStr">
        <is>
          <t>Holmen skog AB</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7205-2024</t>
        </is>
      </c>
      <c r="B1318" s="1" t="n">
        <v>45344</v>
      </c>
      <c r="C1318" s="1" t="n">
        <v>45346</v>
      </c>
      <c r="D1318" t="inlineStr">
        <is>
          <t>JÄMTLANDS LÄN</t>
        </is>
      </c>
      <c r="E1318" t="inlineStr">
        <is>
          <t>HÄRJEDALEN</t>
        </is>
      </c>
      <c r="F1318" t="inlineStr">
        <is>
          <t>Holmen skog AB</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7235-2024</t>
        </is>
      </c>
      <c r="B1319" s="1" t="n">
        <v>45344</v>
      </c>
      <c r="C1319" s="1" t="n">
        <v>45346</v>
      </c>
      <c r="D1319" t="inlineStr">
        <is>
          <t>JÄMTLANDS LÄN</t>
        </is>
      </c>
      <c r="E1319" t="inlineStr">
        <is>
          <t>HÄRJEDALEN</t>
        </is>
      </c>
      <c r="F1319" t="inlineStr">
        <is>
          <t>Holmen skog AB</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7239-2024</t>
        </is>
      </c>
      <c r="B1320" s="1" t="n">
        <v>45344</v>
      </c>
      <c r="C1320" s="1" t="n">
        <v>45346</v>
      </c>
      <c r="D1320" t="inlineStr">
        <is>
          <t>JÄMTLANDS LÄN</t>
        </is>
      </c>
      <c r="E1320" t="inlineStr">
        <is>
          <t>HÄRJEDALEN</t>
        </is>
      </c>
      <c r="F1320" t="inlineStr">
        <is>
          <t>Holmen skog AB</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7311-2024</t>
        </is>
      </c>
      <c r="B1321" s="1" t="n">
        <v>45345</v>
      </c>
      <c r="C1321" s="1" t="n">
        <v>45346</v>
      </c>
      <c r="D1321" t="inlineStr">
        <is>
          <t>JÄMTLANDS LÄN</t>
        </is>
      </c>
      <c r="E1321" t="inlineStr">
        <is>
          <t>HÄRJEDALEN</t>
        </is>
      </c>
      <c r="F1321" t="inlineStr">
        <is>
          <t>Holmen skog AB</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7368-2024</t>
        </is>
      </c>
      <c r="B1322" s="1" t="n">
        <v>45345</v>
      </c>
      <c r="C1322" s="1" t="n">
        <v>45346</v>
      </c>
      <c r="D1322" t="inlineStr">
        <is>
          <t>JÄMTLANDS LÄN</t>
        </is>
      </c>
      <c r="E1322" t="inlineStr">
        <is>
          <t>HÄRJEDALEN</t>
        </is>
      </c>
      <c r="F1322" t="inlineStr">
        <is>
          <t>Holmen skog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7392-2024</t>
        </is>
      </c>
      <c r="B1323" s="1" t="n">
        <v>45345</v>
      </c>
      <c r="C1323" s="1" t="n">
        <v>45346</v>
      </c>
      <c r="D1323" t="inlineStr">
        <is>
          <t>JÄMTLANDS LÄN</t>
        </is>
      </c>
      <c r="E1323" t="inlineStr">
        <is>
          <t>HÄRJEDALEN</t>
        </is>
      </c>
      <c r="F1323" t="inlineStr">
        <is>
          <t>Holmen skog AB</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7396-2024</t>
        </is>
      </c>
      <c r="B1324" s="1" t="n">
        <v>45345</v>
      </c>
      <c r="C1324" s="1" t="n">
        <v>45346</v>
      </c>
      <c r="D1324" t="inlineStr">
        <is>
          <t>JÄMTLANDS LÄN</t>
        </is>
      </c>
      <c r="E1324" t="inlineStr">
        <is>
          <t>HÄRJEDALEN</t>
        </is>
      </c>
      <c r="F1324" t="inlineStr">
        <is>
          <t>Holmen skog AB</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7433-2024</t>
        </is>
      </c>
      <c r="B1325" s="1" t="n">
        <v>45345</v>
      </c>
      <c r="C1325" s="1" t="n">
        <v>45346</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7320-2024</t>
        </is>
      </c>
      <c r="B1326" s="1" t="n">
        <v>45345</v>
      </c>
      <c r="C1326" s="1" t="n">
        <v>45346</v>
      </c>
      <c r="D1326" t="inlineStr">
        <is>
          <t>JÄMTLANDS LÄN</t>
        </is>
      </c>
      <c r="E1326" t="inlineStr">
        <is>
          <t>HÄRJEDALEN</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7328-2024</t>
        </is>
      </c>
      <c r="B1327" s="1" t="n">
        <v>45345</v>
      </c>
      <c r="C1327" s="1" t="n">
        <v>45346</v>
      </c>
      <c r="D1327" t="inlineStr">
        <is>
          <t>JÄMTLANDS LÄN</t>
        </is>
      </c>
      <c r="E1327" t="inlineStr">
        <is>
          <t>HÄRJEDALEN</t>
        </is>
      </c>
      <c r="F1327" t="inlineStr">
        <is>
          <t>Sveaskog</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7349-2024</t>
        </is>
      </c>
      <c r="B1328" s="1" t="n">
        <v>45345</v>
      </c>
      <c r="C1328" s="1" t="n">
        <v>45346</v>
      </c>
      <c r="D1328" t="inlineStr">
        <is>
          <t>JÄMTLANDS LÄN</t>
        </is>
      </c>
      <c r="E1328" t="inlineStr">
        <is>
          <t>HÄRJEDALEN</t>
        </is>
      </c>
      <c r="F1328" t="inlineStr">
        <is>
          <t>Holmen skog AB</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7405-2024</t>
        </is>
      </c>
      <c r="B1329" s="1" t="n">
        <v>45345</v>
      </c>
      <c r="C1329" s="1" t="n">
        <v>45346</v>
      </c>
      <c r="D1329" t="inlineStr">
        <is>
          <t>JÄMTLANDS LÄN</t>
        </is>
      </c>
      <c r="E1329" t="inlineStr">
        <is>
          <t>HÄRJEDALEN</t>
        </is>
      </c>
      <c r="F1329" t="inlineStr">
        <is>
          <t>Holmen skog AB</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7430-2024</t>
        </is>
      </c>
      <c r="B1330" s="1" t="n">
        <v>45345</v>
      </c>
      <c r="C1330" s="1" t="n">
        <v>45346</v>
      </c>
      <c r="D1330" t="inlineStr">
        <is>
          <t>JÄMTLANDS LÄN</t>
        </is>
      </c>
      <c r="E1330" t="inlineStr">
        <is>
          <t>HÄRJEDALEN</t>
        </is>
      </c>
      <c r="F1330" t="inlineStr">
        <is>
          <t>Holmen skog AB</t>
        </is>
      </c>
      <c r="G1330" t="n">
        <v>12.1</v>
      </c>
      <c r="H1330" t="n">
        <v>0</v>
      </c>
      <c r="I1330" t="n">
        <v>0</v>
      </c>
      <c r="J1330" t="n">
        <v>0</v>
      </c>
      <c r="K1330" t="n">
        <v>0</v>
      </c>
      <c r="L1330" t="n">
        <v>0</v>
      </c>
      <c r="M1330" t="n">
        <v>0</v>
      </c>
      <c r="N1330" t="n">
        <v>0</v>
      </c>
      <c r="O1330" t="n">
        <v>0</v>
      </c>
      <c r="P1330" t="n">
        <v>0</v>
      </c>
      <c r="Q1330" t="n">
        <v>0</v>
      </c>
      <c r="R1330" s="2" t="inlineStr"/>
    </row>
    <row r="1331" ht="15" customHeight="1">
      <c r="A1331" t="inlineStr">
        <is>
          <t>A 7313-2024</t>
        </is>
      </c>
      <c r="B1331" s="1" t="n">
        <v>45345</v>
      </c>
      <c r="C1331" s="1" t="n">
        <v>45346</v>
      </c>
      <c r="D1331" t="inlineStr">
        <is>
          <t>JÄMTLANDS LÄN</t>
        </is>
      </c>
      <c r="E1331" t="inlineStr">
        <is>
          <t>HÄRJEDALEN</t>
        </is>
      </c>
      <c r="F1331" t="inlineStr">
        <is>
          <t>Holmen skog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7318-2024</t>
        </is>
      </c>
      <c r="B1332" s="1" t="n">
        <v>45345</v>
      </c>
      <c r="C1332" s="1" t="n">
        <v>45346</v>
      </c>
      <c r="D1332" t="inlineStr">
        <is>
          <t>JÄMTLANDS LÄN</t>
        </is>
      </c>
      <c r="E1332" t="inlineStr">
        <is>
          <t>HÄRJEDALEN</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7358-2024</t>
        </is>
      </c>
      <c r="B1333" s="1" t="n">
        <v>45345</v>
      </c>
      <c r="C1333" s="1" t="n">
        <v>45346</v>
      </c>
      <c r="D1333" t="inlineStr">
        <is>
          <t>JÄMTLANDS LÄN</t>
        </is>
      </c>
      <c r="E1333" t="inlineStr">
        <is>
          <t>HÄRJEDALEN</t>
        </is>
      </c>
      <c r="F1333" t="inlineStr">
        <is>
          <t>Holmen skog AB</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7362-2024</t>
        </is>
      </c>
      <c r="B1334" s="1" t="n">
        <v>45345</v>
      </c>
      <c r="C1334" s="1" t="n">
        <v>45346</v>
      </c>
      <c r="D1334" t="inlineStr">
        <is>
          <t>JÄMTLANDS LÄN</t>
        </is>
      </c>
      <c r="E1334" t="inlineStr">
        <is>
          <t>HÄRJEDALEN</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7370-2024</t>
        </is>
      </c>
      <c r="B1335" s="1" t="n">
        <v>45345</v>
      </c>
      <c r="C1335" s="1" t="n">
        <v>45346</v>
      </c>
      <c r="D1335" t="inlineStr">
        <is>
          <t>JÄMTLANDS LÄN</t>
        </is>
      </c>
      <c r="E1335" t="inlineStr">
        <is>
          <t>HÄRJEDALEN</t>
        </is>
      </c>
      <c r="F1335" t="inlineStr">
        <is>
          <t>Holmen skog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7402-2024</t>
        </is>
      </c>
      <c r="B1336" s="1" t="n">
        <v>45345</v>
      </c>
      <c r="C1336" s="1" t="n">
        <v>45346</v>
      </c>
      <c r="D1336" t="inlineStr">
        <is>
          <t>JÄMTLANDS LÄN</t>
        </is>
      </c>
      <c r="E1336" t="inlineStr">
        <is>
          <t>HÄRJEDALEN</t>
        </is>
      </c>
      <c r="F1336" t="inlineStr">
        <is>
          <t>Holmen skog AB</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7371-2024</t>
        </is>
      </c>
      <c r="B1337" s="1" t="n">
        <v>45345</v>
      </c>
      <c r="C1337" s="1" t="n">
        <v>45346</v>
      </c>
      <c r="D1337" t="inlineStr">
        <is>
          <t>JÄMTLANDS LÄN</t>
        </is>
      </c>
      <c r="E1337" t="inlineStr">
        <is>
          <t>HÄRJEDALEN</t>
        </is>
      </c>
      <c r="F1337" t="inlineStr">
        <is>
          <t>Holmen skog AB</t>
        </is>
      </c>
      <c r="G1337" t="n">
        <v>3.3</v>
      </c>
      <c r="H1337" t="n">
        <v>0</v>
      </c>
      <c r="I1337" t="n">
        <v>0</v>
      </c>
      <c r="J1337" t="n">
        <v>0</v>
      </c>
      <c r="K1337" t="n">
        <v>0</v>
      </c>
      <c r="L1337" t="n">
        <v>0</v>
      </c>
      <c r="M1337" t="n">
        <v>0</v>
      </c>
      <c r="N1337" t="n">
        <v>0</v>
      </c>
      <c r="O1337" t="n">
        <v>0</v>
      </c>
      <c r="P1337" t="n">
        <v>0</v>
      </c>
      <c r="Q1337" t="n">
        <v>0</v>
      </c>
      <c r="R1337" s="2" t="inlineStr"/>
    </row>
    <row r="1338">
      <c r="A1338" t="inlineStr">
        <is>
          <t>A 7424-2024</t>
        </is>
      </c>
      <c r="B1338" s="1" t="n">
        <v>45345</v>
      </c>
      <c r="C1338" s="1" t="n">
        <v>45346</v>
      </c>
      <c r="D1338" t="inlineStr">
        <is>
          <t>JÄMTLANDS LÄN</t>
        </is>
      </c>
      <c r="E1338" t="inlineStr">
        <is>
          <t>HÄRJEDALEN</t>
        </is>
      </c>
      <c r="F1338" t="inlineStr">
        <is>
          <t>Holmen skog AB</t>
        </is>
      </c>
      <c r="G1338" t="n">
        <v>6.7</v>
      </c>
      <c r="H1338" t="n">
        <v>0</v>
      </c>
      <c r="I1338" t="n">
        <v>0</v>
      </c>
      <c r="J1338" t="n">
        <v>0</v>
      </c>
      <c r="K1338" t="n">
        <v>0</v>
      </c>
      <c r="L1338" t="n">
        <v>0</v>
      </c>
      <c r="M1338" t="n">
        <v>0</v>
      </c>
      <c r="N1338" t="n">
        <v>0</v>
      </c>
      <c r="O1338" t="n">
        <v>0</v>
      </c>
      <c r="P1338" t="n">
        <v>0</v>
      </c>
      <c r="Q1338" t="n">
        <v>0</v>
      </c>
      <c r="R13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2024-02-24T12:36:00Z</dcterms:created>
  <dcterms:modified xmlns:dcterms="http://purl.org/dc/terms/" xmlns:xsi="http://www.w3.org/2001/XMLSchema-instance" xsi:type="dcterms:W3CDTF">2024-02-24T12:36:01Z</dcterms:modified>
</cp:coreProperties>
</file>