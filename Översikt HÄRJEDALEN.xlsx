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45587</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45587</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45587</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45587</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45587</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45587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45587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45587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45587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45587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45587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45587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45587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45587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45587</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45587</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45587</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45587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45587</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45587</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45587</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45587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45587</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45587</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45587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45587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45587</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45587</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45587</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45587</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45587</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45587</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45587</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45587</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45587</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45587</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45587</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45587</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45587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45587</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45587</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45587</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45587</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45587</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45587</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45587</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45587</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45587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45587</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45587</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45587</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45587</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45587</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45587</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45587</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45587</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45587</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45587</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45587</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45587</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45587</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45587</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45587</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45587</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45587</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45587</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45587</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45587</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45587</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45587</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25472-2019</t>
        </is>
      </c>
      <c r="B83" s="1" t="n">
        <v>43606</v>
      </c>
      <c r="C83" s="1" t="n">
        <v>45587</v>
      </c>
      <c r="D83" t="inlineStr">
        <is>
          <t>JÄMTLANDS LÄN</t>
        </is>
      </c>
      <c r="E83" t="inlineStr">
        <is>
          <t>HÄRJEDALEN</t>
        </is>
      </c>
      <c r="G83" t="n">
        <v>18.7</v>
      </c>
      <c r="H83" t="n">
        <v>0</v>
      </c>
      <c r="I83" t="n">
        <v>0</v>
      </c>
      <c r="J83" t="n">
        <v>4</v>
      </c>
      <c r="K83" t="n">
        <v>1</v>
      </c>
      <c r="L83" t="n">
        <v>0</v>
      </c>
      <c r="M83" t="n">
        <v>0</v>
      </c>
      <c r="N83" t="n">
        <v>0</v>
      </c>
      <c r="O83" t="n">
        <v>5</v>
      </c>
      <c r="P83" t="n">
        <v>1</v>
      </c>
      <c r="Q83" t="n">
        <v>5</v>
      </c>
      <c r="R83" s="2" t="inlineStr">
        <is>
          <t>Gräddporing
Dvärgbägarlav
Gammelgransskål
Garnlav
Skrovellav</t>
        </is>
      </c>
      <c r="S83">
        <f>HYPERLINK("https://klasma.github.io/Logging_2361/artfynd/A 25472-2019 artfynd.xlsx", "A 25472-2019")</f>
        <v/>
      </c>
      <c r="T83">
        <f>HYPERLINK("https://klasma.github.io/Logging_2361/kartor/A 25472-2019 karta.png", "A 25472-2019")</f>
        <v/>
      </c>
      <c r="V83">
        <f>HYPERLINK("https://klasma.github.io/Logging_2361/klagomål/A 25472-2019 FSC-klagomål.docx", "A 25472-2019")</f>
        <v/>
      </c>
      <c r="W83">
        <f>HYPERLINK("https://klasma.github.io/Logging_2361/klagomålsmail/A 25472-2019 FSC-klagomål mail.docx", "A 25472-2019")</f>
        <v/>
      </c>
      <c r="X83">
        <f>HYPERLINK("https://klasma.github.io/Logging_2361/tillsyn/A 25472-2019 tillsynsbegäran.docx", "A 25472-2019")</f>
        <v/>
      </c>
      <c r="Y83">
        <f>HYPERLINK("https://klasma.github.io/Logging_2361/tillsynsmail/A 25472-2019 tillsynsbegäran mail.docx", "A 25472-2019")</f>
        <v/>
      </c>
    </row>
    <row r="84" ht="15" customHeight="1">
      <c r="A84" t="inlineStr">
        <is>
          <t>A 14285-2021</t>
        </is>
      </c>
      <c r="B84" s="1" t="n">
        <v>44278</v>
      </c>
      <c r="C84" s="1" t="n">
        <v>45587</v>
      </c>
      <c r="D84" t="inlineStr">
        <is>
          <t>JÄMTLANDS LÄN</t>
        </is>
      </c>
      <c r="E84" t="inlineStr">
        <is>
          <t>HÄRJEDALEN</t>
        </is>
      </c>
      <c r="F84" t="inlineStr">
        <is>
          <t>Bergvik skog väst AB</t>
        </is>
      </c>
      <c r="G84" t="n">
        <v>31</v>
      </c>
      <c r="H84" t="n">
        <v>3</v>
      </c>
      <c r="I84" t="n">
        <v>0</v>
      </c>
      <c r="J84" t="n">
        <v>4</v>
      </c>
      <c r="K84" t="n">
        <v>0</v>
      </c>
      <c r="L84" t="n">
        <v>0</v>
      </c>
      <c r="M84" t="n">
        <v>0</v>
      </c>
      <c r="N84" t="n">
        <v>0</v>
      </c>
      <c r="O84" t="n">
        <v>4</v>
      </c>
      <c r="P84" t="n">
        <v>0</v>
      </c>
      <c r="Q84" t="n">
        <v>5</v>
      </c>
      <c r="R84" s="2" t="inlineStr">
        <is>
          <t>Garnlav
Granticka
Talltita
Tretåig hackspett
Lavskrika</t>
        </is>
      </c>
      <c r="S84">
        <f>HYPERLINK("https://klasma.github.io/Logging_2361/artfynd/A 14285-2021 artfynd.xlsx", "A 14285-2021")</f>
        <v/>
      </c>
      <c r="T84">
        <f>HYPERLINK("https://klasma.github.io/Logging_2361/kartor/A 14285-2021 karta.png", "A 14285-2021")</f>
        <v/>
      </c>
      <c r="V84">
        <f>HYPERLINK("https://klasma.github.io/Logging_2361/klagomål/A 14285-2021 FSC-klagomål.docx", "A 14285-2021")</f>
        <v/>
      </c>
      <c r="W84">
        <f>HYPERLINK("https://klasma.github.io/Logging_2361/klagomålsmail/A 14285-2021 FSC-klagomål mail.docx", "A 14285-2021")</f>
        <v/>
      </c>
      <c r="X84">
        <f>HYPERLINK("https://klasma.github.io/Logging_2361/tillsyn/A 14285-2021 tillsynsbegäran.docx", "A 14285-2021")</f>
        <v/>
      </c>
      <c r="Y84">
        <f>HYPERLINK("https://klasma.github.io/Logging_2361/tillsynsmail/A 14285-2021 tillsynsbegäran mail.docx", "A 14285-2021")</f>
        <v/>
      </c>
      <c r="Z84">
        <f>HYPERLINK("https://klasma.github.io/Logging_2361/fåglar/A 14285-2021 prioriterade fågelarter.docx", "A 14285-2021")</f>
        <v/>
      </c>
    </row>
    <row r="85" ht="15" customHeight="1">
      <c r="A85" t="inlineStr">
        <is>
          <t>A 65899-2021</t>
        </is>
      </c>
      <c r="B85" s="1" t="n">
        <v>44517</v>
      </c>
      <c r="C85" s="1" t="n">
        <v>45587</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62717-2022</t>
        </is>
      </c>
      <c r="B86" s="1" t="n">
        <v>44925</v>
      </c>
      <c r="C86" s="1" t="n">
        <v>45587</v>
      </c>
      <c r="D86" t="inlineStr">
        <is>
          <t>JÄMTLANDS LÄN</t>
        </is>
      </c>
      <c r="E86" t="inlineStr">
        <is>
          <t>HÄRJEDALEN</t>
        </is>
      </c>
      <c r="F86" t="inlineStr">
        <is>
          <t>Holmen skog AB</t>
        </is>
      </c>
      <c r="G86" t="n">
        <v>3.2</v>
      </c>
      <c r="H86" t="n">
        <v>1</v>
      </c>
      <c r="I86" t="n">
        <v>0</v>
      </c>
      <c r="J86" t="n">
        <v>4</v>
      </c>
      <c r="K86" t="n">
        <v>1</v>
      </c>
      <c r="L86" t="n">
        <v>0</v>
      </c>
      <c r="M86" t="n">
        <v>0</v>
      </c>
      <c r="N86" t="n">
        <v>0</v>
      </c>
      <c r="O86" t="n">
        <v>5</v>
      </c>
      <c r="P86" t="n">
        <v>1</v>
      </c>
      <c r="Q86" t="n">
        <v>5</v>
      </c>
      <c r="R86" s="2" t="inlineStr">
        <is>
          <t>Knärot
Garnlav
Kolflarnlav
Lunglav
Skrovellav</t>
        </is>
      </c>
      <c r="S86">
        <f>HYPERLINK("https://klasma.github.io/Logging_2361/artfynd/A 62717-2022 artfynd.xlsx", "A 62717-2022")</f>
        <v/>
      </c>
      <c r="T86">
        <f>HYPERLINK("https://klasma.github.io/Logging_2361/kartor/A 62717-2022 karta.png", "A 62717-2022")</f>
        <v/>
      </c>
      <c r="U86">
        <f>HYPERLINK("https://klasma.github.io/Logging_2361/knärot/A 62717-2022 karta knärot.png", "A 62717-2022")</f>
        <v/>
      </c>
      <c r="V86">
        <f>HYPERLINK("https://klasma.github.io/Logging_2361/klagomål/A 62717-2022 FSC-klagomål.docx", "A 62717-2022")</f>
        <v/>
      </c>
      <c r="W86">
        <f>HYPERLINK("https://klasma.github.io/Logging_2361/klagomålsmail/A 62717-2022 FSC-klagomål mail.docx", "A 62717-2022")</f>
        <v/>
      </c>
      <c r="X86">
        <f>HYPERLINK("https://klasma.github.io/Logging_2361/tillsyn/A 62717-2022 tillsynsbegäran.docx", "A 62717-2022")</f>
        <v/>
      </c>
      <c r="Y86">
        <f>HYPERLINK("https://klasma.github.io/Logging_2361/tillsynsmail/A 62717-2022 tillsynsbegäran mail.docx", "A 62717-2022")</f>
        <v/>
      </c>
    </row>
    <row r="87" ht="15" customHeight="1">
      <c r="A87" t="inlineStr">
        <is>
          <t>A 19623-2024</t>
        </is>
      </c>
      <c r="B87" s="1" t="n">
        <v>45432</v>
      </c>
      <c r="C87" s="1" t="n">
        <v>45587</v>
      </c>
      <c r="D87" t="inlineStr">
        <is>
          <t>JÄMTLANDS LÄN</t>
        </is>
      </c>
      <c r="E87" t="inlineStr">
        <is>
          <t>HÄRJEDALEN</t>
        </is>
      </c>
      <c r="G87" t="n">
        <v>11.7</v>
      </c>
      <c r="H87" t="n">
        <v>1</v>
      </c>
      <c r="I87" t="n">
        <v>1</v>
      </c>
      <c r="J87" t="n">
        <v>2</v>
      </c>
      <c r="K87" t="n">
        <v>2</v>
      </c>
      <c r="L87" t="n">
        <v>0</v>
      </c>
      <c r="M87" t="n">
        <v>0</v>
      </c>
      <c r="N87" t="n">
        <v>0</v>
      </c>
      <c r="O87" t="n">
        <v>4</v>
      </c>
      <c r="P87" t="n">
        <v>2</v>
      </c>
      <c r="Q87" t="n">
        <v>5</v>
      </c>
      <c r="R87" s="2" t="inlineStr">
        <is>
          <t>Gräddporing
Knärot
Blå taggsvamp
Slåtterfibbla
Mörk husmossa</t>
        </is>
      </c>
      <c r="S87">
        <f>HYPERLINK("https://klasma.github.io/Logging_2361/artfynd/A 19623-2024 artfynd.xlsx", "A 19623-2024")</f>
        <v/>
      </c>
      <c r="T87">
        <f>HYPERLINK("https://klasma.github.io/Logging_2361/kartor/A 19623-2024 karta.png", "A 19623-2024")</f>
        <v/>
      </c>
      <c r="U87">
        <f>HYPERLINK("https://klasma.github.io/Logging_2361/knärot/A 19623-2024 karta knärot.png", "A 19623-2024")</f>
        <v/>
      </c>
      <c r="V87">
        <f>HYPERLINK("https://klasma.github.io/Logging_2361/klagomål/A 19623-2024 FSC-klagomål.docx", "A 19623-2024")</f>
        <v/>
      </c>
      <c r="W87">
        <f>HYPERLINK("https://klasma.github.io/Logging_2361/klagomålsmail/A 19623-2024 FSC-klagomål mail.docx", "A 19623-2024")</f>
        <v/>
      </c>
      <c r="X87">
        <f>HYPERLINK("https://klasma.github.io/Logging_2361/tillsyn/A 19623-2024 tillsynsbegäran.docx", "A 19623-2024")</f>
        <v/>
      </c>
      <c r="Y87">
        <f>HYPERLINK("https://klasma.github.io/Logging_2361/tillsynsmail/A 19623-2024 tillsynsbegäran mail.docx", "A 19623-2024")</f>
        <v/>
      </c>
    </row>
    <row r="88" ht="15" customHeight="1">
      <c r="A88" t="inlineStr">
        <is>
          <t>A 19799-2024</t>
        </is>
      </c>
      <c r="B88" s="1" t="n">
        <v>45433</v>
      </c>
      <c r="C88" s="1" t="n">
        <v>45587</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36053-2024</t>
        </is>
      </c>
      <c r="B89" s="1" t="n">
        <v>45533</v>
      </c>
      <c r="C89" s="1" t="n">
        <v>45587</v>
      </c>
      <c r="D89" t="inlineStr">
        <is>
          <t>JÄMTLANDS LÄN</t>
        </is>
      </c>
      <c r="E89" t="inlineStr">
        <is>
          <t>HÄRJEDALEN</t>
        </is>
      </c>
      <c r="F89" t="inlineStr">
        <is>
          <t>Sveaskog</t>
        </is>
      </c>
      <c r="G89" t="n">
        <v>7.3</v>
      </c>
      <c r="H89" t="n">
        <v>0</v>
      </c>
      <c r="I89" t="n">
        <v>1</v>
      </c>
      <c r="J89" t="n">
        <v>4</v>
      </c>
      <c r="K89" t="n">
        <v>0</v>
      </c>
      <c r="L89" t="n">
        <v>0</v>
      </c>
      <c r="M89" t="n">
        <v>0</v>
      </c>
      <c r="N89" t="n">
        <v>0</v>
      </c>
      <c r="O89" t="n">
        <v>4</v>
      </c>
      <c r="P89" t="n">
        <v>0</v>
      </c>
      <c r="Q89" t="n">
        <v>5</v>
      </c>
      <c r="R89" s="2" t="inlineStr">
        <is>
          <t>Dvärgbägarlav
Kolflarnlav
Motaggsvamp
Mörk kolflarnlav
Dropptaggsvamp</t>
        </is>
      </c>
      <c r="S89">
        <f>HYPERLINK("https://klasma.github.io/Logging_2361/artfynd/A 36053-2024 artfynd.xlsx", "A 36053-2024")</f>
        <v/>
      </c>
      <c r="T89">
        <f>HYPERLINK("https://klasma.github.io/Logging_2361/kartor/A 36053-2024 karta.png", "A 36053-2024")</f>
        <v/>
      </c>
      <c r="V89">
        <f>HYPERLINK("https://klasma.github.io/Logging_2361/klagomål/A 36053-2024 FSC-klagomål.docx", "A 36053-2024")</f>
        <v/>
      </c>
      <c r="W89">
        <f>HYPERLINK("https://klasma.github.io/Logging_2361/klagomålsmail/A 36053-2024 FSC-klagomål mail.docx", "A 36053-2024")</f>
        <v/>
      </c>
      <c r="X89">
        <f>HYPERLINK("https://klasma.github.io/Logging_2361/tillsyn/A 36053-2024 tillsynsbegäran.docx", "A 36053-2024")</f>
        <v/>
      </c>
      <c r="Y89">
        <f>HYPERLINK("https://klasma.github.io/Logging_2361/tillsynsmail/A 36053-2024 tillsynsbegäran mail.docx", "A 36053-2024")</f>
        <v/>
      </c>
    </row>
    <row r="90" ht="15" customHeight="1">
      <c r="A90" t="inlineStr">
        <is>
          <t>A 63750-2019</t>
        </is>
      </c>
      <c r="B90" s="1" t="n">
        <v>43795</v>
      </c>
      <c r="C90" s="1" t="n">
        <v>45587</v>
      </c>
      <c r="D90" t="inlineStr">
        <is>
          <t>JÄMTLANDS LÄN</t>
        </is>
      </c>
      <c r="E90" t="inlineStr">
        <is>
          <t>HÄRJEDALEN</t>
        </is>
      </c>
      <c r="F90" t="inlineStr">
        <is>
          <t>Sveaskog</t>
        </is>
      </c>
      <c r="G90" t="n">
        <v>5.6</v>
      </c>
      <c r="H90" t="n">
        <v>1</v>
      </c>
      <c r="I90" t="n">
        <v>1</v>
      </c>
      <c r="J90" t="n">
        <v>2</v>
      </c>
      <c r="K90" t="n">
        <v>0</v>
      </c>
      <c r="L90" t="n">
        <v>0</v>
      </c>
      <c r="M90" t="n">
        <v>0</v>
      </c>
      <c r="N90" t="n">
        <v>0</v>
      </c>
      <c r="O90" t="n">
        <v>2</v>
      </c>
      <c r="P90" t="n">
        <v>0</v>
      </c>
      <c r="Q90" t="n">
        <v>4</v>
      </c>
      <c r="R90" s="2" t="inlineStr">
        <is>
          <t>Garnlav
Lunglav
Stuplav
Revlummer</t>
        </is>
      </c>
      <c r="S90">
        <f>HYPERLINK("https://klasma.github.io/Logging_2361/artfynd/A 63750-2019 artfynd.xlsx", "A 63750-2019")</f>
        <v/>
      </c>
      <c r="T90">
        <f>HYPERLINK("https://klasma.github.io/Logging_2361/kartor/A 63750-2019 karta.png", "A 63750-2019")</f>
        <v/>
      </c>
      <c r="V90">
        <f>HYPERLINK("https://klasma.github.io/Logging_2361/klagomål/A 63750-2019 FSC-klagomål.docx", "A 63750-2019")</f>
        <v/>
      </c>
      <c r="W90">
        <f>HYPERLINK("https://klasma.github.io/Logging_2361/klagomålsmail/A 63750-2019 FSC-klagomål mail.docx", "A 63750-2019")</f>
        <v/>
      </c>
      <c r="X90">
        <f>HYPERLINK("https://klasma.github.io/Logging_2361/tillsyn/A 63750-2019 tillsynsbegäran.docx", "A 63750-2019")</f>
        <v/>
      </c>
      <c r="Y90">
        <f>HYPERLINK("https://klasma.github.io/Logging_2361/tillsynsmail/A 63750-2019 tillsynsbegäran mail.docx", "A 63750-2019")</f>
        <v/>
      </c>
    </row>
    <row r="91" ht="15" customHeight="1">
      <c r="A91" t="inlineStr">
        <is>
          <t>A 16680-2021</t>
        </is>
      </c>
      <c r="B91" s="1" t="n">
        <v>44294</v>
      </c>
      <c r="C91" s="1" t="n">
        <v>45587</v>
      </c>
      <c r="D91" t="inlineStr">
        <is>
          <t>JÄMTLANDS LÄN</t>
        </is>
      </c>
      <c r="E91" t="inlineStr">
        <is>
          <t>HÄRJEDALEN</t>
        </is>
      </c>
      <c r="G91" t="n">
        <v>5.7</v>
      </c>
      <c r="H91" t="n">
        <v>0</v>
      </c>
      <c r="I91" t="n">
        <v>3</v>
      </c>
      <c r="J91" t="n">
        <v>1</v>
      </c>
      <c r="K91" t="n">
        <v>0</v>
      </c>
      <c r="L91" t="n">
        <v>0</v>
      </c>
      <c r="M91" t="n">
        <v>0</v>
      </c>
      <c r="N91" t="n">
        <v>0</v>
      </c>
      <c r="O91" t="n">
        <v>1</v>
      </c>
      <c r="P91" t="n">
        <v>0</v>
      </c>
      <c r="Q91" t="n">
        <v>4</v>
      </c>
      <c r="R91" s="2" t="inlineStr">
        <is>
          <t>Vitgrynig nållav
Bronshjon
Bårdlav
Stuplav</t>
        </is>
      </c>
      <c r="S91">
        <f>HYPERLINK("https://klasma.github.io/Logging_2361/artfynd/A 16680-2021 artfynd.xlsx", "A 16680-2021")</f>
        <v/>
      </c>
      <c r="T91">
        <f>HYPERLINK("https://klasma.github.io/Logging_2361/kartor/A 16680-2021 karta.png", "A 16680-2021")</f>
        <v/>
      </c>
      <c r="V91">
        <f>HYPERLINK("https://klasma.github.io/Logging_2361/klagomål/A 16680-2021 FSC-klagomål.docx", "A 16680-2021")</f>
        <v/>
      </c>
      <c r="W91">
        <f>HYPERLINK("https://klasma.github.io/Logging_2361/klagomålsmail/A 16680-2021 FSC-klagomål mail.docx", "A 16680-2021")</f>
        <v/>
      </c>
      <c r="X91">
        <f>HYPERLINK("https://klasma.github.io/Logging_2361/tillsyn/A 16680-2021 tillsynsbegäran.docx", "A 16680-2021")</f>
        <v/>
      </c>
      <c r="Y91">
        <f>HYPERLINK("https://klasma.github.io/Logging_2361/tillsynsmail/A 16680-2021 tillsynsbegäran mail.docx", "A 16680-2021")</f>
        <v/>
      </c>
    </row>
    <row r="92" ht="15" customHeight="1">
      <c r="A92" t="inlineStr">
        <is>
          <t>A 16691-2021</t>
        </is>
      </c>
      <c r="B92" s="1" t="n">
        <v>44294</v>
      </c>
      <c r="C92" s="1" t="n">
        <v>45587</v>
      </c>
      <c r="D92" t="inlineStr">
        <is>
          <t>JÄMTLANDS LÄN</t>
        </is>
      </c>
      <c r="E92" t="inlineStr">
        <is>
          <t>HÄRJEDALEN</t>
        </is>
      </c>
      <c r="G92" t="n">
        <v>4.2</v>
      </c>
      <c r="H92" t="n">
        <v>0</v>
      </c>
      <c r="I92" t="n">
        <v>1</v>
      </c>
      <c r="J92" t="n">
        <v>3</v>
      </c>
      <c r="K92" t="n">
        <v>0</v>
      </c>
      <c r="L92" t="n">
        <v>0</v>
      </c>
      <c r="M92" t="n">
        <v>0</v>
      </c>
      <c r="N92" t="n">
        <v>0</v>
      </c>
      <c r="O92" t="n">
        <v>3</v>
      </c>
      <c r="P92" t="n">
        <v>0</v>
      </c>
      <c r="Q92" t="n">
        <v>4</v>
      </c>
      <c r="R92" s="2" t="inlineStr">
        <is>
          <t>Granticka
Knottrig blåslav
Vitgrynig nållav
Kornig nållav</t>
        </is>
      </c>
      <c r="S92">
        <f>HYPERLINK("https://klasma.github.io/Logging_2361/artfynd/A 16691-2021 artfynd.xlsx", "A 16691-2021")</f>
        <v/>
      </c>
      <c r="T92">
        <f>HYPERLINK("https://klasma.github.io/Logging_2361/kartor/A 16691-2021 karta.png", "A 16691-2021")</f>
        <v/>
      </c>
      <c r="V92">
        <f>HYPERLINK("https://klasma.github.io/Logging_2361/klagomål/A 16691-2021 FSC-klagomål.docx", "A 16691-2021")</f>
        <v/>
      </c>
      <c r="W92">
        <f>HYPERLINK("https://klasma.github.io/Logging_2361/klagomålsmail/A 16691-2021 FSC-klagomål mail.docx", "A 16691-2021")</f>
        <v/>
      </c>
      <c r="X92">
        <f>HYPERLINK("https://klasma.github.io/Logging_2361/tillsyn/A 16691-2021 tillsynsbegäran.docx", "A 16691-2021")</f>
        <v/>
      </c>
      <c r="Y92">
        <f>HYPERLINK("https://klasma.github.io/Logging_2361/tillsynsmail/A 16691-2021 tillsynsbegäran mail.docx", "A 16691-2021")</f>
        <v/>
      </c>
    </row>
    <row r="93" ht="15" customHeight="1">
      <c r="A93" t="inlineStr">
        <is>
          <t>A 54420-2021</t>
        </is>
      </c>
      <c r="B93" s="1" t="n">
        <v>44473</v>
      </c>
      <c r="C93" s="1" t="n">
        <v>45587</v>
      </c>
      <c r="D93" t="inlineStr">
        <is>
          <t>JÄMTLANDS LÄN</t>
        </is>
      </c>
      <c r="E93" t="inlineStr">
        <is>
          <t>HÄRJEDALEN</t>
        </is>
      </c>
      <c r="F93" t="inlineStr">
        <is>
          <t>Bergvik skog väst AB</t>
        </is>
      </c>
      <c r="G93" t="n">
        <v>18.5</v>
      </c>
      <c r="H93" t="n">
        <v>2</v>
      </c>
      <c r="I93" t="n">
        <v>0</v>
      </c>
      <c r="J93" t="n">
        <v>2</v>
      </c>
      <c r="K93" t="n">
        <v>1</v>
      </c>
      <c r="L93" t="n">
        <v>0</v>
      </c>
      <c r="M93" t="n">
        <v>0</v>
      </c>
      <c r="N93" t="n">
        <v>0</v>
      </c>
      <c r="O93" t="n">
        <v>3</v>
      </c>
      <c r="P93" t="n">
        <v>1</v>
      </c>
      <c r="Q93" t="n">
        <v>4</v>
      </c>
      <c r="R93" s="2" t="inlineStr">
        <is>
          <t>Knärot
Lunglav
Skrovellav
Fläcknycklar</t>
        </is>
      </c>
      <c r="S93">
        <f>HYPERLINK("https://klasma.github.io/Logging_2361/artfynd/A 54420-2021 artfynd.xlsx", "A 54420-2021")</f>
        <v/>
      </c>
      <c r="T93">
        <f>HYPERLINK("https://klasma.github.io/Logging_2361/kartor/A 54420-2021 karta.png", "A 54420-2021")</f>
        <v/>
      </c>
      <c r="U93">
        <f>HYPERLINK("https://klasma.github.io/Logging_2361/knärot/A 54420-2021 karta knärot.png", "A 54420-2021")</f>
        <v/>
      </c>
      <c r="V93">
        <f>HYPERLINK("https://klasma.github.io/Logging_2361/klagomål/A 54420-2021 FSC-klagomål.docx", "A 54420-2021")</f>
        <v/>
      </c>
      <c r="W93">
        <f>HYPERLINK("https://klasma.github.io/Logging_2361/klagomålsmail/A 54420-2021 FSC-klagomål mail.docx", "A 54420-2021")</f>
        <v/>
      </c>
      <c r="X93">
        <f>HYPERLINK("https://klasma.github.io/Logging_2361/tillsyn/A 54420-2021 tillsynsbegäran.docx", "A 54420-2021")</f>
        <v/>
      </c>
      <c r="Y93">
        <f>HYPERLINK("https://klasma.github.io/Logging_2361/tillsynsmail/A 54420-2021 tillsynsbegäran mail.docx", "A 54420-2021")</f>
        <v/>
      </c>
    </row>
    <row r="94" ht="15" customHeight="1">
      <c r="A94" t="inlineStr">
        <is>
          <t>A 55641-2021</t>
        </is>
      </c>
      <c r="B94" s="1" t="n">
        <v>44476</v>
      </c>
      <c r="C94" s="1" t="n">
        <v>45587</v>
      </c>
      <c r="D94" t="inlineStr">
        <is>
          <t>JÄMTLANDS LÄN</t>
        </is>
      </c>
      <c r="E94" t="inlineStr">
        <is>
          <t>HÄRJEDALEN</t>
        </is>
      </c>
      <c r="G94" t="n">
        <v>7.6</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55641-2021 artfynd.xlsx", "A 55641-2021")</f>
        <v/>
      </c>
      <c r="T94">
        <f>HYPERLINK("https://klasma.github.io/Logging_2361/kartor/A 55641-2021 karta.png", "A 55641-2021")</f>
        <v/>
      </c>
      <c r="V94">
        <f>HYPERLINK("https://klasma.github.io/Logging_2361/klagomål/A 55641-2021 FSC-klagomål.docx", "A 55641-2021")</f>
        <v/>
      </c>
      <c r="W94">
        <f>HYPERLINK("https://klasma.github.io/Logging_2361/klagomålsmail/A 55641-2021 FSC-klagomål mail.docx", "A 55641-2021")</f>
        <v/>
      </c>
      <c r="X94">
        <f>HYPERLINK("https://klasma.github.io/Logging_2361/tillsyn/A 55641-2021 tillsynsbegäran.docx", "A 55641-2021")</f>
        <v/>
      </c>
      <c r="Y94">
        <f>HYPERLINK("https://klasma.github.io/Logging_2361/tillsynsmail/A 55641-2021 tillsynsbegäran mail.docx", "A 55641-2021")</f>
        <v/>
      </c>
      <c r="Z94">
        <f>HYPERLINK("https://klasma.github.io/Logging_2361/fåglar/A 55641-2021 prioriterade fågelarter.docx", "A 55641-2021")</f>
        <v/>
      </c>
    </row>
    <row r="95" ht="15" customHeight="1">
      <c r="A95" t="inlineStr">
        <is>
          <t>A 42576-2022</t>
        </is>
      </c>
      <c r="B95" s="1" t="n">
        <v>44831</v>
      </c>
      <c r="C95" s="1" t="n">
        <v>45587</v>
      </c>
      <c r="D95" t="inlineStr">
        <is>
          <t>JÄMTLANDS LÄN</t>
        </is>
      </c>
      <c r="E95" t="inlineStr">
        <is>
          <t>HÄRJEDALEN</t>
        </is>
      </c>
      <c r="F95" t="inlineStr">
        <is>
          <t>Sveaskog</t>
        </is>
      </c>
      <c r="G95" t="n">
        <v>24.4</v>
      </c>
      <c r="H95" t="n">
        <v>3</v>
      </c>
      <c r="I95" t="n">
        <v>3</v>
      </c>
      <c r="J95" t="n">
        <v>0</v>
      </c>
      <c r="K95" t="n">
        <v>1</v>
      </c>
      <c r="L95" t="n">
        <v>0</v>
      </c>
      <c r="M95" t="n">
        <v>0</v>
      </c>
      <c r="N95" t="n">
        <v>0</v>
      </c>
      <c r="O95" t="n">
        <v>1</v>
      </c>
      <c r="P95" t="n">
        <v>1</v>
      </c>
      <c r="Q95" t="n">
        <v>4</v>
      </c>
      <c r="R95" s="2" t="inlineStr">
        <is>
          <t>Knärot
Skarp dropptaggsvamp
Spindelblomster
Tvåblad</t>
        </is>
      </c>
      <c r="S95">
        <f>HYPERLINK("https://klasma.github.io/Logging_2361/artfynd/A 42576-2022 artfynd.xlsx", "A 42576-2022")</f>
        <v/>
      </c>
      <c r="T95">
        <f>HYPERLINK("https://klasma.github.io/Logging_2361/kartor/A 42576-2022 karta.png", "A 42576-2022")</f>
        <v/>
      </c>
      <c r="U95">
        <f>HYPERLINK("https://klasma.github.io/Logging_2361/knärot/A 42576-2022 karta knärot.png", "A 42576-2022")</f>
        <v/>
      </c>
      <c r="V95">
        <f>HYPERLINK("https://klasma.github.io/Logging_2361/klagomål/A 42576-2022 FSC-klagomål.docx", "A 42576-2022")</f>
        <v/>
      </c>
      <c r="W95">
        <f>HYPERLINK("https://klasma.github.io/Logging_2361/klagomålsmail/A 42576-2022 FSC-klagomål mail.docx", "A 42576-2022")</f>
        <v/>
      </c>
      <c r="X95">
        <f>HYPERLINK("https://klasma.github.io/Logging_2361/tillsyn/A 42576-2022 tillsynsbegäran.docx", "A 42576-2022")</f>
        <v/>
      </c>
      <c r="Y95">
        <f>HYPERLINK("https://klasma.github.io/Logging_2361/tillsynsmail/A 42576-2022 tillsynsbegäran mail.docx", "A 42576-2022")</f>
        <v/>
      </c>
    </row>
    <row r="96" ht="15" customHeight="1">
      <c r="A96" t="inlineStr">
        <is>
          <t>A 4757-2023</t>
        </is>
      </c>
      <c r="B96" s="1" t="n">
        <v>44957</v>
      </c>
      <c r="C96" s="1" t="n">
        <v>45587</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8587-2023</t>
        </is>
      </c>
      <c r="B97" s="1" t="n">
        <v>44977</v>
      </c>
      <c r="C97" s="1" t="n">
        <v>45587</v>
      </c>
      <c r="D97" t="inlineStr">
        <is>
          <t>JÄMTLANDS LÄN</t>
        </is>
      </c>
      <c r="E97" t="inlineStr">
        <is>
          <t>HÄRJEDALEN</t>
        </is>
      </c>
      <c r="F97" t="inlineStr">
        <is>
          <t>Holmen skog AB</t>
        </is>
      </c>
      <c r="G97" t="n">
        <v>7.4</v>
      </c>
      <c r="H97" t="n">
        <v>2</v>
      </c>
      <c r="I97" t="n">
        <v>0</v>
      </c>
      <c r="J97" t="n">
        <v>2</v>
      </c>
      <c r="K97" t="n">
        <v>1</v>
      </c>
      <c r="L97" t="n">
        <v>0</v>
      </c>
      <c r="M97" t="n">
        <v>0</v>
      </c>
      <c r="N97" t="n">
        <v>0</v>
      </c>
      <c r="O97" t="n">
        <v>3</v>
      </c>
      <c r="P97" t="n">
        <v>1</v>
      </c>
      <c r="Q97" t="n">
        <v>4</v>
      </c>
      <c r="R97" s="2" t="inlineStr">
        <is>
          <t>Knärot
Knottrig blåslav
Violettgrå tagellav
Fläcknycklar</t>
        </is>
      </c>
      <c r="S97">
        <f>HYPERLINK("https://klasma.github.io/Logging_2361/artfynd/A 8587-2023 artfynd.xlsx", "A 8587-2023")</f>
        <v/>
      </c>
      <c r="T97">
        <f>HYPERLINK("https://klasma.github.io/Logging_2361/kartor/A 8587-2023 karta.png", "A 8587-2023")</f>
        <v/>
      </c>
      <c r="U97">
        <f>HYPERLINK("https://klasma.github.io/Logging_2361/knärot/A 8587-2023 karta knärot.png", "A 8587-2023")</f>
        <v/>
      </c>
      <c r="V97">
        <f>HYPERLINK("https://klasma.github.io/Logging_2361/klagomål/A 8587-2023 FSC-klagomål.docx", "A 8587-2023")</f>
        <v/>
      </c>
      <c r="W97">
        <f>HYPERLINK("https://klasma.github.io/Logging_2361/klagomålsmail/A 8587-2023 FSC-klagomål mail.docx", "A 8587-2023")</f>
        <v/>
      </c>
      <c r="X97">
        <f>HYPERLINK("https://klasma.github.io/Logging_2361/tillsyn/A 8587-2023 tillsynsbegäran.docx", "A 8587-2023")</f>
        <v/>
      </c>
      <c r="Y97">
        <f>HYPERLINK("https://klasma.github.io/Logging_2361/tillsynsmail/A 8587-2023 tillsynsbegäran mail.docx", "A 8587-2023")</f>
        <v/>
      </c>
    </row>
    <row r="98" ht="15" customHeight="1">
      <c r="A98" t="inlineStr">
        <is>
          <t>A 14059-2023</t>
        </is>
      </c>
      <c r="B98" s="1" t="n">
        <v>45007</v>
      </c>
      <c r="C98" s="1" t="n">
        <v>45587</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24955-2023</t>
        </is>
      </c>
      <c r="B99" s="1" t="n">
        <v>45085</v>
      </c>
      <c r="C99" s="1" t="n">
        <v>45587</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29829-2023</t>
        </is>
      </c>
      <c r="B100" s="1" t="n">
        <v>45107</v>
      </c>
      <c r="C100" s="1" t="n">
        <v>45587</v>
      </c>
      <c r="D100" t="inlineStr">
        <is>
          <t>JÄMTLANDS LÄN</t>
        </is>
      </c>
      <c r="E100" t="inlineStr">
        <is>
          <t>HÄRJEDALEN</t>
        </is>
      </c>
      <c r="G100" t="n">
        <v>29.4</v>
      </c>
      <c r="H100" t="n">
        <v>1</v>
      </c>
      <c r="I100" t="n">
        <v>0</v>
      </c>
      <c r="J100" t="n">
        <v>4</v>
      </c>
      <c r="K100" t="n">
        <v>0</v>
      </c>
      <c r="L100" t="n">
        <v>0</v>
      </c>
      <c r="M100" t="n">
        <v>0</v>
      </c>
      <c r="N100" t="n">
        <v>0</v>
      </c>
      <c r="O100" t="n">
        <v>4</v>
      </c>
      <c r="P100" t="n">
        <v>0</v>
      </c>
      <c r="Q100" t="n">
        <v>4</v>
      </c>
      <c r="R100" s="2" t="inlineStr">
        <is>
          <t>Garnlav
Lunglav
Skrovellav
Tretåig hackspett</t>
        </is>
      </c>
      <c r="S100">
        <f>HYPERLINK("https://klasma.github.io/Logging_2361/artfynd/A 29829-2023 artfynd.xlsx", "A 29829-2023")</f>
        <v/>
      </c>
      <c r="T100">
        <f>HYPERLINK("https://klasma.github.io/Logging_2361/kartor/A 29829-2023 karta.png", "A 29829-2023")</f>
        <v/>
      </c>
      <c r="V100">
        <f>HYPERLINK("https://klasma.github.io/Logging_2361/klagomål/A 29829-2023 FSC-klagomål.docx", "A 29829-2023")</f>
        <v/>
      </c>
      <c r="W100">
        <f>HYPERLINK("https://klasma.github.io/Logging_2361/klagomålsmail/A 29829-2023 FSC-klagomål mail.docx", "A 29829-2023")</f>
        <v/>
      </c>
      <c r="X100">
        <f>HYPERLINK("https://klasma.github.io/Logging_2361/tillsyn/A 29829-2023 tillsynsbegäran.docx", "A 29829-2023")</f>
        <v/>
      </c>
      <c r="Y100">
        <f>HYPERLINK("https://klasma.github.io/Logging_2361/tillsynsmail/A 29829-2023 tillsynsbegäran mail.docx", "A 29829-2023")</f>
        <v/>
      </c>
      <c r="Z100">
        <f>HYPERLINK("https://klasma.github.io/Logging_2361/fåglar/A 29829-2023 prioriterade fågelarter.docx", "A 29829-2023")</f>
        <v/>
      </c>
    </row>
    <row r="101" ht="15" customHeight="1">
      <c r="A101" t="inlineStr">
        <is>
          <t>A 39925-2023</t>
        </is>
      </c>
      <c r="B101" s="1" t="n">
        <v>45168</v>
      </c>
      <c r="C101" s="1" t="n">
        <v>45587</v>
      </c>
      <c r="D101" t="inlineStr">
        <is>
          <t>JÄMTLANDS LÄN</t>
        </is>
      </c>
      <c r="E101" t="inlineStr">
        <is>
          <t>HÄRJEDALEN</t>
        </is>
      </c>
      <c r="F101" t="inlineStr">
        <is>
          <t>Sveaskog</t>
        </is>
      </c>
      <c r="G101" t="n">
        <v>25.6</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HYPERLINK("https://klasma.github.io/Logging_2361/artfynd/A 39925-2023 artfynd.xlsx", "A 39925-2023")</f>
        <v/>
      </c>
      <c r="T101">
        <f>HYPERLINK("https://klasma.github.io/Logging_2361/kartor/A 39925-2023 karta.png", "A 39925-2023")</f>
        <v/>
      </c>
      <c r="V101">
        <f>HYPERLINK("https://klasma.github.io/Logging_2361/klagomål/A 39925-2023 FSC-klagomål.docx", "A 39925-2023")</f>
        <v/>
      </c>
      <c r="W101">
        <f>HYPERLINK("https://klasma.github.io/Logging_2361/klagomålsmail/A 39925-2023 FSC-klagomål mail.docx", "A 39925-2023")</f>
        <v/>
      </c>
      <c r="X101">
        <f>HYPERLINK("https://klasma.github.io/Logging_2361/tillsyn/A 39925-2023 tillsynsbegäran.docx", "A 39925-2023")</f>
        <v/>
      </c>
      <c r="Y101">
        <f>HYPERLINK("https://klasma.github.io/Logging_2361/tillsynsmail/A 39925-2023 tillsynsbegäran mail.docx", "A 39925-2023")</f>
        <v/>
      </c>
    </row>
    <row r="102" ht="15" customHeight="1">
      <c r="A102" t="inlineStr">
        <is>
          <t>A 46228-2023</t>
        </is>
      </c>
      <c r="B102" s="1" t="n">
        <v>45196</v>
      </c>
      <c r="C102" s="1" t="n">
        <v>45587</v>
      </c>
      <c r="D102" t="inlineStr">
        <is>
          <t>JÄMTLANDS LÄN</t>
        </is>
      </c>
      <c r="E102" t="inlineStr">
        <is>
          <t>HÄRJEDALEN</t>
        </is>
      </c>
      <c r="F102" t="inlineStr">
        <is>
          <t>Sveaskog</t>
        </is>
      </c>
      <c r="G102" t="n">
        <v>9.4</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HYPERLINK("https://klasma.github.io/Logging_2361/artfynd/A 46228-2023 artfynd.xlsx", "A 46228-2023")</f>
        <v/>
      </c>
      <c r="T102">
        <f>HYPERLINK("https://klasma.github.io/Logging_2361/kartor/A 46228-2023 karta.png", "A 46228-2023")</f>
        <v/>
      </c>
      <c r="V102">
        <f>HYPERLINK("https://klasma.github.io/Logging_2361/klagomål/A 46228-2023 FSC-klagomål.docx", "A 46228-2023")</f>
        <v/>
      </c>
      <c r="W102">
        <f>HYPERLINK("https://klasma.github.io/Logging_2361/klagomålsmail/A 46228-2023 FSC-klagomål mail.docx", "A 46228-2023")</f>
        <v/>
      </c>
      <c r="X102">
        <f>HYPERLINK("https://klasma.github.io/Logging_2361/tillsyn/A 46228-2023 tillsynsbegäran.docx", "A 46228-2023")</f>
        <v/>
      </c>
      <c r="Y102">
        <f>HYPERLINK("https://klasma.github.io/Logging_2361/tillsynsmail/A 46228-2023 tillsynsbegäran mail.docx", "A 46228-2023")</f>
        <v/>
      </c>
    </row>
    <row r="103" ht="15" customHeight="1">
      <c r="A103" t="inlineStr">
        <is>
          <t>A 46230-2023</t>
        </is>
      </c>
      <c r="B103" s="1" t="n">
        <v>45196</v>
      </c>
      <c r="C103" s="1" t="n">
        <v>45587</v>
      </c>
      <c r="D103" t="inlineStr">
        <is>
          <t>JÄMTLANDS LÄN</t>
        </is>
      </c>
      <c r="E103" t="inlineStr">
        <is>
          <t>HÄRJEDALEN</t>
        </is>
      </c>
      <c r="F103" t="inlineStr">
        <is>
          <t>Sveaskog</t>
        </is>
      </c>
      <c r="G103" t="n">
        <v>3.8</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46230-2023 artfynd.xlsx", "A 46230-2023")</f>
        <v/>
      </c>
      <c r="T103">
        <f>HYPERLINK("https://klasma.github.io/Logging_2361/kartor/A 46230-2023 karta.png", "A 46230-2023")</f>
        <v/>
      </c>
      <c r="V103">
        <f>HYPERLINK("https://klasma.github.io/Logging_2361/klagomål/A 46230-2023 FSC-klagomål.docx", "A 46230-2023")</f>
        <v/>
      </c>
      <c r="W103">
        <f>HYPERLINK("https://klasma.github.io/Logging_2361/klagomålsmail/A 46230-2023 FSC-klagomål mail.docx", "A 46230-2023")</f>
        <v/>
      </c>
      <c r="X103">
        <f>HYPERLINK("https://klasma.github.io/Logging_2361/tillsyn/A 46230-2023 tillsynsbegäran.docx", "A 46230-2023")</f>
        <v/>
      </c>
      <c r="Y103">
        <f>HYPERLINK("https://klasma.github.io/Logging_2361/tillsynsmail/A 46230-2023 tillsynsbegäran mail.docx", "A 46230-2023")</f>
        <v/>
      </c>
    </row>
    <row r="104" ht="15" customHeight="1">
      <c r="A104" t="inlineStr">
        <is>
          <t>A 16549-2024</t>
        </is>
      </c>
      <c r="B104" s="1" t="n">
        <v>45408</v>
      </c>
      <c r="C104" s="1" t="n">
        <v>45587</v>
      </c>
      <c r="D104" t="inlineStr">
        <is>
          <t>JÄMTLANDS LÄN</t>
        </is>
      </c>
      <c r="E104" t="inlineStr">
        <is>
          <t>HÄRJEDALEN</t>
        </is>
      </c>
      <c r="G104" t="n">
        <v>3.5</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16549-2024 artfynd.xlsx", "A 16549-2024")</f>
        <v/>
      </c>
      <c r="T104">
        <f>HYPERLINK("https://klasma.github.io/Logging_2361/kartor/A 16549-2024 karta.png", "A 16549-2024")</f>
        <v/>
      </c>
      <c r="V104">
        <f>HYPERLINK("https://klasma.github.io/Logging_2361/klagomål/A 16549-2024 FSC-klagomål.docx", "A 16549-2024")</f>
        <v/>
      </c>
      <c r="W104">
        <f>HYPERLINK("https://klasma.github.io/Logging_2361/klagomålsmail/A 16549-2024 FSC-klagomål mail.docx", "A 16549-2024")</f>
        <v/>
      </c>
      <c r="X104">
        <f>HYPERLINK("https://klasma.github.io/Logging_2361/tillsyn/A 16549-2024 tillsynsbegäran.docx", "A 16549-2024")</f>
        <v/>
      </c>
      <c r="Y104">
        <f>HYPERLINK("https://klasma.github.io/Logging_2361/tillsynsmail/A 16549-2024 tillsynsbegäran mail.docx", "A 16549-2024")</f>
        <v/>
      </c>
    </row>
    <row r="105" ht="15" customHeight="1">
      <c r="A105" t="inlineStr">
        <is>
          <t>A 19965-2024</t>
        </is>
      </c>
      <c r="B105" s="1" t="n">
        <v>45433</v>
      </c>
      <c r="C105" s="1" t="n">
        <v>45587</v>
      </c>
      <c r="D105" t="inlineStr">
        <is>
          <t>JÄMTLANDS LÄN</t>
        </is>
      </c>
      <c r="E105" t="inlineStr">
        <is>
          <t>HÄRJEDALEN</t>
        </is>
      </c>
      <c r="F105" t="inlineStr">
        <is>
          <t>Sveaskog</t>
        </is>
      </c>
      <c r="G105" t="n">
        <v>15</v>
      </c>
      <c r="H105" t="n">
        <v>0</v>
      </c>
      <c r="I105" t="n">
        <v>1</v>
      </c>
      <c r="J105" t="n">
        <v>3</v>
      </c>
      <c r="K105" t="n">
        <v>0</v>
      </c>
      <c r="L105" t="n">
        <v>0</v>
      </c>
      <c r="M105" t="n">
        <v>0</v>
      </c>
      <c r="N105" t="n">
        <v>0</v>
      </c>
      <c r="O105" t="n">
        <v>3</v>
      </c>
      <c r="P105" t="n">
        <v>0</v>
      </c>
      <c r="Q105" t="n">
        <v>4</v>
      </c>
      <c r="R105" s="2" t="inlineStr">
        <is>
          <t>Kolflarnlav
Motaggsvamp
Vedflamlav
Dropptaggsvamp</t>
        </is>
      </c>
      <c r="S105">
        <f>HYPERLINK("https://klasma.github.io/Logging_2361/artfynd/A 19965-2024 artfynd.xlsx", "A 19965-2024")</f>
        <v/>
      </c>
      <c r="T105">
        <f>HYPERLINK("https://klasma.github.io/Logging_2361/kartor/A 19965-2024 karta.png", "A 19965-2024")</f>
        <v/>
      </c>
      <c r="V105">
        <f>HYPERLINK("https://klasma.github.io/Logging_2361/klagomål/A 19965-2024 FSC-klagomål.docx", "A 19965-2024")</f>
        <v/>
      </c>
      <c r="W105">
        <f>HYPERLINK("https://klasma.github.io/Logging_2361/klagomålsmail/A 19965-2024 FSC-klagomål mail.docx", "A 19965-2024")</f>
        <v/>
      </c>
      <c r="X105">
        <f>HYPERLINK("https://klasma.github.io/Logging_2361/tillsyn/A 19965-2024 tillsynsbegäran.docx", "A 19965-2024")</f>
        <v/>
      </c>
      <c r="Y105">
        <f>HYPERLINK("https://klasma.github.io/Logging_2361/tillsynsmail/A 19965-2024 tillsynsbegäran mail.docx", "A 19965-2024")</f>
        <v/>
      </c>
    </row>
    <row r="106" ht="15" customHeight="1">
      <c r="A106" t="inlineStr">
        <is>
          <t>A 25864-2024</t>
        </is>
      </c>
      <c r="B106" s="1" t="n">
        <v>45467</v>
      </c>
      <c r="C106" s="1" t="n">
        <v>45587</v>
      </c>
      <c r="D106" t="inlineStr">
        <is>
          <t>JÄMTLANDS LÄN</t>
        </is>
      </c>
      <c r="E106" t="inlineStr">
        <is>
          <t>HÄRJEDALEN</t>
        </is>
      </c>
      <c r="F106" t="inlineStr">
        <is>
          <t>Sveaskog</t>
        </is>
      </c>
      <c r="G106" t="n">
        <v>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25864-2024 artfynd.xlsx", "A 25864-2024")</f>
        <v/>
      </c>
      <c r="T106">
        <f>HYPERLINK("https://klasma.github.io/Logging_2361/kartor/A 25864-2024 karta.png", "A 25864-2024")</f>
        <v/>
      </c>
      <c r="V106">
        <f>HYPERLINK("https://klasma.github.io/Logging_2361/klagomål/A 25864-2024 FSC-klagomål.docx", "A 25864-2024")</f>
        <v/>
      </c>
      <c r="W106">
        <f>HYPERLINK("https://klasma.github.io/Logging_2361/klagomålsmail/A 25864-2024 FSC-klagomål mail.docx", "A 25864-2024")</f>
        <v/>
      </c>
      <c r="X106">
        <f>HYPERLINK("https://klasma.github.io/Logging_2361/tillsyn/A 25864-2024 tillsynsbegäran.docx", "A 25864-2024")</f>
        <v/>
      </c>
      <c r="Y106">
        <f>HYPERLINK("https://klasma.github.io/Logging_2361/tillsynsmail/A 25864-2024 tillsynsbegäran mail.docx", "A 25864-2024")</f>
        <v/>
      </c>
    </row>
    <row r="107" ht="15" customHeight="1">
      <c r="A107" t="inlineStr">
        <is>
          <t>A 31012-2024</t>
        </is>
      </c>
      <c r="B107" s="1" t="n">
        <v>45499</v>
      </c>
      <c r="C107" s="1" t="n">
        <v>45587</v>
      </c>
      <c r="D107" t="inlineStr">
        <is>
          <t>JÄMTLANDS LÄN</t>
        </is>
      </c>
      <c r="E107" t="inlineStr">
        <is>
          <t>HÄRJEDALEN</t>
        </is>
      </c>
      <c r="F107" t="inlineStr">
        <is>
          <t>Sveaskog</t>
        </is>
      </c>
      <c r="G107" t="n">
        <v>11.7</v>
      </c>
      <c r="H107" t="n">
        <v>1</v>
      </c>
      <c r="I107" t="n">
        <v>1</v>
      </c>
      <c r="J107" t="n">
        <v>3</v>
      </c>
      <c r="K107" t="n">
        <v>0</v>
      </c>
      <c r="L107" t="n">
        <v>0</v>
      </c>
      <c r="M107" t="n">
        <v>0</v>
      </c>
      <c r="N107" t="n">
        <v>0</v>
      </c>
      <c r="O107" t="n">
        <v>3</v>
      </c>
      <c r="P107" t="n">
        <v>0</v>
      </c>
      <c r="Q107" t="n">
        <v>4</v>
      </c>
      <c r="R107" s="2" t="inlineStr">
        <is>
          <t>Kolflarnlav
Mörk kolflarnlav
Tretåig hackspett
Dropptaggsvamp</t>
        </is>
      </c>
      <c r="S107">
        <f>HYPERLINK("https://klasma.github.io/Logging_2361/artfynd/A 31012-2024 artfynd.xlsx", "A 31012-2024")</f>
        <v/>
      </c>
      <c r="T107">
        <f>HYPERLINK("https://klasma.github.io/Logging_2361/kartor/A 31012-2024 karta.png", "A 31012-2024")</f>
        <v/>
      </c>
      <c r="V107">
        <f>HYPERLINK("https://klasma.github.io/Logging_2361/klagomål/A 31012-2024 FSC-klagomål.docx", "A 31012-2024")</f>
        <v/>
      </c>
      <c r="W107">
        <f>HYPERLINK("https://klasma.github.io/Logging_2361/klagomålsmail/A 31012-2024 FSC-klagomål mail.docx", "A 31012-2024")</f>
        <v/>
      </c>
      <c r="X107">
        <f>HYPERLINK("https://klasma.github.io/Logging_2361/tillsyn/A 31012-2024 tillsynsbegäran.docx", "A 31012-2024")</f>
        <v/>
      </c>
      <c r="Y107">
        <f>HYPERLINK("https://klasma.github.io/Logging_2361/tillsynsmail/A 31012-2024 tillsynsbegäran mail.docx", "A 31012-2024")</f>
        <v/>
      </c>
      <c r="Z107">
        <f>HYPERLINK("https://klasma.github.io/Logging_2361/fåglar/A 31012-2024 prioriterade fågelarter.docx", "A 31012-2024")</f>
        <v/>
      </c>
    </row>
    <row r="108" ht="15" customHeight="1">
      <c r="A108" t="inlineStr">
        <is>
          <t>A 31148-2024</t>
        </is>
      </c>
      <c r="B108" s="1" t="n">
        <v>45502</v>
      </c>
      <c r="C108" s="1" t="n">
        <v>45587</v>
      </c>
      <c r="D108" t="inlineStr">
        <is>
          <t>JÄMTLANDS LÄN</t>
        </is>
      </c>
      <c r="E108" t="inlineStr">
        <is>
          <t>HÄRJEDALEN</t>
        </is>
      </c>
      <c r="F108" t="inlineStr">
        <is>
          <t>Sveaskog</t>
        </is>
      </c>
      <c r="G108" t="n">
        <v>8.199999999999999</v>
      </c>
      <c r="H108" t="n">
        <v>0</v>
      </c>
      <c r="I108" t="n">
        <v>1</v>
      </c>
      <c r="J108" t="n">
        <v>3</v>
      </c>
      <c r="K108" t="n">
        <v>0</v>
      </c>
      <c r="L108" t="n">
        <v>0</v>
      </c>
      <c r="M108" t="n">
        <v>0</v>
      </c>
      <c r="N108" t="n">
        <v>0</v>
      </c>
      <c r="O108" t="n">
        <v>3</v>
      </c>
      <c r="P108" t="n">
        <v>0</v>
      </c>
      <c r="Q108" t="n">
        <v>4</v>
      </c>
      <c r="R108" s="2" t="inlineStr">
        <is>
          <t>Dvärgbägarlav
Kolflarnlav
Mörk kolflarnlav
Dropptaggsvamp</t>
        </is>
      </c>
      <c r="S108">
        <f>HYPERLINK("https://klasma.github.io/Logging_2361/artfynd/A 31148-2024 artfynd.xlsx", "A 31148-2024")</f>
        <v/>
      </c>
      <c r="T108">
        <f>HYPERLINK("https://klasma.github.io/Logging_2361/kartor/A 31148-2024 karta.png", "A 31148-2024")</f>
        <v/>
      </c>
      <c r="V108">
        <f>HYPERLINK("https://klasma.github.io/Logging_2361/klagomål/A 31148-2024 FSC-klagomål.docx", "A 31148-2024")</f>
        <v/>
      </c>
      <c r="W108">
        <f>HYPERLINK("https://klasma.github.io/Logging_2361/klagomålsmail/A 31148-2024 FSC-klagomål mail.docx", "A 31148-2024")</f>
        <v/>
      </c>
      <c r="X108">
        <f>HYPERLINK("https://klasma.github.io/Logging_2361/tillsyn/A 31148-2024 tillsynsbegäran.docx", "A 31148-2024")</f>
        <v/>
      </c>
      <c r="Y108">
        <f>HYPERLINK("https://klasma.github.io/Logging_2361/tillsynsmail/A 31148-2024 tillsynsbegäran mail.docx", "A 31148-2024")</f>
        <v/>
      </c>
    </row>
    <row r="109" ht="15" customHeight="1">
      <c r="A109" t="inlineStr">
        <is>
          <t>A 31288-2024</t>
        </is>
      </c>
      <c r="B109" s="1" t="n">
        <v>45504</v>
      </c>
      <c r="C109" s="1" t="n">
        <v>45587</v>
      </c>
      <c r="D109" t="inlineStr">
        <is>
          <t>JÄMTLANDS LÄN</t>
        </is>
      </c>
      <c r="E109" t="inlineStr">
        <is>
          <t>HÄRJEDALEN</t>
        </is>
      </c>
      <c r="F109" t="inlineStr">
        <is>
          <t>Sveaskog</t>
        </is>
      </c>
      <c r="G109" t="n">
        <v>10.4</v>
      </c>
      <c r="H109" t="n">
        <v>0</v>
      </c>
      <c r="I109" t="n">
        <v>0</v>
      </c>
      <c r="J109" t="n">
        <v>4</v>
      </c>
      <c r="K109" t="n">
        <v>0</v>
      </c>
      <c r="L109" t="n">
        <v>0</v>
      </c>
      <c r="M109" t="n">
        <v>0</v>
      </c>
      <c r="N109" t="n">
        <v>0</v>
      </c>
      <c r="O109" t="n">
        <v>4</v>
      </c>
      <c r="P109" t="n">
        <v>0</v>
      </c>
      <c r="Q109" t="n">
        <v>4</v>
      </c>
      <c r="R109" s="2" t="inlineStr">
        <is>
          <t>Blå taggsvamp
Kolflarnlav
Mörk kolflarnlav
Vedflamlav</t>
        </is>
      </c>
      <c r="S109">
        <f>HYPERLINK("https://klasma.github.io/Logging_2361/artfynd/A 31288-2024 artfynd.xlsx", "A 31288-2024")</f>
        <v/>
      </c>
      <c r="T109">
        <f>HYPERLINK("https://klasma.github.io/Logging_2361/kartor/A 31288-2024 karta.png", "A 31288-2024")</f>
        <v/>
      </c>
      <c r="V109">
        <f>HYPERLINK("https://klasma.github.io/Logging_2361/klagomål/A 31288-2024 FSC-klagomål.docx", "A 31288-2024")</f>
        <v/>
      </c>
      <c r="W109">
        <f>HYPERLINK("https://klasma.github.io/Logging_2361/klagomålsmail/A 31288-2024 FSC-klagomål mail.docx", "A 31288-2024")</f>
        <v/>
      </c>
      <c r="X109">
        <f>HYPERLINK("https://klasma.github.io/Logging_2361/tillsyn/A 31288-2024 tillsynsbegäran.docx", "A 31288-2024")</f>
        <v/>
      </c>
      <c r="Y109">
        <f>HYPERLINK("https://klasma.github.io/Logging_2361/tillsynsmail/A 31288-2024 tillsynsbegäran mail.docx", "A 31288-2024")</f>
        <v/>
      </c>
    </row>
    <row r="110" ht="15" customHeight="1">
      <c r="A110" t="inlineStr">
        <is>
          <t>A 36538-2024</t>
        </is>
      </c>
      <c r="B110" s="1" t="n">
        <v>45537</v>
      </c>
      <c r="C110" s="1" t="n">
        <v>45587</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39687-2024</t>
        </is>
      </c>
      <c r="B111" s="1" t="n">
        <v>45552</v>
      </c>
      <c r="C111" s="1" t="n">
        <v>45587</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18156-2019</t>
        </is>
      </c>
      <c r="B112" s="1" t="n">
        <v>43558</v>
      </c>
      <c r="C112" s="1" t="n">
        <v>45587</v>
      </c>
      <c r="D112" t="inlineStr">
        <is>
          <t>JÄMTLANDS LÄN</t>
        </is>
      </c>
      <c r="E112" t="inlineStr">
        <is>
          <t>HÄRJEDALEN</t>
        </is>
      </c>
      <c r="F112" t="inlineStr">
        <is>
          <t>Bergvik skog väst AB</t>
        </is>
      </c>
      <c r="G112" t="n">
        <v>102.9</v>
      </c>
      <c r="H112" t="n">
        <v>0</v>
      </c>
      <c r="I112" t="n">
        <v>0</v>
      </c>
      <c r="J112" t="n">
        <v>1</v>
      </c>
      <c r="K112" t="n">
        <v>2</v>
      </c>
      <c r="L112" t="n">
        <v>0</v>
      </c>
      <c r="M112" t="n">
        <v>0</v>
      </c>
      <c r="N112" t="n">
        <v>0</v>
      </c>
      <c r="O112" t="n">
        <v>3</v>
      </c>
      <c r="P112" t="n">
        <v>2</v>
      </c>
      <c r="Q112" t="n">
        <v>3</v>
      </c>
      <c r="R112" s="2" t="inlineStr">
        <is>
          <t>Fläckporing
Laxporing
Stiftgelélav</t>
        </is>
      </c>
      <c r="S112">
        <f>HYPERLINK("https://klasma.github.io/Logging_2361/artfynd/A 18156-2019 artfynd.xlsx", "A 18156-2019")</f>
        <v/>
      </c>
      <c r="T112">
        <f>HYPERLINK("https://klasma.github.io/Logging_2361/kartor/A 18156-2019 karta.png", "A 18156-2019")</f>
        <v/>
      </c>
      <c r="V112">
        <f>HYPERLINK("https://klasma.github.io/Logging_2361/klagomål/A 18156-2019 FSC-klagomål.docx", "A 18156-2019")</f>
        <v/>
      </c>
      <c r="W112">
        <f>HYPERLINK("https://klasma.github.io/Logging_2361/klagomålsmail/A 18156-2019 FSC-klagomål mail.docx", "A 18156-2019")</f>
        <v/>
      </c>
      <c r="X112">
        <f>HYPERLINK("https://klasma.github.io/Logging_2361/tillsyn/A 18156-2019 tillsynsbegäran.docx", "A 18156-2019")</f>
        <v/>
      </c>
      <c r="Y112">
        <f>HYPERLINK("https://klasma.github.io/Logging_2361/tillsynsmail/A 18156-2019 tillsynsbegäran mail.docx", "A 18156-2019")</f>
        <v/>
      </c>
    </row>
    <row r="113" ht="15" customHeight="1">
      <c r="A113" t="inlineStr">
        <is>
          <t>A 35719-2019</t>
        </is>
      </c>
      <c r="B113" s="1" t="n">
        <v>43664</v>
      </c>
      <c r="C113" s="1" t="n">
        <v>45587</v>
      </c>
      <c r="D113" t="inlineStr">
        <is>
          <t>JÄMTLANDS LÄN</t>
        </is>
      </c>
      <c r="E113" t="inlineStr">
        <is>
          <t>HÄRJEDALEN</t>
        </is>
      </c>
      <c r="F113" t="inlineStr">
        <is>
          <t>SCA</t>
        </is>
      </c>
      <c r="G113" t="n">
        <v>17.7</v>
      </c>
      <c r="H113" t="n">
        <v>0</v>
      </c>
      <c r="I113" t="n">
        <v>1</v>
      </c>
      <c r="J113" t="n">
        <v>2</v>
      </c>
      <c r="K113" t="n">
        <v>0</v>
      </c>
      <c r="L113" t="n">
        <v>0</v>
      </c>
      <c r="M113" t="n">
        <v>0</v>
      </c>
      <c r="N113" t="n">
        <v>0</v>
      </c>
      <c r="O113" t="n">
        <v>2</v>
      </c>
      <c r="P113" t="n">
        <v>0</v>
      </c>
      <c r="Q113" t="n">
        <v>3</v>
      </c>
      <c r="R113" s="2" t="inlineStr">
        <is>
          <t>Kolflarnlav
Tallticka
Dropptaggsvamp</t>
        </is>
      </c>
      <c r="S113">
        <f>HYPERLINK("https://klasma.github.io/Logging_2361/artfynd/A 35719-2019 artfynd.xlsx", "A 35719-2019")</f>
        <v/>
      </c>
      <c r="T113">
        <f>HYPERLINK("https://klasma.github.io/Logging_2361/kartor/A 35719-2019 karta.png", "A 35719-2019")</f>
        <v/>
      </c>
      <c r="V113">
        <f>HYPERLINK("https://klasma.github.io/Logging_2361/klagomål/A 35719-2019 FSC-klagomål.docx", "A 35719-2019")</f>
        <v/>
      </c>
      <c r="W113">
        <f>HYPERLINK("https://klasma.github.io/Logging_2361/klagomålsmail/A 35719-2019 FSC-klagomål mail.docx", "A 35719-2019")</f>
        <v/>
      </c>
      <c r="X113">
        <f>HYPERLINK("https://klasma.github.io/Logging_2361/tillsyn/A 35719-2019 tillsynsbegäran.docx", "A 35719-2019")</f>
        <v/>
      </c>
      <c r="Y113">
        <f>HYPERLINK("https://klasma.github.io/Logging_2361/tillsynsmail/A 35719-2019 tillsynsbegäran mail.docx", "A 35719-2019")</f>
        <v/>
      </c>
    </row>
    <row r="114" ht="15" customHeight="1">
      <c r="A114" t="inlineStr">
        <is>
          <t>A 41873-2020</t>
        </is>
      </c>
      <c r="B114" s="1" t="n">
        <v>44074</v>
      </c>
      <c r="C114" s="1" t="n">
        <v>45587</v>
      </c>
      <c r="D114" t="inlineStr">
        <is>
          <t>JÄMTLANDS LÄN</t>
        </is>
      </c>
      <c r="E114" t="inlineStr">
        <is>
          <t>HÄRJEDALEN</t>
        </is>
      </c>
      <c r="F114" t="inlineStr">
        <is>
          <t>SCA</t>
        </is>
      </c>
      <c r="G114" t="n">
        <v>2.4</v>
      </c>
      <c r="H114" t="n">
        <v>2</v>
      </c>
      <c r="I114" t="n">
        <v>1</v>
      </c>
      <c r="J114" t="n">
        <v>1</v>
      </c>
      <c r="K114" t="n">
        <v>1</v>
      </c>
      <c r="L114" t="n">
        <v>0</v>
      </c>
      <c r="M114" t="n">
        <v>0</v>
      </c>
      <c r="N114" t="n">
        <v>0</v>
      </c>
      <c r="O114" t="n">
        <v>2</v>
      </c>
      <c r="P114" t="n">
        <v>1</v>
      </c>
      <c r="Q114" t="n">
        <v>3</v>
      </c>
      <c r="R114" s="2" t="inlineStr">
        <is>
          <t>Knärot
Garnlav
Korallrot</t>
        </is>
      </c>
      <c r="S114">
        <f>HYPERLINK("https://klasma.github.io/Logging_2361/artfynd/A 41873-2020 artfynd.xlsx", "A 41873-2020")</f>
        <v/>
      </c>
      <c r="T114">
        <f>HYPERLINK("https://klasma.github.io/Logging_2361/kartor/A 41873-2020 karta.png", "A 41873-2020")</f>
        <v/>
      </c>
      <c r="U114">
        <f>HYPERLINK("https://klasma.github.io/Logging_2361/knärot/A 41873-2020 karta knärot.png", "A 41873-2020")</f>
        <v/>
      </c>
      <c r="V114">
        <f>HYPERLINK("https://klasma.github.io/Logging_2361/klagomål/A 41873-2020 FSC-klagomål.docx", "A 41873-2020")</f>
        <v/>
      </c>
      <c r="W114">
        <f>HYPERLINK("https://klasma.github.io/Logging_2361/klagomålsmail/A 41873-2020 FSC-klagomål mail.docx", "A 41873-2020")</f>
        <v/>
      </c>
      <c r="X114">
        <f>HYPERLINK("https://klasma.github.io/Logging_2361/tillsyn/A 41873-2020 tillsynsbegäran.docx", "A 41873-2020")</f>
        <v/>
      </c>
      <c r="Y114">
        <f>HYPERLINK("https://klasma.github.io/Logging_2361/tillsynsmail/A 41873-2020 tillsynsbegäran mail.docx", "A 41873-2020")</f>
        <v/>
      </c>
    </row>
    <row r="115" ht="15" customHeight="1">
      <c r="A115" t="inlineStr">
        <is>
          <t>A 49864-2020</t>
        </is>
      </c>
      <c r="B115" s="1" t="n">
        <v>44107</v>
      </c>
      <c r="C115" s="1" t="n">
        <v>45587</v>
      </c>
      <c r="D115" t="inlineStr">
        <is>
          <t>JÄMTLANDS LÄN</t>
        </is>
      </c>
      <c r="E115" t="inlineStr">
        <is>
          <t>HÄRJEDALEN</t>
        </is>
      </c>
      <c r="F115" t="inlineStr">
        <is>
          <t>Bergvik skog väst AB</t>
        </is>
      </c>
      <c r="G115" t="n">
        <v>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HYPERLINK("https://klasma.github.io/Logging_2361/artfynd/A 49864-2020 artfynd.xlsx", "A 49864-2020")</f>
        <v/>
      </c>
      <c r="T115">
        <f>HYPERLINK("https://klasma.github.io/Logging_2361/kartor/A 49864-2020 karta.png", "A 49864-2020")</f>
        <v/>
      </c>
      <c r="V115">
        <f>HYPERLINK("https://klasma.github.io/Logging_2361/klagomål/A 49864-2020 FSC-klagomål.docx", "A 49864-2020")</f>
        <v/>
      </c>
      <c r="W115">
        <f>HYPERLINK("https://klasma.github.io/Logging_2361/klagomålsmail/A 49864-2020 FSC-klagomål mail.docx", "A 49864-2020")</f>
        <v/>
      </c>
      <c r="X115">
        <f>HYPERLINK("https://klasma.github.io/Logging_2361/tillsyn/A 49864-2020 tillsynsbegäran.docx", "A 49864-2020")</f>
        <v/>
      </c>
      <c r="Y115">
        <f>HYPERLINK("https://klasma.github.io/Logging_2361/tillsynsmail/A 49864-2020 tillsynsbegäran mail.docx", "A 49864-2020")</f>
        <v/>
      </c>
      <c r="Z115">
        <f>HYPERLINK("https://klasma.github.io/Logging_2361/fåglar/A 49864-2020 prioriterade fågelarter.docx", "A 49864-2020")</f>
        <v/>
      </c>
    </row>
    <row r="116" ht="15" customHeight="1">
      <c r="A116" t="inlineStr">
        <is>
          <t>A 49863-2020</t>
        </is>
      </c>
      <c r="B116" s="1" t="n">
        <v>44107</v>
      </c>
      <c r="C116" s="1" t="n">
        <v>45587</v>
      </c>
      <c r="D116" t="inlineStr">
        <is>
          <t>JÄMTLANDS LÄN</t>
        </is>
      </c>
      <c r="E116" t="inlineStr">
        <is>
          <t>HÄRJEDALEN</t>
        </is>
      </c>
      <c r="F116" t="inlineStr">
        <is>
          <t>Bergvik skog väst AB</t>
        </is>
      </c>
      <c r="G116" t="n">
        <v>12.8</v>
      </c>
      <c r="H116" t="n">
        <v>1</v>
      </c>
      <c r="I116" t="n">
        <v>1</v>
      </c>
      <c r="J116" t="n">
        <v>2</v>
      </c>
      <c r="K116" t="n">
        <v>0</v>
      </c>
      <c r="L116" t="n">
        <v>0</v>
      </c>
      <c r="M116" t="n">
        <v>0</v>
      </c>
      <c r="N116" t="n">
        <v>0</v>
      </c>
      <c r="O116" t="n">
        <v>2</v>
      </c>
      <c r="P116" t="n">
        <v>0</v>
      </c>
      <c r="Q116" t="n">
        <v>3</v>
      </c>
      <c r="R116" s="2" t="inlineStr">
        <is>
          <t>Garnlav
Tretåig hackspett
Trådticka</t>
        </is>
      </c>
      <c r="S116">
        <f>HYPERLINK("https://klasma.github.io/Logging_2361/artfynd/A 49863-2020 artfynd.xlsx", "A 49863-2020")</f>
        <v/>
      </c>
      <c r="T116">
        <f>HYPERLINK("https://klasma.github.io/Logging_2361/kartor/A 49863-2020 karta.png", "A 49863-2020")</f>
        <v/>
      </c>
      <c r="V116">
        <f>HYPERLINK("https://klasma.github.io/Logging_2361/klagomål/A 49863-2020 FSC-klagomål.docx", "A 49863-2020")</f>
        <v/>
      </c>
      <c r="W116">
        <f>HYPERLINK("https://klasma.github.io/Logging_2361/klagomålsmail/A 49863-2020 FSC-klagomål mail.docx", "A 49863-2020")</f>
        <v/>
      </c>
      <c r="X116">
        <f>HYPERLINK("https://klasma.github.io/Logging_2361/tillsyn/A 49863-2020 tillsynsbegäran.docx", "A 49863-2020")</f>
        <v/>
      </c>
      <c r="Y116">
        <f>HYPERLINK("https://klasma.github.io/Logging_2361/tillsynsmail/A 49863-2020 tillsynsbegäran mail.docx", "A 49863-2020")</f>
        <v/>
      </c>
      <c r="Z116">
        <f>HYPERLINK("https://klasma.github.io/Logging_2361/fåglar/A 49863-2020 prioriterade fågelarter.docx", "A 49863-2020")</f>
        <v/>
      </c>
    </row>
    <row r="117" ht="15" customHeight="1">
      <c r="A117" t="inlineStr">
        <is>
          <t>A 65147-2020</t>
        </is>
      </c>
      <c r="B117" s="1" t="n">
        <v>44172</v>
      </c>
      <c r="C117" s="1" t="n">
        <v>45587</v>
      </c>
      <c r="D117" t="inlineStr">
        <is>
          <t>JÄMTLANDS LÄN</t>
        </is>
      </c>
      <c r="E117" t="inlineStr">
        <is>
          <t>HÄRJEDALEN</t>
        </is>
      </c>
      <c r="G117" t="n">
        <v>5.9</v>
      </c>
      <c r="H117" t="n">
        <v>1</v>
      </c>
      <c r="I117" t="n">
        <v>0</v>
      </c>
      <c r="J117" t="n">
        <v>3</v>
      </c>
      <c r="K117" t="n">
        <v>0</v>
      </c>
      <c r="L117" t="n">
        <v>0</v>
      </c>
      <c r="M117" t="n">
        <v>0</v>
      </c>
      <c r="N117" t="n">
        <v>0</v>
      </c>
      <c r="O117" t="n">
        <v>3</v>
      </c>
      <c r="P117" t="n">
        <v>0</v>
      </c>
      <c r="Q117" t="n">
        <v>3</v>
      </c>
      <c r="R117" s="2" t="inlineStr">
        <is>
          <t>Blanksvart spiklav
Garnlav
Varglav</t>
        </is>
      </c>
      <c r="S117">
        <f>HYPERLINK("https://klasma.github.io/Logging_2361/artfynd/A 65147-2020 artfynd.xlsx", "A 65147-2020")</f>
        <v/>
      </c>
      <c r="T117">
        <f>HYPERLINK("https://klasma.github.io/Logging_2361/kartor/A 65147-2020 karta.png", "A 65147-2020")</f>
        <v/>
      </c>
      <c r="V117">
        <f>HYPERLINK("https://klasma.github.io/Logging_2361/klagomål/A 65147-2020 FSC-klagomål.docx", "A 65147-2020")</f>
        <v/>
      </c>
      <c r="W117">
        <f>HYPERLINK("https://klasma.github.io/Logging_2361/klagomålsmail/A 65147-2020 FSC-klagomål mail.docx", "A 65147-2020")</f>
        <v/>
      </c>
      <c r="X117">
        <f>HYPERLINK("https://klasma.github.io/Logging_2361/tillsyn/A 65147-2020 tillsynsbegäran.docx", "A 65147-2020")</f>
        <v/>
      </c>
      <c r="Y117">
        <f>HYPERLINK("https://klasma.github.io/Logging_2361/tillsynsmail/A 65147-2020 tillsynsbegäran mail.docx", "A 65147-2020")</f>
        <v/>
      </c>
    </row>
    <row r="118" ht="15" customHeight="1">
      <c r="A118" t="inlineStr">
        <is>
          <t>A 67126-2020</t>
        </is>
      </c>
      <c r="B118" s="1" t="n">
        <v>44180</v>
      </c>
      <c r="C118" s="1" t="n">
        <v>45587</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42826-2021</t>
        </is>
      </c>
      <c r="B119" s="1" t="n">
        <v>44430</v>
      </c>
      <c r="C119" s="1" t="n">
        <v>45587</v>
      </c>
      <c r="D119" t="inlineStr">
        <is>
          <t>JÄMTLANDS LÄN</t>
        </is>
      </c>
      <c r="E119" t="inlineStr">
        <is>
          <t>HÄRJEDALEN</t>
        </is>
      </c>
      <c r="F119" t="inlineStr">
        <is>
          <t>Sveaskog</t>
        </is>
      </c>
      <c r="G119" t="n">
        <v>8.1</v>
      </c>
      <c r="H119" t="n">
        <v>1</v>
      </c>
      <c r="I119" t="n">
        <v>0</v>
      </c>
      <c r="J119" t="n">
        <v>2</v>
      </c>
      <c r="K119" t="n">
        <v>1</v>
      </c>
      <c r="L119" t="n">
        <v>0</v>
      </c>
      <c r="M119" t="n">
        <v>0</v>
      </c>
      <c r="N119" t="n">
        <v>0</v>
      </c>
      <c r="O119" t="n">
        <v>3</v>
      </c>
      <c r="P119" t="n">
        <v>1</v>
      </c>
      <c r="Q119" t="n">
        <v>3</v>
      </c>
      <c r="R119" s="2" t="inlineStr">
        <is>
          <t>Knärot
Garnlav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row>
    <row r="120" ht="15" customHeight="1">
      <c r="A120" t="inlineStr">
        <is>
          <t>A 45717-2021</t>
        </is>
      </c>
      <c r="B120" s="1" t="n">
        <v>44441</v>
      </c>
      <c r="C120" s="1" t="n">
        <v>45587</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55244-2021</t>
        </is>
      </c>
      <c r="B121" s="1" t="n">
        <v>44475</v>
      </c>
      <c r="C121" s="1" t="n">
        <v>45587</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55233-2021</t>
        </is>
      </c>
      <c r="B122" s="1" t="n">
        <v>44475</v>
      </c>
      <c r="C122" s="1" t="n">
        <v>45587</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55394-2021</t>
        </is>
      </c>
      <c r="B123" s="1" t="n">
        <v>44475</v>
      </c>
      <c r="C123" s="1" t="n">
        <v>45587</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33914-2022</t>
        </is>
      </c>
      <c r="B124" s="1" t="n">
        <v>44790</v>
      </c>
      <c r="C124" s="1" t="n">
        <v>45587</v>
      </c>
      <c r="D124" t="inlineStr">
        <is>
          <t>JÄMTLANDS LÄN</t>
        </is>
      </c>
      <c r="E124" t="inlineStr">
        <is>
          <t>HÄRJEDALEN</t>
        </is>
      </c>
      <c r="F124" t="inlineStr">
        <is>
          <t>Bergvik skog väst AB</t>
        </is>
      </c>
      <c r="G124" t="n">
        <v>38.1</v>
      </c>
      <c r="H124" t="n">
        <v>3</v>
      </c>
      <c r="I124" t="n">
        <v>0</v>
      </c>
      <c r="J124" t="n">
        <v>2</v>
      </c>
      <c r="K124" t="n">
        <v>0</v>
      </c>
      <c r="L124" t="n">
        <v>0</v>
      </c>
      <c r="M124" t="n">
        <v>0</v>
      </c>
      <c r="N124" t="n">
        <v>0</v>
      </c>
      <c r="O124" t="n">
        <v>2</v>
      </c>
      <c r="P124" t="n">
        <v>0</v>
      </c>
      <c r="Q124" t="n">
        <v>3</v>
      </c>
      <c r="R124" s="2" t="inlineStr">
        <is>
          <t>Spillkråka
Tretåig hackspett
Lavskrika</t>
        </is>
      </c>
      <c r="S124">
        <f>HYPERLINK("https://klasma.github.io/Logging_2361/artfynd/A 33914-2022 artfynd.xlsx", "A 33914-2022")</f>
        <v/>
      </c>
      <c r="T124">
        <f>HYPERLINK("https://klasma.github.io/Logging_2361/kartor/A 33914-2022 karta.png", "A 33914-2022")</f>
        <v/>
      </c>
      <c r="V124">
        <f>HYPERLINK("https://klasma.github.io/Logging_2361/klagomål/A 33914-2022 FSC-klagomål.docx", "A 33914-2022")</f>
        <v/>
      </c>
      <c r="W124">
        <f>HYPERLINK("https://klasma.github.io/Logging_2361/klagomålsmail/A 33914-2022 FSC-klagomål mail.docx", "A 33914-2022")</f>
        <v/>
      </c>
      <c r="X124">
        <f>HYPERLINK("https://klasma.github.io/Logging_2361/tillsyn/A 33914-2022 tillsynsbegäran.docx", "A 33914-2022")</f>
        <v/>
      </c>
      <c r="Y124">
        <f>HYPERLINK("https://klasma.github.io/Logging_2361/tillsynsmail/A 33914-2022 tillsynsbegäran mail.docx", "A 33914-2022")</f>
        <v/>
      </c>
      <c r="Z124">
        <f>HYPERLINK("https://klasma.github.io/Logging_2361/fåglar/A 33914-2022 prioriterade fågelarter.docx", "A 33914-2022")</f>
        <v/>
      </c>
    </row>
    <row r="125" ht="15" customHeight="1">
      <c r="A125" t="inlineStr">
        <is>
          <t>A 34035-2022</t>
        </is>
      </c>
      <c r="B125" s="1" t="n">
        <v>44791</v>
      </c>
      <c r="C125" s="1" t="n">
        <v>45587</v>
      </c>
      <c r="D125" t="inlineStr">
        <is>
          <t>JÄMTLANDS LÄN</t>
        </is>
      </c>
      <c r="E125" t="inlineStr">
        <is>
          <t>HÄRJEDALEN</t>
        </is>
      </c>
      <c r="F125" t="inlineStr">
        <is>
          <t>Naturvårdsverket</t>
        </is>
      </c>
      <c r="G125" t="n">
        <v>27.4</v>
      </c>
      <c r="H125" t="n">
        <v>0</v>
      </c>
      <c r="I125" t="n">
        <v>0</v>
      </c>
      <c r="J125" t="n">
        <v>3</v>
      </c>
      <c r="K125" t="n">
        <v>0</v>
      </c>
      <c r="L125" t="n">
        <v>0</v>
      </c>
      <c r="M125" t="n">
        <v>0</v>
      </c>
      <c r="N125" t="n">
        <v>0</v>
      </c>
      <c r="O125" t="n">
        <v>3</v>
      </c>
      <c r="P125" t="n">
        <v>0</v>
      </c>
      <c r="Q125" t="n">
        <v>3</v>
      </c>
      <c r="R125" s="2" t="inlineStr">
        <is>
          <t>Gammelgransskål
Garnlav
Gränsticka</t>
        </is>
      </c>
      <c r="S125">
        <f>HYPERLINK("https://klasma.github.io/Logging_2361/artfynd/A 34035-2022 artfynd.xlsx", "A 34035-2022")</f>
        <v/>
      </c>
      <c r="T125">
        <f>HYPERLINK("https://klasma.github.io/Logging_2361/kartor/A 34035-2022 karta.png", "A 34035-2022")</f>
        <v/>
      </c>
      <c r="V125">
        <f>HYPERLINK("https://klasma.github.io/Logging_2361/klagomål/A 34035-2022 FSC-klagomål.docx", "A 34035-2022")</f>
        <v/>
      </c>
      <c r="W125">
        <f>HYPERLINK("https://klasma.github.io/Logging_2361/klagomålsmail/A 34035-2022 FSC-klagomål mail.docx", "A 34035-2022")</f>
        <v/>
      </c>
      <c r="X125">
        <f>HYPERLINK("https://klasma.github.io/Logging_2361/tillsyn/A 34035-2022 tillsynsbegäran.docx", "A 34035-2022")</f>
        <v/>
      </c>
      <c r="Y125">
        <f>HYPERLINK("https://klasma.github.io/Logging_2361/tillsynsmail/A 34035-2022 tillsynsbegäran mail.docx", "A 34035-2022")</f>
        <v/>
      </c>
    </row>
    <row r="126" ht="15" customHeight="1">
      <c r="A126" t="inlineStr">
        <is>
          <t>A 55383-2022</t>
        </is>
      </c>
      <c r="B126" s="1" t="n">
        <v>44882</v>
      </c>
      <c r="C126" s="1" t="n">
        <v>45587</v>
      </c>
      <c r="D126" t="inlineStr">
        <is>
          <t>JÄMTLANDS LÄN</t>
        </is>
      </c>
      <c r="E126" t="inlineStr">
        <is>
          <t>HÄRJEDALEN</t>
        </is>
      </c>
      <c r="G126" t="n">
        <v>11</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55383-2022 artfynd.xlsx", "A 55383-2022")</f>
        <v/>
      </c>
      <c r="T126">
        <f>HYPERLINK("https://klasma.github.io/Logging_2361/kartor/A 55383-2022 karta.png", "A 55383-2022")</f>
        <v/>
      </c>
      <c r="V126">
        <f>HYPERLINK("https://klasma.github.io/Logging_2361/klagomål/A 55383-2022 FSC-klagomål.docx", "A 55383-2022")</f>
        <v/>
      </c>
      <c r="W126">
        <f>HYPERLINK("https://klasma.github.io/Logging_2361/klagomålsmail/A 55383-2022 FSC-klagomål mail.docx", "A 55383-2022")</f>
        <v/>
      </c>
      <c r="X126">
        <f>HYPERLINK("https://klasma.github.io/Logging_2361/tillsyn/A 55383-2022 tillsynsbegäran.docx", "A 55383-2022")</f>
        <v/>
      </c>
      <c r="Y126">
        <f>HYPERLINK("https://klasma.github.io/Logging_2361/tillsynsmail/A 55383-2022 tillsynsbegäran mail.docx", "A 55383-2022")</f>
        <v/>
      </c>
      <c r="Z126">
        <f>HYPERLINK("https://klasma.github.io/Logging_2361/fåglar/A 55383-2022 prioriterade fågelarter.docx", "A 55383-2022")</f>
        <v/>
      </c>
    </row>
    <row r="127" ht="15" customHeight="1">
      <c r="A127" t="inlineStr">
        <is>
          <t>A 14060-2023</t>
        </is>
      </c>
      <c r="B127" s="1" t="n">
        <v>45007</v>
      </c>
      <c r="C127" s="1" t="n">
        <v>45587</v>
      </c>
      <c r="D127" t="inlineStr">
        <is>
          <t>JÄMTLANDS LÄN</t>
        </is>
      </c>
      <c r="E127" t="inlineStr">
        <is>
          <t>HÄRJEDALEN</t>
        </is>
      </c>
      <c r="F127" t="inlineStr">
        <is>
          <t>Bergvik skog väst AB</t>
        </is>
      </c>
      <c r="G127" t="n">
        <v>6.7</v>
      </c>
      <c r="H127" t="n">
        <v>0</v>
      </c>
      <c r="I127" t="n">
        <v>0</v>
      </c>
      <c r="J127" t="n">
        <v>0</v>
      </c>
      <c r="K127" t="n">
        <v>2</v>
      </c>
      <c r="L127" t="n">
        <v>1</v>
      </c>
      <c r="M127" t="n">
        <v>0</v>
      </c>
      <c r="N127" t="n">
        <v>0</v>
      </c>
      <c r="O127" t="n">
        <v>3</v>
      </c>
      <c r="P127" t="n">
        <v>3</v>
      </c>
      <c r="Q127" t="n">
        <v>3</v>
      </c>
      <c r="R127" s="2" t="inlineStr">
        <is>
          <t>Urskogsporing
Fläckporing
Gräddporing</t>
        </is>
      </c>
      <c r="S127">
        <f>HYPERLINK("https://klasma.github.io/Logging_2361/artfynd/A 14060-2023 artfynd.xlsx", "A 14060-2023")</f>
        <v/>
      </c>
      <c r="T127">
        <f>HYPERLINK("https://klasma.github.io/Logging_2361/kartor/A 14060-2023 karta.png", "A 14060-2023")</f>
        <v/>
      </c>
      <c r="V127">
        <f>HYPERLINK("https://klasma.github.io/Logging_2361/klagomål/A 14060-2023 FSC-klagomål.docx", "A 14060-2023")</f>
        <v/>
      </c>
      <c r="W127">
        <f>HYPERLINK("https://klasma.github.io/Logging_2361/klagomålsmail/A 14060-2023 FSC-klagomål mail.docx", "A 14060-2023")</f>
        <v/>
      </c>
      <c r="X127">
        <f>HYPERLINK("https://klasma.github.io/Logging_2361/tillsyn/A 14060-2023 tillsynsbegäran.docx", "A 14060-2023")</f>
        <v/>
      </c>
      <c r="Y127">
        <f>HYPERLINK("https://klasma.github.io/Logging_2361/tillsynsmail/A 14060-2023 tillsynsbegäran mail.docx", "A 14060-2023")</f>
        <v/>
      </c>
    </row>
    <row r="128" ht="15" customHeight="1">
      <c r="A128" t="inlineStr">
        <is>
          <t>A 19659-2023</t>
        </is>
      </c>
      <c r="B128" s="1" t="n">
        <v>45050</v>
      </c>
      <c r="C128" s="1" t="n">
        <v>45587</v>
      </c>
      <c r="D128" t="inlineStr">
        <is>
          <t>JÄMTLANDS LÄN</t>
        </is>
      </c>
      <c r="E128" t="inlineStr">
        <is>
          <t>HÄRJEDALEN</t>
        </is>
      </c>
      <c r="F128" t="inlineStr">
        <is>
          <t>Bergvik skog väst AB</t>
        </is>
      </c>
      <c r="G128" t="n">
        <v>2.8</v>
      </c>
      <c r="H128" t="n">
        <v>0</v>
      </c>
      <c r="I128" t="n">
        <v>0</v>
      </c>
      <c r="J128" t="n">
        <v>3</v>
      </c>
      <c r="K128" t="n">
        <v>0</v>
      </c>
      <c r="L128" t="n">
        <v>0</v>
      </c>
      <c r="M128" t="n">
        <v>0</v>
      </c>
      <c r="N128" t="n">
        <v>0</v>
      </c>
      <c r="O128" t="n">
        <v>3</v>
      </c>
      <c r="P128" t="n">
        <v>0</v>
      </c>
      <c r="Q128" t="n">
        <v>3</v>
      </c>
      <c r="R128" s="2" t="inlineStr">
        <is>
          <t>Gäckporing
Nordtagging
Vedskivlav</t>
        </is>
      </c>
      <c r="S128">
        <f>HYPERLINK("https://klasma.github.io/Logging_2361/artfynd/A 19659-2023 artfynd.xlsx", "A 19659-2023")</f>
        <v/>
      </c>
      <c r="T128">
        <f>HYPERLINK("https://klasma.github.io/Logging_2361/kartor/A 19659-2023 karta.png", "A 19659-2023")</f>
        <v/>
      </c>
      <c r="V128">
        <f>HYPERLINK("https://klasma.github.io/Logging_2361/klagomål/A 19659-2023 FSC-klagomål.docx", "A 19659-2023")</f>
        <v/>
      </c>
      <c r="W128">
        <f>HYPERLINK("https://klasma.github.io/Logging_2361/klagomålsmail/A 19659-2023 FSC-klagomål mail.docx", "A 19659-2023")</f>
        <v/>
      </c>
      <c r="X128">
        <f>HYPERLINK("https://klasma.github.io/Logging_2361/tillsyn/A 19659-2023 tillsynsbegäran.docx", "A 19659-2023")</f>
        <v/>
      </c>
      <c r="Y128">
        <f>HYPERLINK("https://klasma.github.io/Logging_2361/tillsynsmail/A 19659-2023 tillsynsbegäran mail.docx", "A 19659-2023")</f>
        <v/>
      </c>
    </row>
    <row r="129" ht="15" customHeight="1">
      <c r="A129" t="inlineStr">
        <is>
          <t>A 57572-2023</t>
        </is>
      </c>
      <c r="B129" s="1" t="n">
        <v>45246</v>
      </c>
      <c r="C129" s="1" t="n">
        <v>45587</v>
      </c>
      <c r="D129" t="inlineStr">
        <is>
          <t>JÄMTLANDS LÄN</t>
        </is>
      </c>
      <c r="E129" t="inlineStr">
        <is>
          <t>HÄRJEDALEN</t>
        </is>
      </c>
      <c r="G129" t="n">
        <v>40.5</v>
      </c>
      <c r="H129" t="n">
        <v>0</v>
      </c>
      <c r="I129" t="n">
        <v>0</v>
      </c>
      <c r="J129" t="n">
        <v>2</v>
      </c>
      <c r="K129" t="n">
        <v>1</v>
      </c>
      <c r="L129" t="n">
        <v>0</v>
      </c>
      <c r="M129" t="n">
        <v>0</v>
      </c>
      <c r="N129" t="n">
        <v>0</v>
      </c>
      <c r="O129" t="n">
        <v>3</v>
      </c>
      <c r="P129" t="n">
        <v>1</v>
      </c>
      <c r="Q129" t="n">
        <v>3</v>
      </c>
      <c r="R129" s="2" t="inlineStr">
        <is>
          <t>Gräddporing
Nordtagging
Skrovellav</t>
        </is>
      </c>
      <c r="S129">
        <f>HYPERLINK("https://klasma.github.io/Logging_2361/artfynd/A 57572-2023 artfynd.xlsx", "A 57572-2023")</f>
        <v/>
      </c>
      <c r="T129">
        <f>HYPERLINK("https://klasma.github.io/Logging_2361/kartor/A 57572-2023 karta.png", "A 57572-2023")</f>
        <v/>
      </c>
      <c r="V129">
        <f>HYPERLINK("https://klasma.github.io/Logging_2361/klagomål/A 57572-2023 FSC-klagomål.docx", "A 57572-2023")</f>
        <v/>
      </c>
      <c r="W129">
        <f>HYPERLINK("https://klasma.github.io/Logging_2361/klagomålsmail/A 57572-2023 FSC-klagomål mail.docx", "A 57572-2023")</f>
        <v/>
      </c>
      <c r="X129">
        <f>HYPERLINK("https://klasma.github.io/Logging_2361/tillsyn/A 57572-2023 tillsynsbegäran.docx", "A 57572-2023")</f>
        <v/>
      </c>
      <c r="Y129">
        <f>HYPERLINK("https://klasma.github.io/Logging_2361/tillsynsmail/A 57572-2023 tillsynsbegäran mail.docx", "A 57572-2023")</f>
        <v/>
      </c>
    </row>
    <row r="130" ht="15" customHeight="1">
      <c r="A130" t="inlineStr">
        <is>
          <t>A 22781-2024</t>
        </is>
      </c>
      <c r="B130" s="1" t="n">
        <v>45448</v>
      </c>
      <c r="C130" s="1" t="n">
        <v>45587</v>
      </c>
      <c r="D130" t="inlineStr">
        <is>
          <t>JÄMTLANDS LÄN</t>
        </is>
      </c>
      <c r="E130" t="inlineStr">
        <is>
          <t>HÄRJEDALEN</t>
        </is>
      </c>
      <c r="F130" t="inlineStr">
        <is>
          <t>Holmen skog AB</t>
        </is>
      </c>
      <c r="G130" t="n">
        <v>5.8</v>
      </c>
      <c r="H130" t="n">
        <v>2</v>
      </c>
      <c r="I130" t="n">
        <v>0</v>
      </c>
      <c r="J130" t="n">
        <v>1</v>
      </c>
      <c r="K130" t="n">
        <v>1</v>
      </c>
      <c r="L130" t="n">
        <v>0</v>
      </c>
      <c r="M130" t="n">
        <v>0</v>
      </c>
      <c r="N130" t="n">
        <v>0</v>
      </c>
      <c r="O130" t="n">
        <v>2</v>
      </c>
      <c r="P130" t="n">
        <v>1</v>
      </c>
      <c r="Q130" t="n">
        <v>3</v>
      </c>
      <c r="R130" s="2" t="inlineStr">
        <is>
          <t>Knärot
Knottrig blåslav
Huggorm</t>
        </is>
      </c>
      <c r="S130">
        <f>HYPERLINK("https://klasma.github.io/Logging_2361/artfynd/A 22781-2024 artfynd.xlsx", "A 22781-2024")</f>
        <v/>
      </c>
      <c r="T130">
        <f>HYPERLINK("https://klasma.github.io/Logging_2361/kartor/A 22781-2024 karta.png", "A 22781-2024")</f>
        <v/>
      </c>
      <c r="U130">
        <f>HYPERLINK("https://klasma.github.io/Logging_2361/knärot/A 22781-2024 karta knärot.png", "A 22781-2024")</f>
        <v/>
      </c>
      <c r="V130">
        <f>HYPERLINK("https://klasma.github.io/Logging_2361/klagomål/A 22781-2024 FSC-klagomål.docx", "A 22781-2024")</f>
        <v/>
      </c>
      <c r="W130">
        <f>HYPERLINK("https://klasma.github.io/Logging_2361/klagomålsmail/A 22781-2024 FSC-klagomål mail.docx", "A 22781-2024")</f>
        <v/>
      </c>
      <c r="X130">
        <f>HYPERLINK("https://klasma.github.io/Logging_2361/tillsyn/A 22781-2024 tillsynsbegäran.docx", "A 22781-2024")</f>
        <v/>
      </c>
      <c r="Y130">
        <f>HYPERLINK("https://klasma.github.io/Logging_2361/tillsynsmail/A 22781-2024 tillsynsbegäran mail.docx", "A 22781-2024")</f>
        <v/>
      </c>
    </row>
    <row r="131" ht="15" customHeight="1">
      <c r="A131" t="inlineStr">
        <is>
          <t>A 26225-2024</t>
        </is>
      </c>
      <c r="B131" s="1" t="n">
        <v>45468</v>
      </c>
      <c r="C131" s="1" t="n">
        <v>45587</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28321-2019</t>
        </is>
      </c>
      <c r="B132" s="1" t="n">
        <v>43623</v>
      </c>
      <c r="C132" s="1" t="n">
        <v>45587</v>
      </c>
      <c r="D132" t="inlineStr">
        <is>
          <t>JÄMTLANDS LÄN</t>
        </is>
      </c>
      <c r="E132" t="inlineStr">
        <is>
          <t>HÄRJEDALEN</t>
        </is>
      </c>
      <c r="F132" t="inlineStr">
        <is>
          <t>Sveaskog</t>
        </is>
      </c>
      <c r="G132" t="n">
        <v>3.3</v>
      </c>
      <c r="H132" t="n">
        <v>0</v>
      </c>
      <c r="I132" t="n">
        <v>0</v>
      </c>
      <c r="J132" t="n">
        <v>2</v>
      </c>
      <c r="K132" t="n">
        <v>0</v>
      </c>
      <c r="L132" t="n">
        <v>0</v>
      </c>
      <c r="M132" t="n">
        <v>0</v>
      </c>
      <c r="N132" t="n">
        <v>0</v>
      </c>
      <c r="O132" t="n">
        <v>2</v>
      </c>
      <c r="P132" t="n">
        <v>0</v>
      </c>
      <c r="Q132" t="n">
        <v>2</v>
      </c>
      <c r="R132" s="2" t="inlineStr">
        <is>
          <t>Garnlav
Kolflarnlav</t>
        </is>
      </c>
      <c r="S132">
        <f>HYPERLINK("https://klasma.github.io/Logging_2361/artfynd/A 28321-2019 artfynd.xlsx", "A 28321-2019")</f>
        <v/>
      </c>
      <c r="T132">
        <f>HYPERLINK("https://klasma.github.io/Logging_2361/kartor/A 28321-2019 karta.png", "A 28321-2019")</f>
        <v/>
      </c>
      <c r="V132">
        <f>HYPERLINK("https://klasma.github.io/Logging_2361/klagomål/A 28321-2019 FSC-klagomål.docx", "A 28321-2019")</f>
        <v/>
      </c>
      <c r="W132">
        <f>HYPERLINK("https://klasma.github.io/Logging_2361/klagomålsmail/A 28321-2019 FSC-klagomål mail.docx", "A 28321-2019")</f>
        <v/>
      </c>
      <c r="X132">
        <f>HYPERLINK("https://klasma.github.io/Logging_2361/tillsyn/A 28321-2019 tillsynsbegäran.docx", "A 28321-2019")</f>
        <v/>
      </c>
      <c r="Y132">
        <f>HYPERLINK("https://klasma.github.io/Logging_2361/tillsynsmail/A 28321-2019 tillsynsbegäran mail.docx", "A 28321-2019")</f>
        <v/>
      </c>
    </row>
    <row r="133" ht="15" customHeight="1">
      <c r="A133" t="inlineStr">
        <is>
          <t>A 29265-2019</t>
        </is>
      </c>
      <c r="B133" s="1" t="n">
        <v>43629</v>
      </c>
      <c r="C133" s="1" t="n">
        <v>45587</v>
      </c>
      <c r="D133" t="inlineStr">
        <is>
          <t>JÄMTLANDS LÄN</t>
        </is>
      </c>
      <c r="E133" t="inlineStr">
        <is>
          <t>HÄRJEDALEN</t>
        </is>
      </c>
      <c r="F133" t="inlineStr">
        <is>
          <t>Holmen skog AB</t>
        </is>
      </c>
      <c r="G133" t="n">
        <v>2.2</v>
      </c>
      <c r="H133" t="n">
        <v>0</v>
      </c>
      <c r="I133" t="n">
        <v>0</v>
      </c>
      <c r="J133" t="n">
        <v>1</v>
      </c>
      <c r="K133" t="n">
        <v>1</v>
      </c>
      <c r="L133" t="n">
        <v>0</v>
      </c>
      <c r="M133" t="n">
        <v>0</v>
      </c>
      <c r="N133" t="n">
        <v>0</v>
      </c>
      <c r="O133" t="n">
        <v>2</v>
      </c>
      <c r="P133" t="n">
        <v>1</v>
      </c>
      <c r="Q133" t="n">
        <v>2</v>
      </c>
      <c r="R133" s="2" t="inlineStr">
        <is>
          <t>Goliatmusseron
Blå taggsvamp</t>
        </is>
      </c>
      <c r="S133">
        <f>HYPERLINK("https://klasma.github.io/Logging_2361/artfynd/A 29265-2019 artfynd.xlsx", "A 29265-2019")</f>
        <v/>
      </c>
      <c r="T133">
        <f>HYPERLINK("https://klasma.github.io/Logging_2361/kartor/A 29265-2019 karta.png", "A 29265-2019")</f>
        <v/>
      </c>
      <c r="V133">
        <f>HYPERLINK("https://klasma.github.io/Logging_2361/klagomål/A 29265-2019 FSC-klagomål.docx", "A 29265-2019")</f>
        <v/>
      </c>
      <c r="W133">
        <f>HYPERLINK("https://klasma.github.io/Logging_2361/klagomålsmail/A 29265-2019 FSC-klagomål mail.docx", "A 29265-2019")</f>
        <v/>
      </c>
      <c r="X133">
        <f>HYPERLINK("https://klasma.github.io/Logging_2361/tillsyn/A 29265-2019 tillsynsbegäran.docx", "A 29265-2019")</f>
        <v/>
      </c>
      <c r="Y133">
        <f>HYPERLINK("https://klasma.github.io/Logging_2361/tillsynsmail/A 29265-2019 tillsynsbegäran mail.docx", "A 29265-2019")</f>
        <v/>
      </c>
    </row>
    <row r="134" ht="15" customHeight="1">
      <c r="A134" t="inlineStr">
        <is>
          <t>A 32481-2019</t>
        </is>
      </c>
      <c r="B134" s="1" t="n">
        <v>43644</v>
      </c>
      <c r="C134" s="1" t="n">
        <v>45587</v>
      </c>
      <c r="D134" t="inlineStr">
        <is>
          <t>JÄMTLANDS LÄN</t>
        </is>
      </c>
      <c r="E134" t="inlineStr">
        <is>
          <t>HÄRJEDALEN</t>
        </is>
      </c>
      <c r="F134" t="inlineStr">
        <is>
          <t>SCA</t>
        </is>
      </c>
      <c r="G134" t="n">
        <v>2.3</v>
      </c>
      <c r="H134" t="n">
        <v>0</v>
      </c>
      <c r="I134" t="n">
        <v>0</v>
      </c>
      <c r="J134" t="n">
        <v>2</v>
      </c>
      <c r="K134" t="n">
        <v>0</v>
      </c>
      <c r="L134" t="n">
        <v>0</v>
      </c>
      <c r="M134" t="n">
        <v>0</v>
      </c>
      <c r="N134" t="n">
        <v>0</v>
      </c>
      <c r="O134" t="n">
        <v>2</v>
      </c>
      <c r="P134" t="n">
        <v>0</v>
      </c>
      <c r="Q134" t="n">
        <v>2</v>
      </c>
      <c r="R134" s="2" t="inlineStr">
        <is>
          <t>Blågrå svartspik
Mörk kolflarnlav</t>
        </is>
      </c>
      <c r="S134">
        <f>HYPERLINK("https://klasma.github.io/Logging_2361/artfynd/A 32481-2019 artfynd.xlsx", "A 32481-2019")</f>
        <v/>
      </c>
      <c r="T134">
        <f>HYPERLINK("https://klasma.github.io/Logging_2361/kartor/A 32481-2019 karta.png", "A 32481-2019")</f>
        <v/>
      </c>
      <c r="V134">
        <f>HYPERLINK("https://klasma.github.io/Logging_2361/klagomål/A 32481-2019 FSC-klagomål.docx", "A 32481-2019")</f>
        <v/>
      </c>
      <c r="W134">
        <f>HYPERLINK("https://klasma.github.io/Logging_2361/klagomålsmail/A 32481-2019 FSC-klagomål mail.docx", "A 32481-2019")</f>
        <v/>
      </c>
      <c r="X134">
        <f>HYPERLINK("https://klasma.github.io/Logging_2361/tillsyn/A 32481-2019 tillsynsbegäran.docx", "A 32481-2019")</f>
        <v/>
      </c>
      <c r="Y134">
        <f>HYPERLINK("https://klasma.github.io/Logging_2361/tillsynsmail/A 32481-2019 tillsynsbegäran mail.docx", "A 32481-2019")</f>
        <v/>
      </c>
    </row>
    <row r="135" ht="15" customHeight="1">
      <c r="A135" t="inlineStr">
        <is>
          <t>A 34268-2019</t>
        </is>
      </c>
      <c r="B135" s="1" t="n">
        <v>43655</v>
      </c>
      <c r="C135" s="1" t="n">
        <v>45587</v>
      </c>
      <c r="D135" t="inlineStr">
        <is>
          <t>JÄMTLANDS LÄN</t>
        </is>
      </c>
      <c r="E135" t="inlineStr">
        <is>
          <t>HÄRJEDALEN</t>
        </is>
      </c>
      <c r="F135" t="inlineStr">
        <is>
          <t>Bergvik skog väst AB</t>
        </is>
      </c>
      <c r="G135" t="n">
        <v>43.7</v>
      </c>
      <c r="H135" t="n">
        <v>1</v>
      </c>
      <c r="I135" t="n">
        <v>0</v>
      </c>
      <c r="J135" t="n">
        <v>2</v>
      </c>
      <c r="K135" t="n">
        <v>0</v>
      </c>
      <c r="L135" t="n">
        <v>0</v>
      </c>
      <c r="M135" t="n">
        <v>0</v>
      </c>
      <c r="N135" t="n">
        <v>0</v>
      </c>
      <c r="O135" t="n">
        <v>2</v>
      </c>
      <c r="P135" t="n">
        <v>0</v>
      </c>
      <c r="Q135" t="n">
        <v>2</v>
      </c>
      <c r="R135" s="2" t="inlineStr">
        <is>
          <t>Lunglav
Varglav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4356-2020</t>
        </is>
      </c>
      <c r="B136" s="1" t="n">
        <v>43857</v>
      </c>
      <c r="C136" s="1" t="n">
        <v>45587</v>
      </c>
      <c r="D136" t="inlineStr">
        <is>
          <t>JÄMTLANDS LÄN</t>
        </is>
      </c>
      <c r="E136" t="inlineStr">
        <is>
          <t>HÄRJEDALEN</t>
        </is>
      </c>
      <c r="F136" t="inlineStr">
        <is>
          <t>Bergvik skog väst AB</t>
        </is>
      </c>
      <c r="G136" t="n">
        <v>51.2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HYPERLINK("https://klasma.github.io/Logging_2361/artfynd/A 4356-2020 artfynd.xlsx", "A 4356-2020")</f>
        <v/>
      </c>
      <c r="T136">
        <f>HYPERLINK("https://klasma.github.io/Logging_2361/kartor/A 4356-2020 karta.png", "A 4356-2020")</f>
        <v/>
      </c>
      <c r="V136">
        <f>HYPERLINK("https://klasma.github.io/Logging_2361/klagomål/A 4356-2020 FSC-klagomål.docx", "A 4356-2020")</f>
        <v/>
      </c>
      <c r="W136">
        <f>HYPERLINK("https://klasma.github.io/Logging_2361/klagomålsmail/A 4356-2020 FSC-klagomål mail.docx", "A 4356-2020")</f>
        <v/>
      </c>
      <c r="X136">
        <f>HYPERLINK("https://klasma.github.io/Logging_2361/tillsyn/A 4356-2020 tillsynsbegäran.docx", "A 4356-2020")</f>
        <v/>
      </c>
      <c r="Y136">
        <f>HYPERLINK("https://klasma.github.io/Logging_2361/tillsynsmail/A 4356-2020 tillsynsbegäran mail.docx", "A 4356-2020")</f>
        <v/>
      </c>
      <c r="Z136">
        <f>HYPERLINK("https://klasma.github.io/Logging_2361/fåglar/A 4356-2020 prioriterade fågelarter.docx", "A 4356-2020")</f>
        <v/>
      </c>
    </row>
    <row r="137" ht="15" customHeight="1">
      <c r="A137" t="inlineStr">
        <is>
          <t>A 9510-2020</t>
        </is>
      </c>
      <c r="B137" s="1" t="n">
        <v>43880</v>
      </c>
      <c r="C137" s="1" t="n">
        <v>45587</v>
      </c>
      <c r="D137" t="inlineStr">
        <is>
          <t>JÄMTLANDS LÄN</t>
        </is>
      </c>
      <c r="E137" t="inlineStr">
        <is>
          <t>HÄRJEDALEN</t>
        </is>
      </c>
      <c r="F137" t="inlineStr">
        <is>
          <t>Bergvik skog väst AB</t>
        </is>
      </c>
      <c r="G137" t="n">
        <v>18.7</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HYPERLINK("https://klasma.github.io/Logging_2361/artfynd/A 9510-2020 artfynd.xlsx", "A 9510-2020")</f>
        <v/>
      </c>
      <c r="T137">
        <f>HYPERLINK("https://klasma.github.io/Logging_2361/kartor/A 9510-2020 karta.png", "A 9510-2020")</f>
        <v/>
      </c>
      <c r="V137">
        <f>HYPERLINK("https://klasma.github.io/Logging_2361/klagomål/A 9510-2020 FSC-klagomål.docx", "A 9510-2020")</f>
        <v/>
      </c>
      <c r="W137">
        <f>HYPERLINK("https://klasma.github.io/Logging_2361/klagomålsmail/A 9510-2020 FSC-klagomål mail.docx", "A 9510-2020")</f>
        <v/>
      </c>
      <c r="X137">
        <f>HYPERLINK("https://klasma.github.io/Logging_2361/tillsyn/A 9510-2020 tillsynsbegäran.docx", "A 9510-2020")</f>
        <v/>
      </c>
      <c r="Y137">
        <f>HYPERLINK("https://klasma.github.io/Logging_2361/tillsynsmail/A 9510-2020 tillsynsbegäran mail.docx", "A 9510-2020")</f>
        <v/>
      </c>
      <c r="Z137">
        <f>HYPERLINK("https://klasma.github.io/Logging_2361/fåglar/A 9510-2020 prioriterade fågelarter.docx", "A 9510-2020")</f>
        <v/>
      </c>
    </row>
    <row r="138" ht="15" customHeight="1">
      <c r="A138" t="inlineStr">
        <is>
          <t>A 12954-2020</t>
        </is>
      </c>
      <c r="B138" s="1" t="n">
        <v>43900</v>
      </c>
      <c r="C138" s="1" t="n">
        <v>45587</v>
      </c>
      <c r="D138" t="inlineStr">
        <is>
          <t>JÄMTLANDS LÄN</t>
        </is>
      </c>
      <c r="E138" t="inlineStr">
        <is>
          <t>HÄRJEDALEN</t>
        </is>
      </c>
      <c r="F138" t="inlineStr">
        <is>
          <t>Bergvik skog väst AB</t>
        </is>
      </c>
      <c r="G138" t="n">
        <v>12.1</v>
      </c>
      <c r="H138" t="n">
        <v>0</v>
      </c>
      <c r="I138" t="n">
        <v>2</v>
      </c>
      <c r="J138" t="n">
        <v>0</v>
      </c>
      <c r="K138" t="n">
        <v>0</v>
      </c>
      <c r="L138" t="n">
        <v>0</v>
      </c>
      <c r="M138" t="n">
        <v>0</v>
      </c>
      <c r="N138" t="n">
        <v>0</v>
      </c>
      <c r="O138" t="n">
        <v>0</v>
      </c>
      <c r="P138" t="n">
        <v>0</v>
      </c>
      <c r="Q138" t="n">
        <v>2</v>
      </c>
      <c r="R138" s="2" t="inlineStr">
        <is>
          <t>Blodticka
Vedticka</t>
        </is>
      </c>
      <c r="S138">
        <f>HYPERLINK("https://klasma.github.io/Logging_2361/artfynd/A 12954-2020 artfynd.xlsx", "A 12954-2020")</f>
        <v/>
      </c>
      <c r="T138">
        <f>HYPERLINK("https://klasma.github.io/Logging_2361/kartor/A 12954-2020 karta.png", "A 12954-2020")</f>
        <v/>
      </c>
      <c r="V138">
        <f>HYPERLINK("https://klasma.github.io/Logging_2361/klagomål/A 12954-2020 FSC-klagomål.docx", "A 12954-2020")</f>
        <v/>
      </c>
      <c r="W138">
        <f>HYPERLINK("https://klasma.github.io/Logging_2361/klagomålsmail/A 12954-2020 FSC-klagomål mail.docx", "A 12954-2020")</f>
        <v/>
      </c>
      <c r="X138">
        <f>HYPERLINK("https://klasma.github.io/Logging_2361/tillsyn/A 12954-2020 tillsynsbegäran.docx", "A 12954-2020")</f>
        <v/>
      </c>
      <c r="Y138">
        <f>HYPERLINK("https://klasma.github.io/Logging_2361/tillsynsmail/A 12954-2020 tillsynsbegäran mail.docx", "A 12954-2020")</f>
        <v/>
      </c>
    </row>
    <row r="139" ht="15" customHeight="1">
      <c r="A139" t="inlineStr">
        <is>
          <t>A 68856-2020</t>
        </is>
      </c>
      <c r="B139" s="1" t="n">
        <v>44186</v>
      </c>
      <c r="C139" s="1" t="n">
        <v>45587</v>
      </c>
      <c r="D139" t="inlineStr">
        <is>
          <t>JÄMTLANDS LÄN</t>
        </is>
      </c>
      <c r="E139" t="inlineStr">
        <is>
          <t>HÄRJEDALEN</t>
        </is>
      </c>
      <c r="F139" t="inlineStr">
        <is>
          <t>Holmen skog AB</t>
        </is>
      </c>
      <c r="G139" t="n">
        <v>4.3</v>
      </c>
      <c r="H139" t="n">
        <v>1</v>
      </c>
      <c r="I139" t="n">
        <v>1</v>
      </c>
      <c r="J139" t="n">
        <v>0</v>
      </c>
      <c r="K139" t="n">
        <v>0</v>
      </c>
      <c r="L139" t="n">
        <v>0</v>
      </c>
      <c r="M139" t="n">
        <v>0</v>
      </c>
      <c r="N139" t="n">
        <v>0</v>
      </c>
      <c r="O139" t="n">
        <v>0</v>
      </c>
      <c r="P139" t="n">
        <v>0</v>
      </c>
      <c r="Q139" t="n">
        <v>2</v>
      </c>
      <c r="R139" s="2" t="inlineStr">
        <is>
          <t>Dvärgtufs
Nattviol</t>
        </is>
      </c>
      <c r="S139">
        <f>HYPERLINK("https://klasma.github.io/Logging_2361/artfynd/A 68856-2020 artfynd.xlsx", "A 68856-2020")</f>
        <v/>
      </c>
      <c r="T139">
        <f>HYPERLINK("https://klasma.github.io/Logging_2361/kartor/A 68856-2020 karta.png", "A 68856-2020")</f>
        <v/>
      </c>
      <c r="V139">
        <f>HYPERLINK("https://klasma.github.io/Logging_2361/klagomål/A 68856-2020 FSC-klagomål.docx", "A 68856-2020")</f>
        <v/>
      </c>
      <c r="W139">
        <f>HYPERLINK("https://klasma.github.io/Logging_2361/klagomålsmail/A 68856-2020 FSC-klagomål mail.docx", "A 68856-2020")</f>
        <v/>
      </c>
      <c r="X139">
        <f>HYPERLINK("https://klasma.github.io/Logging_2361/tillsyn/A 68856-2020 tillsynsbegäran.docx", "A 68856-2020")</f>
        <v/>
      </c>
      <c r="Y139">
        <f>HYPERLINK("https://klasma.github.io/Logging_2361/tillsynsmail/A 68856-2020 tillsynsbegäran mail.docx", "A 68856-2020")</f>
        <v/>
      </c>
    </row>
    <row r="140" ht="15" customHeight="1">
      <c r="A140" t="inlineStr">
        <is>
          <t>A 3699-2021</t>
        </is>
      </c>
      <c r="B140" s="1" t="n">
        <v>44221</v>
      </c>
      <c r="C140" s="1" t="n">
        <v>45587</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15679-2021</t>
        </is>
      </c>
      <c r="B141" s="1" t="n">
        <v>44286</v>
      </c>
      <c r="C141" s="1" t="n">
        <v>45587</v>
      </c>
      <c r="D141" t="inlineStr">
        <is>
          <t>JÄMTLANDS LÄN</t>
        </is>
      </c>
      <c r="E141" t="inlineStr">
        <is>
          <t>HÄRJEDALEN</t>
        </is>
      </c>
      <c r="G141" t="n">
        <v>20.9</v>
      </c>
      <c r="H141" t="n">
        <v>0</v>
      </c>
      <c r="I141" t="n">
        <v>0</v>
      </c>
      <c r="J141" t="n">
        <v>2</v>
      </c>
      <c r="K141" t="n">
        <v>0</v>
      </c>
      <c r="L141" t="n">
        <v>0</v>
      </c>
      <c r="M141" t="n">
        <v>0</v>
      </c>
      <c r="N141" t="n">
        <v>0</v>
      </c>
      <c r="O141" t="n">
        <v>2</v>
      </c>
      <c r="P141" t="n">
        <v>0</v>
      </c>
      <c r="Q141" t="n">
        <v>2</v>
      </c>
      <c r="R141" s="2" t="inlineStr">
        <is>
          <t>Gränsticka
Hornvaxskinn</t>
        </is>
      </c>
      <c r="S141">
        <f>HYPERLINK("https://klasma.github.io/Logging_2361/artfynd/A 15679-2021 artfynd.xlsx", "A 15679-2021")</f>
        <v/>
      </c>
      <c r="T141">
        <f>HYPERLINK("https://klasma.github.io/Logging_2361/kartor/A 15679-2021 karta.png", "A 15679-2021")</f>
        <v/>
      </c>
      <c r="V141">
        <f>HYPERLINK("https://klasma.github.io/Logging_2361/klagomål/A 15679-2021 FSC-klagomål.docx", "A 15679-2021")</f>
        <v/>
      </c>
      <c r="W141">
        <f>HYPERLINK("https://klasma.github.io/Logging_2361/klagomålsmail/A 15679-2021 FSC-klagomål mail.docx", "A 15679-2021")</f>
        <v/>
      </c>
      <c r="X141">
        <f>HYPERLINK("https://klasma.github.io/Logging_2361/tillsyn/A 15679-2021 tillsynsbegäran.docx", "A 15679-2021")</f>
        <v/>
      </c>
      <c r="Y141">
        <f>HYPERLINK("https://klasma.github.io/Logging_2361/tillsynsmail/A 15679-2021 tillsynsbegäran mail.docx", "A 15679-2021")</f>
        <v/>
      </c>
    </row>
    <row r="142" ht="15" customHeight="1">
      <c r="A142" t="inlineStr">
        <is>
          <t>A 33421-2021</t>
        </is>
      </c>
      <c r="B142" s="1" t="n">
        <v>44377</v>
      </c>
      <c r="C142" s="1" t="n">
        <v>45587</v>
      </c>
      <c r="D142" t="inlineStr">
        <is>
          <t>JÄMTLANDS LÄN</t>
        </is>
      </c>
      <c r="E142" t="inlineStr">
        <is>
          <t>HÄRJEDALEN</t>
        </is>
      </c>
      <c r="G142" t="n">
        <v>47.1</v>
      </c>
      <c r="H142" t="n">
        <v>1</v>
      </c>
      <c r="I142" t="n">
        <v>0</v>
      </c>
      <c r="J142" t="n">
        <v>2</v>
      </c>
      <c r="K142" t="n">
        <v>0</v>
      </c>
      <c r="L142" t="n">
        <v>0</v>
      </c>
      <c r="M142" t="n">
        <v>0</v>
      </c>
      <c r="N142" t="n">
        <v>0</v>
      </c>
      <c r="O142" t="n">
        <v>2</v>
      </c>
      <c r="P142" t="n">
        <v>0</v>
      </c>
      <c r="Q142" t="n">
        <v>2</v>
      </c>
      <c r="R142" s="2" t="inlineStr">
        <is>
          <t>Gultoppig fingersvamp
Talltita</t>
        </is>
      </c>
      <c r="S142">
        <f>HYPERLINK("https://klasma.github.io/Logging_2361/artfynd/A 33421-2021 artfynd.xlsx", "A 33421-2021")</f>
        <v/>
      </c>
      <c r="T142">
        <f>HYPERLINK("https://klasma.github.io/Logging_2361/kartor/A 33421-2021 karta.png", "A 33421-2021")</f>
        <v/>
      </c>
      <c r="V142">
        <f>HYPERLINK("https://klasma.github.io/Logging_2361/klagomål/A 33421-2021 FSC-klagomål.docx", "A 33421-2021")</f>
        <v/>
      </c>
      <c r="W142">
        <f>HYPERLINK("https://klasma.github.io/Logging_2361/klagomålsmail/A 33421-2021 FSC-klagomål mail.docx", "A 33421-2021")</f>
        <v/>
      </c>
      <c r="X142">
        <f>HYPERLINK("https://klasma.github.io/Logging_2361/tillsyn/A 33421-2021 tillsynsbegäran.docx", "A 33421-2021")</f>
        <v/>
      </c>
      <c r="Y142">
        <f>HYPERLINK("https://klasma.github.io/Logging_2361/tillsynsmail/A 33421-2021 tillsynsbegäran mail.docx", "A 33421-2021")</f>
        <v/>
      </c>
      <c r="Z142">
        <f>HYPERLINK("https://klasma.github.io/Logging_2361/fåglar/A 33421-2021 prioriterade fågelarter.docx", "A 33421-2021")</f>
        <v/>
      </c>
    </row>
    <row r="143" ht="15" customHeight="1">
      <c r="A143" t="inlineStr">
        <is>
          <t>A 48065-2021</t>
        </is>
      </c>
      <c r="B143" s="1" t="n">
        <v>44449</v>
      </c>
      <c r="C143" s="1" t="n">
        <v>45587</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55240-2021</t>
        </is>
      </c>
      <c r="B144" s="1" t="n">
        <v>44475</v>
      </c>
      <c r="C144" s="1" t="n">
        <v>45587</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55228-2021</t>
        </is>
      </c>
      <c r="B145" s="1" t="n">
        <v>44475</v>
      </c>
      <c r="C145" s="1" t="n">
        <v>45587</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55392-2021</t>
        </is>
      </c>
      <c r="B146" s="1" t="n">
        <v>44475</v>
      </c>
      <c r="C146" s="1" t="n">
        <v>45587</v>
      </c>
      <c r="D146" t="inlineStr">
        <is>
          <t>JÄMTLANDS LÄN</t>
        </is>
      </c>
      <c r="E146" t="inlineStr">
        <is>
          <t>HÄRJEDALEN</t>
        </is>
      </c>
      <c r="G146" t="n">
        <v>0.8</v>
      </c>
      <c r="H146" t="n">
        <v>0</v>
      </c>
      <c r="I146" t="n">
        <v>0</v>
      </c>
      <c r="J146" t="n">
        <v>2</v>
      </c>
      <c r="K146" t="n">
        <v>0</v>
      </c>
      <c r="L146" t="n">
        <v>0</v>
      </c>
      <c r="M146" t="n">
        <v>0</v>
      </c>
      <c r="N146" t="n">
        <v>0</v>
      </c>
      <c r="O146" t="n">
        <v>2</v>
      </c>
      <c r="P146" t="n">
        <v>0</v>
      </c>
      <c r="Q146" t="n">
        <v>2</v>
      </c>
      <c r="R146" s="2" t="inlineStr">
        <is>
          <t>Ladlav
Vedflamlav</t>
        </is>
      </c>
      <c r="S146">
        <f>HYPERLINK("https://klasma.github.io/Logging_2361/artfynd/A 55392-2021 artfynd.xlsx", "A 55392-2021")</f>
        <v/>
      </c>
      <c r="T146">
        <f>HYPERLINK("https://klasma.github.io/Logging_2361/kartor/A 55392-2021 karta.png", "A 55392-2021")</f>
        <v/>
      </c>
      <c r="V146">
        <f>HYPERLINK("https://klasma.github.io/Logging_2361/klagomål/A 55392-2021 FSC-klagomål.docx", "A 55392-2021")</f>
        <v/>
      </c>
      <c r="W146">
        <f>HYPERLINK("https://klasma.github.io/Logging_2361/klagomålsmail/A 55392-2021 FSC-klagomål mail.docx", "A 55392-2021")</f>
        <v/>
      </c>
      <c r="X146">
        <f>HYPERLINK("https://klasma.github.io/Logging_2361/tillsyn/A 55392-2021 tillsynsbegäran.docx", "A 55392-2021")</f>
        <v/>
      </c>
      <c r="Y146">
        <f>HYPERLINK("https://klasma.github.io/Logging_2361/tillsynsmail/A 55392-2021 tillsynsbegäran mail.docx", "A 55392-2021")</f>
        <v/>
      </c>
    </row>
    <row r="147" ht="15" customHeight="1">
      <c r="A147" t="inlineStr">
        <is>
          <t>A 17082-2022</t>
        </is>
      </c>
      <c r="B147" s="1" t="n">
        <v>44677</v>
      </c>
      <c r="C147" s="1" t="n">
        <v>45587</v>
      </c>
      <c r="D147" t="inlineStr">
        <is>
          <t>JÄMTLANDS LÄN</t>
        </is>
      </c>
      <c r="E147" t="inlineStr">
        <is>
          <t>HÄRJEDALEN</t>
        </is>
      </c>
      <c r="F147" t="inlineStr">
        <is>
          <t>Holmen skog AB</t>
        </is>
      </c>
      <c r="G147" t="n">
        <v>18.1</v>
      </c>
      <c r="H147" t="n">
        <v>0</v>
      </c>
      <c r="I147" t="n">
        <v>0</v>
      </c>
      <c r="J147" t="n">
        <v>2</v>
      </c>
      <c r="K147" t="n">
        <v>0</v>
      </c>
      <c r="L147" t="n">
        <v>0</v>
      </c>
      <c r="M147" t="n">
        <v>0</v>
      </c>
      <c r="N147" t="n">
        <v>0</v>
      </c>
      <c r="O147" t="n">
        <v>2</v>
      </c>
      <c r="P147" t="n">
        <v>0</v>
      </c>
      <c r="Q147" t="n">
        <v>2</v>
      </c>
      <c r="R147" s="2" t="inlineStr">
        <is>
          <t>Motaggsvamp
Orange taggsvamp</t>
        </is>
      </c>
      <c r="S147">
        <f>HYPERLINK("https://klasma.github.io/Logging_2361/artfynd/A 17082-2022 artfynd.xlsx", "A 17082-2022")</f>
        <v/>
      </c>
      <c r="T147">
        <f>HYPERLINK("https://klasma.github.io/Logging_2361/kartor/A 17082-2022 karta.png", "A 17082-2022")</f>
        <v/>
      </c>
      <c r="V147">
        <f>HYPERLINK("https://klasma.github.io/Logging_2361/klagomål/A 17082-2022 FSC-klagomål.docx", "A 17082-2022")</f>
        <v/>
      </c>
      <c r="W147">
        <f>HYPERLINK("https://klasma.github.io/Logging_2361/klagomålsmail/A 17082-2022 FSC-klagomål mail.docx", "A 17082-2022")</f>
        <v/>
      </c>
      <c r="X147">
        <f>HYPERLINK("https://klasma.github.io/Logging_2361/tillsyn/A 17082-2022 tillsynsbegäran.docx", "A 17082-2022")</f>
        <v/>
      </c>
      <c r="Y147">
        <f>HYPERLINK("https://klasma.github.io/Logging_2361/tillsynsmail/A 17082-2022 tillsynsbegäran mail.docx", "A 17082-2022")</f>
        <v/>
      </c>
    </row>
    <row r="148" ht="15" customHeight="1">
      <c r="A148" t="inlineStr">
        <is>
          <t>A 22464-2022</t>
        </is>
      </c>
      <c r="B148" s="1" t="n">
        <v>44713</v>
      </c>
      <c r="C148" s="1" t="n">
        <v>45587</v>
      </c>
      <c r="D148" t="inlineStr">
        <is>
          <t>JÄMTLANDS LÄN</t>
        </is>
      </c>
      <c r="E148" t="inlineStr">
        <is>
          <t>HÄRJEDALEN</t>
        </is>
      </c>
      <c r="F148" t="inlineStr">
        <is>
          <t>Sveaskog</t>
        </is>
      </c>
      <c r="G148" t="n">
        <v>4.3</v>
      </c>
      <c r="H148" t="n">
        <v>0</v>
      </c>
      <c r="I148" t="n">
        <v>1</v>
      </c>
      <c r="J148" t="n">
        <v>1</v>
      </c>
      <c r="K148" t="n">
        <v>0</v>
      </c>
      <c r="L148" t="n">
        <v>0</v>
      </c>
      <c r="M148" t="n">
        <v>0</v>
      </c>
      <c r="N148" t="n">
        <v>0</v>
      </c>
      <c r="O148" t="n">
        <v>1</v>
      </c>
      <c r="P148" t="n">
        <v>0</v>
      </c>
      <c r="Q148" t="n">
        <v>2</v>
      </c>
      <c r="R148" s="2" t="inlineStr">
        <is>
          <t>Lunglav
Dropptaggsvamp</t>
        </is>
      </c>
      <c r="S148">
        <f>HYPERLINK("https://klasma.github.io/Logging_2361/artfynd/A 22464-2022 artfynd.xlsx", "A 22464-2022")</f>
        <v/>
      </c>
      <c r="T148">
        <f>HYPERLINK("https://klasma.github.io/Logging_2361/kartor/A 22464-2022 karta.png", "A 22464-2022")</f>
        <v/>
      </c>
      <c r="U148">
        <f>HYPERLINK("https://klasma.github.io/Logging_2361/knärot/A 22464-2022 karta knärot.png", "A 22464-2022")</f>
        <v/>
      </c>
      <c r="V148">
        <f>HYPERLINK("https://klasma.github.io/Logging_2361/klagomål/A 22464-2022 FSC-klagomål.docx", "A 22464-2022")</f>
        <v/>
      </c>
      <c r="W148">
        <f>HYPERLINK("https://klasma.github.io/Logging_2361/klagomålsmail/A 22464-2022 FSC-klagomål mail.docx", "A 22464-2022")</f>
        <v/>
      </c>
      <c r="X148">
        <f>HYPERLINK("https://klasma.github.io/Logging_2361/tillsyn/A 22464-2022 tillsynsbegäran.docx", "A 22464-2022")</f>
        <v/>
      </c>
      <c r="Y148">
        <f>HYPERLINK("https://klasma.github.io/Logging_2361/tillsynsmail/A 22464-2022 tillsynsbegäran mail.docx", "A 22464-2022")</f>
        <v/>
      </c>
    </row>
    <row r="149" ht="15" customHeight="1">
      <c r="A149" t="inlineStr">
        <is>
          <t>A 47348-2022</t>
        </is>
      </c>
      <c r="B149" s="1" t="n">
        <v>44853</v>
      </c>
      <c r="C149" s="1" t="n">
        <v>45587</v>
      </c>
      <c r="D149" t="inlineStr">
        <is>
          <t>JÄMTLANDS LÄN</t>
        </is>
      </c>
      <c r="E149" t="inlineStr">
        <is>
          <t>HÄRJEDALEN</t>
        </is>
      </c>
      <c r="G149" t="n">
        <v>2</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47348-2022 artfynd.xlsx", "A 47348-2022")</f>
        <v/>
      </c>
      <c r="T149">
        <f>HYPERLINK("https://klasma.github.io/Logging_2361/kartor/A 47348-2022 karta.png", "A 47348-2022")</f>
        <v/>
      </c>
      <c r="U149">
        <f>HYPERLINK("https://klasma.github.io/Logging_2361/knärot/A 47348-2022 karta knärot.png", "A 47348-2022")</f>
        <v/>
      </c>
      <c r="V149">
        <f>HYPERLINK("https://klasma.github.io/Logging_2361/klagomål/A 47348-2022 FSC-klagomål.docx", "A 47348-2022")</f>
        <v/>
      </c>
      <c r="W149">
        <f>HYPERLINK("https://klasma.github.io/Logging_2361/klagomålsmail/A 47348-2022 FSC-klagomål mail.docx", "A 47348-2022")</f>
        <v/>
      </c>
      <c r="X149">
        <f>HYPERLINK("https://klasma.github.io/Logging_2361/tillsyn/A 47348-2022 tillsynsbegäran.docx", "A 47348-2022")</f>
        <v/>
      </c>
      <c r="Y149">
        <f>HYPERLINK("https://klasma.github.io/Logging_2361/tillsynsmail/A 47348-2022 tillsynsbegäran mail.docx", "A 47348-2022")</f>
        <v/>
      </c>
    </row>
    <row r="150" ht="15" customHeight="1">
      <c r="A150" t="inlineStr">
        <is>
          <t>A 50438-2022</t>
        </is>
      </c>
      <c r="B150" s="1" t="n">
        <v>44866</v>
      </c>
      <c r="C150" s="1" t="n">
        <v>45587</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52453-2022</t>
        </is>
      </c>
      <c r="B151" s="1" t="n">
        <v>44874</v>
      </c>
      <c r="C151" s="1" t="n">
        <v>45587</v>
      </c>
      <c r="D151" t="inlineStr">
        <is>
          <t>JÄMTLANDS LÄN</t>
        </is>
      </c>
      <c r="E151" t="inlineStr">
        <is>
          <t>HÄRJEDALEN</t>
        </is>
      </c>
      <c r="F151" t="inlineStr">
        <is>
          <t>Bergvik skog väst AB</t>
        </is>
      </c>
      <c r="G151" t="n">
        <v>14.9</v>
      </c>
      <c r="H151" t="n">
        <v>0</v>
      </c>
      <c r="I151" t="n">
        <v>0</v>
      </c>
      <c r="J151" t="n">
        <v>2</v>
      </c>
      <c r="K151" t="n">
        <v>0</v>
      </c>
      <c r="L151" t="n">
        <v>0</v>
      </c>
      <c r="M151" t="n">
        <v>0</v>
      </c>
      <c r="N151" t="n">
        <v>0</v>
      </c>
      <c r="O151" t="n">
        <v>2</v>
      </c>
      <c r="P151" t="n">
        <v>0</v>
      </c>
      <c r="Q151" t="n">
        <v>2</v>
      </c>
      <c r="R151" s="2" t="inlineStr">
        <is>
          <t>Knottrig blåslav
Mörk kolflarnlav</t>
        </is>
      </c>
      <c r="S151">
        <f>HYPERLINK("https://klasma.github.io/Logging_2361/artfynd/A 52453-2022 artfynd.xlsx", "A 52453-2022")</f>
        <v/>
      </c>
      <c r="T151">
        <f>HYPERLINK("https://klasma.github.io/Logging_2361/kartor/A 52453-2022 karta.png", "A 52453-2022")</f>
        <v/>
      </c>
      <c r="V151">
        <f>HYPERLINK("https://klasma.github.io/Logging_2361/klagomål/A 52453-2022 FSC-klagomål.docx", "A 52453-2022")</f>
        <v/>
      </c>
      <c r="W151">
        <f>HYPERLINK("https://klasma.github.io/Logging_2361/klagomålsmail/A 52453-2022 FSC-klagomål mail.docx", "A 52453-2022")</f>
        <v/>
      </c>
      <c r="X151">
        <f>HYPERLINK("https://klasma.github.io/Logging_2361/tillsyn/A 52453-2022 tillsynsbegäran.docx", "A 52453-2022")</f>
        <v/>
      </c>
      <c r="Y151">
        <f>HYPERLINK("https://klasma.github.io/Logging_2361/tillsynsmail/A 52453-2022 tillsynsbegäran mail.docx", "A 52453-2022")</f>
        <v/>
      </c>
    </row>
    <row r="152" ht="15" customHeight="1">
      <c r="A152" t="inlineStr">
        <is>
          <t>A 4372-2023</t>
        </is>
      </c>
      <c r="B152" s="1" t="n">
        <v>44955</v>
      </c>
      <c r="C152" s="1" t="n">
        <v>45587</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10344-2023</t>
        </is>
      </c>
      <c r="B153" s="1" t="n">
        <v>44987</v>
      </c>
      <c r="C153" s="1" t="n">
        <v>45587</v>
      </c>
      <c r="D153" t="inlineStr">
        <is>
          <t>JÄMTLANDS LÄN</t>
        </is>
      </c>
      <c r="E153" t="inlineStr">
        <is>
          <t>HÄRJEDALEN</t>
        </is>
      </c>
      <c r="F153" t="inlineStr">
        <is>
          <t>Holmen skog AB</t>
        </is>
      </c>
      <c r="G153" t="n">
        <v>7.2</v>
      </c>
      <c r="H153" t="n">
        <v>0</v>
      </c>
      <c r="I153" t="n">
        <v>0</v>
      </c>
      <c r="J153" t="n">
        <v>2</v>
      </c>
      <c r="K153" t="n">
        <v>0</v>
      </c>
      <c r="L153" t="n">
        <v>0</v>
      </c>
      <c r="M153" t="n">
        <v>0</v>
      </c>
      <c r="N153" t="n">
        <v>0</v>
      </c>
      <c r="O153" t="n">
        <v>2</v>
      </c>
      <c r="P153" t="n">
        <v>0</v>
      </c>
      <c r="Q153" t="n">
        <v>2</v>
      </c>
      <c r="R153" s="2" t="inlineStr">
        <is>
          <t>Lunglav
Skrovellav</t>
        </is>
      </c>
      <c r="S153">
        <f>HYPERLINK("https://klasma.github.io/Logging_2361/artfynd/A 10344-2023 artfynd.xlsx", "A 10344-2023")</f>
        <v/>
      </c>
      <c r="T153">
        <f>HYPERLINK("https://klasma.github.io/Logging_2361/kartor/A 10344-2023 karta.png", "A 10344-2023")</f>
        <v/>
      </c>
      <c r="U153">
        <f>HYPERLINK("https://klasma.github.io/Logging_2361/knärot/A 10344-2023 karta knärot.png", "A 10344-2023")</f>
        <v/>
      </c>
      <c r="V153">
        <f>HYPERLINK("https://klasma.github.io/Logging_2361/klagomål/A 10344-2023 FSC-klagomål.docx", "A 10344-2023")</f>
        <v/>
      </c>
      <c r="W153">
        <f>HYPERLINK("https://klasma.github.io/Logging_2361/klagomålsmail/A 10344-2023 FSC-klagomål mail.docx", "A 10344-2023")</f>
        <v/>
      </c>
      <c r="X153">
        <f>HYPERLINK("https://klasma.github.io/Logging_2361/tillsyn/A 10344-2023 tillsynsbegäran.docx", "A 10344-2023")</f>
        <v/>
      </c>
      <c r="Y153">
        <f>HYPERLINK("https://klasma.github.io/Logging_2361/tillsynsmail/A 10344-2023 tillsynsbegäran mail.docx", "A 10344-2023")</f>
        <v/>
      </c>
    </row>
    <row r="154" ht="15" customHeight="1">
      <c r="A154" t="inlineStr">
        <is>
          <t>A 25742-2023</t>
        </is>
      </c>
      <c r="B154" s="1" t="n">
        <v>45090</v>
      </c>
      <c r="C154" s="1" t="n">
        <v>45587</v>
      </c>
      <c r="D154" t="inlineStr">
        <is>
          <t>JÄMTLANDS LÄN</t>
        </is>
      </c>
      <c r="E154" t="inlineStr">
        <is>
          <t>HÄRJEDALEN</t>
        </is>
      </c>
      <c r="F154" t="inlineStr">
        <is>
          <t>Bergvik skog väst AB</t>
        </is>
      </c>
      <c r="G154" t="n">
        <v>55</v>
      </c>
      <c r="H154" t="n">
        <v>0</v>
      </c>
      <c r="I154" t="n">
        <v>0</v>
      </c>
      <c r="J154" t="n">
        <v>2</v>
      </c>
      <c r="K154" t="n">
        <v>0</v>
      </c>
      <c r="L154" t="n">
        <v>0</v>
      </c>
      <c r="M154" t="n">
        <v>0</v>
      </c>
      <c r="N154" t="n">
        <v>0</v>
      </c>
      <c r="O154" t="n">
        <v>2</v>
      </c>
      <c r="P154" t="n">
        <v>0</v>
      </c>
      <c r="Q154" t="n">
        <v>2</v>
      </c>
      <c r="R154" s="2" t="inlineStr">
        <is>
          <t>Dvärgbägarlav
Mörk kolflarnlav</t>
        </is>
      </c>
      <c r="S154">
        <f>HYPERLINK("https://klasma.github.io/Logging_2361/artfynd/A 25742-2023 artfynd.xlsx", "A 25742-2023")</f>
        <v/>
      </c>
      <c r="T154">
        <f>HYPERLINK("https://klasma.github.io/Logging_2361/kartor/A 25742-2023 karta.png", "A 25742-2023")</f>
        <v/>
      </c>
      <c r="V154">
        <f>HYPERLINK("https://klasma.github.io/Logging_2361/klagomål/A 25742-2023 FSC-klagomål.docx", "A 25742-2023")</f>
        <v/>
      </c>
      <c r="W154">
        <f>HYPERLINK("https://klasma.github.io/Logging_2361/klagomålsmail/A 25742-2023 FSC-klagomål mail.docx", "A 25742-2023")</f>
        <v/>
      </c>
      <c r="X154">
        <f>HYPERLINK("https://klasma.github.io/Logging_2361/tillsyn/A 25742-2023 tillsynsbegäran.docx", "A 25742-2023")</f>
        <v/>
      </c>
      <c r="Y154">
        <f>HYPERLINK("https://klasma.github.io/Logging_2361/tillsynsmail/A 25742-2023 tillsynsbegäran mail.docx", "A 25742-2023")</f>
        <v/>
      </c>
    </row>
    <row r="155" ht="15" customHeight="1">
      <c r="A155" t="inlineStr">
        <is>
          <t>A 36750-2023</t>
        </is>
      </c>
      <c r="B155" s="1" t="n">
        <v>45153</v>
      </c>
      <c r="C155" s="1" t="n">
        <v>45587</v>
      </c>
      <c r="D155" t="inlineStr">
        <is>
          <t>JÄMTLANDS LÄN</t>
        </is>
      </c>
      <c r="E155" t="inlineStr">
        <is>
          <t>HÄRJEDALEN</t>
        </is>
      </c>
      <c r="G155" t="n">
        <v>8.199999999999999</v>
      </c>
      <c r="H155" t="n">
        <v>1</v>
      </c>
      <c r="I155" t="n">
        <v>0</v>
      </c>
      <c r="J155" t="n">
        <v>2</v>
      </c>
      <c r="K155" t="n">
        <v>0</v>
      </c>
      <c r="L155" t="n">
        <v>0</v>
      </c>
      <c r="M155" t="n">
        <v>0</v>
      </c>
      <c r="N155" t="n">
        <v>0</v>
      </c>
      <c r="O155" t="n">
        <v>2</v>
      </c>
      <c r="P155" t="n">
        <v>0</v>
      </c>
      <c r="Q155" t="n">
        <v>2</v>
      </c>
      <c r="R155" s="2" t="inlineStr">
        <is>
          <t>Järpe
Lunglav</t>
        </is>
      </c>
      <c r="S155">
        <f>HYPERLINK("https://klasma.github.io/Logging_2361/artfynd/A 36750-2023 artfynd.xlsx", "A 36750-2023")</f>
        <v/>
      </c>
      <c r="T155">
        <f>HYPERLINK("https://klasma.github.io/Logging_2361/kartor/A 36750-2023 karta.png", "A 36750-2023")</f>
        <v/>
      </c>
      <c r="V155">
        <f>HYPERLINK("https://klasma.github.io/Logging_2361/klagomål/A 36750-2023 FSC-klagomål.docx", "A 36750-2023")</f>
        <v/>
      </c>
      <c r="W155">
        <f>HYPERLINK("https://klasma.github.io/Logging_2361/klagomålsmail/A 36750-2023 FSC-klagomål mail.docx", "A 36750-2023")</f>
        <v/>
      </c>
      <c r="X155">
        <f>HYPERLINK("https://klasma.github.io/Logging_2361/tillsyn/A 36750-2023 tillsynsbegäran.docx", "A 36750-2023")</f>
        <v/>
      </c>
      <c r="Y155">
        <f>HYPERLINK("https://klasma.github.io/Logging_2361/tillsynsmail/A 36750-2023 tillsynsbegäran mail.docx", "A 36750-2023")</f>
        <v/>
      </c>
      <c r="Z155">
        <f>HYPERLINK("https://klasma.github.io/Logging_2361/fåglar/A 36750-2023 prioriterade fågelarter.docx", "A 36750-2023")</f>
        <v/>
      </c>
    </row>
    <row r="156" ht="15" customHeight="1">
      <c r="A156" t="inlineStr">
        <is>
          <t>A 40015-2023</t>
        </is>
      </c>
      <c r="B156" s="1" t="n">
        <v>45168</v>
      </c>
      <c r="C156" s="1" t="n">
        <v>45587</v>
      </c>
      <c r="D156" t="inlineStr">
        <is>
          <t>JÄMTLANDS LÄN</t>
        </is>
      </c>
      <c r="E156" t="inlineStr">
        <is>
          <t>HÄRJEDALEN</t>
        </is>
      </c>
      <c r="G156" t="n">
        <v>21.9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HYPERLINK("https://klasma.github.io/Logging_2361/artfynd/A 40015-2023 artfynd.xlsx", "A 40015-2023")</f>
        <v/>
      </c>
      <c r="T156">
        <f>HYPERLINK("https://klasma.github.io/Logging_2361/kartor/A 40015-2023 karta.png", "A 40015-2023")</f>
        <v/>
      </c>
      <c r="V156">
        <f>HYPERLINK("https://klasma.github.io/Logging_2361/klagomål/A 40015-2023 FSC-klagomål.docx", "A 40015-2023")</f>
        <v/>
      </c>
      <c r="W156">
        <f>HYPERLINK("https://klasma.github.io/Logging_2361/klagomålsmail/A 40015-2023 FSC-klagomål mail.docx", "A 40015-2023")</f>
        <v/>
      </c>
      <c r="X156">
        <f>HYPERLINK("https://klasma.github.io/Logging_2361/tillsyn/A 40015-2023 tillsynsbegäran.docx", "A 40015-2023")</f>
        <v/>
      </c>
      <c r="Y156">
        <f>HYPERLINK("https://klasma.github.io/Logging_2361/tillsynsmail/A 40015-2023 tillsynsbegäran mail.docx", "A 40015-2023")</f>
        <v/>
      </c>
    </row>
    <row r="157" ht="15" customHeight="1">
      <c r="A157" t="inlineStr">
        <is>
          <t>A 45191-2023</t>
        </is>
      </c>
      <c r="B157" s="1" t="n">
        <v>45191</v>
      </c>
      <c r="C157" s="1" t="n">
        <v>45587</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22836-2024</t>
        </is>
      </c>
      <c r="B158" s="1" t="n">
        <v>45448</v>
      </c>
      <c r="C158" s="1" t="n">
        <v>45587</v>
      </c>
      <c r="D158" t="inlineStr">
        <is>
          <t>JÄMTLANDS LÄN</t>
        </is>
      </c>
      <c r="E158" t="inlineStr">
        <is>
          <t>HÄRJEDALEN</t>
        </is>
      </c>
      <c r="F158" t="inlineStr">
        <is>
          <t>Holmen skog AB</t>
        </is>
      </c>
      <c r="G158" t="n">
        <v>3.5</v>
      </c>
      <c r="H158" t="n">
        <v>0</v>
      </c>
      <c r="I158" t="n">
        <v>1</v>
      </c>
      <c r="J158" t="n">
        <v>1</v>
      </c>
      <c r="K158" t="n">
        <v>0</v>
      </c>
      <c r="L158" t="n">
        <v>0</v>
      </c>
      <c r="M158" t="n">
        <v>0</v>
      </c>
      <c r="N158" t="n">
        <v>0</v>
      </c>
      <c r="O158" t="n">
        <v>1</v>
      </c>
      <c r="P158" t="n">
        <v>0</v>
      </c>
      <c r="Q158" t="n">
        <v>2</v>
      </c>
      <c r="R158" s="2" t="inlineStr">
        <is>
          <t>Vedflamlav
Dropptaggsvamp</t>
        </is>
      </c>
      <c r="S158">
        <f>HYPERLINK("https://klasma.github.io/Logging_2361/artfynd/A 22836-2024 artfynd.xlsx", "A 22836-2024")</f>
        <v/>
      </c>
      <c r="T158">
        <f>HYPERLINK("https://klasma.github.io/Logging_2361/kartor/A 22836-2024 karta.png", "A 22836-2024")</f>
        <v/>
      </c>
      <c r="V158">
        <f>HYPERLINK("https://klasma.github.io/Logging_2361/klagomål/A 22836-2024 FSC-klagomål.docx", "A 22836-2024")</f>
        <v/>
      </c>
      <c r="W158">
        <f>HYPERLINK("https://klasma.github.io/Logging_2361/klagomålsmail/A 22836-2024 FSC-klagomål mail.docx", "A 22836-2024")</f>
        <v/>
      </c>
      <c r="X158">
        <f>HYPERLINK("https://klasma.github.io/Logging_2361/tillsyn/A 22836-2024 tillsynsbegäran.docx", "A 22836-2024")</f>
        <v/>
      </c>
      <c r="Y158">
        <f>HYPERLINK("https://klasma.github.io/Logging_2361/tillsynsmail/A 22836-2024 tillsynsbegäran mail.docx", "A 22836-2024")</f>
        <v/>
      </c>
    </row>
    <row r="159" ht="15" customHeight="1">
      <c r="A159" t="inlineStr">
        <is>
          <t>A 27179-2024</t>
        </is>
      </c>
      <c r="B159" s="1" t="n">
        <v>45471</v>
      </c>
      <c r="C159" s="1" t="n">
        <v>45587</v>
      </c>
      <c r="D159" t="inlineStr">
        <is>
          <t>JÄMTLANDS LÄN</t>
        </is>
      </c>
      <c r="E159" t="inlineStr">
        <is>
          <t>HÄRJEDALEN</t>
        </is>
      </c>
      <c r="G159" t="n">
        <v>3.1</v>
      </c>
      <c r="H159" t="n">
        <v>0</v>
      </c>
      <c r="I159" t="n">
        <v>1</v>
      </c>
      <c r="J159" t="n">
        <v>1</v>
      </c>
      <c r="K159" t="n">
        <v>0</v>
      </c>
      <c r="L159" t="n">
        <v>0</v>
      </c>
      <c r="M159" t="n">
        <v>0</v>
      </c>
      <c r="N159" t="n">
        <v>0</v>
      </c>
      <c r="O159" t="n">
        <v>1</v>
      </c>
      <c r="P159" t="n">
        <v>0</v>
      </c>
      <c r="Q159" t="n">
        <v>2</v>
      </c>
      <c r="R159" s="2" t="inlineStr">
        <is>
          <t>Garnlav
Korallblylav</t>
        </is>
      </c>
      <c r="S159">
        <f>HYPERLINK("https://klasma.github.io/Logging_2361/artfynd/A 27179-2024 artfynd.xlsx", "A 27179-2024")</f>
        <v/>
      </c>
      <c r="T159">
        <f>HYPERLINK("https://klasma.github.io/Logging_2361/kartor/A 27179-2024 karta.png", "A 27179-2024")</f>
        <v/>
      </c>
      <c r="V159">
        <f>HYPERLINK("https://klasma.github.io/Logging_2361/klagomål/A 27179-2024 FSC-klagomål.docx", "A 27179-2024")</f>
        <v/>
      </c>
      <c r="W159">
        <f>HYPERLINK("https://klasma.github.io/Logging_2361/klagomålsmail/A 27179-2024 FSC-klagomål mail.docx", "A 27179-2024")</f>
        <v/>
      </c>
      <c r="X159">
        <f>HYPERLINK("https://klasma.github.io/Logging_2361/tillsyn/A 27179-2024 tillsynsbegäran.docx", "A 27179-2024")</f>
        <v/>
      </c>
      <c r="Y159">
        <f>HYPERLINK("https://klasma.github.io/Logging_2361/tillsynsmail/A 27179-2024 tillsynsbegäran mail.docx", "A 27179-2024")</f>
        <v/>
      </c>
    </row>
    <row r="160" ht="15" customHeight="1">
      <c r="A160" t="inlineStr">
        <is>
          <t>A 31892-2024</t>
        </is>
      </c>
      <c r="B160" s="1" t="n">
        <v>45509</v>
      </c>
      <c r="C160" s="1" t="n">
        <v>45587</v>
      </c>
      <c r="D160" t="inlineStr">
        <is>
          <t>JÄMTLANDS LÄN</t>
        </is>
      </c>
      <c r="E160" t="inlineStr">
        <is>
          <t>HÄRJEDALEN</t>
        </is>
      </c>
      <c r="F160" t="inlineStr">
        <is>
          <t>SCA</t>
        </is>
      </c>
      <c r="G160" t="n">
        <v>5.2</v>
      </c>
      <c r="H160" t="n">
        <v>1</v>
      </c>
      <c r="I160" t="n">
        <v>1</v>
      </c>
      <c r="J160" t="n">
        <v>0</v>
      </c>
      <c r="K160" t="n">
        <v>0</v>
      </c>
      <c r="L160" t="n">
        <v>0</v>
      </c>
      <c r="M160" t="n">
        <v>0</v>
      </c>
      <c r="N160" t="n">
        <v>0</v>
      </c>
      <c r="O160" t="n">
        <v>0</v>
      </c>
      <c r="P160" t="n">
        <v>0</v>
      </c>
      <c r="Q160" t="n">
        <v>2</v>
      </c>
      <c r="R160" s="2" t="inlineStr">
        <is>
          <t>Bollvitmossa
Fläcknycklar</t>
        </is>
      </c>
      <c r="S160">
        <f>HYPERLINK("https://klasma.github.io/Logging_2361/artfynd/A 31892-2024 artfynd.xlsx", "A 31892-2024")</f>
        <v/>
      </c>
      <c r="T160">
        <f>HYPERLINK("https://klasma.github.io/Logging_2361/kartor/A 31892-2024 karta.png", "A 31892-2024")</f>
        <v/>
      </c>
      <c r="V160">
        <f>HYPERLINK("https://klasma.github.io/Logging_2361/klagomål/A 31892-2024 FSC-klagomål.docx", "A 31892-2024")</f>
        <v/>
      </c>
      <c r="W160">
        <f>HYPERLINK("https://klasma.github.io/Logging_2361/klagomålsmail/A 31892-2024 FSC-klagomål mail.docx", "A 31892-2024")</f>
        <v/>
      </c>
      <c r="X160">
        <f>HYPERLINK("https://klasma.github.io/Logging_2361/tillsyn/A 31892-2024 tillsynsbegäran.docx", "A 31892-2024")</f>
        <v/>
      </c>
      <c r="Y160">
        <f>HYPERLINK("https://klasma.github.io/Logging_2361/tillsynsmail/A 31892-2024 tillsynsbegäran mail.docx", "A 31892-2024")</f>
        <v/>
      </c>
    </row>
    <row r="161" ht="15" customHeight="1">
      <c r="A161" t="inlineStr">
        <is>
          <t>A 36051-2024</t>
        </is>
      </c>
      <c r="B161" s="1" t="n">
        <v>45533</v>
      </c>
      <c r="C161" s="1" t="n">
        <v>45587</v>
      </c>
      <c r="D161" t="inlineStr">
        <is>
          <t>JÄMTLANDS LÄN</t>
        </is>
      </c>
      <c r="E161" t="inlineStr">
        <is>
          <t>HÄRJEDALEN</t>
        </is>
      </c>
      <c r="F161" t="inlineStr">
        <is>
          <t>Sveaskog</t>
        </is>
      </c>
      <c r="G161" t="n">
        <v>2.3</v>
      </c>
      <c r="H161" t="n">
        <v>0</v>
      </c>
      <c r="I161" t="n">
        <v>1</v>
      </c>
      <c r="J161" t="n">
        <v>1</v>
      </c>
      <c r="K161" t="n">
        <v>0</v>
      </c>
      <c r="L161" t="n">
        <v>0</v>
      </c>
      <c r="M161" t="n">
        <v>0</v>
      </c>
      <c r="N161" t="n">
        <v>0</v>
      </c>
      <c r="O161" t="n">
        <v>1</v>
      </c>
      <c r="P161" t="n">
        <v>0</v>
      </c>
      <c r="Q161" t="n">
        <v>2</v>
      </c>
      <c r="R161" s="2" t="inlineStr">
        <is>
          <t>Blå taggsvamp
Dropptaggsvamp</t>
        </is>
      </c>
      <c r="S161">
        <f>HYPERLINK("https://klasma.github.io/Logging_2361/artfynd/A 36051-2024 artfynd.xlsx", "A 36051-2024")</f>
        <v/>
      </c>
      <c r="T161">
        <f>HYPERLINK("https://klasma.github.io/Logging_2361/kartor/A 36051-2024 karta.png", "A 36051-2024")</f>
        <v/>
      </c>
      <c r="V161">
        <f>HYPERLINK("https://klasma.github.io/Logging_2361/klagomål/A 36051-2024 FSC-klagomål.docx", "A 36051-2024")</f>
        <v/>
      </c>
      <c r="W161">
        <f>HYPERLINK("https://klasma.github.io/Logging_2361/klagomålsmail/A 36051-2024 FSC-klagomål mail.docx", "A 36051-2024")</f>
        <v/>
      </c>
      <c r="X161">
        <f>HYPERLINK("https://klasma.github.io/Logging_2361/tillsyn/A 36051-2024 tillsynsbegäran.docx", "A 36051-2024")</f>
        <v/>
      </c>
      <c r="Y161">
        <f>HYPERLINK("https://klasma.github.io/Logging_2361/tillsynsmail/A 36051-2024 tillsynsbegäran mail.docx", "A 36051-2024")</f>
        <v/>
      </c>
    </row>
    <row r="162" ht="15" customHeight="1">
      <c r="A162" t="inlineStr">
        <is>
          <t>A 36924-2024</t>
        </is>
      </c>
      <c r="B162" s="1" t="n">
        <v>45538</v>
      </c>
      <c r="C162" s="1" t="n">
        <v>45587</v>
      </c>
      <c r="D162" t="inlineStr">
        <is>
          <t>JÄMTLANDS LÄN</t>
        </is>
      </c>
      <c r="E162" t="inlineStr">
        <is>
          <t>HÄRJEDALEN</t>
        </is>
      </c>
      <c r="F162" t="inlineStr">
        <is>
          <t>Holmen skog AB</t>
        </is>
      </c>
      <c r="G162" t="n">
        <v>4.3</v>
      </c>
      <c r="H162" t="n">
        <v>1</v>
      </c>
      <c r="I162" t="n">
        <v>1</v>
      </c>
      <c r="J162" t="n">
        <v>0</v>
      </c>
      <c r="K162" t="n">
        <v>0</v>
      </c>
      <c r="L162" t="n">
        <v>0</v>
      </c>
      <c r="M162" t="n">
        <v>0</v>
      </c>
      <c r="N162" t="n">
        <v>0</v>
      </c>
      <c r="O162" t="n">
        <v>0</v>
      </c>
      <c r="P162" t="n">
        <v>0</v>
      </c>
      <c r="Q162" t="n">
        <v>2</v>
      </c>
      <c r="R162" s="2" t="inlineStr">
        <is>
          <t>Dvärgtufs
Nattviol</t>
        </is>
      </c>
      <c r="S162">
        <f>HYPERLINK("https://klasma.github.io/Logging_2361/artfynd/A 36924-2024 artfynd.xlsx", "A 36924-2024")</f>
        <v/>
      </c>
      <c r="T162">
        <f>HYPERLINK("https://klasma.github.io/Logging_2361/kartor/A 36924-2024 karta.png", "A 36924-2024")</f>
        <v/>
      </c>
      <c r="V162">
        <f>HYPERLINK("https://klasma.github.io/Logging_2361/klagomål/A 36924-2024 FSC-klagomål.docx", "A 36924-2024")</f>
        <v/>
      </c>
      <c r="W162">
        <f>HYPERLINK("https://klasma.github.io/Logging_2361/klagomålsmail/A 36924-2024 FSC-klagomål mail.docx", "A 36924-2024")</f>
        <v/>
      </c>
      <c r="X162">
        <f>HYPERLINK("https://klasma.github.io/Logging_2361/tillsyn/A 36924-2024 tillsynsbegäran.docx", "A 36924-2024")</f>
        <v/>
      </c>
      <c r="Y162">
        <f>HYPERLINK("https://klasma.github.io/Logging_2361/tillsynsmail/A 36924-2024 tillsynsbegäran mail.docx", "A 36924-2024")</f>
        <v/>
      </c>
    </row>
    <row r="163" ht="15" customHeight="1">
      <c r="A163" t="inlineStr">
        <is>
          <t>A 39718-2024</t>
        </is>
      </c>
      <c r="B163" s="1" t="n">
        <v>45552</v>
      </c>
      <c r="C163" s="1" t="n">
        <v>45587</v>
      </c>
      <c r="D163" t="inlineStr">
        <is>
          <t>JÄMTLANDS LÄN</t>
        </is>
      </c>
      <c r="E163" t="inlineStr">
        <is>
          <t>HÄRJEDALEN</t>
        </is>
      </c>
      <c r="G163" t="n">
        <v>9.4</v>
      </c>
      <c r="H163" t="n">
        <v>0</v>
      </c>
      <c r="I163" t="n">
        <v>0</v>
      </c>
      <c r="J163" t="n">
        <v>1</v>
      </c>
      <c r="K163" t="n">
        <v>1</v>
      </c>
      <c r="L163" t="n">
        <v>0</v>
      </c>
      <c r="M163" t="n">
        <v>0</v>
      </c>
      <c r="N163" t="n">
        <v>0</v>
      </c>
      <c r="O163" t="n">
        <v>2</v>
      </c>
      <c r="P163" t="n">
        <v>1</v>
      </c>
      <c r="Q163" t="n">
        <v>2</v>
      </c>
      <c r="R163" s="2" t="inlineStr">
        <is>
          <t>Gräddporing
Slåtterfibbla</t>
        </is>
      </c>
      <c r="S163">
        <f>HYPERLINK("https://klasma.github.io/Logging_2361/artfynd/A 39718-2024 artfynd.xlsx", "A 39718-2024")</f>
        <v/>
      </c>
      <c r="T163">
        <f>HYPERLINK("https://klasma.github.io/Logging_2361/kartor/A 39718-2024 karta.png", "A 39718-2024")</f>
        <v/>
      </c>
      <c r="U163">
        <f>HYPERLINK("https://klasma.github.io/Logging_2361/knärot/A 39718-2024 karta knärot.png", "A 39718-2024")</f>
        <v/>
      </c>
      <c r="V163">
        <f>HYPERLINK("https://klasma.github.io/Logging_2361/klagomål/A 39718-2024 FSC-klagomål.docx", "A 39718-2024")</f>
        <v/>
      </c>
      <c r="W163">
        <f>HYPERLINK("https://klasma.github.io/Logging_2361/klagomålsmail/A 39718-2024 FSC-klagomål mail.docx", "A 39718-2024")</f>
        <v/>
      </c>
      <c r="X163">
        <f>HYPERLINK("https://klasma.github.io/Logging_2361/tillsyn/A 39718-2024 tillsynsbegäran.docx", "A 39718-2024")</f>
        <v/>
      </c>
      <c r="Y163">
        <f>HYPERLINK("https://klasma.github.io/Logging_2361/tillsynsmail/A 39718-2024 tillsynsbegäran mail.docx", "A 39718-2024")</f>
        <v/>
      </c>
    </row>
    <row r="164" ht="15" customHeight="1">
      <c r="A164" t="inlineStr">
        <is>
          <t>A 24898-2020</t>
        </is>
      </c>
      <c r="B164" s="1" t="n">
        <v>43979</v>
      </c>
      <c r="C164" s="1" t="n">
        <v>45587</v>
      </c>
      <c r="D164" t="inlineStr">
        <is>
          <t>JÄMTLANDS LÄN</t>
        </is>
      </c>
      <c r="E164" t="inlineStr">
        <is>
          <t>HÄRJEDALEN</t>
        </is>
      </c>
      <c r="F164" t="inlineStr">
        <is>
          <t>Sveaskog</t>
        </is>
      </c>
      <c r="G164" t="n">
        <v>2.9</v>
      </c>
      <c r="H164" t="n">
        <v>0</v>
      </c>
      <c r="I164" t="n">
        <v>0</v>
      </c>
      <c r="J164" t="n">
        <v>1</v>
      </c>
      <c r="K164" t="n">
        <v>0</v>
      </c>
      <c r="L164" t="n">
        <v>0</v>
      </c>
      <c r="M164" t="n">
        <v>0</v>
      </c>
      <c r="N164" t="n">
        <v>0</v>
      </c>
      <c r="O164" t="n">
        <v>1</v>
      </c>
      <c r="P164" t="n">
        <v>0</v>
      </c>
      <c r="Q164" t="n">
        <v>1</v>
      </c>
      <c r="R164" s="2" t="inlineStr">
        <is>
          <t>Brunklöver</t>
        </is>
      </c>
      <c r="S164">
        <f>HYPERLINK("https://klasma.github.io/Logging_2361/artfynd/A 24898-2020 artfynd.xlsx", "A 24898-2020")</f>
        <v/>
      </c>
      <c r="T164">
        <f>HYPERLINK("https://klasma.github.io/Logging_2361/kartor/A 24898-2020 karta.png", "A 24898-2020")</f>
        <v/>
      </c>
      <c r="V164">
        <f>HYPERLINK("https://klasma.github.io/Logging_2361/klagomål/A 24898-2020 FSC-klagomål.docx", "A 24898-2020")</f>
        <v/>
      </c>
      <c r="W164">
        <f>HYPERLINK("https://klasma.github.io/Logging_2361/klagomålsmail/A 24898-2020 FSC-klagomål mail.docx", "A 24898-2020")</f>
        <v/>
      </c>
      <c r="X164">
        <f>HYPERLINK("https://klasma.github.io/Logging_2361/tillsyn/A 24898-2020 tillsynsbegäran.docx", "A 24898-2020")</f>
        <v/>
      </c>
      <c r="Y164">
        <f>HYPERLINK("https://klasma.github.io/Logging_2361/tillsynsmail/A 24898-2020 tillsynsbegäran mail.docx", "A 24898-2020")</f>
        <v/>
      </c>
    </row>
    <row r="165" ht="15" customHeight="1">
      <c r="A165" t="inlineStr">
        <is>
          <t>A 36954-2020</t>
        </is>
      </c>
      <c r="B165" s="1" t="n">
        <v>44053</v>
      </c>
      <c r="C165" s="1" t="n">
        <v>45587</v>
      </c>
      <c r="D165" t="inlineStr">
        <is>
          <t>JÄMTLANDS LÄN</t>
        </is>
      </c>
      <c r="E165" t="inlineStr">
        <is>
          <t>HÄRJEDALEN</t>
        </is>
      </c>
      <c r="F165" t="inlineStr">
        <is>
          <t>SCA</t>
        </is>
      </c>
      <c r="G165" t="n">
        <v>38.7</v>
      </c>
      <c r="H165" t="n">
        <v>0</v>
      </c>
      <c r="I165" t="n">
        <v>0</v>
      </c>
      <c r="J165" t="n">
        <v>1</v>
      </c>
      <c r="K165" t="n">
        <v>0</v>
      </c>
      <c r="L165" t="n">
        <v>0</v>
      </c>
      <c r="M165" t="n">
        <v>0</v>
      </c>
      <c r="N165" t="n">
        <v>0</v>
      </c>
      <c r="O165" t="n">
        <v>1</v>
      </c>
      <c r="P165" t="n">
        <v>0</v>
      </c>
      <c r="Q165" t="n">
        <v>1</v>
      </c>
      <c r="R165" s="2" t="inlineStr">
        <is>
          <t>Reliktbock</t>
        </is>
      </c>
      <c r="S165">
        <f>HYPERLINK("https://klasma.github.io/Logging_2361/artfynd/A 36954-2020 artfynd.xlsx", "A 36954-2020")</f>
        <v/>
      </c>
      <c r="T165">
        <f>HYPERLINK("https://klasma.github.io/Logging_2361/kartor/A 36954-2020 karta.png", "A 36954-2020")</f>
        <v/>
      </c>
      <c r="V165">
        <f>HYPERLINK("https://klasma.github.io/Logging_2361/klagomål/A 36954-2020 FSC-klagomål.docx", "A 36954-2020")</f>
        <v/>
      </c>
      <c r="W165">
        <f>HYPERLINK("https://klasma.github.io/Logging_2361/klagomålsmail/A 36954-2020 FSC-klagomål mail.docx", "A 36954-2020")</f>
        <v/>
      </c>
      <c r="X165">
        <f>HYPERLINK("https://klasma.github.io/Logging_2361/tillsyn/A 36954-2020 tillsynsbegäran.docx", "A 36954-2020")</f>
        <v/>
      </c>
      <c r="Y165">
        <f>HYPERLINK("https://klasma.github.io/Logging_2361/tillsynsmail/A 36954-2020 tillsynsbegäran mail.docx", "A 36954-2020")</f>
        <v/>
      </c>
    </row>
    <row r="166" ht="15" customHeight="1">
      <c r="A166" t="inlineStr">
        <is>
          <t>A 47685-2020</t>
        </is>
      </c>
      <c r="B166" s="1" t="n">
        <v>44096</v>
      </c>
      <c r="C166" s="1" t="n">
        <v>45587</v>
      </c>
      <c r="D166" t="inlineStr">
        <is>
          <t>JÄMTLANDS LÄN</t>
        </is>
      </c>
      <c r="E166" t="inlineStr">
        <is>
          <t>HÄRJEDALEN</t>
        </is>
      </c>
      <c r="F166" t="inlineStr">
        <is>
          <t>Sveaskog</t>
        </is>
      </c>
      <c r="G166" t="n">
        <v>2.3</v>
      </c>
      <c r="H166" t="n">
        <v>0</v>
      </c>
      <c r="I166" t="n">
        <v>0</v>
      </c>
      <c r="J166" t="n">
        <v>1</v>
      </c>
      <c r="K166" t="n">
        <v>0</v>
      </c>
      <c r="L166" t="n">
        <v>0</v>
      </c>
      <c r="M166" t="n">
        <v>0</v>
      </c>
      <c r="N166" t="n">
        <v>0</v>
      </c>
      <c r="O166" t="n">
        <v>1</v>
      </c>
      <c r="P166" t="n">
        <v>0</v>
      </c>
      <c r="Q166" t="n">
        <v>1</v>
      </c>
      <c r="R166" s="2" t="inlineStr">
        <is>
          <t>Lunglav</t>
        </is>
      </c>
      <c r="S166">
        <f>HYPERLINK("https://klasma.github.io/Logging_2361/artfynd/A 47685-2020 artfynd.xlsx", "A 47685-2020")</f>
        <v/>
      </c>
      <c r="T166">
        <f>HYPERLINK("https://klasma.github.io/Logging_2361/kartor/A 47685-2020 karta.png", "A 47685-2020")</f>
        <v/>
      </c>
      <c r="V166">
        <f>HYPERLINK("https://klasma.github.io/Logging_2361/klagomål/A 47685-2020 FSC-klagomål.docx", "A 47685-2020")</f>
        <v/>
      </c>
      <c r="W166">
        <f>HYPERLINK("https://klasma.github.io/Logging_2361/klagomålsmail/A 47685-2020 FSC-klagomål mail.docx", "A 47685-2020")</f>
        <v/>
      </c>
      <c r="X166">
        <f>HYPERLINK("https://klasma.github.io/Logging_2361/tillsyn/A 47685-2020 tillsynsbegäran.docx", "A 47685-2020")</f>
        <v/>
      </c>
      <c r="Y166">
        <f>HYPERLINK("https://klasma.github.io/Logging_2361/tillsynsmail/A 47685-2020 tillsynsbegäran mail.docx", "A 47685-2020")</f>
        <v/>
      </c>
    </row>
    <row r="167" ht="15" customHeight="1">
      <c r="A167" t="inlineStr">
        <is>
          <t>A 51387-2020</t>
        </is>
      </c>
      <c r="B167" s="1" t="n">
        <v>44113</v>
      </c>
      <c r="C167" s="1" t="n">
        <v>45587</v>
      </c>
      <c r="D167" t="inlineStr">
        <is>
          <t>JÄMTLANDS LÄN</t>
        </is>
      </c>
      <c r="E167" t="inlineStr">
        <is>
          <t>HÄRJEDALEN</t>
        </is>
      </c>
      <c r="G167" t="n">
        <v>1</v>
      </c>
      <c r="H167" t="n">
        <v>0</v>
      </c>
      <c r="I167" t="n">
        <v>0</v>
      </c>
      <c r="J167" t="n">
        <v>0</v>
      </c>
      <c r="K167" t="n">
        <v>1</v>
      </c>
      <c r="L167" t="n">
        <v>0</v>
      </c>
      <c r="M167" t="n">
        <v>0</v>
      </c>
      <c r="N167" t="n">
        <v>0</v>
      </c>
      <c r="O167" t="n">
        <v>1</v>
      </c>
      <c r="P167" t="n">
        <v>1</v>
      </c>
      <c r="Q167" t="n">
        <v>1</v>
      </c>
      <c r="R167" s="2" t="inlineStr">
        <is>
          <t>Goliatmusseron</t>
        </is>
      </c>
      <c r="S167">
        <f>HYPERLINK("https://klasma.github.io/Logging_2361/artfynd/A 51387-2020 artfynd.xlsx", "A 51387-2020")</f>
        <v/>
      </c>
      <c r="T167">
        <f>HYPERLINK("https://klasma.github.io/Logging_2361/kartor/A 51387-2020 karta.png", "A 51387-2020")</f>
        <v/>
      </c>
      <c r="V167">
        <f>HYPERLINK("https://klasma.github.io/Logging_2361/klagomål/A 51387-2020 FSC-klagomål.docx", "A 51387-2020")</f>
        <v/>
      </c>
      <c r="W167">
        <f>HYPERLINK("https://klasma.github.io/Logging_2361/klagomålsmail/A 51387-2020 FSC-klagomål mail.docx", "A 51387-2020")</f>
        <v/>
      </c>
      <c r="X167">
        <f>HYPERLINK("https://klasma.github.io/Logging_2361/tillsyn/A 51387-2020 tillsynsbegäran.docx", "A 51387-2020")</f>
        <v/>
      </c>
      <c r="Y167">
        <f>HYPERLINK("https://klasma.github.io/Logging_2361/tillsynsmail/A 51387-2020 tillsynsbegäran mail.docx", "A 51387-2020")</f>
        <v/>
      </c>
    </row>
    <row r="168" ht="15" customHeight="1">
      <c r="A168" t="inlineStr">
        <is>
          <t>A 21572-2021</t>
        </is>
      </c>
      <c r="B168" s="1" t="n">
        <v>44321</v>
      </c>
      <c r="C168" s="1" t="n">
        <v>45587</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55223-2021</t>
        </is>
      </c>
      <c r="B169" s="1" t="n">
        <v>44475</v>
      </c>
      <c r="C169" s="1" t="n">
        <v>45587</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55222-2021</t>
        </is>
      </c>
      <c r="B170" s="1" t="n">
        <v>44475</v>
      </c>
      <c r="C170" s="1" t="n">
        <v>45587</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55221-2021</t>
        </is>
      </c>
      <c r="B171" s="1" t="n">
        <v>44475</v>
      </c>
      <c r="C171" s="1" t="n">
        <v>45587</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55245-2021</t>
        </is>
      </c>
      <c r="B172" s="1" t="n">
        <v>44475</v>
      </c>
      <c r="C172" s="1" t="n">
        <v>45587</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13982-2022</t>
        </is>
      </c>
      <c r="B173" s="1" t="n">
        <v>44650</v>
      </c>
      <c r="C173" s="1" t="n">
        <v>45587</v>
      </c>
      <c r="D173" t="inlineStr">
        <is>
          <t>JÄMTLANDS LÄN</t>
        </is>
      </c>
      <c r="E173" t="inlineStr">
        <is>
          <t>HÄRJEDALEN</t>
        </is>
      </c>
      <c r="F173" t="inlineStr">
        <is>
          <t>Holmen skog AB</t>
        </is>
      </c>
      <c r="G173" t="n">
        <v>4.4</v>
      </c>
      <c r="H173" t="n">
        <v>0</v>
      </c>
      <c r="I173" t="n">
        <v>0</v>
      </c>
      <c r="J173" t="n">
        <v>1</v>
      </c>
      <c r="K173" t="n">
        <v>0</v>
      </c>
      <c r="L173" t="n">
        <v>0</v>
      </c>
      <c r="M173" t="n">
        <v>0</v>
      </c>
      <c r="N173" t="n">
        <v>0</v>
      </c>
      <c r="O173" t="n">
        <v>1</v>
      </c>
      <c r="P173" t="n">
        <v>0</v>
      </c>
      <c r="Q173" t="n">
        <v>1</v>
      </c>
      <c r="R173" s="2" t="inlineStr">
        <is>
          <t>Garnlav</t>
        </is>
      </c>
      <c r="S173">
        <f>HYPERLINK("https://klasma.github.io/Logging_2361/artfynd/A 13982-2022 artfynd.xlsx", "A 13982-2022")</f>
        <v/>
      </c>
      <c r="T173">
        <f>HYPERLINK("https://klasma.github.io/Logging_2361/kartor/A 13982-2022 karta.png", "A 13982-2022")</f>
        <v/>
      </c>
      <c r="V173">
        <f>HYPERLINK("https://klasma.github.io/Logging_2361/klagomål/A 13982-2022 FSC-klagomål.docx", "A 13982-2022")</f>
        <v/>
      </c>
      <c r="W173">
        <f>HYPERLINK("https://klasma.github.io/Logging_2361/klagomålsmail/A 13982-2022 FSC-klagomål mail.docx", "A 13982-2022")</f>
        <v/>
      </c>
      <c r="X173">
        <f>HYPERLINK("https://klasma.github.io/Logging_2361/tillsyn/A 13982-2022 tillsynsbegäran.docx", "A 13982-2022")</f>
        <v/>
      </c>
      <c r="Y173">
        <f>HYPERLINK("https://klasma.github.io/Logging_2361/tillsynsmail/A 13982-2022 tillsynsbegäran mail.docx", "A 13982-2022")</f>
        <v/>
      </c>
    </row>
    <row r="174" ht="15" customHeight="1">
      <c r="A174" t="inlineStr">
        <is>
          <t>A 15360-2022</t>
        </is>
      </c>
      <c r="B174" s="1" t="n">
        <v>44659</v>
      </c>
      <c r="C174" s="1" t="n">
        <v>45587</v>
      </c>
      <c r="D174" t="inlineStr">
        <is>
          <t>JÄMTLANDS LÄN</t>
        </is>
      </c>
      <c r="E174" t="inlineStr">
        <is>
          <t>HÄRJEDALEN</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15360-2022 artfynd.xlsx", "A 15360-2022")</f>
        <v/>
      </c>
      <c r="T174">
        <f>HYPERLINK("https://klasma.github.io/Logging_2361/kartor/A 15360-2022 karta.png", "A 15360-2022")</f>
        <v/>
      </c>
      <c r="V174">
        <f>HYPERLINK("https://klasma.github.io/Logging_2361/klagomål/A 15360-2022 FSC-klagomål.docx", "A 15360-2022")</f>
        <v/>
      </c>
      <c r="W174">
        <f>HYPERLINK("https://klasma.github.io/Logging_2361/klagomålsmail/A 15360-2022 FSC-klagomål mail.docx", "A 15360-2022")</f>
        <v/>
      </c>
      <c r="X174">
        <f>HYPERLINK("https://klasma.github.io/Logging_2361/tillsyn/A 15360-2022 tillsynsbegäran.docx", "A 15360-2022")</f>
        <v/>
      </c>
      <c r="Y174">
        <f>HYPERLINK("https://klasma.github.io/Logging_2361/tillsynsmail/A 15360-2022 tillsynsbegäran mail.docx", "A 15360-2022")</f>
        <v/>
      </c>
    </row>
    <row r="175" ht="15" customHeight="1">
      <c r="A175" t="inlineStr">
        <is>
          <t>A 31061-2022</t>
        </is>
      </c>
      <c r="B175" s="1" t="n">
        <v>44769</v>
      </c>
      <c r="C175" s="1" t="n">
        <v>45587</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42214-2022</t>
        </is>
      </c>
      <c r="B176" s="1" t="n">
        <v>44830</v>
      </c>
      <c r="C176" s="1" t="n">
        <v>45587</v>
      </c>
      <c r="D176" t="inlineStr">
        <is>
          <t>JÄMTLANDS LÄN</t>
        </is>
      </c>
      <c r="E176" t="inlineStr">
        <is>
          <t>HÄRJEDALEN</t>
        </is>
      </c>
      <c r="F176" t="inlineStr">
        <is>
          <t>Sveaskog</t>
        </is>
      </c>
      <c r="G176" t="n">
        <v>8.800000000000001</v>
      </c>
      <c r="H176" t="n">
        <v>0</v>
      </c>
      <c r="I176" t="n">
        <v>0</v>
      </c>
      <c r="J176" t="n">
        <v>0</v>
      </c>
      <c r="K176" t="n">
        <v>1</v>
      </c>
      <c r="L176" t="n">
        <v>0</v>
      </c>
      <c r="M176" t="n">
        <v>0</v>
      </c>
      <c r="N176" t="n">
        <v>0</v>
      </c>
      <c r="O176" t="n">
        <v>1</v>
      </c>
      <c r="P176" t="n">
        <v>1</v>
      </c>
      <c r="Q176" t="n">
        <v>1</v>
      </c>
      <c r="R176" s="2" t="inlineStr">
        <is>
          <t>Rynkskinn</t>
        </is>
      </c>
      <c r="S176">
        <f>HYPERLINK("https://klasma.github.io/Logging_2361/artfynd/A 42214-2022 artfynd.xlsx", "A 42214-2022")</f>
        <v/>
      </c>
      <c r="T176">
        <f>HYPERLINK("https://klasma.github.io/Logging_2361/kartor/A 42214-2022 karta.png", "A 42214-2022")</f>
        <v/>
      </c>
      <c r="V176">
        <f>HYPERLINK("https://klasma.github.io/Logging_2361/klagomål/A 42214-2022 FSC-klagomål.docx", "A 42214-2022")</f>
        <v/>
      </c>
      <c r="W176">
        <f>HYPERLINK("https://klasma.github.io/Logging_2361/klagomålsmail/A 42214-2022 FSC-klagomål mail.docx", "A 42214-2022")</f>
        <v/>
      </c>
      <c r="X176">
        <f>HYPERLINK("https://klasma.github.io/Logging_2361/tillsyn/A 42214-2022 tillsynsbegäran.docx", "A 42214-2022")</f>
        <v/>
      </c>
      <c r="Y176">
        <f>HYPERLINK("https://klasma.github.io/Logging_2361/tillsynsmail/A 42214-2022 tillsynsbegäran mail.docx", "A 42214-2022")</f>
        <v/>
      </c>
    </row>
    <row r="177" ht="15" customHeight="1">
      <c r="A177" t="inlineStr">
        <is>
          <t>A 52328-2022</t>
        </is>
      </c>
      <c r="B177" s="1" t="n">
        <v>44873</v>
      </c>
      <c r="C177" s="1" t="n">
        <v>45587</v>
      </c>
      <c r="D177" t="inlineStr">
        <is>
          <t>JÄMTLANDS LÄN</t>
        </is>
      </c>
      <c r="E177" t="inlineStr">
        <is>
          <t>HÄRJEDALEN</t>
        </is>
      </c>
      <c r="G177" t="n">
        <v>30.5</v>
      </c>
      <c r="H177" t="n">
        <v>0</v>
      </c>
      <c r="I177" t="n">
        <v>0</v>
      </c>
      <c r="J177" t="n">
        <v>1</v>
      </c>
      <c r="K177" t="n">
        <v>0</v>
      </c>
      <c r="L177" t="n">
        <v>0</v>
      </c>
      <c r="M177" t="n">
        <v>0</v>
      </c>
      <c r="N177" t="n">
        <v>0</v>
      </c>
      <c r="O177" t="n">
        <v>1</v>
      </c>
      <c r="P177" t="n">
        <v>0</v>
      </c>
      <c r="Q177" t="n">
        <v>1</v>
      </c>
      <c r="R177" s="2" t="inlineStr">
        <is>
          <t>Stjärntagging</t>
        </is>
      </c>
      <c r="S177">
        <f>HYPERLINK("https://klasma.github.io/Logging_2361/artfynd/A 52328-2022 artfynd.xlsx", "A 52328-2022")</f>
        <v/>
      </c>
      <c r="T177">
        <f>HYPERLINK("https://klasma.github.io/Logging_2361/kartor/A 52328-2022 karta.png", "A 52328-2022")</f>
        <v/>
      </c>
      <c r="V177">
        <f>HYPERLINK("https://klasma.github.io/Logging_2361/klagomål/A 52328-2022 FSC-klagomål.docx", "A 52328-2022")</f>
        <v/>
      </c>
      <c r="W177">
        <f>HYPERLINK("https://klasma.github.io/Logging_2361/klagomålsmail/A 52328-2022 FSC-klagomål mail.docx", "A 52328-2022")</f>
        <v/>
      </c>
      <c r="X177">
        <f>HYPERLINK("https://klasma.github.io/Logging_2361/tillsyn/A 52328-2022 tillsynsbegäran.docx", "A 52328-2022")</f>
        <v/>
      </c>
      <c r="Y177">
        <f>HYPERLINK("https://klasma.github.io/Logging_2361/tillsynsmail/A 52328-2022 tillsynsbegäran mail.docx", "A 52328-2022")</f>
        <v/>
      </c>
    </row>
    <row r="178" ht="15" customHeight="1">
      <c r="A178" t="inlineStr">
        <is>
          <t>A 56084-2022</t>
        </is>
      </c>
      <c r="B178" s="1" t="n">
        <v>44886</v>
      </c>
      <c r="C178" s="1" t="n">
        <v>45587</v>
      </c>
      <c r="D178" t="inlineStr">
        <is>
          <t>JÄMTLANDS LÄN</t>
        </is>
      </c>
      <c r="E178" t="inlineStr">
        <is>
          <t>HÄRJEDALEN</t>
        </is>
      </c>
      <c r="F178" t="inlineStr">
        <is>
          <t>Övriga statliga verk och myndigheter</t>
        </is>
      </c>
      <c r="G178" t="n">
        <v>18.6</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56084-2022 artfynd.xlsx", "A 56084-2022")</f>
        <v/>
      </c>
      <c r="T178">
        <f>HYPERLINK("https://klasma.github.io/Logging_2361/kartor/A 56084-2022 karta.png", "A 56084-2022")</f>
        <v/>
      </c>
      <c r="V178">
        <f>HYPERLINK("https://klasma.github.io/Logging_2361/klagomål/A 56084-2022 FSC-klagomål.docx", "A 56084-2022")</f>
        <v/>
      </c>
      <c r="W178">
        <f>HYPERLINK("https://klasma.github.io/Logging_2361/klagomålsmail/A 56084-2022 FSC-klagomål mail.docx", "A 56084-2022")</f>
        <v/>
      </c>
      <c r="X178">
        <f>HYPERLINK("https://klasma.github.io/Logging_2361/tillsyn/A 56084-2022 tillsynsbegäran.docx", "A 56084-2022")</f>
        <v/>
      </c>
      <c r="Y178">
        <f>HYPERLINK("https://klasma.github.io/Logging_2361/tillsynsmail/A 56084-2022 tillsynsbegäran mail.docx", "A 56084-2022")</f>
        <v/>
      </c>
    </row>
    <row r="179" ht="15" customHeight="1">
      <c r="A179" t="inlineStr">
        <is>
          <t>A 184-2023</t>
        </is>
      </c>
      <c r="B179" s="1" t="n">
        <v>44928</v>
      </c>
      <c r="C179" s="1" t="n">
        <v>45587</v>
      </c>
      <c r="D179" t="inlineStr">
        <is>
          <t>JÄMTLANDS LÄN</t>
        </is>
      </c>
      <c r="E179" t="inlineStr">
        <is>
          <t>HÄRJEDALEN</t>
        </is>
      </c>
      <c r="F179" t="inlineStr">
        <is>
          <t>Holmen skog AB</t>
        </is>
      </c>
      <c r="G179" t="n">
        <v>7.8</v>
      </c>
      <c r="H179" t="n">
        <v>1</v>
      </c>
      <c r="I179" t="n">
        <v>1</v>
      </c>
      <c r="J179" t="n">
        <v>0</v>
      </c>
      <c r="K179" t="n">
        <v>0</v>
      </c>
      <c r="L179" t="n">
        <v>0</v>
      </c>
      <c r="M179" t="n">
        <v>0</v>
      </c>
      <c r="N179" t="n">
        <v>0</v>
      </c>
      <c r="O179" t="n">
        <v>0</v>
      </c>
      <c r="P179" t="n">
        <v>0</v>
      </c>
      <c r="Q179" t="n">
        <v>1</v>
      </c>
      <c r="R179" s="2" t="inlineStr">
        <is>
          <t>Spindelblomster</t>
        </is>
      </c>
      <c r="S179">
        <f>HYPERLINK("https://klasma.github.io/Logging_2361/artfynd/A 184-2023 artfynd.xlsx", "A 184-2023")</f>
        <v/>
      </c>
      <c r="T179">
        <f>HYPERLINK("https://klasma.github.io/Logging_2361/kartor/A 184-2023 karta.png", "A 184-2023")</f>
        <v/>
      </c>
      <c r="U179">
        <f>HYPERLINK("https://klasma.github.io/Logging_2361/knärot/A 184-2023 karta knärot.png", "A 184-2023")</f>
        <v/>
      </c>
      <c r="V179">
        <f>HYPERLINK("https://klasma.github.io/Logging_2361/klagomål/A 184-2023 FSC-klagomål.docx", "A 184-2023")</f>
        <v/>
      </c>
      <c r="W179">
        <f>HYPERLINK("https://klasma.github.io/Logging_2361/klagomålsmail/A 184-2023 FSC-klagomål mail.docx", "A 184-2023")</f>
        <v/>
      </c>
      <c r="X179">
        <f>HYPERLINK("https://klasma.github.io/Logging_2361/tillsyn/A 184-2023 tillsynsbegäran.docx", "A 184-2023")</f>
        <v/>
      </c>
      <c r="Y179">
        <f>HYPERLINK("https://klasma.github.io/Logging_2361/tillsynsmail/A 184-2023 tillsynsbegäran mail.docx", "A 184-2023")</f>
        <v/>
      </c>
    </row>
    <row r="180" ht="15" customHeight="1">
      <c r="A180" t="inlineStr">
        <is>
          <t>A 30330-2023</t>
        </is>
      </c>
      <c r="B180" s="1" t="n">
        <v>45111</v>
      </c>
      <c r="C180" s="1" t="n">
        <v>45587</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39524-2023</t>
        </is>
      </c>
      <c r="B181" s="1" t="n">
        <v>45167</v>
      </c>
      <c r="C181" s="1" t="n">
        <v>45587</v>
      </c>
      <c r="D181" t="inlineStr">
        <is>
          <t>JÄMTLANDS LÄN</t>
        </is>
      </c>
      <c r="E181" t="inlineStr">
        <is>
          <t>HÄRJEDALEN</t>
        </is>
      </c>
      <c r="F181" t="inlineStr">
        <is>
          <t>Bergvik skog väst AB</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39524-2023 artfynd.xlsx", "A 39524-2023")</f>
        <v/>
      </c>
      <c r="T181">
        <f>HYPERLINK("https://klasma.github.io/Logging_2361/kartor/A 39524-2023 karta.png", "A 39524-2023")</f>
        <v/>
      </c>
      <c r="V181">
        <f>HYPERLINK("https://klasma.github.io/Logging_2361/klagomål/A 39524-2023 FSC-klagomål.docx", "A 39524-2023")</f>
        <v/>
      </c>
      <c r="W181">
        <f>HYPERLINK("https://klasma.github.io/Logging_2361/klagomålsmail/A 39524-2023 FSC-klagomål mail.docx", "A 39524-2023")</f>
        <v/>
      </c>
      <c r="X181">
        <f>HYPERLINK("https://klasma.github.io/Logging_2361/tillsyn/A 39524-2023 tillsynsbegäran.docx", "A 39524-2023")</f>
        <v/>
      </c>
      <c r="Y181">
        <f>HYPERLINK("https://klasma.github.io/Logging_2361/tillsynsmail/A 39524-2023 tillsynsbegäran mail.docx", "A 39524-2023")</f>
        <v/>
      </c>
      <c r="Z181">
        <f>HYPERLINK("https://klasma.github.io/Logging_2361/fåglar/A 39524-2023 prioriterade fågelarter.docx", "A 39524-2023")</f>
        <v/>
      </c>
    </row>
    <row r="182" ht="15" customHeight="1">
      <c r="A182" t="inlineStr">
        <is>
          <t>A 50470-2023</t>
        </is>
      </c>
      <c r="B182" s="1" t="n">
        <v>45216</v>
      </c>
      <c r="C182" s="1" t="n">
        <v>45587</v>
      </c>
      <c r="D182" t="inlineStr">
        <is>
          <t>JÄMTLANDS LÄN</t>
        </is>
      </c>
      <c r="E182" t="inlineStr">
        <is>
          <t>HÄRJEDALEN</t>
        </is>
      </c>
      <c r="F182" t="inlineStr">
        <is>
          <t>Sveaskog</t>
        </is>
      </c>
      <c r="G182" t="n">
        <v>3.5</v>
      </c>
      <c r="H182" t="n">
        <v>0</v>
      </c>
      <c r="I182" t="n">
        <v>0</v>
      </c>
      <c r="J182" t="n">
        <v>0</v>
      </c>
      <c r="K182" t="n">
        <v>1</v>
      </c>
      <c r="L182" t="n">
        <v>0</v>
      </c>
      <c r="M182" t="n">
        <v>0</v>
      </c>
      <c r="N182" t="n">
        <v>0</v>
      </c>
      <c r="O182" t="n">
        <v>1</v>
      </c>
      <c r="P182" t="n">
        <v>1</v>
      </c>
      <c r="Q182" t="n">
        <v>1</v>
      </c>
      <c r="R182" s="2" t="inlineStr">
        <is>
          <t>Gräddporing</t>
        </is>
      </c>
      <c r="S182">
        <f>HYPERLINK("https://klasma.github.io/Logging_2361/artfynd/A 50470-2023 artfynd.xlsx", "A 50470-2023")</f>
        <v/>
      </c>
      <c r="T182">
        <f>HYPERLINK("https://klasma.github.io/Logging_2361/kartor/A 50470-2023 karta.png", "A 50470-2023")</f>
        <v/>
      </c>
      <c r="V182">
        <f>HYPERLINK("https://klasma.github.io/Logging_2361/klagomål/A 50470-2023 FSC-klagomål.docx", "A 50470-2023")</f>
        <v/>
      </c>
      <c r="W182">
        <f>HYPERLINK("https://klasma.github.io/Logging_2361/klagomålsmail/A 50470-2023 FSC-klagomål mail.docx", "A 50470-2023")</f>
        <v/>
      </c>
      <c r="X182">
        <f>HYPERLINK("https://klasma.github.io/Logging_2361/tillsyn/A 50470-2023 tillsynsbegäran.docx", "A 50470-2023")</f>
        <v/>
      </c>
      <c r="Y182">
        <f>HYPERLINK("https://klasma.github.io/Logging_2361/tillsynsmail/A 50470-2023 tillsynsbegäran mail.docx", "A 50470-2023")</f>
        <v/>
      </c>
    </row>
    <row r="183" ht="15" customHeight="1">
      <c r="A183" t="inlineStr">
        <is>
          <t>A 51414-2023</t>
        </is>
      </c>
      <c r="B183" s="1" t="n">
        <v>45219</v>
      </c>
      <c r="C183" s="1" t="n">
        <v>45587</v>
      </c>
      <c r="D183" t="inlineStr">
        <is>
          <t>JÄMTLANDS LÄN</t>
        </is>
      </c>
      <c r="E183" t="inlineStr">
        <is>
          <t>HÄRJEDALEN</t>
        </is>
      </c>
      <c r="F183" t="inlineStr">
        <is>
          <t>Sveaskog</t>
        </is>
      </c>
      <c r="G183" t="n">
        <v>3.9</v>
      </c>
      <c r="H183" t="n">
        <v>0</v>
      </c>
      <c r="I183" t="n">
        <v>0</v>
      </c>
      <c r="J183" t="n">
        <v>1</v>
      </c>
      <c r="K183" t="n">
        <v>0</v>
      </c>
      <c r="L183" t="n">
        <v>0</v>
      </c>
      <c r="M183" t="n">
        <v>0</v>
      </c>
      <c r="N183" t="n">
        <v>0</v>
      </c>
      <c r="O183" t="n">
        <v>1</v>
      </c>
      <c r="P183" t="n">
        <v>0</v>
      </c>
      <c r="Q183" t="n">
        <v>1</v>
      </c>
      <c r="R183" s="2" t="inlineStr">
        <is>
          <t>Lunglav</t>
        </is>
      </c>
      <c r="S183">
        <f>HYPERLINK("https://klasma.github.io/Logging_2361/artfynd/A 51414-2023 artfynd.xlsx", "A 51414-2023")</f>
        <v/>
      </c>
      <c r="T183">
        <f>HYPERLINK("https://klasma.github.io/Logging_2361/kartor/A 51414-2023 karta.png", "A 51414-2023")</f>
        <v/>
      </c>
      <c r="V183">
        <f>HYPERLINK("https://klasma.github.io/Logging_2361/klagomål/A 51414-2023 FSC-klagomål.docx", "A 51414-2023")</f>
        <v/>
      </c>
      <c r="W183">
        <f>HYPERLINK("https://klasma.github.io/Logging_2361/klagomålsmail/A 51414-2023 FSC-klagomål mail.docx", "A 51414-2023")</f>
        <v/>
      </c>
      <c r="X183">
        <f>HYPERLINK("https://klasma.github.io/Logging_2361/tillsyn/A 51414-2023 tillsynsbegäran.docx", "A 51414-2023")</f>
        <v/>
      </c>
      <c r="Y183">
        <f>HYPERLINK("https://klasma.github.io/Logging_2361/tillsynsmail/A 51414-2023 tillsynsbegäran mail.docx", "A 51414-2023")</f>
        <v/>
      </c>
    </row>
    <row r="184" ht="15" customHeight="1">
      <c r="A184" t="inlineStr">
        <is>
          <t>A 62539-2023</t>
        </is>
      </c>
      <c r="B184" s="1" t="n">
        <v>45268</v>
      </c>
      <c r="C184" s="1" t="n">
        <v>45587</v>
      </c>
      <c r="D184" t="inlineStr">
        <is>
          <t>JÄMTLANDS LÄN</t>
        </is>
      </c>
      <c r="E184" t="inlineStr">
        <is>
          <t>HÄRJEDALEN</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HYPERLINK("https://klasma.github.io/Logging_2361/artfynd/A 62539-2023 artfynd.xlsx", "A 62539-2023")</f>
        <v/>
      </c>
      <c r="T184">
        <f>HYPERLINK("https://klasma.github.io/Logging_2361/kartor/A 62539-2023 karta.png", "A 62539-2023")</f>
        <v/>
      </c>
      <c r="V184">
        <f>HYPERLINK("https://klasma.github.io/Logging_2361/klagomål/A 62539-2023 FSC-klagomål.docx", "A 62539-2023")</f>
        <v/>
      </c>
      <c r="W184">
        <f>HYPERLINK("https://klasma.github.io/Logging_2361/klagomålsmail/A 62539-2023 FSC-klagomål mail.docx", "A 62539-2023")</f>
        <v/>
      </c>
      <c r="X184">
        <f>HYPERLINK("https://klasma.github.io/Logging_2361/tillsyn/A 62539-2023 tillsynsbegäran.docx", "A 62539-2023")</f>
        <v/>
      </c>
      <c r="Y184">
        <f>HYPERLINK("https://klasma.github.io/Logging_2361/tillsynsmail/A 62539-2023 tillsynsbegäran mail.docx", "A 62539-2023")</f>
        <v/>
      </c>
      <c r="Z184">
        <f>HYPERLINK("https://klasma.github.io/Logging_2361/fåglar/A 62539-2023 prioriterade fågelarter.docx", "A 62539-2023")</f>
        <v/>
      </c>
    </row>
    <row r="185" ht="15" customHeight="1">
      <c r="A185" t="inlineStr">
        <is>
          <t>A 63659-2023</t>
        </is>
      </c>
      <c r="B185" s="1" t="n">
        <v>45275</v>
      </c>
      <c r="C185" s="1" t="n">
        <v>45587</v>
      </c>
      <c r="D185" t="inlineStr">
        <is>
          <t>JÄMTLANDS LÄN</t>
        </is>
      </c>
      <c r="E185" t="inlineStr">
        <is>
          <t>HÄRJEDALEN</t>
        </is>
      </c>
      <c r="G185" t="n">
        <v>11.7</v>
      </c>
      <c r="H185" t="n">
        <v>0</v>
      </c>
      <c r="I185" t="n">
        <v>0</v>
      </c>
      <c r="J185" t="n">
        <v>1</v>
      </c>
      <c r="K185" t="n">
        <v>0</v>
      </c>
      <c r="L185" t="n">
        <v>0</v>
      </c>
      <c r="M185" t="n">
        <v>0</v>
      </c>
      <c r="N185" t="n">
        <v>0</v>
      </c>
      <c r="O185" t="n">
        <v>1</v>
      </c>
      <c r="P185" t="n">
        <v>0</v>
      </c>
      <c r="Q185" t="n">
        <v>1</v>
      </c>
      <c r="R185" s="2" t="inlineStr">
        <is>
          <t>Lunglav</t>
        </is>
      </c>
      <c r="S185">
        <f>HYPERLINK("https://klasma.github.io/Logging_2361/artfynd/A 63659-2023 artfynd.xlsx", "A 63659-2023")</f>
        <v/>
      </c>
      <c r="T185">
        <f>HYPERLINK("https://klasma.github.io/Logging_2361/kartor/A 63659-2023 karta.png", "A 63659-2023")</f>
        <v/>
      </c>
      <c r="V185">
        <f>HYPERLINK("https://klasma.github.io/Logging_2361/klagomål/A 63659-2023 FSC-klagomål.docx", "A 63659-2023")</f>
        <v/>
      </c>
      <c r="W185">
        <f>HYPERLINK("https://klasma.github.io/Logging_2361/klagomålsmail/A 63659-2023 FSC-klagomål mail.docx", "A 63659-2023")</f>
        <v/>
      </c>
      <c r="X185">
        <f>HYPERLINK("https://klasma.github.io/Logging_2361/tillsyn/A 63659-2023 tillsynsbegäran.docx", "A 63659-2023")</f>
        <v/>
      </c>
      <c r="Y185">
        <f>HYPERLINK("https://klasma.github.io/Logging_2361/tillsynsmail/A 63659-2023 tillsynsbegäran mail.docx", "A 63659-2023")</f>
        <v/>
      </c>
    </row>
    <row r="186" ht="15" customHeight="1">
      <c r="A186" t="inlineStr">
        <is>
          <t>A 3593-2024</t>
        </is>
      </c>
      <c r="B186" s="1" t="n">
        <v>45320</v>
      </c>
      <c r="C186" s="1" t="n">
        <v>45587</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45587</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16471-2024</t>
        </is>
      </c>
      <c r="B188" s="1" t="n">
        <v>45408</v>
      </c>
      <c r="C188" s="1" t="n">
        <v>45587</v>
      </c>
      <c r="D188" t="inlineStr">
        <is>
          <t>JÄMTLANDS LÄN</t>
        </is>
      </c>
      <c r="E188" t="inlineStr">
        <is>
          <t>HÄRJEDALEN</t>
        </is>
      </c>
      <c r="G188" t="n">
        <v>31.7</v>
      </c>
      <c r="H188" t="n">
        <v>0</v>
      </c>
      <c r="I188" t="n">
        <v>0</v>
      </c>
      <c r="J188" t="n">
        <v>0</v>
      </c>
      <c r="K188" t="n">
        <v>0</v>
      </c>
      <c r="L188" t="n">
        <v>0</v>
      </c>
      <c r="M188" t="n">
        <v>1</v>
      </c>
      <c r="N188" t="n">
        <v>0</v>
      </c>
      <c r="O188" t="n">
        <v>1</v>
      </c>
      <c r="P188" t="n">
        <v>1</v>
      </c>
      <c r="Q188" t="n">
        <v>1</v>
      </c>
      <c r="R188" s="2" t="inlineStr">
        <is>
          <t>Limbergsfibbla</t>
        </is>
      </c>
      <c r="S188">
        <f>HYPERLINK("https://klasma.github.io/Logging_2361/artfynd/A 16471-2024 artfynd.xlsx", "A 16471-2024")</f>
        <v/>
      </c>
      <c r="T188">
        <f>HYPERLINK("https://klasma.github.io/Logging_2361/kartor/A 16471-2024 karta.png", "A 16471-2024")</f>
        <v/>
      </c>
      <c r="V188">
        <f>HYPERLINK("https://klasma.github.io/Logging_2361/klagomål/A 16471-2024 FSC-klagomål.docx", "A 16471-2024")</f>
        <v/>
      </c>
      <c r="W188">
        <f>HYPERLINK("https://klasma.github.io/Logging_2361/klagomålsmail/A 16471-2024 FSC-klagomål mail.docx", "A 16471-2024")</f>
        <v/>
      </c>
      <c r="X188">
        <f>HYPERLINK("https://klasma.github.io/Logging_2361/tillsyn/A 16471-2024 tillsynsbegäran.docx", "A 16471-2024")</f>
        <v/>
      </c>
      <c r="Y188">
        <f>HYPERLINK("https://klasma.github.io/Logging_2361/tillsynsmail/A 16471-2024 tillsynsbegäran mail.docx", "A 16471-2024")</f>
        <v/>
      </c>
    </row>
    <row r="189" ht="15" customHeight="1">
      <c r="A189" t="inlineStr">
        <is>
          <t>A 23680-2024</t>
        </is>
      </c>
      <c r="B189" s="1" t="n">
        <v>45454</v>
      </c>
      <c r="C189" s="1" t="n">
        <v>45587</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24254-2024</t>
        </is>
      </c>
      <c r="B190" s="1" t="n">
        <v>45457</v>
      </c>
      <c r="C190" s="1" t="n">
        <v>45587</v>
      </c>
      <c r="D190" t="inlineStr">
        <is>
          <t>JÄMTLANDS LÄN</t>
        </is>
      </c>
      <c r="E190" t="inlineStr">
        <is>
          <t>HÄRJEDALEN</t>
        </is>
      </c>
      <c r="F190" t="inlineStr">
        <is>
          <t>Sveaskog</t>
        </is>
      </c>
      <c r="G190" t="n">
        <v>6</v>
      </c>
      <c r="H190" t="n">
        <v>0</v>
      </c>
      <c r="I190" t="n">
        <v>0</v>
      </c>
      <c r="J190" t="n">
        <v>1</v>
      </c>
      <c r="K190" t="n">
        <v>0</v>
      </c>
      <c r="L190" t="n">
        <v>0</v>
      </c>
      <c r="M190" t="n">
        <v>0</v>
      </c>
      <c r="N190" t="n">
        <v>0</v>
      </c>
      <c r="O190" t="n">
        <v>1</v>
      </c>
      <c r="P190" t="n">
        <v>0</v>
      </c>
      <c r="Q190" t="n">
        <v>1</v>
      </c>
      <c r="R190" s="2" t="inlineStr">
        <is>
          <t>Kolflarnlav</t>
        </is>
      </c>
      <c r="S190">
        <f>HYPERLINK("https://klasma.github.io/Logging_2361/artfynd/A 24254-2024 artfynd.xlsx", "A 24254-2024")</f>
        <v/>
      </c>
      <c r="T190">
        <f>HYPERLINK("https://klasma.github.io/Logging_2361/kartor/A 24254-2024 karta.png", "A 24254-2024")</f>
        <v/>
      </c>
      <c r="V190">
        <f>HYPERLINK("https://klasma.github.io/Logging_2361/klagomål/A 24254-2024 FSC-klagomål.docx", "A 24254-2024")</f>
        <v/>
      </c>
      <c r="W190">
        <f>HYPERLINK("https://klasma.github.io/Logging_2361/klagomålsmail/A 24254-2024 FSC-klagomål mail.docx", "A 24254-2024")</f>
        <v/>
      </c>
      <c r="X190">
        <f>HYPERLINK("https://klasma.github.io/Logging_2361/tillsyn/A 24254-2024 tillsynsbegäran.docx", "A 24254-2024")</f>
        <v/>
      </c>
      <c r="Y190">
        <f>HYPERLINK("https://klasma.github.io/Logging_2361/tillsynsmail/A 24254-2024 tillsynsbegäran mail.docx", "A 24254-2024")</f>
        <v/>
      </c>
    </row>
    <row r="191" ht="15" customHeight="1">
      <c r="A191" t="inlineStr">
        <is>
          <t>A 24249-2024</t>
        </is>
      </c>
      <c r="B191" s="1" t="n">
        <v>45457</v>
      </c>
      <c r="C191" s="1" t="n">
        <v>45587</v>
      </c>
      <c r="D191" t="inlineStr">
        <is>
          <t>JÄMTLANDS LÄN</t>
        </is>
      </c>
      <c r="E191" t="inlineStr">
        <is>
          <t>HÄRJEDALEN</t>
        </is>
      </c>
      <c r="F191" t="inlineStr">
        <is>
          <t>Sveaskog</t>
        </is>
      </c>
      <c r="G191" t="n">
        <v>15.1</v>
      </c>
      <c r="H191" t="n">
        <v>0</v>
      </c>
      <c r="I191" t="n">
        <v>0</v>
      </c>
      <c r="J191" t="n">
        <v>1</v>
      </c>
      <c r="K191" t="n">
        <v>0</v>
      </c>
      <c r="L191" t="n">
        <v>0</v>
      </c>
      <c r="M191" t="n">
        <v>0</v>
      </c>
      <c r="N191" t="n">
        <v>0</v>
      </c>
      <c r="O191" t="n">
        <v>1</v>
      </c>
      <c r="P191" t="n">
        <v>0</v>
      </c>
      <c r="Q191" t="n">
        <v>1</v>
      </c>
      <c r="R191" s="2" t="inlineStr">
        <is>
          <t>Garnlav</t>
        </is>
      </c>
      <c r="S191">
        <f>HYPERLINK("https://klasma.github.io/Logging_2361/artfynd/A 24249-2024 artfynd.xlsx", "A 24249-2024")</f>
        <v/>
      </c>
      <c r="T191">
        <f>HYPERLINK("https://klasma.github.io/Logging_2361/kartor/A 24249-2024 karta.png", "A 24249-2024")</f>
        <v/>
      </c>
      <c r="V191">
        <f>HYPERLINK("https://klasma.github.io/Logging_2361/klagomål/A 24249-2024 FSC-klagomål.docx", "A 24249-2024")</f>
        <v/>
      </c>
      <c r="W191">
        <f>HYPERLINK("https://klasma.github.io/Logging_2361/klagomålsmail/A 24249-2024 FSC-klagomål mail.docx", "A 24249-2024")</f>
        <v/>
      </c>
      <c r="X191">
        <f>HYPERLINK("https://klasma.github.io/Logging_2361/tillsyn/A 24249-2024 tillsynsbegäran.docx", "A 24249-2024")</f>
        <v/>
      </c>
      <c r="Y191">
        <f>HYPERLINK("https://klasma.github.io/Logging_2361/tillsynsmail/A 24249-2024 tillsynsbegäran mail.docx", "A 24249-2024")</f>
        <v/>
      </c>
    </row>
    <row r="192" ht="15" customHeight="1">
      <c r="A192" t="inlineStr">
        <is>
          <t>A 24251-2024</t>
        </is>
      </c>
      <c r="B192" s="1" t="n">
        <v>45457</v>
      </c>
      <c r="C192" s="1" t="n">
        <v>45587</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25942-2024</t>
        </is>
      </c>
      <c r="B193" s="1" t="n">
        <v>45467</v>
      </c>
      <c r="C193" s="1" t="n">
        <v>45587</v>
      </c>
      <c r="D193" t="inlineStr">
        <is>
          <t>JÄMTLANDS LÄN</t>
        </is>
      </c>
      <c r="E193" t="inlineStr">
        <is>
          <t>HÄRJEDALEN</t>
        </is>
      </c>
      <c r="F193" t="inlineStr">
        <is>
          <t>Sveaskog</t>
        </is>
      </c>
      <c r="G193" t="n">
        <v>6.4</v>
      </c>
      <c r="H193" t="n">
        <v>0</v>
      </c>
      <c r="I193" t="n">
        <v>0</v>
      </c>
      <c r="J193" t="n">
        <v>1</v>
      </c>
      <c r="K193" t="n">
        <v>0</v>
      </c>
      <c r="L193" t="n">
        <v>0</v>
      </c>
      <c r="M193" t="n">
        <v>0</v>
      </c>
      <c r="N193" t="n">
        <v>0</v>
      </c>
      <c r="O193" t="n">
        <v>1</v>
      </c>
      <c r="P193" t="n">
        <v>0</v>
      </c>
      <c r="Q193" t="n">
        <v>1</v>
      </c>
      <c r="R193" s="2" t="inlineStr">
        <is>
          <t>Lunglav</t>
        </is>
      </c>
      <c r="S193">
        <f>HYPERLINK("https://klasma.github.io/Logging_2361/artfynd/A 25942-2024 artfynd.xlsx", "A 25942-2024")</f>
        <v/>
      </c>
      <c r="T193">
        <f>HYPERLINK("https://klasma.github.io/Logging_2361/kartor/A 25942-2024 karta.png", "A 25942-2024")</f>
        <v/>
      </c>
      <c r="V193">
        <f>HYPERLINK("https://klasma.github.io/Logging_2361/klagomål/A 25942-2024 FSC-klagomål.docx", "A 25942-2024")</f>
        <v/>
      </c>
      <c r="W193">
        <f>HYPERLINK("https://klasma.github.io/Logging_2361/klagomålsmail/A 25942-2024 FSC-klagomål mail.docx", "A 25942-2024")</f>
        <v/>
      </c>
      <c r="X193">
        <f>HYPERLINK("https://klasma.github.io/Logging_2361/tillsyn/A 25942-2024 tillsynsbegäran.docx", "A 25942-2024")</f>
        <v/>
      </c>
      <c r="Y193">
        <f>HYPERLINK("https://klasma.github.io/Logging_2361/tillsynsmail/A 25942-2024 tillsynsbegäran mail.docx", "A 25942-2024")</f>
        <v/>
      </c>
    </row>
    <row r="194" ht="15" customHeight="1">
      <c r="A194" t="inlineStr">
        <is>
          <t>A 28629-2024</t>
        </is>
      </c>
      <c r="B194" s="1" t="n">
        <v>45478</v>
      </c>
      <c r="C194" s="1" t="n">
        <v>45587</v>
      </c>
      <c r="D194" t="inlineStr">
        <is>
          <t>JÄMTLANDS LÄN</t>
        </is>
      </c>
      <c r="E194" t="inlineStr">
        <is>
          <t>HÄRJEDALEN</t>
        </is>
      </c>
      <c r="G194" t="n">
        <v>8.699999999999999</v>
      </c>
      <c r="H194" t="n">
        <v>1</v>
      </c>
      <c r="I194" t="n">
        <v>0</v>
      </c>
      <c r="J194" t="n">
        <v>0</v>
      </c>
      <c r="K194" t="n">
        <v>0</v>
      </c>
      <c r="L194" t="n">
        <v>1</v>
      </c>
      <c r="M194" t="n">
        <v>0</v>
      </c>
      <c r="N194" t="n">
        <v>0</v>
      </c>
      <c r="O194" t="n">
        <v>1</v>
      </c>
      <c r="P194" t="n">
        <v>1</v>
      </c>
      <c r="Q194" t="n">
        <v>1</v>
      </c>
      <c r="R194" s="2" t="inlineStr">
        <is>
          <t>Mosippa</t>
        </is>
      </c>
      <c r="S194">
        <f>HYPERLINK("https://klasma.github.io/Logging_2361/artfynd/A 28629-2024 artfynd.xlsx", "A 28629-2024")</f>
        <v/>
      </c>
      <c r="T194">
        <f>HYPERLINK("https://klasma.github.io/Logging_2361/kartor/A 28629-2024 karta.png", "A 28629-2024")</f>
        <v/>
      </c>
      <c r="V194">
        <f>HYPERLINK("https://klasma.github.io/Logging_2361/klagomål/A 28629-2024 FSC-klagomål.docx", "A 28629-2024")</f>
        <v/>
      </c>
      <c r="W194">
        <f>HYPERLINK("https://klasma.github.io/Logging_2361/klagomålsmail/A 28629-2024 FSC-klagomål mail.docx", "A 28629-2024")</f>
        <v/>
      </c>
      <c r="X194">
        <f>HYPERLINK("https://klasma.github.io/Logging_2361/tillsyn/A 28629-2024 tillsynsbegäran.docx", "A 28629-2024")</f>
        <v/>
      </c>
      <c r="Y194">
        <f>HYPERLINK("https://klasma.github.io/Logging_2361/tillsynsmail/A 28629-2024 tillsynsbegäran mail.docx", "A 28629-2024")</f>
        <v/>
      </c>
    </row>
    <row r="195" ht="15" customHeight="1">
      <c r="A195" t="inlineStr">
        <is>
          <t>A 31607-2024</t>
        </is>
      </c>
      <c r="B195" s="1" t="n">
        <v>45506</v>
      </c>
      <c r="C195" s="1" t="n">
        <v>45587</v>
      </c>
      <c r="D195" t="inlineStr">
        <is>
          <t>JÄMTLANDS LÄN</t>
        </is>
      </c>
      <c r="E195" t="inlineStr">
        <is>
          <t>HÄRJEDALEN</t>
        </is>
      </c>
      <c r="F195" t="inlineStr">
        <is>
          <t>Sveaskog</t>
        </is>
      </c>
      <c r="G195" t="n">
        <v>9.1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31607-2024 artfynd.xlsx", "A 31607-2024")</f>
        <v/>
      </c>
      <c r="T195">
        <f>HYPERLINK("https://klasma.github.io/Logging_2361/kartor/A 31607-2024 karta.png", "A 31607-2024")</f>
        <v/>
      </c>
      <c r="V195">
        <f>HYPERLINK("https://klasma.github.io/Logging_2361/klagomål/A 31607-2024 FSC-klagomål.docx", "A 31607-2024")</f>
        <v/>
      </c>
      <c r="W195">
        <f>HYPERLINK("https://klasma.github.io/Logging_2361/klagomålsmail/A 31607-2024 FSC-klagomål mail.docx", "A 31607-2024")</f>
        <v/>
      </c>
      <c r="X195">
        <f>HYPERLINK("https://klasma.github.io/Logging_2361/tillsyn/A 31607-2024 tillsynsbegäran.docx", "A 31607-2024")</f>
        <v/>
      </c>
      <c r="Y195">
        <f>HYPERLINK("https://klasma.github.io/Logging_2361/tillsynsmail/A 31607-2024 tillsynsbegäran mail.docx", "A 31607-2024")</f>
        <v/>
      </c>
    </row>
    <row r="196" ht="15" customHeight="1">
      <c r="A196" t="inlineStr">
        <is>
          <t>A 31583-2024</t>
        </is>
      </c>
      <c r="B196" s="1" t="n">
        <v>45506</v>
      </c>
      <c r="C196" s="1" t="n">
        <v>45587</v>
      </c>
      <c r="D196" t="inlineStr">
        <is>
          <t>JÄMTLANDS LÄN</t>
        </is>
      </c>
      <c r="E196" t="inlineStr">
        <is>
          <t>HÄRJEDALEN</t>
        </is>
      </c>
      <c r="G196" t="n">
        <v>9.199999999999999</v>
      </c>
      <c r="H196" t="n">
        <v>0</v>
      </c>
      <c r="I196" t="n">
        <v>0</v>
      </c>
      <c r="J196" t="n">
        <v>1</v>
      </c>
      <c r="K196" t="n">
        <v>0</v>
      </c>
      <c r="L196" t="n">
        <v>0</v>
      </c>
      <c r="M196" t="n">
        <v>0</v>
      </c>
      <c r="N196" t="n">
        <v>0</v>
      </c>
      <c r="O196" t="n">
        <v>1</v>
      </c>
      <c r="P196" t="n">
        <v>0</v>
      </c>
      <c r="Q196" t="n">
        <v>1</v>
      </c>
      <c r="R196" s="2" t="inlineStr">
        <is>
          <t>Igelkott</t>
        </is>
      </c>
      <c r="S196">
        <f>HYPERLINK("https://klasma.github.io/Logging_2361/artfynd/A 31583-2024 artfynd.xlsx", "A 31583-2024")</f>
        <v/>
      </c>
      <c r="T196">
        <f>HYPERLINK("https://klasma.github.io/Logging_2361/kartor/A 31583-2024 karta.png", "A 31583-2024")</f>
        <v/>
      </c>
      <c r="V196">
        <f>HYPERLINK("https://klasma.github.io/Logging_2361/klagomål/A 31583-2024 FSC-klagomål.docx", "A 31583-2024")</f>
        <v/>
      </c>
      <c r="W196">
        <f>HYPERLINK("https://klasma.github.io/Logging_2361/klagomålsmail/A 31583-2024 FSC-klagomål mail.docx", "A 31583-2024")</f>
        <v/>
      </c>
      <c r="X196">
        <f>HYPERLINK("https://klasma.github.io/Logging_2361/tillsyn/A 31583-2024 tillsynsbegäran.docx", "A 31583-2024")</f>
        <v/>
      </c>
      <c r="Y196">
        <f>HYPERLINK("https://klasma.github.io/Logging_2361/tillsynsmail/A 31583-2024 tillsynsbegäran mail.docx", "A 31583-2024")</f>
        <v/>
      </c>
    </row>
    <row r="197" ht="15" customHeight="1">
      <c r="A197" t="inlineStr">
        <is>
          <t>A 37451-2024</t>
        </is>
      </c>
      <c r="B197" s="1" t="n">
        <v>45540</v>
      </c>
      <c r="C197" s="1" t="n">
        <v>45587</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38285-2024</t>
        </is>
      </c>
      <c r="B198" s="1" t="n">
        <v>45545</v>
      </c>
      <c r="C198" s="1" t="n">
        <v>45587</v>
      </c>
      <c r="D198" t="inlineStr">
        <is>
          <t>JÄMTLANDS LÄN</t>
        </is>
      </c>
      <c r="E198" t="inlineStr">
        <is>
          <t>HÄRJEDALEN</t>
        </is>
      </c>
      <c r="F198" t="inlineStr">
        <is>
          <t>Sveaskog</t>
        </is>
      </c>
      <c r="G198" t="n">
        <v>4.9</v>
      </c>
      <c r="H198" t="n">
        <v>0</v>
      </c>
      <c r="I198" t="n">
        <v>0</v>
      </c>
      <c r="J198" t="n">
        <v>1</v>
      </c>
      <c r="K198" t="n">
        <v>0</v>
      </c>
      <c r="L198" t="n">
        <v>0</v>
      </c>
      <c r="M198" t="n">
        <v>0</v>
      </c>
      <c r="N198" t="n">
        <v>0</v>
      </c>
      <c r="O198" t="n">
        <v>1</v>
      </c>
      <c r="P198" t="n">
        <v>0</v>
      </c>
      <c r="Q198" t="n">
        <v>1</v>
      </c>
      <c r="R198" s="2" t="inlineStr">
        <is>
          <t>Lunglav</t>
        </is>
      </c>
      <c r="S198">
        <f>HYPERLINK("https://klasma.github.io/Logging_2361/artfynd/A 38285-2024 artfynd.xlsx", "A 38285-2024")</f>
        <v/>
      </c>
      <c r="T198">
        <f>HYPERLINK("https://klasma.github.io/Logging_2361/kartor/A 38285-2024 karta.png", "A 38285-2024")</f>
        <v/>
      </c>
      <c r="V198">
        <f>HYPERLINK("https://klasma.github.io/Logging_2361/klagomål/A 38285-2024 FSC-klagomål.docx", "A 38285-2024")</f>
        <v/>
      </c>
      <c r="W198">
        <f>HYPERLINK("https://klasma.github.io/Logging_2361/klagomålsmail/A 38285-2024 FSC-klagomål mail.docx", "A 38285-2024")</f>
        <v/>
      </c>
      <c r="X198">
        <f>HYPERLINK("https://klasma.github.io/Logging_2361/tillsyn/A 38285-2024 tillsynsbegäran.docx", "A 38285-2024")</f>
        <v/>
      </c>
      <c r="Y198">
        <f>HYPERLINK("https://klasma.github.io/Logging_2361/tillsynsmail/A 38285-2024 tillsynsbegäran mail.docx", "A 38285-2024")</f>
        <v/>
      </c>
    </row>
    <row r="199" ht="15" customHeight="1">
      <c r="A199" t="inlineStr">
        <is>
          <t>A 43744-2024</t>
        </is>
      </c>
      <c r="B199" s="1" t="n">
        <v>45569</v>
      </c>
      <c r="C199" s="1" t="n">
        <v>45587</v>
      </c>
      <c r="D199" t="inlineStr">
        <is>
          <t>JÄMTLANDS LÄN</t>
        </is>
      </c>
      <c r="E199" t="inlineStr">
        <is>
          <t>HÄRJEDALEN</t>
        </is>
      </c>
      <c r="G199" t="n">
        <v>15.8</v>
      </c>
      <c r="H199" t="n">
        <v>1</v>
      </c>
      <c r="I199" t="n">
        <v>0</v>
      </c>
      <c r="J199" t="n">
        <v>1</v>
      </c>
      <c r="K199" t="n">
        <v>0</v>
      </c>
      <c r="L199" t="n">
        <v>0</v>
      </c>
      <c r="M199" t="n">
        <v>0</v>
      </c>
      <c r="N199" t="n">
        <v>0</v>
      </c>
      <c r="O199" t="n">
        <v>1</v>
      </c>
      <c r="P199" t="n">
        <v>0</v>
      </c>
      <c r="Q199" t="n">
        <v>1</v>
      </c>
      <c r="R199" s="2" t="inlineStr">
        <is>
          <t>Skogsfru</t>
        </is>
      </c>
      <c r="S199">
        <f>HYPERLINK("https://klasma.github.io/Logging_2361/artfynd/A 43744-2024 artfynd.xlsx", "A 43744-2024")</f>
        <v/>
      </c>
      <c r="T199">
        <f>HYPERLINK("https://klasma.github.io/Logging_2361/kartor/A 43744-2024 karta.png", "A 43744-2024")</f>
        <v/>
      </c>
      <c r="V199">
        <f>HYPERLINK("https://klasma.github.io/Logging_2361/klagomål/A 43744-2024 FSC-klagomål.docx", "A 43744-2024")</f>
        <v/>
      </c>
      <c r="W199">
        <f>HYPERLINK("https://klasma.github.io/Logging_2361/klagomålsmail/A 43744-2024 FSC-klagomål mail.docx", "A 43744-2024")</f>
        <v/>
      </c>
      <c r="X199">
        <f>HYPERLINK("https://klasma.github.io/Logging_2361/tillsyn/A 43744-2024 tillsynsbegäran.docx", "A 43744-2024")</f>
        <v/>
      </c>
      <c r="Y199">
        <f>HYPERLINK("https://klasma.github.io/Logging_2361/tillsynsmail/A 43744-2024 tillsynsbegäran mail.docx", "A 43744-2024")</f>
        <v/>
      </c>
    </row>
    <row r="200" ht="15" customHeight="1">
      <c r="A200" t="inlineStr">
        <is>
          <t>A 17811-2019</t>
        </is>
      </c>
      <c r="B200" s="1" t="n">
        <v>43556</v>
      </c>
      <c r="C200" s="1" t="n">
        <v>45587</v>
      </c>
      <c r="D200" t="inlineStr">
        <is>
          <t>JÄMTLANDS LÄN</t>
        </is>
      </c>
      <c r="E200" t="inlineStr">
        <is>
          <t>HÄRJEDALEN</t>
        </is>
      </c>
      <c r="G200" t="n">
        <v>10.3</v>
      </c>
      <c r="H200" t="n">
        <v>0</v>
      </c>
      <c r="I200" t="n">
        <v>0</v>
      </c>
      <c r="J200" t="n">
        <v>0</v>
      </c>
      <c r="K200" t="n">
        <v>0</v>
      </c>
      <c r="L200" t="n">
        <v>0</v>
      </c>
      <c r="M200" t="n">
        <v>0</v>
      </c>
      <c r="N200" t="n">
        <v>0</v>
      </c>
      <c r="O200" t="n">
        <v>0</v>
      </c>
      <c r="P200" t="n">
        <v>0</v>
      </c>
      <c r="Q200" t="n">
        <v>0</v>
      </c>
      <c r="R200" s="2" t="inlineStr"/>
    </row>
    <row r="201" ht="15" customHeight="1">
      <c r="A201" t="inlineStr">
        <is>
          <t>A 17986-2019</t>
        </is>
      </c>
      <c r="B201" s="1" t="n">
        <v>43557</v>
      </c>
      <c r="C201" s="1" t="n">
        <v>45587</v>
      </c>
      <c r="D201" t="inlineStr">
        <is>
          <t>JÄMTLANDS LÄN</t>
        </is>
      </c>
      <c r="E201" t="inlineStr">
        <is>
          <t>HÄRJEDALEN</t>
        </is>
      </c>
      <c r="F201" t="inlineStr">
        <is>
          <t>Kyrkan</t>
        </is>
      </c>
      <c r="G201" t="n">
        <v>17.5</v>
      </c>
      <c r="H201" t="n">
        <v>0</v>
      </c>
      <c r="I201" t="n">
        <v>0</v>
      </c>
      <c r="J201" t="n">
        <v>0</v>
      </c>
      <c r="K201" t="n">
        <v>0</v>
      </c>
      <c r="L201" t="n">
        <v>0</v>
      </c>
      <c r="M201" t="n">
        <v>0</v>
      </c>
      <c r="N201" t="n">
        <v>0</v>
      </c>
      <c r="O201" t="n">
        <v>0</v>
      </c>
      <c r="P201" t="n">
        <v>0</v>
      </c>
      <c r="Q201" t="n">
        <v>0</v>
      </c>
      <c r="R201" s="2" t="inlineStr"/>
    </row>
    <row r="202" ht="15" customHeight="1">
      <c r="A202" t="inlineStr">
        <is>
          <t>A 17917-2019</t>
        </is>
      </c>
      <c r="B202" s="1" t="n">
        <v>43557</v>
      </c>
      <c r="C202" s="1" t="n">
        <v>45587</v>
      </c>
      <c r="D202" t="inlineStr">
        <is>
          <t>JÄMTLANDS LÄN</t>
        </is>
      </c>
      <c r="E202" t="inlineStr">
        <is>
          <t>HÄRJEDALEN</t>
        </is>
      </c>
      <c r="F202" t="inlineStr">
        <is>
          <t>Bergvik skog väst AB</t>
        </is>
      </c>
      <c r="G202" t="n">
        <v>166.3</v>
      </c>
      <c r="H202" t="n">
        <v>0</v>
      </c>
      <c r="I202" t="n">
        <v>0</v>
      </c>
      <c r="J202" t="n">
        <v>0</v>
      </c>
      <c r="K202" t="n">
        <v>0</v>
      </c>
      <c r="L202" t="n">
        <v>0</v>
      </c>
      <c r="M202" t="n">
        <v>0</v>
      </c>
      <c r="N202" t="n">
        <v>0</v>
      </c>
      <c r="O202" t="n">
        <v>0</v>
      </c>
      <c r="P202" t="n">
        <v>0</v>
      </c>
      <c r="Q202" t="n">
        <v>0</v>
      </c>
      <c r="R202" s="2" t="inlineStr"/>
    </row>
    <row r="203" ht="15" customHeight="1">
      <c r="A203" t="inlineStr">
        <is>
          <t>A 18539-2019</t>
        </is>
      </c>
      <c r="B203" s="1" t="n">
        <v>43559</v>
      </c>
      <c r="C203" s="1" t="n">
        <v>45587</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18648-2019</t>
        </is>
      </c>
      <c r="B204" s="1" t="n">
        <v>43560</v>
      </c>
      <c r="C204" s="1" t="n">
        <v>45587</v>
      </c>
      <c r="D204" t="inlineStr">
        <is>
          <t>JÄMTLANDS LÄN</t>
        </is>
      </c>
      <c r="E204" t="inlineStr">
        <is>
          <t>HÄRJEDALEN</t>
        </is>
      </c>
      <c r="G204" t="n">
        <v>5.5</v>
      </c>
      <c r="H204" t="n">
        <v>0</v>
      </c>
      <c r="I204" t="n">
        <v>0</v>
      </c>
      <c r="J204" t="n">
        <v>0</v>
      </c>
      <c r="K204" t="n">
        <v>0</v>
      </c>
      <c r="L204" t="n">
        <v>0</v>
      </c>
      <c r="M204" t="n">
        <v>0</v>
      </c>
      <c r="N204" t="n">
        <v>0</v>
      </c>
      <c r="O204" t="n">
        <v>0</v>
      </c>
      <c r="P204" t="n">
        <v>0</v>
      </c>
      <c r="Q204" t="n">
        <v>0</v>
      </c>
      <c r="R204" s="2" t="inlineStr"/>
    </row>
    <row r="205" ht="15" customHeight="1">
      <c r="A205" t="inlineStr">
        <is>
          <t>A 19114-2019</t>
        </is>
      </c>
      <c r="B205" s="1" t="n">
        <v>43563</v>
      </c>
      <c r="C205" s="1" t="n">
        <v>45587</v>
      </c>
      <c r="D205" t="inlineStr">
        <is>
          <t>JÄMTLANDS LÄN</t>
        </is>
      </c>
      <c r="E205" t="inlineStr">
        <is>
          <t>HÄRJEDALEN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20063-2019</t>
        </is>
      </c>
      <c r="B206" s="1" t="n">
        <v>43567</v>
      </c>
      <c r="C206" s="1" t="n">
        <v>45587</v>
      </c>
      <c r="D206" t="inlineStr">
        <is>
          <t>JÄMTLANDS LÄN</t>
        </is>
      </c>
      <c r="E206" t="inlineStr">
        <is>
          <t>HÄRJEDALEN</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19864-2019</t>
        </is>
      </c>
      <c r="B207" s="1" t="n">
        <v>43567</v>
      </c>
      <c r="C207" s="1" t="n">
        <v>45587</v>
      </c>
      <c r="D207" t="inlineStr">
        <is>
          <t>JÄMTLANDS LÄN</t>
        </is>
      </c>
      <c r="E207" t="inlineStr">
        <is>
          <t>HÄRJEDALEN</t>
        </is>
      </c>
      <c r="G207" t="n">
        <v>2.6</v>
      </c>
      <c r="H207" t="n">
        <v>0</v>
      </c>
      <c r="I207" t="n">
        <v>0</v>
      </c>
      <c r="J207" t="n">
        <v>0</v>
      </c>
      <c r="K207" t="n">
        <v>0</v>
      </c>
      <c r="L207" t="n">
        <v>0</v>
      </c>
      <c r="M207" t="n">
        <v>0</v>
      </c>
      <c r="N207" t="n">
        <v>0</v>
      </c>
      <c r="O207" t="n">
        <v>0</v>
      </c>
      <c r="P207" t="n">
        <v>0</v>
      </c>
      <c r="Q207" t="n">
        <v>0</v>
      </c>
      <c r="R207" s="2" t="inlineStr"/>
    </row>
    <row r="208" ht="15" customHeight="1">
      <c r="A208" t="inlineStr">
        <is>
          <t>A 20403-2019</t>
        </is>
      </c>
      <c r="B208" s="1" t="n">
        <v>43571</v>
      </c>
      <c r="C208" s="1" t="n">
        <v>45587</v>
      </c>
      <c r="D208" t="inlineStr">
        <is>
          <t>JÄMTLANDS LÄN</t>
        </is>
      </c>
      <c r="E208" t="inlineStr">
        <is>
          <t>HÄRJEDALEN</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20373-2019</t>
        </is>
      </c>
      <c r="B209" s="1" t="n">
        <v>43571</v>
      </c>
      <c r="C209" s="1" t="n">
        <v>45587</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20851-2019</t>
        </is>
      </c>
      <c r="B210" s="1" t="n">
        <v>43577</v>
      </c>
      <c r="C210" s="1" t="n">
        <v>45587</v>
      </c>
      <c r="D210" t="inlineStr">
        <is>
          <t>JÄMTLANDS LÄN</t>
        </is>
      </c>
      <c r="E210" t="inlineStr">
        <is>
          <t>HÄRJEDALEN</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21040-2019</t>
        </is>
      </c>
      <c r="B211" s="1" t="n">
        <v>43578</v>
      </c>
      <c r="C211" s="1" t="n">
        <v>45587</v>
      </c>
      <c r="D211" t="inlineStr">
        <is>
          <t>JÄMTLANDS LÄN</t>
        </is>
      </c>
      <c r="E211" t="inlineStr">
        <is>
          <t>HÄRJEDALEN</t>
        </is>
      </c>
      <c r="G211" t="n">
        <v>0.8</v>
      </c>
      <c r="H211" t="n">
        <v>0</v>
      </c>
      <c r="I211" t="n">
        <v>0</v>
      </c>
      <c r="J211" t="n">
        <v>0</v>
      </c>
      <c r="K211" t="n">
        <v>0</v>
      </c>
      <c r="L211" t="n">
        <v>0</v>
      </c>
      <c r="M211" t="n">
        <v>0</v>
      </c>
      <c r="N211" t="n">
        <v>0</v>
      </c>
      <c r="O211" t="n">
        <v>0</v>
      </c>
      <c r="P211" t="n">
        <v>0</v>
      </c>
      <c r="Q211" t="n">
        <v>0</v>
      </c>
      <c r="R211" s="2" t="inlineStr"/>
    </row>
    <row r="212" ht="15" customHeight="1">
      <c r="A212" t="inlineStr">
        <is>
          <t>A 21189-2019</t>
        </is>
      </c>
      <c r="B212" s="1" t="n">
        <v>43579</v>
      </c>
      <c r="C212" s="1" t="n">
        <v>45587</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22622-2019</t>
        </is>
      </c>
      <c r="B213" s="1" t="n">
        <v>43588</v>
      </c>
      <c r="C213" s="1" t="n">
        <v>45587</v>
      </c>
      <c r="D213" t="inlineStr">
        <is>
          <t>JÄMTLANDS LÄN</t>
        </is>
      </c>
      <c r="E213" t="inlineStr">
        <is>
          <t>HÄRJEDALEN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24030-2019</t>
        </is>
      </c>
      <c r="B214" s="1" t="n">
        <v>43598</v>
      </c>
      <c r="C214" s="1" t="n">
        <v>45587</v>
      </c>
      <c r="D214" t="inlineStr">
        <is>
          <t>JÄMTLANDS LÄN</t>
        </is>
      </c>
      <c r="E214" t="inlineStr">
        <is>
          <t>HÄRJEDALEN</t>
        </is>
      </c>
      <c r="F214" t="inlineStr">
        <is>
          <t>Sveaskog</t>
        </is>
      </c>
      <c r="G214" t="n">
        <v>39.9</v>
      </c>
      <c r="H214" t="n">
        <v>0</v>
      </c>
      <c r="I214" t="n">
        <v>0</v>
      </c>
      <c r="J214" t="n">
        <v>0</v>
      </c>
      <c r="K214" t="n">
        <v>0</v>
      </c>
      <c r="L214" t="n">
        <v>0</v>
      </c>
      <c r="M214" t="n">
        <v>0</v>
      </c>
      <c r="N214" t="n">
        <v>0</v>
      </c>
      <c r="O214" t="n">
        <v>0</v>
      </c>
      <c r="P214" t="n">
        <v>0</v>
      </c>
      <c r="Q214" t="n">
        <v>0</v>
      </c>
      <c r="R214" s="2" t="inlineStr"/>
    </row>
    <row r="215" ht="15" customHeight="1">
      <c r="A215" t="inlineStr">
        <is>
          <t>A 24760-2019</t>
        </is>
      </c>
      <c r="B215" s="1" t="n">
        <v>43601</v>
      </c>
      <c r="C215" s="1" t="n">
        <v>45587</v>
      </c>
      <c r="D215" t="inlineStr">
        <is>
          <t>JÄMTLANDS LÄN</t>
        </is>
      </c>
      <c r="E215" t="inlineStr">
        <is>
          <t>HÄRJEDALEN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25309-2019</t>
        </is>
      </c>
      <c r="B216" s="1" t="n">
        <v>43605</v>
      </c>
      <c r="C216" s="1" t="n">
        <v>45587</v>
      </c>
      <c r="D216" t="inlineStr">
        <is>
          <t>JÄMTLANDS LÄN</t>
        </is>
      </c>
      <c r="E216" t="inlineStr">
        <is>
          <t>HÄRJEDALEN</t>
        </is>
      </c>
      <c r="G216" t="n">
        <v>0.1</v>
      </c>
      <c r="H216" t="n">
        <v>0</v>
      </c>
      <c r="I216" t="n">
        <v>0</v>
      </c>
      <c r="J216" t="n">
        <v>0</v>
      </c>
      <c r="K216" t="n">
        <v>0</v>
      </c>
      <c r="L216" t="n">
        <v>0</v>
      </c>
      <c r="M216" t="n">
        <v>0</v>
      </c>
      <c r="N216" t="n">
        <v>0</v>
      </c>
      <c r="O216" t="n">
        <v>0</v>
      </c>
      <c r="P216" t="n">
        <v>0</v>
      </c>
      <c r="Q216" t="n">
        <v>0</v>
      </c>
      <c r="R216" s="2" t="inlineStr"/>
    </row>
    <row r="217" ht="15" customHeight="1">
      <c r="A217" t="inlineStr">
        <is>
          <t>A 25470-2019</t>
        </is>
      </c>
      <c r="B217" s="1" t="n">
        <v>43606</v>
      </c>
      <c r="C217" s="1" t="n">
        <v>45587</v>
      </c>
      <c r="D217" t="inlineStr">
        <is>
          <t>JÄMTLANDS LÄN</t>
        </is>
      </c>
      <c r="E217" t="inlineStr">
        <is>
          <t>HÄRJEDALEN</t>
        </is>
      </c>
      <c r="G217" t="n">
        <v>36.8</v>
      </c>
      <c r="H217" t="n">
        <v>0</v>
      </c>
      <c r="I217" t="n">
        <v>0</v>
      </c>
      <c r="J217" t="n">
        <v>0</v>
      </c>
      <c r="K217" t="n">
        <v>0</v>
      </c>
      <c r="L217" t="n">
        <v>0</v>
      </c>
      <c r="M217" t="n">
        <v>0</v>
      </c>
      <c r="N217" t="n">
        <v>0</v>
      </c>
      <c r="O217" t="n">
        <v>0</v>
      </c>
      <c r="P217" t="n">
        <v>0</v>
      </c>
      <c r="Q217" t="n">
        <v>0</v>
      </c>
      <c r="R217" s="2" t="inlineStr"/>
    </row>
    <row r="218" ht="15" customHeight="1">
      <c r="A218" t="inlineStr">
        <is>
          <t>A 26166-2019</t>
        </is>
      </c>
      <c r="B218" s="1" t="n">
        <v>43609</v>
      </c>
      <c r="C218" s="1" t="n">
        <v>45587</v>
      </c>
      <c r="D218" t="inlineStr">
        <is>
          <t>JÄMTLANDS LÄN</t>
        </is>
      </c>
      <c r="E218" t="inlineStr">
        <is>
          <t>HÄRJEDALEN</t>
        </is>
      </c>
      <c r="G218" t="n">
        <v>85.2</v>
      </c>
      <c r="H218" t="n">
        <v>0</v>
      </c>
      <c r="I218" t="n">
        <v>0</v>
      </c>
      <c r="J218" t="n">
        <v>0</v>
      </c>
      <c r="K218" t="n">
        <v>0</v>
      </c>
      <c r="L218" t="n">
        <v>0</v>
      </c>
      <c r="M218" t="n">
        <v>0</v>
      </c>
      <c r="N218" t="n">
        <v>0</v>
      </c>
      <c r="O218" t="n">
        <v>0</v>
      </c>
      <c r="P218" t="n">
        <v>0</v>
      </c>
      <c r="Q218" t="n">
        <v>0</v>
      </c>
      <c r="R218" s="2" t="inlineStr"/>
    </row>
    <row r="219" ht="15" customHeight="1">
      <c r="A219" t="inlineStr">
        <is>
          <t>A 26310-2019</t>
        </is>
      </c>
      <c r="B219" s="1" t="n">
        <v>43612</v>
      </c>
      <c r="C219" s="1" t="n">
        <v>45587</v>
      </c>
      <c r="D219" t="inlineStr">
        <is>
          <t>JÄMTLANDS LÄN</t>
        </is>
      </c>
      <c r="E219" t="inlineStr">
        <is>
          <t>HÄRJEDALEN</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26423-2019</t>
        </is>
      </c>
      <c r="B220" s="1" t="n">
        <v>43612</v>
      </c>
      <c r="C220" s="1" t="n">
        <v>45587</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27683-2019</t>
        </is>
      </c>
      <c r="B221" s="1" t="n">
        <v>43619</v>
      </c>
      <c r="C221" s="1" t="n">
        <v>45587</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27903-2019</t>
        </is>
      </c>
      <c r="B222" s="1" t="n">
        <v>43620</v>
      </c>
      <c r="C222" s="1" t="n">
        <v>45587</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28312-2019</t>
        </is>
      </c>
      <c r="B223" s="1" t="n">
        <v>43623</v>
      </c>
      <c r="C223" s="1" t="n">
        <v>45587</v>
      </c>
      <c r="D223" t="inlineStr">
        <is>
          <t>JÄMTLANDS LÄN</t>
        </is>
      </c>
      <c r="E223" t="inlineStr">
        <is>
          <t>HÄRJEDALEN</t>
        </is>
      </c>
      <c r="G223" t="n">
        <v>6.5</v>
      </c>
      <c r="H223" t="n">
        <v>0</v>
      </c>
      <c r="I223" t="n">
        <v>0</v>
      </c>
      <c r="J223" t="n">
        <v>0</v>
      </c>
      <c r="K223" t="n">
        <v>0</v>
      </c>
      <c r="L223" t="n">
        <v>0</v>
      </c>
      <c r="M223" t="n">
        <v>0</v>
      </c>
      <c r="N223" t="n">
        <v>0</v>
      </c>
      <c r="O223" t="n">
        <v>0</v>
      </c>
      <c r="P223" t="n">
        <v>0</v>
      </c>
      <c r="Q223" t="n">
        <v>0</v>
      </c>
      <c r="R223" s="2" t="inlineStr"/>
    </row>
    <row r="224" ht="15" customHeight="1">
      <c r="A224" t="inlineStr">
        <is>
          <t>A 28326-2019</t>
        </is>
      </c>
      <c r="B224" s="1" t="n">
        <v>43623</v>
      </c>
      <c r="C224" s="1" t="n">
        <v>45587</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28513-2019</t>
        </is>
      </c>
      <c r="B225" s="1" t="n">
        <v>43626</v>
      </c>
      <c r="C225" s="1" t="n">
        <v>45587</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29263-2019</t>
        </is>
      </c>
      <c r="B226" s="1" t="n">
        <v>43629</v>
      </c>
      <c r="C226" s="1" t="n">
        <v>45587</v>
      </c>
      <c r="D226" t="inlineStr">
        <is>
          <t>JÄMTLANDS LÄN</t>
        </is>
      </c>
      <c r="E226" t="inlineStr">
        <is>
          <t>HÄRJEDALEN</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29822-2019</t>
        </is>
      </c>
      <c r="B227" s="1" t="n">
        <v>43633</v>
      </c>
      <c r="C227" s="1" t="n">
        <v>45587</v>
      </c>
      <c r="D227" t="inlineStr">
        <is>
          <t>JÄMTLANDS LÄN</t>
        </is>
      </c>
      <c r="E227" t="inlineStr">
        <is>
          <t>HÄRJEDALEN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34618-2019</t>
        </is>
      </c>
      <c r="B228" s="1" t="n">
        <v>43647</v>
      </c>
      <c r="C228" s="1" t="n">
        <v>45587</v>
      </c>
      <c r="D228" t="inlineStr">
        <is>
          <t>JÄMTLANDS LÄN</t>
        </is>
      </c>
      <c r="E228" t="inlineStr">
        <is>
          <t>HÄRJEDALEN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32878-2019</t>
        </is>
      </c>
      <c r="B229" s="1" t="n">
        <v>43648</v>
      </c>
      <c r="C229" s="1" t="n">
        <v>45587</v>
      </c>
      <c r="D229" t="inlineStr">
        <is>
          <t>JÄMTLANDS LÄN</t>
        </is>
      </c>
      <c r="E229" t="inlineStr">
        <is>
          <t>HÄRJEDALEN</t>
        </is>
      </c>
      <c r="F229" t="inlineStr">
        <is>
          <t>Övriga Aktiebolag</t>
        </is>
      </c>
      <c r="G229" t="n">
        <v>91.8</v>
      </c>
      <c r="H229" t="n">
        <v>0</v>
      </c>
      <c r="I229" t="n">
        <v>0</v>
      </c>
      <c r="J229" t="n">
        <v>0</v>
      </c>
      <c r="K229" t="n">
        <v>0</v>
      </c>
      <c r="L229" t="n">
        <v>0</v>
      </c>
      <c r="M229" t="n">
        <v>0</v>
      </c>
      <c r="N229" t="n">
        <v>0</v>
      </c>
      <c r="O229" t="n">
        <v>0</v>
      </c>
      <c r="P229" t="n">
        <v>0</v>
      </c>
      <c r="Q229" t="n">
        <v>0</v>
      </c>
      <c r="R229" s="2" t="inlineStr"/>
    </row>
    <row r="230" ht="15" customHeight="1">
      <c r="A230" t="inlineStr">
        <is>
          <t>A 33496-2019</t>
        </is>
      </c>
      <c r="B230" s="1" t="n">
        <v>43651</v>
      </c>
      <c r="C230" s="1" t="n">
        <v>45587</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33497-2019</t>
        </is>
      </c>
      <c r="B231" s="1" t="n">
        <v>43651</v>
      </c>
      <c r="C231" s="1" t="n">
        <v>45587</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34688-2019</t>
        </is>
      </c>
      <c r="B232" s="1" t="n">
        <v>43657</v>
      </c>
      <c r="C232" s="1" t="n">
        <v>45587</v>
      </c>
      <c r="D232" t="inlineStr">
        <is>
          <t>JÄMTLANDS LÄN</t>
        </is>
      </c>
      <c r="E232" t="inlineStr">
        <is>
          <t>HÄRJEDALEN</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34805-2019</t>
        </is>
      </c>
      <c r="B233" s="1" t="n">
        <v>43658</v>
      </c>
      <c r="C233" s="1" t="n">
        <v>45587</v>
      </c>
      <c r="D233" t="inlineStr">
        <is>
          <t>JÄMTLANDS LÄN</t>
        </is>
      </c>
      <c r="E233" t="inlineStr">
        <is>
          <t>HÄRJEDALEN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35160-2019</t>
        </is>
      </c>
      <c r="B234" s="1" t="n">
        <v>43661</v>
      </c>
      <c r="C234" s="1" t="n">
        <v>45587</v>
      </c>
      <c r="D234" t="inlineStr">
        <is>
          <t>JÄMTLANDS LÄN</t>
        </is>
      </c>
      <c r="E234" t="inlineStr">
        <is>
          <t>HÄRJEDALEN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36343-2019</t>
        </is>
      </c>
      <c r="B235" s="1" t="n">
        <v>43662</v>
      </c>
      <c r="C235" s="1" t="n">
        <v>45587</v>
      </c>
      <c r="D235" t="inlineStr">
        <is>
          <t>JÄMTLANDS LÄN</t>
        </is>
      </c>
      <c r="E235" t="inlineStr">
        <is>
          <t>HÄRJEDALEN</t>
        </is>
      </c>
      <c r="G235" t="n">
        <v>8</v>
      </c>
      <c r="H235" t="n">
        <v>0</v>
      </c>
      <c r="I235" t="n">
        <v>0</v>
      </c>
      <c r="J235" t="n">
        <v>0</v>
      </c>
      <c r="K235" t="n">
        <v>0</v>
      </c>
      <c r="L235" t="n">
        <v>0</v>
      </c>
      <c r="M235" t="n">
        <v>0</v>
      </c>
      <c r="N235" t="n">
        <v>0</v>
      </c>
      <c r="O235" t="n">
        <v>0</v>
      </c>
      <c r="P235" t="n">
        <v>0</v>
      </c>
      <c r="Q235" t="n">
        <v>0</v>
      </c>
      <c r="R235" s="2" t="inlineStr"/>
    </row>
    <row r="236" ht="15" customHeight="1">
      <c r="A236" t="inlineStr">
        <is>
          <t>A 38283-2019</t>
        </is>
      </c>
      <c r="B236" s="1" t="n">
        <v>43684</v>
      </c>
      <c r="C236" s="1" t="n">
        <v>45587</v>
      </c>
      <c r="D236" t="inlineStr">
        <is>
          <t>JÄMTLANDS LÄN</t>
        </is>
      </c>
      <c r="E236" t="inlineStr">
        <is>
          <t>HÄRJEDALEN</t>
        </is>
      </c>
      <c r="F236" t="inlineStr">
        <is>
          <t>Bergvik skog väst AB</t>
        </is>
      </c>
      <c r="G236" t="n">
        <v>29.5</v>
      </c>
      <c r="H236" t="n">
        <v>0</v>
      </c>
      <c r="I236" t="n">
        <v>0</v>
      </c>
      <c r="J236" t="n">
        <v>0</v>
      </c>
      <c r="K236" t="n">
        <v>0</v>
      </c>
      <c r="L236" t="n">
        <v>0</v>
      </c>
      <c r="M236" t="n">
        <v>0</v>
      </c>
      <c r="N236" t="n">
        <v>0</v>
      </c>
      <c r="O236" t="n">
        <v>0</v>
      </c>
      <c r="P236" t="n">
        <v>0</v>
      </c>
      <c r="Q236" t="n">
        <v>0</v>
      </c>
      <c r="R236" s="2" t="inlineStr"/>
    </row>
    <row r="237" ht="15" customHeight="1">
      <c r="A237" t="inlineStr">
        <is>
          <t>A 38859-2019</t>
        </is>
      </c>
      <c r="B237" s="1" t="n">
        <v>43689</v>
      </c>
      <c r="C237" s="1" t="n">
        <v>45587</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38884-2019</t>
        </is>
      </c>
      <c r="B238" s="1" t="n">
        <v>43689</v>
      </c>
      <c r="C238" s="1" t="n">
        <v>45587</v>
      </c>
      <c r="D238" t="inlineStr">
        <is>
          <t>JÄMTLANDS LÄN</t>
        </is>
      </c>
      <c r="E238" t="inlineStr">
        <is>
          <t>HÄRJEDALEN</t>
        </is>
      </c>
      <c r="G238" t="n">
        <v>2.5</v>
      </c>
      <c r="H238" t="n">
        <v>0</v>
      </c>
      <c r="I238" t="n">
        <v>0</v>
      </c>
      <c r="J238" t="n">
        <v>0</v>
      </c>
      <c r="K238" t="n">
        <v>0</v>
      </c>
      <c r="L238" t="n">
        <v>0</v>
      </c>
      <c r="M238" t="n">
        <v>0</v>
      </c>
      <c r="N238" t="n">
        <v>0</v>
      </c>
      <c r="O238" t="n">
        <v>0</v>
      </c>
      <c r="P238" t="n">
        <v>0</v>
      </c>
      <c r="Q238" t="n">
        <v>0</v>
      </c>
      <c r="R238" s="2" t="inlineStr"/>
    </row>
    <row r="239" ht="15" customHeight="1">
      <c r="A239" t="inlineStr">
        <is>
          <t>A 40244-2019</t>
        </is>
      </c>
      <c r="B239" s="1" t="n">
        <v>43694</v>
      </c>
      <c r="C239" s="1" t="n">
        <v>45587</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42123-2019</t>
        </is>
      </c>
      <c r="B240" s="1" t="n">
        <v>43703</v>
      </c>
      <c r="C240" s="1" t="n">
        <v>45587</v>
      </c>
      <c r="D240" t="inlineStr">
        <is>
          <t>JÄMTLANDS LÄN</t>
        </is>
      </c>
      <c r="E240" t="inlineStr">
        <is>
          <t>HÄRJEDALEN</t>
        </is>
      </c>
      <c r="G240" t="n">
        <v>1.8</v>
      </c>
      <c r="H240" t="n">
        <v>0</v>
      </c>
      <c r="I240" t="n">
        <v>0</v>
      </c>
      <c r="J240" t="n">
        <v>0</v>
      </c>
      <c r="K240" t="n">
        <v>0</v>
      </c>
      <c r="L240" t="n">
        <v>0</v>
      </c>
      <c r="M240" t="n">
        <v>0</v>
      </c>
      <c r="N240" t="n">
        <v>0</v>
      </c>
      <c r="O240" t="n">
        <v>0</v>
      </c>
      <c r="P240" t="n">
        <v>0</v>
      </c>
      <c r="Q240" t="n">
        <v>0</v>
      </c>
      <c r="R240" s="2" t="inlineStr"/>
    </row>
    <row r="241" ht="15" customHeight="1">
      <c r="A241" t="inlineStr">
        <is>
          <t>A 43103-2019</t>
        </is>
      </c>
      <c r="B241" s="1" t="n">
        <v>43705</v>
      </c>
      <c r="C241" s="1" t="n">
        <v>45587</v>
      </c>
      <c r="D241" t="inlineStr">
        <is>
          <t>JÄMTLANDS LÄN</t>
        </is>
      </c>
      <c r="E241" t="inlineStr">
        <is>
          <t>HÄRJEDALEN</t>
        </is>
      </c>
      <c r="G241" t="n">
        <v>38.6</v>
      </c>
      <c r="H241" t="n">
        <v>0</v>
      </c>
      <c r="I241" t="n">
        <v>0</v>
      </c>
      <c r="J241" t="n">
        <v>0</v>
      </c>
      <c r="K241" t="n">
        <v>0</v>
      </c>
      <c r="L241" t="n">
        <v>0</v>
      </c>
      <c r="M241" t="n">
        <v>0</v>
      </c>
      <c r="N241" t="n">
        <v>0</v>
      </c>
      <c r="O241" t="n">
        <v>0</v>
      </c>
      <c r="P241" t="n">
        <v>0</v>
      </c>
      <c r="Q241" t="n">
        <v>0</v>
      </c>
      <c r="R241" s="2" t="inlineStr"/>
    </row>
    <row r="242" ht="15" customHeight="1">
      <c r="A242" t="inlineStr">
        <is>
          <t>A 43142-2019</t>
        </is>
      </c>
      <c r="B242" s="1" t="n">
        <v>43705</v>
      </c>
      <c r="C242" s="1" t="n">
        <v>45587</v>
      </c>
      <c r="D242" t="inlineStr">
        <is>
          <t>JÄMTLANDS LÄN</t>
        </is>
      </c>
      <c r="E242" t="inlineStr">
        <is>
          <t>HÄRJEDALEN</t>
        </is>
      </c>
      <c r="G242" t="n">
        <v>3.2</v>
      </c>
      <c r="H242" t="n">
        <v>0</v>
      </c>
      <c r="I242" t="n">
        <v>0</v>
      </c>
      <c r="J242" t="n">
        <v>0</v>
      </c>
      <c r="K242" t="n">
        <v>0</v>
      </c>
      <c r="L242" t="n">
        <v>0</v>
      </c>
      <c r="M242" t="n">
        <v>0</v>
      </c>
      <c r="N242" t="n">
        <v>0</v>
      </c>
      <c r="O242" t="n">
        <v>0</v>
      </c>
      <c r="P242" t="n">
        <v>0</v>
      </c>
      <c r="Q242" t="n">
        <v>0</v>
      </c>
      <c r="R242" s="2" t="inlineStr"/>
    </row>
    <row r="243" ht="15" customHeight="1">
      <c r="A243" t="inlineStr">
        <is>
          <t>A 43649-2019</t>
        </is>
      </c>
      <c r="B243" s="1" t="n">
        <v>43707</v>
      </c>
      <c r="C243" s="1" t="n">
        <v>45587</v>
      </c>
      <c r="D243" t="inlineStr">
        <is>
          <t>JÄMTLANDS LÄN</t>
        </is>
      </c>
      <c r="E243" t="inlineStr">
        <is>
          <t>HÄRJEDALEN</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43896-2019</t>
        </is>
      </c>
      <c r="B244" s="1" t="n">
        <v>43707</v>
      </c>
      <c r="C244" s="1" t="n">
        <v>45587</v>
      </c>
      <c r="D244" t="inlineStr">
        <is>
          <t>JÄMTLANDS LÄN</t>
        </is>
      </c>
      <c r="E244" t="inlineStr">
        <is>
          <t>HÄRJEDALEN</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45167-2019</t>
        </is>
      </c>
      <c r="B245" s="1" t="n">
        <v>43713</v>
      </c>
      <c r="C245" s="1" t="n">
        <v>45587</v>
      </c>
      <c r="D245" t="inlineStr">
        <is>
          <t>JÄMTLANDS LÄN</t>
        </is>
      </c>
      <c r="E245" t="inlineStr">
        <is>
          <t>HÄRJEDALEN</t>
        </is>
      </c>
      <c r="F245" t="inlineStr">
        <is>
          <t>Holmen skog AB</t>
        </is>
      </c>
      <c r="G245" t="n">
        <v>15.9</v>
      </c>
      <c r="H245" t="n">
        <v>0</v>
      </c>
      <c r="I245" t="n">
        <v>0</v>
      </c>
      <c r="J245" t="n">
        <v>0</v>
      </c>
      <c r="K245" t="n">
        <v>0</v>
      </c>
      <c r="L245" t="n">
        <v>0</v>
      </c>
      <c r="M245" t="n">
        <v>0</v>
      </c>
      <c r="N245" t="n">
        <v>0</v>
      </c>
      <c r="O245" t="n">
        <v>0</v>
      </c>
      <c r="P245" t="n">
        <v>0</v>
      </c>
      <c r="Q245" t="n">
        <v>0</v>
      </c>
      <c r="R245" s="2" t="inlineStr"/>
    </row>
    <row r="246" ht="15" customHeight="1">
      <c r="A246" t="inlineStr">
        <is>
          <t>A 44939-2019</t>
        </is>
      </c>
      <c r="B246" s="1" t="n">
        <v>43713</v>
      </c>
      <c r="C246" s="1" t="n">
        <v>45587</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45858-2019</t>
        </is>
      </c>
      <c r="B247" s="1" t="n">
        <v>43717</v>
      </c>
      <c r="C247" s="1" t="n">
        <v>45587</v>
      </c>
      <c r="D247" t="inlineStr">
        <is>
          <t>JÄMTLANDS LÄN</t>
        </is>
      </c>
      <c r="E247" t="inlineStr">
        <is>
          <t>HÄRJEDALEN</t>
        </is>
      </c>
      <c r="F247" t="inlineStr">
        <is>
          <t>Holmen skog AB</t>
        </is>
      </c>
      <c r="G247" t="n">
        <v>3.9</v>
      </c>
      <c r="H247" t="n">
        <v>0</v>
      </c>
      <c r="I247" t="n">
        <v>0</v>
      </c>
      <c r="J247" t="n">
        <v>0</v>
      </c>
      <c r="K247" t="n">
        <v>0</v>
      </c>
      <c r="L247" t="n">
        <v>0</v>
      </c>
      <c r="M247" t="n">
        <v>0</v>
      </c>
      <c r="N247" t="n">
        <v>0</v>
      </c>
      <c r="O247" t="n">
        <v>0</v>
      </c>
      <c r="P247" t="n">
        <v>0</v>
      </c>
      <c r="Q247" t="n">
        <v>0</v>
      </c>
      <c r="R247" s="2" t="inlineStr"/>
    </row>
    <row r="248" ht="15" customHeight="1">
      <c r="A248" t="inlineStr">
        <is>
          <t>A 45781-2019</t>
        </is>
      </c>
      <c r="B248" s="1" t="n">
        <v>43717</v>
      </c>
      <c r="C248" s="1" t="n">
        <v>45587</v>
      </c>
      <c r="D248" t="inlineStr">
        <is>
          <t>JÄMTLANDS LÄN</t>
        </is>
      </c>
      <c r="E248" t="inlineStr">
        <is>
          <t>HÄRJEDALEN</t>
        </is>
      </c>
      <c r="F248" t="inlineStr">
        <is>
          <t>Holmen skog AB</t>
        </is>
      </c>
      <c r="G248" t="n">
        <v>13.8</v>
      </c>
      <c r="H248" t="n">
        <v>0</v>
      </c>
      <c r="I248" t="n">
        <v>0</v>
      </c>
      <c r="J248" t="n">
        <v>0</v>
      </c>
      <c r="K248" t="n">
        <v>0</v>
      </c>
      <c r="L248" t="n">
        <v>0</v>
      </c>
      <c r="M248" t="n">
        <v>0</v>
      </c>
      <c r="N248" t="n">
        <v>0</v>
      </c>
      <c r="O248" t="n">
        <v>0</v>
      </c>
      <c r="P248" t="n">
        <v>0</v>
      </c>
      <c r="Q248" t="n">
        <v>0</v>
      </c>
      <c r="R248" s="2" t="inlineStr"/>
    </row>
    <row r="249" ht="15" customHeight="1">
      <c r="A249" t="inlineStr">
        <is>
          <t>A 46156-2019</t>
        </is>
      </c>
      <c r="B249" s="1" t="n">
        <v>43718</v>
      </c>
      <c r="C249" s="1" t="n">
        <v>45587</v>
      </c>
      <c r="D249" t="inlineStr">
        <is>
          <t>JÄMTLANDS LÄN</t>
        </is>
      </c>
      <c r="E249" t="inlineStr">
        <is>
          <t>HÄRJEDALEN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46133-2019</t>
        </is>
      </c>
      <c r="B250" s="1" t="n">
        <v>43718</v>
      </c>
      <c r="C250" s="1" t="n">
        <v>45587</v>
      </c>
      <c r="D250" t="inlineStr">
        <is>
          <t>JÄMTLANDS LÄN</t>
        </is>
      </c>
      <c r="E250" t="inlineStr">
        <is>
          <t>HÄRJEDALEN</t>
        </is>
      </c>
      <c r="G250" t="n">
        <v>17.6</v>
      </c>
      <c r="H250" t="n">
        <v>0</v>
      </c>
      <c r="I250" t="n">
        <v>0</v>
      </c>
      <c r="J250" t="n">
        <v>0</v>
      </c>
      <c r="K250" t="n">
        <v>0</v>
      </c>
      <c r="L250" t="n">
        <v>0</v>
      </c>
      <c r="M250" t="n">
        <v>0</v>
      </c>
      <c r="N250" t="n">
        <v>0</v>
      </c>
      <c r="O250" t="n">
        <v>0</v>
      </c>
      <c r="P250" t="n">
        <v>0</v>
      </c>
      <c r="Q250" t="n">
        <v>0</v>
      </c>
      <c r="R250" s="2" t="inlineStr"/>
    </row>
    <row r="251" ht="15" customHeight="1">
      <c r="A251" t="inlineStr">
        <is>
          <t>A 46163-2019</t>
        </is>
      </c>
      <c r="B251" s="1" t="n">
        <v>43718</v>
      </c>
      <c r="C251" s="1" t="n">
        <v>45587</v>
      </c>
      <c r="D251" t="inlineStr">
        <is>
          <t>JÄMTLANDS LÄN</t>
        </is>
      </c>
      <c r="E251" t="inlineStr">
        <is>
          <t>HÄRJEDALEN</t>
        </is>
      </c>
      <c r="G251" t="n">
        <v>28.9</v>
      </c>
      <c r="H251" t="n">
        <v>0</v>
      </c>
      <c r="I251" t="n">
        <v>0</v>
      </c>
      <c r="J251" t="n">
        <v>0</v>
      </c>
      <c r="K251" t="n">
        <v>0</v>
      </c>
      <c r="L251" t="n">
        <v>0</v>
      </c>
      <c r="M251" t="n">
        <v>0</v>
      </c>
      <c r="N251" t="n">
        <v>0</v>
      </c>
      <c r="O251" t="n">
        <v>0</v>
      </c>
      <c r="P251" t="n">
        <v>0</v>
      </c>
      <c r="Q251" t="n">
        <v>0</v>
      </c>
      <c r="R251" s="2" t="inlineStr"/>
    </row>
    <row r="252" ht="15" customHeight="1">
      <c r="A252" t="inlineStr">
        <is>
          <t>A 47004-2019</t>
        </is>
      </c>
      <c r="B252" s="1" t="n">
        <v>43720</v>
      </c>
      <c r="C252" s="1" t="n">
        <v>45587</v>
      </c>
      <c r="D252" t="inlineStr">
        <is>
          <t>JÄMTLANDS LÄN</t>
        </is>
      </c>
      <c r="E252" t="inlineStr">
        <is>
          <t>HÄRJEDALEN</t>
        </is>
      </c>
      <c r="F252" t="inlineStr">
        <is>
          <t>Bergvik skog väst AB</t>
        </is>
      </c>
      <c r="G252" t="n">
        <v>13.7</v>
      </c>
      <c r="H252" t="n">
        <v>0</v>
      </c>
      <c r="I252" t="n">
        <v>0</v>
      </c>
      <c r="J252" t="n">
        <v>0</v>
      </c>
      <c r="K252" t="n">
        <v>0</v>
      </c>
      <c r="L252" t="n">
        <v>0</v>
      </c>
      <c r="M252" t="n">
        <v>0</v>
      </c>
      <c r="N252" t="n">
        <v>0</v>
      </c>
      <c r="O252" t="n">
        <v>0</v>
      </c>
      <c r="P252" t="n">
        <v>0</v>
      </c>
      <c r="Q252" t="n">
        <v>0</v>
      </c>
      <c r="R252" s="2" t="inlineStr"/>
    </row>
    <row r="253" ht="15" customHeight="1">
      <c r="A253" t="inlineStr">
        <is>
          <t>A 49328-2019</t>
        </is>
      </c>
      <c r="B253" s="1" t="n">
        <v>43731</v>
      </c>
      <c r="C253" s="1" t="n">
        <v>45587</v>
      </c>
      <c r="D253" t="inlineStr">
        <is>
          <t>JÄMTLANDS LÄN</t>
        </is>
      </c>
      <c r="E253" t="inlineStr">
        <is>
          <t>HÄRJEDALEN</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49336-2019</t>
        </is>
      </c>
      <c r="B254" s="1" t="n">
        <v>43731</v>
      </c>
      <c r="C254" s="1" t="n">
        <v>45587</v>
      </c>
      <c r="D254" t="inlineStr">
        <is>
          <t>JÄMTLANDS LÄN</t>
        </is>
      </c>
      <c r="E254" t="inlineStr">
        <is>
          <t>HÄRJEDALEN</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50310-2019</t>
        </is>
      </c>
      <c r="B255" s="1" t="n">
        <v>43735</v>
      </c>
      <c r="C255" s="1" t="n">
        <v>45587</v>
      </c>
      <c r="D255" t="inlineStr">
        <is>
          <t>JÄMTLANDS LÄN</t>
        </is>
      </c>
      <c r="E255" t="inlineStr">
        <is>
          <t>HÄRJEDALEN</t>
        </is>
      </c>
      <c r="G255" t="n">
        <v>9.1</v>
      </c>
      <c r="H255" t="n">
        <v>0</v>
      </c>
      <c r="I255" t="n">
        <v>0</v>
      </c>
      <c r="J255" t="n">
        <v>0</v>
      </c>
      <c r="K255" t="n">
        <v>0</v>
      </c>
      <c r="L255" t="n">
        <v>0</v>
      </c>
      <c r="M255" t="n">
        <v>0</v>
      </c>
      <c r="N255" t="n">
        <v>0</v>
      </c>
      <c r="O255" t="n">
        <v>0</v>
      </c>
      <c r="P255" t="n">
        <v>0</v>
      </c>
      <c r="Q255" t="n">
        <v>0</v>
      </c>
      <c r="R255" s="2" t="inlineStr"/>
    </row>
    <row r="256" ht="15" customHeight="1">
      <c r="A256" t="inlineStr">
        <is>
          <t>A 50411-2019</t>
        </is>
      </c>
      <c r="B256" s="1" t="n">
        <v>43735</v>
      </c>
      <c r="C256" s="1" t="n">
        <v>45587</v>
      </c>
      <c r="D256" t="inlineStr">
        <is>
          <t>JÄMTLANDS LÄN</t>
        </is>
      </c>
      <c r="E256" t="inlineStr">
        <is>
          <t>HÄRJEDALEN</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50519-2019</t>
        </is>
      </c>
      <c r="B257" s="1" t="n">
        <v>43735</v>
      </c>
      <c r="C257" s="1" t="n">
        <v>45587</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50624-2019</t>
        </is>
      </c>
      <c r="B258" s="1" t="n">
        <v>43736</v>
      </c>
      <c r="C258" s="1" t="n">
        <v>45587</v>
      </c>
      <c r="D258" t="inlineStr">
        <is>
          <t>JÄMTLANDS LÄN</t>
        </is>
      </c>
      <c r="E258" t="inlineStr">
        <is>
          <t>HÄRJEDALEN</t>
        </is>
      </c>
      <c r="G258" t="n">
        <v>2.4</v>
      </c>
      <c r="H258" t="n">
        <v>0</v>
      </c>
      <c r="I258" t="n">
        <v>0</v>
      </c>
      <c r="J258" t="n">
        <v>0</v>
      </c>
      <c r="K258" t="n">
        <v>0</v>
      </c>
      <c r="L258" t="n">
        <v>0</v>
      </c>
      <c r="M258" t="n">
        <v>0</v>
      </c>
      <c r="N258" t="n">
        <v>0</v>
      </c>
      <c r="O258" t="n">
        <v>0</v>
      </c>
      <c r="P258" t="n">
        <v>0</v>
      </c>
      <c r="Q258" t="n">
        <v>0</v>
      </c>
      <c r="R258" s="2" t="inlineStr"/>
    </row>
    <row r="259" ht="15" customHeight="1">
      <c r="A259" t="inlineStr">
        <is>
          <t>A 51108-2019</t>
        </is>
      </c>
      <c r="B259" s="1" t="n">
        <v>43739</v>
      </c>
      <c r="C259" s="1" t="n">
        <v>45587</v>
      </c>
      <c r="D259" t="inlineStr">
        <is>
          <t>JÄMTLANDS LÄN</t>
        </is>
      </c>
      <c r="E259" t="inlineStr">
        <is>
          <t>HÄRJEDALEN</t>
        </is>
      </c>
      <c r="G259" t="n">
        <v>4.2</v>
      </c>
      <c r="H259" t="n">
        <v>0</v>
      </c>
      <c r="I259" t="n">
        <v>0</v>
      </c>
      <c r="J259" t="n">
        <v>0</v>
      </c>
      <c r="K259" t="n">
        <v>0</v>
      </c>
      <c r="L259" t="n">
        <v>0</v>
      </c>
      <c r="M259" t="n">
        <v>0</v>
      </c>
      <c r="N259" t="n">
        <v>0</v>
      </c>
      <c r="O259" t="n">
        <v>0</v>
      </c>
      <c r="P259" t="n">
        <v>0</v>
      </c>
      <c r="Q259" t="n">
        <v>0</v>
      </c>
      <c r="R259" s="2" t="inlineStr"/>
    </row>
    <row r="260" ht="15" customHeight="1">
      <c r="A260" t="inlineStr">
        <is>
          <t>A 51118-2019</t>
        </is>
      </c>
      <c r="B260" s="1" t="n">
        <v>43739</v>
      </c>
      <c r="C260" s="1" t="n">
        <v>45587</v>
      </c>
      <c r="D260" t="inlineStr">
        <is>
          <t>JÄMTLANDS LÄN</t>
        </is>
      </c>
      <c r="E260" t="inlineStr">
        <is>
          <t>HÄRJEDALEN</t>
        </is>
      </c>
      <c r="G260" t="n">
        <v>12.5</v>
      </c>
      <c r="H260" t="n">
        <v>0</v>
      </c>
      <c r="I260" t="n">
        <v>0</v>
      </c>
      <c r="J260" t="n">
        <v>0</v>
      </c>
      <c r="K260" t="n">
        <v>0</v>
      </c>
      <c r="L260" t="n">
        <v>0</v>
      </c>
      <c r="M260" t="n">
        <v>0</v>
      </c>
      <c r="N260" t="n">
        <v>0</v>
      </c>
      <c r="O260" t="n">
        <v>0</v>
      </c>
      <c r="P260" t="n">
        <v>0</v>
      </c>
      <c r="Q260" t="n">
        <v>0</v>
      </c>
      <c r="R260" s="2" t="inlineStr"/>
    </row>
    <row r="261" ht="15" customHeight="1">
      <c r="A261" t="inlineStr">
        <is>
          <t>A 51123-2019</t>
        </is>
      </c>
      <c r="B261" s="1" t="n">
        <v>43739</v>
      </c>
      <c r="C261" s="1" t="n">
        <v>45587</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51105-2019</t>
        </is>
      </c>
      <c r="B262" s="1" t="n">
        <v>43739</v>
      </c>
      <c r="C262" s="1" t="n">
        <v>45587</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51111-2019</t>
        </is>
      </c>
      <c r="B263" s="1" t="n">
        <v>43739</v>
      </c>
      <c r="C263" s="1" t="n">
        <v>45587</v>
      </c>
      <c r="D263" t="inlineStr">
        <is>
          <t>JÄMTLANDS LÄN</t>
        </is>
      </c>
      <c r="E263" t="inlineStr">
        <is>
          <t>HÄRJEDALEN</t>
        </is>
      </c>
      <c r="G263" t="n">
        <v>3.7</v>
      </c>
      <c r="H263" t="n">
        <v>0</v>
      </c>
      <c r="I263" t="n">
        <v>0</v>
      </c>
      <c r="J263" t="n">
        <v>0</v>
      </c>
      <c r="K263" t="n">
        <v>0</v>
      </c>
      <c r="L263" t="n">
        <v>0</v>
      </c>
      <c r="M263" t="n">
        <v>0</v>
      </c>
      <c r="N263" t="n">
        <v>0</v>
      </c>
      <c r="O263" t="n">
        <v>0</v>
      </c>
      <c r="P263" t="n">
        <v>0</v>
      </c>
      <c r="Q263" t="n">
        <v>0</v>
      </c>
      <c r="R263" s="2" t="inlineStr"/>
    </row>
    <row r="264" ht="15" customHeight="1">
      <c r="A264" t="inlineStr">
        <is>
          <t>A 52304-2019</t>
        </is>
      </c>
      <c r="B264" s="1" t="n">
        <v>43745</v>
      </c>
      <c r="C264" s="1" t="n">
        <v>45587</v>
      </c>
      <c r="D264" t="inlineStr">
        <is>
          <t>JÄMTLANDS LÄN</t>
        </is>
      </c>
      <c r="E264" t="inlineStr">
        <is>
          <t>HÄRJEDALEN</t>
        </is>
      </c>
      <c r="G264" t="n">
        <v>4.8</v>
      </c>
      <c r="H264" t="n">
        <v>0</v>
      </c>
      <c r="I264" t="n">
        <v>0</v>
      </c>
      <c r="J264" t="n">
        <v>0</v>
      </c>
      <c r="K264" t="n">
        <v>0</v>
      </c>
      <c r="L264" t="n">
        <v>0</v>
      </c>
      <c r="M264" t="n">
        <v>0</v>
      </c>
      <c r="N264" t="n">
        <v>0</v>
      </c>
      <c r="O264" t="n">
        <v>0</v>
      </c>
      <c r="P264" t="n">
        <v>0</v>
      </c>
      <c r="Q264" t="n">
        <v>0</v>
      </c>
      <c r="R264" s="2" t="inlineStr"/>
    </row>
    <row r="265" ht="15" customHeight="1">
      <c r="A265" t="inlineStr">
        <is>
          <t>A 52709-2019</t>
        </is>
      </c>
      <c r="B265" s="1" t="n">
        <v>43746</v>
      </c>
      <c r="C265" s="1" t="n">
        <v>45587</v>
      </c>
      <c r="D265" t="inlineStr">
        <is>
          <t>JÄMTLANDS LÄN</t>
        </is>
      </c>
      <c r="E265" t="inlineStr">
        <is>
          <t>HÄRJEDALEN</t>
        </is>
      </c>
      <c r="G265" t="n">
        <v>10.6</v>
      </c>
      <c r="H265" t="n">
        <v>0</v>
      </c>
      <c r="I265" t="n">
        <v>0</v>
      </c>
      <c r="J265" t="n">
        <v>0</v>
      </c>
      <c r="K265" t="n">
        <v>0</v>
      </c>
      <c r="L265" t="n">
        <v>0</v>
      </c>
      <c r="M265" t="n">
        <v>0</v>
      </c>
      <c r="N265" t="n">
        <v>0</v>
      </c>
      <c r="O265" t="n">
        <v>0</v>
      </c>
      <c r="P265" t="n">
        <v>0</v>
      </c>
      <c r="Q265" t="n">
        <v>0</v>
      </c>
      <c r="R265" s="2" t="inlineStr"/>
    </row>
    <row r="266" ht="15" customHeight="1">
      <c r="A266" t="inlineStr">
        <is>
          <t>A 52992-2019</t>
        </is>
      </c>
      <c r="B266" s="1" t="n">
        <v>43747</v>
      </c>
      <c r="C266" s="1" t="n">
        <v>45587</v>
      </c>
      <c r="D266" t="inlineStr">
        <is>
          <t>JÄMTLANDS LÄN</t>
        </is>
      </c>
      <c r="E266" t="inlineStr">
        <is>
          <t>HÄRJEDALEN</t>
        </is>
      </c>
      <c r="F266" t="inlineStr">
        <is>
          <t>Sveaskog</t>
        </is>
      </c>
      <c r="G266" t="n">
        <v>3.5</v>
      </c>
      <c r="H266" t="n">
        <v>0</v>
      </c>
      <c r="I266" t="n">
        <v>0</v>
      </c>
      <c r="J266" t="n">
        <v>0</v>
      </c>
      <c r="K266" t="n">
        <v>0</v>
      </c>
      <c r="L266" t="n">
        <v>0</v>
      </c>
      <c r="M266" t="n">
        <v>0</v>
      </c>
      <c r="N266" t="n">
        <v>0</v>
      </c>
      <c r="O266" t="n">
        <v>0</v>
      </c>
      <c r="P266" t="n">
        <v>0</v>
      </c>
      <c r="Q266" t="n">
        <v>0</v>
      </c>
      <c r="R266" s="2" t="inlineStr"/>
    </row>
    <row r="267" ht="15" customHeight="1">
      <c r="A267" t="inlineStr">
        <is>
          <t>A 52991-2019</t>
        </is>
      </c>
      <c r="B267" s="1" t="n">
        <v>43747</v>
      </c>
      <c r="C267" s="1" t="n">
        <v>45587</v>
      </c>
      <c r="D267" t="inlineStr">
        <is>
          <t>JÄMTLANDS LÄN</t>
        </is>
      </c>
      <c r="E267" t="inlineStr">
        <is>
          <t>HÄRJEDALEN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53418-2019</t>
        </is>
      </c>
      <c r="B268" s="1" t="n">
        <v>43748</v>
      </c>
      <c r="C268" s="1" t="n">
        <v>45587</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53952-2019</t>
        </is>
      </c>
      <c r="B269" s="1" t="n">
        <v>43752</v>
      </c>
      <c r="C269" s="1" t="n">
        <v>45587</v>
      </c>
      <c r="D269" t="inlineStr">
        <is>
          <t>JÄMTLANDS LÄN</t>
        </is>
      </c>
      <c r="E269" t="inlineStr">
        <is>
          <t>HÄRJEDALEN</t>
        </is>
      </c>
      <c r="G269" t="n">
        <v>8.6</v>
      </c>
      <c r="H269" t="n">
        <v>0</v>
      </c>
      <c r="I269" t="n">
        <v>0</v>
      </c>
      <c r="J269" t="n">
        <v>0</v>
      </c>
      <c r="K269" t="n">
        <v>0</v>
      </c>
      <c r="L269" t="n">
        <v>0</v>
      </c>
      <c r="M269" t="n">
        <v>0</v>
      </c>
      <c r="N269" t="n">
        <v>0</v>
      </c>
      <c r="O269" t="n">
        <v>0</v>
      </c>
      <c r="P269" t="n">
        <v>0</v>
      </c>
      <c r="Q269" t="n">
        <v>0</v>
      </c>
      <c r="R269" s="2" t="inlineStr"/>
    </row>
    <row r="270" ht="15" customHeight="1">
      <c r="A270" t="inlineStr">
        <is>
          <t>A 53962-2019</t>
        </is>
      </c>
      <c r="B270" s="1" t="n">
        <v>43752</v>
      </c>
      <c r="C270" s="1" t="n">
        <v>45587</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54905-2019</t>
        </is>
      </c>
      <c r="B271" s="1" t="n">
        <v>43755</v>
      </c>
      <c r="C271" s="1" t="n">
        <v>45587</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55197-2019</t>
        </is>
      </c>
      <c r="B272" s="1" t="n">
        <v>43756</v>
      </c>
      <c r="C272" s="1" t="n">
        <v>45587</v>
      </c>
      <c r="D272" t="inlineStr">
        <is>
          <t>JÄMTLANDS LÄN</t>
        </is>
      </c>
      <c r="E272" t="inlineStr">
        <is>
          <t>HÄRJEDALEN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55241-2019</t>
        </is>
      </c>
      <c r="B273" s="1" t="n">
        <v>43756</v>
      </c>
      <c r="C273" s="1" t="n">
        <v>45587</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55193-2019</t>
        </is>
      </c>
      <c r="B274" s="1" t="n">
        <v>43756</v>
      </c>
      <c r="C274" s="1" t="n">
        <v>45587</v>
      </c>
      <c r="D274" t="inlineStr">
        <is>
          <t>JÄMTLANDS LÄN</t>
        </is>
      </c>
      <c r="E274" t="inlineStr">
        <is>
          <t>HÄRJEDALEN</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55238-2019</t>
        </is>
      </c>
      <c r="B275" s="1" t="n">
        <v>43756</v>
      </c>
      <c r="C275" s="1" t="n">
        <v>45587</v>
      </c>
      <c r="D275" t="inlineStr">
        <is>
          <t>JÄMTLANDS LÄN</t>
        </is>
      </c>
      <c r="E275" t="inlineStr">
        <is>
          <t>HÄRJEDALEN</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55801-2019</t>
        </is>
      </c>
      <c r="B276" s="1" t="n">
        <v>43759</v>
      </c>
      <c r="C276" s="1" t="n">
        <v>45587</v>
      </c>
      <c r="D276" t="inlineStr">
        <is>
          <t>JÄMTLANDS LÄN</t>
        </is>
      </c>
      <c r="E276" t="inlineStr">
        <is>
          <t>HÄRJEDALEN</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55554-2019</t>
        </is>
      </c>
      <c r="B277" s="1" t="n">
        <v>43759</v>
      </c>
      <c r="C277" s="1" t="n">
        <v>45587</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57281-2019</t>
        </is>
      </c>
      <c r="B278" s="1" t="n">
        <v>43759</v>
      </c>
      <c r="C278" s="1" t="n">
        <v>45587</v>
      </c>
      <c r="D278" t="inlineStr">
        <is>
          <t>JÄMTLANDS LÄN</t>
        </is>
      </c>
      <c r="E278" t="inlineStr">
        <is>
          <t>HÄRJEDALEN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55578-2019</t>
        </is>
      </c>
      <c r="B279" s="1" t="n">
        <v>43760</v>
      </c>
      <c r="C279" s="1" t="n">
        <v>45587</v>
      </c>
      <c r="D279" t="inlineStr">
        <is>
          <t>JÄMTLANDS LÄN</t>
        </is>
      </c>
      <c r="E279" t="inlineStr">
        <is>
          <t>HÄRJEDALEN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55607-2019</t>
        </is>
      </c>
      <c r="B280" s="1" t="n">
        <v>43760</v>
      </c>
      <c r="C280" s="1" t="n">
        <v>45587</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56217-2019</t>
        </is>
      </c>
      <c r="B281" s="1" t="n">
        <v>43762</v>
      </c>
      <c r="C281" s="1" t="n">
        <v>45587</v>
      </c>
      <c r="D281" t="inlineStr">
        <is>
          <t>JÄMTLANDS LÄN</t>
        </is>
      </c>
      <c r="E281" t="inlineStr">
        <is>
          <t>HÄRJEDALEN</t>
        </is>
      </c>
      <c r="G281" t="n">
        <v>43.2</v>
      </c>
      <c r="H281" t="n">
        <v>0</v>
      </c>
      <c r="I281" t="n">
        <v>0</v>
      </c>
      <c r="J281" t="n">
        <v>0</v>
      </c>
      <c r="K281" t="n">
        <v>0</v>
      </c>
      <c r="L281" t="n">
        <v>0</v>
      </c>
      <c r="M281" t="n">
        <v>0</v>
      </c>
      <c r="N281" t="n">
        <v>0</v>
      </c>
      <c r="O281" t="n">
        <v>0</v>
      </c>
      <c r="P281" t="n">
        <v>0</v>
      </c>
      <c r="Q281" t="n">
        <v>0</v>
      </c>
      <c r="R281" s="2" t="inlineStr"/>
    </row>
    <row r="282" ht="15" customHeight="1">
      <c r="A282" t="inlineStr">
        <is>
          <t>A 58175-2019</t>
        </is>
      </c>
      <c r="B282" s="1" t="n">
        <v>43769</v>
      </c>
      <c r="C282" s="1" t="n">
        <v>45587</v>
      </c>
      <c r="D282" t="inlineStr">
        <is>
          <t>JÄMTLANDS LÄN</t>
        </is>
      </c>
      <c r="E282" t="inlineStr">
        <is>
          <t>HÄRJEDALEN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59347-2019</t>
        </is>
      </c>
      <c r="B283" s="1" t="n">
        <v>43770</v>
      </c>
      <c r="C283" s="1" t="n">
        <v>45587</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58742-2019</t>
        </is>
      </c>
      <c r="B284" s="1" t="n">
        <v>43773</v>
      </c>
      <c r="C284" s="1" t="n">
        <v>45587</v>
      </c>
      <c r="D284" t="inlineStr">
        <is>
          <t>JÄMTLANDS LÄN</t>
        </is>
      </c>
      <c r="E284" t="inlineStr">
        <is>
          <t>HÄRJEDALEN</t>
        </is>
      </c>
      <c r="G284" t="n">
        <v>4</v>
      </c>
      <c r="H284" t="n">
        <v>0</v>
      </c>
      <c r="I284" t="n">
        <v>0</v>
      </c>
      <c r="J284" t="n">
        <v>0</v>
      </c>
      <c r="K284" t="n">
        <v>0</v>
      </c>
      <c r="L284" t="n">
        <v>0</v>
      </c>
      <c r="M284" t="n">
        <v>0</v>
      </c>
      <c r="N284" t="n">
        <v>0</v>
      </c>
      <c r="O284" t="n">
        <v>0</v>
      </c>
      <c r="P284" t="n">
        <v>0</v>
      </c>
      <c r="Q284" t="n">
        <v>0</v>
      </c>
      <c r="R284" s="2" t="inlineStr"/>
    </row>
    <row r="285" ht="15" customHeight="1">
      <c r="A285" t="inlineStr">
        <is>
          <t>A 59984-2019</t>
        </is>
      </c>
      <c r="B285" s="1" t="n">
        <v>43775</v>
      </c>
      <c r="C285" s="1" t="n">
        <v>45587</v>
      </c>
      <c r="D285" t="inlineStr">
        <is>
          <t>JÄMTLANDS LÄN</t>
        </is>
      </c>
      <c r="E285" t="inlineStr">
        <is>
          <t>HÄRJEDALEN</t>
        </is>
      </c>
      <c r="G285" t="n">
        <v>20.4</v>
      </c>
      <c r="H285" t="n">
        <v>0</v>
      </c>
      <c r="I285" t="n">
        <v>0</v>
      </c>
      <c r="J285" t="n">
        <v>0</v>
      </c>
      <c r="K285" t="n">
        <v>0</v>
      </c>
      <c r="L285" t="n">
        <v>0</v>
      </c>
      <c r="M285" t="n">
        <v>0</v>
      </c>
      <c r="N285" t="n">
        <v>0</v>
      </c>
      <c r="O285" t="n">
        <v>0</v>
      </c>
      <c r="P285" t="n">
        <v>0</v>
      </c>
      <c r="Q285" t="n">
        <v>0</v>
      </c>
      <c r="R285" s="2" t="inlineStr"/>
    </row>
    <row r="286" ht="15" customHeight="1">
      <c r="A286" t="inlineStr">
        <is>
          <t>A 59733-2019</t>
        </is>
      </c>
      <c r="B286" s="1" t="n">
        <v>43776</v>
      </c>
      <c r="C286" s="1" t="n">
        <v>45587</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60213-2019</t>
        </is>
      </c>
      <c r="B287" s="1" t="n">
        <v>43780</v>
      </c>
      <c r="C287" s="1" t="n">
        <v>45587</v>
      </c>
      <c r="D287" t="inlineStr">
        <is>
          <t>JÄMTLANDS LÄN</t>
        </is>
      </c>
      <c r="E287" t="inlineStr">
        <is>
          <t>HÄRJEDALEN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62342-2019</t>
        </is>
      </c>
      <c r="B288" s="1" t="n">
        <v>43782</v>
      </c>
      <c r="C288" s="1" t="n">
        <v>45587</v>
      </c>
      <c r="D288" t="inlineStr">
        <is>
          <t>JÄMTLANDS LÄN</t>
        </is>
      </c>
      <c r="E288" t="inlineStr">
        <is>
          <t>HÄRJEDALEN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60919-2019</t>
        </is>
      </c>
      <c r="B289" s="1" t="n">
        <v>43782</v>
      </c>
      <c r="C289" s="1" t="n">
        <v>45587</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62115-2019</t>
        </is>
      </c>
      <c r="B290" s="1" t="n">
        <v>43787</v>
      </c>
      <c r="C290" s="1" t="n">
        <v>45587</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62451-2019</t>
        </is>
      </c>
      <c r="B291" s="1" t="n">
        <v>43788</v>
      </c>
      <c r="C291" s="1" t="n">
        <v>45587</v>
      </c>
      <c r="D291" t="inlineStr">
        <is>
          <t>JÄMTLANDS LÄN</t>
        </is>
      </c>
      <c r="E291" t="inlineStr">
        <is>
          <t>HÄRJEDALEN</t>
        </is>
      </c>
      <c r="F291" t="inlineStr">
        <is>
          <t>Bergvik skog väst AB</t>
        </is>
      </c>
      <c r="G291" t="n">
        <v>22.2</v>
      </c>
      <c r="H291" t="n">
        <v>0</v>
      </c>
      <c r="I291" t="n">
        <v>0</v>
      </c>
      <c r="J291" t="n">
        <v>0</v>
      </c>
      <c r="K291" t="n">
        <v>0</v>
      </c>
      <c r="L291" t="n">
        <v>0</v>
      </c>
      <c r="M291" t="n">
        <v>0</v>
      </c>
      <c r="N291" t="n">
        <v>0</v>
      </c>
      <c r="O291" t="n">
        <v>0</v>
      </c>
      <c r="P291" t="n">
        <v>0</v>
      </c>
      <c r="Q291" t="n">
        <v>0</v>
      </c>
      <c r="R291" s="2" t="inlineStr"/>
    </row>
    <row r="292" ht="15" customHeight="1">
      <c r="A292" t="inlineStr">
        <is>
          <t>A 62971-2019</t>
        </is>
      </c>
      <c r="B292" s="1" t="n">
        <v>43790</v>
      </c>
      <c r="C292" s="1" t="n">
        <v>45587</v>
      </c>
      <c r="D292" t="inlineStr">
        <is>
          <t>JÄMTLANDS LÄN</t>
        </is>
      </c>
      <c r="E292" t="inlineStr">
        <is>
          <t>HÄRJEDALEN</t>
        </is>
      </c>
      <c r="F292" t="inlineStr">
        <is>
          <t>Bergvik skog väst AB</t>
        </is>
      </c>
      <c r="G292" t="n">
        <v>18.2</v>
      </c>
      <c r="H292" t="n">
        <v>0</v>
      </c>
      <c r="I292" t="n">
        <v>0</v>
      </c>
      <c r="J292" t="n">
        <v>0</v>
      </c>
      <c r="K292" t="n">
        <v>0</v>
      </c>
      <c r="L292" t="n">
        <v>0</v>
      </c>
      <c r="M292" t="n">
        <v>0</v>
      </c>
      <c r="N292" t="n">
        <v>0</v>
      </c>
      <c r="O292" t="n">
        <v>0</v>
      </c>
      <c r="P292" t="n">
        <v>0</v>
      </c>
      <c r="Q292" t="n">
        <v>0</v>
      </c>
      <c r="R292" s="2" t="inlineStr"/>
    </row>
    <row r="293" ht="15" customHeight="1">
      <c r="A293" t="inlineStr">
        <is>
          <t>A 64417-2019</t>
        </is>
      </c>
      <c r="B293" s="1" t="n">
        <v>43794</v>
      </c>
      <c r="C293" s="1" t="n">
        <v>45587</v>
      </c>
      <c r="D293" t="inlineStr">
        <is>
          <t>JÄMTLANDS LÄN</t>
        </is>
      </c>
      <c r="E293" t="inlineStr">
        <is>
          <t>HÄRJEDALEN</t>
        </is>
      </c>
      <c r="G293" t="n">
        <v>6.9</v>
      </c>
      <c r="H293" t="n">
        <v>0</v>
      </c>
      <c r="I293" t="n">
        <v>0</v>
      </c>
      <c r="J293" t="n">
        <v>0</v>
      </c>
      <c r="K293" t="n">
        <v>0</v>
      </c>
      <c r="L293" t="n">
        <v>0</v>
      </c>
      <c r="M293" t="n">
        <v>0</v>
      </c>
      <c r="N293" t="n">
        <v>0</v>
      </c>
      <c r="O293" t="n">
        <v>0</v>
      </c>
      <c r="P293" t="n">
        <v>0</v>
      </c>
      <c r="Q293" t="n">
        <v>0</v>
      </c>
      <c r="R293" s="2" t="inlineStr"/>
    </row>
    <row r="294" ht="15" customHeight="1">
      <c r="A294" t="inlineStr">
        <is>
          <t>A 64229-2019</t>
        </is>
      </c>
      <c r="B294" s="1" t="n">
        <v>43797</v>
      </c>
      <c r="C294" s="1" t="n">
        <v>45587</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64689-2019</t>
        </is>
      </c>
      <c r="B295" s="1" t="n">
        <v>43798</v>
      </c>
      <c r="C295" s="1" t="n">
        <v>45587</v>
      </c>
      <c r="D295" t="inlineStr">
        <is>
          <t>JÄMTLANDS LÄN</t>
        </is>
      </c>
      <c r="E295" t="inlineStr">
        <is>
          <t>HÄRJEDALEN</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65759-2019</t>
        </is>
      </c>
      <c r="B296" s="1" t="n">
        <v>43804</v>
      </c>
      <c r="C296" s="1" t="n">
        <v>45587</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66255-2019</t>
        </is>
      </c>
      <c r="B297" s="1" t="n">
        <v>43808</v>
      </c>
      <c r="C297" s="1" t="n">
        <v>45587</v>
      </c>
      <c r="D297" t="inlineStr">
        <is>
          <t>JÄMTLANDS LÄN</t>
        </is>
      </c>
      <c r="E297" t="inlineStr">
        <is>
          <t>HÄRJEDALEN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66735-2019</t>
        </is>
      </c>
      <c r="B298" s="1" t="n">
        <v>43810</v>
      </c>
      <c r="C298" s="1" t="n">
        <v>45587</v>
      </c>
      <c r="D298" t="inlineStr">
        <is>
          <t>JÄMTLANDS LÄN</t>
        </is>
      </c>
      <c r="E298" t="inlineStr">
        <is>
          <t>HÄRJEDALEN</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67619-2019</t>
        </is>
      </c>
      <c r="B299" s="1" t="n">
        <v>43815</v>
      </c>
      <c r="C299" s="1" t="n">
        <v>45587</v>
      </c>
      <c r="D299" t="inlineStr">
        <is>
          <t>JÄMTLANDS LÄN</t>
        </is>
      </c>
      <c r="E299" t="inlineStr">
        <is>
          <t>HÄRJEDALEN</t>
        </is>
      </c>
      <c r="F299" t="inlineStr">
        <is>
          <t>Holmen skog AB</t>
        </is>
      </c>
      <c r="G299" t="n">
        <v>6.4</v>
      </c>
      <c r="H299" t="n">
        <v>0</v>
      </c>
      <c r="I299" t="n">
        <v>0</v>
      </c>
      <c r="J299" t="n">
        <v>0</v>
      </c>
      <c r="K299" t="n">
        <v>0</v>
      </c>
      <c r="L299" t="n">
        <v>0</v>
      </c>
      <c r="M299" t="n">
        <v>0</v>
      </c>
      <c r="N299" t="n">
        <v>0</v>
      </c>
      <c r="O299" t="n">
        <v>0</v>
      </c>
      <c r="P299" t="n">
        <v>0</v>
      </c>
      <c r="Q299" t="n">
        <v>0</v>
      </c>
      <c r="R299" s="2" t="inlineStr"/>
    </row>
    <row r="300" ht="15" customHeight="1">
      <c r="A300" t="inlineStr">
        <is>
          <t>A 67693-2019</t>
        </is>
      </c>
      <c r="B300" s="1" t="n">
        <v>43815</v>
      </c>
      <c r="C300" s="1" t="n">
        <v>45587</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67500-2019</t>
        </is>
      </c>
      <c r="B301" s="1" t="n">
        <v>43815</v>
      </c>
      <c r="C301" s="1" t="n">
        <v>45587</v>
      </c>
      <c r="D301" t="inlineStr">
        <is>
          <t>JÄMTLANDS LÄN</t>
        </is>
      </c>
      <c r="E301" t="inlineStr">
        <is>
          <t>HÄRJEDALEN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67695-2019</t>
        </is>
      </c>
      <c r="B302" s="1" t="n">
        <v>43815</v>
      </c>
      <c r="C302" s="1" t="n">
        <v>45587</v>
      </c>
      <c r="D302" t="inlineStr">
        <is>
          <t>JÄMTLANDS LÄN</t>
        </is>
      </c>
      <c r="E302" t="inlineStr">
        <is>
          <t>HÄRJEDALEN</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67757-2019</t>
        </is>
      </c>
      <c r="B303" s="1" t="n">
        <v>43815</v>
      </c>
      <c r="C303" s="1" t="n">
        <v>45587</v>
      </c>
      <c r="D303" t="inlineStr">
        <is>
          <t>JÄMTLANDS LÄN</t>
        </is>
      </c>
      <c r="E303" t="inlineStr">
        <is>
          <t>HÄRJEDALEN</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67688-2019</t>
        </is>
      </c>
      <c r="B304" s="1" t="n">
        <v>43815</v>
      </c>
      <c r="C304" s="1" t="n">
        <v>45587</v>
      </c>
      <c r="D304" t="inlineStr">
        <is>
          <t>JÄMTLANDS LÄN</t>
        </is>
      </c>
      <c r="E304" t="inlineStr">
        <is>
          <t>HÄRJEDALEN</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67738-2019</t>
        </is>
      </c>
      <c r="B305" s="1" t="n">
        <v>43815</v>
      </c>
      <c r="C305" s="1" t="n">
        <v>45587</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67506-2019</t>
        </is>
      </c>
      <c r="B306" s="1" t="n">
        <v>43815</v>
      </c>
      <c r="C306" s="1" t="n">
        <v>45587</v>
      </c>
      <c r="D306" t="inlineStr">
        <is>
          <t>JÄMTLANDS LÄN</t>
        </is>
      </c>
      <c r="E306" t="inlineStr">
        <is>
          <t>HÄRJEDALEN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67692-2019</t>
        </is>
      </c>
      <c r="B307" s="1" t="n">
        <v>43815</v>
      </c>
      <c r="C307" s="1" t="n">
        <v>45587</v>
      </c>
      <c r="D307" t="inlineStr">
        <is>
          <t>JÄMTLANDS LÄN</t>
        </is>
      </c>
      <c r="E307" t="inlineStr">
        <is>
          <t>HÄRJEDALEN</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67733-2019</t>
        </is>
      </c>
      <c r="B308" s="1" t="n">
        <v>43815</v>
      </c>
      <c r="C308" s="1" t="n">
        <v>45587</v>
      </c>
      <c r="D308" t="inlineStr">
        <is>
          <t>JÄMTLANDS LÄN</t>
        </is>
      </c>
      <c r="E308" t="inlineStr">
        <is>
          <t>HÄRJEDALEN</t>
        </is>
      </c>
      <c r="F308" t="inlineStr">
        <is>
          <t>Holmen skog AB</t>
        </is>
      </c>
      <c r="G308" t="n">
        <v>15.5</v>
      </c>
      <c r="H308" t="n">
        <v>0</v>
      </c>
      <c r="I308" t="n">
        <v>0</v>
      </c>
      <c r="J308" t="n">
        <v>0</v>
      </c>
      <c r="K308" t="n">
        <v>0</v>
      </c>
      <c r="L308" t="n">
        <v>0</v>
      </c>
      <c r="M308" t="n">
        <v>0</v>
      </c>
      <c r="N308" t="n">
        <v>0</v>
      </c>
      <c r="O308" t="n">
        <v>0</v>
      </c>
      <c r="P308" t="n">
        <v>0</v>
      </c>
      <c r="Q308" t="n">
        <v>0</v>
      </c>
      <c r="R308" s="2" t="inlineStr"/>
    </row>
    <row r="309" ht="15" customHeight="1">
      <c r="A309" t="inlineStr">
        <is>
          <t>A 67593-2019</t>
        </is>
      </c>
      <c r="B309" s="1" t="n">
        <v>43815</v>
      </c>
      <c r="C309" s="1" t="n">
        <v>45587</v>
      </c>
      <c r="D309" t="inlineStr">
        <is>
          <t>JÄMTLANDS LÄN</t>
        </is>
      </c>
      <c r="E309" t="inlineStr">
        <is>
          <t>HÄRJEDALEN</t>
        </is>
      </c>
      <c r="F309" t="inlineStr">
        <is>
          <t>Holmen skog AB</t>
        </is>
      </c>
      <c r="G309" t="n">
        <v>7.9</v>
      </c>
      <c r="H309" t="n">
        <v>0</v>
      </c>
      <c r="I309" t="n">
        <v>0</v>
      </c>
      <c r="J309" t="n">
        <v>0</v>
      </c>
      <c r="K309" t="n">
        <v>0</v>
      </c>
      <c r="L309" t="n">
        <v>0</v>
      </c>
      <c r="M309" t="n">
        <v>0</v>
      </c>
      <c r="N309" t="n">
        <v>0</v>
      </c>
      <c r="O309" t="n">
        <v>0</v>
      </c>
      <c r="P309" t="n">
        <v>0</v>
      </c>
      <c r="Q309" t="n">
        <v>0</v>
      </c>
      <c r="R309" s="2" t="inlineStr"/>
    </row>
    <row r="310" ht="15" customHeight="1">
      <c r="A310" t="inlineStr">
        <is>
          <t>A 67535-2019</t>
        </is>
      </c>
      <c r="B310" s="1" t="n">
        <v>43815</v>
      </c>
      <c r="C310" s="1" t="n">
        <v>45587</v>
      </c>
      <c r="D310" t="inlineStr">
        <is>
          <t>JÄMTLANDS LÄN</t>
        </is>
      </c>
      <c r="E310" t="inlineStr">
        <is>
          <t>HÄRJEDALEN</t>
        </is>
      </c>
      <c r="F310" t="inlineStr">
        <is>
          <t>Holmen skog AB</t>
        </is>
      </c>
      <c r="G310" t="n">
        <v>34.3</v>
      </c>
      <c r="H310" t="n">
        <v>0</v>
      </c>
      <c r="I310" t="n">
        <v>0</v>
      </c>
      <c r="J310" t="n">
        <v>0</v>
      </c>
      <c r="K310" t="n">
        <v>0</v>
      </c>
      <c r="L310" t="n">
        <v>0</v>
      </c>
      <c r="M310" t="n">
        <v>0</v>
      </c>
      <c r="N310" t="n">
        <v>0</v>
      </c>
      <c r="O310" t="n">
        <v>0</v>
      </c>
      <c r="P310" t="n">
        <v>0</v>
      </c>
      <c r="Q310" t="n">
        <v>0</v>
      </c>
      <c r="R310" s="2" t="inlineStr"/>
    </row>
    <row r="311" ht="15" customHeight="1">
      <c r="A311" t="inlineStr">
        <is>
          <t>A 67972-2019</t>
        </is>
      </c>
      <c r="B311" s="1" t="n">
        <v>43816</v>
      </c>
      <c r="C311" s="1" t="n">
        <v>45587</v>
      </c>
      <c r="D311" t="inlineStr">
        <is>
          <t>JÄMTLANDS LÄN</t>
        </is>
      </c>
      <c r="E311" t="inlineStr">
        <is>
          <t>HÄRJEDALEN</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642-2020</t>
        </is>
      </c>
      <c r="B312" s="1" t="n">
        <v>43817</v>
      </c>
      <c r="C312" s="1" t="n">
        <v>45587</v>
      </c>
      <c r="D312" t="inlineStr">
        <is>
          <t>JÄMTLANDS LÄN</t>
        </is>
      </c>
      <c r="E312" t="inlineStr">
        <is>
          <t>HÄRJEDALEN</t>
        </is>
      </c>
      <c r="G312" t="n">
        <v>15.5</v>
      </c>
      <c r="H312" t="n">
        <v>0</v>
      </c>
      <c r="I312" t="n">
        <v>0</v>
      </c>
      <c r="J312" t="n">
        <v>0</v>
      </c>
      <c r="K312" t="n">
        <v>0</v>
      </c>
      <c r="L312" t="n">
        <v>0</v>
      </c>
      <c r="M312" t="n">
        <v>0</v>
      </c>
      <c r="N312" t="n">
        <v>0</v>
      </c>
      <c r="O312" t="n">
        <v>0</v>
      </c>
      <c r="P312" t="n">
        <v>0</v>
      </c>
      <c r="Q312" t="n">
        <v>0</v>
      </c>
      <c r="R312" s="2" t="inlineStr"/>
    </row>
    <row r="313" ht="15" customHeight="1">
      <c r="A313" t="inlineStr">
        <is>
          <t>A 159-2020</t>
        </is>
      </c>
      <c r="B313" s="1" t="n">
        <v>43833</v>
      </c>
      <c r="C313" s="1" t="n">
        <v>45587</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2320-2020</t>
        </is>
      </c>
      <c r="B314" s="1" t="n">
        <v>43846</v>
      </c>
      <c r="C314" s="1" t="n">
        <v>45587</v>
      </c>
      <c r="D314" t="inlineStr">
        <is>
          <t>JÄMTLANDS LÄN</t>
        </is>
      </c>
      <c r="E314" t="inlineStr">
        <is>
          <t>HÄRJEDALEN</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4663-2020</t>
        </is>
      </c>
      <c r="B315" s="1" t="n">
        <v>43858</v>
      </c>
      <c r="C315" s="1" t="n">
        <v>45587</v>
      </c>
      <c r="D315" t="inlineStr">
        <is>
          <t>JÄMTLANDS LÄN</t>
        </is>
      </c>
      <c r="E315" t="inlineStr">
        <is>
          <t>HÄRJEDALEN</t>
        </is>
      </c>
      <c r="G315" t="n">
        <v>10.2</v>
      </c>
      <c r="H315" t="n">
        <v>0</v>
      </c>
      <c r="I315" t="n">
        <v>0</v>
      </c>
      <c r="J315" t="n">
        <v>0</v>
      </c>
      <c r="K315" t="n">
        <v>0</v>
      </c>
      <c r="L315" t="n">
        <v>0</v>
      </c>
      <c r="M315" t="n">
        <v>0</v>
      </c>
      <c r="N315" t="n">
        <v>0</v>
      </c>
      <c r="O315" t="n">
        <v>0</v>
      </c>
      <c r="P315" t="n">
        <v>0</v>
      </c>
      <c r="Q315" t="n">
        <v>0</v>
      </c>
      <c r="R315" s="2" t="inlineStr"/>
    </row>
    <row r="316" ht="15" customHeight="1">
      <c r="A316" t="inlineStr">
        <is>
          <t>A 6719-2020</t>
        </is>
      </c>
      <c r="B316" s="1" t="n">
        <v>43866</v>
      </c>
      <c r="C316" s="1" t="n">
        <v>45587</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6715-2020</t>
        </is>
      </c>
      <c r="B317" s="1" t="n">
        <v>43866</v>
      </c>
      <c r="C317" s="1" t="n">
        <v>45587</v>
      </c>
      <c r="D317" t="inlineStr">
        <is>
          <t>JÄMTLANDS LÄN</t>
        </is>
      </c>
      <c r="E317" t="inlineStr">
        <is>
          <t>HÄRJEDALEN</t>
        </is>
      </c>
      <c r="G317" t="n">
        <v>7.5</v>
      </c>
      <c r="H317" t="n">
        <v>0</v>
      </c>
      <c r="I317" t="n">
        <v>0</v>
      </c>
      <c r="J317" t="n">
        <v>0</v>
      </c>
      <c r="K317" t="n">
        <v>0</v>
      </c>
      <c r="L317" t="n">
        <v>0</v>
      </c>
      <c r="M317" t="n">
        <v>0</v>
      </c>
      <c r="N317" t="n">
        <v>0</v>
      </c>
      <c r="O317" t="n">
        <v>0</v>
      </c>
      <c r="P317" t="n">
        <v>0</v>
      </c>
      <c r="Q317" t="n">
        <v>0</v>
      </c>
      <c r="R317" s="2" t="inlineStr"/>
    </row>
    <row r="318" ht="15" customHeight="1">
      <c r="A318" t="inlineStr">
        <is>
          <t>A 6675-2020</t>
        </is>
      </c>
      <c r="B318" s="1" t="n">
        <v>43866</v>
      </c>
      <c r="C318" s="1" t="n">
        <v>45587</v>
      </c>
      <c r="D318" t="inlineStr">
        <is>
          <t>JÄMTLANDS LÄN</t>
        </is>
      </c>
      <c r="E318" t="inlineStr">
        <is>
          <t>HÄRJEDALEN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6584-2020</t>
        </is>
      </c>
      <c r="B319" s="1" t="n">
        <v>43867</v>
      </c>
      <c r="C319" s="1" t="n">
        <v>45587</v>
      </c>
      <c r="D319" t="inlineStr">
        <is>
          <t>JÄMTLANDS LÄN</t>
        </is>
      </c>
      <c r="E319" t="inlineStr">
        <is>
          <t>HÄRJEDALEN</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6903-2020</t>
        </is>
      </c>
      <c r="B320" s="1" t="n">
        <v>43867</v>
      </c>
      <c r="C320" s="1" t="n">
        <v>45587</v>
      </c>
      <c r="D320" t="inlineStr">
        <is>
          <t>JÄMTLANDS LÄN</t>
        </is>
      </c>
      <c r="E320" t="inlineStr">
        <is>
          <t>HÄRJEDALEN</t>
        </is>
      </c>
      <c r="G320" t="n">
        <v>10.5</v>
      </c>
      <c r="H320" t="n">
        <v>0</v>
      </c>
      <c r="I320" t="n">
        <v>0</v>
      </c>
      <c r="J320" t="n">
        <v>0</v>
      </c>
      <c r="K320" t="n">
        <v>0</v>
      </c>
      <c r="L320" t="n">
        <v>0</v>
      </c>
      <c r="M320" t="n">
        <v>0</v>
      </c>
      <c r="N320" t="n">
        <v>0</v>
      </c>
      <c r="O320" t="n">
        <v>0</v>
      </c>
      <c r="P320" t="n">
        <v>0</v>
      </c>
      <c r="Q320" t="n">
        <v>0</v>
      </c>
      <c r="R320" s="2" t="inlineStr"/>
    </row>
    <row r="321" ht="15" customHeight="1">
      <c r="A321" t="inlineStr">
        <is>
          <t>A 7184-2020</t>
        </is>
      </c>
      <c r="B321" s="1" t="n">
        <v>43871</v>
      </c>
      <c r="C321" s="1" t="n">
        <v>45587</v>
      </c>
      <c r="D321" t="inlineStr">
        <is>
          <t>JÄMTLANDS LÄN</t>
        </is>
      </c>
      <c r="E321" t="inlineStr">
        <is>
          <t>HÄRJEDALEN</t>
        </is>
      </c>
      <c r="G321" t="n">
        <v>41.4</v>
      </c>
      <c r="H321" t="n">
        <v>0</v>
      </c>
      <c r="I321" t="n">
        <v>0</v>
      </c>
      <c r="J321" t="n">
        <v>0</v>
      </c>
      <c r="K321" t="n">
        <v>0</v>
      </c>
      <c r="L321" t="n">
        <v>0</v>
      </c>
      <c r="M321" t="n">
        <v>0</v>
      </c>
      <c r="N321" t="n">
        <v>0</v>
      </c>
      <c r="O321" t="n">
        <v>0</v>
      </c>
      <c r="P321" t="n">
        <v>0</v>
      </c>
      <c r="Q321" t="n">
        <v>0</v>
      </c>
      <c r="R321" s="2" t="inlineStr"/>
    </row>
    <row r="322" ht="15" customHeight="1">
      <c r="A322" t="inlineStr">
        <is>
          <t>A 8111-2020</t>
        </is>
      </c>
      <c r="B322" s="1" t="n">
        <v>43874</v>
      </c>
      <c r="C322" s="1" t="n">
        <v>45587</v>
      </c>
      <c r="D322" t="inlineStr">
        <is>
          <t>JÄMTLANDS LÄN</t>
        </is>
      </c>
      <c r="E322" t="inlineStr">
        <is>
          <t>HÄRJEDALEN</t>
        </is>
      </c>
      <c r="G322" t="n">
        <v>15.4</v>
      </c>
      <c r="H322" t="n">
        <v>0</v>
      </c>
      <c r="I322" t="n">
        <v>0</v>
      </c>
      <c r="J322" t="n">
        <v>0</v>
      </c>
      <c r="K322" t="n">
        <v>0</v>
      </c>
      <c r="L322" t="n">
        <v>0</v>
      </c>
      <c r="M322" t="n">
        <v>0</v>
      </c>
      <c r="N322" t="n">
        <v>0</v>
      </c>
      <c r="O322" t="n">
        <v>0</v>
      </c>
      <c r="P322" t="n">
        <v>0</v>
      </c>
      <c r="Q322" t="n">
        <v>0</v>
      </c>
      <c r="R322" s="2" t="inlineStr"/>
    </row>
    <row r="323" ht="15" customHeight="1">
      <c r="A323" t="inlineStr">
        <is>
          <t>A 8762-2020</t>
        </is>
      </c>
      <c r="B323" s="1" t="n">
        <v>43875</v>
      </c>
      <c r="C323" s="1" t="n">
        <v>45587</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8908-2020</t>
        </is>
      </c>
      <c r="B324" s="1" t="n">
        <v>43878</v>
      </c>
      <c r="C324" s="1" t="n">
        <v>45587</v>
      </c>
      <c r="D324" t="inlineStr">
        <is>
          <t>JÄMTLANDS LÄN</t>
        </is>
      </c>
      <c r="E324" t="inlineStr">
        <is>
          <t>HÄRJEDALEN</t>
        </is>
      </c>
      <c r="G324" t="n">
        <v>18.1</v>
      </c>
      <c r="H324" t="n">
        <v>0</v>
      </c>
      <c r="I324" t="n">
        <v>0</v>
      </c>
      <c r="J324" t="n">
        <v>0</v>
      </c>
      <c r="K324" t="n">
        <v>0</v>
      </c>
      <c r="L324" t="n">
        <v>0</v>
      </c>
      <c r="M324" t="n">
        <v>0</v>
      </c>
      <c r="N324" t="n">
        <v>0</v>
      </c>
      <c r="O324" t="n">
        <v>0</v>
      </c>
      <c r="P324" t="n">
        <v>0</v>
      </c>
      <c r="Q324" t="n">
        <v>0</v>
      </c>
      <c r="R324" s="2" t="inlineStr"/>
    </row>
    <row r="325" ht="15" customHeight="1">
      <c r="A325" t="inlineStr">
        <is>
          <t>A 9034-2020</t>
        </is>
      </c>
      <c r="B325" s="1" t="n">
        <v>43879</v>
      </c>
      <c r="C325" s="1" t="n">
        <v>45587</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9591-2020</t>
        </is>
      </c>
      <c r="B326" s="1" t="n">
        <v>43881</v>
      </c>
      <c r="C326" s="1" t="n">
        <v>45587</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11731-2020</t>
        </is>
      </c>
      <c r="B327" s="1" t="n">
        <v>43894</v>
      </c>
      <c r="C327" s="1" t="n">
        <v>45587</v>
      </c>
      <c r="D327" t="inlineStr">
        <is>
          <t>JÄMTLANDS LÄN</t>
        </is>
      </c>
      <c r="E327" t="inlineStr">
        <is>
          <t>HÄRJEDALEN</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11816-2020</t>
        </is>
      </c>
      <c r="B328" s="1" t="n">
        <v>43894</v>
      </c>
      <c r="C328" s="1" t="n">
        <v>45587</v>
      </c>
      <c r="D328" t="inlineStr">
        <is>
          <t>JÄMTLANDS LÄN</t>
        </is>
      </c>
      <c r="E328" t="inlineStr">
        <is>
          <t>HÄRJEDALEN</t>
        </is>
      </c>
      <c r="F328" t="inlineStr">
        <is>
          <t>Holmen skog AB</t>
        </is>
      </c>
      <c r="G328" t="n">
        <v>20.4</v>
      </c>
      <c r="H328" t="n">
        <v>0</v>
      </c>
      <c r="I328" t="n">
        <v>0</v>
      </c>
      <c r="J328" t="n">
        <v>0</v>
      </c>
      <c r="K328" t="n">
        <v>0</v>
      </c>
      <c r="L328" t="n">
        <v>0</v>
      </c>
      <c r="M328" t="n">
        <v>0</v>
      </c>
      <c r="N328" t="n">
        <v>0</v>
      </c>
      <c r="O328" t="n">
        <v>0</v>
      </c>
      <c r="P328" t="n">
        <v>0</v>
      </c>
      <c r="Q328" t="n">
        <v>0</v>
      </c>
      <c r="R328" s="2" t="inlineStr"/>
    </row>
    <row r="329" ht="15" customHeight="1">
      <c r="A329" t="inlineStr">
        <is>
          <t>A 11818-2020</t>
        </is>
      </c>
      <c r="B329" s="1" t="n">
        <v>43894</v>
      </c>
      <c r="C329" s="1" t="n">
        <v>45587</v>
      </c>
      <c r="D329" t="inlineStr">
        <is>
          <t>JÄMTLANDS LÄN</t>
        </is>
      </c>
      <c r="E329" t="inlineStr">
        <is>
          <t>HÄRJEDALEN</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11885-2020</t>
        </is>
      </c>
      <c r="B330" s="1" t="n">
        <v>43894</v>
      </c>
      <c r="C330" s="1" t="n">
        <v>45587</v>
      </c>
      <c r="D330" t="inlineStr">
        <is>
          <t>JÄMTLANDS LÄN</t>
        </is>
      </c>
      <c r="E330" t="inlineStr">
        <is>
          <t>HÄRJEDALEN</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11828-2020</t>
        </is>
      </c>
      <c r="B331" s="1" t="n">
        <v>43894</v>
      </c>
      <c r="C331" s="1" t="n">
        <v>45587</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11905-2020</t>
        </is>
      </c>
      <c r="B332" s="1" t="n">
        <v>43894</v>
      </c>
      <c r="C332" s="1" t="n">
        <v>45587</v>
      </c>
      <c r="D332" t="inlineStr">
        <is>
          <t>JÄMTLANDS LÄN</t>
        </is>
      </c>
      <c r="E332" t="inlineStr">
        <is>
          <t>HÄRJEDALEN</t>
        </is>
      </c>
      <c r="F332" t="inlineStr">
        <is>
          <t>Holmen skog AB</t>
        </is>
      </c>
      <c r="G332" t="n">
        <v>10.3</v>
      </c>
      <c r="H332" t="n">
        <v>0</v>
      </c>
      <c r="I332" t="n">
        <v>0</v>
      </c>
      <c r="J332" t="n">
        <v>0</v>
      </c>
      <c r="K332" t="n">
        <v>0</v>
      </c>
      <c r="L332" t="n">
        <v>0</v>
      </c>
      <c r="M332" t="n">
        <v>0</v>
      </c>
      <c r="N332" t="n">
        <v>0</v>
      </c>
      <c r="O332" t="n">
        <v>0</v>
      </c>
      <c r="P332" t="n">
        <v>0</v>
      </c>
      <c r="Q332" t="n">
        <v>0</v>
      </c>
      <c r="R332" s="2" t="inlineStr"/>
    </row>
    <row r="333" ht="15" customHeight="1">
      <c r="A333" t="inlineStr">
        <is>
          <t>A 13604-2020</t>
        </is>
      </c>
      <c r="B333" s="1" t="n">
        <v>43895</v>
      </c>
      <c r="C333" s="1" t="n">
        <v>45587</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12398-2020</t>
        </is>
      </c>
      <c r="B334" s="1" t="n">
        <v>43896</v>
      </c>
      <c r="C334" s="1" t="n">
        <v>45587</v>
      </c>
      <c r="D334" t="inlineStr">
        <is>
          <t>JÄMTLANDS LÄN</t>
        </is>
      </c>
      <c r="E334" t="inlineStr">
        <is>
          <t>HÄRJEDALEN</t>
        </is>
      </c>
      <c r="G334" t="n">
        <v>12.3</v>
      </c>
      <c r="H334" t="n">
        <v>0</v>
      </c>
      <c r="I334" t="n">
        <v>0</v>
      </c>
      <c r="J334" t="n">
        <v>0</v>
      </c>
      <c r="K334" t="n">
        <v>0</v>
      </c>
      <c r="L334" t="n">
        <v>0</v>
      </c>
      <c r="M334" t="n">
        <v>0</v>
      </c>
      <c r="N334" t="n">
        <v>0</v>
      </c>
      <c r="O334" t="n">
        <v>0</v>
      </c>
      <c r="P334" t="n">
        <v>0</v>
      </c>
      <c r="Q334" t="n">
        <v>0</v>
      </c>
      <c r="R334" s="2" t="inlineStr"/>
    </row>
    <row r="335" ht="15" customHeight="1">
      <c r="A335" t="inlineStr">
        <is>
          <t>A 12410-2020</t>
        </is>
      </c>
      <c r="B335" s="1" t="n">
        <v>43896</v>
      </c>
      <c r="C335" s="1" t="n">
        <v>45587</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13588-2020</t>
        </is>
      </c>
      <c r="B336" s="1" t="n">
        <v>43896</v>
      </c>
      <c r="C336" s="1" t="n">
        <v>45587</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12898-2020</t>
        </is>
      </c>
      <c r="B337" s="1" t="n">
        <v>43900</v>
      </c>
      <c r="C337" s="1" t="n">
        <v>45587</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15020-2020</t>
        </is>
      </c>
      <c r="B338" s="1" t="n">
        <v>43907</v>
      </c>
      <c r="C338" s="1" t="n">
        <v>45587</v>
      </c>
      <c r="D338" t="inlineStr">
        <is>
          <t>JÄMTLANDS LÄN</t>
        </is>
      </c>
      <c r="E338" t="inlineStr">
        <is>
          <t>HÄRJEDALEN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15576-2020</t>
        </is>
      </c>
      <c r="B339" s="1" t="n">
        <v>43914</v>
      </c>
      <c r="C339" s="1" t="n">
        <v>45587</v>
      </c>
      <c r="D339" t="inlineStr">
        <is>
          <t>JÄMTLANDS LÄN</t>
        </is>
      </c>
      <c r="E339" t="inlineStr">
        <is>
          <t>HÄRJEDALEN</t>
        </is>
      </c>
      <c r="F339" t="inlineStr">
        <is>
          <t>Kyrkan</t>
        </is>
      </c>
      <c r="G339" t="n">
        <v>8.1</v>
      </c>
      <c r="H339" t="n">
        <v>0</v>
      </c>
      <c r="I339" t="n">
        <v>0</v>
      </c>
      <c r="J339" t="n">
        <v>0</v>
      </c>
      <c r="K339" t="n">
        <v>0</v>
      </c>
      <c r="L339" t="n">
        <v>0</v>
      </c>
      <c r="M339" t="n">
        <v>0</v>
      </c>
      <c r="N339" t="n">
        <v>0</v>
      </c>
      <c r="O339" t="n">
        <v>0</v>
      </c>
      <c r="P339" t="n">
        <v>0</v>
      </c>
      <c r="Q339" t="n">
        <v>0</v>
      </c>
      <c r="R339" s="2" t="inlineStr"/>
    </row>
    <row r="340" ht="15" customHeight="1">
      <c r="A340" t="inlineStr">
        <is>
          <t>A 17515-2020</t>
        </is>
      </c>
      <c r="B340" s="1" t="n">
        <v>43920</v>
      </c>
      <c r="C340" s="1" t="n">
        <v>45587</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17024-2020</t>
        </is>
      </c>
      <c r="B341" s="1" t="n">
        <v>43921</v>
      </c>
      <c r="C341" s="1" t="n">
        <v>45587</v>
      </c>
      <c r="D341" t="inlineStr">
        <is>
          <t>JÄMTLANDS LÄN</t>
        </is>
      </c>
      <c r="E341" t="inlineStr">
        <is>
          <t>HÄRJEDALEN</t>
        </is>
      </c>
      <c r="G341" t="n">
        <v>0.8</v>
      </c>
      <c r="H341" t="n">
        <v>0</v>
      </c>
      <c r="I341" t="n">
        <v>0</v>
      </c>
      <c r="J341" t="n">
        <v>0</v>
      </c>
      <c r="K341" t="n">
        <v>0</v>
      </c>
      <c r="L341" t="n">
        <v>0</v>
      </c>
      <c r="M341" t="n">
        <v>0</v>
      </c>
      <c r="N341" t="n">
        <v>0</v>
      </c>
      <c r="O341" t="n">
        <v>0</v>
      </c>
      <c r="P341" t="n">
        <v>0</v>
      </c>
      <c r="Q341" t="n">
        <v>0</v>
      </c>
      <c r="R341" s="2" t="inlineStr"/>
    </row>
    <row r="342" ht="15" customHeight="1">
      <c r="A342" t="inlineStr">
        <is>
          <t>A 17676-2020</t>
        </is>
      </c>
      <c r="B342" s="1" t="n">
        <v>43924</v>
      </c>
      <c r="C342" s="1" t="n">
        <v>45587</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18038-2020</t>
        </is>
      </c>
      <c r="B343" s="1" t="n">
        <v>43927</v>
      </c>
      <c r="C343" s="1" t="n">
        <v>45587</v>
      </c>
      <c r="D343" t="inlineStr">
        <is>
          <t>JÄMTLANDS LÄN</t>
        </is>
      </c>
      <c r="E343" t="inlineStr">
        <is>
          <t>HÄRJEDALEN</t>
        </is>
      </c>
      <c r="G343" t="n">
        <v>13.5</v>
      </c>
      <c r="H343" t="n">
        <v>0</v>
      </c>
      <c r="I343" t="n">
        <v>0</v>
      </c>
      <c r="J343" t="n">
        <v>0</v>
      </c>
      <c r="K343" t="n">
        <v>0</v>
      </c>
      <c r="L343" t="n">
        <v>0</v>
      </c>
      <c r="M343" t="n">
        <v>0</v>
      </c>
      <c r="N343" t="n">
        <v>0</v>
      </c>
      <c r="O343" t="n">
        <v>0</v>
      </c>
      <c r="P343" t="n">
        <v>0</v>
      </c>
      <c r="Q343" t="n">
        <v>0</v>
      </c>
      <c r="R343" s="2" t="inlineStr"/>
    </row>
    <row r="344" ht="15" customHeight="1">
      <c r="A344" t="inlineStr">
        <is>
          <t>A 18761-2020</t>
        </is>
      </c>
      <c r="B344" s="1" t="n">
        <v>43930</v>
      </c>
      <c r="C344" s="1" t="n">
        <v>45587</v>
      </c>
      <c r="D344" t="inlineStr">
        <is>
          <t>JÄMTLANDS LÄN</t>
        </is>
      </c>
      <c r="E344" t="inlineStr">
        <is>
          <t>HÄRJEDALEN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18760-2020</t>
        </is>
      </c>
      <c r="B345" s="1" t="n">
        <v>43930</v>
      </c>
      <c r="C345" s="1" t="n">
        <v>45587</v>
      </c>
      <c r="D345" t="inlineStr">
        <is>
          <t>JÄMTLANDS LÄN</t>
        </is>
      </c>
      <c r="E345" t="inlineStr">
        <is>
          <t>HÄRJEDALEN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18759-2020</t>
        </is>
      </c>
      <c r="B346" s="1" t="n">
        <v>43930</v>
      </c>
      <c r="C346" s="1" t="n">
        <v>45587</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18877-2020</t>
        </is>
      </c>
      <c r="B347" s="1" t="n">
        <v>43935</v>
      </c>
      <c r="C347" s="1" t="n">
        <v>45587</v>
      </c>
      <c r="D347" t="inlineStr">
        <is>
          <t>JÄMTLANDS LÄN</t>
        </is>
      </c>
      <c r="E347" t="inlineStr">
        <is>
          <t>HÄRJEDALEN</t>
        </is>
      </c>
      <c r="G347" t="n">
        <v>7</v>
      </c>
      <c r="H347" t="n">
        <v>0</v>
      </c>
      <c r="I347" t="n">
        <v>0</v>
      </c>
      <c r="J347" t="n">
        <v>0</v>
      </c>
      <c r="K347" t="n">
        <v>0</v>
      </c>
      <c r="L347" t="n">
        <v>0</v>
      </c>
      <c r="M347" t="n">
        <v>0</v>
      </c>
      <c r="N347" t="n">
        <v>0</v>
      </c>
      <c r="O347" t="n">
        <v>0</v>
      </c>
      <c r="P347" t="n">
        <v>0</v>
      </c>
      <c r="Q347" t="n">
        <v>0</v>
      </c>
      <c r="R347" s="2" t="inlineStr"/>
    </row>
    <row r="348" ht="15" customHeight="1">
      <c r="A348" t="inlineStr">
        <is>
          <t>A 18879-2020</t>
        </is>
      </c>
      <c r="B348" s="1" t="n">
        <v>43935</v>
      </c>
      <c r="C348" s="1" t="n">
        <v>45587</v>
      </c>
      <c r="D348" t="inlineStr">
        <is>
          <t>JÄMTLANDS LÄN</t>
        </is>
      </c>
      <c r="E348" t="inlineStr">
        <is>
          <t>HÄRJEDALEN</t>
        </is>
      </c>
      <c r="G348" t="n">
        <v>5.5</v>
      </c>
      <c r="H348" t="n">
        <v>0</v>
      </c>
      <c r="I348" t="n">
        <v>0</v>
      </c>
      <c r="J348" t="n">
        <v>0</v>
      </c>
      <c r="K348" t="n">
        <v>0</v>
      </c>
      <c r="L348" t="n">
        <v>0</v>
      </c>
      <c r="M348" t="n">
        <v>0</v>
      </c>
      <c r="N348" t="n">
        <v>0</v>
      </c>
      <c r="O348" t="n">
        <v>0</v>
      </c>
      <c r="P348" t="n">
        <v>0</v>
      </c>
      <c r="Q348" t="n">
        <v>0</v>
      </c>
      <c r="R348" s="2" t="inlineStr"/>
    </row>
    <row r="349" ht="15" customHeight="1">
      <c r="A349" t="inlineStr">
        <is>
          <t>A 19304-2020</t>
        </is>
      </c>
      <c r="B349" s="1" t="n">
        <v>43937</v>
      </c>
      <c r="C349" s="1" t="n">
        <v>45587</v>
      </c>
      <c r="D349" t="inlineStr">
        <is>
          <t>JÄMTLANDS LÄN</t>
        </is>
      </c>
      <c r="E349" t="inlineStr">
        <is>
          <t>HÄRJEDALEN</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19506-2020</t>
        </is>
      </c>
      <c r="B350" s="1" t="n">
        <v>43938</v>
      </c>
      <c r="C350" s="1" t="n">
        <v>45587</v>
      </c>
      <c r="D350" t="inlineStr">
        <is>
          <t>JÄMTLANDS LÄN</t>
        </is>
      </c>
      <c r="E350" t="inlineStr">
        <is>
          <t>HÄRJEDALEN</t>
        </is>
      </c>
      <c r="F350" t="inlineStr">
        <is>
          <t>Sveaskog</t>
        </is>
      </c>
      <c r="G350" t="n">
        <v>6.8</v>
      </c>
      <c r="H350" t="n">
        <v>0</v>
      </c>
      <c r="I350" t="n">
        <v>0</v>
      </c>
      <c r="J350" t="n">
        <v>0</v>
      </c>
      <c r="K350" t="n">
        <v>0</v>
      </c>
      <c r="L350" t="n">
        <v>0</v>
      </c>
      <c r="M350" t="n">
        <v>0</v>
      </c>
      <c r="N350" t="n">
        <v>0</v>
      </c>
      <c r="O350" t="n">
        <v>0</v>
      </c>
      <c r="P350" t="n">
        <v>0</v>
      </c>
      <c r="Q350" t="n">
        <v>0</v>
      </c>
      <c r="R350" s="2" t="inlineStr"/>
    </row>
    <row r="351" ht="15" customHeight="1">
      <c r="A351" t="inlineStr">
        <is>
          <t>A 20781-2020</t>
        </is>
      </c>
      <c r="B351" s="1" t="n">
        <v>43949</v>
      </c>
      <c r="C351" s="1" t="n">
        <v>45587</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21537-2020</t>
        </is>
      </c>
      <c r="B352" s="1" t="n">
        <v>43956</v>
      </c>
      <c r="C352" s="1" t="n">
        <v>45587</v>
      </c>
      <c r="D352" t="inlineStr">
        <is>
          <t>JÄMTLANDS LÄN</t>
        </is>
      </c>
      <c r="E352" t="inlineStr">
        <is>
          <t>HÄRJEDALEN</t>
        </is>
      </c>
      <c r="G352" t="n">
        <v>4.3</v>
      </c>
      <c r="H352" t="n">
        <v>0</v>
      </c>
      <c r="I352" t="n">
        <v>0</v>
      </c>
      <c r="J352" t="n">
        <v>0</v>
      </c>
      <c r="K352" t="n">
        <v>0</v>
      </c>
      <c r="L352" t="n">
        <v>0</v>
      </c>
      <c r="M352" t="n">
        <v>0</v>
      </c>
      <c r="N352" t="n">
        <v>0</v>
      </c>
      <c r="O352" t="n">
        <v>0</v>
      </c>
      <c r="P352" t="n">
        <v>0</v>
      </c>
      <c r="Q352" t="n">
        <v>0</v>
      </c>
      <c r="R352" s="2" t="inlineStr"/>
    </row>
    <row r="353" ht="15" customHeight="1">
      <c r="A353" t="inlineStr">
        <is>
          <t>A 23082-2020</t>
        </is>
      </c>
      <c r="B353" s="1" t="n">
        <v>43964</v>
      </c>
      <c r="C353" s="1" t="n">
        <v>45587</v>
      </c>
      <c r="D353" t="inlineStr">
        <is>
          <t>JÄMTLANDS LÄN</t>
        </is>
      </c>
      <c r="E353" t="inlineStr">
        <is>
          <t>HÄRJEDALEN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23310-2020</t>
        </is>
      </c>
      <c r="B354" s="1" t="n">
        <v>43966</v>
      </c>
      <c r="C354" s="1" t="n">
        <v>45587</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23174-2020</t>
        </is>
      </c>
      <c r="B355" s="1" t="n">
        <v>43966</v>
      </c>
      <c r="C355" s="1" t="n">
        <v>45587</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23560-2020</t>
        </is>
      </c>
      <c r="B356" s="1" t="n">
        <v>43969</v>
      </c>
      <c r="C356" s="1" t="n">
        <v>45587</v>
      </c>
      <c r="D356" t="inlineStr">
        <is>
          <t>JÄMTLANDS LÄN</t>
        </is>
      </c>
      <c r="E356" t="inlineStr">
        <is>
          <t>HÄRJEDALEN</t>
        </is>
      </c>
      <c r="G356" t="n">
        <v>1.7</v>
      </c>
      <c r="H356" t="n">
        <v>0</v>
      </c>
      <c r="I356" t="n">
        <v>0</v>
      </c>
      <c r="J356" t="n">
        <v>0</v>
      </c>
      <c r="K356" t="n">
        <v>0</v>
      </c>
      <c r="L356" t="n">
        <v>0</v>
      </c>
      <c r="M356" t="n">
        <v>0</v>
      </c>
      <c r="N356" t="n">
        <v>0</v>
      </c>
      <c r="O356" t="n">
        <v>0</v>
      </c>
      <c r="P356" t="n">
        <v>0</v>
      </c>
      <c r="Q356" t="n">
        <v>0</v>
      </c>
      <c r="R356" s="2" t="inlineStr"/>
    </row>
    <row r="357" ht="15" customHeight="1">
      <c r="A357" t="inlineStr">
        <is>
          <t>A 24077-2020</t>
        </is>
      </c>
      <c r="B357" s="1" t="n">
        <v>43972</v>
      </c>
      <c r="C357" s="1" t="n">
        <v>45587</v>
      </c>
      <c r="D357" t="inlineStr">
        <is>
          <t>JÄMTLANDS LÄN</t>
        </is>
      </c>
      <c r="E357" t="inlineStr">
        <is>
          <t>HÄRJEDALEN</t>
        </is>
      </c>
      <c r="F357" t="inlineStr">
        <is>
          <t>Sveaskog</t>
        </is>
      </c>
      <c r="G357" t="n">
        <v>9.6</v>
      </c>
      <c r="H357" t="n">
        <v>0</v>
      </c>
      <c r="I357" t="n">
        <v>0</v>
      </c>
      <c r="J357" t="n">
        <v>0</v>
      </c>
      <c r="K357" t="n">
        <v>0</v>
      </c>
      <c r="L357" t="n">
        <v>0</v>
      </c>
      <c r="M357" t="n">
        <v>0</v>
      </c>
      <c r="N357" t="n">
        <v>0</v>
      </c>
      <c r="O357" t="n">
        <v>0</v>
      </c>
      <c r="P357" t="n">
        <v>0</v>
      </c>
      <c r="Q357" t="n">
        <v>0</v>
      </c>
      <c r="R357" s="2" t="inlineStr"/>
    </row>
    <row r="358" ht="15" customHeight="1">
      <c r="A358" t="inlineStr">
        <is>
          <t>A 24127-2020</t>
        </is>
      </c>
      <c r="B358" s="1" t="n">
        <v>43973</v>
      </c>
      <c r="C358" s="1" t="n">
        <v>45587</v>
      </c>
      <c r="D358" t="inlineStr">
        <is>
          <t>JÄMTLANDS LÄN</t>
        </is>
      </c>
      <c r="E358" t="inlineStr">
        <is>
          <t>HÄRJEDALEN</t>
        </is>
      </c>
      <c r="G358" t="n">
        <v>4.6</v>
      </c>
      <c r="H358" t="n">
        <v>0</v>
      </c>
      <c r="I358" t="n">
        <v>0</v>
      </c>
      <c r="J358" t="n">
        <v>0</v>
      </c>
      <c r="K358" t="n">
        <v>0</v>
      </c>
      <c r="L358" t="n">
        <v>0</v>
      </c>
      <c r="M358" t="n">
        <v>0</v>
      </c>
      <c r="N358" t="n">
        <v>0</v>
      </c>
      <c r="O358" t="n">
        <v>0</v>
      </c>
      <c r="P358" t="n">
        <v>0</v>
      </c>
      <c r="Q358" t="n">
        <v>0</v>
      </c>
      <c r="R358" s="2" t="inlineStr"/>
    </row>
    <row r="359" ht="15" customHeight="1">
      <c r="A359" t="inlineStr">
        <is>
          <t>A 25240-2020</t>
        </is>
      </c>
      <c r="B359" s="1" t="n">
        <v>43980</v>
      </c>
      <c r="C359" s="1" t="n">
        <v>45587</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25341-2020</t>
        </is>
      </c>
      <c r="B360" s="1" t="n">
        <v>43980</v>
      </c>
      <c r="C360" s="1" t="n">
        <v>45587</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25232-2020</t>
        </is>
      </c>
      <c r="B361" s="1" t="n">
        <v>43980</v>
      </c>
      <c r="C361" s="1" t="n">
        <v>45587</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25238-2020</t>
        </is>
      </c>
      <c r="B362" s="1" t="n">
        <v>43980</v>
      </c>
      <c r="C362" s="1" t="n">
        <v>45587</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25236-2020</t>
        </is>
      </c>
      <c r="B363" s="1" t="n">
        <v>43980</v>
      </c>
      <c r="C363" s="1" t="n">
        <v>45587</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25779-2020</t>
        </is>
      </c>
      <c r="B364" s="1" t="n">
        <v>43984</v>
      </c>
      <c r="C364" s="1" t="n">
        <v>45587</v>
      </c>
      <c r="D364" t="inlineStr">
        <is>
          <t>JÄMTLANDS LÄN</t>
        </is>
      </c>
      <c r="E364" t="inlineStr">
        <is>
          <t>HÄRJEDALEN</t>
        </is>
      </c>
      <c r="G364" t="n">
        <v>22.2</v>
      </c>
      <c r="H364" t="n">
        <v>0</v>
      </c>
      <c r="I364" t="n">
        <v>0</v>
      </c>
      <c r="J364" t="n">
        <v>0</v>
      </c>
      <c r="K364" t="n">
        <v>0</v>
      </c>
      <c r="L364" t="n">
        <v>0</v>
      </c>
      <c r="M364" t="n">
        <v>0</v>
      </c>
      <c r="N364" t="n">
        <v>0</v>
      </c>
      <c r="O364" t="n">
        <v>0</v>
      </c>
      <c r="P364" t="n">
        <v>0</v>
      </c>
      <c r="Q364" t="n">
        <v>0</v>
      </c>
      <c r="R364" s="2" t="inlineStr"/>
    </row>
    <row r="365" ht="15" customHeight="1">
      <c r="A365" t="inlineStr">
        <is>
          <t>A 26056-2020</t>
        </is>
      </c>
      <c r="B365" s="1" t="n">
        <v>43984</v>
      </c>
      <c r="C365" s="1" t="n">
        <v>45587</v>
      </c>
      <c r="D365" t="inlineStr">
        <is>
          <t>JÄMTLANDS LÄN</t>
        </is>
      </c>
      <c r="E365" t="inlineStr">
        <is>
          <t>HÄRJEDALEN</t>
        </is>
      </c>
      <c r="G365" t="n">
        <v>53.1</v>
      </c>
      <c r="H365" t="n">
        <v>0</v>
      </c>
      <c r="I365" t="n">
        <v>0</v>
      </c>
      <c r="J365" t="n">
        <v>0</v>
      </c>
      <c r="K365" t="n">
        <v>0</v>
      </c>
      <c r="L365" t="n">
        <v>0</v>
      </c>
      <c r="M365" t="n">
        <v>0</v>
      </c>
      <c r="N365" t="n">
        <v>0</v>
      </c>
      <c r="O365" t="n">
        <v>0</v>
      </c>
      <c r="P365" t="n">
        <v>0</v>
      </c>
      <c r="Q365" t="n">
        <v>0</v>
      </c>
      <c r="R365" s="2" t="inlineStr"/>
    </row>
    <row r="366" ht="15" customHeight="1">
      <c r="A366" t="inlineStr">
        <is>
          <t>A 27854-2020</t>
        </is>
      </c>
      <c r="B366" s="1" t="n">
        <v>43994</v>
      </c>
      <c r="C366" s="1" t="n">
        <v>45587</v>
      </c>
      <c r="D366" t="inlineStr">
        <is>
          <t>JÄMTLANDS LÄN</t>
        </is>
      </c>
      <c r="E366" t="inlineStr">
        <is>
          <t>HÄRJEDALEN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28543-2020</t>
        </is>
      </c>
      <c r="B367" s="1" t="n">
        <v>43999</v>
      </c>
      <c r="C367" s="1" t="n">
        <v>45587</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29158-2020</t>
        </is>
      </c>
      <c r="B368" s="1" t="n">
        <v>44004</v>
      </c>
      <c r="C368" s="1" t="n">
        <v>45587</v>
      </c>
      <c r="D368" t="inlineStr">
        <is>
          <t>JÄMTLANDS LÄN</t>
        </is>
      </c>
      <c r="E368" t="inlineStr">
        <is>
          <t>HÄRJEDALEN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29154-2020</t>
        </is>
      </c>
      <c r="B369" s="1" t="n">
        <v>44004</v>
      </c>
      <c r="C369" s="1" t="n">
        <v>45587</v>
      </c>
      <c r="D369" t="inlineStr">
        <is>
          <t>JÄMTLANDS LÄN</t>
        </is>
      </c>
      <c r="E369" t="inlineStr">
        <is>
          <t>HÄRJEDALEN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30963-2020</t>
        </is>
      </c>
      <c r="B370" s="1" t="n">
        <v>44011</v>
      </c>
      <c r="C370" s="1" t="n">
        <v>45587</v>
      </c>
      <c r="D370" t="inlineStr">
        <is>
          <t>JÄMTLANDS LÄN</t>
        </is>
      </c>
      <c r="E370" t="inlineStr">
        <is>
          <t>HÄRJEDALEN</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30936-2020</t>
        </is>
      </c>
      <c r="B371" s="1" t="n">
        <v>44011</v>
      </c>
      <c r="C371" s="1" t="n">
        <v>45587</v>
      </c>
      <c r="D371" t="inlineStr">
        <is>
          <t>JÄMTLANDS LÄN</t>
        </is>
      </c>
      <c r="E371" t="inlineStr">
        <is>
          <t>HÄRJEDALEN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30940-2020</t>
        </is>
      </c>
      <c r="B372" s="1" t="n">
        <v>44011</v>
      </c>
      <c r="C372" s="1" t="n">
        <v>45587</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31264-2020</t>
        </is>
      </c>
      <c r="B373" s="1" t="n">
        <v>44012</v>
      </c>
      <c r="C373" s="1" t="n">
        <v>45587</v>
      </c>
      <c r="D373" t="inlineStr">
        <is>
          <t>JÄMTLANDS LÄN</t>
        </is>
      </c>
      <c r="E373" t="inlineStr">
        <is>
          <t>HÄRJEDALEN</t>
        </is>
      </c>
      <c r="F373" t="inlineStr">
        <is>
          <t>Bergvik skog väst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31872-2020</t>
        </is>
      </c>
      <c r="B374" s="1" t="n">
        <v>44014</v>
      </c>
      <c r="C374" s="1" t="n">
        <v>45587</v>
      </c>
      <c r="D374" t="inlineStr">
        <is>
          <t>JÄMTLANDS LÄN</t>
        </is>
      </c>
      <c r="E374" t="inlineStr">
        <is>
          <t>HÄRJEDALEN</t>
        </is>
      </c>
      <c r="G374" t="n">
        <v>21.4</v>
      </c>
      <c r="H374" t="n">
        <v>0</v>
      </c>
      <c r="I374" t="n">
        <v>0</v>
      </c>
      <c r="J374" t="n">
        <v>0</v>
      </c>
      <c r="K374" t="n">
        <v>0</v>
      </c>
      <c r="L374" t="n">
        <v>0</v>
      </c>
      <c r="M374" t="n">
        <v>0</v>
      </c>
      <c r="N374" t="n">
        <v>0</v>
      </c>
      <c r="O374" t="n">
        <v>0</v>
      </c>
      <c r="P374" t="n">
        <v>0</v>
      </c>
      <c r="Q374" t="n">
        <v>0</v>
      </c>
      <c r="R374" s="2" t="inlineStr"/>
    </row>
    <row r="375" ht="15" customHeight="1">
      <c r="A375" t="inlineStr">
        <is>
          <t>A 31920-2020</t>
        </is>
      </c>
      <c r="B375" s="1" t="n">
        <v>44014</v>
      </c>
      <c r="C375" s="1" t="n">
        <v>45587</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33020-2020</t>
        </is>
      </c>
      <c r="B376" s="1" t="n">
        <v>44021</v>
      </c>
      <c r="C376" s="1" t="n">
        <v>45587</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33812-2020</t>
        </is>
      </c>
      <c r="B377" s="1" t="n">
        <v>44025</v>
      </c>
      <c r="C377" s="1" t="n">
        <v>45587</v>
      </c>
      <c r="D377" t="inlineStr">
        <is>
          <t>JÄMTLANDS LÄN</t>
        </is>
      </c>
      <c r="E377" t="inlineStr">
        <is>
          <t>HÄRJEDALEN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33513-2020</t>
        </is>
      </c>
      <c r="B378" s="1" t="n">
        <v>44025</v>
      </c>
      <c r="C378" s="1" t="n">
        <v>45587</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33701-2020</t>
        </is>
      </c>
      <c r="B379" s="1" t="n">
        <v>44026</v>
      </c>
      <c r="C379" s="1" t="n">
        <v>45587</v>
      </c>
      <c r="D379" t="inlineStr">
        <is>
          <t>JÄMTLANDS LÄN</t>
        </is>
      </c>
      <c r="E379" t="inlineStr">
        <is>
          <t>HÄRJEDALEN</t>
        </is>
      </c>
      <c r="F379" t="inlineStr">
        <is>
          <t>Bergvik skog väst AB</t>
        </is>
      </c>
      <c r="G379" t="n">
        <v>7.2</v>
      </c>
      <c r="H379" t="n">
        <v>0</v>
      </c>
      <c r="I379" t="n">
        <v>0</v>
      </c>
      <c r="J379" t="n">
        <v>0</v>
      </c>
      <c r="K379" t="n">
        <v>0</v>
      </c>
      <c r="L379" t="n">
        <v>0</v>
      </c>
      <c r="M379" t="n">
        <v>0</v>
      </c>
      <c r="N379" t="n">
        <v>0</v>
      </c>
      <c r="O379" t="n">
        <v>0</v>
      </c>
      <c r="P379" t="n">
        <v>0</v>
      </c>
      <c r="Q379" t="n">
        <v>0</v>
      </c>
      <c r="R379" s="2" t="inlineStr"/>
    </row>
    <row r="380" ht="15" customHeight="1">
      <c r="A380" t="inlineStr">
        <is>
          <t>A 33942-2020</t>
        </is>
      </c>
      <c r="B380" s="1" t="n">
        <v>44028</v>
      </c>
      <c r="C380" s="1" t="n">
        <v>45587</v>
      </c>
      <c r="D380" t="inlineStr">
        <is>
          <t>JÄMTLANDS LÄN</t>
        </is>
      </c>
      <c r="E380" t="inlineStr">
        <is>
          <t>HÄRJEDALEN</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34191-2020</t>
        </is>
      </c>
      <c r="B381" s="1" t="n">
        <v>44029</v>
      </c>
      <c r="C381" s="1" t="n">
        <v>45587</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34894-2020</t>
        </is>
      </c>
      <c r="B382" s="1" t="n">
        <v>44036</v>
      </c>
      <c r="C382" s="1" t="n">
        <v>45587</v>
      </c>
      <c r="D382" t="inlineStr">
        <is>
          <t>JÄMTLANDS LÄN</t>
        </is>
      </c>
      <c r="E382" t="inlineStr">
        <is>
          <t>HÄRJEDALEN</t>
        </is>
      </c>
      <c r="G382" t="n">
        <v>4</v>
      </c>
      <c r="H382" t="n">
        <v>0</v>
      </c>
      <c r="I382" t="n">
        <v>0</v>
      </c>
      <c r="J382" t="n">
        <v>0</v>
      </c>
      <c r="K382" t="n">
        <v>0</v>
      </c>
      <c r="L382" t="n">
        <v>0</v>
      </c>
      <c r="M382" t="n">
        <v>0</v>
      </c>
      <c r="N382" t="n">
        <v>0</v>
      </c>
      <c r="O382" t="n">
        <v>0</v>
      </c>
      <c r="P382" t="n">
        <v>0</v>
      </c>
      <c r="Q382" t="n">
        <v>0</v>
      </c>
      <c r="R382" s="2" t="inlineStr"/>
    </row>
    <row r="383" ht="15" customHeight="1">
      <c r="A383" t="inlineStr">
        <is>
          <t>A 34900-2020</t>
        </is>
      </c>
      <c r="B383" s="1" t="n">
        <v>44036</v>
      </c>
      <c r="C383" s="1" t="n">
        <v>45587</v>
      </c>
      <c r="D383" t="inlineStr">
        <is>
          <t>JÄMTLANDS LÄN</t>
        </is>
      </c>
      <c r="E383" t="inlineStr">
        <is>
          <t>HÄRJEDALEN</t>
        </is>
      </c>
      <c r="G383" t="n">
        <v>13.1</v>
      </c>
      <c r="H383" t="n">
        <v>0</v>
      </c>
      <c r="I383" t="n">
        <v>0</v>
      </c>
      <c r="J383" t="n">
        <v>0</v>
      </c>
      <c r="K383" t="n">
        <v>0</v>
      </c>
      <c r="L383" t="n">
        <v>0</v>
      </c>
      <c r="M383" t="n">
        <v>0</v>
      </c>
      <c r="N383" t="n">
        <v>0</v>
      </c>
      <c r="O383" t="n">
        <v>0</v>
      </c>
      <c r="P383" t="n">
        <v>0</v>
      </c>
      <c r="Q383" t="n">
        <v>0</v>
      </c>
      <c r="R383" s="2" t="inlineStr"/>
    </row>
    <row r="384" ht="15" customHeight="1">
      <c r="A384" t="inlineStr">
        <is>
          <t>A 34975-2020</t>
        </is>
      </c>
      <c r="B384" s="1" t="n">
        <v>44039</v>
      </c>
      <c r="C384" s="1" t="n">
        <v>45587</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34963-2020</t>
        </is>
      </c>
      <c r="B385" s="1" t="n">
        <v>44039</v>
      </c>
      <c r="C385" s="1" t="n">
        <v>45587</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35160-2020</t>
        </is>
      </c>
      <c r="B386" s="1" t="n">
        <v>44040</v>
      </c>
      <c r="C386" s="1" t="n">
        <v>45587</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35436-2020</t>
        </is>
      </c>
      <c r="B387" s="1" t="n">
        <v>44042</v>
      </c>
      <c r="C387" s="1" t="n">
        <v>45587</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35548-2020</t>
        </is>
      </c>
      <c r="B388" s="1" t="n">
        <v>44043</v>
      </c>
      <c r="C388" s="1" t="n">
        <v>45587</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36471-2020</t>
        </is>
      </c>
      <c r="B389" s="1" t="n">
        <v>44050</v>
      </c>
      <c r="C389" s="1" t="n">
        <v>45587</v>
      </c>
      <c r="D389" t="inlineStr">
        <is>
          <t>JÄMTLANDS LÄN</t>
        </is>
      </c>
      <c r="E389" t="inlineStr">
        <is>
          <t>HÄRJEDALEN</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36790-2020</t>
        </is>
      </c>
      <c r="B390" s="1" t="n">
        <v>44053</v>
      </c>
      <c r="C390" s="1" t="n">
        <v>45587</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37780-2020</t>
        </is>
      </c>
      <c r="B391" s="1" t="n">
        <v>44056</v>
      </c>
      <c r="C391" s="1" t="n">
        <v>45587</v>
      </c>
      <c r="D391" t="inlineStr">
        <is>
          <t>JÄMTLANDS LÄN</t>
        </is>
      </c>
      <c r="E391" t="inlineStr">
        <is>
          <t>HÄRJEDALEN</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38044-2020</t>
        </is>
      </c>
      <c r="B392" s="1" t="n">
        <v>44057</v>
      </c>
      <c r="C392" s="1" t="n">
        <v>45587</v>
      </c>
      <c r="D392" t="inlineStr">
        <is>
          <t>JÄMTLANDS LÄN</t>
        </is>
      </c>
      <c r="E392" t="inlineStr">
        <is>
          <t>HÄRJEDALEN</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38107-2020</t>
        </is>
      </c>
      <c r="B393" s="1" t="n">
        <v>44057</v>
      </c>
      <c r="C393" s="1" t="n">
        <v>45587</v>
      </c>
      <c r="D393" t="inlineStr">
        <is>
          <t>JÄMTLANDS LÄN</t>
        </is>
      </c>
      <c r="E393" t="inlineStr">
        <is>
          <t>HÄRJEDALEN</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38403-2020</t>
        </is>
      </c>
      <c r="B394" s="1" t="n">
        <v>44060</v>
      </c>
      <c r="C394" s="1" t="n">
        <v>45587</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c r="U394">
        <f>HYPERLINK("https://klasma.github.io/Logging_2361/knärot/A 38403-2020 karta knärot.png", "A 38403-2020")</f>
        <v/>
      </c>
      <c r="V394">
        <f>HYPERLINK("https://klasma.github.io/Logging_2361/klagomål/A 38403-2020 FSC-klagomål.docx", "A 38403-2020")</f>
        <v/>
      </c>
      <c r="W394">
        <f>HYPERLINK("https://klasma.github.io/Logging_2361/klagomålsmail/A 38403-2020 FSC-klagomål mail.docx", "A 38403-2020")</f>
        <v/>
      </c>
      <c r="X394">
        <f>HYPERLINK("https://klasma.github.io/Logging_2361/tillsyn/A 38403-2020 tillsynsbegäran.docx", "A 38403-2020")</f>
        <v/>
      </c>
      <c r="Y394">
        <f>HYPERLINK("https://klasma.github.io/Logging_2361/tillsynsmail/A 38403-2020 tillsynsbegäran mail.docx", "A 38403-2020")</f>
        <v/>
      </c>
    </row>
    <row r="395" ht="15" customHeight="1">
      <c r="A395" t="inlineStr">
        <is>
          <t>A 42078-2020</t>
        </is>
      </c>
      <c r="B395" s="1" t="n">
        <v>44075</v>
      </c>
      <c r="C395" s="1" t="n">
        <v>45587</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43417-2020</t>
        </is>
      </c>
      <c r="B396" s="1" t="n">
        <v>44078</v>
      </c>
      <c r="C396" s="1" t="n">
        <v>45587</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43748-2020</t>
        </is>
      </c>
      <c r="B397" s="1" t="n">
        <v>44082</v>
      </c>
      <c r="C397" s="1" t="n">
        <v>45587</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43750-2020</t>
        </is>
      </c>
      <c r="B398" s="1" t="n">
        <v>44082</v>
      </c>
      <c r="C398" s="1" t="n">
        <v>45587</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44381-2020</t>
        </is>
      </c>
      <c r="B399" s="1" t="n">
        <v>44084</v>
      </c>
      <c r="C399" s="1" t="n">
        <v>45587</v>
      </c>
      <c r="D399" t="inlineStr">
        <is>
          <t>JÄMTLANDS LÄN</t>
        </is>
      </c>
      <c r="E399" t="inlineStr">
        <is>
          <t>HÄRJEDALEN</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45426-2020</t>
        </is>
      </c>
      <c r="B400" s="1" t="n">
        <v>44088</v>
      </c>
      <c r="C400" s="1" t="n">
        <v>45587</v>
      </c>
      <c r="D400" t="inlineStr">
        <is>
          <t>JÄMTLANDS LÄN</t>
        </is>
      </c>
      <c r="E400" t="inlineStr">
        <is>
          <t>HÄRJEDALEN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45866-2020</t>
        </is>
      </c>
      <c r="B401" s="1" t="n">
        <v>44091</v>
      </c>
      <c r="C401" s="1" t="n">
        <v>45587</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46103-2020</t>
        </is>
      </c>
      <c r="B402" s="1" t="n">
        <v>44091</v>
      </c>
      <c r="C402" s="1" t="n">
        <v>45587</v>
      </c>
      <c r="D402" t="inlineStr">
        <is>
          <t>JÄMTLANDS LÄN</t>
        </is>
      </c>
      <c r="E402" t="inlineStr">
        <is>
          <t>HÄRJEDALEN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46310-2020</t>
        </is>
      </c>
      <c r="B403" s="1" t="n">
        <v>44092</v>
      </c>
      <c r="C403" s="1" t="n">
        <v>45587</v>
      </c>
      <c r="D403" t="inlineStr">
        <is>
          <t>JÄMTLANDS LÄN</t>
        </is>
      </c>
      <c r="E403" t="inlineStr">
        <is>
          <t>HÄRJEDALEN</t>
        </is>
      </c>
      <c r="F403" t="inlineStr">
        <is>
          <t>Bergvik skog väst AB</t>
        </is>
      </c>
      <c r="G403" t="n">
        <v>26.6</v>
      </c>
      <c r="H403" t="n">
        <v>0</v>
      </c>
      <c r="I403" t="n">
        <v>0</v>
      </c>
      <c r="J403" t="n">
        <v>0</v>
      </c>
      <c r="K403" t="n">
        <v>0</v>
      </c>
      <c r="L403" t="n">
        <v>0</v>
      </c>
      <c r="M403" t="n">
        <v>0</v>
      </c>
      <c r="N403" t="n">
        <v>0</v>
      </c>
      <c r="O403" t="n">
        <v>0</v>
      </c>
      <c r="P403" t="n">
        <v>0</v>
      </c>
      <c r="Q403" t="n">
        <v>0</v>
      </c>
      <c r="R403" s="2" t="inlineStr"/>
    </row>
    <row r="404" ht="15" customHeight="1">
      <c r="A404" t="inlineStr">
        <is>
          <t>A 49430-2020</t>
        </is>
      </c>
      <c r="B404" s="1" t="n">
        <v>44102</v>
      </c>
      <c r="C404" s="1" t="n">
        <v>45587</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49447-2020</t>
        </is>
      </c>
      <c r="B405" s="1" t="n">
        <v>44102</v>
      </c>
      <c r="C405" s="1" t="n">
        <v>45587</v>
      </c>
      <c r="D405" t="inlineStr">
        <is>
          <t>JÄMTLANDS LÄN</t>
        </is>
      </c>
      <c r="E405" t="inlineStr">
        <is>
          <t>HÄRJEDALEN</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49248-2020</t>
        </is>
      </c>
      <c r="B406" s="1" t="n">
        <v>44105</v>
      </c>
      <c r="C406" s="1" t="n">
        <v>45587</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49246-2020</t>
        </is>
      </c>
      <c r="B407" s="1" t="n">
        <v>44105</v>
      </c>
      <c r="C407" s="1" t="n">
        <v>45587</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49903-2020</t>
        </is>
      </c>
      <c r="B408" s="1" t="n">
        <v>44108</v>
      </c>
      <c r="C408" s="1" t="n">
        <v>45587</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50018-2020</t>
        </is>
      </c>
      <c r="B409" s="1" t="n">
        <v>44109</v>
      </c>
      <c r="C409" s="1" t="n">
        <v>45587</v>
      </c>
      <c r="D409" t="inlineStr">
        <is>
          <t>JÄMTLANDS LÄN</t>
        </is>
      </c>
      <c r="E409" t="inlineStr">
        <is>
          <t>HÄRJEDALEN</t>
        </is>
      </c>
      <c r="F409" t="inlineStr">
        <is>
          <t>Bergvik skog väst AB</t>
        </is>
      </c>
      <c r="G409" t="n">
        <v>7.1</v>
      </c>
      <c r="H409" t="n">
        <v>0</v>
      </c>
      <c r="I409" t="n">
        <v>0</v>
      </c>
      <c r="J409" t="n">
        <v>0</v>
      </c>
      <c r="K409" t="n">
        <v>0</v>
      </c>
      <c r="L409" t="n">
        <v>0</v>
      </c>
      <c r="M409" t="n">
        <v>0</v>
      </c>
      <c r="N409" t="n">
        <v>0</v>
      </c>
      <c r="O409" t="n">
        <v>0</v>
      </c>
      <c r="P409" t="n">
        <v>0</v>
      </c>
      <c r="Q409" t="n">
        <v>0</v>
      </c>
      <c r="R409" s="2" t="inlineStr"/>
    </row>
    <row r="410" ht="15" customHeight="1">
      <c r="A410" t="inlineStr">
        <is>
          <t>A 54481-2020</t>
        </is>
      </c>
      <c r="B410" s="1" t="n">
        <v>44126</v>
      </c>
      <c r="C410" s="1" t="n">
        <v>45587</v>
      </c>
      <c r="D410" t="inlineStr">
        <is>
          <t>JÄMTLANDS LÄN</t>
        </is>
      </c>
      <c r="E410" t="inlineStr">
        <is>
          <t>HÄRJEDALEN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54537-2020</t>
        </is>
      </c>
      <c r="B411" s="1" t="n">
        <v>44126</v>
      </c>
      <c r="C411" s="1" t="n">
        <v>45587</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54593-2020</t>
        </is>
      </c>
      <c r="B412" s="1" t="n">
        <v>44126</v>
      </c>
      <c r="C412" s="1" t="n">
        <v>45587</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54716-2020</t>
        </is>
      </c>
      <c r="B413" s="1" t="n">
        <v>44127</v>
      </c>
      <c r="C413" s="1" t="n">
        <v>45587</v>
      </c>
      <c r="D413" t="inlineStr">
        <is>
          <t>JÄMTLANDS LÄN</t>
        </is>
      </c>
      <c r="E413" t="inlineStr">
        <is>
          <t>HÄRJEDALEN</t>
        </is>
      </c>
      <c r="F413" t="inlineStr">
        <is>
          <t>Kyrkan</t>
        </is>
      </c>
      <c r="G413" t="n">
        <v>21.3</v>
      </c>
      <c r="H413" t="n">
        <v>0</v>
      </c>
      <c r="I413" t="n">
        <v>0</v>
      </c>
      <c r="J413" t="n">
        <v>0</v>
      </c>
      <c r="K413" t="n">
        <v>0</v>
      </c>
      <c r="L413" t="n">
        <v>0</v>
      </c>
      <c r="M413" t="n">
        <v>0</v>
      </c>
      <c r="N413" t="n">
        <v>0</v>
      </c>
      <c r="O413" t="n">
        <v>0</v>
      </c>
      <c r="P413" t="n">
        <v>0</v>
      </c>
      <c r="Q413" t="n">
        <v>0</v>
      </c>
      <c r="R413" s="2" t="inlineStr"/>
    </row>
    <row r="414" ht="15" customHeight="1">
      <c r="A414" t="inlineStr">
        <is>
          <t>A 55834-2020</t>
        </is>
      </c>
      <c r="B414" s="1" t="n">
        <v>44132</v>
      </c>
      <c r="C414" s="1" t="n">
        <v>45587</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56001-2020</t>
        </is>
      </c>
      <c r="B415" s="1" t="n">
        <v>44133</v>
      </c>
      <c r="C415" s="1" t="n">
        <v>45587</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57196-2020</t>
        </is>
      </c>
      <c r="B416" s="1" t="n">
        <v>44139</v>
      </c>
      <c r="C416" s="1" t="n">
        <v>45587</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59533-2020</t>
        </is>
      </c>
      <c r="B417" s="1" t="n">
        <v>44148</v>
      </c>
      <c r="C417" s="1" t="n">
        <v>45587</v>
      </c>
      <c r="D417" t="inlineStr">
        <is>
          <t>JÄMTLANDS LÄN</t>
        </is>
      </c>
      <c r="E417" t="inlineStr">
        <is>
          <t>HÄRJEDALEN</t>
        </is>
      </c>
      <c r="F417" t="inlineStr">
        <is>
          <t>Holmen skog AB</t>
        </is>
      </c>
      <c r="G417" t="n">
        <v>38.3</v>
      </c>
      <c r="H417" t="n">
        <v>0</v>
      </c>
      <c r="I417" t="n">
        <v>0</v>
      </c>
      <c r="J417" t="n">
        <v>0</v>
      </c>
      <c r="K417" t="n">
        <v>0</v>
      </c>
      <c r="L417" t="n">
        <v>0</v>
      </c>
      <c r="M417" t="n">
        <v>0</v>
      </c>
      <c r="N417" t="n">
        <v>0</v>
      </c>
      <c r="O417" t="n">
        <v>0</v>
      </c>
      <c r="P417" t="n">
        <v>0</v>
      </c>
      <c r="Q417" t="n">
        <v>0</v>
      </c>
      <c r="R417" s="2" t="inlineStr"/>
    </row>
    <row r="418" ht="15" customHeight="1">
      <c r="A418" t="inlineStr">
        <is>
          <t>A 60087-2020</t>
        </is>
      </c>
      <c r="B418" s="1" t="n">
        <v>44151</v>
      </c>
      <c r="C418" s="1" t="n">
        <v>45587</v>
      </c>
      <c r="D418" t="inlineStr">
        <is>
          <t>JÄMTLANDS LÄN</t>
        </is>
      </c>
      <c r="E418" t="inlineStr">
        <is>
          <t>HÄRJEDALEN</t>
        </is>
      </c>
      <c r="G418" t="n">
        <v>9.4</v>
      </c>
      <c r="H418" t="n">
        <v>0</v>
      </c>
      <c r="I418" t="n">
        <v>0</v>
      </c>
      <c r="J418" t="n">
        <v>0</v>
      </c>
      <c r="K418" t="n">
        <v>0</v>
      </c>
      <c r="L418" t="n">
        <v>0</v>
      </c>
      <c r="M418" t="n">
        <v>0</v>
      </c>
      <c r="N418" t="n">
        <v>0</v>
      </c>
      <c r="O418" t="n">
        <v>0</v>
      </c>
      <c r="P418" t="n">
        <v>0</v>
      </c>
      <c r="Q418" t="n">
        <v>0</v>
      </c>
      <c r="R418" s="2" t="inlineStr"/>
    </row>
    <row r="419" ht="15" customHeight="1">
      <c r="A419" t="inlineStr">
        <is>
          <t>A 60424-2020</t>
        </is>
      </c>
      <c r="B419" s="1" t="n">
        <v>44153</v>
      </c>
      <c r="C419" s="1" t="n">
        <v>45587</v>
      </c>
      <c r="D419" t="inlineStr">
        <is>
          <t>JÄMTLANDS LÄN</t>
        </is>
      </c>
      <c r="E419" t="inlineStr">
        <is>
          <t>HÄRJEDALEN</t>
        </is>
      </c>
      <c r="F419" t="inlineStr">
        <is>
          <t>Holmen skog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60429-2020</t>
        </is>
      </c>
      <c r="B420" s="1" t="n">
        <v>44153</v>
      </c>
      <c r="C420" s="1" t="n">
        <v>45587</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60606-2020</t>
        </is>
      </c>
      <c r="B421" s="1" t="n">
        <v>44153</v>
      </c>
      <c r="C421" s="1" t="n">
        <v>45587</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60422-2020</t>
        </is>
      </c>
      <c r="B422" s="1" t="n">
        <v>44153</v>
      </c>
      <c r="C422" s="1" t="n">
        <v>45587</v>
      </c>
      <c r="D422" t="inlineStr">
        <is>
          <t>JÄMTLANDS LÄN</t>
        </is>
      </c>
      <c r="E422" t="inlineStr">
        <is>
          <t>HÄRJEDALEN</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60836-2020</t>
        </is>
      </c>
      <c r="B423" s="1" t="n">
        <v>44154</v>
      </c>
      <c r="C423" s="1" t="n">
        <v>45587</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60794-2020</t>
        </is>
      </c>
      <c r="B424" s="1" t="n">
        <v>44154</v>
      </c>
      <c r="C424" s="1" t="n">
        <v>45587</v>
      </c>
      <c r="D424" t="inlineStr">
        <is>
          <t>JÄMTLANDS LÄN</t>
        </is>
      </c>
      <c r="E424" t="inlineStr">
        <is>
          <t>HÄRJEDALEN</t>
        </is>
      </c>
      <c r="F424" t="inlineStr">
        <is>
          <t>Holmen skog AB</t>
        </is>
      </c>
      <c r="G424" t="n">
        <v>5.5</v>
      </c>
      <c r="H424" t="n">
        <v>0</v>
      </c>
      <c r="I424" t="n">
        <v>0</v>
      </c>
      <c r="J424" t="n">
        <v>0</v>
      </c>
      <c r="K424" t="n">
        <v>0</v>
      </c>
      <c r="L424" t="n">
        <v>0</v>
      </c>
      <c r="M424" t="n">
        <v>0</v>
      </c>
      <c r="N424" t="n">
        <v>0</v>
      </c>
      <c r="O424" t="n">
        <v>0</v>
      </c>
      <c r="P424" t="n">
        <v>0</v>
      </c>
      <c r="Q424" t="n">
        <v>0</v>
      </c>
      <c r="R424" s="2" t="inlineStr"/>
    </row>
    <row r="425" ht="15" customHeight="1">
      <c r="A425" t="inlineStr">
        <is>
          <t>A 61232-2020</t>
        </is>
      </c>
      <c r="B425" s="1" t="n">
        <v>44155</v>
      </c>
      <c r="C425" s="1" t="n">
        <v>45587</v>
      </c>
      <c r="D425" t="inlineStr">
        <is>
          <t>JÄMTLANDS LÄN</t>
        </is>
      </c>
      <c r="E425" t="inlineStr">
        <is>
          <t>HÄRJEDALEN</t>
        </is>
      </c>
      <c r="G425" t="n">
        <v>8.5</v>
      </c>
      <c r="H425" t="n">
        <v>0</v>
      </c>
      <c r="I425" t="n">
        <v>0</v>
      </c>
      <c r="J425" t="n">
        <v>0</v>
      </c>
      <c r="K425" t="n">
        <v>0</v>
      </c>
      <c r="L425" t="n">
        <v>0</v>
      </c>
      <c r="M425" t="n">
        <v>0</v>
      </c>
      <c r="N425" t="n">
        <v>0</v>
      </c>
      <c r="O425" t="n">
        <v>0</v>
      </c>
      <c r="P425" t="n">
        <v>0</v>
      </c>
      <c r="Q425" t="n">
        <v>0</v>
      </c>
      <c r="R425" s="2" t="inlineStr"/>
    </row>
    <row r="426" ht="15" customHeight="1">
      <c r="A426" t="inlineStr">
        <is>
          <t>A 63133-2020</t>
        </is>
      </c>
      <c r="B426" s="1" t="n">
        <v>44162</v>
      </c>
      <c r="C426" s="1" t="n">
        <v>45587</v>
      </c>
      <c r="D426" t="inlineStr">
        <is>
          <t>JÄMTLANDS LÄN</t>
        </is>
      </c>
      <c r="E426" t="inlineStr">
        <is>
          <t>HÄRJEDALEN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64281-2020</t>
        </is>
      </c>
      <c r="B427" s="1" t="n">
        <v>44166</v>
      </c>
      <c r="C427" s="1" t="n">
        <v>45587</v>
      </c>
      <c r="D427" t="inlineStr">
        <is>
          <t>JÄMTLANDS LÄN</t>
        </is>
      </c>
      <c r="E427" t="inlineStr">
        <is>
          <t>HÄRJEDALEN</t>
        </is>
      </c>
      <c r="F427" t="inlineStr">
        <is>
          <t>Övriga statliga verk och myndigheter</t>
        </is>
      </c>
      <c r="G427" t="n">
        <v>4.1</v>
      </c>
      <c r="H427" t="n">
        <v>0</v>
      </c>
      <c r="I427" t="n">
        <v>0</v>
      </c>
      <c r="J427" t="n">
        <v>0</v>
      </c>
      <c r="K427" t="n">
        <v>0</v>
      </c>
      <c r="L427" t="n">
        <v>0</v>
      </c>
      <c r="M427" t="n">
        <v>0</v>
      </c>
      <c r="N427" t="n">
        <v>0</v>
      </c>
      <c r="O427" t="n">
        <v>0</v>
      </c>
      <c r="P427" t="n">
        <v>0</v>
      </c>
      <c r="Q427" t="n">
        <v>0</v>
      </c>
      <c r="R427" s="2" t="inlineStr"/>
    </row>
    <row r="428" ht="15" customHeight="1">
      <c r="A428" t="inlineStr">
        <is>
          <t>A 64300-2020</t>
        </is>
      </c>
      <c r="B428" s="1" t="n">
        <v>44166</v>
      </c>
      <c r="C428" s="1" t="n">
        <v>45587</v>
      </c>
      <c r="D428" t="inlineStr">
        <is>
          <t>JÄMTLANDS LÄN</t>
        </is>
      </c>
      <c r="E428" t="inlineStr">
        <is>
          <t>HÄRJEDALEN</t>
        </is>
      </c>
      <c r="F428" t="inlineStr">
        <is>
          <t>Övriga statliga verk och myndigheter</t>
        </is>
      </c>
      <c r="G428" t="n">
        <v>58</v>
      </c>
      <c r="H428" t="n">
        <v>0</v>
      </c>
      <c r="I428" t="n">
        <v>0</v>
      </c>
      <c r="J428" t="n">
        <v>0</v>
      </c>
      <c r="K428" t="n">
        <v>0</v>
      </c>
      <c r="L428" t="n">
        <v>0</v>
      </c>
      <c r="M428" t="n">
        <v>0</v>
      </c>
      <c r="N428" t="n">
        <v>0</v>
      </c>
      <c r="O428" t="n">
        <v>0</v>
      </c>
      <c r="P428" t="n">
        <v>0</v>
      </c>
      <c r="Q428" t="n">
        <v>0</v>
      </c>
      <c r="R428" s="2" t="inlineStr"/>
    </row>
    <row r="429" ht="15" customHeight="1">
      <c r="A429" t="inlineStr">
        <is>
          <t>A 63949-2020</t>
        </is>
      </c>
      <c r="B429" s="1" t="n">
        <v>44167</v>
      </c>
      <c r="C429" s="1" t="n">
        <v>45587</v>
      </c>
      <c r="D429" t="inlineStr">
        <is>
          <t>JÄMTLANDS LÄN</t>
        </is>
      </c>
      <c r="E429" t="inlineStr">
        <is>
          <t>HÄRJEDALEN</t>
        </is>
      </c>
      <c r="F429" t="inlineStr">
        <is>
          <t>Bergvik skog väst AB</t>
        </is>
      </c>
      <c r="G429" t="n">
        <v>10.8</v>
      </c>
      <c r="H429" t="n">
        <v>0</v>
      </c>
      <c r="I429" t="n">
        <v>0</v>
      </c>
      <c r="J429" t="n">
        <v>0</v>
      </c>
      <c r="K429" t="n">
        <v>0</v>
      </c>
      <c r="L429" t="n">
        <v>0</v>
      </c>
      <c r="M429" t="n">
        <v>0</v>
      </c>
      <c r="N429" t="n">
        <v>0</v>
      </c>
      <c r="O429" t="n">
        <v>0</v>
      </c>
      <c r="P429" t="n">
        <v>0</v>
      </c>
      <c r="Q429" t="n">
        <v>0</v>
      </c>
      <c r="R429" s="2" t="inlineStr"/>
    </row>
    <row r="430" ht="15" customHeight="1">
      <c r="A430" t="inlineStr">
        <is>
          <t>A 63979-2020</t>
        </is>
      </c>
      <c r="B430" s="1" t="n">
        <v>44167</v>
      </c>
      <c r="C430" s="1" t="n">
        <v>45587</v>
      </c>
      <c r="D430" t="inlineStr">
        <is>
          <t>JÄMTLANDS LÄN</t>
        </is>
      </c>
      <c r="E430" t="inlineStr">
        <is>
          <t>HÄRJEDALEN</t>
        </is>
      </c>
      <c r="G430" t="n">
        <v>10</v>
      </c>
      <c r="H430" t="n">
        <v>0</v>
      </c>
      <c r="I430" t="n">
        <v>0</v>
      </c>
      <c r="J430" t="n">
        <v>0</v>
      </c>
      <c r="K430" t="n">
        <v>0</v>
      </c>
      <c r="L430" t="n">
        <v>0</v>
      </c>
      <c r="M430" t="n">
        <v>0</v>
      </c>
      <c r="N430" t="n">
        <v>0</v>
      </c>
      <c r="O430" t="n">
        <v>0</v>
      </c>
      <c r="P430" t="n">
        <v>0</v>
      </c>
      <c r="Q430" t="n">
        <v>0</v>
      </c>
      <c r="R430" s="2" t="inlineStr"/>
    </row>
    <row r="431" ht="15" customHeight="1">
      <c r="A431" t="inlineStr">
        <is>
          <t>A 64539-2020</t>
        </is>
      </c>
      <c r="B431" s="1" t="n">
        <v>44169</v>
      </c>
      <c r="C431" s="1" t="n">
        <v>45587</v>
      </c>
      <c r="D431" t="inlineStr">
        <is>
          <t>JÄMTLANDS LÄN</t>
        </is>
      </c>
      <c r="E431" t="inlineStr">
        <is>
          <t>HÄRJEDALEN</t>
        </is>
      </c>
      <c r="G431" t="n">
        <v>5.6</v>
      </c>
      <c r="H431" t="n">
        <v>0</v>
      </c>
      <c r="I431" t="n">
        <v>0</v>
      </c>
      <c r="J431" t="n">
        <v>0</v>
      </c>
      <c r="K431" t="n">
        <v>0</v>
      </c>
      <c r="L431" t="n">
        <v>0</v>
      </c>
      <c r="M431" t="n">
        <v>0</v>
      </c>
      <c r="N431" t="n">
        <v>0</v>
      </c>
      <c r="O431" t="n">
        <v>0</v>
      </c>
      <c r="P431" t="n">
        <v>0</v>
      </c>
      <c r="Q431" t="n">
        <v>0</v>
      </c>
      <c r="R431" s="2" t="inlineStr"/>
    </row>
    <row r="432" ht="15" customHeight="1">
      <c r="A432" t="inlineStr">
        <is>
          <t>A 64579-2020</t>
        </is>
      </c>
      <c r="B432" s="1" t="n">
        <v>44169</v>
      </c>
      <c r="C432" s="1" t="n">
        <v>45587</v>
      </c>
      <c r="D432" t="inlineStr">
        <is>
          <t>JÄMTLANDS LÄN</t>
        </is>
      </c>
      <c r="E432" t="inlineStr">
        <is>
          <t>HÄRJEDALEN</t>
        </is>
      </c>
      <c r="G432" t="n">
        <v>12.4</v>
      </c>
      <c r="H432" t="n">
        <v>0</v>
      </c>
      <c r="I432" t="n">
        <v>0</v>
      </c>
      <c r="J432" t="n">
        <v>0</v>
      </c>
      <c r="K432" t="n">
        <v>0</v>
      </c>
      <c r="L432" t="n">
        <v>0</v>
      </c>
      <c r="M432" t="n">
        <v>0</v>
      </c>
      <c r="N432" t="n">
        <v>0</v>
      </c>
      <c r="O432" t="n">
        <v>0</v>
      </c>
      <c r="P432" t="n">
        <v>0</v>
      </c>
      <c r="Q432" t="n">
        <v>0</v>
      </c>
      <c r="R432" s="2" t="inlineStr"/>
    </row>
    <row r="433" ht="15" customHeight="1">
      <c r="A433" t="inlineStr">
        <is>
          <t>A 65817-2020</t>
        </is>
      </c>
      <c r="B433" s="1" t="n">
        <v>44174</v>
      </c>
      <c r="C433" s="1" t="n">
        <v>45587</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66276-2020</t>
        </is>
      </c>
      <c r="B434" s="1" t="n">
        <v>44174</v>
      </c>
      <c r="C434" s="1" t="n">
        <v>45587</v>
      </c>
      <c r="D434" t="inlineStr">
        <is>
          <t>JÄMTLANDS LÄN</t>
        </is>
      </c>
      <c r="E434" t="inlineStr">
        <is>
          <t>HÄRJEDALEN</t>
        </is>
      </c>
      <c r="G434" t="n">
        <v>4</v>
      </c>
      <c r="H434" t="n">
        <v>0</v>
      </c>
      <c r="I434" t="n">
        <v>0</v>
      </c>
      <c r="J434" t="n">
        <v>0</v>
      </c>
      <c r="K434" t="n">
        <v>0</v>
      </c>
      <c r="L434" t="n">
        <v>0</v>
      </c>
      <c r="M434" t="n">
        <v>0</v>
      </c>
      <c r="N434" t="n">
        <v>0</v>
      </c>
      <c r="O434" t="n">
        <v>0</v>
      </c>
      <c r="P434" t="n">
        <v>0</v>
      </c>
      <c r="Q434" t="n">
        <v>0</v>
      </c>
      <c r="R434" s="2" t="inlineStr"/>
    </row>
    <row r="435" ht="15" customHeight="1">
      <c r="A435" t="inlineStr">
        <is>
          <t>A 66720-2020</t>
        </is>
      </c>
      <c r="B435" s="1" t="n">
        <v>44179</v>
      </c>
      <c r="C435" s="1" t="n">
        <v>45587</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67099-2020</t>
        </is>
      </c>
      <c r="B436" s="1" t="n">
        <v>44180</v>
      </c>
      <c r="C436" s="1" t="n">
        <v>45587</v>
      </c>
      <c r="D436" t="inlineStr">
        <is>
          <t>JÄMTLANDS LÄN</t>
        </is>
      </c>
      <c r="E436" t="inlineStr">
        <is>
          <t>HÄRJEDALEN</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67156-2020</t>
        </is>
      </c>
      <c r="B437" s="1" t="n">
        <v>44180</v>
      </c>
      <c r="C437" s="1" t="n">
        <v>45587</v>
      </c>
      <c r="D437" t="inlineStr">
        <is>
          <t>JÄMTLANDS LÄN</t>
        </is>
      </c>
      <c r="E437" t="inlineStr">
        <is>
          <t>HÄRJEDALEN</t>
        </is>
      </c>
      <c r="F437" t="inlineStr">
        <is>
          <t>Holmen skog AB</t>
        </is>
      </c>
      <c r="G437" t="n">
        <v>7.3</v>
      </c>
      <c r="H437" t="n">
        <v>0</v>
      </c>
      <c r="I437" t="n">
        <v>0</v>
      </c>
      <c r="J437" t="n">
        <v>0</v>
      </c>
      <c r="K437" t="n">
        <v>0</v>
      </c>
      <c r="L437" t="n">
        <v>0</v>
      </c>
      <c r="M437" t="n">
        <v>0</v>
      </c>
      <c r="N437" t="n">
        <v>0</v>
      </c>
      <c r="O437" t="n">
        <v>0</v>
      </c>
      <c r="P437" t="n">
        <v>0</v>
      </c>
      <c r="Q437" t="n">
        <v>0</v>
      </c>
      <c r="R437" s="2" t="inlineStr"/>
    </row>
    <row r="438" ht="15" customHeight="1">
      <c r="A438" t="inlineStr">
        <is>
          <t>A 67110-2020</t>
        </is>
      </c>
      <c r="B438" s="1" t="n">
        <v>44180</v>
      </c>
      <c r="C438" s="1" t="n">
        <v>45587</v>
      </c>
      <c r="D438" t="inlineStr">
        <is>
          <t>JÄMTLANDS LÄN</t>
        </is>
      </c>
      <c r="E438" t="inlineStr">
        <is>
          <t>HÄRJEDALEN</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45587</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67194-2020</t>
        </is>
      </c>
      <c r="B440" s="1" t="n">
        <v>44180</v>
      </c>
      <c r="C440" s="1" t="n">
        <v>45587</v>
      </c>
      <c r="D440" t="inlineStr">
        <is>
          <t>JÄMTLANDS LÄN</t>
        </is>
      </c>
      <c r="E440" t="inlineStr">
        <is>
          <t>HÄRJEDALEN</t>
        </is>
      </c>
      <c r="F440" t="inlineStr">
        <is>
          <t>Holmen skog AB</t>
        </is>
      </c>
      <c r="G440" t="n">
        <v>8.5</v>
      </c>
      <c r="H440" t="n">
        <v>0</v>
      </c>
      <c r="I440" t="n">
        <v>0</v>
      </c>
      <c r="J440" t="n">
        <v>0</v>
      </c>
      <c r="K440" t="n">
        <v>0</v>
      </c>
      <c r="L440" t="n">
        <v>0</v>
      </c>
      <c r="M440" t="n">
        <v>0</v>
      </c>
      <c r="N440" t="n">
        <v>0</v>
      </c>
      <c r="O440" t="n">
        <v>0</v>
      </c>
      <c r="P440" t="n">
        <v>0</v>
      </c>
      <c r="Q440" t="n">
        <v>0</v>
      </c>
      <c r="R440" s="2" t="inlineStr"/>
    </row>
    <row r="441" ht="15" customHeight="1">
      <c r="A441" t="inlineStr">
        <is>
          <t>A 67180-2020</t>
        </is>
      </c>
      <c r="B441" s="1" t="n">
        <v>44180</v>
      </c>
      <c r="C441" s="1" t="n">
        <v>45587</v>
      </c>
      <c r="D441" t="inlineStr">
        <is>
          <t>JÄMTLANDS LÄN</t>
        </is>
      </c>
      <c r="E441" t="inlineStr">
        <is>
          <t>HÄRJEDALEN</t>
        </is>
      </c>
      <c r="G441" t="n">
        <v>0</v>
      </c>
      <c r="H441" t="n">
        <v>0</v>
      </c>
      <c r="I441" t="n">
        <v>0</v>
      </c>
      <c r="J441" t="n">
        <v>0</v>
      </c>
      <c r="K441" t="n">
        <v>0</v>
      </c>
      <c r="L441" t="n">
        <v>0</v>
      </c>
      <c r="M441" t="n">
        <v>0</v>
      </c>
      <c r="N441" t="n">
        <v>0</v>
      </c>
      <c r="O441" t="n">
        <v>0</v>
      </c>
      <c r="P441" t="n">
        <v>0</v>
      </c>
      <c r="Q441" t="n">
        <v>0</v>
      </c>
      <c r="R441" s="2" t="inlineStr"/>
    </row>
    <row r="442" ht="15" customHeight="1">
      <c r="A442" t="inlineStr">
        <is>
          <t>A 67106-2020</t>
        </is>
      </c>
      <c r="B442" s="1" t="n">
        <v>44180</v>
      </c>
      <c r="C442" s="1" t="n">
        <v>45587</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67457-2020</t>
        </is>
      </c>
      <c r="B443" s="1" t="n">
        <v>44181</v>
      </c>
      <c r="C443" s="1" t="n">
        <v>45587</v>
      </c>
      <c r="D443" t="inlineStr">
        <is>
          <t>JÄMTLANDS LÄN</t>
        </is>
      </c>
      <c r="E443" t="inlineStr">
        <is>
          <t>HÄRJEDALEN</t>
        </is>
      </c>
      <c r="F443" t="inlineStr">
        <is>
          <t>Holmen skog AB</t>
        </is>
      </c>
      <c r="G443" t="n">
        <v>30</v>
      </c>
      <c r="H443" t="n">
        <v>0</v>
      </c>
      <c r="I443" t="n">
        <v>0</v>
      </c>
      <c r="J443" t="n">
        <v>0</v>
      </c>
      <c r="K443" t="n">
        <v>0</v>
      </c>
      <c r="L443" t="n">
        <v>0</v>
      </c>
      <c r="M443" t="n">
        <v>0</v>
      </c>
      <c r="N443" t="n">
        <v>0</v>
      </c>
      <c r="O443" t="n">
        <v>0</v>
      </c>
      <c r="P443" t="n">
        <v>0</v>
      </c>
      <c r="Q443" t="n">
        <v>0</v>
      </c>
      <c r="R443" s="2" t="inlineStr"/>
    </row>
    <row r="444" ht="15" customHeight="1">
      <c r="A444" t="inlineStr">
        <is>
          <t>A 67522-2020</t>
        </is>
      </c>
      <c r="B444" s="1" t="n">
        <v>44181</v>
      </c>
      <c r="C444" s="1" t="n">
        <v>45587</v>
      </c>
      <c r="D444" t="inlineStr">
        <is>
          <t>JÄMTLANDS LÄN</t>
        </is>
      </c>
      <c r="E444" t="inlineStr">
        <is>
          <t>HÄRJEDALEN</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67416-2020</t>
        </is>
      </c>
      <c r="B445" s="1" t="n">
        <v>44181</v>
      </c>
      <c r="C445" s="1" t="n">
        <v>45587</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67445-2020</t>
        </is>
      </c>
      <c r="B446" s="1" t="n">
        <v>44181</v>
      </c>
      <c r="C446" s="1" t="n">
        <v>45587</v>
      </c>
      <c r="D446" t="inlineStr">
        <is>
          <t>JÄMTLANDS LÄN</t>
        </is>
      </c>
      <c r="E446" t="inlineStr">
        <is>
          <t>HÄRJEDALEN</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67459-2020</t>
        </is>
      </c>
      <c r="B447" s="1" t="n">
        <v>44181</v>
      </c>
      <c r="C447" s="1" t="n">
        <v>45587</v>
      </c>
      <c r="D447" t="inlineStr">
        <is>
          <t>JÄMTLANDS LÄN</t>
        </is>
      </c>
      <c r="E447" t="inlineStr">
        <is>
          <t>HÄRJEDALEN</t>
        </is>
      </c>
      <c r="F447" t="inlineStr">
        <is>
          <t>Holmen skog AB</t>
        </is>
      </c>
      <c r="G447" t="n">
        <v>17.7</v>
      </c>
      <c r="H447" t="n">
        <v>0</v>
      </c>
      <c r="I447" t="n">
        <v>0</v>
      </c>
      <c r="J447" t="n">
        <v>0</v>
      </c>
      <c r="K447" t="n">
        <v>0</v>
      </c>
      <c r="L447" t="n">
        <v>0</v>
      </c>
      <c r="M447" t="n">
        <v>0</v>
      </c>
      <c r="N447" t="n">
        <v>0</v>
      </c>
      <c r="O447" t="n">
        <v>0</v>
      </c>
      <c r="P447" t="n">
        <v>0</v>
      </c>
      <c r="Q447" t="n">
        <v>0</v>
      </c>
      <c r="R447" s="2" t="inlineStr"/>
    </row>
    <row r="448" ht="15" customHeight="1">
      <c r="A448" t="inlineStr">
        <is>
          <t>A 67529-2020</t>
        </is>
      </c>
      <c r="B448" s="1" t="n">
        <v>44181</v>
      </c>
      <c r="C448" s="1" t="n">
        <v>45587</v>
      </c>
      <c r="D448" t="inlineStr">
        <is>
          <t>JÄMTLANDS LÄN</t>
        </is>
      </c>
      <c r="E448" t="inlineStr">
        <is>
          <t>HÄRJEDALEN</t>
        </is>
      </c>
      <c r="F448" t="inlineStr">
        <is>
          <t>Holmen skog AB</t>
        </is>
      </c>
      <c r="G448" t="n">
        <v>5.4</v>
      </c>
      <c r="H448" t="n">
        <v>0</v>
      </c>
      <c r="I448" t="n">
        <v>0</v>
      </c>
      <c r="J448" t="n">
        <v>0</v>
      </c>
      <c r="K448" t="n">
        <v>0</v>
      </c>
      <c r="L448" t="n">
        <v>0</v>
      </c>
      <c r="M448" t="n">
        <v>0</v>
      </c>
      <c r="N448" t="n">
        <v>0</v>
      </c>
      <c r="O448" t="n">
        <v>0</v>
      </c>
      <c r="P448" t="n">
        <v>0</v>
      </c>
      <c r="Q448" t="n">
        <v>0</v>
      </c>
      <c r="R448" s="2" t="inlineStr"/>
    </row>
    <row r="449" ht="15" customHeight="1">
      <c r="A449" t="inlineStr">
        <is>
          <t>A 67411-2020</t>
        </is>
      </c>
      <c r="B449" s="1" t="n">
        <v>44181</v>
      </c>
      <c r="C449" s="1" t="n">
        <v>45587</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67438-2020</t>
        </is>
      </c>
      <c r="B450" s="1" t="n">
        <v>44181</v>
      </c>
      <c r="C450" s="1" t="n">
        <v>45587</v>
      </c>
      <c r="D450" t="inlineStr">
        <is>
          <t>JÄMTLANDS LÄN</t>
        </is>
      </c>
      <c r="E450" t="inlineStr">
        <is>
          <t>HÄRJEDALEN</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67447-2020</t>
        </is>
      </c>
      <c r="B451" s="1" t="n">
        <v>44181</v>
      </c>
      <c r="C451" s="1" t="n">
        <v>45587</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67454-2020</t>
        </is>
      </c>
      <c r="B452" s="1" t="n">
        <v>44181</v>
      </c>
      <c r="C452" s="1" t="n">
        <v>45587</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67498-2020</t>
        </is>
      </c>
      <c r="B453" s="1" t="n">
        <v>44181</v>
      </c>
      <c r="C453" s="1" t="n">
        <v>45587</v>
      </c>
      <c r="D453" t="inlineStr">
        <is>
          <t>JÄMTLANDS LÄN</t>
        </is>
      </c>
      <c r="E453" t="inlineStr">
        <is>
          <t>HÄRJEDALEN</t>
        </is>
      </c>
      <c r="F453" t="inlineStr">
        <is>
          <t>Holmen skog AB</t>
        </is>
      </c>
      <c r="G453" t="n">
        <v>15.9</v>
      </c>
      <c r="H453" t="n">
        <v>0</v>
      </c>
      <c r="I453" t="n">
        <v>0</v>
      </c>
      <c r="J453" t="n">
        <v>0</v>
      </c>
      <c r="K453" t="n">
        <v>0</v>
      </c>
      <c r="L453" t="n">
        <v>0</v>
      </c>
      <c r="M453" t="n">
        <v>0</v>
      </c>
      <c r="N453" t="n">
        <v>0</v>
      </c>
      <c r="O453" t="n">
        <v>0</v>
      </c>
      <c r="P453" t="n">
        <v>0</v>
      </c>
      <c r="Q453" t="n">
        <v>0</v>
      </c>
      <c r="R453" s="2" t="inlineStr"/>
    </row>
    <row r="454" ht="15" customHeight="1">
      <c r="A454" t="inlineStr">
        <is>
          <t>A 67507-2020</t>
        </is>
      </c>
      <c r="B454" s="1" t="n">
        <v>44181</v>
      </c>
      <c r="C454" s="1" t="n">
        <v>45587</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67526-2020</t>
        </is>
      </c>
      <c r="B455" s="1" t="n">
        <v>44181</v>
      </c>
      <c r="C455" s="1" t="n">
        <v>45587</v>
      </c>
      <c r="D455" t="inlineStr">
        <is>
          <t>JÄMTLANDS LÄN</t>
        </is>
      </c>
      <c r="E455" t="inlineStr">
        <is>
          <t>HÄRJEDALEN</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67409-2020</t>
        </is>
      </c>
      <c r="B456" s="1" t="n">
        <v>44181</v>
      </c>
      <c r="C456" s="1" t="n">
        <v>45587</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67720-2020</t>
        </is>
      </c>
      <c r="B457" s="1" t="n">
        <v>44182</v>
      </c>
      <c r="C457" s="1" t="n">
        <v>45587</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67697-2020</t>
        </is>
      </c>
      <c r="B458" s="1" t="n">
        <v>44182</v>
      </c>
      <c r="C458" s="1" t="n">
        <v>45587</v>
      </c>
      <c r="D458" t="inlineStr">
        <is>
          <t>JÄMTLANDS LÄN</t>
        </is>
      </c>
      <c r="E458" t="inlineStr">
        <is>
          <t>HÄRJEDALEN</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67714-2020</t>
        </is>
      </c>
      <c r="B459" s="1" t="n">
        <v>44182</v>
      </c>
      <c r="C459" s="1" t="n">
        <v>45587</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67821-2020</t>
        </is>
      </c>
      <c r="B460" s="1" t="n">
        <v>44182</v>
      </c>
      <c r="C460" s="1" t="n">
        <v>45587</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68141-2020</t>
        </is>
      </c>
      <c r="B461" s="1" t="n">
        <v>44183</v>
      </c>
      <c r="C461" s="1" t="n">
        <v>45587</v>
      </c>
      <c r="D461" t="inlineStr">
        <is>
          <t>JÄMTLANDS LÄN</t>
        </is>
      </c>
      <c r="E461" t="inlineStr">
        <is>
          <t>HÄRJEDALEN</t>
        </is>
      </c>
      <c r="G461" t="n">
        <v>3.1</v>
      </c>
      <c r="H461" t="n">
        <v>0</v>
      </c>
      <c r="I461" t="n">
        <v>0</v>
      </c>
      <c r="J461" t="n">
        <v>0</v>
      </c>
      <c r="K461" t="n">
        <v>0</v>
      </c>
      <c r="L461" t="n">
        <v>0</v>
      </c>
      <c r="M461" t="n">
        <v>0</v>
      </c>
      <c r="N461" t="n">
        <v>0</v>
      </c>
      <c r="O461" t="n">
        <v>0</v>
      </c>
      <c r="P461" t="n">
        <v>0</v>
      </c>
      <c r="Q461" t="n">
        <v>0</v>
      </c>
      <c r="R461" s="2" t="inlineStr"/>
    </row>
    <row r="462" ht="15" customHeight="1">
      <c r="A462" t="inlineStr">
        <is>
          <t>A 69108-2020</t>
        </is>
      </c>
      <c r="B462" s="1" t="n">
        <v>44188</v>
      </c>
      <c r="C462" s="1" t="n">
        <v>45587</v>
      </c>
      <c r="D462" t="inlineStr">
        <is>
          <t>JÄMTLANDS LÄN</t>
        </is>
      </c>
      <c r="E462" t="inlineStr">
        <is>
          <t>HÄRJEDALEN</t>
        </is>
      </c>
      <c r="G462" t="n">
        <v>0.9</v>
      </c>
      <c r="H462" t="n">
        <v>0</v>
      </c>
      <c r="I462" t="n">
        <v>0</v>
      </c>
      <c r="J462" t="n">
        <v>0</v>
      </c>
      <c r="K462" t="n">
        <v>0</v>
      </c>
      <c r="L462" t="n">
        <v>0</v>
      </c>
      <c r="M462" t="n">
        <v>0</v>
      </c>
      <c r="N462" t="n">
        <v>0</v>
      </c>
      <c r="O462" t="n">
        <v>0</v>
      </c>
      <c r="P462" t="n">
        <v>0</v>
      </c>
      <c r="Q462" t="n">
        <v>0</v>
      </c>
      <c r="R462" s="2" t="inlineStr"/>
    </row>
    <row r="463" ht="15" customHeight="1">
      <c r="A463" t="inlineStr">
        <is>
          <t>A 69168-2020</t>
        </is>
      </c>
      <c r="B463" s="1" t="n">
        <v>44188</v>
      </c>
      <c r="C463" s="1" t="n">
        <v>45587</v>
      </c>
      <c r="D463" t="inlineStr">
        <is>
          <t>JÄMTLANDS LÄN</t>
        </is>
      </c>
      <c r="E463" t="inlineStr">
        <is>
          <t>HÄRJEDALEN</t>
        </is>
      </c>
      <c r="F463" t="inlineStr">
        <is>
          <t>Sveaskog</t>
        </is>
      </c>
      <c r="G463" t="n">
        <v>20</v>
      </c>
      <c r="H463" t="n">
        <v>0</v>
      </c>
      <c r="I463" t="n">
        <v>0</v>
      </c>
      <c r="J463" t="n">
        <v>0</v>
      </c>
      <c r="K463" t="n">
        <v>0</v>
      </c>
      <c r="L463" t="n">
        <v>0</v>
      </c>
      <c r="M463" t="n">
        <v>0</v>
      </c>
      <c r="N463" t="n">
        <v>0</v>
      </c>
      <c r="O463" t="n">
        <v>0</v>
      </c>
      <c r="P463" t="n">
        <v>0</v>
      </c>
      <c r="Q463" t="n">
        <v>0</v>
      </c>
      <c r="R463" s="2" t="inlineStr"/>
    </row>
    <row r="464" ht="15" customHeight="1">
      <c r="A464" t="inlineStr">
        <is>
          <t>A 69101-2020</t>
        </is>
      </c>
      <c r="B464" s="1" t="n">
        <v>44188</v>
      </c>
      <c r="C464" s="1" t="n">
        <v>45587</v>
      </c>
      <c r="D464" t="inlineStr">
        <is>
          <t>JÄMTLANDS LÄN</t>
        </is>
      </c>
      <c r="E464" t="inlineStr">
        <is>
          <t>HÄRJEDALEN</t>
        </is>
      </c>
      <c r="G464" t="n">
        <v>3.1</v>
      </c>
      <c r="H464" t="n">
        <v>0</v>
      </c>
      <c r="I464" t="n">
        <v>0</v>
      </c>
      <c r="J464" t="n">
        <v>0</v>
      </c>
      <c r="K464" t="n">
        <v>0</v>
      </c>
      <c r="L464" t="n">
        <v>0</v>
      </c>
      <c r="M464" t="n">
        <v>0</v>
      </c>
      <c r="N464" t="n">
        <v>0</v>
      </c>
      <c r="O464" t="n">
        <v>0</v>
      </c>
      <c r="P464" t="n">
        <v>0</v>
      </c>
      <c r="Q464" t="n">
        <v>0</v>
      </c>
      <c r="R464" s="2" t="inlineStr"/>
    </row>
    <row r="465" ht="15" customHeight="1">
      <c r="A465" t="inlineStr">
        <is>
          <t>A 1088-2021</t>
        </is>
      </c>
      <c r="B465" s="1" t="n">
        <v>44207</v>
      </c>
      <c r="C465" s="1" t="n">
        <v>45587</v>
      </c>
      <c r="D465" t="inlineStr">
        <is>
          <t>JÄMTLANDS LÄN</t>
        </is>
      </c>
      <c r="E465" t="inlineStr">
        <is>
          <t>HÄRJEDALEN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1478-2021</t>
        </is>
      </c>
      <c r="B466" s="1" t="n">
        <v>44208</v>
      </c>
      <c r="C466" s="1" t="n">
        <v>45587</v>
      </c>
      <c r="D466" t="inlineStr">
        <is>
          <t>JÄMTLANDS LÄN</t>
        </is>
      </c>
      <c r="E466" t="inlineStr">
        <is>
          <t>HÄRJEDALEN</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1545-2021</t>
        </is>
      </c>
      <c r="B467" s="1" t="n">
        <v>44209</v>
      </c>
      <c r="C467" s="1" t="n">
        <v>45587</v>
      </c>
      <c r="D467" t="inlineStr">
        <is>
          <t>JÄMTLANDS LÄN</t>
        </is>
      </c>
      <c r="E467" t="inlineStr">
        <is>
          <t>HÄRJEDALEN</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1558-2021</t>
        </is>
      </c>
      <c r="B468" s="1" t="n">
        <v>44209</v>
      </c>
      <c r="C468" s="1" t="n">
        <v>45587</v>
      </c>
      <c r="D468" t="inlineStr">
        <is>
          <t>JÄMTLANDS LÄN</t>
        </is>
      </c>
      <c r="E468" t="inlineStr">
        <is>
          <t>HÄRJEDALEN</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1602-2021</t>
        </is>
      </c>
      <c r="B469" s="1" t="n">
        <v>44209</v>
      </c>
      <c r="C469" s="1" t="n">
        <v>45587</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2531-2021</t>
        </is>
      </c>
      <c r="B470" s="1" t="n">
        <v>44214</v>
      </c>
      <c r="C470" s="1" t="n">
        <v>45587</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2855-2021</t>
        </is>
      </c>
      <c r="B471" s="1" t="n">
        <v>44216</v>
      </c>
      <c r="C471" s="1" t="n">
        <v>45587</v>
      </c>
      <c r="D471" t="inlineStr">
        <is>
          <t>JÄMTLANDS LÄN</t>
        </is>
      </c>
      <c r="E471" t="inlineStr">
        <is>
          <t>HÄRJEDALEN</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2862-2021</t>
        </is>
      </c>
      <c r="B472" s="1" t="n">
        <v>44216</v>
      </c>
      <c r="C472" s="1" t="n">
        <v>45587</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3536-2021</t>
        </is>
      </c>
      <c r="B473" s="1" t="n">
        <v>44218</v>
      </c>
      <c r="C473" s="1" t="n">
        <v>45587</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5277-2021</t>
        </is>
      </c>
      <c r="B474" s="1" t="n">
        <v>44225</v>
      </c>
      <c r="C474" s="1" t="n">
        <v>45587</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5283-2021</t>
        </is>
      </c>
      <c r="B475" s="1" t="n">
        <v>44225</v>
      </c>
      <c r="C475" s="1" t="n">
        <v>45587</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5343-2021</t>
        </is>
      </c>
      <c r="B476" s="1" t="n">
        <v>44228</v>
      </c>
      <c r="C476" s="1" t="n">
        <v>45587</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5353-2021</t>
        </is>
      </c>
      <c r="B477" s="1" t="n">
        <v>44228</v>
      </c>
      <c r="C477" s="1" t="n">
        <v>45587</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5273-2021</t>
        </is>
      </c>
      <c r="B478" s="1" t="n">
        <v>44229</v>
      </c>
      <c r="C478" s="1" t="n">
        <v>45587</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5237-2021</t>
        </is>
      </c>
      <c r="B479" s="1" t="n">
        <v>44229</v>
      </c>
      <c r="C479" s="1" t="n">
        <v>45587</v>
      </c>
      <c r="D479" t="inlineStr">
        <is>
          <t>JÄMTLANDS LÄN</t>
        </is>
      </c>
      <c r="E479" t="inlineStr">
        <is>
          <t>HÄRJEDALEN</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5519-2021</t>
        </is>
      </c>
      <c r="B480" s="1" t="n">
        <v>44230</v>
      </c>
      <c r="C480" s="1" t="n">
        <v>45587</v>
      </c>
      <c r="D480" t="inlineStr">
        <is>
          <t>JÄMTLANDS LÄN</t>
        </is>
      </c>
      <c r="E480" t="inlineStr">
        <is>
          <t>HÄRJEDALEN</t>
        </is>
      </c>
      <c r="G480" t="n">
        <v>10.8</v>
      </c>
      <c r="H480" t="n">
        <v>0</v>
      </c>
      <c r="I480" t="n">
        <v>0</v>
      </c>
      <c r="J480" t="n">
        <v>0</v>
      </c>
      <c r="K480" t="n">
        <v>0</v>
      </c>
      <c r="L480" t="n">
        <v>0</v>
      </c>
      <c r="M480" t="n">
        <v>0</v>
      </c>
      <c r="N480" t="n">
        <v>0</v>
      </c>
      <c r="O480" t="n">
        <v>0</v>
      </c>
      <c r="P480" t="n">
        <v>0</v>
      </c>
      <c r="Q480" t="n">
        <v>0</v>
      </c>
      <c r="R480" s="2" t="inlineStr"/>
    </row>
    <row r="481" ht="15" customHeight="1">
      <c r="A481" t="inlineStr">
        <is>
          <t>A 5993-2021</t>
        </is>
      </c>
      <c r="B481" s="1" t="n">
        <v>44231</v>
      </c>
      <c r="C481" s="1" t="n">
        <v>45587</v>
      </c>
      <c r="D481" t="inlineStr">
        <is>
          <t>JÄMTLANDS LÄN</t>
        </is>
      </c>
      <c r="E481" t="inlineStr">
        <is>
          <t>HÄRJEDALEN</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7087-2021</t>
        </is>
      </c>
      <c r="B482" s="1" t="n">
        <v>44238</v>
      </c>
      <c r="C482" s="1" t="n">
        <v>45587</v>
      </c>
      <c r="D482" t="inlineStr">
        <is>
          <t>JÄMTLANDS LÄN</t>
        </is>
      </c>
      <c r="E482" t="inlineStr">
        <is>
          <t>HÄRJEDALEN</t>
        </is>
      </c>
      <c r="F482" t="inlineStr">
        <is>
          <t>Holmen skog AB</t>
        </is>
      </c>
      <c r="G482" t="n">
        <v>14.9</v>
      </c>
      <c r="H482" t="n">
        <v>0</v>
      </c>
      <c r="I482" t="n">
        <v>0</v>
      </c>
      <c r="J482" t="n">
        <v>0</v>
      </c>
      <c r="K482" t="n">
        <v>0</v>
      </c>
      <c r="L482" t="n">
        <v>0</v>
      </c>
      <c r="M482" t="n">
        <v>0</v>
      </c>
      <c r="N482" t="n">
        <v>0</v>
      </c>
      <c r="O482" t="n">
        <v>0</v>
      </c>
      <c r="P482" t="n">
        <v>0</v>
      </c>
      <c r="Q482" t="n">
        <v>0</v>
      </c>
      <c r="R482" s="2" t="inlineStr"/>
    </row>
    <row r="483" ht="15" customHeight="1">
      <c r="A483" t="inlineStr">
        <is>
          <t>A 7112-2021</t>
        </is>
      </c>
      <c r="B483" s="1" t="n">
        <v>44238</v>
      </c>
      <c r="C483" s="1" t="n">
        <v>45587</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7097-2021</t>
        </is>
      </c>
      <c r="B484" s="1" t="n">
        <v>44238</v>
      </c>
      <c r="C484" s="1" t="n">
        <v>45587</v>
      </c>
      <c r="D484" t="inlineStr">
        <is>
          <t>JÄMTLANDS LÄN</t>
        </is>
      </c>
      <c r="E484" t="inlineStr">
        <is>
          <t>HÄRJEDALEN</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7086-2021</t>
        </is>
      </c>
      <c r="B485" s="1" t="n">
        <v>44238</v>
      </c>
      <c r="C485" s="1" t="n">
        <v>45587</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7110-2021</t>
        </is>
      </c>
      <c r="B486" s="1" t="n">
        <v>44238</v>
      </c>
      <c r="C486" s="1" t="n">
        <v>45587</v>
      </c>
      <c r="D486" t="inlineStr">
        <is>
          <t>JÄMTLANDS LÄN</t>
        </is>
      </c>
      <c r="E486" t="inlineStr">
        <is>
          <t>HÄRJEDALEN</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7427-2021</t>
        </is>
      </c>
      <c r="B487" s="1" t="n">
        <v>44239</v>
      </c>
      <c r="C487" s="1" t="n">
        <v>45587</v>
      </c>
      <c r="D487" t="inlineStr">
        <is>
          <t>JÄMTLANDS LÄN</t>
        </is>
      </c>
      <c r="E487" t="inlineStr">
        <is>
          <t>HÄRJEDALEN</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7570-2021</t>
        </is>
      </c>
      <c r="B488" s="1" t="n">
        <v>44239</v>
      </c>
      <c r="C488" s="1" t="n">
        <v>45587</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45587</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8055-2021</t>
        </is>
      </c>
      <c r="B490" s="1" t="n">
        <v>44243</v>
      </c>
      <c r="C490" s="1" t="n">
        <v>45587</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9470-2021</t>
        </is>
      </c>
      <c r="B491" s="1" t="n">
        <v>44251</v>
      </c>
      <c r="C491" s="1" t="n">
        <v>45587</v>
      </c>
      <c r="D491" t="inlineStr">
        <is>
          <t>JÄMTLANDS LÄN</t>
        </is>
      </c>
      <c r="E491" t="inlineStr">
        <is>
          <t>HÄRJEDALEN</t>
        </is>
      </c>
      <c r="G491" t="n">
        <v>12.4</v>
      </c>
      <c r="H491" t="n">
        <v>0</v>
      </c>
      <c r="I491" t="n">
        <v>0</v>
      </c>
      <c r="J491" t="n">
        <v>0</v>
      </c>
      <c r="K491" t="n">
        <v>0</v>
      </c>
      <c r="L491" t="n">
        <v>0</v>
      </c>
      <c r="M491" t="n">
        <v>0</v>
      </c>
      <c r="N491" t="n">
        <v>0</v>
      </c>
      <c r="O491" t="n">
        <v>0</v>
      </c>
      <c r="P491" t="n">
        <v>0</v>
      </c>
      <c r="Q491" t="n">
        <v>0</v>
      </c>
      <c r="R491" s="2" t="inlineStr"/>
    </row>
    <row r="492" ht="15" customHeight="1">
      <c r="A492" t="inlineStr">
        <is>
          <t>A 10530-2021</t>
        </is>
      </c>
      <c r="B492" s="1" t="n">
        <v>44258</v>
      </c>
      <c r="C492" s="1" t="n">
        <v>45587</v>
      </c>
      <c r="D492" t="inlineStr">
        <is>
          <t>JÄMTLANDS LÄN</t>
        </is>
      </c>
      <c r="E492" t="inlineStr">
        <is>
          <t>HÄRJEDALEN</t>
        </is>
      </c>
      <c r="G492" t="n">
        <v>19.5</v>
      </c>
      <c r="H492" t="n">
        <v>0</v>
      </c>
      <c r="I492" t="n">
        <v>0</v>
      </c>
      <c r="J492" t="n">
        <v>0</v>
      </c>
      <c r="K492" t="n">
        <v>0</v>
      </c>
      <c r="L492" t="n">
        <v>0</v>
      </c>
      <c r="M492" t="n">
        <v>0</v>
      </c>
      <c r="N492" t="n">
        <v>0</v>
      </c>
      <c r="O492" t="n">
        <v>0</v>
      </c>
      <c r="P492" t="n">
        <v>0</v>
      </c>
      <c r="Q492" t="n">
        <v>0</v>
      </c>
      <c r="R492" s="2" t="inlineStr"/>
    </row>
    <row r="493" ht="15" customHeight="1">
      <c r="A493" t="inlineStr">
        <is>
          <t>A 10536-2021</t>
        </is>
      </c>
      <c r="B493" s="1" t="n">
        <v>44258</v>
      </c>
      <c r="C493" s="1" t="n">
        <v>45587</v>
      </c>
      <c r="D493" t="inlineStr">
        <is>
          <t>JÄMTLANDS LÄN</t>
        </is>
      </c>
      <c r="E493" t="inlineStr">
        <is>
          <t>HÄRJEDALEN</t>
        </is>
      </c>
      <c r="G493" t="n">
        <v>18.7</v>
      </c>
      <c r="H493" t="n">
        <v>0</v>
      </c>
      <c r="I493" t="n">
        <v>0</v>
      </c>
      <c r="J493" t="n">
        <v>0</v>
      </c>
      <c r="K493" t="n">
        <v>0</v>
      </c>
      <c r="L493" t="n">
        <v>0</v>
      </c>
      <c r="M493" t="n">
        <v>0</v>
      </c>
      <c r="N493" t="n">
        <v>0</v>
      </c>
      <c r="O493" t="n">
        <v>0</v>
      </c>
      <c r="P493" t="n">
        <v>0</v>
      </c>
      <c r="Q493" t="n">
        <v>0</v>
      </c>
      <c r="R493" s="2" t="inlineStr"/>
    </row>
    <row r="494" ht="15" customHeight="1">
      <c r="A494" t="inlineStr">
        <is>
          <t>A 12629-2021</t>
        </is>
      </c>
      <c r="B494" s="1" t="n">
        <v>44270</v>
      </c>
      <c r="C494" s="1" t="n">
        <v>45587</v>
      </c>
      <c r="D494" t="inlineStr">
        <is>
          <t>JÄMTLANDS LÄN</t>
        </is>
      </c>
      <c r="E494" t="inlineStr">
        <is>
          <t>HÄRJEDALEN</t>
        </is>
      </c>
      <c r="G494" t="n">
        <v>20.7</v>
      </c>
      <c r="H494" t="n">
        <v>0</v>
      </c>
      <c r="I494" t="n">
        <v>0</v>
      </c>
      <c r="J494" t="n">
        <v>0</v>
      </c>
      <c r="K494" t="n">
        <v>0</v>
      </c>
      <c r="L494" t="n">
        <v>0</v>
      </c>
      <c r="M494" t="n">
        <v>0</v>
      </c>
      <c r="N494" t="n">
        <v>0</v>
      </c>
      <c r="O494" t="n">
        <v>0</v>
      </c>
      <c r="P494" t="n">
        <v>0</v>
      </c>
      <c r="Q494" t="n">
        <v>0</v>
      </c>
      <c r="R494" s="2" t="inlineStr"/>
    </row>
    <row r="495" ht="15" customHeight="1">
      <c r="A495" t="inlineStr">
        <is>
          <t>A 14798-2021</t>
        </is>
      </c>
      <c r="B495" s="1" t="n">
        <v>44280</v>
      </c>
      <c r="C495" s="1" t="n">
        <v>45587</v>
      </c>
      <c r="D495" t="inlineStr">
        <is>
          <t>JÄMTLANDS LÄN</t>
        </is>
      </c>
      <c r="E495" t="inlineStr">
        <is>
          <t>HÄRJEDALEN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15580-2021</t>
        </is>
      </c>
      <c r="B496" s="1" t="n">
        <v>44285</v>
      </c>
      <c r="C496" s="1" t="n">
        <v>45587</v>
      </c>
      <c r="D496" t="inlineStr">
        <is>
          <t>JÄMTLANDS LÄN</t>
        </is>
      </c>
      <c r="E496" t="inlineStr">
        <is>
          <t>HÄRJEDALEN</t>
        </is>
      </c>
      <c r="G496" t="n">
        <v>22.1</v>
      </c>
      <c r="H496" t="n">
        <v>0</v>
      </c>
      <c r="I496" t="n">
        <v>0</v>
      </c>
      <c r="J496" t="n">
        <v>0</v>
      </c>
      <c r="K496" t="n">
        <v>0</v>
      </c>
      <c r="L496" t="n">
        <v>0</v>
      </c>
      <c r="M496" t="n">
        <v>0</v>
      </c>
      <c r="N496" t="n">
        <v>0</v>
      </c>
      <c r="O496" t="n">
        <v>0</v>
      </c>
      <c r="P496" t="n">
        <v>0</v>
      </c>
      <c r="Q496" t="n">
        <v>0</v>
      </c>
      <c r="R496" s="2" t="inlineStr"/>
    </row>
    <row r="497" ht="15" customHeight="1">
      <c r="A497" t="inlineStr">
        <is>
          <t>A 15585-2021</t>
        </is>
      </c>
      <c r="B497" s="1" t="n">
        <v>44285</v>
      </c>
      <c r="C497" s="1" t="n">
        <v>45587</v>
      </c>
      <c r="D497" t="inlineStr">
        <is>
          <t>JÄMTLANDS LÄN</t>
        </is>
      </c>
      <c r="E497" t="inlineStr">
        <is>
          <t>HÄRJEDALEN</t>
        </is>
      </c>
      <c r="G497" t="n">
        <v>21.2</v>
      </c>
      <c r="H497" t="n">
        <v>0</v>
      </c>
      <c r="I497" t="n">
        <v>0</v>
      </c>
      <c r="J497" t="n">
        <v>0</v>
      </c>
      <c r="K497" t="n">
        <v>0</v>
      </c>
      <c r="L497" t="n">
        <v>0</v>
      </c>
      <c r="M497" t="n">
        <v>0</v>
      </c>
      <c r="N497" t="n">
        <v>0</v>
      </c>
      <c r="O497" t="n">
        <v>0</v>
      </c>
      <c r="P497" t="n">
        <v>0</v>
      </c>
      <c r="Q497" t="n">
        <v>0</v>
      </c>
      <c r="R497" s="2" t="inlineStr"/>
    </row>
    <row r="498" ht="15" customHeight="1">
      <c r="A498" t="inlineStr">
        <is>
          <t>A 15594-2021</t>
        </is>
      </c>
      <c r="B498" s="1" t="n">
        <v>44285</v>
      </c>
      <c r="C498" s="1" t="n">
        <v>45587</v>
      </c>
      <c r="D498" t="inlineStr">
        <is>
          <t>JÄMTLANDS LÄN</t>
        </is>
      </c>
      <c r="E498" t="inlineStr">
        <is>
          <t>HÄRJEDALEN</t>
        </is>
      </c>
      <c r="G498" t="n">
        <v>28.5</v>
      </c>
      <c r="H498" t="n">
        <v>0</v>
      </c>
      <c r="I498" t="n">
        <v>0</v>
      </c>
      <c r="J498" t="n">
        <v>0</v>
      </c>
      <c r="K498" t="n">
        <v>0</v>
      </c>
      <c r="L498" t="n">
        <v>0</v>
      </c>
      <c r="M498" t="n">
        <v>0</v>
      </c>
      <c r="N498" t="n">
        <v>0</v>
      </c>
      <c r="O498" t="n">
        <v>0</v>
      </c>
      <c r="P498" t="n">
        <v>0</v>
      </c>
      <c r="Q498" t="n">
        <v>0</v>
      </c>
      <c r="R498" s="2" t="inlineStr"/>
    </row>
    <row r="499" ht="15" customHeight="1">
      <c r="A499" t="inlineStr">
        <is>
          <t>A 15681-2021</t>
        </is>
      </c>
      <c r="B499" s="1" t="n">
        <v>44286</v>
      </c>
      <c r="C499" s="1" t="n">
        <v>45587</v>
      </c>
      <c r="D499" t="inlineStr">
        <is>
          <t>JÄMTLANDS LÄN</t>
        </is>
      </c>
      <c r="E499" t="inlineStr">
        <is>
          <t>HÄRJEDALEN</t>
        </is>
      </c>
      <c r="G499" t="n">
        <v>9.6</v>
      </c>
      <c r="H499" t="n">
        <v>0</v>
      </c>
      <c r="I499" t="n">
        <v>0</v>
      </c>
      <c r="J499" t="n">
        <v>0</v>
      </c>
      <c r="K499" t="n">
        <v>0</v>
      </c>
      <c r="L499" t="n">
        <v>0</v>
      </c>
      <c r="M499" t="n">
        <v>0</v>
      </c>
      <c r="N499" t="n">
        <v>0</v>
      </c>
      <c r="O499" t="n">
        <v>0</v>
      </c>
      <c r="P499" t="n">
        <v>0</v>
      </c>
      <c r="Q499" t="n">
        <v>0</v>
      </c>
      <c r="R499" s="2" t="inlineStr"/>
    </row>
    <row r="500" ht="15" customHeight="1">
      <c r="A500" t="inlineStr">
        <is>
          <t>A 15685-2021</t>
        </is>
      </c>
      <c r="B500" s="1" t="n">
        <v>44286</v>
      </c>
      <c r="C500" s="1" t="n">
        <v>45587</v>
      </c>
      <c r="D500" t="inlineStr">
        <is>
          <t>JÄMTLANDS LÄN</t>
        </is>
      </c>
      <c r="E500" t="inlineStr">
        <is>
          <t>HÄRJEDALEN</t>
        </is>
      </c>
      <c r="G500" t="n">
        <v>3.6</v>
      </c>
      <c r="H500" t="n">
        <v>0</v>
      </c>
      <c r="I500" t="n">
        <v>0</v>
      </c>
      <c r="J500" t="n">
        <v>0</v>
      </c>
      <c r="K500" t="n">
        <v>0</v>
      </c>
      <c r="L500" t="n">
        <v>0</v>
      </c>
      <c r="M500" t="n">
        <v>0</v>
      </c>
      <c r="N500" t="n">
        <v>0</v>
      </c>
      <c r="O500" t="n">
        <v>0</v>
      </c>
      <c r="P500" t="n">
        <v>0</v>
      </c>
      <c r="Q500" t="n">
        <v>0</v>
      </c>
      <c r="R500" s="2" t="inlineStr"/>
    </row>
    <row r="501" ht="15" customHeight="1">
      <c r="A501" t="inlineStr">
        <is>
          <t>A 17187-2021</t>
        </is>
      </c>
      <c r="B501" s="1" t="n">
        <v>44298</v>
      </c>
      <c r="C501" s="1" t="n">
        <v>45587</v>
      </c>
      <c r="D501" t="inlineStr">
        <is>
          <t>JÄMTLANDS LÄN</t>
        </is>
      </c>
      <c r="E501" t="inlineStr">
        <is>
          <t>HÄRJEDALEN</t>
        </is>
      </c>
      <c r="G501" t="n">
        <v>20.1</v>
      </c>
      <c r="H501" t="n">
        <v>0</v>
      </c>
      <c r="I501" t="n">
        <v>0</v>
      </c>
      <c r="J501" t="n">
        <v>0</v>
      </c>
      <c r="K501" t="n">
        <v>0</v>
      </c>
      <c r="L501" t="n">
        <v>0</v>
      </c>
      <c r="M501" t="n">
        <v>0</v>
      </c>
      <c r="N501" t="n">
        <v>0</v>
      </c>
      <c r="O501" t="n">
        <v>0</v>
      </c>
      <c r="P501" t="n">
        <v>0</v>
      </c>
      <c r="Q501" t="n">
        <v>0</v>
      </c>
      <c r="R501" s="2" t="inlineStr"/>
    </row>
    <row r="502" ht="15" customHeight="1">
      <c r="A502" t="inlineStr">
        <is>
          <t>A 17705-2021</t>
        </is>
      </c>
      <c r="B502" s="1" t="n">
        <v>44300</v>
      </c>
      <c r="C502" s="1" t="n">
        <v>45587</v>
      </c>
      <c r="D502" t="inlineStr">
        <is>
          <t>JÄMTLANDS LÄN</t>
        </is>
      </c>
      <c r="E502" t="inlineStr">
        <is>
          <t>HÄRJEDALEN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18389-2021</t>
        </is>
      </c>
      <c r="B503" s="1" t="n">
        <v>44305</v>
      </c>
      <c r="C503" s="1" t="n">
        <v>45587</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19958-2021</t>
        </is>
      </c>
      <c r="B504" s="1" t="n">
        <v>44312</v>
      </c>
      <c r="C504" s="1" t="n">
        <v>45587</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19955-2021</t>
        </is>
      </c>
      <c r="B505" s="1" t="n">
        <v>44312</v>
      </c>
      <c r="C505" s="1" t="n">
        <v>45587</v>
      </c>
      <c r="D505" t="inlineStr">
        <is>
          <t>JÄMTLANDS LÄN</t>
        </is>
      </c>
      <c r="E505" t="inlineStr">
        <is>
          <t>HÄRJEDALEN</t>
        </is>
      </c>
      <c r="G505" t="n">
        <v>4.6</v>
      </c>
      <c r="H505" t="n">
        <v>0</v>
      </c>
      <c r="I505" t="n">
        <v>0</v>
      </c>
      <c r="J505" t="n">
        <v>0</v>
      </c>
      <c r="K505" t="n">
        <v>0</v>
      </c>
      <c r="L505" t="n">
        <v>0</v>
      </c>
      <c r="M505" t="n">
        <v>0</v>
      </c>
      <c r="N505" t="n">
        <v>0</v>
      </c>
      <c r="O505" t="n">
        <v>0</v>
      </c>
      <c r="P505" t="n">
        <v>0</v>
      </c>
      <c r="Q505" t="n">
        <v>0</v>
      </c>
      <c r="R505" s="2" t="inlineStr"/>
    </row>
    <row r="506" ht="15" customHeight="1">
      <c r="A506" t="inlineStr">
        <is>
          <t>A 19962-2021</t>
        </is>
      </c>
      <c r="B506" s="1" t="n">
        <v>44312</v>
      </c>
      <c r="C506" s="1" t="n">
        <v>45587</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21593-2021</t>
        </is>
      </c>
      <c r="B507" s="1" t="n">
        <v>44314</v>
      </c>
      <c r="C507" s="1" t="n">
        <v>45587</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21596-2021</t>
        </is>
      </c>
      <c r="B508" s="1" t="n">
        <v>44314</v>
      </c>
      <c r="C508" s="1" t="n">
        <v>45587</v>
      </c>
      <c r="D508" t="inlineStr">
        <is>
          <t>JÄMTLANDS LÄN</t>
        </is>
      </c>
      <c r="E508" t="inlineStr">
        <is>
          <t>HÄRJEDALEN</t>
        </is>
      </c>
      <c r="G508" t="n">
        <v>18.2</v>
      </c>
      <c r="H508" t="n">
        <v>0</v>
      </c>
      <c r="I508" t="n">
        <v>0</v>
      </c>
      <c r="J508" t="n">
        <v>0</v>
      </c>
      <c r="K508" t="n">
        <v>0</v>
      </c>
      <c r="L508" t="n">
        <v>0</v>
      </c>
      <c r="M508" t="n">
        <v>0</v>
      </c>
      <c r="N508" t="n">
        <v>0</v>
      </c>
      <c r="O508" t="n">
        <v>0</v>
      </c>
      <c r="P508" t="n">
        <v>0</v>
      </c>
      <c r="Q508" t="n">
        <v>0</v>
      </c>
      <c r="R508" s="2" t="inlineStr"/>
    </row>
    <row r="509" ht="15" customHeight="1">
      <c r="A509" t="inlineStr">
        <is>
          <t>A 21837-2021</t>
        </is>
      </c>
      <c r="B509" s="1" t="n">
        <v>44316</v>
      </c>
      <c r="C509" s="1" t="n">
        <v>45587</v>
      </c>
      <c r="D509" t="inlineStr">
        <is>
          <t>JÄMTLANDS LÄN</t>
        </is>
      </c>
      <c r="E509" t="inlineStr">
        <is>
          <t>HÄRJEDALEN</t>
        </is>
      </c>
      <c r="G509" t="n">
        <v>20</v>
      </c>
      <c r="H509" t="n">
        <v>0</v>
      </c>
      <c r="I509" t="n">
        <v>0</v>
      </c>
      <c r="J509" t="n">
        <v>0</v>
      </c>
      <c r="K509" t="n">
        <v>0</v>
      </c>
      <c r="L509" t="n">
        <v>0</v>
      </c>
      <c r="M509" t="n">
        <v>0</v>
      </c>
      <c r="N509" t="n">
        <v>0</v>
      </c>
      <c r="O509" t="n">
        <v>0</v>
      </c>
      <c r="P509" t="n">
        <v>0</v>
      </c>
      <c r="Q509" t="n">
        <v>0</v>
      </c>
      <c r="R509" s="2" t="inlineStr"/>
    </row>
    <row r="510" ht="15" customHeight="1">
      <c r="A510" t="inlineStr">
        <is>
          <t>A 21702-2021</t>
        </is>
      </c>
      <c r="B510" s="1" t="n">
        <v>44316</v>
      </c>
      <c r="C510" s="1" t="n">
        <v>45587</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21833-2021</t>
        </is>
      </c>
      <c r="B511" s="1" t="n">
        <v>44316</v>
      </c>
      <c r="C511" s="1" t="n">
        <v>45587</v>
      </c>
      <c r="D511" t="inlineStr">
        <is>
          <t>JÄMTLANDS LÄN</t>
        </is>
      </c>
      <c r="E511" t="inlineStr">
        <is>
          <t>HÄRJEDALEN</t>
        </is>
      </c>
      <c r="G511" t="n">
        <v>20.2</v>
      </c>
      <c r="H511" t="n">
        <v>0</v>
      </c>
      <c r="I511" t="n">
        <v>0</v>
      </c>
      <c r="J511" t="n">
        <v>0</v>
      </c>
      <c r="K511" t="n">
        <v>0</v>
      </c>
      <c r="L511" t="n">
        <v>0</v>
      </c>
      <c r="M511" t="n">
        <v>0</v>
      </c>
      <c r="N511" t="n">
        <v>0</v>
      </c>
      <c r="O511" t="n">
        <v>0</v>
      </c>
      <c r="P511" t="n">
        <v>0</v>
      </c>
      <c r="Q511" t="n">
        <v>0</v>
      </c>
      <c r="R511" s="2" t="inlineStr"/>
    </row>
    <row r="512" ht="15" customHeight="1">
      <c r="A512" t="inlineStr">
        <is>
          <t>A 21854-2021</t>
        </is>
      </c>
      <c r="B512" s="1" t="n">
        <v>44316</v>
      </c>
      <c r="C512" s="1" t="n">
        <v>45587</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21848-2021</t>
        </is>
      </c>
      <c r="B513" s="1" t="n">
        <v>44316</v>
      </c>
      <c r="C513" s="1" t="n">
        <v>45587</v>
      </c>
      <c r="D513" t="inlineStr">
        <is>
          <t>JÄMTLANDS LÄN</t>
        </is>
      </c>
      <c r="E513" t="inlineStr">
        <is>
          <t>HÄRJEDALEN</t>
        </is>
      </c>
      <c r="G513" t="n">
        <v>19.4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45587</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21703-2021</t>
        </is>
      </c>
      <c r="B515" s="1" t="n">
        <v>44316</v>
      </c>
      <c r="C515" s="1" t="n">
        <v>45587</v>
      </c>
      <c r="D515" t="inlineStr">
        <is>
          <t>JÄMTLANDS LÄN</t>
        </is>
      </c>
      <c r="E515" t="inlineStr">
        <is>
          <t>HÄRJEDALEN</t>
        </is>
      </c>
      <c r="G515" t="n">
        <v>11.9</v>
      </c>
      <c r="H515" t="n">
        <v>0</v>
      </c>
      <c r="I515" t="n">
        <v>0</v>
      </c>
      <c r="J515" t="n">
        <v>0</v>
      </c>
      <c r="K515" t="n">
        <v>0</v>
      </c>
      <c r="L515" t="n">
        <v>0</v>
      </c>
      <c r="M515" t="n">
        <v>0</v>
      </c>
      <c r="N515" t="n">
        <v>0</v>
      </c>
      <c r="O515" t="n">
        <v>0</v>
      </c>
      <c r="P515" t="n">
        <v>0</v>
      </c>
      <c r="Q515" t="n">
        <v>0</v>
      </c>
      <c r="R515" s="2" t="inlineStr"/>
    </row>
    <row r="516" ht="15" customHeight="1">
      <c r="A516" t="inlineStr">
        <is>
          <t>A 21843-2021</t>
        </is>
      </c>
      <c r="B516" s="1" t="n">
        <v>44316</v>
      </c>
      <c r="C516" s="1" t="n">
        <v>45587</v>
      </c>
      <c r="D516" t="inlineStr">
        <is>
          <t>JÄMTLANDS LÄN</t>
        </is>
      </c>
      <c r="E516" t="inlineStr">
        <is>
          <t>HÄRJEDALEN</t>
        </is>
      </c>
      <c r="G516" t="n">
        <v>15.1</v>
      </c>
      <c r="H516" t="n">
        <v>0</v>
      </c>
      <c r="I516" t="n">
        <v>0</v>
      </c>
      <c r="J516" t="n">
        <v>0</v>
      </c>
      <c r="K516" t="n">
        <v>0</v>
      </c>
      <c r="L516" t="n">
        <v>0</v>
      </c>
      <c r="M516" t="n">
        <v>0</v>
      </c>
      <c r="N516" t="n">
        <v>0</v>
      </c>
      <c r="O516" t="n">
        <v>0</v>
      </c>
      <c r="P516" t="n">
        <v>0</v>
      </c>
      <c r="Q516" t="n">
        <v>0</v>
      </c>
      <c r="R516" s="2" t="inlineStr"/>
    </row>
    <row r="517" ht="15" customHeight="1">
      <c r="A517" t="inlineStr">
        <is>
          <t>A 21705-2021</t>
        </is>
      </c>
      <c r="B517" s="1" t="n">
        <v>44316</v>
      </c>
      <c r="C517" s="1" t="n">
        <v>45587</v>
      </c>
      <c r="D517" t="inlineStr">
        <is>
          <t>JÄMTLANDS LÄN</t>
        </is>
      </c>
      <c r="E517" t="inlineStr">
        <is>
          <t>HÄRJEDALEN</t>
        </is>
      </c>
      <c r="G517" t="n">
        <v>6.1</v>
      </c>
      <c r="H517" t="n">
        <v>0</v>
      </c>
      <c r="I517" t="n">
        <v>0</v>
      </c>
      <c r="J517" t="n">
        <v>0</v>
      </c>
      <c r="K517" t="n">
        <v>0</v>
      </c>
      <c r="L517" t="n">
        <v>0</v>
      </c>
      <c r="M517" t="n">
        <v>0</v>
      </c>
      <c r="N517" t="n">
        <v>0</v>
      </c>
      <c r="O517" t="n">
        <v>0</v>
      </c>
      <c r="P517" t="n">
        <v>0</v>
      </c>
      <c r="Q517" t="n">
        <v>0</v>
      </c>
      <c r="R517" s="2" t="inlineStr"/>
    </row>
    <row r="518" ht="15" customHeight="1">
      <c r="A518" t="inlineStr">
        <is>
          <t>A 20804-2021</t>
        </is>
      </c>
      <c r="B518" s="1" t="n">
        <v>44316</v>
      </c>
      <c r="C518" s="1" t="n">
        <v>45587</v>
      </c>
      <c r="D518" t="inlineStr">
        <is>
          <t>JÄMTLANDS LÄN</t>
        </is>
      </c>
      <c r="E518" t="inlineStr">
        <is>
          <t>HÄRJEDALEN</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21753-2021</t>
        </is>
      </c>
      <c r="B519" s="1" t="n">
        <v>44319</v>
      </c>
      <c r="C519" s="1" t="n">
        <v>45587</v>
      </c>
      <c r="D519" t="inlineStr">
        <is>
          <t>JÄMTLANDS LÄN</t>
        </is>
      </c>
      <c r="E519" t="inlineStr">
        <is>
          <t>HÄRJEDALEN</t>
        </is>
      </c>
      <c r="G519" t="n">
        <v>6.2</v>
      </c>
      <c r="H519" t="n">
        <v>0</v>
      </c>
      <c r="I519" t="n">
        <v>0</v>
      </c>
      <c r="J519" t="n">
        <v>0</v>
      </c>
      <c r="K519" t="n">
        <v>0</v>
      </c>
      <c r="L519" t="n">
        <v>0</v>
      </c>
      <c r="M519" t="n">
        <v>0</v>
      </c>
      <c r="N519" t="n">
        <v>0</v>
      </c>
      <c r="O519" t="n">
        <v>0</v>
      </c>
      <c r="P519" t="n">
        <v>0</v>
      </c>
      <c r="Q519" t="n">
        <v>0</v>
      </c>
      <c r="R519" s="2" t="inlineStr"/>
    </row>
    <row r="520" ht="15" customHeight="1">
      <c r="A520" t="inlineStr">
        <is>
          <t>A 21298-2021</t>
        </is>
      </c>
      <c r="B520" s="1" t="n">
        <v>44320</v>
      </c>
      <c r="C520" s="1" t="n">
        <v>45587</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21334-2021</t>
        </is>
      </c>
      <c r="B521" s="1" t="n">
        <v>44320</v>
      </c>
      <c r="C521" s="1" t="n">
        <v>45587</v>
      </c>
      <c r="D521" t="inlineStr">
        <is>
          <t>JÄMTLANDS LÄN</t>
        </is>
      </c>
      <c r="E521" t="inlineStr">
        <is>
          <t>HÄRJEDALEN</t>
        </is>
      </c>
      <c r="G521" t="n">
        <v>3.4</v>
      </c>
      <c r="H521" t="n">
        <v>0</v>
      </c>
      <c r="I521" t="n">
        <v>0</v>
      </c>
      <c r="J521" t="n">
        <v>0</v>
      </c>
      <c r="K521" t="n">
        <v>0</v>
      </c>
      <c r="L521" t="n">
        <v>0</v>
      </c>
      <c r="M521" t="n">
        <v>0</v>
      </c>
      <c r="N521" t="n">
        <v>0</v>
      </c>
      <c r="O521" t="n">
        <v>0</v>
      </c>
      <c r="P521" t="n">
        <v>0</v>
      </c>
      <c r="Q521" t="n">
        <v>0</v>
      </c>
      <c r="R521" s="2" t="inlineStr"/>
    </row>
    <row r="522" ht="15" customHeight="1">
      <c r="A522" t="inlineStr">
        <is>
          <t>A 21346-2021</t>
        </is>
      </c>
      <c r="B522" s="1" t="n">
        <v>44321</v>
      </c>
      <c r="C522" s="1" t="n">
        <v>45587</v>
      </c>
      <c r="D522" t="inlineStr">
        <is>
          <t>JÄMTLANDS LÄN</t>
        </is>
      </c>
      <c r="E522" t="inlineStr">
        <is>
          <t>HÄRJEDALEN</t>
        </is>
      </c>
      <c r="G522" t="n">
        <v>9.9</v>
      </c>
      <c r="H522" t="n">
        <v>0</v>
      </c>
      <c r="I522" t="n">
        <v>0</v>
      </c>
      <c r="J522" t="n">
        <v>0</v>
      </c>
      <c r="K522" t="n">
        <v>0</v>
      </c>
      <c r="L522" t="n">
        <v>0</v>
      </c>
      <c r="M522" t="n">
        <v>0</v>
      </c>
      <c r="N522" t="n">
        <v>0</v>
      </c>
      <c r="O522" t="n">
        <v>0</v>
      </c>
      <c r="P522" t="n">
        <v>0</v>
      </c>
      <c r="Q522" t="n">
        <v>0</v>
      </c>
      <c r="R522" s="2" t="inlineStr"/>
    </row>
    <row r="523" ht="15" customHeight="1">
      <c r="A523" t="inlineStr">
        <is>
          <t>A 21661-2021</t>
        </is>
      </c>
      <c r="B523" s="1" t="n">
        <v>44322</v>
      </c>
      <c r="C523" s="1" t="n">
        <v>45587</v>
      </c>
      <c r="D523" t="inlineStr">
        <is>
          <t>JÄMTLANDS LÄN</t>
        </is>
      </c>
      <c r="E523" t="inlineStr">
        <is>
          <t>HÄRJEDALEN</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22160-2021</t>
        </is>
      </c>
      <c r="B524" s="1" t="n">
        <v>44325</v>
      </c>
      <c r="C524" s="1" t="n">
        <v>45587</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23869-2021</t>
        </is>
      </c>
      <c r="B525" s="1" t="n">
        <v>44335</v>
      </c>
      <c r="C525" s="1" t="n">
        <v>45587</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25444-2021</t>
        </is>
      </c>
      <c r="B526" s="1" t="n">
        <v>44342</v>
      </c>
      <c r="C526" s="1" t="n">
        <v>45587</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26167-2021</t>
        </is>
      </c>
      <c r="B527" s="1" t="n">
        <v>44344</v>
      </c>
      <c r="C527" s="1" t="n">
        <v>45587</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26656-2021</t>
        </is>
      </c>
      <c r="B528" s="1" t="n">
        <v>44348</v>
      </c>
      <c r="C528" s="1" t="n">
        <v>45587</v>
      </c>
      <c r="D528" t="inlineStr">
        <is>
          <t>JÄMTLANDS LÄN</t>
        </is>
      </c>
      <c r="E528" t="inlineStr">
        <is>
          <t>HÄRJEDALEN</t>
        </is>
      </c>
      <c r="G528" t="n">
        <v>1.6</v>
      </c>
      <c r="H528" t="n">
        <v>0</v>
      </c>
      <c r="I528" t="n">
        <v>0</v>
      </c>
      <c r="J528" t="n">
        <v>0</v>
      </c>
      <c r="K528" t="n">
        <v>0</v>
      </c>
      <c r="L528" t="n">
        <v>0</v>
      </c>
      <c r="M528" t="n">
        <v>0</v>
      </c>
      <c r="N528" t="n">
        <v>0</v>
      </c>
      <c r="O528" t="n">
        <v>0</v>
      </c>
      <c r="P528" t="n">
        <v>0</v>
      </c>
      <c r="Q528" t="n">
        <v>0</v>
      </c>
      <c r="R528" s="2" t="inlineStr"/>
    </row>
    <row r="529" ht="15" customHeight="1">
      <c r="A529" t="inlineStr">
        <is>
          <t>A 28446-2021</t>
        </is>
      </c>
      <c r="B529" s="1" t="n">
        <v>44356</v>
      </c>
      <c r="C529" s="1" t="n">
        <v>45587</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28693-2021</t>
        </is>
      </c>
      <c r="B530" s="1" t="n">
        <v>44357</v>
      </c>
      <c r="C530" s="1" t="n">
        <v>45587</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29284-2021</t>
        </is>
      </c>
      <c r="B531" s="1" t="n">
        <v>44361</v>
      </c>
      <c r="C531" s="1" t="n">
        <v>45587</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29372-2021</t>
        </is>
      </c>
      <c r="B532" s="1" t="n">
        <v>44361</v>
      </c>
      <c r="C532" s="1" t="n">
        <v>45587</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29452-2021</t>
        </is>
      </c>
      <c r="B533" s="1" t="n">
        <v>44361</v>
      </c>
      <c r="C533" s="1" t="n">
        <v>45587</v>
      </c>
      <c r="D533" t="inlineStr">
        <is>
          <t>JÄMTLANDS LÄN</t>
        </is>
      </c>
      <c r="E533" t="inlineStr">
        <is>
          <t>HÄRJEDALEN</t>
        </is>
      </c>
      <c r="F533" t="inlineStr">
        <is>
          <t>Holmen skog AB</t>
        </is>
      </c>
      <c r="G533" t="n">
        <v>6.9</v>
      </c>
      <c r="H533" t="n">
        <v>0</v>
      </c>
      <c r="I533" t="n">
        <v>0</v>
      </c>
      <c r="J533" t="n">
        <v>0</v>
      </c>
      <c r="K533" t="n">
        <v>0</v>
      </c>
      <c r="L533" t="n">
        <v>0</v>
      </c>
      <c r="M533" t="n">
        <v>0</v>
      </c>
      <c r="N533" t="n">
        <v>0</v>
      </c>
      <c r="O533" t="n">
        <v>0</v>
      </c>
      <c r="P533" t="n">
        <v>0</v>
      </c>
      <c r="Q533" t="n">
        <v>0</v>
      </c>
      <c r="R533" s="2" t="inlineStr"/>
    </row>
    <row r="534" ht="15" customHeight="1">
      <c r="A534" t="inlineStr">
        <is>
          <t>A 29581-2021</t>
        </is>
      </c>
      <c r="B534" s="1" t="n">
        <v>44361</v>
      </c>
      <c r="C534" s="1" t="n">
        <v>45587</v>
      </c>
      <c r="D534" t="inlineStr">
        <is>
          <t>JÄMTLANDS LÄN</t>
        </is>
      </c>
      <c r="E534" t="inlineStr">
        <is>
          <t>HÄRJEDALEN</t>
        </is>
      </c>
      <c r="G534" t="n">
        <v>50.9</v>
      </c>
      <c r="H534" t="n">
        <v>0</v>
      </c>
      <c r="I534" t="n">
        <v>0</v>
      </c>
      <c r="J534" t="n">
        <v>0</v>
      </c>
      <c r="K534" t="n">
        <v>0</v>
      </c>
      <c r="L534" t="n">
        <v>0</v>
      </c>
      <c r="M534" t="n">
        <v>0</v>
      </c>
      <c r="N534" t="n">
        <v>0</v>
      </c>
      <c r="O534" t="n">
        <v>0</v>
      </c>
      <c r="P534" t="n">
        <v>0</v>
      </c>
      <c r="Q534" t="n">
        <v>0</v>
      </c>
      <c r="R534" s="2" t="inlineStr"/>
    </row>
    <row r="535" ht="15" customHeight="1">
      <c r="A535" t="inlineStr">
        <is>
          <t>A 29585-2021</t>
        </is>
      </c>
      <c r="B535" s="1" t="n">
        <v>44361</v>
      </c>
      <c r="C535" s="1" t="n">
        <v>45587</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30302-2021</t>
        </is>
      </c>
      <c r="B536" s="1" t="n">
        <v>44364</v>
      </c>
      <c r="C536" s="1" t="n">
        <v>45587</v>
      </c>
      <c r="D536" t="inlineStr">
        <is>
          <t>JÄMTLANDS LÄN</t>
        </is>
      </c>
      <c r="E536" t="inlineStr">
        <is>
          <t>HÄRJEDALEN</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30323-2021</t>
        </is>
      </c>
      <c r="B537" s="1" t="n">
        <v>44364</v>
      </c>
      <c r="C537" s="1" t="n">
        <v>45587</v>
      </c>
      <c r="D537" t="inlineStr">
        <is>
          <t>JÄMTLANDS LÄN</t>
        </is>
      </c>
      <c r="E537" t="inlineStr">
        <is>
          <t>HÄRJEDALEN</t>
        </is>
      </c>
      <c r="F537" t="inlineStr">
        <is>
          <t>Holmen skog AB</t>
        </is>
      </c>
      <c r="G537" t="n">
        <v>11.2</v>
      </c>
      <c r="H537" t="n">
        <v>0</v>
      </c>
      <c r="I537" t="n">
        <v>0</v>
      </c>
      <c r="J537" t="n">
        <v>0</v>
      </c>
      <c r="K537" t="n">
        <v>0</v>
      </c>
      <c r="L537" t="n">
        <v>0</v>
      </c>
      <c r="M537" t="n">
        <v>0</v>
      </c>
      <c r="N537" t="n">
        <v>0</v>
      </c>
      <c r="O537" t="n">
        <v>0</v>
      </c>
      <c r="P537" t="n">
        <v>0</v>
      </c>
      <c r="Q537" t="n">
        <v>0</v>
      </c>
      <c r="R537" s="2" t="inlineStr"/>
    </row>
    <row r="538" ht="15" customHeight="1">
      <c r="A538" t="inlineStr">
        <is>
          <t>A 30315-2021</t>
        </is>
      </c>
      <c r="B538" s="1" t="n">
        <v>44364</v>
      </c>
      <c r="C538" s="1" t="n">
        <v>45587</v>
      </c>
      <c r="D538" t="inlineStr">
        <is>
          <t>JÄMTLANDS LÄN</t>
        </is>
      </c>
      <c r="E538" t="inlineStr">
        <is>
          <t>HÄRJEDALEN</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30311-2021</t>
        </is>
      </c>
      <c r="B539" s="1" t="n">
        <v>44364</v>
      </c>
      <c r="C539" s="1" t="n">
        <v>45587</v>
      </c>
      <c r="D539" t="inlineStr">
        <is>
          <t>JÄMTLANDS LÄN</t>
        </is>
      </c>
      <c r="E539" t="inlineStr">
        <is>
          <t>HÄRJEDALEN</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30321-2021</t>
        </is>
      </c>
      <c r="B540" s="1" t="n">
        <v>44364</v>
      </c>
      <c r="C540" s="1" t="n">
        <v>45587</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30317-2021</t>
        </is>
      </c>
      <c r="B541" s="1" t="n">
        <v>44364</v>
      </c>
      <c r="C541" s="1" t="n">
        <v>45587</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30684-2021</t>
        </is>
      </c>
      <c r="B542" s="1" t="n">
        <v>44365</v>
      </c>
      <c r="C542" s="1" t="n">
        <v>45587</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31212-2021</t>
        </is>
      </c>
      <c r="B543" s="1" t="n">
        <v>44368</v>
      </c>
      <c r="C543" s="1" t="n">
        <v>45587</v>
      </c>
      <c r="D543" t="inlineStr">
        <is>
          <t>JÄMTLANDS LÄN</t>
        </is>
      </c>
      <c r="E543" t="inlineStr">
        <is>
          <t>HÄRJEDALEN</t>
        </is>
      </c>
      <c r="G543" t="n">
        <v>5.5</v>
      </c>
      <c r="H543" t="n">
        <v>0</v>
      </c>
      <c r="I543" t="n">
        <v>0</v>
      </c>
      <c r="J543" t="n">
        <v>0</v>
      </c>
      <c r="K543" t="n">
        <v>0</v>
      </c>
      <c r="L543" t="n">
        <v>0</v>
      </c>
      <c r="M543" t="n">
        <v>0</v>
      </c>
      <c r="N543" t="n">
        <v>0</v>
      </c>
      <c r="O543" t="n">
        <v>0</v>
      </c>
      <c r="P543" t="n">
        <v>0</v>
      </c>
      <c r="Q543" t="n">
        <v>0</v>
      </c>
      <c r="R543" s="2" t="inlineStr"/>
    </row>
    <row r="544" ht="15" customHeight="1">
      <c r="A544" t="inlineStr">
        <is>
          <t>A 33424-2021</t>
        </is>
      </c>
      <c r="B544" s="1" t="n">
        <v>44377</v>
      </c>
      <c r="C544" s="1" t="n">
        <v>45587</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34453-2021</t>
        </is>
      </c>
      <c r="B545" s="1" t="n">
        <v>44381</v>
      </c>
      <c r="C545" s="1" t="n">
        <v>45587</v>
      </c>
      <c r="D545" t="inlineStr">
        <is>
          <t>JÄMTLANDS LÄN</t>
        </is>
      </c>
      <c r="E545" t="inlineStr">
        <is>
          <t>HÄRJEDALEN</t>
        </is>
      </c>
      <c r="G545" t="n">
        <v>12.7</v>
      </c>
      <c r="H545" t="n">
        <v>0</v>
      </c>
      <c r="I545" t="n">
        <v>0</v>
      </c>
      <c r="J545" t="n">
        <v>0</v>
      </c>
      <c r="K545" t="n">
        <v>0</v>
      </c>
      <c r="L545" t="n">
        <v>0</v>
      </c>
      <c r="M545" t="n">
        <v>0</v>
      </c>
      <c r="N545" t="n">
        <v>0</v>
      </c>
      <c r="O545" t="n">
        <v>0</v>
      </c>
      <c r="P545" t="n">
        <v>0</v>
      </c>
      <c r="Q545" t="n">
        <v>0</v>
      </c>
      <c r="R545" s="2" t="inlineStr"/>
    </row>
    <row r="546" ht="15" customHeight="1">
      <c r="A546" t="inlineStr">
        <is>
          <t>A 35194-2021</t>
        </is>
      </c>
      <c r="B546" s="1" t="n">
        <v>44384</v>
      </c>
      <c r="C546" s="1" t="n">
        <v>45587</v>
      </c>
      <c r="D546" t="inlineStr">
        <is>
          <t>JÄMTLANDS LÄN</t>
        </is>
      </c>
      <c r="E546" t="inlineStr">
        <is>
          <t>HÄRJEDALEN</t>
        </is>
      </c>
      <c r="G546" t="n">
        <v>46.4</v>
      </c>
      <c r="H546" t="n">
        <v>0</v>
      </c>
      <c r="I546" t="n">
        <v>0</v>
      </c>
      <c r="J546" t="n">
        <v>0</v>
      </c>
      <c r="K546" t="n">
        <v>0</v>
      </c>
      <c r="L546" t="n">
        <v>0</v>
      </c>
      <c r="M546" t="n">
        <v>0</v>
      </c>
      <c r="N546" t="n">
        <v>0</v>
      </c>
      <c r="O546" t="n">
        <v>0</v>
      </c>
      <c r="P546" t="n">
        <v>0</v>
      </c>
      <c r="Q546" t="n">
        <v>0</v>
      </c>
      <c r="R546" s="2" t="inlineStr"/>
    </row>
    <row r="547" ht="15" customHeight="1">
      <c r="A547" t="inlineStr">
        <is>
          <t>A 35532-2021</t>
        </is>
      </c>
      <c r="B547" s="1" t="n">
        <v>44385</v>
      </c>
      <c r="C547" s="1" t="n">
        <v>45587</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35572-2021</t>
        </is>
      </c>
      <c r="B548" s="1" t="n">
        <v>44386</v>
      </c>
      <c r="C548" s="1" t="n">
        <v>45587</v>
      </c>
      <c r="D548" t="inlineStr">
        <is>
          <t>JÄMTLANDS LÄN</t>
        </is>
      </c>
      <c r="E548" t="inlineStr">
        <is>
          <t>HÄRJEDALEN</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35573-2021</t>
        </is>
      </c>
      <c r="B549" s="1" t="n">
        <v>44386</v>
      </c>
      <c r="C549" s="1" t="n">
        <v>45587</v>
      </c>
      <c r="D549" t="inlineStr">
        <is>
          <t>JÄMTLANDS LÄN</t>
        </is>
      </c>
      <c r="E549" t="inlineStr">
        <is>
          <t>HÄRJEDALEN</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36235-2021</t>
        </is>
      </c>
      <c r="B550" s="1" t="n">
        <v>44389</v>
      </c>
      <c r="C550" s="1" t="n">
        <v>45587</v>
      </c>
      <c r="D550" t="inlineStr">
        <is>
          <t>JÄMTLANDS LÄN</t>
        </is>
      </c>
      <c r="E550" t="inlineStr">
        <is>
          <t>HÄRJEDALEN</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37155-2021</t>
        </is>
      </c>
      <c r="B551" s="1" t="n">
        <v>44396</v>
      </c>
      <c r="C551" s="1" t="n">
        <v>45587</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37832-2021</t>
        </is>
      </c>
      <c r="B552" s="1" t="n">
        <v>44403</v>
      </c>
      <c r="C552" s="1" t="n">
        <v>45587</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37825-2021</t>
        </is>
      </c>
      <c r="B553" s="1" t="n">
        <v>44403</v>
      </c>
      <c r="C553" s="1" t="n">
        <v>45587</v>
      </c>
      <c r="D553" t="inlineStr">
        <is>
          <t>JÄMTLANDS LÄN</t>
        </is>
      </c>
      <c r="E553" t="inlineStr">
        <is>
          <t>HÄRJEDALEN</t>
        </is>
      </c>
      <c r="G553" t="n">
        <v>0.1</v>
      </c>
      <c r="H553" t="n">
        <v>0</v>
      </c>
      <c r="I553" t="n">
        <v>0</v>
      </c>
      <c r="J553" t="n">
        <v>0</v>
      </c>
      <c r="K553" t="n">
        <v>0</v>
      </c>
      <c r="L553" t="n">
        <v>0</v>
      </c>
      <c r="M553" t="n">
        <v>0</v>
      </c>
      <c r="N553" t="n">
        <v>0</v>
      </c>
      <c r="O553" t="n">
        <v>0</v>
      </c>
      <c r="P553" t="n">
        <v>0</v>
      </c>
      <c r="Q553" t="n">
        <v>0</v>
      </c>
      <c r="R553" s="2" t="inlineStr"/>
    </row>
    <row r="554" ht="15" customHeight="1">
      <c r="A554" t="inlineStr">
        <is>
          <t>A 38001-2021</t>
        </is>
      </c>
      <c r="B554" s="1" t="n">
        <v>44404</v>
      </c>
      <c r="C554" s="1" t="n">
        <v>45587</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38215-2021</t>
        </is>
      </c>
      <c r="B555" s="1" t="n">
        <v>44405</v>
      </c>
      <c r="C555" s="1" t="n">
        <v>45587</v>
      </c>
      <c r="D555" t="inlineStr">
        <is>
          <t>JÄMTLANDS LÄN</t>
        </is>
      </c>
      <c r="E555" t="inlineStr">
        <is>
          <t>HÄRJEDALEN</t>
        </is>
      </c>
      <c r="F555" t="inlineStr">
        <is>
          <t>Övriga Aktiebolag</t>
        </is>
      </c>
      <c r="G555" t="n">
        <v>6.4</v>
      </c>
      <c r="H555" t="n">
        <v>0</v>
      </c>
      <c r="I555" t="n">
        <v>0</v>
      </c>
      <c r="J555" t="n">
        <v>0</v>
      </c>
      <c r="K555" t="n">
        <v>0</v>
      </c>
      <c r="L555" t="n">
        <v>0</v>
      </c>
      <c r="M555" t="n">
        <v>0</v>
      </c>
      <c r="N555" t="n">
        <v>0</v>
      </c>
      <c r="O555" t="n">
        <v>0</v>
      </c>
      <c r="P555" t="n">
        <v>0</v>
      </c>
      <c r="Q555" t="n">
        <v>0</v>
      </c>
      <c r="R555" s="2" t="inlineStr"/>
    </row>
    <row r="556" ht="15" customHeight="1">
      <c r="A556" t="inlineStr">
        <is>
          <t>A 38356-2021</t>
        </is>
      </c>
      <c r="B556" s="1" t="n">
        <v>44406</v>
      </c>
      <c r="C556" s="1" t="n">
        <v>45587</v>
      </c>
      <c r="D556" t="inlineStr">
        <is>
          <t>JÄMTLANDS LÄN</t>
        </is>
      </c>
      <c r="E556" t="inlineStr">
        <is>
          <t>HÄRJEDALEN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38794-2021</t>
        </is>
      </c>
      <c r="B557" s="1" t="n">
        <v>44410</v>
      </c>
      <c r="C557" s="1" t="n">
        <v>45587</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39321-2021</t>
        </is>
      </c>
      <c r="B558" s="1" t="n">
        <v>44413</v>
      </c>
      <c r="C558" s="1" t="n">
        <v>45587</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39493-2021</t>
        </is>
      </c>
      <c r="B559" s="1" t="n">
        <v>44414</v>
      </c>
      <c r="C559" s="1" t="n">
        <v>45587</v>
      </c>
      <c r="D559" t="inlineStr">
        <is>
          <t>JÄMTLANDS LÄN</t>
        </is>
      </c>
      <c r="E559" t="inlineStr">
        <is>
          <t>HÄRJEDALEN</t>
        </is>
      </c>
      <c r="G559" t="n">
        <v>13.5</v>
      </c>
      <c r="H559" t="n">
        <v>0</v>
      </c>
      <c r="I559" t="n">
        <v>0</v>
      </c>
      <c r="J559" t="n">
        <v>0</v>
      </c>
      <c r="K559" t="n">
        <v>0</v>
      </c>
      <c r="L559" t="n">
        <v>0</v>
      </c>
      <c r="M559" t="n">
        <v>0</v>
      </c>
      <c r="N559" t="n">
        <v>0</v>
      </c>
      <c r="O559" t="n">
        <v>0</v>
      </c>
      <c r="P559" t="n">
        <v>0</v>
      </c>
      <c r="Q559" t="n">
        <v>0</v>
      </c>
      <c r="R559" s="2" t="inlineStr"/>
    </row>
    <row r="560" ht="15" customHeight="1">
      <c r="A560" t="inlineStr">
        <is>
          <t>A 39492-2021</t>
        </is>
      </c>
      <c r="B560" s="1" t="n">
        <v>44414</v>
      </c>
      <c r="C560" s="1" t="n">
        <v>45587</v>
      </c>
      <c r="D560" t="inlineStr">
        <is>
          <t>JÄMTLANDS LÄN</t>
        </is>
      </c>
      <c r="E560" t="inlineStr">
        <is>
          <t>HÄRJEDALEN</t>
        </is>
      </c>
      <c r="G560" t="n">
        <v>28.3</v>
      </c>
      <c r="H560" t="n">
        <v>0</v>
      </c>
      <c r="I560" t="n">
        <v>0</v>
      </c>
      <c r="J560" t="n">
        <v>0</v>
      </c>
      <c r="K560" t="n">
        <v>0</v>
      </c>
      <c r="L560" t="n">
        <v>0</v>
      </c>
      <c r="M560" t="n">
        <v>0</v>
      </c>
      <c r="N560" t="n">
        <v>0</v>
      </c>
      <c r="O560" t="n">
        <v>0</v>
      </c>
      <c r="P560" t="n">
        <v>0</v>
      </c>
      <c r="Q560" t="n">
        <v>0</v>
      </c>
      <c r="R560" s="2" t="inlineStr"/>
    </row>
    <row r="561" ht="15" customHeight="1">
      <c r="A561" t="inlineStr">
        <is>
          <t>A 39610-2021</t>
        </is>
      </c>
      <c r="B561" s="1" t="n">
        <v>44417</v>
      </c>
      <c r="C561" s="1" t="n">
        <v>45587</v>
      </c>
      <c r="D561" t="inlineStr">
        <is>
          <t>JÄMTLANDS LÄN</t>
        </is>
      </c>
      <c r="E561" t="inlineStr">
        <is>
          <t>HÄRJEDALEN</t>
        </is>
      </c>
      <c r="G561" t="n">
        <v>5.1</v>
      </c>
      <c r="H561" t="n">
        <v>0</v>
      </c>
      <c r="I561" t="n">
        <v>0</v>
      </c>
      <c r="J561" t="n">
        <v>0</v>
      </c>
      <c r="K561" t="n">
        <v>0</v>
      </c>
      <c r="L561" t="n">
        <v>0</v>
      </c>
      <c r="M561" t="n">
        <v>0</v>
      </c>
      <c r="N561" t="n">
        <v>0</v>
      </c>
      <c r="O561" t="n">
        <v>0</v>
      </c>
      <c r="P561" t="n">
        <v>0</v>
      </c>
      <c r="Q561" t="n">
        <v>0</v>
      </c>
      <c r="R561" s="2" t="inlineStr"/>
    </row>
    <row r="562" ht="15" customHeight="1">
      <c r="A562" t="inlineStr">
        <is>
          <t>A 39616-2021</t>
        </is>
      </c>
      <c r="B562" s="1" t="n">
        <v>44417</v>
      </c>
      <c r="C562" s="1" t="n">
        <v>45587</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39611-2021</t>
        </is>
      </c>
      <c r="B563" s="1" t="n">
        <v>44417</v>
      </c>
      <c r="C563" s="1" t="n">
        <v>45587</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39631-2021</t>
        </is>
      </c>
      <c r="B564" s="1" t="n">
        <v>44417</v>
      </c>
      <c r="C564" s="1" t="n">
        <v>45587</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39618-2021</t>
        </is>
      </c>
      <c r="B565" s="1" t="n">
        <v>44417</v>
      </c>
      <c r="C565" s="1" t="n">
        <v>45587</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39979-2021</t>
        </is>
      </c>
      <c r="B566" s="1" t="n">
        <v>44418</v>
      </c>
      <c r="C566" s="1" t="n">
        <v>45587</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39951-2021</t>
        </is>
      </c>
      <c r="B567" s="1" t="n">
        <v>44418</v>
      </c>
      <c r="C567" s="1" t="n">
        <v>45587</v>
      </c>
      <c r="D567" t="inlineStr">
        <is>
          <t>JÄMTLANDS LÄN</t>
        </is>
      </c>
      <c r="E567" t="inlineStr">
        <is>
          <t>HÄRJEDALEN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39950-2021</t>
        </is>
      </c>
      <c r="B568" s="1" t="n">
        <v>44418</v>
      </c>
      <c r="C568" s="1" t="n">
        <v>45587</v>
      </c>
      <c r="D568" t="inlineStr">
        <is>
          <t>JÄMTLANDS LÄN</t>
        </is>
      </c>
      <c r="E568" t="inlineStr">
        <is>
          <t>HÄRJEDALEN</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40412-2021</t>
        </is>
      </c>
      <c r="B569" s="1" t="n">
        <v>44419</v>
      </c>
      <c r="C569" s="1" t="n">
        <v>45587</v>
      </c>
      <c r="D569" t="inlineStr">
        <is>
          <t>JÄMTLANDS LÄN</t>
        </is>
      </c>
      <c r="E569" t="inlineStr">
        <is>
          <t>HÄRJEDALEN</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40497-2021</t>
        </is>
      </c>
      <c r="B570" s="1" t="n">
        <v>44420</v>
      </c>
      <c r="C570" s="1" t="n">
        <v>45587</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40808-2021</t>
        </is>
      </c>
      <c r="B571" s="1" t="n">
        <v>44421</v>
      </c>
      <c r="C571" s="1" t="n">
        <v>45587</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41149-2021</t>
        </is>
      </c>
      <c r="B572" s="1" t="n">
        <v>44423</v>
      </c>
      <c r="C572" s="1" t="n">
        <v>45587</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41147-2021</t>
        </is>
      </c>
      <c r="B573" s="1" t="n">
        <v>44423</v>
      </c>
      <c r="C573" s="1" t="n">
        <v>45587</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45587</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41387-2021</t>
        </is>
      </c>
      <c r="B575" s="1" t="n">
        <v>44424</v>
      </c>
      <c r="C575" s="1" t="n">
        <v>45587</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41395-2021</t>
        </is>
      </c>
      <c r="B576" s="1" t="n">
        <v>44424</v>
      </c>
      <c r="C576" s="1" t="n">
        <v>45587</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41400-2021</t>
        </is>
      </c>
      <c r="B577" s="1" t="n">
        <v>44424</v>
      </c>
      <c r="C577" s="1" t="n">
        <v>45587</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41391-2021</t>
        </is>
      </c>
      <c r="B578" s="1" t="n">
        <v>44424</v>
      </c>
      <c r="C578" s="1" t="n">
        <v>45587</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41978-2021</t>
        </is>
      </c>
      <c r="B579" s="1" t="n">
        <v>44426</v>
      </c>
      <c r="C579" s="1" t="n">
        <v>45587</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42827-2021</t>
        </is>
      </c>
      <c r="B580" s="1" t="n">
        <v>44430</v>
      </c>
      <c r="C580" s="1" t="n">
        <v>45587</v>
      </c>
      <c r="D580" t="inlineStr">
        <is>
          <t>JÄMTLANDS LÄN</t>
        </is>
      </c>
      <c r="E580" t="inlineStr">
        <is>
          <t>HÄRJEDALEN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44519-2021</t>
        </is>
      </c>
      <c r="B581" s="1" t="n">
        <v>44435</v>
      </c>
      <c r="C581" s="1" t="n">
        <v>45587</v>
      </c>
      <c r="D581" t="inlineStr">
        <is>
          <t>JÄMTLANDS LÄN</t>
        </is>
      </c>
      <c r="E581" t="inlineStr">
        <is>
          <t>HÄRJEDALEN</t>
        </is>
      </c>
      <c r="F581" t="inlineStr">
        <is>
          <t>Kyrkan</t>
        </is>
      </c>
      <c r="G581" t="n">
        <v>6.7</v>
      </c>
      <c r="H581" t="n">
        <v>0</v>
      </c>
      <c r="I581" t="n">
        <v>0</v>
      </c>
      <c r="J581" t="n">
        <v>0</v>
      </c>
      <c r="K581" t="n">
        <v>0</v>
      </c>
      <c r="L581" t="n">
        <v>0</v>
      </c>
      <c r="M581" t="n">
        <v>0</v>
      </c>
      <c r="N581" t="n">
        <v>0</v>
      </c>
      <c r="O581" t="n">
        <v>0</v>
      </c>
      <c r="P581" t="n">
        <v>0</v>
      </c>
      <c r="Q581" t="n">
        <v>0</v>
      </c>
      <c r="R581" s="2" t="inlineStr"/>
    </row>
    <row r="582" ht="15" customHeight="1">
      <c r="A582" t="inlineStr">
        <is>
          <t>A 45409-2021</t>
        </is>
      </c>
      <c r="B582" s="1" t="n">
        <v>44440</v>
      </c>
      <c r="C582" s="1" t="n">
        <v>45587</v>
      </c>
      <c r="D582" t="inlineStr">
        <is>
          <t>JÄMTLANDS LÄN</t>
        </is>
      </c>
      <c r="E582" t="inlineStr">
        <is>
          <t>HÄRJEDALEN</t>
        </is>
      </c>
      <c r="G582" t="n">
        <v>18.9</v>
      </c>
      <c r="H582" t="n">
        <v>0</v>
      </c>
      <c r="I582" t="n">
        <v>0</v>
      </c>
      <c r="J582" t="n">
        <v>0</v>
      </c>
      <c r="K582" t="n">
        <v>0</v>
      </c>
      <c r="L582" t="n">
        <v>0</v>
      </c>
      <c r="M582" t="n">
        <v>0</v>
      </c>
      <c r="N582" t="n">
        <v>0</v>
      </c>
      <c r="O582" t="n">
        <v>0</v>
      </c>
      <c r="P582" t="n">
        <v>0</v>
      </c>
      <c r="Q582" t="n">
        <v>0</v>
      </c>
      <c r="R582" s="2" t="inlineStr"/>
    </row>
    <row r="583" ht="15" customHeight="1">
      <c r="A583" t="inlineStr">
        <is>
          <t>A 45363-2021</t>
        </is>
      </c>
      <c r="B583" s="1" t="n">
        <v>44440</v>
      </c>
      <c r="C583" s="1" t="n">
        <v>45587</v>
      </c>
      <c r="D583" t="inlineStr">
        <is>
          <t>JÄMTLANDS LÄN</t>
        </is>
      </c>
      <c r="E583" t="inlineStr">
        <is>
          <t>HÄRJEDALEN</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45365-2021</t>
        </is>
      </c>
      <c r="B584" s="1" t="n">
        <v>44440</v>
      </c>
      <c r="C584" s="1" t="n">
        <v>45587</v>
      </c>
      <c r="D584" t="inlineStr">
        <is>
          <t>JÄMTLANDS LÄN</t>
        </is>
      </c>
      <c r="E584" t="inlineStr">
        <is>
          <t>HÄRJEDALEN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45744-2021</t>
        </is>
      </c>
      <c r="B585" s="1" t="n">
        <v>44441</v>
      </c>
      <c r="C585" s="1" t="n">
        <v>45587</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46352-2021</t>
        </is>
      </c>
      <c r="B586" s="1" t="n">
        <v>44442</v>
      </c>
      <c r="C586" s="1" t="n">
        <v>45587</v>
      </c>
      <c r="D586" t="inlineStr">
        <is>
          <t>JÄMTLANDS LÄN</t>
        </is>
      </c>
      <c r="E586" t="inlineStr">
        <is>
          <t>HÄRJEDALEN</t>
        </is>
      </c>
      <c r="G586" t="n">
        <v>4.4</v>
      </c>
      <c r="H586" t="n">
        <v>0</v>
      </c>
      <c r="I586" t="n">
        <v>0</v>
      </c>
      <c r="J586" t="n">
        <v>0</v>
      </c>
      <c r="K586" t="n">
        <v>0</v>
      </c>
      <c r="L586" t="n">
        <v>0</v>
      </c>
      <c r="M586" t="n">
        <v>0</v>
      </c>
      <c r="N586" t="n">
        <v>0</v>
      </c>
      <c r="O586" t="n">
        <v>0</v>
      </c>
      <c r="P586" t="n">
        <v>0</v>
      </c>
      <c r="Q586" t="n">
        <v>0</v>
      </c>
      <c r="R586" s="2" t="inlineStr"/>
    </row>
    <row r="587" ht="15" customHeight="1">
      <c r="A587" t="inlineStr">
        <is>
          <t>A 47289-2021</t>
        </is>
      </c>
      <c r="B587" s="1" t="n">
        <v>44447</v>
      </c>
      <c r="C587" s="1" t="n">
        <v>45587</v>
      </c>
      <c r="D587" t="inlineStr">
        <is>
          <t>JÄMTLANDS LÄN</t>
        </is>
      </c>
      <c r="E587" t="inlineStr">
        <is>
          <t>HÄRJEDALEN</t>
        </is>
      </c>
      <c r="F587" t="inlineStr">
        <is>
          <t>Holmen skog AB</t>
        </is>
      </c>
      <c r="G587" t="n">
        <v>31.7</v>
      </c>
      <c r="H587" t="n">
        <v>0</v>
      </c>
      <c r="I587" t="n">
        <v>0</v>
      </c>
      <c r="J587" t="n">
        <v>0</v>
      </c>
      <c r="K587" t="n">
        <v>0</v>
      </c>
      <c r="L587" t="n">
        <v>0</v>
      </c>
      <c r="M587" t="n">
        <v>0</v>
      </c>
      <c r="N587" t="n">
        <v>0</v>
      </c>
      <c r="O587" t="n">
        <v>0</v>
      </c>
      <c r="P587" t="n">
        <v>0</v>
      </c>
      <c r="Q587" t="n">
        <v>0</v>
      </c>
      <c r="R587" s="2" t="inlineStr"/>
    </row>
    <row r="588" ht="15" customHeight="1">
      <c r="A588" t="inlineStr">
        <is>
          <t>A 48079-2021</t>
        </is>
      </c>
      <c r="B588" s="1" t="n">
        <v>44449</v>
      </c>
      <c r="C588" s="1" t="n">
        <v>45587</v>
      </c>
      <c r="D588" t="inlineStr">
        <is>
          <t>JÄMTLANDS LÄN</t>
        </is>
      </c>
      <c r="E588" t="inlineStr">
        <is>
          <t>HÄRJEDALEN</t>
        </is>
      </c>
      <c r="G588" t="n">
        <v>12.5</v>
      </c>
      <c r="H588" t="n">
        <v>0</v>
      </c>
      <c r="I588" t="n">
        <v>0</v>
      </c>
      <c r="J588" t="n">
        <v>0</v>
      </c>
      <c r="K588" t="n">
        <v>0</v>
      </c>
      <c r="L588" t="n">
        <v>0</v>
      </c>
      <c r="M588" t="n">
        <v>0</v>
      </c>
      <c r="N588" t="n">
        <v>0</v>
      </c>
      <c r="O588" t="n">
        <v>0</v>
      </c>
      <c r="P588" t="n">
        <v>0</v>
      </c>
      <c r="Q588" t="n">
        <v>0</v>
      </c>
      <c r="R588" s="2" t="inlineStr"/>
    </row>
    <row r="589" ht="15" customHeight="1">
      <c r="A589" t="inlineStr">
        <is>
          <t>A 48132-2021</t>
        </is>
      </c>
      <c r="B589" s="1" t="n">
        <v>44449</v>
      </c>
      <c r="C589" s="1" t="n">
        <v>45587</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48142-2021</t>
        </is>
      </c>
      <c r="B590" s="1" t="n">
        <v>44449</v>
      </c>
      <c r="C590" s="1" t="n">
        <v>45587</v>
      </c>
      <c r="D590" t="inlineStr">
        <is>
          <t>JÄMTLANDS LÄN</t>
        </is>
      </c>
      <c r="E590" t="inlineStr">
        <is>
          <t>HÄRJEDALEN</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48444-2021</t>
        </is>
      </c>
      <c r="B591" s="1" t="n">
        <v>44452</v>
      </c>
      <c r="C591" s="1" t="n">
        <v>45587</v>
      </c>
      <c r="D591" t="inlineStr">
        <is>
          <t>JÄMTLANDS LÄN</t>
        </is>
      </c>
      <c r="E591" t="inlineStr">
        <is>
          <t>HÄRJEDALEN</t>
        </is>
      </c>
      <c r="F591" t="inlineStr">
        <is>
          <t>Holmen skog AB</t>
        </is>
      </c>
      <c r="G591" t="n">
        <v>7.4</v>
      </c>
      <c r="H591" t="n">
        <v>0</v>
      </c>
      <c r="I591" t="n">
        <v>0</v>
      </c>
      <c r="J591" t="n">
        <v>0</v>
      </c>
      <c r="K591" t="n">
        <v>0</v>
      </c>
      <c r="L591" t="n">
        <v>0</v>
      </c>
      <c r="M591" t="n">
        <v>0</v>
      </c>
      <c r="N591" t="n">
        <v>0</v>
      </c>
      <c r="O591" t="n">
        <v>0</v>
      </c>
      <c r="P591" t="n">
        <v>0</v>
      </c>
      <c r="Q591" t="n">
        <v>0</v>
      </c>
      <c r="R591" s="2" t="inlineStr"/>
    </row>
    <row r="592" ht="15" customHeight="1">
      <c r="A592" t="inlineStr">
        <is>
          <t>A 48586-2021</t>
        </is>
      </c>
      <c r="B592" s="1" t="n">
        <v>44452</v>
      </c>
      <c r="C592" s="1" t="n">
        <v>45587</v>
      </c>
      <c r="D592" t="inlineStr">
        <is>
          <t>JÄMTLANDS LÄN</t>
        </is>
      </c>
      <c r="E592" t="inlineStr">
        <is>
          <t>HÄRJEDALEN</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48769-2021</t>
        </is>
      </c>
      <c r="B593" s="1" t="n">
        <v>44452</v>
      </c>
      <c r="C593" s="1" t="n">
        <v>45587</v>
      </c>
      <c r="D593" t="inlineStr">
        <is>
          <t>JÄMTLANDS LÄN</t>
        </is>
      </c>
      <c r="E593" t="inlineStr">
        <is>
          <t>HÄRJEDALEN</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48681-2021</t>
        </is>
      </c>
      <c r="B594" s="1" t="n">
        <v>44452</v>
      </c>
      <c r="C594" s="1" t="n">
        <v>45587</v>
      </c>
      <c r="D594" t="inlineStr">
        <is>
          <t>JÄMTLANDS LÄN</t>
        </is>
      </c>
      <c r="E594" t="inlineStr">
        <is>
          <t>HÄRJEDALEN</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50775-2021</t>
        </is>
      </c>
      <c r="B595" s="1" t="n">
        <v>44460</v>
      </c>
      <c r="C595" s="1" t="n">
        <v>45587</v>
      </c>
      <c r="D595" t="inlineStr">
        <is>
          <t>JÄMTLANDS LÄN</t>
        </is>
      </c>
      <c r="E595" t="inlineStr">
        <is>
          <t>HÄRJEDALEN</t>
        </is>
      </c>
      <c r="F595" t="inlineStr">
        <is>
          <t>Bergvik skog väst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52685-2021</t>
        </is>
      </c>
      <c r="B596" s="1" t="n">
        <v>44466</v>
      </c>
      <c r="C596" s="1" t="n">
        <v>45587</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54103-2021</t>
        </is>
      </c>
      <c r="B597" s="1" t="n">
        <v>44470</v>
      </c>
      <c r="C597" s="1" t="n">
        <v>45587</v>
      </c>
      <c r="D597" t="inlineStr">
        <is>
          <t>JÄMTLANDS LÄN</t>
        </is>
      </c>
      <c r="E597" t="inlineStr">
        <is>
          <t>HÄRJEDALEN</t>
        </is>
      </c>
      <c r="F597" t="inlineStr">
        <is>
          <t>Holmen skog AB</t>
        </is>
      </c>
      <c r="G597" t="n">
        <v>11.9</v>
      </c>
      <c r="H597" t="n">
        <v>0</v>
      </c>
      <c r="I597" t="n">
        <v>0</v>
      </c>
      <c r="J597" t="n">
        <v>0</v>
      </c>
      <c r="K597" t="n">
        <v>0</v>
      </c>
      <c r="L597" t="n">
        <v>0</v>
      </c>
      <c r="M597" t="n">
        <v>0</v>
      </c>
      <c r="N597" t="n">
        <v>0</v>
      </c>
      <c r="O597" t="n">
        <v>0</v>
      </c>
      <c r="P597" t="n">
        <v>0</v>
      </c>
      <c r="Q597" t="n">
        <v>0</v>
      </c>
      <c r="R597" s="2" t="inlineStr"/>
    </row>
    <row r="598" ht="15" customHeight="1">
      <c r="A598" t="inlineStr">
        <is>
          <t>A 54218-2021</t>
        </is>
      </c>
      <c r="B598" s="1" t="n">
        <v>44470</v>
      </c>
      <c r="C598" s="1" t="n">
        <v>45587</v>
      </c>
      <c r="D598" t="inlineStr">
        <is>
          <t>JÄMTLANDS LÄN</t>
        </is>
      </c>
      <c r="E598" t="inlineStr">
        <is>
          <t>HÄRJEDALEN</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54331-2021</t>
        </is>
      </c>
      <c r="B599" s="1" t="n">
        <v>44472</v>
      </c>
      <c r="C599" s="1" t="n">
        <v>45587</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54842-2021</t>
        </is>
      </c>
      <c r="B600" s="1" t="n">
        <v>44473</v>
      </c>
      <c r="C600" s="1" t="n">
        <v>45587</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55029-2021</t>
        </is>
      </c>
      <c r="B601" s="1" t="n">
        <v>44474</v>
      </c>
      <c r="C601" s="1" t="n">
        <v>45587</v>
      </c>
      <c r="D601" t="inlineStr">
        <is>
          <t>JÄMTLANDS LÄN</t>
        </is>
      </c>
      <c r="E601" t="inlineStr">
        <is>
          <t>HÄRJEDALEN</t>
        </is>
      </c>
      <c r="G601" t="n">
        <v>6.2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45587</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55226-2021</t>
        </is>
      </c>
      <c r="B603" s="1" t="n">
        <v>44475</v>
      </c>
      <c r="C603" s="1" t="n">
        <v>45587</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55232-2021</t>
        </is>
      </c>
      <c r="B604" s="1" t="n">
        <v>44475</v>
      </c>
      <c r="C604" s="1" t="n">
        <v>45587</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55250-2021</t>
        </is>
      </c>
      <c r="B605" s="1" t="n">
        <v>44475</v>
      </c>
      <c r="C605" s="1" t="n">
        <v>45587</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55231-2021</t>
        </is>
      </c>
      <c r="B606" s="1" t="n">
        <v>44475</v>
      </c>
      <c r="C606" s="1" t="n">
        <v>45587</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55238-2021</t>
        </is>
      </c>
      <c r="B607" s="1" t="n">
        <v>44475</v>
      </c>
      <c r="C607" s="1" t="n">
        <v>45587</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55242-2021</t>
        </is>
      </c>
      <c r="B608" s="1" t="n">
        <v>44475</v>
      </c>
      <c r="C608" s="1" t="n">
        <v>45587</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55252-2021</t>
        </is>
      </c>
      <c r="B609" s="1" t="n">
        <v>44475</v>
      </c>
      <c r="C609" s="1" t="n">
        <v>45587</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55257-2021</t>
        </is>
      </c>
      <c r="B610" s="1" t="n">
        <v>44475</v>
      </c>
      <c r="C610" s="1" t="n">
        <v>45587</v>
      </c>
      <c r="D610" t="inlineStr">
        <is>
          <t>JÄMTLANDS LÄN</t>
        </is>
      </c>
      <c r="E610" t="inlineStr">
        <is>
          <t>HÄRJEDALEN</t>
        </is>
      </c>
      <c r="G610" t="n">
        <v>0</v>
      </c>
      <c r="H610" t="n">
        <v>0</v>
      </c>
      <c r="I610" t="n">
        <v>0</v>
      </c>
      <c r="J610" t="n">
        <v>0</v>
      </c>
      <c r="K610" t="n">
        <v>0</v>
      </c>
      <c r="L610" t="n">
        <v>0</v>
      </c>
      <c r="M610" t="n">
        <v>0</v>
      </c>
      <c r="N610" t="n">
        <v>0</v>
      </c>
      <c r="O610" t="n">
        <v>0</v>
      </c>
      <c r="P610" t="n">
        <v>0</v>
      </c>
      <c r="Q610" t="n">
        <v>0</v>
      </c>
      <c r="R610" s="2" t="inlineStr"/>
    </row>
    <row r="611" ht="15" customHeight="1">
      <c r="A611" t="inlineStr">
        <is>
          <t>A 55255-2021</t>
        </is>
      </c>
      <c r="B611" s="1" t="n">
        <v>44475</v>
      </c>
      <c r="C611" s="1" t="n">
        <v>45587</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55246-2021</t>
        </is>
      </c>
      <c r="B612" s="1" t="n">
        <v>44475</v>
      </c>
      <c r="C612" s="1" t="n">
        <v>45587</v>
      </c>
      <c r="D612" t="inlineStr">
        <is>
          <t>JÄMTLANDS LÄN</t>
        </is>
      </c>
      <c r="E612" t="inlineStr">
        <is>
          <t>HÄRJEDALEN</t>
        </is>
      </c>
      <c r="G612" t="n">
        <v>3.8</v>
      </c>
      <c r="H612" t="n">
        <v>0</v>
      </c>
      <c r="I612" t="n">
        <v>0</v>
      </c>
      <c r="J612" t="n">
        <v>0</v>
      </c>
      <c r="K612" t="n">
        <v>0</v>
      </c>
      <c r="L612" t="n">
        <v>0</v>
      </c>
      <c r="M612" t="n">
        <v>0</v>
      </c>
      <c r="N612" t="n">
        <v>0</v>
      </c>
      <c r="O612" t="n">
        <v>0</v>
      </c>
      <c r="P612" t="n">
        <v>0</v>
      </c>
      <c r="Q612" t="n">
        <v>0</v>
      </c>
      <c r="R612" s="2" t="inlineStr"/>
    </row>
    <row r="613" ht="15" customHeight="1">
      <c r="A613" t="inlineStr">
        <is>
          <t>A 55384-2021</t>
        </is>
      </c>
      <c r="B613" s="1" t="n">
        <v>44475</v>
      </c>
      <c r="C613" s="1" t="n">
        <v>45587</v>
      </c>
      <c r="D613" t="inlineStr">
        <is>
          <t>JÄMTLANDS LÄN</t>
        </is>
      </c>
      <c r="E613" t="inlineStr">
        <is>
          <t>HÄRJEDALEN</t>
        </is>
      </c>
      <c r="G613" t="n">
        <v>0.3</v>
      </c>
      <c r="H613" t="n">
        <v>0</v>
      </c>
      <c r="I613" t="n">
        <v>0</v>
      </c>
      <c r="J613" t="n">
        <v>0</v>
      </c>
      <c r="K613" t="n">
        <v>0</v>
      </c>
      <c r="L613" t="n">
        <v>0</v>
      </c>
      <c r="M613" t="n">
        <v>0</v>
      </c>
      <c r="N613" t="n">
        <v>0</v>
      </c>
      <c r="O613" t="n">
        <v>0</v>
      </c>
      <c r="P613" t="n">
        <v>0</v>
      </c>
      <c r="Q613" t="n">
        <v>0</v>
      </c>
      <c r="R613" s="2" t="inlineStr"/>
    </row>
    <row r="614" ht="15" customHeight="1">
      <c r="A614" t="inlineStr">
        <is>
          <t>A 55379-2021</t>
        </is>
      </c>
      <c r="B614" s="1" t="n">
        <v>44475</v>
      </c>
      <c r="C614" s="1" t="n">
        <v>45587</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45587</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55396-2021</t>
        </is>
      </c>
      <c r="B616" s="1" t="n">
        <v>44475</v>
      </c>
      <c r="C616" s="1" t="n">
        <v>45587</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55385-2021</t>
        </is>
      </c>
      <c r="B617" s="1" t="n">
        <v>44475</v>
      </c>
      <c r="C617" s="1" t="n">
        <v>45587</v>
      </c>
      <c r="D617" t="inlineStr">
        <is>
          <t>JÄMTLANDS LÄN</t>
        </is>
      </c>
      <c r="E617" t="inlineStr">
        <is>
          <t>HÄRJEDALEN</t>
        </is>
      </c>
      <c r="G617" t="n">
        <v>1</v>
      </c>
      <c r="H617" t="n">
        <v>0</v>
      </c>
      <c r="I617" t="n">
        <v>0</v>
      </c>
      <c r="J617" t="n">
        <v>0</v>
      </c>
      <c r="K617" t="n">
        <v>0</v>
      </c>
      <c r="L617" t="n">
        <v>0</v>
      </c>
      <c r="M617" t="n">
        <v>0</v>
      </c>
      <c r="N617" t="n">
        <v>0</v>
      </c>
      <c r="O617" t="n">
        <v>0</v>
      </c>
      <c r="P617" t="n">
        <v>0</v>
      </c>
      <c r="Q617" t="n">
        <v>0</v>
      </c>
      <c r="R617" s="2" t="inlineStr"/>
    </row>
    <row r="618" ht="15" customHeight="1">
      <c r="A618" t="inlineStr">
        <is>
          <t>A 55381-2021</t>
        </is>
      </c>
      <c r="B618" s="1" t="n">
        <v>44475</v>
      </c>
      <c r="C618" s="1" t="n">
        <v>45587</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55399-2021</t>
        </is>
      </c>
      <c r="B619" s="1" t="n">
        <v>44475</v>
      </c>
      <c r="C619" s="1" t="n">
        <v>45587</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55517-2021</t>
        </is>
      </c>
      <c r="B620" s="1" t="n">
        <v>44475</v>
      </c>
      <c r="C620" s="1" t="n">
        <v>45587</v>
      </c>
      <c r="D620" t="inlineStr">
        <is>
          <t>JÄMTLANDS LÄN</t>
        </is>
      </c>
      <c r="E620" t="inlineStr">
        <is>
          <t>HÄRJEDALEN</t>
        </is>
      </c>
      <c r="G620" t="n">
        <v>0.6</v>
      </c>
      <c r="H620" t="n">
        <v>0</v>
      </c>
      <c r="I620" t="n">
        <v>0</v>
      </c>
      <c r="J620" t="n">
        <v>0</v>
      </c>
      <c r="K620" t="n">
        <v>0</v>
      </c>
      <c r="L620" t="n">
        <v>0</v>
      </c>
      <c r="M620" t="n">
        <v>0</v>
      </c>
      <c r="N620" t="n">
        <v>0</v>
      </c>
      <c r="O620" t="n">
        <v>0</v>
      </c>
      <c r="P620" t="n">
        <v>0</v>
      </c>
      <c r="Q620" t="n">
        <v>0</v>
      </c>
      <c r="R620" s="2" t="inlineStr"/>
    </row>
    <row r="621" ht="15" customHeight="1">
      <c r="A621" t="inlineStr">
        <is>
          <t>A 55542-2021</t>
        </is>
      </c>
      <c r="B621" s="1" t="n">
        <v>44475</v>
      </c>
      <c r="C621" s="1" t="n">
        <v>45587</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55393-2021</t>
        </is>
      </c>
      <c r="B622" s="1" t="n">
        <v>44475</v>
      </c>
      <c r="C622" s="1" t="n">
        <v>45587</v>
      </c>
      <c r="D622" t="inlineStr">
        <is>
          <t>JÄMTLANDS LÄN</t>
        </is>
      </c>
      <c r="E622" t="inlineStr">
        <is>
          <t>HÄRJEDALEN</t>
        </is>
      </c>
      <c r="G622" t="n">
        <v>3</v>
      </c>
      <c r="H622" t="n">
        <v>0</v>
      </c>
      <c r="I622" t="n">
        <v>0</v>
      </c>
      <c r="J622" t="n">
        <v>0</v>
      </c>
      <c r="K622" t="n">
        <v>0</v>
      </c>
      <c r="L622" t="n">
        <v>0</v>
      </c>
      <c r="M622" t="n">
        <v>0</v>
      </c>
      <c r="N622" t="n">
        <v>0</v>
      </c>
      <c r="O622" t="n">
        <v>0</v>
      </c>
      <c r="P622" t="n">
        <v>0</v>
      </c>
      <c r="Q622" t="n">
        <v>0</v>
      </c>
      <c r="R622" s="2" t="inlineStr"/>
    </row>
    <row r="623" ht="15" customHeight="1">
      <c r="A623" t="inlineStr">
        <is>
          <t>A 55215-2021</t>
        </is>
      </c>
      <c r="B623" s="1" t="n">
        <v>44475</v>
      </c>
      <c r="C623" s="1" t="n">
        <v>45587</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56852-2021</t>
        </is>
      </c>
      <c r="B624" s="1" t="n">
        <v>44481</v>
      </c>
      <c r="C624" s="1" t="n">
        <v>45587</v>
      </c>
      <c r="D624" t="inlineStr">
        <is>
          <t>JÄMTLANDS LÄN</t>
        </is>
      </c>
      <c r="E624" t="inlineStr">
        <is>
          <t>HÄRJEDALEN</t>
        </is>
      </c>
      <c r="G624" t="n">
        <v>2.8</v>
      </c>
      <c r="H624" t="n">
        <v>0</v>
      </c>
      <c r="I624" t="n">
        <v>0</v>
      </c>
      <c r="J624" t="n">
        <v>0</v>
      </c>
      <c r="K624" t="n">
        <v>0</v>
      </c>
      <c r="L624" t="n">
        <v>0</v>
      </c>
      <c r="M624" t="n">
        <v>0</v>
      </c>
      <c r="N624" t="n">
        <v>0</v>
      </c>
      <c r="O624" t="n">
        <v>0</v>
      </c>
      <c r="P624" t="n">
        <v>0</v>
      </c>
      <c r="Q624" t="n">
        <v>0</v>
      </c>
      <c r="R624" s="2" t="inlineStr"/>
    </row>
    <row r="625" ht="15" customHeight="1">
      <c r="A625" t="inlineStr">
        <is>
          <t>A 57381-2021</t>
        </is>
      </c>
      <c r="B625" s="1" t="n">
        <v>44483</v>
      </c>
      <c r="C625" s="1" t="n">
        <v>45587</v>
      </c>
      <c r="D625" t="inlineStr">
        <is>
          <t>JÄMTLANDS LÄN</t>
        </is>
      </c>
      <c r="E625" t="inlineStr">
        <is>
          <t>HÄRJEDALEN</t>
        </is>
      </c>
      <c r="G625" t="n">
        <v>17.9</v>
      </c>
      <c r="H625" t="n">
        <v>0</v>
      </c>
      <c r="I625" t="n">
        <v>0</v>
      </c>
      <c r="J625" t="n">
        <v>0</v>
      </c>
      <c r="K625" t="n">
        <v>0</v>
      </c>
      <c r="L625" t="n">
        <v>0</v>
      </c>
      <c r="M625" t="n">
        <v>0</v>
      </c>
      <c r="N625" t="n">
        <v>0</v>
      </c>
      <c r="O625" t="n">
        <v>0</v>
      </c>
      <c r="P625" t="n">
        <v>0</v>
      </c>
      <c r="Q625" t="n">
        <v>0</v>
      </c>
      <c r="R625" s="2" t="inlineStr"/>
    </row>
    <row r="626" ht="15" customHeight="1">
      <c r="A626" t="inlineStr">
        <is>
          <t>A 57256-2021</t>
        </is>
      </c>
      <c r="B626" s="1" t="n">
        <v>44483</v>
      </c>
      <c r="C626" s="1" t="n">
        <v>45587</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57373-2021</t>
        </is>
      </c>
      <c r="B627" s="1" t="n">
        <v>44483</v>
      </c>
      <c r="C627" s="1" t="n">
        <v>45587</v>
      </c>
      <c r="D627" t="inlineStr">
        <is>
          <t>JÄMTLANDS LÄN</t>
        </is>
      </c>
      <c r="E627" t="inlineStr">
        <is>
          <t>HÄRJEDALEN</t>
        </is>
      </c>
      <c r="G627" t="n">
        <v>10.8</v>
      </c>
      <c r="H627" t="n">
        <v>0</v>
      </c>
      <c r="I627" t="n">
        <v>0</v>
      </c>
      <c r="J627" t="n">
        <v>0</v>
      </c>
      <c r="K627" t="n">
        <v>0</v>
      </c>
      <c r="L627" t="n">
        <v>0</v>
      </c>
      <c r="M627" t="n">
        <v>0</v>
      </c>
      <c r="N627" t="n">
        <v>0</v>
      </c>
      <c r="O627" t="n">
        <v>0</v>
      </c>
      <c r="P627" t="n">
        <v>0</v>
      </c>
      <c r="Q627" t="n">
        <v>0</v>
      </c>
      <c r="R627" s="2" t="inlineStr"/>
    </row>
    <row r="628" ht="15" customHeight="1">
      <c r="A628" t="inlineStr">
        <is>
          <t>A 57755-2021</t>
        </is>
      </c>
      <c r="B628" s="1" t="n">
        <v>44484</v>
      </c>
      <c r="C628" s="1" t="n">
        <v>45587</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57782-2021</t>
        </is>
      </c>
      <c r="B629" s="1" t="n">
        <v>44484</v>
      </c>
      <c r="C629" s="1" t="n">
        <v>45587</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58451-2021</t>
        </is>
      </c>
      <c r="B630" s="1" t="n">
        <v>44488</v>
      </c>
      <c r="C630" s="1" t="n">
        <v>45587</v>
      </c>
      <c r="D630" t="inlineStr">
        <is>
          <t>JÄMTLANDS LÄN</t>
        </is>
      </c>
      <c r="E630" t="inlineStr">
        <is>
          <t>HÄRJEDALEN</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59928-2021</t>
        </is>
      </c>
      <c r="B631" s="1" t="n">
        <v>44494</v>
      </c>
      <c r="C631" s="1" t="n">
        <v>45587</v>
      </c>
      <c r="D631" t="inlineStr">
        <is>
          <t>JÄMTLANDS LÄN</t>
        </is>
      </c>
      <c r="E631" t="inlineStr">
        <is>
          <t>HÄRJEDALEN</t>
        </is>
      </c>
      <c r="G631" t="n">
        <v>28.6</v>
      </c>
      <c r="H631" t="n">
        <v>0</v>
      </c>
      <c r="I631" t="n">
        <v>0</v>
      </c>
      <c r="J631" t="n">
        <v>0</v>
      </c>
      <c r="K631" t="n">
        <v>0</v>
      </c>
      <c r="L631" t="n">
        <v>0</v>
      </c>
      <c r="M631" t="n">
        <v>0</v>
      </c>
      <c r="N631" t="n">
        <v>0</v>
      </c>
      <c r="O631" t="n">
        <v>0</v>
      </c>
      <c r="P631" t="n">
        <v>0</v>
      </c>
      <c r="Q631" t="n">
        <v>0</v>
      </c>
      <c r="R631" s="2" t="inlineStr"/>
    </row>
    <row r="632" ht="15" customHeight="1">
      <c r="A632" t="inlineStr">
        <is>
          <t>A 60841-2021</t>
        </is>
      </c>
      <c r="B632" s="1" t="n">
        <v>44497</v>
      </c>
      <c r="C632" s="1" t="n">
        <v>45587</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61547-2021</t>
        </is>
      </c>
      <c r="B633" s="1" t="n">
        <v>44501</v>
      </c>
      <c r="C633" s="1" t="n">
        <v>45587</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63774-2021</t>
        </is>
      </c>
      <c r="B634" s="1" t="n">
        <v>44508</v>
      </c>
      <c r="C634" s="1" t="n">
        <v>45587</v>
      </c>
      <c r="D634" t="inlineStr">
        <is>
          <t>JÄMTLANDS LÄN</t>
        </is>
      </c>
      <c r="E634" t="inlineStr">
        <is>
          <t>HÄRJEDALEN</t>
        </is>
      </c>
      <c r="F634" t="inlineStr">
        <is>
          <t>Holmen skog AB</t>
        </is>
      </c>
      <c r="G634" t="n">
        <v>14.8</v>
      </c>
      <c r="H634" t="n">
        <v>0</v>
      </c>
      <c r="I634" t="n">
        <v>0</v>
      </c>
      <c r="J634" t="n">
        <v>0</v>
      </c>
      <c r="K634" t="n">
        <v>0</v>
      </c>
      <c r="L634" t="n">
        <v>0</v>
      </c>
      <c r="M634" t="n">
        <v>0</v>
      </c>
      <c r="N634" t="n">
        <v>0</v>
      </c>
      <c r="O634" t="n">
        <v>0</v>
      </c>
      <c r="P634" t="n">
        <v>0</v>
      </c>
      <c r="Q634" t="n">
        <v>0</v>
      </c>
      <c r="R634" s="2" t="inlineStr"/>
    </row>
    <row r="635" ht="15" customHeight="1">
      <c r="A635" t="inlineStr">
        <is>
          <t>A 64937-2021</t>
        </is>
      </c>
      <c r="B635" s="1" t="n">
        <v>44512</v>
      </c>
      <c r="C635" s="1" t="n">
        <v>45587</v>
      </c>
      <c r="D635" t="inlineStr">
        <is>
          <t>JÄMTLANDS LÄN</t>
        </is>
      </c>
      <c r="E635" t="inlineStr">
        <is>
          <t>HÄRJEDALEN</t>
        </is>
      </c>
      <c r="G635" t="n">
        <v>7</v>
      </c>
      <c r="H635" t="n">
        <v>0</v>
      </c>
      <c r="I635" t="n">
        <v>0</v>
      </c>
      <c r="J635" t="n">
        <v>0</v>
      </c>
      <c r="K635" t="n">
        <v>0</v>
      </c>
      <c r="L635" t="n">
        <v>0</v>
      </c>
      <c r="M635" t="n">
        <v>0</v>
      </c>
      <c r="N635" t="n">
        <v>0</v>
      </c>
      <c r="O635" t="n">
        <v>0</v>
      </c>
      <c r="P635" t="n">
        <v>0</v>
      </c>
      <c r="Q635" t="n">
        <v>0</v>
      </c>
      <c r="R635" s="2" t="inlineStr"/>
    </row>
    <row r="636" ht="15" customHeight="1">
      <c r="A636" t="inlineStr">
        <is>
          <t>A 65125-2021</t>
        </is>
      </c>
      <c r="B636" s="1" t="n">
        <v>44515</v>
      </c>
      <c r="C636" s="1" t="n">
        <v>45587</v>
      </c>
      <c r="D636" t="inlineStr">
        <is>
          <t>JÄMTLANDS LÄN</t>
        </is>
      </c>
      <c r="E636" t="inlineStr">
        <is>
          <t>HÄRJEDALEN</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65549-2021</t>
        </is>
      </c>
      <c r="B637" s="1" t="n">
        <v>44516</v>
      </c>
      <c r="C637" s="1" t="n">
        <v>45587</v>
      </c>
      <c r="D637" t="inlineStr">
        <is>
          <t>JÄMTLANDS LÄN</t>
        </is>
      </c>
      <c r="E637" t="inlineStr">
        <is>
          <t>HÄRJEDALEN</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68858-2021</t>
        </is>
      </c>
      <c r="B638" s="1" t="n">
        <v>44530</v>
      </c>
      <c r="C638" s="1" t="n">
        <v>45587</v>
      </c>
      <c r="D638" t="inlineStr">
        <is>
          <t>JÄMTLANDS LÄN</t>
        </is>
      </c>
      <c r="E638" t="inlineStr">
        <is>
          <t>HÄRJEDALEN</t>
        </is>
      </c>
      <c r="G638" t="n">
        <v>0.9</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v>
      </c>
      <c r="C639" s="1" t="n">
        <v>45587</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69501-2021</t>
        </is>
      </c>
      <c r="B640" s="1" t="n">
        <v>44531</v>
      </c>
      <c r="C640" s="1" t="n">
        <v>45587</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69490-2021</t>
        </is>
      </c>
      <c r="B641" s="1" t="n">
        <v>44531</v>
      </c>
      <c r="C641" s="1" t="n">
        <v>45587</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69504-2021</t>
        </is>
      </c>
      <c r="B642" s="1" t="n">
        <v>44531</v>
      </c>
      <c r="C642" s="1" t="n">
        <v>45587</v>
      </c>
      <c r="D642" t="inlineStr">
        <is>
          <t>JÄMTLANDS LÄN</t>
        </is>
      </c>
      <c r="E642" t="inlineStr">
        <is>
          <t>HÄRJEDALEN</t>
        </is>
      </c>
      <c r="G642" t="n">
        <v>11.5</v>
      </c>
      <c r="H642" t="n">
        <v>0</v>
      </c>
      <c r="I642" t="n">
        <v>0</v>
      </c>
      <c r="J642" t="n">
        <v>0</v>
      </c>
      <c r="K642" t="n">
        <v>0</v>
      </c>
      <c r="L642" t="n">
        <v>0</v>
      </c>
      <c r="M642" t="n">
        <v>0</v>
      </c>
      <c r="N642" t="n">
        <v>0</v>
      </c>
      <c r="O642" t="n">
        <v>0</v>
      </c>
      <c r="P642" t="n">
        <v>0</v>
      </c>
      <c r="Q642" t="n">
        <v>0</v>
      </c>
      <c r="R642" s="2" t="inlineStr"/>
    </row>
    <row r="643" ht="15" customHeight="1">
      <c r="A643" t="inlineStr">
        <is>
          <t>A 69499-2021</t>
        </is>
      </c>
      <c r="B643" s="1" t="n">
        <v>44531</v>
      </c>
      <c r="C643" s="1" t="n">
        <v>45587</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71649-2021</t>
        </is>
      </c>
      <c r="B644" s="1" t="n">
        <v>44538</v>
      </c>
      <c r="C644" s="1" t="n">
        <v>45587</v>
      </c>
      <c r="D644" t="inlineStr">
        <is>
          <t>JÄMTLANDS LÄN</t>
        </is>
      </c>
      <c r="E644" t="inlineStr">
        <is>
          <t>HÄRJEDALEN</t>
        </is>
      </c>
      <c r="F644" t="inlineStr">
        <is>
          <t>Övriga statliga verk och myndigheter</t>
        </is>
      </c>
      <c r="G644" t="n">
        <v>3.7</v>
      </c>
      <c r="H644" t="n">
        <v>0</v>
      </c>
      <c r="I644" t="n">
        <v>0</v>
      </c>
      <c r="J644" t="n">
        <v>0</v>
      </c>
      <c r="K644" t="n">
        <v>0</v>
      </c>
      <c r="L644" t="n">
        <v>0</v>
      </c>
      <c r="M644" t="n">
        <v>0</v>
      </c>
      <c r="N644" t="n">
        <v>0</v>
      </c>
      <c r="O644" t="n">
        <v>0</v>
      </c>
      <c r="P644" t="n">
        <v>0</v>
      </c>
      <c r="Q644" t="n">
        <v>0</v>
      </c>
      <c r="R644" s="2" t="inlineStr"/>
    </row>
    <row r="645" ht="15" customHeight="1">
      <c r="A645" t="inlineStr">
        <is>
          <t>A 71668-2021</t>
        </is>
      </c>
      <c r="B645" s="1" t="n">
        <v>44538</v>
      </c>
      <c r="C645" s="1" t="n">
        <v>45587</v>
      </c>
      <c r="D645" t="inlineStr">
        <is>
          <t>JÄMTLANDS LÄN</t>
        </is>
      </c>
      <c r="E645" t="inlineStr">
        <is>
          <t>HÄRJEDALEN</t>
        </is>
      </c>
      <c r="F645" t="inlineStr">
        <is>
          <t>Övriga statliga verk och myndigheter</t>
        </is>
      </c>
      <c r="G645" t="n">
        <v>3.1</v>
      </c>
      <c r="H645" t="n">
        <v>0</v>
      </c>
      <c r="I645" t="n">
        <v>0</v>
      </c>
      <c r="J645" t="n">
        <v>0</v>
      </c>
      <c r="K645" t="n">
        <v>0</v>
      </c>
      <c r="L645" t="n">
        <v>0</v>
      </c>
      <c r="M645" t="n">
        <v>0</v>
      </c>
      <c r="N645" t="n">
        <v>0</v>
      </c>
      <c r="O645" t="n">
        <v>0</v>
      </c>
      <c r="P645" t="n">
        <v>0</v>
      </c>
      <c r="Q645" t="n">
        <v>0</v>
      </c>
      <c r="R645" s="2" t="inlineStr"/>
    </row>
    <row r="646" ht="15" customHeight="1">
      <c r="A646" t="inlineStr">
        <is>
          <t>A 71638-2021</t>
        </is>
      </c>
      <c r="B646" s="1" t="n">
        <v>44538</v>
      </c>
      <c r="C646" s="1" t="n">
        <v>45587</v>
      </c>
      <c r="D646" t="inlineStr">
        <is>
          <t>JÄMTLANDS LÄN</t>
        </is>
      </c>
      <c r="E646" t="inlineStr">
        <is>
          <t>HÄRJEDALEN</t>
        </is>
      </c>
      <c r="F646" t="inlineStr">
        <is>
          <t>Övriga statliga verk och myndigheter</t>
        </is>
      </c>
      <c r="G646" t="n">
        <v>1.2</v>
      </c>
      <c r="H646" t="n">
        <v>0</v>
      </c>
      <c r="I646" t="n">
        <v>0</v>
      </c>
      <c r="J646" t="n">
        <v>0</v>
      </c>
      <c r="K646" t="n">
        <v>0</v>
      </c>
      <c r="L646" t="n">
        <v>0</v>
      </c>
      <c r="M646" t="n">
        <v>0</v>
      </c>
      <c r="N646" t="n">
        <v>0</v>
      </c>
      <c r="O646" t="n">
        <v>0</v>
      </c>
      <c r="P646" t="n">
        <v>0</v>
      </c>
      <c r="Q646" t="n">
        <v>0</v>
      </c>
      <c r="R646" s="2" t="inlineStr"/>
    </row>
    <row r="647" ht="15" customHeight="1">
      <c r="A647" t="inlineStr">
        <is>
          <t>A 71493-2021</t>
        </is>
      </c>
      <c r="B647" s="1" t="n">
        <v>44540</v>
      </c>
      <c r="C647" s="1" t="n">
        <v>45587</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71467-2021</t>
        </is>
      </c>
      <c r="B648" s="1" t="n">
        <v>44540</v>
      </c>
      <c r="C648" s="1" t="n">
        <v>45587</v>
      </c>
      <c r="D648" t="inlineStr">
        <is>
          <t>JÄMTLANDS LÄN</t>
        </is>
      </c>
      <c r="E648" t="inlineStr">
        <is>
          <t>HÄRJEDALEN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71501-2021</t>
        </is>
      </c>
      <c r="B649" s="1" t="n">
        <v>44540</v>
      </c>
      <c r="C649" s="1" t="n">
        <v>45587</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71864-2021</t>
        </is>
      </c>
      <c r="B650" s="1" t="n">
        <v>44543</v>
      </c>
      <c r="C650" s="1" t="n">
        <v>45587</v>
      </c>
      <c r="D650" t="inlineStr">
        <is>
          <t>JÄMTLANDS LÄN</t>
        </is>
      </c>
      <c r="E650" t="inlineStr">
        <is>
          <t>HÄRJEDALEN</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71756-2021</t>
        </is>
      </c>
      <c r="B651" s="1" t="n">
        <v>44543</v>
      </c>
      <c r="C651" s="1" t="n">
        <v>45587</v>
      </c>
      <c r="D651" t="inlineStr">
        <is>
          <t>JÄMTLANDS LÄN</t>
        </is>
      </c>
      <c r="E651" t="inlineStr">
        <is>
          <t>HÄRJEDALEN</t>
        </is>
      </c>
      <c r="G651" t="n">
        <v>2.4</v>
      </c>
      <c r="H651" t="n">
        <v>0</v>
      </c>
      <c r="I651" t="n">
        <v>0</v>
      </c>
      <c r="J651" t="n">
        <v>0</v>
      </c>
      <c r="K651" t="n">
        <v>0</v>
      </c>
      <c r="L651" t="n">
        <v>0</v>
      </c>
      <c r="M651" t="n">
        <v>0</v>
      </c>
      <c r="N651" t="n">
        <v>0</v>
      </c>
      <c r="O651" t="n">
        <v>0</v>
      </c>
      <c r="P651" t="n">
        <v>0</v>
      </c>
      <c r="Q651" t="n">
        <v>0</v>
      </c>
      <c r="R651" s="2" t="inlineStr"/>
    </row>
    <row r="652" ht="15" customHeight="1">
      <c r="A652" t="inlineStr">
        <is>
          <t>A 71989-2021</t>
        </is>
      </c>
      <c r="B652" s="1" t="n">
        <v>44544</v>
      </c>
      <c r="C652" s="1" t="n">
        <v>45587</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72374-2021</t>
        </is>
      </c>
      <c r="B653" s="1" t="n">
        <v>44545</v>
      </c>
      <c r="C653" s="1" t="n">
        <v>45587</v>
      </c>
      <c r="D653" t="inlineStr">
        <is>
          <t>JÄMTLANDS LÄN</t>
        </is>
      </c>
      <c r="E653" t="inlineStr">
        <is>
          <t>HÄRJEDALEN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72790-2021</t>
        </is>
      </c>
      <c r="B654" s="1" t="n">
        <v>44547</v>
      </c>
      <c r="C654" s="1" t="n">
        <v>45587</v>
      </c>
      <c r="D654" t="inlineStr">
        <is>
          <t>JÄMTLANDS LÄN</t>
        </is>
      </c>
      <c r="E654" t="inlineStr">
        <is>
          <t>HÄRJEDALEN</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73051-2021</t>
        </is>
      </c>
      <c r="B655" s="1" t="n">
        <v>44550</v>
      </c>
      <c r="C655" s="1" t="n">
        <v>45587</v>
      </c>
      <c r="D655" t="inlineStr">
        <is>
          <t>JÄMTLANDS LÄN</t>
        </is>
      </c>
      <c r="E655" t="inlineStr">
        <is>
          <t>HÄRJEDALEN</t>
        </is>
      </c>
      <c r="G655" t="n">
        <v>3.7</v>
      </c>
      <c r="H655" t="n">
        <v>0</v>
      </c>
      <c r="I655" t="n">
        <v>0</v>
      </c>
      <c r="J655" t="n">
        <v>0</v>
      </c>
      <c r="K655" t="n">
        <v>0</v>
      </c>
      <c r="L655" t="n">
        <v>0</v>
      </c>
      <c r="M655" t="n">
        <v>0</v>
      </c>
      <c r="N655" t="n">
        <v>0</v>
      </c>
      <c r="O655" t="n">
        <v>0</v>
      </c>
      <c r="P655" t="n">
        <v>0</v>
      </c>
      <c r="Q655" t="n">
        <v>0</v>
      </c>
      <c r="R655" s="2" t="inlineStr"/>
    </row>
    <row r="656" ht="15" customHeight="1">
      <c r="A656" t="inlineStr">
        <is>
          <t>A 73211-2021</t>
        </is>
      </c>
      <c r="B656" s="1" t="n">
        <v>44550</v>
      </c>
      <c r="C656" s="1" t="n">
        <v>45587</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73573-2021</t>
        </is>
      </c>
      <c r="B657" s="1" t="n">
        <v>44552</v>
      </c>
      <c r="C657" s="1" t="n">
        <v>45587</v>
      </c>
      <c r="D657" t="inlineStr">
        <is>
          <t>JÄMTLANDS LÄN</t>
        </is>
      </c>
      <c r="E657" t="inlineStr">
        <is>
          <t>HÄRJEDALEN</t>
        </is>
      </c>
      <c r="F657" t="inlineStr">
        <is>
          <t>Holmen skog AB</t>
        </is>
      </c>
      <c r="G657" t="n">
        <v>10.5</v>
      </c>
      <c r="H657" t="n">
        <v>0</v>
      </c>
      <c r="I657" t="n">
        <v>0</v>
      </c>
      <c r="J657" t="n">
        <v>0</v>
      </c>
      <c r="K657" t="n">
        <v>0</v>
      </c>
      <c r="L657" t="n">
        <v>0</v>
      </c>
      <c r="M657" t="n">
        <v>0</v>
      </c>
      <c r="N657" t="n">
        <v>0</v>
      </c>
      <c r="O657" t="n">
        <v>0</v>
      </c>
      <c r="P657" t="n">
        <v>0</v>
      </c>
      <c r="Q657" t="n">
        <v>0</v>
      </c>
      <c r="R657" s="2" t="inlineStr"/>
    </row>
    <row r="658" ht="15" customHeight="1">
      <c r="A658" t="inlineStr">
        <is>
          <t>A 197-2022</t>
        </is>
      </c>
      <c r="B658" s="1" t="n">
        <v>44564</v>
      </c>
      <c r="C658" s="1" t="n">
        <v>45587</v>
      </c>
      <c r="D658" t="inlineStr">
        <is>
          <t>JÄMTLANDS LÄN</t>
        </is>
      </c>
      <c r="E658" t="inlineStr">
        <is>
          <t>HÄRJEDALEN</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241-2022</t>
        </is>
      </c>
      <c r="B659" s="1" t="n">
        <v>44565</v>
      </c>
      <c r="C659" s="1" t="n">
        <v>45587</v>
      </c>
      <c r="D659" t="inlineStr">
        <is>
          <t>JÄMTLANDS LÄN</t>
        </is>
      </c>
      <c r="E659" t="inlineStr">
        <is>
          <t>HÄRJEDALEN</t>
        </is>
      </c>
      <c r="F659" t="inlineStr">
        <is>
          <t>Övriga Aktiebolag</t>
        </is>
      </c>
      <c r="G659" t="n">
        <v>16.5</v>
      </c>
      <c r="H659" t="n">
        <v>0</v>
      </c>
      <c r="I659" t="n">
        <v>0</v>
      </c>
      <c r="J659" t="n">
        <v>0</v>
      </c>
      <c r="K659" t="n">
        <v>0</v>
      </c>
      <c r="L659" t="n">
        <v>0</v>
      </c>
      <c r="M659" t="n">
        <v>0</v>
      </c>
      <c r="N659" t="n">
        <v>0</v>
      </c>
      <c r="O659" t="n">
        <v>0</v>
      </c>
      <c r="P659" t="n">
        <v>0</v>
      </c>
      <c r="Q659" t="n">
        <v>0</v>
      </c>
      <c r="R659" s="2" t="inlineStr"/>
    </row>
    <row r="660" ht="15" customHeight="1">
      <c r="A660" t="inlineStr">
        <is>
          <t>A 239-2022</t>
        </is>
      </c>
      <c r="B660" s="1" t="n">
        <v>44565</v>
      </c>
      <c r="C660" s="1" t="n">
        <v>45587</v>
      </c>
      <c r="D660" t="inlineStr">
        <is>
          <t>JÄMTLANDS LÄN</t>
        </is>
      </c>
      <c r="E660" t="inlineStr">
        <is>
          <t>HÄRJEDALEN</t>
        </is>
      </c>
      <c r="F660" t="inlineStr">
        <is>
          <t>Övriga Aktiebolag</t>
        </is>
      </c>
      <c r="G660" t="n">
        <v>4.3</v>
      </c>
      <c r="H660" t="n">
        <v>0</v>
      </c>
      <c r="I660" t="n">
        <v>0</v>
      </c>
      <c r="J660" t="n">
        <v>0</v>
      </c>
      <c r="K660" t="n">
        <v>0</v>
      </c>
      <c r="L660" t="n">
        <v>0</v>
      </c>
      <c r="M660" t="n">
        <v>0</v>
      </c>
      <c r="N660" t="n">
        <v>0</v>
      </c>
      <c r="O660" t="n">
        <v>0</v>
      </c>
      <c r="P660" t="n">
        <v>0</v>
      </c>
      <c r="Q660" t="n">
        <v>0</v>
      </c>
      <c r="R660" s="2" t="inlineStr"/>
    </row>
    <row r="661" ht="15" customHeight="1">
      <c r="A661" t="inlineStr">
        <is>
          <t>A 240-2022</t>
        </is>
      </c>
      <c r="B661" s="1" t="n">
        <v>44565</v>
      </c>
      <c r="C661" s="1" t="n">
        <v>45587</v>
      </c>
      <c r="D661" t="inlineStr">
        <is>
          <t>JÄMTLANDS LÄN</t>
        </is>
      </c>
      <c r="E661" t="inlineStr">
        <is>
          <t>HÄRJEDALEN</t>
        </is>
      </c>
      <c r="F661" t="inlineStr">
        <is>
          <t>Övriga Aktiebolag</t>
        </is>
      </c>
      <c r="G661" t="n">
        <v>53.9</v>
      </c>
      <c r="H661" t="n">
        <v>0</v>
      </c>
      <c r="I661" t="n">
        <v>0</v>
      </c>
      <c r="J661" t="n">
        <v>0</v>
      </c>
      <c r="K661" t="n">
        <v>0</v>
      </c>
      <c r="L661" t="n">
        <v>0</v>
      </c>
      <c r="M661" t="n">
        <v>0</v>
      </c>
      <c r="N661" t="n">
        <v>0</v>
      </c>
      <c r="O661" t="n">
        <v>0</v>
      </c>
      <c r="P661" t="n">
        <v>0</v>
      </c>
      <c r="Q661" t="n">
        <v>0</v>
      </c>
      <c r="R661" s="2" t="inlineStr"/>
    </row>
    <row r="662" ht="15" customHeight="1">
      <c r="A662" t="inlineStr">
        <is>
          <t>A 537-2022</t>
        </is>
      </c>
      <c r="B662" s="1" t="n">
        <v>44566</v>
      </c>
      <c r="C662" s="1" t="n">
        <v>45587</v>
      </c>
      <c r="D662" t="inlineStr">
        <is>
          <t>JÄMTLANDS LÄN</t>
        </is>
      </c>
      <c r="E662" t="inlineStr">
        <is>
          <t>HÄRJEDALEN</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859-2022</t>
        </is>
      </c>
      <c r="B663" s="1" t="n">
        <v>44571</v>
      </c>
      <c r="C663" s="1" t="n">
        <v>45587</v>
      </c>
      <c r="D663" t="inlineStr">
        <is>
          <t>JÄMTLANDS LÄN</t>
        </is>
      </c>
      <c r="E663" t="inlineStr">
        <is>
          <t>HÄRJEDALEN</t>
        </is>
      </c>
      <c r="G663" t="n">
        <v>16.9</v>
      </c>
      <c r="H663" t="n">
        <v>0</v>
      </c>
      <c r="I663" t="n">
        <v>0</v>
      </c>
      <c r="J663" t="n">
        <v>0</v>
      </c>
      <c r="K663" t="n">
        <v>0</v>
      </c>
      <c r="L663" t="n">
        <v>0</v>
      </c>
      <c r="M663" t="n">
        <v>0</v>
      </c>
      <c r="N663" t="n">
        <v>0</v>
      </c>
      <c r="O663" t="n">
        <v>0</v>
      </c>
      <c r="P663" t="n">
        <v>0</v>
      </c>
      <c r="Q663" t="n">
        <v>0</v>
      </c>
      <c r="R663" s="2" t="inlineStr"/>
    </row>
    <row r="664" ht="15" customHeight="1">
      <c r="A664" t="inlineStr">
        <is>
          <t>A 2846-2022</t>
        </is>
      </c>
      <c r="B664" s="1" t="n">
        <v>44581</v>
      </c>
      <c r="C664" s="1" t="n">
        <v>45587</v>
      </c>
      <c r="D664" t="inlineStr">
        <is>
          <t>JÄMTLANDS LÄN</t>
        </is>
      </c>
      <c r="E664" t="inlineStr">
        <is>
          <t>HÄRJEDALEN</t>
        </is>
      </c>
      <c r="G664" t="n">
        <v>15.2</v>
      </c>
      <c r="H664" t="n">
        <v>0</v>
      </c>
      <c r="I664" t="n">
        <v>0</v>
      </c>
      <c r="J664" t="n">
        <v>0</v>
      </c>
      <c r="K664" t="n">
        <v>0</v>
      </c>
      <c r="L664" t="n">
        <v>0</v>
      </c>
      <c r="M664" t="n">
        <v>0</v>
      </c>
      <c r="N664" t="n">
        <v>0</v>
      </c>
      <c r="O664" t="n">
        <v>0</v>
      </c>
      <c r="P664" t="n">
        <v>0</v>
      </c>
      <c r="Q664" t="n">
        <v>0</v>
      </c>
      <c r="R664" s="2" t="inlineStr"/>
    </row>
    <row r="665" ht="15" customHeight="1">
      <c r="A665" t="inlineStr">
        <is>
          <t>A 3163-2022</t>
        </is>
      </c>
      <c r="B665" s="1" t="n">
        <v>44582</v>
      </c>
      <c r="C665" s="1" t="n">
        <v>45587</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3373-2022</t>
        </is>
      </c>
      <c r="B666" s="1" t="n">
        <v>44585</v>
      </c>
      <c r="C666" s="1" t="n">
        <v>45587</v>
      </c>
      <c r="D666" t="inlineStr">
        <is>
          <t>JÄMTLANDS LÄN</t>
        </is>
      </c>
      <c r="E666" t="inlineStr">
        <is>
          <t>HÄRJEDALEN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4487-2022</t>
        </is>
      </c>
      <c r="B667" s="1" t="n">
        <v>44589</v>
      </c>
      <c r="C667" s="1" t="n">
        <v>45587</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4914-2022</t>
        </is>
      </c>
      <c r="B668" s="1" t="n">
        <v>44593</v>
      </c>
      <c r="C668" s="1" t="n">
        <v>45587</v>
      </c>
      <c r="D668" t="inlineStr">
        <is>
          <t>JÄMTLANDS LÄN</t>
        </is>
      </c>
      <c r="E668" t="inlineStr">
        <is>
          <t>HÄRJEDALEN</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6309-2022</t>
        </is>
      </c>
      <c r="B669" s="1" t="n">
        <v>44600</v>
      </c>
      <c r="C669" s="1" t="n">
        <v>45587</v>
      </c>
      <c r="D669" t="inlineStr">
        <is>
          <t>JÄMTLANDS LÄN</t>
        </is>
      </c>
      <c r="E669" t="inlineStr">
        <is>
          <t>HÄRJEDALEN</t>
        </is>
      </c>
      <c r="G669" t="n">
        <v>38.2</v>
      </c>
      <c r="H669" t="n">
        <v>0</v>
      </c>
      <c r="I669" t="n">
        <v>0</v>
      </c>
      <c r="J669" t="n">
        <v>0</v>
      </c>
      <c r="K669" t="n">
        <v>0</v>
      </c>
      <c r="L669" t="n">
        <v>0</v>
      </c>
      <c r="M669" t="n">
        <v>0</v>
      </c>
      <c r="N669" t="n">
        <v>0</v>
      </c>
      <c r="O669" t="n">
        <v>0</v>
      </c>
      <c r="P669" t="n">
        <v>0</v>
      </c>
      <c r="Q669" t="n">
        <v>0</v>
      </c>
      <c r="R669" s="2" t="inlineStr"/>
    </row>
    <row r="670" ht="15" customHeight="1">
      <c r="A670" t="inlineStr">
        <is>
          <t>A 6208-2022</t>
        </is>
      </c>
      <c r="B670" s="1" t="n">
        <v>44600</v>
      </c>
      <c r="C670" s="1" t="n">
        <v>45587</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6312-2022</t>
        </is>
      </c>
      <c r="B671" s="1" t="n">
        <v>44600</v>
      </c>
      <c r="C671" s="1" t="n">
        <v>45587</v>
      </c>
      <c r="D671" t="inlineStr">
        <is>
          <t>JÄMTLANDS LÄN</t>
        </is>
      </c>
      <c r="E671" t="inlineStr">
        <is>
          <t>HÄRJEDALEN</t>
        </is>
      </c>
      <c r="G671" t="n">
        <v>18.4</v>
      </c>
      <c r="H671" t="n">
        <v>0</v>
      </c>
      <c r="I671" t="n">
        <v>0</v>
      </c>
      <c r="J671" t="n">
        <v>0</v>
      </c>
      <c r="K671" t="n">
        <v>0</v>
      </c>
      <c r="L671" t="n">
        <v>0</v>
      </c>
      <c r="M671" t="n">
        <v>0</v>
      </c>
      <c r="N671" t="n">
        <v>0</v>
      </c>
      <c r="O671" t="n">
        <v>0</v>
      </c>
      <c r="P671" t="n">
        <v>0</v>
      </c>
      <c r="Q671" t="n">
        <v>0</v>
      </c>
      <c r="R671" s="2" t="inlineStr"/>
    </row>
    <row r="672" ht="15" customHeight="1">
      <c r="A672" t="inlineStr">
        <is>
          <t>A 6444-2022</t>
        </is>
      </c>
      <c r="B672" s="1" t="n">
        <v>44601</v>
      </c>
      <c r="C672" s="1" t="n">
        <v>45587</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6933-2022</t>
        </is>
      </c>
      <c r="B673" s="1" t="n">
        <v>44603</v>
      </c>
      <c r="C673" s="1" t="n">
        <v>45587</v>
      </c>
      <c r="D673" t="inlineStr">
        <is>
          <t>JÄMTLANDS LÄN</t>
        </is>
      </c>
      <c r="E673" t="inlineStr">
        <is>
          <t>HÄRJEDALEN</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6938-2022</t>
        </is>
      </c>
      <c r="B674" s="1" t="n">
        <v>44603</v>
      </c>
      <c r="C674" s="1" t="n">
        <v>45587</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6935-2022</t>
        </is>
      </c>
      <c r="B675" s="1" t="n">
        <v>44603</v>
      </c>
      <c r="C675" s="1" t="n">
        <v>45587</v>
      </c>
      <c r="D675" t="inlineStr">
        <is>
          <t>JÄMTLANDS LÄN</t>
        </is>
      </c>
      <c r="E675" t="inlineStr">
        <is>
          <t>HÄRJEDALEN</t>
        </is>
      </c>
      <c r="F675" t="inlineStr">
        <is>
          <t>Holmen skog AB</t>
        </is>
      </c>
      <c r="G675" t="n">
        <v>4</v>
      </c>
      <c r="H675" t="n">
        <v>0</v>
      </c>
      <c r="I675" t="n">
        <v>0</v>
      </c>
      <c r="J675" t="n">
        <v>0</v>
      </c>
      <c r="K675" t="n">
        <v>0</v>
      </c>
      <c r="L675" t="n">
        <v>0</v>
      </c>
      <c r="M675" t="n">
        <v>0</v>
      </c>
      <c r="N675" t="n">
        <v>0</v>
      </c>
      <c r="O675" t="n">
        <v>0</v>
      </c>
      <c r="P675" t="n">
        <v>0</v>
      </c>
      <c r="Q675" t="n">
        <v>0</v>
      </c>
      <c r="R675" s="2" t="inlineStr"/>
    </row>
    <row r="676" ht="15" customHeight="1">
      <c r="A676" t="inlineStr">
        <is>
          <t>A 6941-2022</t>
        </is>
      </c>
      <c r="B676" s="1" t="n">
        <v>44603</v>
      </c>
      <c r="C676" s="1" t="n">
        <v>45587</v>
      </c>
      <c r="D676" t="inlineStr">
        <is>
          <t>JÄMTLANDS LÄN</t>
        </is>
      </c>
      <c r="E676" t="inlineStr">
        <is>
          <t>HÄRJEDALEN</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8368-2022</t>
        </is>
      </c>
      <c r="B677" s="1" t="n">
        <v>44610</v>
      </c>
      <c r="C677" s="1" t="n">
        <v>45587</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8538-2022</t>
        </is>
      </c>
      <c r="B678" s="1" t="n">
        <v>44613</v>
      </c>
      <c r="C678" s="1" t="n">
        <v>45587</v>
      </c>
      <c r="D678" t="inlineStr">
        <is>
          <t>JÄMTLANDS LÄN</t>
        </is>
      </c>
      <c r="E678" t="inlineStr">
        <is>
          <t>HÄRJEDALEN</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8823-2022</t>
        </is>
      </c>
      <c r="B679" s="1" t="n">
        <v>44614</v>
      </c>
      <c r="C679" s="1" t="n">
        <v>45587</v>
      </c>
      <c r="D679" t="inlineStr">
        <is>
          <t>JÄMTLANDS LÄN</t>
        </is>
      </c>
      <c r="E679" t="inlineStr">
        <is>
          <t>HÄRJEDALEN</t>
        </is>
      </c>
      <c r="F679" t="inlineStr">
        <is>
          <t>Naturvårdsverket</t>
        </is>
      </c>
      <c r="G679" t="n">
        <v>23.7</v>
      </c>
      <c r="H679" t="n">
        <v>0</v>
      </c>
      <c r="I679" t="n">
        <v>0</v>
      </c>
      <c r="J679" t="n">
        <v>0</v>
      </c>
      <c r="K679" t="n">
        <v>0</v>
      </c>
      <c r="L679" t="n">
        <v>0</v>
      </c>
      <c r="M679" t="n">
        <v>0</v>
      </c>
      <c r="N679" t="n">
        <v>0</v>
      </c>
      <c r="O679" t="n">
        <v>0</v>
      </c>
      <c r="P679" t="n">
        <v>0</v>
      </c>
      <c r="Q679" t="n">
        <v>0</v>
      </c>
      <c r="R679" s="2" t="inlineStr"/>
    </row>
    <row r="680" ht="15" customHeight="1">
      <c r="A680" t="inlineStr">
        <is>
          <t>A 9095-2022</t>
        </is>
      </c>
      <c r="B680" s="1" t="n">
        <v>44615</v>
      </c>
      <c r="C680" s="1" t="n">
        <v>45587</v>
      </c>
      <c r="D680" t="inlineStr">
        <is>
          <t>JÄMTLANDS LÄN</t>
        </is>
      </c>
      <c r="E680" t="inlineStr">
        <is>
          <t>HÄRJEDALEN</t>
        </is>
      </c>
      <c r="F680" t="inlineStr">
        <is>
          <t>Kyrkan</t>
        </is>
      </c>
      <c r="G680" t="n">
        <v>15.9</v>
      </c>
      <c r="H680" t="n">
        <v>0</v>
      </c>
      <c r="I680" t="n">
        <v>0</v>
      </c>
      <c r="J680" t="n">
        <v>0</v>
      </c>
      <c r="K680" t="n">
        <v>0</v>
      </c>
      <c r="L680" t="n">
        <v>0</v>
      </c>
      <c r="M680" t="n">
        <v>0</v>
      </c>
      <c r="N680" t="n">
        <v>0</v>
      </c>
      <c r="O680" t="n">
        <v>0</v>
      </c>
      <c r="P680" t="n">
        <v>0</v>
      </c>
      <c r="Q680" t="n">
        <v>0</v>
      </c>
      <c r="R680" s="2" t="inlineStr"/>
    </row>
    <row r="681" ht="15" customHeight="1">
      <c r="A681" t="inlineStr">
        <is>
          <t>A 10504-2022</t>
        </is>
      </c>
      <c r="B681" s="1" t="n">
        <v>44623</v>
      </c>
      <c r="C681" s="1" t="n">
        <v>45587</v>
      </c>
      <c r="D681" t="inlineStr">
        <is>
          <t>JÄMTLANDS LÄN</t>
        </is>
      </c>
      <c r="E681" t="inlineStr">
        <is>
          <t>HÄRJEDALEN</t>
        </is>
      </c>
      <c r="F681" t="inlineStr">
        <is>
          <t>Holmen skog AB</t>
        </is>
      </c>
      <c r="G681" t="n">
        <v>11.6</v>
      </c>
      <c r="H681" t="n">
        <v>0</v>
      </c>
      <c r="I681" t="n">
        <v>0</v>
      </c>
      <c r="J681" t="n">
        <v>0</v>
      </c>
      <c r="K681" t="n">
        <v>0</v>
      </c>
      <c r="L681" t="n">
        <v>0</v>
      </c>
      <c r="M681" t="n">
        <v>0</v>
      </c>
      <c r="N681" t="n">
        <v>0</v>
      </c>
      <c r="O681" t="n">
        <v>0</v>
      </c>
      <c r="P681" t="n">
        <v>0</v>
      </c>
      <c r="Q681" t="n">
        <v>0</v>
      </c>
      <c r="R681" s="2" t="inlineStr"/>
    </row>
    <row r="682" ht="15" customHeight="1">
      <c r="A682" t="inlineStr">
        <is>
          <t>A 10727-2022</t>
        </is>
      </c>
      <c r="B682" s="1" t="n">
        <v>44627</v>
      </c>
      <c r="C682" s="1" t="n">
        <v>45587</v>
      </c>
      <c r="D682" t="inlineStr">
        <is>
          <t>JÄMTLANDS LÄN</t>
        </is>
      </c>
      <c r="E682" t="inlineStr">
        <is>
          <t>HÄRJEDALEN</t>
        </is>
      </c>
      <c r="F682" t="inlineStr">
        <is>
          <t>Holmen skog AB</t>
        </is>
      </c>
      <c r="G682" t="n">
        <v>12.6</v>
      </c>
      <c r="H682" t="n">
        <v>0</v>
      </c>
      <c r="I682" t="n">
        <v>0</v>
      </c>
      <c r="J682" t="n">
        <v>0</v>
      </c>
      <c r="K682" t="n">
        <v>0</v>
      </c>
      <c r="L682" t="n">
        <v>0</v>
      </c>
      <c r="M682" t="n">
        <v>0</v>
      </c>
      <c r="N682" t="n">
        <v>0</v>
      </c>
      <c r="O682" t="n">
        <v>0</v>
      </c>
      <c r="P682" t="n">
        <v>0</v>
      </c>
      <c r="Q682" t="n">
        <v>0</v>
      </c>
      <c r="R682" s="2" t="inlineStr"/>
    </row>
    <row r="683" ht="15" customHeight="1">
      <c r="A683" t="inlineStr">
        <is>
          <t>A 10741-2022</t>
        </is>
      </c>
      <c r="B683" s="1" t="n">
        <v>44627</v>
      </c>
      <c r="C683" s="1" t="n">
        <v>45587</v>
      </c>
      <c r="D683" t="inlineStr">
        <is>
          <t>JÄMTLANDS LÄN</t>
        </is>
      </c>
      <c r="E683" t="inlineStr">
        <is>
          <t>HÄRJEDALEN</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10956-2022</t>
        </is>
      </c>
      <c r="B684" s="1" t="n">
        <v>44628</v>
      </c>
      <c r="C684" s="1" t="n">
        <v>45587</v>
      </c>
      <c r="D684" t="inlineStr">
        <is>
          <t>JÄMTLANDS LÄN</t>
        </is>
      </c>
      <c r="E684" t="inlineStr">
        <is>
          <t>HÄRJEDALEN</t>
        </is>
      </c>
      <c r="F684" t="inlineStr">
        <is>
          <t>Holmen skog AB</t>
        </is>
      </c>
      <c r="G684" t="n">
        <v>21.8</v>
      </c>
      <c r="H684" t="n">
        <v>0</v>
      </c>
      <c r="I684" t="n">
        <v>0</v>
      </c>
      <c r="J684" t="n">
        <v>0</v>
      </c>
      <c r="K684" t="n">
        <v>0</v>
      </c>
      <c r="L684" t="n">
        <v>0</v>
      </c>
      <c r="M684" t="n">
        <v>0</v>
      </c>
      <c r="N684" t="n">
        <v>0</v>
      </c>
      <c r="O684" t="n">
        <v>0</v>
      </c>
      <c r="P684" t="n">
        <v>0</v>
      </c>
      <c r="Q684" t="n">
        <v>0</v>
      </c>
      <c r="R684" s="2" t="inlineStr"/>
    </row>
    <row r="685" ht="15" customHeight="1">
      <c r="A685" t="inlineStr">
        <is>
          <t>A 10959-2022</t>
        </is>
      </c>
      <c r="B685" s="1" t="n">
        <v>44628</v>
      </c>
      <c r="C685" s="1" t="n">
        <v>45587</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11334-2022</t>
        </is>
      </c>
      <c r="B686" s="1" t="n">
        <v>44630</v>
      </c>
      <c r="C686" s="1" t="n">
        <v>45587</v>
      </c>
      <c r="D686" t="inlineStr">
        <is>
          <t>JÄMTLANDS LÄN</t>
        </is>
      </c>
      <c r="E686" t="inlineStr">
        <is>
          <t>HÄRJEDALEN</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11512-2022</t>
        </is>
      </c>
      <c r="B687" s="1" t="n">
        <v>44631</v>
      </c>
      <c r="C687" s="1" t="n">
        <v>45587</v>
      </c>
      <c r="D687" t="inlineStr">
        <is>
          <t>JÄMTLANDS LÄN</t>
        </is>
      </c>
      <c r="E687" t="inlineStr">
        <is>
          <t>HÄRJEDALEN</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11528-2022</t>
        </is>
      </c>
      <c r="B688" s="1" t="n">
        <v>44631</v>
      </c>
      <c r="C688" s="1" t="n">
        <v>45587</v>
      </c>
      <c r="D688" t="inlineStr">
        <is>
          <t>JÄMTLANDS LÄN</t>
        </is>
      </c>
      <c r="E688" t="inlineStr">
        <is>
          <t>HÄRJEDALEN</t>
        </is>
      </c>
      <c r="F688" t="inlineStr">
        <is>
          <t>Holmen skog AB</t>
        </is>
      </c>
      <c r="G688" t="n">
        <v>6.1</v>
      </c>
      <c r="H688" t="n">
        <v>0</v>
      </c>
      <c r="I688" t="n">
        <v>0</v>
      </c>
      <c r="J688" t="n">
        <v>0</v>
      </c>
      <c r="K688" t="n">
        <v>0</v>
      </c>
      <c r="L688" t="n">
        <v>0</v>
      </c>
      <c r="M688" t="n">
        <v>0</v>
      </c>
      <c r="N688" t="n">
        <v>0</v>
      </c>
      <c r="O688" t="n">
        <v>0</v>
      </c>
      <c r="P688" t="n">
        <v>0</v>
      </c>
      <c r="Q688" t="n">
        <v>0</v>
      </c>
      <c r="R688" s="2" t="inlineStr"/>
    </row>
    <row r="689" ht="15" customHeight="1">
      <c r="A689" t="inlineStr">
        <is>
          <t>A 11553-2022</t>
        </is>
      </c>
      <c r="B689" s="1" t="n">
        <v>44631</v>
      </c>
      <c r="C689" s="1" t="n">
        <v>45587</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11525-2022</t>
        </is>
      </c>
      <c r="B690" s="1" t="n">
        <v>44631</v>
      </c>
      <c r="C690" s="1" t="n">
        <v>45587</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v>
      </c>
      <c r="C691" s="1" t="n">
        <v>45587</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11522-2022</t>
        </is>
      </c>
      <c r="B692" s="1" t="n">
        <v>44631</v>
      </c>
      <c r="C692" s="1" t="n">
        <v>45587</v>
      </c>
      <c r="D692" t="inlineStr">
        <is>
          <t>JÄMTLANDS LÄN</t>
        </is>
      </c>
      <c r="E692" t="inlineStr">
        <is>
          <t>HÄRJEDALEN</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11527-2022</t>
        </is>
      </c>
      <c r="B693" s="1" t="n">
        <v>44631</v>
      </c>
      <c r="C693" s="1" t="n">
        <v>45587</v>
      </c>
      <c r="D693" t="inlineStr">
        <is>
          <t>JÄMTLANDS LÄN</t>
        </is>
      </c>
      <c r="E693" t="inlineStr">
        <is>
          <t>HÄRJEDALEN</t>
        </is>
      </c>
      <c r="F693" t="inlineStr">
        <is>
          <t>Holmen skog AB</t>
        </is>
      </c>
      <c r="G693" t="n">
        <v>4.6</v>
      </c>
      <c r="H693" t="n">
        <v>0</v>
      </c>
      <c r="I693" t="n">
        <v>0</v>
      </c>
      <c r="J693" t="n">
        <v>0</v>
      </c>
      <c r="K693" t="n">
        <v>0</v>
      </c>
      <c r="L693" t="n">
        <v>0</v>
      </c>
      <c r="M693" t="n">
        <v>0</v>
      </c>
      <c r="N693" t="n">
        <v>0</v>
      </c>
      <c r="O693" t="n">
        <v>0</v>
      </c>
      <c r="P693" t="n">
        <v>0</v>
      </c>
      <c r="Q693" t="n">
        <v>0</v>
      </c>
      <c r="R693" s="2" t="inlineStr"/>
    </row>
    <row r="694" ht="15" customHeight="1">
      <c r="A694" t="inlineStr">
        <is>
          <t>A 11557-2022</t>
        </is>
      </c>
      <c r="B694" s="1" t="n">
        <v>44631</v>
      </c>
      <c r="C694" s="1" t="n">
        <v>45587</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11541-2022</t>
        </is>
      </c>
      <c r="B695" s="1" t="n">
        <v>44631</v>
      </c>
      <c r="C695" s="1" t="n">
        <v>45587</v>
      </c>
      <c r="D695" t="inlineStr">
        <is>
          <t>JÄMTLANDS LÄN</t>
        </is>
      </c>
      <c r="E695" t="inlineStr">
        <is>
          <t>HÄRJEDALEN</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11551-2022</t>
        </is>
      </c>
      <c r="B696" s="1" t="n">
        <v>44631</v>
      </c>
      <c r="C696" s="1" t="n">
        <v>45587</v>
      </c>
      <c r="D696" t="inlineStr">
        <is>
          <t>JÄMTLANDS LÄN</t>
        </is>
      </c>
      <c r="E696" t="inlineStr">
        <is>
          <t>HÄRJEDALEN</t>
        </is>
      </c>
      <c r="F696" t="inlineStr">
        <is>
          <t>Holmen skog AB</t>
        </is>
      </c>
      <c r="G696" t="n">
        <v>17.6</v>
      </c>
      <c r="H696" t="n">
        <v>0</v>
      </c>
      <c r="I696" t="n">
        <v>0</v>
      </c>
      <c r="J696" t="n">
        <v>0</v>
      </c>
      <c r="K696" t="n">
        <v>0</v>
      </c>
      <c r="L696" t="n">
        <v>0</v>
      </c>
      <c r="M696" t="n">
        <v>0</v>
      </c>
      <c r="N696" t="n">
        <v>0</v>
      </c>
      <c r="O696" t="n">
        <v>0</v>
      </c>
      <c r="P696" t="n">
        <v>0</v>
      </c>
      <c r="Q696" t="n">
        <v>0</v>
      </c>
      <c r="R696" s="2" t="inlineStr"/>
    </row>
    <row r="697" ht="15" customHeight="1">
      <c r="A697" t="inlineStr">
        <is>
          <t>A 12468-2022</t>
        </is>
      </c>
      <c r="B697" s="1" t="n">
        <v>44638</v>
      </c>
      <c r="C697" s="1" t="n">
        <v>45587</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12810-2022</t>
        </is>
      </c>
      <c r="B698" s="1" t="n">
        <v>44642</v>
      </c>
      <c r="C698" s="1" t="n">
        <v>45587</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45587</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13991-2022</t>
        </is>
      </c>
      <c r="B700" s="1" t="n">
        <v>44650</v>
      </c>
      <c r="C700" s="1" t="n">
        <v>45587</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15374-2022</t>
        </is>
      </c>
      <c r="B701" s="1" t="n">
        <v>44659</v>
      </c>
      <c r="C701" s="1" t="n">
        <v>45587</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15611-2022</t>
        </is>
      </c>
      <c r="B702" s="1" t="n">
        <v>44662</v>
      </c>
      <c r="C702" s="1" t="n">
        <v>45587</v>
      </c>
      <c r="D702" t="inlineStr">
        <is>
          <t>JÄMTLANDS LÄN</t>
        </is>
      </c>
      <c r="E702" t="inlineStr">
        <is>
          <t>HÄRJEDALEN</t>
        </is>
      </c>
      <c r="F702" t="inlineStr">
        <is>
          <t>Kyrkan</t>
        </is>
      </c>
      <c r="G702" t="n">
        <v>6.9</v>
      </c>
      <c r="H702" t="n">
        <v>0</v>
      </c>
      <c r="I702" t="n">
        <v>0</v>
      </c>
      <c r="J702" t="n">
        <v>0</v>
      </c>
      <c r="K702" t="n">
        <v>0</v>
      </c>
      <c r="L702" t="n">
        <v>0</v>
      </c>
      <c r="M702" t="n">
        <v>0</v>
      </c>
      <c r="N702" t="n">
        <v>0</v>
      </c>
      <c r="O702" t="n">
        <v>0</v>
      </c>
      <c r="P702" t="n">
        <v>0</v>
      </c>
      <c r="Q702" t="n">
        <v>0</v>
      </c>
      <c r="R702" s="2" t="inlineStr"/>
    </row>
    <row r="703" ht="15" customHeight="1">
      <c r="A703" t="inlineStr">
        <is>
          <t>A 15763-2022</t>
        </is>
      </c>
      <c r="B703" s="1" t="n">
        <v>44663</v>
      </c>
      <c r="C703" s="1" t="n">
        <v>45587</v>
      </c>
      <c r="D703" t="inlineStr">
        <is>
          <t>JÄMTLANDS LÄN</t>
        </is>
      </c>
      <c r="E703" t="inlineStr">
        <is>
          <t>HÄRJEDALEN</t>
        </is>
      </c>
      <c r="G703" t="n">
        <v>4.4</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45587</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17805-2022</t>
        </is>
      </c>
      <c r="B705" s="1" t="n">
        <v>44683</v>
      </c>
      <c r="C705" s="1" t="n">
        <v>45587</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17797-2022</t>
        </is>
      </c>
      <c r="B706" s="1" t="n">
        <v>44683</v>
      </c>
      <c r="C706" s="1" t="n">
        <v>45587</v>
      </c>
      <c r="D706" t="inlineStr">
        <is>
          <t>JÄMTLANDS LÄN</t>
        </is>
      </c>
      <c r="E706" t="inlineStr">
        <is>
          <t>HÄRJEDALEN</t>
        </is>
      </c>
      <c r="G706" t="n">
        <v>15.4</v>
      </c>
      <c r="H706" t="n">
        <v>0</v>
      </c>
      <c r="I706" t="n">
        <v>0</v>
      </c>
      <c r="J706" t="n">
        <v>0</v>
      </c>
      <c r="K706" t="n">
        <v>0</v>
      </c>
      <c r="L706" t="n">
        <v>0</v>
      </c>
      <c r="M706" t="n">
        <v>0</v>
      </c>
      <c r="N706" t="n">
        <v>0</v>
      </c>
      <c r="O706" t="n">
        <v>0</v>
      </c>
      <c r="P706" t="n">
        <v>0</v>
      </c>
      <c r="Q706" t="n">
        <v>0</v>
      </c>
      <c r="R706" s="2" t="inlineStr"/>
    </row>
    <row r="707" ht="15" customHeight="1">
      <c r="A707" t="inlineStr">
        <is>
          <t>A 17935-2022</t>
        </is>
      </c>
      <c r="B707" s="1" t="n">
        <v>44683</v>
      </c>
      <c r="C707" s="1" t="n">
        <v>45587</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18169-2022</t>
        </is>
      </c>
      <c r="B708" s="1" t="n">
        <v>44684</v>
      </c>
      <c r="C708" s="1" t="n">
        <v>45587</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18778-2022</t>
        </is>
      </c>
      <c r="B709" s="1" t="n">
        <v>44689</v>
      </c>
      <c r="C709" s="1" t="n">
        <v>45587</v>
      </c>
      <c r="D709" t="inlineStr">
        <is>
          <t>JÄMTLANDS LÄN</t>
        </is>
      </c>
      <c r="E709" t="inlineStr">
        <is>
          <t>HÄRJEDALEN</t>
        </is>
      </c>
      <c r="G709" t="n">
        <v>4.1</v>
      </c>
      <c r="H709" t="n">
        <v>0</v>
      </c>
      <c r="I709" t="n">
        <v>0</v>
      </c>
      <c r="J709" t="n">
        <v>0</v>
      </c>
      <c r="K709" t="n">
        <v>0</v>
      </c>
      <c r="L709" t="n">
        <v>0</v>
      </c>
      <c r="M709" t="n">
        <v>0</v>
      </c>
      <c r="N709" t="n">
        <v>0</v>
      </c>
      <c r="O709" t="n">
        <v>0</v>
      </c>
      <c r="P709" t="n">
        <v>0</v>
      </c>
      <c r="Q709" t="n">
        <v>0</v>
      </c>
      <c r="R709" s="2" t="inlineStr"/>
    </row>
    <row r="710" ht="15" customHeight="1">
      <c r="A710" t="inlineStr">
        <is>
          <t>A 18808-2022</t>
        </is>
      </c>
      <c r="B710" s="1" t="n">
        <v>44690</v>
      </c>
      <c r="C710" s="1" t="n">
        <v>45587</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20059-2022</t>
        </is>
      </c>
      <c r="B711" s="1" t="n">
        <v>44698</v>
      </c>
      <c r="C711" s="1" t="n">
        <v>45587</v>
      </c>
      <c r="D711" t="inlineStr">
        <is>
          <t>JÄMTLANDS LÄN</t>
        </is>
      </c>
      <c r="E711" t="inlineStr">
        <is>
          <t>HÄRJEDALEN</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20206-2022</t>
        </is>
      </c>
      <c r="B712" s="1" t="n">
        <v>44698</v>
      </c>
      <c r="C712" s="1" t="n">
        <v>45587</v>
      </c>
      <c r="D712" t="inlineStr">
        <is>
          <t>JÄMTLANDS LÄN</t>
        </is>
      </c>
      <c r="E712" t="inlineStr">
        <is>
          <t>HÄRJEDALEN</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21610-2022</t>
        </is>
      </c>
      <c r="B713" s="1" t="n">
        <v>44706</v>
      </c>
      <c r="C713" s="1" t="n">
        <v>45587</v>
      </c>
      <c r="D713" t="inlineStr">
        <is>
          <t>JÄMTLANDS LÄN</t>
        </is>
      </c>
      <c r="E713" t="inlineStr">
        <is>
          <t>HÄRJEDALEN</t>
        </is>
      </c>
      <c r="F713" t="inlineStr">
        <is>
          <t>Holmen skog AB</t>
        </is>
      </c>
      <c r="G713" t="n">
        <v>15.3</v>
      </c>
      <c r="H713" t="n">
        <v>0</v>
      </c>
      <c r="I713" t="n">
        <v>0</v>
      </c>
      <c r="J713" t="n">
        <v>0</v>
      </c>
      <c r="K713" t="n">
        <v>0</v>
      </c>
      <c r="L713" t="n">
        <v>0</v>
      </c>
      <c r="M713" t="n">
        <v>0</v>
      </c>
      <c r="N713" t="n">
        <v>0</v>
      </c>
      <c r="O713" t="n">
        <v>0</v>
      </c>
      <c r="P713" t="n">
        <v>0</v>
      </c>
      <c r="Q713" t="n">
        <v>0</v>
      </c>
      <c r="R713" s="2" t="inlineStr"/>
    </row>
    <row r="714" ht="15" customHeight="1">
      <c r="A714" t="inlineStr">
        <is>
          <t>A 21767-2022</t>
        </is>
      </c>
      <c r="B714" s="1" t="n">
        <v>44708</v>
      </c>
      <c r="C714" s="1" t="n">
        <v>45587</v>
      </c>
      <c r="D714" t="inlineStr">
        <is>
          <t>JÄMTLANDS LÄN</t>
        </is>
      </c>
      <c r="E714" t="inlineStr">
        <is>
          <t>HÄRJEDALEN</t>
        </is>
      </c>
      <c r="F714" t="inlineStr">
        <is>
          <t>Holmen skog AB</t>
        </is>
      </c>
      <c r="G714" t="n">
        <v>8.1</v>
      </c>
      <c r="H714" t="n">
        <v>0</v>
      </c>
      <c r="I714" t="n">
        <v>0</v>
      </c>
      <c r="J714" t="n">
        <v>0</v>
      </c>
      <c r="K714" t="n">
        <v>0</v>
      </c>
      <c r="L714" t="n">
        <v>0</v>
      </c>
      <c r="M714" t="n">
        <v>0</v>
      </c>
      <c r="N714" t="n">
        <v>0</v>
      </c>
      <c r="O714" t="n">
        <v>0</v>
      </c>
      <c r="P714" t="n">
        <v>0</v>
      </c>
      <c r="Q714" t="n">
        <v>0</v>
      </c>
      <c r="R714" s="2" t="inlineStr"/>
    </row>
    <row r="715" ht="15" customHeight="1">
      <c r="A715" t="inlineStr">
        <is>
          <t>A 21774-2022</t>
        </is>
      </c>
      <c r="B715" s="1" t="n">
        <v>44708</v>
      </c>
      <c r="C715" s="1" t="n">
        <v>45587</v>
      </c>
      <c r="D715" t="inlineStr">
        <is>
          <t>JÄMTLANDS LÄN</t>
        </is>
      </c>
      <c r="E715" t="inlineStr">
        <is>
          <t>HÄRJEDALEN</t>
        </is>
      </c>
      <c r="F715" t="inlineStr">
        <is>
          <t>Holmen skog AB</t>
        </is>
      </c>
      <c r="G715" t="n">
        <v>17.3</v>
      </c>
      <c r="H715" t="n">
        <v>0</v>
      </c>
      <c r="I715" t="n">
        <v>0</v>
      </c>
      <c r="J715" t="n">
        <v>0</v>
      </c>
      <c r="K715" t="n">
        <v>0</v>
      </c>
      <c r="L715" t="n">
        <v>0</v>
      </c>
      <c r="M715" t="n">
        <v>0</v>
      </c>
      <c r="N715" t="n">
        <v>0</v>
      </c>
      <c r="O715" t="n">
        <v>0</v>
      </c>
      <c r="P715" t="n">
        <v>0</v>
      </c>
      <c r="Q715" t="n">
        <v>0</v>
      </c>
      <c r="R715" s="2" t="inlineStr"/>
    </row>
    <row r="716" ht="15" customHeight="1">
      <c r="A716" t="inlineStr">
        <is>
          <t>A 21778-2022</t>
        </is>
      </c>
      <c r="B716" s="1" t="n">
        <v>44708</v>
      </c>
      <c r="C716" s="1" t="n">
        <v>45587</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21770-2022</t>
        </is>
      </c>
      <c r="B717" s="1" t="n">
        <v>44708</v>
      </c>
      <c r="C717" s="1" t="n">
        <v>45587</v>
      </c>
      <c r="D717" t="inlineStr">
        <is>
          <t>JÄMTLANDS LÄN</t>
        </is>
      </c>
      <c r="E717" t="inlineStr">
        <is>
          <t>HÄRJEDALEN</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21781-2022</t>
        </is>
      </c>
      <c r="B718" s="1" t="n">
        <v>44708</v>
      </c>
      <c r="C718" s="1" t="n">
        <v>45587</v>
      </c>
      <c r="D718" t="inlineStr">
        <is>
          <t>JÄMTLANDS LÄN</t>
        </is>
      </c>
      <c r="E718" t="inlineStr">
        <is>
          <t>HÄRJEDALEN</t>
        </is>
      </c>
      <c r="F718" t="inlineStr">
        <is>
          <t>Holmen skog AB</t>
        </is>
      </c>
      <c r="G718" t="n">
        <v>16.3</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45587</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22166-2022</t>
        </is>
      </c>
      <c r="B720" s="1" t="n">
        <v>44712</v>
      </c>
      <c r="C720" s="1" t="n">
        <v>45587</v>
      </c>
      <c r="D720" t="inlineStr">
        <is>
          <t>JÄMTLANDS LÄN</t>
        </is>
      </c>
      <c r="E720" t="inlineStr">
        <is>
          <t>HÄRJEDALEN</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23074-2022</t>
        </is>
      </c>
      <c r="B721" s="1" t="n">
        <v>44719</v>
      </c>
      <c r="C721" s="1" t="n">
        <v>45587</v>
      </c>
      <c r="D721" t="inlineStr">
        <is>
          <t>JÄMTLANDS LÄN</t>
        </is>
      </c>
      <c r="E721" t="inlineStr">
        <is>
          <t>HÄRJEDALEN</t>
        </is>
      </c>
      <c r="F721" t="inlineStr">
        <is>
          <t>Bergvik skog väst AB</t>
        </is>
      </c>
      <c r="G721" t="n">
        <v>23.2</v>
      </c>
      <c r="H721" t="n">
        <v>0</v>
      </c>
      <c r="I721" t="n">
        <v>0</v>
      </c>
      <c r="J721" t="n">
        <v>0</v>
      </c>
      <c r="K721" t="n">
        <v>0</v>
      </c>
      <c r="L721" t="n">
        <v>0</v>
      </c>
      <c r="M721" t="n">
        <v>0</v>
      </c>
      <c r="N721" t="n">
        <v>0</v>
      </c>
      <c r="O721" t="n">
        <v>0</v>
      </c>
      <c r="P721" t="n">
        <v>0</v>
      </c>
      <c r="Q721" t="n">
        <v>0</v>
      </c>
      <c r="R721" s="2" t="inlineStr"/>
    </row>
    <row r="722" ht="15" customHeight="1">
      <c r="A722" t="inlineStr">
        <is>
          <t>A 23140-2022</t>
        </is>
      </c>
      <c r="B722" s="1" t="n">
        <v>44719</v>
      </c>
      <c r="C722" s="1" t="n">
        <v>45587</v>
      </c>
      <c r="D722" t="inlineStr">
        <is>
          <t>JÄMTLANDS LÄN</t>
        </is>
      </c>
      <c r="E722" t="inlineStr">
        <is>
          <t>HÄRJEDALEN</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23731-2022</t>
        </is>
      </c>
      <c r="B723" s="1" t="n">
        <v>44722</v>
      </c>
      <c r="C723" s="1" t="n">
        <v>45587</v>
      </c>
      <c r="D723" t="inlineStr">
        <is>
          <t>JÄMTLANDS LÄN</t>
        </is>
      </c>
      <c r="E723" t="inlineStr">
        <is>
          <t>HÄRJEDALEN</t>
        </is>
      </c>
      <c r="G723" t="n">
        <v>15.6</v>
      </c>
      <c r="H723" t="n">
        <v>0</v>
      </c>
      <c r="I723" t="n">
        <v>0</v>
      </c>
      <c r="J723" t="n">
        <v>0</v>
      </c>
      <c r="K723" t="n">
        <v>0</v>
      </c>
      <c r="L723" t="n">
        <v>0</v>
      </c>
      <c r="M723" t="n">
        <v>0</v>
      </c>
      <c r="N723" t="n">
        <v>0</v>
      </c>
      <c r="O723" t="n">
        <v>0</v>
      </c>
      <c r="P723" t="n">
        <v>0</v>
      </c>
      <c r="Q723" t="n">
        <v>0</v>
      </c>
      <c r="R723" s="2" t="inlineStr"/>
    </row>
    <row r="724" ht="15" customHeight="1">
      <c r="A724" t="inlineStr">
        <is>
          <t>A 24214-2022</t>
        </is>
      </c>
      <c r="B724" s="1" t="n">
        <v>44725</v>
      </c>
      <c r="C724" s="1" t="n">
        <v>45587</v>
      </c>
      <c r="D724" t="inlineStr">
        <is>
          <t>JÄMTLANDS LÄN</t>
        </is>
      </c>
      <c r="E724" t="inlineStr">
        <is>
          <t>HÄRJEDALEN</t>
        </is>
      </c>
      <c r="F724" t="inlineStr">
        <is>
          <t>Holmen skog AB</t>
        </is>
      </c>
      <c r="G724" t="n">
        <v>7.8</v>
      </c>
      <c r="H724" t="n">
        <v>0</v>
      </c>
      <c r="I724" t="n">
        <v>0</v>
      </c>
      <c r="J724" t="n">
        <v>0</v>
      </c>
      <c r="K724" t="n">
        <v>0</v>
      </c>
      <c r="L724" t="n">
        <v>0</v>
      </c>
      <c r="M724" t="n">
        <v>0</v>
      </c>
      <c r="N724" t="n">
        <v>0</v>
      </c>
      <c r="O724" t="n">
        <v>0</v>
      </c>
      <c r="P724" t="n">
        <v>0</v>
      </c>
      <c r="Q724" t="n">
        <v>0</v>
      </c>
      <c r="R724" s="2" t="inlineStr"/>
    </row>
    <row r="725" ht="15" customHeight="1">
      <c r="A725" t="inlineStr">
        <is>
          <t>A 24426-2022</t>
        </is>
      </c>
      <c r="B725" s="1" t="n">
        <v>44726</v>
      </c>
      <c r="C725" s="1" t="n">
        <v>45587</v>
      </c>
      <c r="D725" t="inlineStr">
        <is>
          <t>JÄMTLANDS LÄN</t>
        </is>
      </c>
      <c r="E725" t="inlineStr">
        <is>
          <t>HÄRJEDALEN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24530-2022</t>
        </is>
      </c>
      <c r="B726" s="1" t="n">
        <v>44726</v>
      </c>
      <c r="C726" s="1" t="n">
        <v>45587</v>
      </c>
      <c r="D726" t="inlineStr">
        <is>
          <t>JÄMTLANDS LÄN</t>
        </is>
      </c>
      <c r="E726" t="inlineStr">
        <is>
          <t>HÄRJEDALEN</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24571-2022</t>
        </is>
      </c>
      <c r="B727" s="1" t="n">
        <v>44727</v>
      </c>
      <c r="C727" s="1" t="n">
        <v>45587</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24690-2022</t>
        </is>
      </c>
      <c r="B728" s="1" t="n">
        <v>44727</v>
      </c>
      <c r="C728" s="1" t="n">
        <v>45587</v>
      </c>
      <c r="D728" t="inlineStr">
        <is>
          <t>JÄMTLANDS LÄN</t>
        </is>
      </c>
      <c r="E728" t="inlineStr">
        <is>
          <t>HÄRJEDALEN</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24693-2022</t>
        </is>
      </c>
      <c r="B729" s="1" t="n">
        <v>44727</v>
      </c>
      <c r="C729" s="1" t="n">
        <v>45587</v>
      </c>
      <c r="D729" t="inlineStr">
        <is>
          <t>JÄMTLANDS LÄN</t>
        </is>
      </c>
      <c r="E729" t="inlineStr">
        <is>
          <t>HÄRJEDALEN</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24824-2022</t>
        </is>
      </c>
      <c r="B730" s="1" t="n">
        <v>44728</v>
      </c>
      <c r="C730" s="1" t="n">
        <v>45587</v>
      </c>
      <c r="D730" t="inlineStr">
        <is>
          <t>JÄMTLANDS LÄN</t>
        </is>
      </c>
      <c r="E730" t="inlineStr">
        <is>
          <t>HÄRJEDALEN</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24834-2022</t>
        </is>
      </c>
      <c r="B731" s="1" t="n">
        <v>44728</v>
      </c>
      <c r="C731" s="1" t="n">
        <v>45587</v>
      </c>
      <c r="D731" t="inlineStr">
        <is>
          <t>JÄMTLANDS LÄN</t>
        </is>
      </c>
      <c r="E731" t="inlineStr">
        <is>
          <t>HÄRJEDALEN</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24792-2022</t>
        </is>
      </c>
      <c r="B732" s="1" t="n">
        <v>44728</v>
      </c>
      <c r="C732" s="1" t="n">
        <v>45587</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25500-2022</t>
        </is>
      </c>
      <c r="B733" s="1" t="n">
        <v>44732</v>
      </c>
      <c r="C733" s="1" t="n">
        <v>45587</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25583-2022</t>
        </is>
      </c>
      <c r="B734" s="1" t="n">
        <v>44732</v>
      </c>
      <c r="C734" s="1" t="n">
        <v>45587</v>
      </c>
      <c r="D734" t="inlineStr">
        <is>
          <t>JÄMTLANDS LÄN</t>
        </is>
      </c>
      <c r="E734" t="inlineStr">
        <is>
          <t>HÄRJEDALEN</t>
        </is>
      </c>
      <c r="F734" t="inlineStr">
        <is>
          <t>Bergvik skog väst AB</t>
        </is>
      </c>
      <c r="G734" t="n">
        <v>7.5</v>
      </c>
      <c r="H734" t="n">
        <v>0</v>
      </c>
      <c r="I734" t="n">
        <v>0</v>
      </c>
      <c r="J734" t="n">
        <v>0</v>
      </c>
      <c r="K734" t="n">
        <v>0</v>
      </c>
      <c r="L734" t="n">
        <v>0</v>
      </c>
      <c r="M734" t="n">
        <v>0</v>
      </c>
      <c r="N734" t="n">
        <v>0</v>
      </c>
      <c r="O734" t="n">
        <v>0</v>
      </c>
      <c r="P734" t="n">
        <v>0</v>
      </c>
      <c r="Q734" t="n">
        <v>0</v>
      </c>
      <c r="R734" s="2" t="inlineStr"/>
    </row>
    <row r="735" ht="15" customHeight="1">
      <c r="A735" t="inlineStr">
        <is>
          <t>A 25780-2022</t>
        </is>
      </c>
      <c r="B735" s="1" t="n">
        <v>44733</v>
      </c>
      <c r="C735" s="1" t="n">
        <v>45587</v>
      </c>
      <c r="D735" t="inlineStr">
        <is>
          <t>JÄMTLANDS LÄN</t>
        </is>
      </c>
      <c r="E735" t="inlineStr">
        <is>
          <t>HÄRJEDALEN</t>
        </is>
      </c>
      <c r="F735" t="inlineStr">
        <is>
          <t>Kyrkan</t>
        </is>
      </c>
      <c r="G735" t="n">
        <v>7.7</v>
      </c>
      <c r="H735" t="n">
        <v>0</v>
      </c>
      <c r="I735" t="n">
        <v>0</v>
      </c>
      <c r="J735" t="n">
        <v>0</v>
      </c>
      <c r="K735" t="n">
        <v>0</v>
      </c>
      <c r="L735" t="n">
        <v>0</v>
      </c>
      <c r="M735" t="n">
        <v>0</v>
      </c>
      <c r="N735" t="n">
        <v>0</v>
      </c>
      <c r="O735" t="n">
        <v>0</v>
      </c>
      <c r="P735" t="n">
        <v>0</v>
      </c>
      <c r="Q735" t="n">
        <v>0</v>
      </c>
      <c r="R735" s="2" t="inlineStr"/>
    </row>
    <row r="736" ht="15" customHeight="1">
      <c r="A736" t="inlineStr">
        <is>
          <t>A 25725-2022</t>
        </is>
      </c>
      <c r="B736" s="1" t="n">
        <v>44733</v>
      </c>
      <c r="C736" s="1" t="n">
        <v>45587</v>
      </c>
      <c r="D736" t="inlineStr">
        <is>
          <t>JÄMTLANDS LÄN</t>
        </is>
      </c>
      <c r="E736" t="inlineStr">
        <is>
          <t>HÄRJEDALEN</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25912-2022</t>
        </is>
      </c>
      <c r="B737" s="1" t="n">
        <v>44734</v>
      </c>
      <c r="C737" s="1" t="n">
        <v>45587</v>
      </c>
      <c r="D737" t="inlineStr">
        <is>
          <t>JÄMTLANDS LÄN</t>
        </is>
      </c>
      <c r="E737" t="inlineStr">
        <is>
          <t>HÄRJEDALEN</t>
        </is>
      </c>
      <c r="F737" t="inlineStr">
        <is>
          <t>Bergvik skog väst AB</t>
        </is>
      </c>
      <c r="G737" t="n">
        <v>13.7</v>
      </c>
      <c r="H737" t="n">
        <v>0</v>
      </c>
      <c r="I737" t="n">
        <v>0</v>
      </c>
      <c r="J737" t="n">
        <v>0</v>
      </c>
      <c r="K737" t="n">
        <v>0</v>
      </c>
      <c r="L737" t="n">
        <v>0</v>
      </c>
      <c r="M737" t="n">
        <v>0</v>
      </c>
      <c r="N737" t="n">
        <v>0</v>
      </c>
      <c r="O737" t="n">
        <v>0</v>
      </c>
      <c r="P737" t="n">
        <v>0</v>
      </c>
      <c r="Q737" t="n">
        <v>0</v>
      </c>
      <c r="R737" s="2" t="inlineStr"/>
    </row>
    <row r="738" ht="15" customHeight="1">
      <c r="A738" t="inlineStr">
        <is>
          <t>A 26613-2022</t>
        </is>
      </c>
      <c r="B738" s="1" t="n">
        <v>44739</v>
      </c>
      <c r="C738" s="1" t="n">
        <v>45587</v>
      </c>
      <c r="D738" t="inlineStr">
        <is>
          <t>JÄMTLANDS LÄN</t>
        </is>
      </c>
      <c r="E738" t="inlineStr">
        <is>
          <t>HÄRJEDALEN</t>
        </is>
      </c>
      <c r="F738" t="inlineStr">
        <is>
          <t>Bergvik skog väst AB</t>
        </is>
      </c>
      <c r="G738" t="n">
        <v>7.9</v>
      </c>
      <c r="H738" t="n">
        <v>0</v>
      </c>
      <c r="I738" t="n">
        <v>0</v>
      </c>
      <c r="J738" t="n">
        <v>0</v>
      </c>
      <c r="K738" t="n">
        <v>0</v>
      </c>
      <c r="L738" t="n">
        <v>0</v>
      </c>
      <c r="M738" t="n">
        <v>0</v>
      </c>
      <c r="N738" t="n">
        <v>0</v>
      </c>
      <c r="O738" t="n">
        <v>0</v>
      </c>
      <c r="P738" t="n">
        <v>0</v>
      </c>
      <c r="Q738" t="n">
        <v>0</v>
      </c>
      <c r="R738" s="2" t="inlineStr"/>
    </row>
    <row r="739" ht="15" customHeight="1">
      <c r="A739" t="inlineStr">
        <is>
          <t>A 26935-2022</t>
        </is>
      </c>
      <c r="B739" s="1" t="n">
        <v>44740</v>
      </c>
      <c r="C739" s="1" t="n">
        <v>45587</v>
      </c>
      <c r="D739" t="inlineStr">
        <is>
          <t>JÄMTLANDS LÄN</t>
        </is>
      </c>
      <c r="E739" t="inlineStr">
        <is>
          <t>HÄRJEDALEN</t>
        </is>
      </c>
      <c r="G739" t="n">
        <v>10.8</v>
      </c>
      <c r="H739" t="n">
        <v>0</v>
      </c>
      <c r="I739" t="n">
        <v>0</v>
      </c>
      <c r="J739" t="n">
        <v>0</v>
      </c>
      <c r="K739" t="n">
        <v>0</v>
      </c>
      <c r="L739" t="n">
        <v>0</v>
      </c>
      <c r="M739" t="n">
        <v>0</v>
      </c>
      <c r="N739" t="n">
        <v>0</v>
      </c>
      <c r="O739" t="n">
        <v>0</v>
      </c>
      <c r="P739" t="n">
        <v>0</v>
      </c>
      <c r="Q739" t="n">
        <v>0</v>
      </c>
      <c r="R739" s="2" t="inlineStr"/>
    </row>
    <row r="740" ht="15" customHeight="1">
      <c r="A740" t="inlineStr">
        <is>
          <t>A 27483-2022</t>
        </is>
      </c>
      <c r="B740" s="1" t="n">
        <v>44742</v>
      </c>
      <c r="C740" s="1" t="n">
        <v>45587</v>
      </c>
      <c r="D740" t="inlineStr">
        <is>
          <t>JÄMTLANDS LÄN</t>
        </is>
      </c>
      <c r="E740" t="inlineStr">
        <is>
          <t>HÄRJEDALEN</t>
        </is>
      </c>
      <c r="F740" t="inlineStr">
        <is>
          <t>Holmen skog AB</t>
        </is>
      </c>
      <c r="G740" t="n">
        <v>0</v>
      </c>
      <c r="H740" t="n">
        <v>0</v>
      </c>
      <c r="I740" t="n">
        <v>0</v>
      </c>
      <c r="J740" t="n">
        <v>0</v>
      </c>
      <c r="K740" t="n">
        <v>0</v>
      </c>
      <c r="L740" t="n">
        <v>0</v>
      </c>
      <c r="M740" t="n">
        <v>0</v>
      </c>
      <c r="N740" t="n">
        <v>0</v>
      </c>
      <c r="O740" t="n">
        <v>0</v>
      </c>
      <c r="P740" t="n">
        <v>0</v>
      </c>
      <c r="Q740" t="n">
        <v>0</v>
      </c>
      <c r="R740" s="2" t="inlineStr"/>
    </row>
    <row r="741" ht="15" customHeight="1">
      <c r="A741" t="inlineStr">
        <is>
          <t>A 29000-2022</t>
        </is>
      </c>
      <c r="B741" s="1" t="n">
        <v>44749</v>
      </c>
      <c r="C741" s="1" t="n">
        <v>45587</v>
      </c>
      <c r="D741" t="inlineStr">
        <is>
          <t>JÄMTLANDS LÄN</t>
        </is>
      </c>
      <c r="E741" t="inlineStr">
        <is>
          <t>HÄRJEDALEN</t>
        </is>
      </c>
      <c r="F741" t="inlineStr">
        <is>
          <t>Kyrkan</t>
        </is>
      </c>
      <c r="G741" t="n">
        <v>16.7</v>
      </c>
      <c r="H741" t="n">
        <v>0</v>
      </c>
      <c r="I741" t="n">
        <v>0</v>
      </c>
      <c r="J741" t="n">
        <v>0</v>
      </c>
      <c r="K741" t="n">
        <v>0</v>
      </c>
      <c r="L741" t="n">
        <v>0</v>
      </c>
      <c r="M741" t="n">
        <v>0</v>
      </c>
      <c r="N741" t="n">
        <v>0</v>
      </c>
      <c r="O741" t="n">
        <v>0</v>
      </c>
      <c r="P741" t="n">
        <v>0</v>
      </c>
      <c r="Q741" t="n">
        <v>0</v>
      </c>
      <c r="R741" s="2" t="inlineStr"/>
    </row>
    <row r="742" ht="15" customHeight="1">
      <c r="A742" t="inlineStr">
        <is>
          <t>A 29455-2022</t>
        </is>
      </c>
      <c r="B742" s="1" t="n">
        <v>44753</v>
      </c>
      <c r="C742" s="1" t="n">
        <v>45587</v>
      </c>
      <c r="D742" t="inlineStr">
        <is>
          <t>JÄMTLANDS LÄN</t>
        </is>
      </c>
      <c r="E742" t="inlineStr">
        <is>
          <t>HÄRJEDALEN</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30082-2022</t>
        </is>
      </c>
      <c r="B743" s="1" t="n">
        <v>44757</v>
      </c>
      <c r="C743" s="1" t="n">
        <v>45587</v>
      </c>
      <c r="D743" t="inlineStr">
        <is>
          <t>JÄMTLANDS LÄN</t>
        </is>
      </c>
      <c r="E743" t="inlineStr">
        <is>
          <t>HÄRJEDALEN</t>
        </is>
      </c>
      <c r="G743" t="n">
        <v>3</v>
      </c>
      <c r="H743" t="n">
        <v>0</v>
      </c>
      <c r="I743" t="n">
        <v>0</v>
      </c>
      <c r="J743" t="n">
        <v>0</v>
      </c>
      <c r="K743" t="n">
        <v>0</v>
      </c>
      <c r="L743" t="n">
        <v>0</v>
      </c>
      <c r="M743" t="n">
        <v>0</v>
      </c>
      <c r="N743" t="n">
        <v>0</v>
      </c>
      <c r="O743" t="n">
        <v>0</v>
      </c>
      <c r="P743" t="n">
        <v>0</v>
      </c>
      <c r="Q743" t="n">
        <v>0</v>
      </c>
      <c r="R743" s="2" t="inlineStr"/>
    </row>
    <row r="744" ht="15" customHeight="1">
      <c r="A744" t="inlineStr">
        <is>
          <t>A 30537-2022</t>
        </is>
      </c>
      <c r="B744" s="1" t="n">
        <v>44762</v>
      </c>
      <c r="C744" s="1" t="n">
        <v>45587</v>
      </c>
      <c r="D744" t="inlineStr">
        <is>
          <t>JÄMTLANDS LÄN</t>
        </is>
      </c>
      <c r="E744" t="inlineStr">
        <is>
          <t>HÄRJEDALEN</t>
        </is>
      </c>
      <c r="F744" t="inlineStr">
        <is>
          <t>Bergvik skog väst AB</t>
        </is>
      </c>
      <c r="G744" t="n">
        <v>18.5</v>
      </c>
      <c r="H744" t="n">
        <v>0</v>
      </c>
      <c r="I744" t="n">
        <v>0</v>
      </c>
      <c r="J744" t="n">
        <v>0</v>
      </c>
      <c r="K744" t="n">
        <v>0</v>
      </c>
      <c r="L744" t="n">
        <v>0</v>
      </c>
      <c r="M744" t="n">
        <v>0</v>
      </c>
      <c r="N744" t="n">
        <v>0</v>
      </c>
      <c r="O744" t="n">
        <v>0</v>
      </c>
      <c r="P744" t="n">
        <v>0</v>
      </c>
      <c r="Q744" t="n">
        <v>0</v>
      </c>
      <c r="R744" s="2" t="inlineStr"/>
    </row>
    <row r="745" ht="15" customHeight="1">
      <c r="A745" t="inlineStr">
        <is>
          <t>A 30643-2022</t>
        </is>
      </c>
      <c r="B745" s="1" t="n">
        <v>44763</v>
      </c>
      <c r="C745" s="1" t="n">
        <v>45587</v>
      </c>
      <c r="D745" t="inlineStr">
        <is>
          <t>JÄMTLANDS LÄN</t>
        </is>
      </c>
      <c r="E745" t="inlineStr">
        <is>
          <t>HÄRJEDALEN</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30962-2022</t>
        </is>
      </c>
      <c r="B746" s="1" t="n">
        <v>44768</v>
      </c>
      <c r="C746" s="1" t="n">
        <v>45587</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31167-2022</t>
        </is>
      </c>
      <c r="B747" s="1" t="n">
        <v>44770</v>
      </c>
      <c r="C747" s="1" t="n">
        <v>45587</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32910-2022</t>
        </is>
      </c>
      <c r="B748" s="1" t="n">
        <v>44784</v>
      </c>
      <c r="C748" s="1" t="n">
        <v>45587</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32974-2022</t>
        </is>
      </c>
      <c r="B749" s="1" t="n">
        <v>44784</v>
      </c>
      <c r="C749" s="1" t="n">
        <v>45587</v>
      </c>
      <c r="D749" t="inlineStr">
        <is>
          <t>JÄMTLANDS LÄN</t>
        </is>
      </c>
      <c r="E749" t="inlineStr">
        <is>
          <t>HÄRJEDALEN</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33465-2022</t>
        </is>
      </c>
      <c r="B750" s="1" t="n">
        <v>44788</v>
      </c>
      <c r="C750" s="1" t="n">
        <v>45587</v>
      </c>
      <c r="D750" t="inlineStr">
        <is>
          <t>JÄMTLANDS LÄN</t>
        </is>
      </c>
      <c r="E750" t="inlineStr">
        <is>
          <t>HÄRJEDALEN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33900-2022</t>
        </is>
      </c>
      <c r="B751" s="1" t="n">
        <v>44790</v>
      </c>
      <c r="C751" s="1" t="n">
        <v>45587</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33889-2022</t>
        </is>
      </c>
      <c r="B752" s="1" t="n">
        <v>44790</v>
      </c>
      <c r="C752" s="1" t="n">
        <v>45587</v>
      </c>
      <c r="D752" t="inlineStr">
        <is>
          <t>JÄMTLANDS LÄN</t>
        </is>
      </c>
      <c r="E752" t="inlineStr">
        <is>
          <t>HÄRJEDALEN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34112-2022</t>
        </is>
      </c>
      <c r="B753" s="1" t="n">
        <v>44791</v>
      </c>
      <c r="C753" s="1" t="n">
        <v>45587</v>
      </c>
      <c r="D753" t="inlineStr">
        <is>
          <t>JÄMTLANDS LÄN</t>
        </is>
      </c>
      <c r="E753" t="inlineStr">
        <is>
          <t>HÄRJEDALEN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34359-2022</t>
        </is>
      </c>
      <c r="B754" s="1" t="n">
        <v>44792</v>
      </c>
      <c r="C754" s="1" t="n">
        <v>45587</v>
      </c>
      <c r="D754" t="inlineStr">
        <is>
          <t>JÄMTLANDS LÄN</t>
        </is>
      </c>
      <c r="E754" t="inlineStr">
        <is>
          <t>HÄRJEDALEN</t>
        </is>
      </c>
      <c r="F754" t="inlineStr">
        <is>
          <t>Bergvik skog väst AB</t>
        </is>
      </c>
      <c r="G754" t="n">
        <v>23.1</v>
      </c>
      <c r="H754" t="n">
        <v>0</v>
      </c>
      <c r="I754" t="n">
        <v>0</v>
      </c>
      <c r="J754" t="n">
        <v>0</v>
      </c>
      <c r="K754" t="n">
        <v>0</v>
      </c>
      <c r="L754" t="n">
        <v>0</v>
      </c>
      <c r="M754" t="n">
        <v>0</v>
      </c>
      <c r="N754" t="n">
        <v>0</v>
      </c>
      <c r="O754" t="n">
        <v>0</v>
      </c>
      <c r="P754" t="n">
        <v>0</v>
      </c>
      <c r="Q754" t="n">
        <v>0</v>
      </c>
      <c r="R754" s="2" t="inlineStr"/>
    </row>
    <row r="755" ht="15" customHeight="1">
      <c r="A755" t="inlineStr">
        <is>
          <t>A 34361-2022</t>
        </is>
      </c>
      <c r="B755" s="1" t="n">
        <v>44792</v>
      </c>
      <c r="C755" s="1" t="n">
        <v>45587</v>
      </c>
      <c r="D755" t="inlineStr">
        <is>
          <t>JÄMTLANDS LÄN</t>
        </is>
      </c>
      <c r="E755" t="inlineStr">
        <is>
          <t>HÄRJEDALEN</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34392-2022</t>
        </is>
      </c>
      <c r="B756" s="1" t="n">
        <v>44792</v>
      </c>
      <c r="C756" s="1" t="n">
        <v>45587</v>
      </c>
      <c r="D756" t="inlineStr">
        <is>
          <t>JÄMTLANDS LÄN</t>
        </is>
      </c>
      <c r="E756" t="inlineStr">
        <is>
          <t>HÄRJEDALEN</t>
        </is>
      </c>
      <c r="G756" t="n">
        <v>23.5</v>
      </c>
      <c r="H756" t="n">
        <v>0</v>
      </c>
      <c r="I756" t="n">
        <v>0</v>
      </c>
      <c r="J756" t="n">
        <v>0</v>
      </c>
      <c r="K756" t="n">
        <v>0</v>
      </c>
      <c r="L756" t="n">
        <v>0</v>
      </c>
      <c r="M756" t="n">
        <v>0</v>
      </c>
      <c r="N756" t="n">
        <v>0</v>
      </c>
      <c r="O756" t="n">
        <v>0</v>
      </c>
      <c r="P756" t="n">
        <v>0</v>
      </c>
      <c r="Q756" t="n">
        <v>0</v>
      </c>
      <c r="R756" s="2" t="inlineStr"/>
    </row>
    <row r="757" ht="15" customHeight="1">
      <c r="A757" t="inlineStr">
        <is>
          <t>A 34492-2022</t>
        </is>
      </c>
      <c r="B757" s="1" t="n">
        <v>44792</v>
      </c>
      <c r="C757" s="1" t="n">
        <v>45587</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34627-2022</t>
        </is>
      </c>
      <c r="B758" s="1" t="n">
        <v>44795</v>
      </c>
      <c r="C758" s="1" t="n">
        <v>45587</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34621-2022</t>
        </is>
      </c>
      <c r="B759" s="1" t="n">
        <v>44795</v>
      </c>
      <c r="C759" s="1" t="n">
        <v>45587</v>
      </c>
      <c r="D759" t="inlineStr">
        <is>
          <t>JÄMTLANDS LÄN</t>
        </is>
      </c>
      <c r="E759" t="inlineStr">
        <is>
          <t>HÄRJEDALEN</t>
        </is>
      </c>
      <c r="G759" t="n">
        <v>3.8</v>
      </c>
      <c r="H759" t="n">
        <v>0</v>
      </c>
      <c r="I759" t="n">
        <v>0</v>
      </c>
      <c r="J759" t="n">
        <v>0</v>
      </c>
      <c r="K759" t="n">
        <v>0</v>
      </c>
      <c r="L759" t="n">
        <v>0</v>
      </c>
      <c r="M759" t="n">
        <v>0</v>
      </c>
      <c r="N759" t="n">
        <v>0</v>
      </c>
      <c r="O759" t="n">
        <v>0</v>
      </c>
      <c r="P759" t="n">
        <v>0</v>
      </c>
      <c r="Q759" t="n">
        <v>0</v>
      </c>
      <c r="R759" s="2" t="inlineStr"/>
    </row>
    <row r="760" ht="15" customHeight="1">
      <c r="A760" t="inlineStr">
        <is>
          <t>A 35614-2022</t>
        </is>
      </c>
      <c r="B760" s="1" t="n">
        <v>44799</v>
      </c>
      <c r="C760" s="1" t="n">
        <v>45587</v>
      </c>
      <c r="D760" t="inlineStr">
        <is>
          <t>JÄMTLANDS LÄN</t>
        </is>
      </c>
      <c r="E760" t="inlineStr">
        <is>
          <t>HÄRJEDALEN</t>
        </is>
      </c>
      <c r="F760" t="inlineStr">
        <is>
          <t>Bergvik skog väst AB</t>
        </is>
      </c>
      <c r="G760" t="n">
        <v>72.09999999999999</v>
      </c>
      <c r="H760" t="n">
        <v>0</v>
      </c>
      <c r="I760" t="n">
        <v>0</v>
      </c>
      <c r="J760" t="n">
        <v>0</v>
      </c>
      <c r="K760" t="n">
        <v>0</v>
      </c>
      <c r="L760" t="n">
        <v>0</v>
      </c>
      <c r="M760" t="n">
        <v>0</v>
      </c>
      <c r="N760" t="n">
        <v>0</v>
      </c>
      <c r="O760" t="n">
        <v>0</v>
      </c>
      <c r="P760" t="n">
        <v>0</v>
      </c>
      <c r="Q760" t="n">
        <v>0</v>
      </c>
      <c r="R760" s="2" t="inlineStr"/>
    </row>
    <row r="761" ht="15" customHeight="1">
      <c r="A761" t="inlineStr">
        <is>
          <t>A 36249-2022</t>
        </is>
      </c>
      <c r="B761" s="1" t="n">
        <v>44803</v>
      </c>
      <c r="C761" s="1" t="n">
        <v>45587</v>
      </c>
      <c r="D761" t="inlineStr">
        <is>
          <t>JÄMTLANDS LÄN</t>
        </is>
      </c>
      <c r="E761" t="inlineStr">
        <is>
          <t>HÄRJEDALEN</t>
        </is>
      </c>
      <c r="G761" t="n">
        <v>7.2</v>
      </c>
      <c r="H761" t="n">
        <v>0</v>
      </c>
      <c r="I761" t="n">
        <v>0</v>
      </c>
      <c r="J761" t="n">
        <v>0</v>
      </c>
      <c r="K761" t="n">
        <v>0</v>
      </c>
      <c r="L761" t="n">
        <v>0</v>
      </c>
      <c r="M761" t="n">
        <v>0</v>
      </c>
      <c r="N761" t="n">
        <v>0</v>
      </c>
      <c r="O761" t="n">
        <v>0</v>
      </c>
      <c r="P761" t="n">
        <v>0</v>
      </c>
      <c r="Q761" t="n">
        <v>0</v>
      </c>
      <c r="R761" s="2" t="inlineStr"/>
    </row>
    <row r="762" ht="15" customHeight="1">
      <c r="A762" t="inlineStr">
        <is>
          <t>A 36170-2022</t>
        </is>
      </c>
      <c r="B762" s="1" t="n">
        <v>44803</v>
      </c>
      <c r="C762" s="1" t="n">
        <v>45587</v>
      </c>
      <c r="D762" t="inlineStr">
        <is>
          <t>JÄMTLANDS LÄN</t>
        </is>
      </c>
      <c r="E762" t="inlineStr">
        <is>
          <t>HÄRJEDALEN</t>
        </is>
      </c>
      <c r="G762" t="n">
        <v>14.7</v>
      </c>
      <c r="H762" t="n">
        <v>0</v>
      </c>
      <c r="I762" t="n">
        <v>0</v>
      </c>
      <c r="J762" t="n">
        <v>0</v>
      </c>
      <c r="K762" t="n">
        <v>0</v>
      </c>
      <c r="L762" t="n">
        <v>0</v>
      </c>
      <c r="M762" t="n">
        <v>0</v>
      </c>
      <c r="N762" t="n">
        <v>0</v>
      </c>
      <c r="O762" t="n">
        <v>0</v>
      </c>
      <c r="P762" t="n">
        <v>0</v>
      </c>
      <c r="Q762" t="n">
        <v>0</v>
      </c>
      <c r="R762" s="2" t="inlineStr"/>
    </row>
    <row r="763" ht="15" customHeight="1">
      <c r="A763" t="inlineStr">
        <is>
          <t>A 36182-2022</t>
        </is>
      </c>
      <c r="B763" s="1" t="n">
        <v>44803</v>
      </c>
      <c r="C763" s="1" t="n">
        <v>45587</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36187-2022</t>
        </is>
      </c>
      <c r="B764" s="1" t="n">
        <v>44803</v>
      </c>
      <c r="C764" s="1" t="n">
        <v>45587</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36448-2022</t>
        </is>
      </c>
      <c r="B765" s="1" t="n">
        <v>44804</v>
      </c>
      <c r="C765" s="1" t="n">
        <v>45587</v>
      </c>
      <c r="D765" t="inlineStr">
        <is>
          <t>JÄMTLANDS LÄN</t>
        </is>
      </c>
      <c r="E765" t="inlineStr">
        <is>
          <t>HÄRJEDALEN</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37515-2022</t>
        </is>
      </c>
      <c r="B766" s="1" t="n">
        <v>44809</v>
      </c>
      <c r="C766" s="1" t="n">
        <v>45587</v>
      </c>
      <c r="D766" t="inlineStr">
        <is>
          <t>JÄMTLANDS LÄN</t>
        </is>
      </c>
      <c r="E766" t="inlineStr">
        <is>
          <t>HÄRJEDALEN</t>
        </is>
      </c>
      <c r="F766" t="inlineStr">
        <is>
          <t>Bergvik skog väst AB</t>
        </is>
      </c>
      <c r="G766" t="n">
        <v>3.2</v>
      </c>
      <c r="H766" t="n">
        <v>0</v>
      </c>
      <c r="I766" t="n">
        <v>0</v>
      </c>
      <c r="J766" t="n">
        <v>0</v>
      </c>
      <c r="K766" t="n">
        <v>0</v>
      </c>
      <c r="L766" t="n">
        <v>0</v>
      </c>
      <c r="M766" t="n">
        <v>0</v>
      </c>
      <c r="N766" t="n">
        <v>0</v>
      </c>
      <c r="O766" t="n">
        <v>0</v>
      </c>
      <c r="P766" t="n">
        <v>0</v>
      </c>
      <c r="Q766" t="n">
        <v>0</v>
      </c>
      <c r="R766" s="2" t="inlineStr"/>
    </row>
    <row r="767" ht="15" customHeight="1">
      <c r="A767" t="inlineStr">
        <is>
          <t>A 37666-2022</t>
        </is>
      </c>
      <c r="B767" s="1" t="n">
        <v>44810</v>
      </c>
      <c r="C767" s="1" t="n">
        <v>45587</v>
      </c>
      <c r="D767" t="inlineStr">
        <is>
          <t>JÄMTLANDS LÄN</t>
        </is>
      </c>
      <c r="E767" t="inlineStr">
        <is>
          <t>HÄRJEDALEN</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37690-2022</t>
        </is>
      </c>
      <c r="B768" s="1" t="n">
        <v>44810</v>
      </c>
      <c r="C768" s="1" t="n">
        <v>45587</v>
      </c>
      <c r="D768" t="inlineStr">
        <is>
          <t>JÄMTLANDS LÄN</t>
        </is>
      </c>
      <c r="E768" t="inlineStr">
        <is>
          <t>HÄRJEDALEN</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37678-2022</t>
        </is>
      </c>
      <c r="B769" s="1" t="n">
        <v>44810</v>
      </c>
      <c r="C769" s="1" t="n">
        <v>45587</v>
      </c>
      <c r="D769" t="inlineStr">
        <is>
          <t>JÄMTLANDS LÄN</t>
        </is>
      </c>
      <c r="E769" t="inlineStr">
        <is>
          <t>HÄRJEDALEN</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37873-2022</t>
        </is>
      </c>
      <c r="B770" s="1" t="n">
        <v>44811</v>
      </c>
      <c r="C770" s="1" t="n">
        <v>45587</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37990-2022</t>
        </is>
      </c>
      <c r="B771" s="1" t="n">
        <v>44811</v>
      </c>
      <c r="C771" s="1" t="n">
        <v>45587</v>
      </c>
      <c r="D771" t="inlineStr">
        <is>
          <t>JÄMTLANDS LÄN</t>
        </is>
      </c>
      <c r="E771" t="inlineStr">
        <is>
          <t>HÄRJEDALEN</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37988-2022</t>
        </is>
      </c>
      <c r="B772" s="1" t="n">
        <v>44811</v>
      </c>
      <c r="C772" s="1" t="n">
        <v>45587</v>
      </c>
      <c r="D772" t="inlineStr">
        <is>
          <t>JÄMTLANDS LÄN</t>
        </is>
      </c>
      <c r="E772" t="inlineStr">
        <is>
          <t>HÄRJEDALEN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39396-2022</t>
        </is>
      </c>
      <c r="B773" s="1" t="n">
        <v>44818</v>
      </c>
      <c r="C773" s="1" t="n">
        <v>45587</v>
      </c>
      <c r="D773" t="inlineStr">
        <is>
          <t>JÄMTLANDS LÄN</t>
        </is>
      </c>
      <c r="E773" t="inlineStr">
        <is>
          <t>HÄRJEDALEN</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45587</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39618-2022</t>
        </is>
      </c>
      <c r="B775" s="1" t="n">
        <v>44818</v>
      </c>
      <c r="C775" s="1" t="n">
        <v>45587</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39820-2022</t>
        </is>
      </c>
      <c r="B776" s="1" t="n">
        <v>44819</v>
      </c>
      <c r="C776" s="1" t="n">
        <v>45587</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40084-2022</t>
        </is>
      </c>
      <c r="B777" s="1" t="n">
        <v>44820</v>
      </c>
      <c r="C777" s="1" t="n">
        <v>45587</v>
      </c>
      <c r="D777" t="inlineStr">
        <is>
          <t>JÄMTLANDS LÄN</t>
        </is>
      </c>
      <c r="E777" t="inlineStr">
        <is>
          <t>HÄRJEDALEN</t>
        </is>
      </c>
      <c r="F777" t="inlineStr">
        <is>
          <t>Bergvik skog väst AB</t>
        </is>
      </c>
      <c r="G777" t="n">
        <v>6</v>
      </c>
      <c r="H777" t="n">
        <v>0</v>
      </c>
      <c r="I777" t="n">
        <v>0</v>
      </c>
      <c r="J777" t="n">
        <v>0</v>
      </c>
      <c r="K777" t="n">
        <v>0</v>
      </c>
      <c r="L777" t="n">
        <v>0</v>
      </c>
      <c r="M777" t="n">
        <v>0</v>
      </c>
      <c r="N777" t="n">
        <v>0</v>
      </c>
      <c r="O777" t="n">
        <v>0</v>
      </c>
      <c r="P777" t="n">
        <v>0</v>
      </c>
      <c r="Q777" t="n">
        <v>0</v>
      </c>
      <c r="R777" s="2" t="inlineStr"/>
    </row>
    <row r="778" ht="15" customHeight="1">
      <c r="A778" t="inlineStr">
        <is>
          <t>A 40201-2022</t>
        </is>
      </c>
      <c r="B778" s="1" t="n">
        <v>44820</v>
      </c>
      <c r="C778" s="1" t="n">
        <v>45587</v>
      </c>
      <c r="D778" t="inlineStr">
        <is>
          <t>JÄMTLANDS LÄN</t>
        </is>
      </c>
      <c r="E778" t="inlineStr">
        <is>
          <t>HÄRJEDALEN</t>
        </is>
      </c>
      <c r="F778" t="inlineStr">
        <is>
          <t>Kyrkan</t>
        </is>
      </c>
      <c r="G778" t="n">
        <v>14.6</v>
      </c>
      <c r="H778" t="n">
        <v>0</v>
      </c>
      <c r="I778" t="n">
        <v>0</v>
      </c>
      <c r="J778" t="n">
        <v>0</v>
      </c>
      <c r="K778" t="n">
        <v>0</v>
      </c>
      <c r="L778" t="n">
        <v>0</v>
      </c>
      <c r="M778" t="n">
        <v>0</v>
      </c>
      <c r="N778" t="n">
        <v>0</v>
      </c>
      <c r="O778" t="n">
        <v>0</v>
      </c>
      <c r="P778" t="n">
        <v>0</v>
      </c>
      <c r="Q778" t="n">
        <v>0</v>
      </c>
      <c r="R778" s="2" t="inlineStr"/>
    </row>
    <row r="779" ht="15" customHeight="1">
      <c r="A779" t="inlineStr">
        <is>
          <t>A 40596-2022</t>
        </is>
      </c>
      <c r="B779" s="1" t="n">
        <v>44823</v>
      </c>
      <c r="C779" s="1" t="n">
        <v>45587</v>
      </c>
      <c r="D779" t="inlineStr">
        <is>
          <t>JÄMTLANDS LÄN</t>
        </is>
      </c>
      <c r="E779" t="inlineStr">
        <is>
          <t>HÄRJEDALEN</t>
        </is>
      </c>
      <c r="G779" t="n">
        <v>2.9</v>
      </c>
      <c r="H779" t="n">
        <v>0</v>
      </c>
      <c r="I779" t="n">
        <v>0</v>
      </c>
      <c r="J779" t="n">
        <v>0</v>
      </c>
      <c r="K779" t="n">
        <v>0</v>
      </c>
      <c r="L779" t="n">
        <v>0</v>
      </c>
      <c r="M779" t="n">
        <v>0</v>
      </c>
      <c r="N779" t="n">
        <v>0</v>
      </c>
      <c r="O779" t="n">
        <v>0</v>
      </c>
      <c r="P779" t="n">
        <v>0</v>
      </c>
      <c r="Q779" t="n">
        <v>0</v>
      </c>
      <c r="R779" s="2" t="inlineStr"/>
    </row>
    <row r="780" ht="15" customHeight="1">
      <c r="A780" t="inlineStr">
        <is>
          <t>A 40561-2022</t>
        </is>
      </c>
      <c r="B780" s="1" t="n">
        <v>44823</v>
      </c>
      <c r="C780" s="1" t="n">
        <v>45587</v>
      </c>
      <c r="D780" t="inlineStr">
        <is>
          <t>JÄMTLANDS LÄN</t>
        </is>
      </c>
      <c r="E780" t="inlineStr">
        <is>
          <t>HÄRJEDALEN</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40578-2022</t>
        </is>
      </c>
      <c r="B781" s="1" t="n">
        <v>44823</v>
      </c>
      <c r="C781" s="1" t="n">
        <v>45587</v>
      </c>
      <c r="D781" t="inlineStr">
        <is>
          <t>JÄMTLANDS LÄN</t>
        </is>
      </c>
      <c r="E781" t="inlineStr">
        <is>
          <t>HÄRJEDALEN</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41080-2022</t>
        </is>
      </c>
      <c r="B782" s="1" t="n">
        <v>44825</v>
      </c>
      <c r="C782" s="1" t="n">
        <v>45587</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41164-2022</t>
        </is>
      </c>
      <c r="B783" s="1" t="n">
        <v>44825</v>
      </c>
      <c r="C783" s="1" t="n">
        <v>45587</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41209-2022</t>
        </is>
      </c>
      <c r="B784" s="1" t="n">
        <v>44825</v>
      </c>
      <c r="C784" s="1" t="n">
        <v>45587</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41293-2022</t>
        </is>
      </c>
      <c r="B785" s="1" t="n">
        <v>44826</v>
      </c>
      <c r="C785" s="1" t="n">
        <v>45587</v>
      </c>
      <c r="D785" t="inlineStr">
        <is>
          <t>JÄMTLANDS LÄN</t>
        </is>
      </c>
      <c r="E785" t="inlineStr">
        <is>
          <t>HÄRJEDALEN</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41759-2022</t>
        </is>
      </c>
      <c r="B786" s="1" t="n">
        <v>44827</v>
      </c>
      <c r="C786" s="1" t="n">
        <v>45587</v>
      </c>
      <c r="D786" t="inlineStr">
        <is>
          <t>JÄMTLANDS LÄN</t>
        </is>
      </c>
      <c r="E786" t="inlineStr">
        <is>
          <t>HÄRJEDALEN</t>
        </is>
      </c>
      <c r="G786" t="n">
        <v>20</v>
      </c>
      <c r="H786" t="n">
        <v>0</v>
      </c>
      <c r="I786" t="n">
        <v>0</v>
      </c>
      <c r="J786" t="n">
        <v>0</v>
      </c>
      <c r="K786" t="n">
        <v>0</v>
      </c>
      <c r="L786" t="n">
        <v>0</v>
      </c>
      <c r="M786" t="n">
        <v>0</v>
      </c>
      <c r="N786" t="n">
        <v>0</v>
      </c>
      <c r="O786" t="n">
        <v>0</v>
      </c>
      <c r="P786" t="n">
        <v>0</v>
      </c>
      <c r="Q786" t="n">
        <v>0</v>
      </c>
      <c r="R786" s="2" t="inlineStr"/>
    </row>
    <row r="787" ht="15" customHeight="1">
      <c r="A787" t="inlineStr">
        <is>
          <t>A 41711-2022</t>
        </is>
      </c>
      <c r="B787" s="1" t="n">
        <v>44827</v>
      </c>
      <c r="C787" s="1" t="n">
        <v>45587</v>
      </c>
      <c r="D787" t="inlineStr">
        <is>
          <t>JÄMTLANDS LÄN</t>
        </is>
      </c>
      <c r="E787" t="inlineStr">
        <is>
          <t>HÄRJEDALEN</t>
        </is>
      </c>
      <c r="G787" t="n">
        <v>18.3</v>
      </c>
      <c r="H787" t="n">
        <v>0</v>
      </c>
      <c r="I787" t="n">
        <v>0</v>
      </c>
      <c r="J787" t="n">
        <v>0</v>
      </c>
      <c r="K787" t="n">
        <v>0</v>
      </c>
      <c r="L787" t="n">
        <v>0</v>
      </c>
      <c r="M787" t="n">
        <v>0</v>
      </c>
      <c r="N787" t="n">
        <v>0</v>
      </c>
      <c r="O787" t="n">
        <v>0</v>
      </c>
      <c r="P787" t="n">
        <v>0</v>
      </c>
      <c r="Q787" t="n">
        <v>0</v>
      </c>
      <c r="R787" s="2" t="inlineStr"/>
    </row>
    <row r="788" ht="15" customHeight="1">
      <c r="A788" t="inlineStr">
        <is>
          <t>A 41771-2022</t>
        </is>
      </c>
      <c r="B788" s="1" t="n">
        <v>44827</v>
      </c>
      <c r="C788" s="1" t="n">
        <v>45587</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41766-2022</t>
        </is>
      </c>
      <c r="B789" s="1" t="n">
        <v>44827</v>
      </c>
      <c r="C789" s="1" t="n">
        <v>45587</v>
      </c>
      <c r="D789" t="inlineStr">
        <is>
          <t>JÄMTLANDS LÄN</t>
        </is>
      </c>
      <c r="E789" t="inlineStr">
        <is>
          <t>HÄRJEDALEN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42673-2022</t>
        </is>
      </c>
      <c r="B790" s="1" t="n">
        <v>44832</v>
      </c>
      <c r="C790" s="1" t="n">
        <v>45587</v>
      </c>
      <c r="D790" t="inlineStr">
        <is>
          <t>JÄMTLANDS LÄN</t>
        </is>
      </c>
      <c r="E790" t="inlineStr">
        <is>
          <t>HÄRJEDALEN</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42916-2022</t>
        </is>
      </c>
      <c r="B791" s="1" t="n">
        <v>44833</v>
      </c>
      <c r="C791" s="1" t="n">
        <v>45587</v>
      </c>
      <c r="D791" t="inlineStr">
        <is>
          <t>JÄMTLANDS LÄN</t>
        </is>
      </c>
      <c r="E791" t="inlineStr">
        <is>
          <t>HÄRJEDALEN</t>
        </is>
      </c>
      <c r="F791" t="inlineStr">
        <is>
          <t>Bergvik skog väst AB</t>
        </is>
      </c>
      <c r="G791" t="n">
        <v>8.6</v>
      </c>
      <c r="H791" t="n">
        <v>0</v>
      </c>
      <c r="I791" t="n">
        <v>0</v>
      </c>
      <c r="J791" t="n">
        <v>0</v>
      </c>
      <c r="K791" t="n">
        <v>0</v>
      </c>
      <c r="L791" t="n">
        <v>0</v>
      </c>
      <c r="M791" t="n">
        <v>0</v>
      </c>
      <c r="N791" t="n">
        <v>0</v>
      </c>
      <c r="O791" t="n">
        <v>0</v>
      </c>
      <c r="P791" t="n">
        <v>0</v>
      </c>
      <c r="Q791" t="n">
        <v>0</v>
      </c>
      <c r="R791" s="2" t="inlineStr"/>
    </row>
    <row r="792" ht="15" customHeight="1">
      <c r="A792" t="inlineStr">
        <is>
          <t>A 43293-2022</t>
        </is>
      </c>
      <c r="B792" s="1" t="n">
        <v>44834</v>
      </c>
      <c r="C792" s="1" t="n">
        <v>45587</v>
      </c>
      <c r="D792" t="inlineStr">
        <is>
          <t>JÄMTLANDS LÄN</t>
        </is>
      </c>
      <c r="E792" t="inlineStr">
        <is>
          <t>HÄRJEDALEN</t>
        </is>
      </c>
      <c r="F792" t="inlineStr">
        <is>
          <t>Bergvik skog väst AB</t>
        </is>
      </c>
      <c r="G792" t="n">
        <v>6.7</v>
      </c>
      <c r="H792" t="n">
        <v>0</v>
      </c>
      <c r="I792" t="n">
        <v>0</v>
      </c>
      <c r="J792" t="n">
        <v>0</v>
      </c>
      <c r="K792" t="n">
        <v>0</v>
      </c>
      <c r="L792" t="n">
        <v>0</v>
      </c>
      <c r="M792" t="n">
        <v>0</v>
      </c>
      <c r="N792" t="n">
        <v>0</v>
      </c>
      <c r="O792" t="n">
        <v>0</v>
      </c>
      <c r="P792" t="n">
        <v>0</v>
      </c>
      <c r="Q792" t="n">
        <v>0</v>
      </c>
      <c r="R792" s="2" t="inlineStr"/>
    </row>
    <row r="793" ht="15" customHeight="1">
      <c r="A793" t="inlineStr">
        <is>
          <t>A 43531-2022</t>
        </is>
      </c>
      <c r="B793" s="1" t="n">
        <v>44837</v>
      </c>
      <c r="C793" s="1" t="n">
        <v>45587</v>
      </c>
      <c r="D793" t="inlineStr">
        <is>
          <t>JÄMTLANDS LÄN</t>
        </is>
      </c>
      <c r="E793" t="inlineStr">
        <is>
          <t>HÄRJEDALEN</t>
        </is>
      </c>
      <c r="F793" t="inlineStr">
        <is>
          <t>Bergvik skog väst AB</t>
        </is>
      </c>
      <c r="G793" t="n">
        <v>7.1</v>
      </c>
      <c r="H793" t="n">
        <v>0</v>
      </c>
      <c r="I793" t="n">
        <v>0</v>
      </c>
      <c r="J793" t="n">
        <v>0</v>
      </c>
      <c r="K793" t="n">
        <v>0</v>
      </c>
      <c r="L793" t="n">
        <v>0</v>
      </c>
      <c r="M793" t="n">
        <v>0</v>
      </c>
      <c r="N793" t="n">
        <v>0</v>
      </c>
      <c r="O793" t="n">
        <v>0</v>
      </c>
      <c r="P793" t="n">
        <v>0</v>
      </c>
      <c r="Q793" t="n">
        <v>0</v>
      </c>
      <c r="R793" s="2" t="inlineStr"/>
    </row>
    <row r="794" ht="15" customHeight="1">
      <c r="A794" t="inlineStr">
        <is>
          <t>A 43552-2022</t>
        </is>
      </c>
      <c r="B794" s="1" t="n">
        <v>44837</v>
      </c>
      <c r="C794" s="1" t="n">
        <v>45587</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43825-2022</t>
        </is>
      </c>
      <c r="B795" s="1" t="n">
        <v>44838</v>
      </c>
      <c r="C795" s="1" t="n">
        <v>45587</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45017-2022</t>
        </is>
      </c>
      <c r="B796" s="1" t="n">
        <v>44841</v>
      </c>
      <c r="C796" s="1" t="n">
        <v>45587</v>
      </c>
      <c r="D796" t="inlineStr">
        <is>
          <t>JÄMTLANDS LÄN</t>
        </is>
      </c>
      <c r="E796" t="inlineStr">
        <is>
          <t>HÄRJEDALEN</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47351-2022</t>
        </is>
      </c>
      <c r="B797" s="1" t="n">
        <v>44853</v>
      </c>
      <c r="C797" s="1" t="n">
        <v>45587</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47450-2022</t>
        </is>
      </c>
      <c r="B798" s="1" t="n">
        <v>44853</v>
      </c>
      <c r="C798" s="1" t="n">
        <v>45587</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47635-2022</t>
        </is>
      </c>
      <c r="B799" s="1" t="n">
        <v>44854</v>
      </c>
      <c r="C799" s="1" t="n">
        <v>45587</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47738-2022</t>
        </is>
      </c>
      <c r="B800" s="1" t="n">
        <v>44854</v>
      </c>
      <c r="C800" s="1" t="n">
        <v>45587</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47975-2022</t>
        </is>
      </c>
      <c r="B801" s="1" t="n">
        <v>44855</v>
      </c>
      <c r="C801" s="1" t="n">
        <v>45587</v>
      </c>
      <c r="D801" t="inlineStr">
        <is>
          <t>JÄMTLANDS LÄN</t>
        </is>
      </c>
      <c r="E801" t="inlineStr">
        <is>
          <t>HÄRJEDALEN</t>
        </is>
      </c>
      <c r="G801" t="n">
        <v>3</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45587</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48583-2022</t>
        </is>
      </c>
      <c r="B803" s="1" t="n">
        <v>44859</v>
      </c>
      <c r="C803" s="1" t="n">
        <v>45587</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49237-2022</t>
        </is>
      </c>
      <c r="B804" s="1" t="n">
        <v>44861</v>
      </c>
      <c r="C804" s="1" t="n">
        <v>45587</v>
      </c>
      <c r="D804" t="inlineStr">
        <is>
          <t>JÄMTLANDS LÄN</t>
        </is>
      </c>
      <c r="E804" t="inlineStr">
        <is>
          <t>HÄRJEDALEN</t>
        </is>
      </c>
      <c r="G804" t="n">
        <v>5.8</v>
      </c>
      <c r="H804" t="n">
        <v>0</v>
      </c>
      <c r="I804" t="n">
        <v>0</v>
      </c>
      <c r="J804" t="n">
        <v>0</v>
      </c>
      <c r="K804" t="n">
        <v>0</v>
      </c>
      <c r="L804" t="n">
        <v>0</v>
      </c>
      <c r="M804" t="n">
        <v>0</v>
      </c>
      <c r="N804" t="n">
        <v>0</v>
      </c>
      <c r="O804" t="n">
        <v>0</v>
      </c>
      <c r="P804" t="n">
        <v>0</v>
      </c>
      <c r="Q804" t="n">
        <v>0</v>
      </c>
      <c r="R804" s="2" t="inlineStr"/>
    </row>
    <row r="805" ht="15" customHeight="1">
      <c r="A805" t="inlineStr">
        <is>
          <t>A 49295-2022</t>
        </is>
      </c>
      <c r="B805" s="1" t="n">
        <v>44861</v>
      </c>
      <c r="C805" s="1" t="n">
        <v>45587</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49663-2022</t>
        </is>
      </c>
      <c r="B806" s="1" t="n">
        <v>44862</v>
      </c>
      <c r="C806" s="1" t="n">
        <v>45587</v>
      </c>
      <c r="D806" t="inlineStr">
        <is>
          <t>JÄMTLANDS LÄN</t>
        </is>
      </c>
      <c r="E806" t="inlineStr">
        <is>
          <t>HÄRJEDALEN</t>
        </is>
      </c>
      <c r="F806" t="inlineStr">
        <is>
          <t>Bergvik skog väst AB</t>
        </is>
      </c>
      <c r="G806" t="n">
        <v>17.5</v>
      </c>
      <c r="H806" t="n">
        <v>0</v>
      </c>
      <c r="I806" t="n">
        <v>0</v>
      </c>
      <c r="J806" t="n">
        <v>0</v>
      </c>
      <c r="K806" t="n">
        <v>0</v>
      </c>
      <c r="L806" t="n">
        <v>0</v>
      </c>
      <c r="M806" t="n">
        <v>0</v>
      </c>
      <c r="N806" t="n">
        <v>0</v>
      </c>
      <c r="O806" t="n">
        <v>0</v>
      </c>
      <c r="P806" t="n">
        <v>0</v>
      </c>
      <c r="Q806" t="n">
        <v>0</v>
      </c>
      <c r="R806" s="2" t="inlineStr"/>
    </row>
    <row r="807" ht="15" customHeight="1">
      <c r="A807" t="inlineStr">
        <is>
          <t>A 49689-2022</t>
        </is>
      </c>
      <c r="B807" s="1" t="n">
        <v>44862</v>
      </c>
      <c r="C807" s="1" t="n">
        <v>45587</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49995-2022</t>
        </is>
      </c>
      <c r="B808" s="1" t="n">
        <v>44865</v>
      </c>
      <c r="C808" s="1" t="n">
        <v>45587</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51948-2022</t>
        </is>
      </c>
      <c r="B809" s="1" t="n">
        <v>44872</v>
      </c>
      <c r="C809" s="1" t="n">
        <v>45587</v>
      </c>
      <c r="D809" t="inlineStr">
        <is>
          <t>JÄMTLANDS LÄN</t>
        </is>
      </c>
      <c r="E809" t="inlineStr">
        <is>
          <t>HÄRJEDALEN</t>
        </is>
      </c>
      <c r="F809" t="inlineStr">
        <is>
          <t>Bergvik skog väst AB</t>
        </is>
      </c>
      <c r="G809" t="n">
        <v>3.8</v>
      </c>
      <c r="H809" t="n">
        <v>0</v>
      </c>
      <c r="I809" t="n">
        <v>0</v>
      </c>
      <c r="J809" t="n">
        <v>0</v>
      </c>
      <c r="K809" t="n">
        <v>0</v>
      </c>
      <c r="L809" t="n">
        <v>0</v>
      </c>
      <c r="M809" t="n">
        <v>0</v>
      </c>
      <c r="N809" t="n">
        <v>0</v>
      </c>
      <c r="O809" t="n">
        <v>0</v>
      </c>
      <c r="P809" t="n">
        <v>0</v>
      </c>
      <c r="Q809" t="n">
        <v>0</v>
      </c>
      <c r="R809" s="2" t="inlineStr"/>
    </row>
    <row r="810" ht="15" customHeight="1">
      <c r="A810" t="inlineStr">
        <is>
          <t>A 52852-2022</t>
        </is>
      </c>
      <c r="B810" s="1" t="n">
        <v>44872</v>
      </c>
      <c r="C810" s="1" t="n">
        <v>45587</v>
      </c>
      <c r="D810" t="inlineStr">
        <is>
          <t>JÄMTLANDS LÄN</t>
        </is>
      </c>
      <c r="E810" t="inlineStr">
        <is>
          <t>HÄRJEDALEN</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52867-2022</t>
        </is>
      </c>
      <c r="B811" s="1" t="n">
        <v>44872</v>
      </c>
      <c r="C811" s="1" t="n">
        <v>45587</v>
      </c>
      <c r="D811" t="inlineStr">
        <is>
          <t>JÄMTLANDS LÄN</t>
        </is>
      </c>
      <c r="E811" t="inlineStr">
        <is>
          <t>HÄRJEDALEN</t>
        </is>
      </c>
      <c r="G811" t="n">
        <v>0.3</v>
      </c>
      <c r="H811" t="n">
        <v>0</v>
      </c>
      <c r="I811" t="n">
        <v>0</v>
      </c>
      <c r="J811" t="n">
        <v>0</v>
      </c>
      <c r="K811" t="n">
        <v>0</v>
      </c>
      <c r="L811" t="n">
        <v>0</v>
      </c>
      <c r="M811" t="n">
        <v>0</v>
      </c>
      <c r="N811" t="n">
        <v>0</v>
      </c>
      <c r="O811" t="n">
        <v>0</v>
      </c>
      <c r="P811" t="n">
        <v>0</v>
      </c>
      <c r="Q811" t="n">
        <v>0</v>
      </c>
      <c r="R811" s="2" t="inlineStr"/>
    </row>
    <row r="812" ht="15" customHeight="1">
      <c r="A812" t="inlineStr">
        <is>
          <t>A 52339-2022</t>
        </is>
      </c>
      <c r="B812" s="1" t="n">
        <v>44873</v>
      </c>
      <c r="C812" s="1" t="n">
        <v>45587</v>
      </c>
      <c r="D812" t="inlineStr">
        <is>
          <t>JÄMTLANDS LÄN</t>
        </is>
      </c>
      <c r="E812" t="inlineStr">
        <is>
          <t>HÄRJEDALEN</t>
        </is>
      </c>
      <c r="G812" t="n">
        <v>28.1</v>
      </c>
      <c r="H812" t="n">
        <v>0</v>
      </c>
      <c r="I812" t="n">
        <v>0</v>
      </c>
      <c r="J812" t="n">
        <v>0</v>
      </c>
      <c r="K812" t="n">
        <v>0</v>
      </c>
      <c r="L812" t="n">
        <v>0</v>
      </c>
      <c r="M812" t="n">
        <v>0</v>
      </c>
      <c r="N812" t="n">
        <v>0</v>
      </c>
      <c r="O812" t="n">
        <v>0</v>
      </c>
      <c r="P812" t="n">
        <v>0</v>
      </c>
      <c r="Q812" t="n">
        <v>0</v>
      </c>
      <c r="R812" s="2" t="inlineStr"/>
    </row>
    <row r="813" ht="15" customHeight="1">
      <c r="A813" t="inlineStr">
        <is>
          <t>A 52586-2022</t>
        </is>
      </c>
      <c r="B813" s="1" t="n">
        <v>44874</v>
      </c>
      <c r="C813" s="1" t="n">
        <v>45587</v>
      </c>
      <c r="D813" t="inlineStr">
        <is>
          <t>JÄMTLANDS LÄN</t>
        </is>
      </c>
      <c r="E813" t="inlineStr">
        <is>
          <t>HÄRJEDALEN</t>
        </is>
      </c>
      <c r="F813" t="inlineStr">
        <is>
          <t>Bergvik skog väst AB</t>
        </is>
      </c>
      <c r="G813" t="n">
        <v>6.1</v>
      </c>
      <c r="H813" t="n">
        <v>0</v>
      </c>
      <c r="I813" t="n">
        <v>0</v>
      </c>
      <c r="J813" t="n">
        <v>0</v>
      </c>
      <c r="K813" t="n">
        <v>0</v>
      </c>
      <c r="L813" t="n">
        <v>0</v>
      </c>
      <c r="M813" t="n">
        <v>0</v>
      </c>
      <c r="N813" t="n">
        <v>0</v>
      </c>
      <c r="O813" t="n">
        <v>0</v>
      </c>
      <c r="P813" t="n">
        <v>0</v>
      </c>
      <c r="Q813" t="n">
        <v>0</v>
      </c>
      <c r="R813" s="2" t="inlineStr"/>
    </row>
    <row r="814" ht="15" customHeight="1">
      <c r="A814" t="inlineStr">
        <is>
          <t>A 53104-2022</t>
        </is>
      </c>
      <c r="B814" s="1" t="n">
        <v>44876</v>
      </c>
      <c r="C814" s="1" t="n">
        <v>45587</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53107-2022</t>
        </is>
      </c>
      <c r="B815" s="1" t="n">
        <v>44876</v>
      </c>
      <c r="C815" s="1" t="n">
        <v>45587</v>
      </c>
      <c r="D815" t="inlineStr">
        <is>
          <t>JÄMTLANDS LÄN</t>
        </is>
      </c>
      <c r="E815" t="inlineStr">
        <is>
          <t>HÄRJEDALEN</t>
        </is>
      </c>
      <c r="F815" t="inlineStr">
        <is>
          <t>Bergvik skog väst AB</t>
        </is>
      </c>
      <c r="G815" t="n">
        <v>9.1</v>
      </c>
      <c r="H815" t="n">
        <v>0</v>
      </c>
      <c r="I815" t="n">
        <v>0</v>
      </c>
      <c r="J815" t="n">
        <v>0</v>
      </c>
      <c r="K815" t="n">
        <v>0</v>
      </c>
      <c r="L815" t="n">
        <v>0</v>
      </c>
      <c r="M815" t="n">
        <v>0</v>
      </c>
      <c r="N815" t="n">
        <v>0</v>
      </c>
      <c r="O815" t="n">
        <v>0</v>
      </c>
      <c r="P815" t="n">
        <v>0</v>
      </c>
      <c r="Q815" t="n">
        <v>0</v>
      </c>
      <c r="R815" s="2" t="inlineStr"/>
    </row>
    <row r="816" ht="15" customHeight="1">
      <c r="A816" t="inlineStr">
        <is>
          <t>A 53120-2022</t>
        </is>
      </c>
      <c r="B816" s="1" t="n">
        <v>44876</v>
      </c>
      <c r="C816" s="1" t="n">
        <v>45587</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53563-2022</t>
        </is>
      </c>
      <c r="B817" s="1" t="n">
        <v>44879</v>
      </c>
      <c r="C817" s="1" t="n">
        <v>45587</v>
      </c>
      <c r="D817" t="inlineStr">
        <is>
          <t>JÄMTLANDS LÄN</t>
        </is>
      </c>
      <c r="E817" t="inlineStr">
        <is>
          <t>HÄRJEDALEN</t>
        </is>
      </c>
      <c r="G817" t="n">
        <v>8.6</v>
      </c>
      <c r="H817" t="n">
        <v>0</v>
      </c>
      <c r="I817" t="n">
        <v>0</v>
      </c>
      <c r="J817" t="n">
        <v>0</v>
      </c>
      <c r="K817" t="n">
        <v>0</v>
      </c>
      <c r="L817" t="n">
        <v>0</v>
      </c>
      <c r="M817" t="n">
        <v>0</v>
      </c>
      <c r="N817" t="n">
        <v>0</v>
      </c>
      <c r="O817" t="n">
        <v>0</v>
      </c>
      <c r="P817" t="n">
        <v>0</v>
      </c>
      <c r="Q817" t="n">
        <v>0</v>
      </c>
      <c r="R817" s="2" t="inlineStr"/>
    </row>
    <row r="818" ht="15" customHeight="1">
      <c r="A818" t="inlineStr">
        <is>
          <t>A 54059-2022</t>
        </is>
      </c>
      <c r="B818" s="1" t="n">
        <v>44881</v>
      </c>
      <c r="C818" s="1" t="n">
        <v>45587</v>
      </c>
      <c r="D818" t="inlineStr">
        <is>
          <t>JÄMTLANDS LÄN</t>
        </is>
      </c>
      <c r="E818" t="inlineStr">
        <is>
          <t>HÄRJEDALEN</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54065-2022</t>
        </is>
      </c>
      <c r="B819" s="1" t="n">
        <v>44881</v>
      </c>
      <c r="C819" s="1" t="n">
        <v>45587</v>
      </c>
      <c r="D819" t="inlineStr">
        <is>
          <t>JÄMTLANDS LÄN</t>
        </is>
      </c>
      <c r="E819" t="inlineStr">
        <is>
          <t>HÄRJEDALEN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54305-2022</t>
        </is>
      </c>
      <c r="B820" s="1" t="n">
        <v>44882</v>
      </c>
      <c r="C820" s="1" t="n">
        <v>45587</v>
      </c>
      <c r="D820" t="inlineStr">
        <is>
          <t>JÄMTLANDS LÄN</t>
        </is>
      </c>
      <c r="E820" t="inlineStr">
        <is>
          <t>HÄRJEDALEN</t>
        </is>
      </c>
      <c r="G820" t="n">
        <v>2.3</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45587</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54762-2022</t>
        </is>
      </c>
      <c r="B822" s="1" t="n">
        <v>44883</v>
      </c>
      <c r="C822" s="1" t="n">
        <v>45587</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55100-2022</t>
        </is>
      </c>
      <c r="B823" s="1" t="n">
        <v>44886</v>
      </c>
      <c r="C823" s="1" t="n">
        <v>45587</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55103-2022</t>
        </is>
      </c>
      <c r="B824" s="1" t="n">
        <v>44886</v>
      </c>
      <c r="C824" s="1" t="n">
        <v>45587</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55931-2022</t>
        </is>
      </c>
      <c r="B825" s="1" t="n">
        <v>44886</v>
      </c>
      <c r="C825" s="1" t="n">
        <v>45587</v>
      </c>
      <c r="D825" t="inlineStr">
        <is>
          <t>JÄMTLANDS LÄN</t>
        </is>
      </c>
      <c r="E825" t="inlineStr">
        <is>
          <t>HÄRJEDALEN</t>
        </is>
      </c>
      <c r="F825" t="inlineStr">
        <is>
          <t>Övriga statliga verk och myndigheter</t>
        </is>
      </c>
      <c r="G825" t="n">
        <v>2.9</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45587</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56043-2022</t>
        </is>
      </c>
      <c r="B827" s="1" t="n">
        <v>44889</v>
      </c>
      <c r="C827" s="1" t="n">
        <v>45587</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57223-2022</t>
        </is>
      </c>
      <c r="B828" s="1" t="n">
        <v>44889</v>
      </c>
      <c r="C828" s="1" t="n">
        <v>45587</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56533-2022</t>
        </is>
      </c>
      <c r="B829" s="1" t="n">
        <v>44893</v>
      </c>
      <c r="C829" s="1" t="n">
        <v>45587</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56992-2022</t>
        </is>
      </c>
      <c r="B830" s="1" t="n">
        <v>44894</v>
      </c>
      <c r="C830" s="1" t="n">
        <v>45587</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58425-2022</t>
        </is>
      </c>
      <c r="B831" s="1" t="n">
        <v>44901</v>
      </c>
      <c r="C831" s="1" t="n">
        <v>45587</v>
      </c>
      <c r="D831" t="inlineStr">
        <is>
          <t>JÄMTLANDS LÄN</t>
        </is>
      </c>
      <c r="E831" t="inlineStr">
        <is>
          <t>HÄRJEDALEN</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59094-2022</t>
        </is>
      </c>
      <c r="B832" s="1" t="n">
        <v>44904</v>
      </c>
      <c r="C832" s="1" t="n">
        <v>45587</v>
      </c>
      <c r="D832" t="inlineStr">
        <is>
          <t>JÄMTLANDS LÄN</t>
        </is>
      </c>
      <c r="E832" t="inlineStr">
        <is>
          <t>HÄRJEDALEN</t>
        </is>
      </c>
      <c r="F832" t="inlineStr">
        <is>
          <t>Bergvik skog väst AB</t>
        </is>
      </c>
      <c r="G832" t="n">
        <v>49.8</v>
      </c>
      <c r="H832" t="n">
        <v>0</v>
      </c>
      <c r="I832" t="n">
        <v>0</v>
      </c>
      <c r="J832" t="n">
        <v>0</v>
      </c>
      <c r="K832" t="n">
        <v>0</v>
      </c>
      <c r="L832" t="n">
        <v>0</v>
      </c>
      <c r="M832" t="n">
        <v>0</v>
      </c>
      <c r="N832" t="n">
        <v>0</v>
      </c>
      <c r="O832" t="n">
        <v>0</v>
      </c>
      <c r="P832" t="n">
        <v>0</v>
      </c>
      <c r="Q832" t="n">
        <v>0</v>
      </c>
      <c r="R832" s="2" t="inlineStr"/>
    </row>
    <row r="833" ht="15" customHeight="1">
      <c r="A833" t="inlineStr">
        <is>
          <t>A 59112-2022</t>
        </is>
      </c>
      <c r="B833" s="1" t="n">
        <v>44904</v>
      </c>
      <c r="C833" s="1" t="n">
        <v>45587</v>
      </c>
      <c r="D833" t="inlineStr">
        <is>
          <t>JÄMTLANDS LÄN</t>
        </is>
      </c>
      <c r="E833" t="inlineStr">
        <is>
          <t>HÄRJEDALEN</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59824-2022</t>
        </is>
      </c>
      <c r="B834" s="1" t="n">
        <v>44908</v>
      </c>
      <c r="C834" s="1" t="n">
        <v>45587</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59851-2022</t>
        </is>
      </c>
      <c r="B835" s="1" t="n">
        <v>44908</v>
      </c>
      <c r="C835" s="1" t="n">
        <v>45587</v>
      </c>
      <c r="D835" t="inlineStr">
        <is>
          <t>JÄMTLANDS LÄN</t>
        </is>
      </c>
      <c r="E835" t="inlineStr">
        <is>
          <t>HÄRJEDALEN</t>
        </is>
      </c>
      <c r="G835" t="n">
        <v>3.2</v>
      </c>
      <c r="H835" t="n">
        <v>0</v>
      </c>
      <c r="I835" t="n">
        <v>0</v>
      </c>
      <c r="J835" t="n">
        <v>0</v>
      </c>
      <c r="K835" t="n">
        <v>0</v>
      </c>
      <c r="L835" t="n">
        <v>0</v>
      </c>
      <c r="M835" t="n">
        <v>0</v>
      </c>
      <c r="N835" t="n">
        <v>0</v>
      </c>
      <c r="O835" t="n">
        <v>0</v>
      </c>
      <c r="P835" t="n">
        <v>0</v>
      </c>
      <c r="Q835" t="n">
        <v>0</v>
      </c>
      <c r="R835" s="2" t="inlineStr"/>
    </row>
    <row r="836" ht="15" customHeight="1">
      <c r="A836" t="inlineStr">
        <is>
          <t>A 59828-2022</t>
        </is>
      </c>
      <c r="B836" s="1" t="n">
        <v>44908</v>
      </c>
      <c r="C836" s="1" t="n">
        <v>45587</v>
      </c>
      <c r="D836" t="inlineStr">
        <is>
          <t>JÄMTLANDS LÄN</t>
        </is>
      </c>
      <c r="E836" t="inlineStr">
        <is>
          <t>HÄRJEDALEN</t>
        </is>
      </c>
      <c r="G836" t="n">
        <v>7.4</v>
      </c>
      <c r="H836" t="n">
        <v>0</v>
      </c>
      <c r="I836" t="n">
        <v>0</v>
      </c>
      <c r="J836" t="n">
        <v>0</v>
      </c>
      <c r="K836" t="n">
        <v>0</v>
      </c>
      <c r="L836" t="n">
        <v>0</v>
      </c>
      <c r="M836" t="n">
        <v>0</v>
      </c>
      <c r="N836" t="n">
        <v>0</v>
      </c>
      <c r="O836" t="n">
        <v>0</v>
      </c>
      <c r="P836" t="n">
        <v>0</v>
      </c>
      <c r="Q836" t="n">
        <v>0</v>
      </c>
      <c r="R836" s="2" t="inlineStr"/>
    </row>
    <row r="837" ht="15" customHeight="1">
      <c r="A837" t="inlineStr">
        <is>
          <t>A 59818-2022</t>
        </is>
      </c>
      <c r="B837" s="1" t="n">
        <v>44908</v>
      </c>
      <c r="C837" s="1" t="n">
        <v>45587</v>
      </c>
      <c r="D837" t="inlineStr">
        <is>
          <t>JÄMTLANDS LÄN</t>
        </is>
      </c>
      <c r="E837" t="inlineStr">
        <is>
          <t>HÄRJEDALEN</t>
        </is>
      </c>
      <c r="G837" t="n">
        <v>5.3</v>
      </c>
      <c r="H837" t="n">
        <v>0</v>
      </c>
      <c r="I837" t="n">
        <v>0</v>
      </c>
      <c r="J837" t="n">
        <v>0</v>
      </c>
      <c r="K837" t="n">
        <v>0</v>
      </c>
      <c r="L837" t="n">
        <v>0</v>
      </c>
      <c r="M837" t="n">
        <v>0</v>
      </c>
      <c r="N837" t="n">
        <v>0</v>
      </c>
      <c r="O837" t="n">
        <v>0</v>
      </c>
      <c r="P837" t="n">
        <v>0</v>
      </c>
      <c r="Q837" t="n">
        <v>0</v>
      </c>
      <c r="R837" s="2" t="inlineStr"/>
    </row>
    <row r="838" ht="15" customHeight="1">
      <c r="A838" t="inlineStr">
        <is>
          <t>A 61300-2022</t>
        </is>
      </c>
      <c r="B838" s="1" t="n">
        <v>44909</v>
      </c>
      <c r="C838" s="1" t="n">
        <v>45587</v>
      </c>
      <c r="D838" t="inlineStr">
        <is>
          <t>JÄMTLANDS LÄN</t>
        </is>
      </c>
      <c r="E838" t="inlineStr">
        <is>
          <t>HÄRJEDALEN</t>
        </is>
      </c>
      <c r="F838" t="inlineStr">
        <is>
          <t>Bergvik skog väst AB</t>
        </is>
      </c>
      <c r="G838" t="n">
        <v>14.1</v>
      </c>
      <c r="H838" t="n">
        <v>0</v>
      </c>
      <c r="I838" t="n">
        <v>0</v>
      </c>
      <c r="J838" t="n">
        <v>0</v>
      </c>
      <c r="K838" t="n">
        <v>0</v>
      </c>
      <c r="L838" t="n">
        <v>0</v>
      </c>
      <c r="M838" t="n">
        <v>0</v>
      </c>
      <c r="N838" t="n">
        <v>0</v>
      </c>
      <c r="O838" t="n">
        <v>0</v>
      </c>
      <c r="P838" t="n">
        <v>0</v>
      </c>
      <c r="Q838" t="n">
        <v>0</v>
      </c>
      <c r="R838" s="2" t="inlineStr"/>
    </row>
    <row r="839" ht="15" customHeight="1">
      <c r="A839" t="inlineStr">
        <is>
          <t>A 60236-2022</t>
        </is>
      </c>
      <c r="B839" s="1" t="n">
        <v>44910</v>
      </c>
      <c r="C839" s="1" t="n">
        <v>45587</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60542-2022</t>
        </is>
      </c>
      <c r="B840" s="1" t="n">
        <v>44911</v>
      </c>
      <c r="C840" s="1" t="n">
        <v>45587</v>
      </c>
      <c r="D840" t="inlineStr">
        <is>
          <t>JÄMTLANDS LÄN</t>
        </is>
      </c>
      <c r="E840" t="inlineStr">
        <is>
          <t>HÄRJEDALEN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60887-2022</t>
        </is>
      </c>
      <c r="B841" s="1" t="n">
        <v>44914</v>
      </c>
      <c r="C841" s="1" t="n">
        <v>45587</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60983-2022</t>
        </is>
      </c>
      <c r="B842" s="1" t="n">
        <v>44914</v>
      </c>
      <c r="C842" s="1" t="n">
        <v>45587</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60897-2022</t>
        </is>
      </c>
      <c r="B843" s="1" t="n">
        <v>44914</v>
      </c>
      <c r="C843" s="1" t="n">
        <v>45587</v>
      </c>
      <c r="D843" t="inlineStr">
        <is>
          <t>JÄMTLANDS LÄN</t>
        </is>
      </c>
      <c r="E843" t="inlineStr">
        <is>
          <t>HÄRJEDALEN</t>
        </is>
      </c>
      <c r="F843" t="inlineStr">
        <is>
          <t>Holmen skog AB</t>
        </is>
      </c>
      <c r="G843" t="n">
        <v>0.3</v>
      </c>
      <c r="H843" t="n">
        <v>0</v>
      </c>
      <c r="I843" t="n">
        <v>0</v>
      </c>
      <c r="J843" t="n">
        <v>0</v>
      </c>
      <c r="K843" t="n">
        <v>0</v>
      </c>
      <c r="L843" t="n">
        <v>0</v>
      </c>
      <c r="M843" t="n">
        <v>0</v>
      </c>
      <c r="N843" t="n">
        <v>0</v>
      </c>
      <c r="O843" t="n">
        <v>0</v>
      </c>
      <c r="P843" t="n">
        <v>0</v>
      </c>
      <c r="Q843" t="n">
        <v>0</v>
      </c>
      <c r="R843" s="2" t="inlineStr"/>
      <c r="U843">
        <f>HYPERLINK("https://klasma.github.io/Logging_2361/knärot/A 60897-2022 karta knärot.png", "A 60897-2022")</f>
        <v/>
      </c>
      <c r="V843">
        <f>HYPERLINK("https://klasma.github.io/Logging_2361/klagomål/A 60897-2022 FSC-klagomål.docx", "A 60897-2022")</f>
        <v/>
      </c>
      <c r="W843">
        <f>HYPERLINK("https://klasma.github.io/Logging_2361/klagomålsmail/A 60897-2022 FSC-klagomål mail.docx", "A 60897-2022")</f>
        <v/>
      </c>
      <c r="X843">
        <f>HYPERLINK("https://klasma.github.io/Logging_2361/tillsyn/A 60897-2022 tillsynsbegäran.docx", "A 60897-2022")</f>
        <v/>
      </c>
      <c r="Y843">
        <f>HYPERLINK("https://klasma.github.io/Logging_2361/tillsynsmail/A 60897-2022 tillsynsbegäran mail.docx", "A 60897-2022")</f>
        <v/>
      </c>
    </row>
    <row r="844" ht="15" customHeight="1">
      <c r="A844" t="inlineStr">
        <is>
          <t>A 60933-2022</t>
        </is>
      </c>
      <c r="B844" s="1" t="n">
        <v>44914</v>
      </c>
      <c r="C844" s="1" t="n">
        <v>45587</v>
      </c>
      <c r="D844" t="inlineStr">
        <is>
          <t>JÄMTLANDS LÄN</t>
        </is>
      </c>
      <c r="E844" t="inlineStr">
        <is>
          <t>HÄRJEDALEN</t>
        </is>
      </c>
      <c r="G844" t="n">
        <v>0.7</v>
      </c>
      <c r="H844" t="n">
        <v>0</v>
      </c>
      <c r="I844" t="n">
        <v>0</v>
      </c>
      <c r="J844" t="n">
        <v>0</v>
      </c>
      <c r="K844" t="n">
        <v>0</v>
      </c>
      <c r="L844" t="n">
        <v>0</v>
      </c>
      <c r="M844" t="n">
        <v>0</v>
      </c>
      <c r="N844" t="n">
        <v>0</v>
      </c>
      <c r="O844" t="n">
        <v>0</v>
      </c>
      <c r="P844" t="n">
        <v>0</v>
      </c>
      <c r="Q844" t="n">
        <v>0</v>
      </c>
      <c r="R844" s="2" t="inlineStr"/>
    </row>
    <row r="845" ht="15" customHeight="1">
      <c r="A845" t="inlineStr">
        <is>
          <t>A 61571-2022</t>
        </is>
      </c>
      <c r="B845" s="1" t="n">
        <v>44916</v>
      </c>
      <c r="C845" s="1" t="n">
        <v>45587</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62500-2022</t>
        </is>
      </c>
      <c r="B846" s="1" t="n">
        <v>44924</v>
      </c>
      <c r="C846" s="1" t="n">
        <v>45587</v>
      </c>
      <c r="D846" t="inlineStr">
        <is>
          <t>JÄMTLANDS LÄN</t>
        </is>
      </c>
      <c r="E846" t="inlineStr">
        <is>
          <t>HÄRJEDALEN</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62513-2022</t>
        </is>
      </c>
      <c r="B847" s="1" t="n">
        <v>44924</v>
      </c>
      <c r="C847" s="1" t="n">
        <v>45587</v>
      </c>
      <c r="D847" t="inlineStr">
        <is>
          <t>JÄMTLANDS LÄN</t>
        </is>
      </c>
      <c r="E847" t="inlineStr">
        <is>
          <t>HÄRJEDALEN</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62535-2022</t>
        </is>
      </c>
      <c r="B848" s="1" t="n">
        <v>44924</v>
      </c>
      <c r="C848" s="1" t="n">
        <v>45587</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62505-2022</t>
        </is>
      </c>
      <c r="B849" s="1" t="n">
        <v>44924</v>
      </c>
      <c r="C849" s="1" t="n">
        <v>45587</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62533-2022</t>
        </is>
      </c>
      <c r="B850" s="1" t="n">
        <v>44924</v>
      </c>
      <c r="C850" s="1" t="n">
        <v>45587</v>
      </c>
      <c r="D850" t="inlineStr">
        <is>
          <t>JÄMTLANDS LÄN</t>
        </is>
      </c>
      <c r="E850" t="inlineStr">
        <is>
          <t>HÄRJEDALEN</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62639-2022</t>
        </is>
      </c>
      <c r="B851" s="1" t="n">
        <v>44925</v>
      </c>
      <c r="C851" s="1" t="n">
        <v>45587</v>
      </c>
      <c r="D851" t="inlineStr">
        <is>
          <t>JÄMTLANDS LÄN</t>
        </is>
      </c>
      <c r="E851" t="inlineStr">
        <is>
          <t>HÄRJEDALEN</t>
        </is>
      </c>
      <c r="G851" t="n">
        <v>4.3</v>
      </c>
      <c r="H851" t="n">
        <v>0</v>
      </c>
      <c r="I851" t="n">
        <v>0</v>
      </c>
      <c r="J851" t="n">
        <v>0</v>
      </c>
      <c r="K851" t="n">
        <v>0</v>
      </c>
      <c r="L851" t="n">
        <v>0</v>
      </c>
      <c r="M851" t="n">
        <v>0</v>
      </c>
      <c r="N851" t="n">
        <v>0</v>
      </c>
      <c r="O851" t="n">
        <v>0</v>
      </c>
      <c r="P851" t="n">
        <v>0</v>
      </c>
      <c r="Q851" t="n">
        <v>0</v>
      </c>
      <c r="R851" s="2" t="inlineStr"/>
    </row>
    <row r="852" ht="15" customHeight="1">
      <c r="A852" t="inlineStr">
        <is>
          <t>A 62696-2022</t>
        </is>
      </c>
      <c r="B852" s="1" t="n">
        <v>44925</v>
      </c>
      <c r="C852" s="1" t="n">
        <v>45587</v>
      </c>
      <c r="D852" t="inlineStr">
        <is>
          <t>JÄMTLANDS LÄN</t>
        </is>
      </c>
      <c r="E852" t="inlineStr">
        <is>
          <t>HÄRJEDALEN</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62702-2022</t>
        </is>
      </c>
      <c r="B853" s="1" t="n">
        <v>44925</v>
      </c>
      <c r="C853" s="1" t="n">
        <v>45587</v>
      </c>
      <c r="D853" t="inlineStr">
        <is>
          <t>JÄMTLANDS LÄN</t>
        </is>
      </c>
      <c r="E853" t="inlineStr">
        <is>
          <t>HÄRJEDALEN</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45587</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62724-2022</t>
        </is>
      </c>
      <c r="B855" s="1" t="n">
        <v>44925</v>
      </c>
      <c r="C855" s="1" t="n">
        <v>45587</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62599-2022</t>
        </is>
      </c>
      <c r="B856" s="1" t="n">
        <v>44925</v>
      </c>
      <c r="C856" s="1" t="n">
        <v>45587</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62641-2022</t>
        </is>
      </c>
      <c r="B857" s="1" t="n">
        <v>44925</v>
      </c>
      <c r="C857" s="1" t="n">
        <v>45587</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62591-2022</t>
        </is>
      </c>
      <c r="B858" s="1" t="n">
        <v>44925</v>
      </c>
      <c r="C858" s="1" t="n">
        <v>45587</v>
      </c>
      <c r="D858" t="inlineStr">
        <is>
          <t>JÄMTLANDS LÄN</t>
        </is>
      </c>
      <c r="E858" t="inlineStr">
        <is>
          <t>HÄRJEDALEN</t>
        </is>
      </c>
      <c r="G858" t="n">
        <v>32.7</v>
      </c>
      <c r="H858" t="n">
        <v>0</v>
      </c>
      <c r="I858" t="n">
        <v>0</v>
      </c>
      <c r="J858" t="n">
        <v>0</v>
      </c>
      <c r="K858" t="n">
        <v>0</v>
      </c>
      <c r="L858" t="n">
        <v>0</v>
      </c>
      <c r="M858" t="n">
        <v>0</v>
      </c>
      <c r="N858" t="n">
        <v>0</v>
      </c>
      <c r="O858" t="n">
        <v>0</v>
      </c>
      <c r="P858" t="n">
        <v>0</v>
      </c>
      <c r="Q858" t="n">
        <v>0</v>
      </c>
      <c r="R858" s="2" t="inlineStr"/>
    </row>
    <row r="859" ht="15" customHeight="1">
      <c r="A859" t="inlineStr">
        <is>
          <t>A 62653-2022</t>
        </is>
      </c>
      <c r="B859" s="1" t="n">
        <v>44925</v>
      </c>
      <c r="C859" s="1" t="n">
        <v>45587</v>
      </c>
      <c r="D859" t="inlineStr">
        <is>
          <t>JÄMTLANDS LÄN</t>
        </is>
      </c>
      <c r="E859" t="inlineStr">
        <is>
          <t>HÄRJEDALEN</t>
        </is>
      </c>
      <c r="G859" t="n">
        <v>3.8</v>
      </c>
      <c r="H859" t="n">
        <v>0</v>
      </c>
      <c r="I859" t="n">
        <v>0</v>
      </c>
      <c r="J859" t="n">
        <v>0</v>
      </c>
      <c r="K859" t="n">
        <v>0</v>
      </c>
      <c r="L859" t="n">
        <v>0</v>
      </c>
      <c r="M859" t="n">
        <v>0</v>
      </c>
      <c r="N859" t="n">
        <v>0</v>
      </c>
      <c r="O859" t="n">
        <v>0</v>
      </c>
      <c r="P859" t="n">
        <v>0</v>
      </c>
      <c r="Q859" t="n">
        <v>0</v>
      </c>
      <c r="R859" s="2" t="inlineStr"/>
    </row>
    <row r="860" ht="15" customHeight="1">
      <c r="A860" t="inlineStr">
        <is>
          <t>A 62687-2022</t>
        </is>
      </c>
      <c r="B860" s="1" t="n">
        <v>44925</v>
      </c>
      <c r="C860" s="1" t="n">
        <v>45587</v>
      </c>
      <c r="D860" t="inlineStr">
        <is>
          <t>JÄMTLANDS LÄN</t>
        </is>
      </c>
      <c r="E860" t="inlineStr">
        <is>
          <t>HÄRJEDALEN</t>
        </is>
      </c>
      <c r="F860" t="inlineStr">
        <is>
          <t>Holmen skog AB</t>
        </is>
      </c>
      <c r="G860" t="n">
        <v>5.7</v>
      </c>
      <c r="H860" t="n">
        <v>0</v>
      </c>
      <c r="I860" t="n">
        <v>0</v>
      </c>
      <c r="J860" t="n">
        <v>0</v>
      </c>
      <c r="K860" t="n">
        <v>0</v>
      </c>
      <c r="L860" t="n">
        <v>0</v>
      </c>
      <c r="M860" t="n">
        <v>0</v>
      </c>
      <c r="N860" t="n">
        <v>0</v>
      </c>
      <c r="O860" t="n">
        <v>0</v>
      </c>
      <c r="P860" t="n">
        <v>0</v>
      </c>
      <c r="Q860" t="n">
        <v>0</v>
      </c>
      <c r="R860" s="2" t="inlineStr"/>
    </row>
    <row r="861" ht="15" customHeight="1">
      <c r="A861" t="inlineStr">
        <is>
          <t>A 62694-2022</t>
        </is>
      </c>
      <c r="B861" s="1" t="n">
        <v>44925</v>
      </c>
      <c r="C861" s="1" t="n">
        <v>45587</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62708-2022</t>
        </is>
      </c>
      <c r="B862" s="1" t="n">
        <v>44925</v>
      </c>
      <c r="C862" s="1" t="n">
        <v>45587</v>
      </c>
      <c r="D862" t="inlineStr">
        <is>
          <t>JÄMTLANDS LÄN</t>
        </is>
      </c>
      <c r="E862" t="inlineStr">
        <is>
          <t>HÄRJEDALEN</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v>
      </c>
      <c r="C863" s="1" t="n">
        <v>45587</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62684-2022</t>
        </is>
      </c>
      <c r="B864" s="1" t="n">
        <v>44925</v>
      </c>
      <c r="C864" s="1" t="n">
        <v>45587</v>
      </c>
      <c r="D864" t="inlineStr">
        <is>
          <t>JÄMTLANDS LÄN</t>
        </is>
      </c>
      <c r="E864" t="inlineStr">
        <is>
          <t>HÄRJEDALEN</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62699-2022</t>
        </is>
      </c>
      <c r="B865" s="1" t="n">
        <v>44925</v>
      </c>
      <c r="C865" s="1" t="n">
        <v>45587</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62706-2022</t>
        </is>
      </c>
      <c r="B866" s="1" t="n">
        <v>44925</v>
      </c>
      <c r="C866" s="1" t="n">
        <v>45587</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62721-2022</t>
        </is>
      </c>
      <c r="B867" s="1" t="n">
        <v>44925</v>
      </c>
      <c r="C867" s="1" t="n">
        <v>45587</v>
      </c>
      <c r="D867" t="inlineStr">
        <is>
          <t>JÄMTLANDS LÄN</t>
        </is>
      </c>
      <c r="E867" t="inlineStr">
        <is>
          <t>HÄRJEDALEN</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105-2023</t>
        </is>
      </c>
      <c r="B868" s="1" t="n">
        <v>44928</v>
      </c>
      <c r="C868" s="1" t="n">
        <v>45587</v>
      </c>
      <c r="D868" t="inlineStr">
        <is>
          <t>JÄMTLANDS LÄN</t>
        </is>
      </c>
      <c r="E868" t="inlineStr">
        <is>
          <t>HÄRJEDALEN</t>
        </is>
      </c>
      <c r="F868" t="inlineStr">
        <is>
          <t>Holmen skog AB</t>
        </is>
      </c>
      <c r="G868" t="n">
        <v>17.5</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45587</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v>
      </c>
      <c r="C870" s="1" t="n">
        <v>45587</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78-2023</t>
        </is>
      </c>
      <c r="B871" s="1" t="n">
        <v>44928</v>
      </c>
      <c r="C871" s="1" t="n">
        <v>45587</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103-2023</t>
        </is>
      </c>
      <c r="B872" s="1" t="n">
        <v>44928</v>
      </c>
      <c r="C872" s="1" t="n">
        <v>45587</v>
      </c>
      <c r="D872" t="inlineStr">
        <is>
          <t>JÄMTLANDS LÄN</t>
        </is>
      </c>
      <c r="E872" t="inlineStr">
        <is>
          <t>HÄRJEDALEN</t>
        </is>
      </c>
      <c r="F872" t="inlineStr">
        <is>
          <t>Holmen skog AB</t>
        </is>
      </c>
      <c r="G872" t="n">
        <v>6.9</v>
      </c>
      <c r="H872" t="n">
        <v>0</v>
      </c>
      <c r="I872" t="n">
        <v>0</v>
      </c>
      <c r="J872" t="n">
        <v>0</v>
      </c>
      <c r="K872" t="n">
        <v>0</v>
      </c>
      <c r="L872" t="n">
        <v>0</v>
      </c>
      <c r="M872" t="n">
        <v>0</v>
      </c>
      <c r="N872" t="n">
        <v>0</v>
      </c>
      <c r="O872" t="n">
        <v>0</v>
      </c>
      <c r="P872" t="n">
        <v>0</v>
      </c>
      <c r="Q872" t="n">
        <v>0</v>
      </c>
      <c r="R872" s="2" t="inlineStr"/>
    </row>
    <row r="873" ht="15" customHeight="1">
      <c r="A873" t="inlineStr">
        <is>
          <t>A 166-2023</t>
        </is>
      </c>
      <c r="B873" s="1" t="n">
        <v>44928</v>
      </c>
      <c r="C873" s="1" t="n">
        <v>45587</v>
      </c>
      <c r="D873" t="inlineStr">
        <is>
          <t>JÄMTLANDS LÄN</t>
        </is>
      </c>
      <c r="E873" t="inlineStr">
        <is>
          <t>HÄRJEDALEN</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176-2023</t>
        </is>
      </c>
      <c r="B874" s="1" t="n">
        <v>44928</v>
      </c>
      <c r="C874" s="1" t="n">
        <v>45587</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171-2023</t>
        </is>
      </c>
      <c r="B875" s="1" t="n">
        <v>44928</v>
      </c>
      <c r="C875" s="1" t="n">
        <v>45587</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1907-2023</t>
        </is>
      </c>
      <c r="B876" s="1" t="n">
        <v>44939</v>
      </c>
      <c r="C876" s="1" t="n">
        <v>45587</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v>
      </c>
      <c r="C877" s="1" t="n">
        <v>45587</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4196-2023</t>
        </is>
      </c>
      <c r="B878" s="1" t="n">
        <v>44953</v>
      </c>
      <c r="C878" s="1" t="n">
        <v>45587</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4694-2023</t>
        </is>
      </c>
      <c r="B879" s="1" t="n">
        <v>44957</v>
      </c>
      <c r="C879" s="1" t="n">
        <v>45587</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4712-2023</t>
        </is>
      </c>
      <c r="B880" s="1" t="n">
        <v>44957</v>
      </c>
      <c r="C880" s="1" t="n">
        <v>45587</v>
      </c>
      <c r="D880" t="inlineStr">
        <is>
          <t>JÄMTLANDS LÄN</t>
        </is>
      </c>
      <c r="E880" t="inlineStr">
        <is>
          <t>HÄRJEDALEN</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4711-2023</t>
        </is>
      </c>
      <c r="B881" s="1" t="n">
        <v>44957</v>
      </c>
      <c r="C881" s="1" t="n">
        <v>45587</v>
      </c>
      <c r="D881" t="inlineStr">
        <is>
          <t>JÄMTLANDS LÄN</t>
        </is>
      </c>
      <c r="E881" t="inlineStr">
        <is>
          <t>HÄRJEDALEN</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4782-2023</t>
        </is>
      </c>
      <c r="B882" s="1" t="n">
        <v>44957</v>
      </c>
      <c r="C882" s="1" t="n">
        <v>45587</v>
      </c>
      <c r="D882" t="inlineStr">
        <is>
          <t>JÄMTLANDS LÄN</t>
        </is>
      </c>
      <c r="E882" t="inlineStr">
        <is>
          <t>HÄRJEDALEN</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5013-2023</t>
        </is>
      </c>
      <c r="B883" s="1" t="n">
        <v>44958</v>
      </c>
      <c r="C883" s="1" t="n">
        <v>45587</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5640-2023</t>
        </is>
      </c>
      <c r="B884" s="1" t="n">
        <v>44960</v>
      </c>
      <c r="C884" s="1" t="n">
        <v>45587</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6001-2023</t>
        </is>
      </c>
      <c r="B885" s="1" t="n">
        <v>44964</v>
      </c>
      <c r="C885" s="1" t="n">
        <v>45587</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6124-2023</t>
        </is>
      </c>
      <c r="B886" s="1" t="n">
        <v>44964</v>
      </c>
      <c r="C886" s="1" t="n">
        <v>45587</v>
      </c>
      <c r="D886" t="inlineStr">
        <is>
          <t>JÄMTLANDS LÄN</t>
        </is>
      </c>
      <c r="E886" t="inlineStr">
        <is>
          <t>HÄRJEDALEN</t>
        </is>
      </c>
      <c r="G886" t="n">
        <v>20</v>
      </c>
      <c r="H886" t="n">
        <v>0</v>
      </c>
      <c r="I886" t="n">
        <v>0</v>
      </c>
      <c r="J886" t="n">
        <v>0</v>
      </c>
      <c r="K886" t="n">
        <v>0</v>
      </c>
      <c r="L886" t="n">
        <v>0</v>
      </c>
      <c r="M886" t="n">
        <v>0</v>
      </c>
      <c r="N886" t="n">
        <v>0</v>
      </c>
      <c r="O886" t="n">
        <v>0</v>
      </c>
      <c r="P886" t="n">
        <v>0</v>
      </c>
      <c r="Q886" t="n">
        <v>0</v>
      </c>
      <c r="R886" s="2" t="inlineStr"/>
    </row>
    <row r="887" ht="15" customHeight="1">
      <c r="A887" t="inlineStr">
        <is>
          <t>A 7636-2023</t>
        </is>
      </c>
      <c r="B887" s="1" t="n">
        <v>44972</v>
      </c>
      <c r="C887" s="1" t="n">
        <v>45587</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8365-2023</t>
        </is>
      </c>
      <c r="B888" s="1" t="n">
        <v>44977</v>
      </c>
      <c r="C888" s="1" t="n">
        <v>45587</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8420-2023</t>
        </is>
      </c>
      <c r="B889" s="1" t="n">
        <v>44977</v>
      </c>
      <c r="C889" s="1" t="n">
        <v>45587</v>
      </c>
      <c r="D889" t="inlineStr">
        <is>
          <t>JÄMTLANDS LÄN</t>
        </is>
      </c>
      <c r="E889" t="inlineStr">
        <is>
          <t>HÄRJEDALEN</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8577-2023</t>
        </is>
      </c>
      <c r="B890" s="1" t="n">
        <v>44977</v>
      </c>
      <c r="C890" s="1" t="n">
        <v>45587</v>
      </c>
      <c r="D890" t="inlineStr">
        <is>
          <t>JÄMTLANDS LÄN</t>
        </is>
      </c>
      <c r="E890" t="inlineStr">
        <is>
          <t>HÄRJEDALEN</t>
        </is>
      </c>
      <c r="G890" t="n">
        <v>19.6</v>
      </c>
      <c r="H890" t="n">
        <v>0</v>
      </c>
      <c r="I890" t="n">
        <v>0</v>
      </c>
      <c r="J890" t="n">
        <v>0</v>
      </c>
      <c r="K890" t="n">
        <v>0</v>
      </c>
      <c r="L890" t="n">
        <v>0</v>
      </c>
      <c r="M890" t="n">
        <v>0</v>
      </c>
      <c r="N890" t="n">
        <v>0</v>
      </c>
      <c r="O890" t="n">
        <v>0</v>
      </c>
      <c r="P890" t="n">
        <v>0</v>
      </c>
      <c r="Q890" t="n">
        <v>0</v>
      </c>
      <c r="R890" s="2" t="inlineStr"/>
    </row>
    <row r="891" ht="15" customHeight="1">
      <c r="A891" t="inlineStr">
        <is>
          <t>A 8804-2023</t>
        </is>
      </c>
      <c r="B891" s="1" t="n">
        <v>44978</v>
      </c>
      <c r="C891" s="1" t="n">
        <v>45587</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9188-2023</t>
        </is>
      </c>
      <c r="B892" s="1" t="n">
        <v>44980</v>
      </c>
      <c r="C892" s="1" t="n">
        <v>45587</v>
      </c>
      <c r="D892" t="inlineStr">
        <is>
          <t>JÄMTLANDS LÄN</t>
        </is>
      </c>
      <c r="E892" t="inlineStr">
        <is>
          <t>HÄRJEDALEN</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9998-2023</t>
        </is>
      </c>
      <c r="B893" s="1" t="n">
        <v>44985</v>
      </c>
      <c r="C893" s="1" t="n">
        <v>45587</v>
      </c>
      <c r="D893" t="inlineStr">
        <is>
          <t>JÄMTLANDS LÄN</t>
        </is>
      </c>
      <c r="E893" t="inlineStr">
        <is>
          <t>HÄRJEDALEN</t>
        </is>
      </c>
      <c r="F893" t="inlineStr">
        <is>
          <t>Holmen skog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10002-2023</t>
        </is>
      </c>
      <c r="B894" s="1" t="n">
        <v>44985</v>
      </c>
      <c r="C894" s="1" t="n">
        <v>45587</v>
      </c>
      <c r="D894" t="inlineStr">
        <is>
          <t>JÄMTLANDS LÄN</t>
        </is>
      </c>
      <c r="E894" t="inlineStr">
        <is>
          <t>HÄRJEDALEN</t>
        </is>
      </c>
      <c r="F894" t="inlineStr">
        <is>
          <t>Holmen skog AB</t>
        </is>
      </c>
      <c r="G894" t="n">
        <v>8.6</v>
      </c>
      <c r="H894" t="n">
        <v>0</v>
      </c>
      <c r="I894" t="n">
        <v>0</v>
      </c>
      <c r="J894" t="n">
        <v>0</v>
      </c>
      <c r="K894" t="n">
        <v>0</v>
      </c>
      <c r="L894" t="n">
        <v>0</v>
      </c>
      <c r="M894" t="n">
        <v>0</v>
      </c>
      <c r="N894" t="n">
        <v>0</v>
      </c>
      <c r="O894" t="n">
        <v>0</v>
      </c>
      <c r="P894" t="n">
        <v>0</v>
      </c>
      <c r="Q894" t="n">
        <v>0</v>
      </c>
      <c r="R894" s="2" t="inlineStr"/>
    </row>
    <row r="895" ht="15" customHeight="1">
      <c r="A895" t="inlineStr">
        <is>
          <t>A 10006-2023</t>
        </is>
      </c>
      <c r="B895" s="1" t="n">
        <v>44985</v>
      </c>
      <c r="C895" s="1" t="n">
        <v>45587</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10000-2023</t>
        </is>
      </c>
      <c r="B896" s="1" t="n">
        <v>44985</v>
      </c>
      <c r="C896" s="1" t="n">
        <v>45587</v>
      </c>
      <c r="D896" t="inlineStr">
        <is>
          <t>JÄMTLANDS LÄN</t>
        </is>
      </c>
      <c r="E896" t="inlineStr">
        <is>
          <t>HÄRJEDALEN</t>
        </is>
      </c>
      <c r="F896" t="inlineStr">
        <is>
          <t>Holmen skog AB</t>
        </is>
      </c>
      <c r="G896" t="n">
        <v>12.6</v>
      </c>
      <c r="H896" t="n">
        <v>0</v>
      </c>
      <c r="I896" t="n">
        <v>0</v>
      </c>
      <c r="J896" t="n">
        <v>0</v>
      </c>
      <c r="K896" t="n">
        <v>0</v>
      </c>
      <c r="L896" t="n">
        <v>0</v>
      </c>
      <c r="M896" t="n">
        <v>0</v>
      </c>
      <c r="N896" t="n">
        <v>0</v>
      </c>
      <c r="O896" t="n">
        <v>0</v>
      </c>
      <c r="P896" t="n">
        <v>0</v>
      </c>
      <c r="Q896" t="n">
        <v>0</v>
      </c>
      <c r="R896" s="2" t="inlineStr"/>
    </row>
    <row r="897" ht="15" customHeight="1">
      <c r="A897" t="inlineStr">
        <is>
          <t>A 9997-2023</t>
        </is>
      </c>
      <c r="B897" s="1" t="n">
        <v>44985</v>
      </c>
      <c r="C897" s="1" t="n">
        <v>45587</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10014-2023</t>
        </is>
      </c>
      <c r="B898" s="1" t="n">
        <v>44985</v>
      </c>
      <c r="C898" s="1" t="n">
        <v>45587</v>
      </c>
      <c r="D898" t="inlineStr">
        <is>
          <t>JÄMTLANDS LÄN</t>
        </is>
      </c>
      <c r="E898" t="inlineStr">
        <is>
          <t>HÄRJEDALEN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10008-2023</t>
        </is>
      </c>
      <c r="B899" s="1" t="n">
        <v>44985</v>
      </c>
      <c r="C899" s="1" t="n">
        <v>45587</v>
      </c>
      <c r="D899" t="inlineStr">
        <is>
          <t>JÄMTLANDS LÄN</t>
        </is>
      </c>
      <c r="E899" t="inlineStr">
        <is>
          <t>HÄRJEDALEN</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10046-2023</t>
        </is>
      </c>
      <c r="B900" s="1" t="n">
        <v>44985</v>
      </c>
      <c r="C900" s="1" t="n">
        <v>45587</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10015-2023</t>
        </is>
      </c>
      <c r="B901" s="1" t="n">
        <v>44985</v>
      </c>
      <c r="C901" s="1" t="n">
        <v>45587</v>
      </c>
      <c r="D901" t="inlineStr">
        <is>
          <t>JÄMTLANDS LÄN</t>
        </is>
      </c>
      <c r="E901" t="inlineStr">
        <is>
          <t>HÄRJEDALEN</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10043-2023</t>
        </is>
      </c>
      <c r="B902" s="1" t="n">
        <v>44985</v>
      </c>
      <c r="C902" s="1" t="n">
        <v>45587</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9993-2023</t>
        </is>
      </c>
      <c r="B903" s="1" t="n">
        <v>44985</v>
      </c>
      <c r="C903" s="1" t="n">
        <v>45587</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10003-2023</t>
        </is>
      </c>
      <c r="B904" s="1" t="n">
        <v>44985</v>
      </c>
      <c r="C904" s="1" t="n">
        <v>45587</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10007-2023</t>
        </is>
      </c>
      <c r="B905" s="1" t="n">
        <v>44985</v>
      </c>
      <c r="C905" s="1" t="n">
        <v>45587</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10012-2023</t>
        </is>
      </c>
      <c r="B906" s="1" t="n">
        <v>44985</v>
      </c>
      <c r="C906" s="1" t="n">
        <v>45587</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10040-2023</t>
        </is>
      </c>
      <c r="B907" s="1" t="n">
        <v>44985</v>
      </c>
      <c r="C907" s="1" t="n">
        <v>45587</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10329-2023</t>
        </is>
      </c>
      <c r="B908" s="1" t="n">
        <v>44987</v>
      </c>
      <c r="C908" s="1" t="n">
        <v>45587</v>
      </c>
      <c r="D908" t="inlineStr">
        <is>
          <t>JÄMTLANDS LÄN</t>
        </is>
      </c>
      <c r="E908" t="inlineStr">
        <is>
          <t>HÄRJEDALEN</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10353-2023</t>
        </is>
      </c>
      <c r="B909" s="1" t="n">
        <v>44987</v>
      </c>
      <c r="C909" s="1" t="n">
        <v>45587</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10342-2023</t>
        </is>
      </c>
      <c r="B910" s="1" t="n">
        <v>44987</v>
      </c>
      <c r="C910" s="1" t="n">
        <v>45587</v>
      </c>
      <c r="D910" t="inlineStr">
        <is>
          <t>JÄMTLANDS LÄN</t>
        </is>
      </c>
      <c r="E910" t="inlineStr">
        <is>
          <t>HÄRJEDALEN</t>
        </is>
      </c>
      <c r="F910" t="inlineStr">
        <is>
          <t>Holmen skog AB</t>
        </is>
      </c>
      <c r="G910" t="n">
        <v>32.6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v>
      </c>
      <c r="C911" s="1" t="n">
        <v>45587</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10348-2023</t>
        </is>
      </c>
      <c r="B912" s="1" t="n">
        <v>44987</v>
      </c>
      <c r="C912" s="1" t="n">
        <v>45587</v>
      </c>
      <c r="D912" t="inlineStr">
        <is>
          <t>JÄMTLANDS LÄN</t>
        </is>
      </c>
      <c r="E912" t="inlineStr">
        <is>
          <t>HÄRJEDALEN</t>
        </is>
      </c>
      <c r="F912" t="inlineStr">
        <is>
          <t>Holmen skog AB</t>
        </is>
      </c>
      <c r="G912" t="n">
        <v>17.8</v>
      </c>
      <c r="H912" t="n">
        <v>0</v>
      </c>
      <c r="I912" t="n">
        <v>0</v>
      </c>
      <c r="J912" t="n">
        <v>0</v>
      </c>
      <c r="K912" t="n">
        <v>0</v>
      </c>
      <c r="L912" t="n">
        <v>0</v>
      </c>
      <c r="M912" t="n">
        <v>0</v>
      </c>
      <c r="N912" t="n">
        <v>0</v>
      </c>
      <c r="O912" t="n">
        <v>0</v>
      </c>
      <c r="P912" t="n">
        <v>0</v>
      </c>
      <c r="Q912" t="n">
        <v>0</v>
      </c>
      <c r="R912" s="2" t="inlineStr"/>
    </row>
    <row r="913" ht="15" customHeight="1">
      <c r="A913" t="inlineStr">
        <is>
          <t>A 10338-2023</t>
        </is>
      </c>
      <c r="B913" s="1" t="n">
        <v>44987</v>
      </c>
      <c r="C913" s="1" t="n">
        <v>45587</v>
      </c>
      <c r="D913" t="inlineStr">
        <is>
          <t>JÄMTLANDS LÄN</t>
        </is>
      </c>
      <c r="E913" t="inlineStr">
        <is>
          <t>HÄRJEDALEN</t>
        </is>
      </c>
      <c r="F913" t="inlineStr">
        <is>
          <t>Holmen skog AB</t>
        </is>
      </c>
      <c r="G913" t="n">
        <v>11.8</v>
      </c>
      <c r="H913" t="n">
        <v>0</v>
      </c>
      <c r="I913" t="n">
        <v>0</v>
      </c>
      <c r="J913" t="n">
        <v>0</v>
      </c>
      <c r="K913" t="n">
        <v>0</v>
      </c>
      <c r="L913" t="n">
        <v>0</v>
      </c>
      <c r="M913" t="n">
        <v>0</v>
      </c>
      <c r="N913" t="n">
        <v>0</v>
      </c>
      <c r="O913" t="n">
        <v>0</v>
      </c>
      <c r="P913" t="n">
        <v>0</v>
      </c>
      <c r="Q913" t="n">
        <v>0</v>
      </c>
      <c r="R913" s="2" t="inlineStr"/>
    </row>
    <row r="914" ht="15" customHeight="1">
      <c r="A914" t="inlineStr">
        <is>
          <t>A 11448-2023</t>
        </is>
      </c>
      <c r="B914" s="1" t="n">
        <v>44993</v>
      </c>
      <c r="C914" s="1" t="n">
        <v>45587</v>
      </c>
      <c r="D914" t="inlineStr">
        <is>
          <t>JÄMTLANDS LÄN</t>
        </is>
      </c>
      <c r="E914" t="inlineStr">
        <is>
          <t>HÄRJEDALEN</t>
        </is>
      </c>
      <c r="G914" t="n">
        <v>12.1</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45587</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45587</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12462-2023</t>
        </is>
      </c>
      <c r="B917" s="1" t="n">
        <v>44999</v>
      </c>
      <c r="C917" s="1" t="n">
        <v>45587</v>
      </c>
      <c r="D917" t="inlineStr">
        <is>
          <t>JÄMTLANDS LÄN</t>
        </is>
      </c>
      <c r="E917" t="inlineStr">
        <is>
          <t>HÄRJEDALEN</t>
        </is>
      </c>
      <c r="G917" t="n">
        <v>7.8</v>
      </c>
      <c r="H917" t="n">
        <v>0</v>
      </c>
      <c r="I917" t="n">
        <v>0</v>
      </c>
      <c r="J917" t="n">
        <v>0</v>
      </c>
      <c r="K917" t="n">
        <v>0</v>
      </c>
      <c r="L917" t="n">
        <v>0</v>
      </c>
      <c r="M917" t="n">
        <v>0</v>
      </c>
      <c r="N917" t="n">
        <v>0</v>
      </c>
      <c r="O917" t="n">
        <v>0</v>
      </c>
      <c r="P917" t="n">
        <v>0</v>
      </c>
      <c r="Q917" t="n">
        <v>0</v>
      </c>
      <c r="R917" s="2" t="inlineStr"/>
    </row>
    <row r="918" ht="15" customHeight="1">
      <c r="A918" t="inlineStr">
        <is>
          <t>A 12625-2023</t>
        </is>
      </c>
      <c r="B918" s="1" t="n">
        <v>45000</v>
      </c>
      <c r="C918" s="1" t="n">
        <v>45587</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12921-2023</t>
        </is>
      </c>
      <c r="B919" s="1" t="n">
        <v>45001</v>
      </c>
      <c r="C919" s="1" t="n">
        <v>45587</v>
      </c>
      <c r="D919" t="inlineStr">
        <is>
          <t>JÄMTLANDS LÄN</t>
        </is>
      </c>
      <c r="E919" t="inlineStr">
        <is>
          <t>HÄRJEDALEN</t>
        </is>
      </c>
      <c r="G919" t="n">
        <v>13.9</v>
      </c>
      <c r="H919" t="n">
        <v>0</v>
      </c>
      <c r="I919" t="n">
        <v>0</v>
      </c>
      <c r="J919" t="n">
        <v>0</v>
      </c>
      <c r="K919" t="n">
        <v>0</v>
      </c>
      <c r="L919" t="n">
        <v>0</v>
      </c>
      <c r="M919" t="n">
        <v>0</v>
      </c>
      <c r="N919" t="n">
        <v>0</v>
      </c>
      <c r="O919" t="n">
        <v>0</v>
      </c>
      <c r="P919" t="n">
        <v>0</v>
      </c>
      <c r="Q919" t="n">
        <v>0</v>
      </c>
      <c r="R919" s="2" t="inlineStr"/>
    </row>
    <row r="920" ht="15" customHeight="1">
      <c r="A920" t="inlineStr">
        <is>
          <t>A 13774-2023</t>
        </is>
      </c>
      <c r="B920" s="1" t="n">
        <v>45007</v>
      </c>
      <c r="C920" s="1" t="n">
        <v>45587</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14631-2023</t>
        </is>
      </c>
      <c r="B921" s="1" t="n">
        <v>45012</v>
      </c>
      <c r="C921" s="1" t="n">
        <v>45587</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15511-2023</t>
        </is>
      </c>
      <c r="B922" s="1" t="n">
        <v>45020</v>
      </c>
      <c r="C922" s="1" t="n">
        <v>45587</v>
      </c>
      <c r="D922" t="inlineStr">
        <is>
          <t>JÄMTLANDS LÄN</t>
        </is>
      </c>
      <c r="E922" t="inlineStr">
        <is>
          <t>HÄRJEDALEN</t>
        </is>
      </c>
      <c r="G922" t="n">
        <v>14.6</v>
      </c>
      <c r="H922" t="n">
        <v>0</v>
      </c>
      <c r="I922" t="n">
        <v>0</v>
      </c>
      <c r="J922" t="n">
        <v>0</v>
      </c>
      <c r="K922" t="n">
        <v>0</v>
      </c>
      <c r="L922" t="n">
        <v>0</v>
      </c>
      <c r="M922" t="n">
        <v>0</v>
      </c>
      <c r="N922" t="n">
        <v>0</v>
      </c>
      <c r="O922" t="n">
        <v>0</v>
      </c>
      <c r="P922" t="n">
        <v>0</v>
      </c>
      <c r="Q922" t="n">
        <v>0</v>
      </c>
      <c r="R922" s="2" t="inlineStr"/>
    </row>
    <row r="923" ht="15" customHeight="1">
      <c r="A923" t="inlineStr">
        <is>
          <t>A 15747-2023</t>
        </is>
      </c>
      <c r="B923" s="1" t="n">
        <v>45020</v>
      </c>
      <c r="C923" s="1" t="n">
        <v>45587</v>
      </c>
      <c r="D923" t="inlineStr">
        <is>
          <t>JÄMTLANDS LÄN</t>
        </is>
      </c>
      <c r="E923" t="inlineStr">
        <is>
          <t>HÄRJEDALEN</t>
        </is>
      </c>
      <c r="G923" t="n">
        <v>0.1</v>
      </c>
      <c r="H923" t="n">
        <v>0</v>
      </c>
      <c r="I923" t="n">
        <v>0</v>
      </c>
      <c r="J923" t="n">
        <v>0</v>
      </c>
      <c r="K923" t="n">
        <v>0</v>
      </c>
      <c r="L923" t="n">
        <v>0</v>
      </c>
      <c r="M923" t="n">
        <v>0</v>
      </c>
      <c r="N923" t="n">
        <v>0</v>
      </c>
      <c r="O923" t="n">
        <v>0</v>
      </c>
      <c r="P923" t="n">
        <v>0</v>
      </c>
      <c r="Q923" t="n">
        <v>0</v>
      </c>
      <c r="R923" s="2" t="inlineStr"/>
    </row>
    <row r="924" ht="15" customHeight="1">
      <c r="A924" t="inlineStr">
        <is>
          <t>A 16115-2023</t>
        </is>
      </c>
      <c r="B924" s="1" t="n">
        <v>45027</v>
      </c>
      <c r="C924" s="1" t="n">
        <v>45587</v>
      </c>
      <c r="D924" t="inlineStr">
        <is>
          <t>JÄMTLANDS LÄN</t>
        </is>
      </c>
      <c r="E924" t="inlineStr">
        <is>
          <t>HÄRJEDALEN</t>
        </is>
      </c>
      <c r="G924" t="n">
        <v>26</v>
      </c>
      <c r="H924" t="n">
        <v>0</v>
      </c>
      <c r="I924" t="n">
        <v>0</v>
      </c>
      <c r="J924" t="n">
        <v>0</v>
      </c>
      <c r="K924" t="n">
        <v>0</v>
      </c>
      <c r="L924" t="n">
        <v>0</v>
      </c>
      <c r="M924" t="n">
        <v>0</v>
      </c>
      <c r="N924" t="n">
        <v>0</v>
      </c>
      <c r="O924" t="n">
        <v>0</v>
      </c>
      <c r="P924" t="n">
        <v>0</v>
      </c>
      <c r="Q924" t="n">
        <v>0</v>
      </c>
      <c r="R924" s="2" t="inlineStr"/>
    </row>
    <row r="925" ht="15" customHeight="1">
      <c r="A925" t="inlineStr">
        <is>
          <t>A 16468-2023</t>
        </is>
      </c>
      <c r="B925" s="1" t="n">
        <v>45029</v>
      </c>
      <c r="C925" s="1" t="n">
        <v>45587</v>
      </c>
      <c r="D925" t="inlineStr">
        <is>
          <t>JÄMTLANDS LÄN</t>
        </is>
      </c>
      <c r="E925" t="inlineStr">
        <is>
          <t>HÄRJEDALEN</t>
        </is>
      </c>
      <c r="G925" t="n">
        <v>6.7</v>
      </c>
      <c r="H925" t="n">
        <v>0</v>
      </c>
      <c r="I925" t="n">
        <v>0</v>
      </c>
      <c r="J925" t="n">
        <v>0</v>
      </c>
      <c r="K925" t="n">
        <v>0</v>
      </c>
      <c r="L925" t="n">
        <v>0</v>
      </c>
      <c r="M925" t="n">
        <v>0</v>
      </c>
      <c r="N925" t="n">
        <v>0</v>
      </c>
      <c r="O925" t="n">
        <v>0</v>
      </c>
      <c r="P925" t="n">
        <v>0</v>
      </c>
      <c r="Q925" t="n">
        <v>0</v>
      </c>
      <c r="R925" s="2" t="inlineStr"/>
    </row>
    <row r="926" ht="15" customHeight="1">
      <c r="A926" t="inlineStr">
        <is>
          <t>A 17121-2023</t>
        </is>
      </c>
      <c r="B926" s="1" t="n">
        <v>45034</v>
      </c>
      <c r="C926" s="1" t="n">
        <v>45587</v>
      </c>
      <c r="D926" t="inlineStr">
        <is>
          <t>JÄMTLANDS LÄN</t>
        </is>
      </c>
      <c r="E926" t="inlineStr">
        <is>
          <t>HÄRJEDALEN</t>
        </is>
      </c>
      <c r="G926" t="n">
        <v>6.4</v>
      </c>
      <c r="H926" t="n">
        <v>0</v>
      </c>
      <c r="I926" t="n">
        <v>0</v>
      </c>
      <c r="J926" t="n">
        <v>0</v>
      </c>
      <c r="K926" t="n">
        <v>0</v>
      </c>
      <c r="L926" t="n">
        <v>0</v>
      </c>
      <c r="M926" t="n">
        <v>0</v>
      </c>
      <c r="N926" t="n">
        <v>0</v>
      </c>
      <c r="O926" t="n">
        <v>0</v>
      </c>
      <c r="P926" t="n">
        <v>0</v>
      </c>
      <c r="Q926" t="n">
        <v>0</v>
      </c>
      <c r="R926" s="2" t="inlineStr"/>
    </row>
    <row r="927" ht="15" customHeight="1">
      <c r="A927" t="inlineStr">
        <is>
          <t>A 17105-2023</t>
        </is>
      </c>
      <c r="B927" s="1" t="n">
        <v>45034</v>
      </c>
      <c r="C927" s="1" t="n">
        <v>45587</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17122-2023</t>
        </is>
      </c>
      <c r="B928" s="1" t="n">
        <v>45034</v>
      </c>
      <c r="C928" s="1" t="n">
        <v>45587</v>
      </c>
      <c r="D928" t="inlineStr">
        <is>
          <t>JÄMTLANDS LÄN</t>
        </is>
      </c>
      <c r="E928" t="inlineStr">
        <is>
          <t>HÄRJEDALEN</t>
        </is>
      </c>
      <c r="G928" t="n">
        <v>3.8</v>
      </c>
      <c r="H928" t="n">
        <v>0</v>
      </c>
      <c r="I928" t="n">
        <v>0</v>
      </c>
      <c r="J928" t="n">
        <v>0</v>
      </c>
      <c r="K928" t="n">
        <v>0</v>
      </c>
      <c r="L928" t="n">
        <v>0</v>
      </c>
      <c r="M928" t="n">
        <v>0</v>
      </c>
      <c r="N928" t="n">
        <v>0</v>
      </c>
      <c r="O928" t="n">
        <v>0</v>
      </c>
      <c r="P928" t="n">
        <v>0</v>
      </c>
      <c r="Q928" t="n">
        <v>0</v>
      </c>
      <c r="R928" s="2" t="inlineStr"/>
    </row>
    <row r="929" ht="15" customHeight="1">
      <c r="A929" t="inlineStr">
        <is>
          <t>A 17153-2023</t>
        </is>
      </c>
      <c r="B929" s="1" t="n">
        <v>45034</v>
      </c>
      <c r="C929" s="1" t="n">
        <v>45587</v>
      </c>
      <c r="D929" t="inlineStr">
        <is>
          <t>JÄMTLANDS LÄN</t>
        </is>
      </c>
      <c r="E929" t="inlineStr">
        <is>
          <t>HÄRJEDALEN</t>
        </is>
      </c>
      <c r="G929" t="n">
        <v>5.6</v>
      </c>
      <c r="H929" t="n">
        <v>0</v>
      </c>
      <c r="I929" t="n">
        <v>0</v>
      </c>
      <c r="J929" t="n">
        <v>0</v>
      </c>
      <c r="K929" t="n">
        <v>0</v>
      </c>
      <c r="L929" t="n">
        <v>0</v>
      </c>
      <c r="M929" t="n">
        <v>0</v>
      </c>
      <c r="N929" t="n">
        <v>0</v>
      </c>
      <c r="O929" t="n">
        <v>0</v>
      </c>
      <c r="P929" t="n">
        <v>0</v>
      </c>
      <c r="Q929" t="n">
        <v>0</v>
      </c>
      <c r="R929" s="2" t="inlineStr"/>
    </row>
    <row r="930" ht="15" customHeight="1">
      <c r="A930" t="inlineStr">
        <is>
          <t>A 17118-2023</t>
        </is>
      </c>
      <c r="B930" s="1" t="n">
        <v>45034</v>
      </c>
      <c r="C930" s="1" t="n">
        <v>45587</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17238-2023</t>
        </is>
      </c>
      <c r="B931" s="1" t="n">
        <v>45035</v>
      </c>
      <c r="C931" s="1" t="n">
        <v>45587</v>
      </c>
      <c r="D931" t="inlineStr">
        <is>
          <t>JÄMTLANDS LÄN</t>
        </is>
      </c>
      <c r="E931" t="inlineStr">
        <is>
          <t>HÄRJEDALEN</t>
        </is>
      </c>
      <c r="G931" t="n">
        <v>3.1</v>
      </c>
      <c r="H931" t="n">
        <v>0</v>
      </c>
      <c r="I931" t="n">
        <v>0</v>
      </c>
      <c r="J931" t="n">
        <v>0</v>
      </c>
      <c r="K931" t="n">
        <v>0</v>
      </c>
      <c r="L931" t="n">
        <v>0</v>
      </c>
      <c r="M931" t="n">
        <v>0</v>
      </c>
      <c r="N931" t="n">
        <v>0</v>
      </c>
      <c r="O931" t="n">
        <v>0</v>
      </c>
      <c r="P931" t="n">
        <v>0</v>
      </c>
      <c r="Q931" t="n">
        <v>0</v>
      </c>
      <c r="R931" s="2" t="inlineStr"/>
    </row>
    <row r="932" ht="15" customHeight="1">
      <c r="A932" t="inlineStr">
        <is>
          <t>A 17246-2023</t>
        </is>
      </c>
      <c r="B932" s="1" t="n">
        <v>45035</v>
      </c>
      <c r="C932" s="1" t="n">
        <v>45587</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17232-2023</t>
        </is>
      </c>
      <c r="B933" s="1" t="n">
        <v>45035</v>
      </c>
      <c r="C933" s="1" t="n">
        <v>45587</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17368-2023</t>
        </is>
      </c>
      <c r="B934" s="1" t="n">
        <v>45035</v>
      </c>
      <c r="C934" s="1" t="n">
        <v>45587</v>
      </c>
      <c r="D934" t="inlineStr">
        <is>
          <t>JÄMTLANDS LÄN</t>
        </is>
      </c>
      <c r="E934" t="inlineStr">
        <is>
          <t>HÄRJEDALEN</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18334-2023</t>
        </is>
      </c>
      <c r="B935" s="1" t="n">
        <v>45041</v>
      </c>
      <c r="C935" s="1" t="n">
        <v>45587</v>
      </c>
      <c r="D935" t="inlineStr">
        <is>
          <t>JÄMTLANDS LÄN</t>
        </is>
      </c>
      <c r="E935" t="inlineStr">
        <is>
          <t>HÄRJEDALEN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18258-2023</t>
        </is>
      </c>
      <c r="B936" s="1" t="n">
        <v>45041</v>
      </c>
      <c r="C936" s="1" t="n">
        <v>45587</v>
      </c>
      <c r="D936" t="inlineStr">
        <is>
          <t>JÄMTLANDS LÄN</t>
        </is>
      </c>
      <c r="E936" t="inlineStr">
        <is>
          <t>HÄRJEDALEN</t>
        </is>
      </c>
      <c r="F936" t="inlineStr">
        <is>
          <t>Bergvik skog väst AB</t>
        </is>
      </c>
      <c r="G936" t="n">
        <v>14.7</v>
      </c>
      <c r="H936" t="n">
        <v>0</v>
      </c>
      <c r="I936" t="n">
        <v>0</v>
      </c>
      <c r="J936" t="n">
        <v>0</v>
      </c>
      <c r="K936" t="n">
        <v>0</v>
      </c>
      <c r="L936" t="n">
        <v>0</v>
      </c>
      <c r="M936" t="n">
        <v>0</v>
      </c>
      <c r="N936" t="n">
        <v>0</v>
      </c>
      <c r="O936" t="n">
        <v>0</v>
      </c>
      <c r="P936" t="n">
        <v>0</v>
      </c>
      <c r="Q936" t="n">
        <v>0</v>
      </c>
      <c r="R936" s="2" t="inlineStr"/>
    </row>
    <row r="937" ht="15" customHeight="1">
      <c r="A937" t="inlineStr">
        <is>
          <t>A 18620-2023</t>
        </is>
      </c>
      <c r="B937" s="1" t="n">
        <v>45041</v>
      </c>
      <c r="C937" s="1" t="n">
        <v>45587</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45587</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18659-2023</t>
        </is>
      </c>
      <c r="B939" s="1" t="n">
        <v>45041</v>
      </c>
      <c r="C939" s="1" t="n">
        <v>45587</v>
      </c>
      <c r="D939" t="inlineStr">
        <is>
          <t>JÄMTLANDS LÄN</t>
        </is>
      </c>
      <c r="E939" t="inlineStr">
        <is>
          <t>HÄRJEDALEN</t>
        </is>
      </c>
      <c r="G939" t="n">
        <v>0.9</v>
      </c>
      <c r="H939" t="n">
        <v>0</v>
      </c>
      <c r="I939" t="n">
        <v>0</v>
      </c>
      <c r="J939" t="n">
        <v>0</v>
      </c>
      <c r="K939" t="n">
        <v>0</v>
      </c>
      <c r="L939" t="n">
        <v>0</v>
      </c>
      <c r="M939" t="n">
        <v>0</v>
      </c>
      <c r="N939" t="n">
        <v>0</v>
      </c>
      <c r="O939" t="n">
        <v>0</v>
      </c>
      <c r="P939" t="n">
        <v>0</v>
      </c>
      <c r="Q939" t="n">
        <v>0</v>
      </c>
      <c r="R939" s="2" t="inlineStr"/>
    </row>
    <row r="940" ht="15" customHeight="1">
      <c r="A940" t="inlineStr">
        <is>
          <t>A 18617-2023</t>
        </is>
      </c>
      <c r="B940" s="1" t="n">
        <v>45043</v>
      </c>
      <c r="C940" s="1" t="n">
        <v>45587</v>
      </c>
      <c r="D940" t="inlineStr">
        <is>
          <t>JÄMTLANDS LÄN</t>
        </is>
      </c>
      <c r="E940" t="inlineStr">
        <is>
          <t>HÄRJEDALEN</t>
        </is>
      </c>
      <c r="G940" t="n">
        <v>15.1</v>
      </c>
      <c r="H940" t="n">
        <v>0</v>
      </c>
      <c r="I940" t="n">
        <v>0</v>
      </c>
      <c r="J940" t="n">
        <v>0</v>
      </c>
      <c r="K940" t="n">
        <v>0</v>
      </c>
      <c r="L940" t="n">
        <v>0</v>
      </c>
      <c r="M940" t="n">
        <v>0</v>
      </c>
      <c r="N940" t="n">
        <v>0</v>
      </c>
      <c r="O940" t="n">
        <v>0</v>
      </c>
      <c r="P940" t="n">
        <v>0</v>
      </c>
      <c r="Q940" t="n">
        <v>0</v>
      </c>
      <c r="R940" s="2" t="inlineStr"/>
    </row>
    <row r="941" ht="15" customHeight="1">
      <c r="A941" t="inlineStr">
        <is>
          <t>A 18875-2023</t>
        </is>
      </c>
      <c r="B941" s="1" t="n">
        <v>45044</v>
      </c>
      <c r="C941" s="1" t="n">
        <v>45587</v>
      </c>
      <c r="D941" t="inlineStr">
        <is>
          <t>JÄMTLANDS LÄN</t>
        </is>
      </c>
      <c r="E941" t="inlineStr">
        <is>
          <t>HÄRJEDALEN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19353-2023</t>
        </is>
      </c>
      <c r="B942" s="1" t="n">
        <v>45049</v>
      </c>
      <c r="C942" s="1" t="n">
        <v>45587</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19337-2023</t>
        </is>
      </c>
      <c r="B943" s="1" t="n">
        <v>45049</v>
      </c>
      <c r="C943" s="1" t="n">
        <v>45587</v>
      </c>
      <c r="D943" t="inlineStr">
        <is>
          <t>JÄMTLANDS LÄN</t>
        </is>
      </c>
      <c r="E943" t="inlineStr">
        <is>
          <t>HÄRJEDALEN</t>
        </is>
      </c>
      <c r="G943" t="n">
        <v>3.6</v>
      </c>
      <c r="H943" t="n">
        <v>0</v>
      </c>
      <c r="I943" t="n">
        <v>0</v>
      </c>
      <c r="J943" t="n">
        <v>0</v>
      </c>
      <c r="K943" t="n">
        <v>0</v>
      </c>
      <c r="L943" t="n">
        <v>0</v>
      </c>
      <c r="M943" t="n">
        <v>0</v>
      </c>
      <c r="N943" t="n">
        <v>0</v>
      </c>
      <c r="O943" t="n">
        <v>0</v>
      </c>
      <c r="P943" t="n">
        <v>0</v>
      </c>
      <c r="Q943" t="n">
        <v>0</v>
      </c>
      <c r="R943" s="2" t="inlineStr"/>
    </row>
    <row r="944" ht="15" customHeight="1">
      <c r="A944" t="inlineStr">
        <is>
          <t>A 19730-2023</t>
        </is>
      </c>
      <c r="B944" s="1" t="n">
        <v>45050</v>
      </c>
      <c r="C944" s="1" t="n">
        <v>45587</v>
      </c>
      <c r="D944" t="inlineStr">
        <is>
          <t>JÄMTLANDS LÄN</t>
        </is>
      </c>
      <c r="E944" t="inlineStr">
        <is>
          <t>HÄRJEDALEN</t>
        </is>
      </c>
      <c r="F944" t="inlineStr">
        <is>
          <t>Bergvik skog väst AB</t>
        </is>
      </c>
      <c r="G944" t="n">
        <v>1.3</v>
      </c>
      <c r="H944" t="n">
        <v>0</v>
      </c>
      <c r="I944" t="n">
        <v>0</v>
      </c>
      <c r="J944" t="n">
        <v>0</v>
      </c>
      <c r="K944" t="n">
        <v>0</v>
      </c>
      <c r="L944" t="n">
        <v>0</v>
      </c>
      <c r="M944" t="n">
        <v>0</v>
      </c>
      <c r="N944" t="n">
        <v>0</v>
      </c>
      <c r="O944" t="n">
        <v>0</v>
      </c>
      <c r="P944" t="n">
        <v>0</v>
      </c>
      <c r="Q944" t="n">
        <v>0</v>
      </c>
      <c r="R944" s="2" t="inlineStr"/>
    </row>
    <row r="945" ht="15" customHeight="1">
      <c r="A945" t="inlineStr">
        <is>
          <t>A 19915-2023</t>
        </is>
      </c>
      <c r="B945" s="1" t="n">
        <v>45054</v>
      </c>
      <c r="C945" s="1" t="n">
        <v>45587</v>
      </c>
      <c r="D945" t="inlineStr">
        <is>
          <t>JÄMTLANDS LÄN</t>
        </is>
      </c>
      <c r="E945" t="inlineStr">
        <is>
          <t>HÄRJEDALEN</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19981-2023</t>
        </is>
      </c>
      <c r="B946" s="1" t="n">
        <v>45054</v>
      </c>
      <c r="C946" s="1" t="n">
        <v>45587</v>
      </c>
      <c r="D946" t="inlineStr">
        <is>
          <t>JÄMTLANDS LÄN</t>
        </is>
      </c>
      <c r="E946" t="inlineStr">
        <is>
          <t>HÄRJEDALEN</t>
        </is>
      </c>
      <c r="G946" t="n">
        <v>13.5</v>
      </c>
      <c r="H946" t="n">
        <v>0</v>
      </c>
      <c r="I946" t="n">
        <v>0</v>
      </c>
      <c r="J946" t="n">
        <v>0</v>
      </c>
      <c r="K946" t="n">
        <v>0</v>
      </c>
      <c r="L946" t="n">
        <v>0</v>
      </c>
      <c r="M946" t="n">
        <v>0</v>
      </c>
      <c r="N946" t="n">
        <v>0</v>
      </c>
      <c r="O946" t="n">
        <v>0</v>
      </c>
      <c r="P946" t="n">
        <v>0</v>
      </c>
      <c r="Q946" t="n">
        <v>0</v>
      </c>
      <c r="R946" s="2" t="inlineStr"/>
    </row>
    <row r="947" ht="15" customHeight="1">
      <c r="A947" t="inlineStr">
        <is>
          <t>A 20539-2023</t>
        </is>
      </c>
      <c r="B947" s="1" t="n">
        <v>45055</v>
      </c>
      <c r="C947" s="1" t="n">
        <v>45587</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20851-2023</t>
        </is>
      </c>
      <c r="B948" s="1" t="n">
        <v>45056</v>
      </c>
      <c r="C948" s="1" t="n">
        <v>45587</v>
      </c>
      <c r="D948" t="inlineStr">
        <is>
          <t>JÄMTLANDS LÄN</t>
        </is>
      </c>
      <c r="E948" t="inlineStr">
        <is>
          <t>HÄRJEDALEN</t>
        </is>
      </c>
      <c r="F948" t="inlineStr">
        <is>
          <t>Holmen skog AB</t>
        </is>
      </c>
      <c r="G948" t="n">
        <v>41.1</v>
      </c>
      <c r="H948" t="n">
        <v>0</v>
      </c>
      <c r="I948" t="n">
        <v>0</v>
      </c>
      <c r="J948" t="n">
        <v>0</v>
      </c>
      <c r="K948" t="n">
        <v>0</v>
      </c>
      <c r="L948" t="n">
        <v>0</v>
      </c>
      <c r="M948" t="n">
        <v>0</v>
      </c>
      <c r="N948" t="n">
        <v>0</v>
      </c>
      <c r="O948" t="n">
        <v>0</v>
      </c>
      <c r="P948" t="n">
        <v>0</v>
      </c>
      <c r="Q948" t="n">
        <v>0</v>
      </c>
      <c r="R948" s="2" t="inlineStr"/>
    </row>
    <row r="949" ht="15" customHeight="1">
      <c r="A949" t="inlineStr">
        <is>
          <t>A 20609-2023</t>
        </is>
      </c>
      <c r="B949" s="1" t="n">
        <v>45057</v>
      </c>
      <c r="C949" s="1" t="n">
        <v>45587</v>
      </c>
      <c r="D949" t="inlineStr">
        <is>
          <t>JÄMTLANDS LÄN</t>
        </is>
      </c>
      <c r="E949" t="inlineStr">
        <is>
          <t>HÄRJEDALEN</t>
        </is>
      </c>
      <c r="F949" t="inlineStr">
        <is>
          <t>SCA</t>
        </is>
      </c>
      <c r="G949" t="n">
        <v>15.6</v>
      </c>
      <c r="H949" t="n">
        <v>0</v>
      </c>
      <c r="I949" t="n">
        <v>0</v>
      </c>
      <c r="J949" t="n">
        <v>0</v>
      </c>
      <c r="K949" t="n">
        <v>0</v>
      </c>
      <c r="L949" t="n">
        <v>0</v>
      </c>
      <c r="M949" t="n">
        <v>0</v>
      </c>
      <c r="N949" t="n">
        <v>0</v>
      </c>
      <c r="O949" t="n">
        <v>0</v>
      </c>
      <c r="P949" t="n">
        <v>0</v>
      </c>
      <c r="Q949" t="n">
        <v>0</v>
      </c>
      <c r="R949" s="2" t="inlineStr"/>
      <c r="U949">
        <f>HYPERLINK("https://klasma.github.io/Logging_2361/knärot/A 20609-2023 karta knärot.png", "A 20609-2023")</f>
        <v/>
      </c>
      <c r="V949">
        <f>HYPERLINK("https://klasma.github.io/Logging_2361/klagomål/A 20609-2023 FSC-klagomål.docx", "A 20609-2023")</f>
        <v/>
      </c>
      <c r="W949">
        <f>HYPERLINK("https://klasma.github.io/Logging_2361/klagomålsmail/A 20609-2023 FSC-klagomål mail.docx", "A 20609-2023")</f>
        <v/>
      </c>
      <c r="X949">
        <f>HYPERLINK("https://klasma.github.io/Logging_2361/tillsyn/A 20609-2023 tillsynsbegäran.docx", "A 20609-2023")</f>
        <v/>
      </c>
      <c r="Y949">
        <f>HYPERLINK("https://klasma.github.io/Logging_2361/tillsynsmail/A 20609-2023 tillsynsbegäran mail.docx", "A 20609-2023")</f>
        <v/>
      </c>
    </row>
    <row r="950" ht="15" customHeight="1">
      <c r="A950" t="inlineStr">
        <is>
          <t>A 20768-2023</t>
        </is>
      </c>
      <c r="B950" s="1" t="n">
        <v>45058</v>
      </c>
      <c r="C950" s="1" t="n">
        <v>45587</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20718-2023</t>
        </is>
      </c>
      <c r="B951" s="1" t="n">
        <v>45058</v>
      </c>
      <c r="C951" s="1" t="n">
        <v>45587</v>
      </c>
      <c r="D951" t="inlineStr">
        <is>
          <t>JÄMTLANDS LÄN</t>
        </is>
      </c>
      <c r="E951" t="inlineStr">
        <is>
          <t>HÄRJEDALEN</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20935-2023</t>
        </is>
      </c>
      <c r="B952" s="1" t="n">
        <v>45061</v>
      </c>
      <c r="C952" s="1" t="n">
        <v>45587</v>
      </c>
      <c r="D952" t="inlineStr">
        <is>
          <t>JÄMTLANDS LÄN</t>
        </is>
      </c>
      <c r="E952" t="inlineStr">
        <is>
          <t>HÄRJEDALEN</t>
        </is>
      </c>
      <c r="G952" t="n">
        <v>7.3</v>
      </c>
      <c r="H952" t="n">
        <v>0</v>
      </c>
      <c r="I952" t="n">
        <v>0</v>
      </c>
      <c r="J952" t="n">
        <v>0</v>
      </c>
      <c r="K952" t="n">
        <v>0</v>
      </c>
      <c r="L952" t="n">
        <v>0</v>
      </c>
      <c r="M952" t="n">
        <v>0</v>
      </c>
      <c r="N952" t="n">
        <v>0</v>
      </c>
      <c r="O952" t="n">
        <v>0</v>
      </c>
      <c r="P952" t="n">
        <v>0</v>
      </c>
      <c r="Q952" t="n">
        <v>0</v>
      </c>
      <c r="R952" s="2" t="inlineStr"/>
    </row>
    <row r="953" ht="15" customHeight="1">
      <c r="A953" t="inlineStr">
        <is>
          <t>A 21050-2023</t>
        </is>
      </c>
      <c r="B953" s="1" t="n">
        <v>45061</v>
      </c>
      <c r="C953" s="1" t="n">
        <v>45587</v>
      </c>
      <c r="D953" t="inlineStr">
        <is>
          <t>JÄMTLANDS LÄN</t>
        </is>
      </c>
      <c r="E953" t="inlineStr">
        <is>
          <t>HÄRJEDALEN</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21054-2023</t>
        </is>
      </c>
      <c r="B954" s="1" t="n">
        <v>45061</v>
      </c>
      <c r="C954" s="1" t="n">
        <v>45587</v>
      </c>
      <c r="D954" t="inlineStr">
        <is>
          <t>JÄMTLANDS LÄN</t>
        </is>
      </c>
      <c r="E954" t="inlineStr">
        <is>
          <t>HÄRJEDALEN</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21517-2023</t>
        </is>
      </c>
      <c r="B955" s="1" t="n">
        <v>45063</v>
      </c>
      <c r="C955" s="1" t="n">
        <v>45587</v>
      </c>
      <c r="D955" t="inlineStr">
        <is>
          <t>JÄMTLANDS LÄN</t>
        </is>
      </c>
      <c r="E955" t="inlineStr">
        <is>
          <t>HÄRJEDALEN</t>
        </is>
      </c>
      <c r="G955" t="n">
        <v>9</v>
      </c>
      <c r="H955" t="n">
        <v>0</v>
      </c>
      <c r="I955" t="n">
        <v>0</v>
      </c>
      <c r="J955" t="n">
        <v>0</v>
      </c>
      <c r="K955" t="n">
        <v>0</v>
      </c>
      <c r="L955" t="n">
        <v>0</v>
      </c>
      <c r="M955" t="n">
        <v>0</v>
      </c>
      <c r="N955" t="n">
        <v>0</v>
      </c>
      <c r="O955" t="n">
        <v>0</v>
      </c>
      <c r="P955" t="n">
        <v>0</v>
      </c>
      <c r="Q955" t="n">
        <v>0</v>
      </c>
      <c r="R955" s="2" t="inlineStr"/>
    </row>
    <row r="956" ht="15" customHeight="1">
      <c r="A956" t="inlineStr">
        <is>
          <t>A 21531-2023</t>
        </is>
      </c>
      <c r="B956" s="1" t="n">
        <v>45063</v>
      </c>
      <c r="C956" s="1" t="n">
        <v>45587</v>
      </c>
      <c r="D956" t="inlineStr">
        <is>
          <t>JÄMTLANDS LÄN</t>
        </is>
      </c>
      <c r="E956" t="inlineStr">
        <is>
          <t>HÄRJEDALEN</t>
        </is>
      </c>
      <c r="G956" t="n">
        <v>14.6</v>
      </c>
      <c r="H956" t="n">
        <v>0</v>
      </c>
      <c r="I956" t="n">
        <v>0</v>
      </c>
      <c r="J956" t="n">
        <v>0</v>
      </c>
      <c r="K956" t="n">
        <v>0</v>
      </c>
      <c r="L956" t="n">
        <v>0</v>
      </c>
      <c r="M956" t="n">
        <v>0</v>
      </c>
      <c r="N956" t="n">
        <v>0</v>
      </c>
      <c r="O956" t="n">
        <v>0</v>
      </c>
      <c r="P956" t="n">
        <v>0</v>
      </c>
      <c r="Q956" t="n">
        <v>0</v>
      </c>
      <c r="R956" s="2" t="inlineStr"/>
    </row>
    <row r="957" ht="15" customHeight="1">
      <c r="A957" t="inlineStr">
        <is>
          <t>A 21439-2023</t>
        </is>
      </c>
      <c r="B957" s="1" t="n">
        <v>45063</v>
      </c>
      <c r="C957" s="1" t="n">
        <v>45587</v>
      </c>
      <c r="D957" t="inlineStr">
        <is>
          <t>JÄMTLANDS LÄN</t>
        </is>
      </c>
      <c r="E957" t="inlineStr">
        <is>
          <t>HÄRJEDALEN</t>
        </is>
      </c>
      <c r="G957" t="n">
        <v>57</v>
      </c>
      <c r="H957" t="n">
        <v>0</v>
      </c>
      <c r="I957" t="n">
        <v>0</v>
      </c>
      <c r="J957" t="n">
        <v>0</v>
      </c>
      <c r="K957" t="n">
        <v>0</v>
      </c>
      <c r="L957" t="n">
        <v>0</v>
      </c>
      <c r="M957" t="n">
        <v>0</v>
      </c>
      <c r="N957" t="n">
        <v>0</v>
      </c>
      <c r="O957" t="n">
        <v>0</v>
      </c>
      <c r="P957" t="n">
        <v>0</v>
      </c>
      <c r="Q957" t="n">
        <v>0</v>
      </c>
      <c r="R957" s="2" t="inlineStr"/>
    </row>
    <row r="958" ht="15" customHeight="1">
      <c r="A958" t="inlineStr">
        <is>
          <t>A 21521-2023</t>
        </is>
      </c>
      <c r="B958" s="1" t="n">
        <v>45063</v>
      </c>
      <c r="C958" s="1" t="n">
        <v>45587</v>
      </c>
      <c r="D958" t="inlineStr">
        <is>
          <t>JÄMTLANDS LÄN</t>
        </is>
      </c>
      <c r="E958" t="inlineStr">
        <is>
          <t>HÄRJEDALEN</t>
        </is>
      </c>
      <c r="G958" t="n">
        <v>3</v>
      </c>
      <c r="H958" t="n">
        <v>0</v>
      </c>
      <c r="I958" t="n">
        <v>0</v>
      </c>
      <c r="J958" t="n">
        <v>0</v>
      </c>
      <c r="K958" t="n">
        <v>0</v>
      </c>
      <c r="L958" t="n">
        <v>0</v>
      </c>
      <c r="M958" t="n">
        <v>0</v>
      </c>
      <c r="N958" t="n">
        <v>0</v>
      </c>
      <c r="O958" t="n">
        <v>0</v>
      </c>
      <c r="P958" t="n">
        <v>0</v>
      </c>
      <c r="Q958" t="n">
        <v>0</v>
      </c>
      <c r="R958" s="2" t="inlineStr"/>
    </row>
    <row r="959" ht="15" customHeight="1">
      <c r="A959" t="inlineStr">
        <is>
          <t>A 21525-2023</t>
        </is>
      </c>
      <c r="B959" s="1" t="n">
        <v>45063</v>
      </c>
      <c r="C959" s="1" t="n">
        <v>45587</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21530-2023</t>
        </is>
      </c>
      <c r="B960" s="1" t="n">
        <v>45063</v>
      </c>
      <c r="C960" s="1" t="n">
        <v>45587</v>
      </c>
      <c r="D960" t="inlineStr">
        <is>
          <t>JÄMTLANDS LÄN</t>
        </is>
      </c>
      <c r="E960" t="inlineStr">
        <is>
          <t>HÄRJEDALEN</t>
        </is>
      </c>
      <c r="G960" t="n">
        <v>15.3</v>
      </c>
      <c r="H960" t="n">
        <v>0</v>
      </c>
      <c r="I960" t="n">
        <v>0</v>
      </c>
      <c r="J960" t="n">
        <v>0</v>
      </c>
      <c r="K960" t="n">
        <v>0</v>
      </c>
      <c r="L960" t="n">
        <v>0</v>
      </c>
      <c r="M960" t="n">
        <v>0</v>
      </c>
      <c r="N960" t="n">
        <v>0</v>
      </c>
      <c r="O960" t="n">
        <v>0</v>
      </c>
      <c r="P960" t="n">
        <v>0</v>
      </c>
      <c r="Q960" t="n">
        <v>0</v>
      </c>
      <c r="R960" s="2" t="inlineStr"/>
    </row>
    <row r="961" ht="15" customHeight="1">
      <c r="A961" t="inlineStr">
        <is>
          <t>A 21645-2023</t>
        </is>
      </c>
      <c r="B961" s="1" t="n">
        <v>45063</v>
      </c>
      <c r="C961" s="1" t="n">
        <v>45587</v>
      </c>
      <c r="D961" t="inlineStr">
        <is>
          <t>JÄMTLANDS LÄN</t>
        </is>
      </c>
      <c r="E961" t="inlineStr">
        <is>
          <t>HÄRJEDALEN</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21646-2023</t>
        </is>
      </c>
      <c r="B962" s="1" t="n">
        <v>45063</v>
      </c>
      <c r="C962" s="1" t="n">
        <v>45587</v>
      </c>
      <c r="D962" t="inlineStr">
        <is>
          <t>JÄMTLANDS LÄN</t>
        </is>
      </c>
      <c r="E962" t="inlineStr">
        <is>
          <t>HÄRJEDALEN</t>
        </is>
      </c>
      <c r="F962" t="inlineStr">
        <is>
          <t>Sveaskog</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21665-2023</t>
        </is>
      </c>
      <c r="B963" s="1" t="n">
        <v>45063</v>
      </c>
      <c r="C963" s="1" t="n">
        <v>45587</v>
      </c>
      <c r="D963" t="inlineStr">
        <is>
          <t>JÄMTLANDS LÄN</t>
        </is>
      </c>
      <c r="E963" t="inlineStr">
        <is>
          <t>HÄRJEDALEN</t>
        </is>
      </c>
      <c r="G963" t="n">
        <v>19.3</v>
      </c>
      <c r="H963" t="n">
        <v>0</v>
      </c>
      <c r="I963" t="n">
        <v>0</v>
      </c>
      <c r="J963" t="n">
        <v>0</v>
      </c>
      <c r="K963" t="n">
        <v>0</v>
      </c>
      <c r="L963" t="n">
        <v>0</v>
      </c>
      <c r="M963" t="n">
        <v>0</v>
      </c>
      <c r="N963" t="n">
        <v>0</v>
      </c>
      <c r="O963" t="n">
        <v>0</v>
      </c>
      <c r="P963" t="n">
        <v>0</v>
      </c>
      <c r="Q963" t="n">
        <v>0</v>
      </c>
      <c r="R963" s="2" t="inlineStr"/>
    </row>
    <row r="964" ht="15" customHeight="1">
      <c r="A964" t="inlineStr">
        <is>
          <t>A 21666-2023</t>
        </is>
      </c>
      <c r="B964" s="1" t="n">
        <v>45064</v>
      </c>
      <c r="C964" s="1" t="n">
        <v>45587</v>
      </c>
      <c r="D964" t="inlineStr">
        <is>
          <t>JÄMTLANDS LÄN</t>
        </is>
      </c>
      <c r="E964" t="inlineStr">
        <is>
          <t>HÄRJEDALEN</t>
        </is>
      </c>
      <c r="G964" t="n">
        <v>2.5</v>
      </c>
      <c r="H964" t="n">
        <v>0</v>
      </c>
      <c r="I964" t="n">
        <v>0</v>
      </c>
      <c r="J964" t="n">
        <v>0</v>
      </c>
      <c r="K964" t="n">
        <v>0</v>
      </c>
      <c r="L964" t="n">
        <v>0</v>
      </c>
      <c r="M964" t="n">
        <v>0</v>
      </c>
      <c r="N964" t="n">
        <v>0</v>
      </c>
      <c r="O964" t="n">
        <v>0</v>
      </c>
      <c r="P964" t="n">
        <v>0</v>
      </c>
      <c r="Q964" t="n">
        <v>0</v>
      </c>
      <c r="R964" s="2" t="inlineStr"/>
    </row>
    <row r="965" ht="15" customHeight="1">
      <c r="A965" t="inlineStr">
        <is>
          <t>A 22674-2023</t>
        </is>
      </c>
      <c r="B965" s="1" t="n">
        <v>45071</v>
      </c>
      <c r="C965" s="1" t="n">
        <v>45587</v>
      </c>
      <c r="D965" t="inlineStr">
        <is>
          <t>JÄMTLANDS LÄN</t>
        </is>
      </c>
      <c r="E965" t="inlineStr">
        <is>
          <t>HÄRJEDALEN</t>
        </is>
      </c>
      <c r="F965" t="inlineStr">
        <is>
          <t>Bergvik skog väst AB</t>
        </is>
      </c>
      <c r="G965" t="n">
        <v>3.4</v>
      </c>
      <c r="H965" t="n">
        <v>0</v>
      </c>
      <c r="I965" t="n">
        <v>0</v>
      </c>
      <c r="J965" t="n">
        <v>0</v>
      </c>
      <c r="K965" t="n">
        <v>0</v>
      </c>
      <c r="L965" t="n">
        <v>0</v>
      </c>
      <c r="M965" t="n">
        <v>0</v>
      </c>
      <c r="N965" t="n">
        <v>0</v>
      </c>
      <c r="O965" t="n">
        <v>0</v>
      </c>
      <c r="P965" t="n">
        <v>0</v>
      </c>
      <c r="Q965" t="n">
        <v>0</v>
      </c>
      <c r="R965" s="2" t="inlineStr"/>
    </row>
    <row r="966" ht="15" customHeight="1">
      <c r="A966" t="inlineStr">
        <is>
          <t>A 22728-2023</t>
        </is>
      </c>
      <c r="B966" s="1" t="n">
        <v>45072</v>
      </c>
      <c r="C966" s="1" t="n">
        <v>45587</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22747-2023</t>
        </is>
      </c>
      <c r="B967" s="1" t="n">
        <v>45071</v>
      </c>
      <c r="C967" s="1" t="n">
        <v>45587</v>
      </c>
      <c r="D967" t="inlineStr">
        <is>
          <t>JÄMTLANDS LÄN</t>
        </is>
      </c>
      <c r="E967" t="inlineStr">
        <is>
          <t>HÄRJEDALEN</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22746-2023</t>
        </is>
      </c>
      <c r="B968" s="1" t="n">
        <v>45071</v>
      </c>
      <c r="C968" s="1" t="n">
        <v>45587</v>
      </c>
      <c r="D968" t="inlineStr">
        <is>
          <t>JÄMTLANDS LÄN</t>
        </is>
      </c>
      <c r="E968" t="inlineStr">
        <is>
          <t>HÄRJEDALEN</t>
        </is>
      </c>
      <c r="F968" t="inlineStr">
        <is>
          <t>SCA</t>
        </is>
      </c>
      <c r="G968" t="n">
        <v>10.7</v>
      </c>
      <c r="H968" t="n">
        <v>0</v>
      </c>
      <c r="I968" t="n">
        <v>0</v>
      </c>
      <c r="J968" t="n">
        <v>0</v>
      </c>
      <c r="K968" t="n">
        <v>0</v>
      </c>
      <c r="L968" t="n">
        <v>0</v>
      </c>
      <c r="M968" t="n">
        <v>0</v>
      </c>
      <c r="N968" t="n">
        <v>0</v>
      </c>
      <c r="O968" t="n">
        <v>0</v>
      </c>
      <c r="P968" t="n">
        <v>0</v>
      </c>
      <c r="Q968" t="n">
        <v>0</v>
      </c>
      <c r="R968" s="2" t="inlineStr"/>
    </row>
    <row r="969" ht="15" customHeight="1">
      <c r="A969" t="inlineStr">
        <is>
          <t>A 22729-2023</t>
        </is>
      </c>
      <c r="B969" s="1" t="n">
        <v>45072</v>
      </c>
      <c r="C969" s="1" t="n">
        <v>45587</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23186-2023</t>
        </is>
      </c>
      <c r="B970" s="1" t="n">
        <v>45075</v>
      </c>
      <c r="C970" s="1" t="n">
        <v>45587</v>
      </c>
      <c r="D970" t="inlineStr">
        <is>
          <t>JÄMTLANDS LÄN</t>
        </is>
      </c>
      <c r="E970" t="inlineStr">
        <is>
          <t>HÄRJEDALEN</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23185-2023</t>
        </is>
      </c>
      <c r="B971" s="1" t="n">
        <v>45075</v>
      </c>
      <c r="C971" s="1" t="n">
        <v>45587</v>
      </c>
      <c r="D971" t="inlineStr">
        <is>
          <t>JÄMTLANDS LÄN</t>
        </is>
      </c>
      <c r="E971" t="inlineStr">
        <is>
          <t>HÄRJEDALEN</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23356-2023</t>
        </is>
      </c>
      <c r="B972" s="1" t="n">
        <v>45076</v>
      </c>
      <c r="C972" s="1" t="n">
        <v>45587</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23465-2023</t>
        </is>
      </c>
      <c r="B973" s="1" t="n">
        <v>45076</v>
      </c>
      <c r="C973" s="1" t="n">
        <v>45587</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23895-2023</t>
        </is>
      </c>
      <c r="B974" s="1" t="n">
        <v>45078</v>
      </c>
      <c r="C974" s="1" t="n">
        <v>45587</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23908-2023</t>
        </is>
      </c>
      <c r="B975" s="1" t="n">
        <v>45078</v>
      </c>
      <c r="C975" s="1" t="n">
        <v>45587</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24240-2023</t>
        </is>
      </c>
      <c r="B976" s="1" t="n">
        <v>45079</v>
      </c>
      <c r="C976" s="1" t="n">
        <v>45587</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24238-2023</t>
        </is>
      </c>
      <c r="B977" s="1" t="n">
        <v>45079</v>
      </c>
      <c r="C977" s="1" t="n">
        <v>45587</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24255-2023</t>
        </is>
      </c>
      <c r="B978" s="1" t="n">
        <v>45079</v>
      </c>
      <c r="C978" s="1" t="n">
        <v>45587</v>
      </c>
      <c r="D978" t="inlineStr">
        <is>
          <t>JÄMTLANDS LÄN</t>
        </is>
      </c>
      <c r="E978" t="inlineStr">
        <is>
          <t>HÄRJEDALEN</t>
        </is>
      </c>
      <c r="G978" t="n">
        <v>16.1</v>
      </c>
      <c r="H978" t="n">
        <v>0</v>
      </c>
      <c r="I978" t="n">
        <v>0</v>
      </c>
      <c r="J978" t="n">
        <v>0</v>
      </c>
      <c r="K978" t="n">
        <v>0</v>
      </c>
      <c r="L978" t="n">
        <v>0</v>
      </c>
      <c r="M978" t="n">
        <v>0</v>
      </c>
      <c r="N978" t="n">
        <v>0</v>
      </c>
      <c r="O978" t="n">
        <v>0</v>
      </c>
      <c r="P978" t="n">
        <v>0</v>
      </c>
      <c r="Q978" t="n">
        <v>0</v>
      </c>
      <c r="R978" s="2" t="inlineStr"/>
    </row>
    <row r="979" ht="15" customHeight="1">
      <c r="A979" t="inlineStr">
        <is>
          <t>A 24220-2023</t>
        </is>
      </c>
      <c r="B979" s="1" t="n">
        <v>45079</v>
      </c>
      <c r="C979" s="1" t="n">
        <v>45587</v>
      </c>
      <c r="D979" t="inlineStr">
        <is>
          <t>JÄMTLANDS LÄN</t>
        </is>
      </c>
      <c r="E979" t="inlineStr">
        <is>
          <t>HÄRJEDALEN</t>
        </is>
      </c>
      <c r="F979" t="inlineStr">
        <is>
          <t>Bergvik skog väst AB</t>
        </is>
      </c>
      <c r="G979" t="n">
        <v>6.5</v>
      </c>
      <c r="H979" t="n">
        <v>0</v>
      </c>
      <c r="I979" t="n">
        <v>0</v>
      </c>
      <c r="J979" t="n">
        <v>0</v>
      </c>
      <c r="K979" t="n">
        <v>0</v>
      </c>
      <c r="L979" t="n">
        <v>0</v>
      </c>
      <c r="M979" t="n">
        <v>0</v>
      </c>
      <c r="N979" t="n">
        <v>0</v>
      </c>
      <c r="O979" t="n">
        <v>0</v>
      </c>
      <c r="P979" t="n">
        <v>0</v>
      </c>
      <c r="Q979" t="n">
        <v>0</v>
      </c>
      <c r="R979" s="2" t="inlineStr"/>
    </row>
    <row r="980" ht="15" customHeight="1">
      <c r="A980" t="inlineStr">
        <is>
          <t>A 25536-2023</t>
        </is>
      </c>
      <c r="B980" s="1" t="n">
        <v>45082</v>
      </c>
      <c r="C980" s="1" t="n">
        <v>45587</v>
      </c>
      <c r="D980" t="inlineStr">
        <is>
          <t>JÄMTLANDS LÄN</t>
        </is>
      </c>
      <c r="E980" t="inlineStr">
        <is>
          <t>HÄRJEDALEN</t>
        </is>
      </c>
      <c r="F980" t="inlineStr">
        <is>
          <t>Bergvik skog väst AB</t>
        </is>
      </c>
      <c r="G980" t="n">
        <v>6.9</v>
      </c>
      <c r="H980" t="n">
        <v>0</v>
      </c>
      <c r="I980" t="n">
        <v>0</v>
      </c>
      <c r="J980" t="n">
        <v>0</v>
      </c>
      <c r="K980" t="n">
        <v>0</v>
      </c>
      <c r="L980" t="n">
        <v>0</v>
      </c>
      <c r="M980" t="n">
        <v>0</v>
      </c>
      <c r="N980" t="n">
        <v>0</v>
      </c>
      <c r="O980" t="n">
        <v>0</v>
      </c>
      <c r="P980" t="n">
        <v>0</v>
      </c>
      <c r="Q980" t="n">
        <v>0</v>
      </c>
      <c r="R980" s="2" t="inlineStr"/>
    </row>
    <row r="981" ht="15" customHeight="1">
      <c r="A981" t="inlineStr">
        <is>
          <t>A 25526-2023</t>
        </is>
      </c>
      <c r="B981" s="1" t="n">
        <v>45082</v>
      </c>
      <c r="C981" s="1" t="n">
        <v>45587</v>
      </c>
      <c r="D981" t="inlineStr">
        <is>
          <t>JÄMTLANDS LÄN</t>
        </is>
      </c>
      <c r="E981" t="inlineStr">
        <is>
          <t>HÄRJEDALEN</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25582-2023</t>
        </is>
      </c>
      <c r="B982" s="1" t="n">
        <v>45082</v>
      </c>
      <c r="C982" s="1" t="n">
        <v>45587</v>
      </c>
      <c r="D982" t="inlineStr">
        <is>
          <t>JÄMTLANDS LÄN</t>
        </is>
      </c>
      <c r="E982" t="inlineStr">
        <is>
          <t>HÄRJEDALEN</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24834-2023</t>
        </is>
      </c>
      <c r="B983" s="1" t="n">
        <v>45084</v>
      </c>
      <c r="C983" s="1" t="n">
        <v>45587</v>
      </c>
      <c r="D983" t="inlineStr">
        <is>
          <t>JÄMTLANDS LÄN</t>
        </is>
      </c>
      <c r="E983" t="inlineStr">
        <is>
          <t>HÄRJEDALEN</t>
        </is>
      </c>
      <c r="F983" t="inlineStr">
        <is>
          <t>SCA</t>
        </is>
      </c>
      <c r="G983" t="n">
        <v>16.5</v>
      </c>
      <c r="H983" t="n">
        <v>0</v>
      </c>
      <c r="I983" t="n">
        <v>0</v>
      </c>
      <c r="J983" t="n">
        <v>0</v>
      </c>
      <c r="K983" t="n">
        <v>0</v>
      </c>
      <c r="L983" t="n">
        <v>0</v>
      </c>
      <c r="M983" t="n">
        <v>0</v>
      </c>
      <c r="N983" t="n">
        <v>0</v>
      </c>
      <c r="O983" t="n">
        <v>0</v>
      </c>
      <c r="P983" t="n">
        <v>0</v>
      </c>
      <c r="Q983" t="n">
        <v>0</v>
      </c>
      <c r="R983" s="2" t="inlineStr"/>
    </row>
    <row r="984" ht="15" customHeight="1">
      <c r="A984" t="inlineStr">
        <is>
          <t>A 24835-2023</t>
        </is>
      </c>
      <c r="B984" s="1" t="n">
        <v>45084</v>
      </c>
      <c r="C984" s="1" t="n">
        <v>45587</v>
      </c>
      <c r="D984" t="inlineStr">
        <is>
          <t>JÄMTLANDS LÄN</t>
        </is>
      </c>
      <c r="E984" t="inlineStr">
        <is>
          <t>HÄRJEDALEN</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25018-2023</t>
        </is>
      </c>
      <c r="B985" s="1" t="n">
        <v>45085</v>
      </c>
      <c r="C985" s="1" t="n">
        <v>45587</v>
      </c>
      <c r="D985" t="inlineStr">
        <is>
          <t>JÄMTLANDS LÄN</t>
        </is>
      </c>
      <c r="E985" t="inlineStr">
        <is>
          <t>HÄRJEDALEN</t>
        </is>
      </c>
      <c r="F985" t="inlineStr">
        <is>
          <t>Sveaskog</t>
        </is>
      </c>
      <c r="G985" t="n">
        <v>39.7</v>
      </c>
      <c r="H985" t="n">
        <v>0</v>
      </c>
      <c r="I985" t="n">
        <v>0</v>
      </c>
      <c r="J985" t="n">
        <v>0</v>
      </c>
      <c r="K985" t="n">
        <v>0</v>
      </c>
      <c r="L985" t="n">
        <v>0</v>
      </c>
      <c r="M985" t="n">
        <v>0</v>
      </c>
      <c r="N985" t="n">
        <v>0</v>
      </c>
      <c r="O985" t="n">
        <v>0</v>
      </c>
      <c r="P985" t="n">
        <v>0</v>
      </c>
      <c r="Q985" t="n">
        <v>0</v>
      </c>
      <c r="R985" s="2" t="inlineStr"/>
    </row>
    <row r="986" ht="15" customHeight="1">
      <c r="A986" t="inlineStr">
        <is>
          <t>A 24964-2023</t>
        </is>
      </c>
      <c r="B986" s="1" t="n">
        <v>45085</v>
      </c>
      <c r="C986" s="1" t="n">
        <v>45587</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25181-2023</t>
        </is>
      </c>
      <c r="B987" s="1" t="n">
        <v>45086</v>
      </c>
      <c r="C987" s="1" t="n">
        <v>45587</v>
      </c>
      <c r="D987" t="inlineStr">
        <is>
          <t>JÄMTLANDS LÄN</t>
        </is>
      </c>
      <c r="E987" t="inlineStr">
        <is>
          <t>HÄRJEDALEN</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25485-2023</t>
        </is>
      </c>
      <c r="B988" s="1" t="n">
        <v>45089</v>
      </c>
      <c r="C988" s="1" t="n">
        <v>45587</v>
      </c>
      <c r="D988" t="inlineStr">
        <is>
          <t>JÄMTLANDS LÄN</t>
        </is>
      </c>
      <c r="E988" t="inlineStr">
        <is>
          <t>HÄRJEDALEN</t>
        </is>
      </c>
      <c r="G988" t="n">
        <v>15.2</v>
      </c>
      <c r="H988" t="n">
        <v>0</v>
      </c>
      <c r="I988" t="n">
        <v>0</v>
      </c>
      <c r="J988" t="n">
        <v>0</v>
      </c>
      <c r="K988" t="n">
        <v>0</v>
      </c>
      <c r="L988" t="n">
        <v>0</v>
      </c>
      <c r="M988" t="n">
        <v>0</v>
      </c>
      <c r="N988" t="n">
        <v>0</v>
      </c>
      <c r="O988" t="n">
        <v>0</v>
      </c>
      <c r="P988" t="n">
        <v>0</v>
      </c>
      <c r="Q988" t="n">
        <v>0</v>
      </c>
      <c r="R988" s="2" t="inlineStr"/>
    </row>
    <row r="989" ht="15" customHeight="1">
      <c r="A989" t="inlineStr">
        <is>
          <t>A 26411-2023</t>
        </is>
      </c>
      <c r="B989" s="1" t="n">
        <v>45092</v>
      </c>
      <c r="C989" s="1" t="n">
        <v>45587</v>
      </c>
      <c r="D989" t="inlineStr">
        <is>
          <t>JÄMTLANDS LÄN</t>
        </is>
      </c>
      <c r="E989" t="inlineStr">
        <is>
          <t>HÄRJEDALEN</t>
        </is>
      </c>
      <c r="G989" t="n">
        <v>5.4</v>
      </c>
      <c r="H989" t="n">
        <v>0</v>
      </c>
      <c r="I989" t="n">
        <v>0</v>
      </c>
      <c r="J989" t="n">
        <v>0</v>
      </c>
      <c r="K989" t="n">
        <v>0</v>
      </c>
      <c r="L989" t="n">
        <v>0</v>
      </c>
      <c r="M989" t="n">
        <v>0</v>
      </c>
      <c r="N989" t="n">
        <v>0</v>
      </c>
      <c r="O989" t="n">
        <v>0</v>
      </c>
      <c r="P989" t="n">
        <v>0</v>
      </c>
      <c r="Q989" t="n">
        <v>0</v>
      </c>
      <c r="R989" s="2" t="inlineStr"/>
    </row>
    <row r="990" ht="15" customHeight="1">
      <c r="A990" t="inlineStr">
        <is>
          <t>A 26701-2023</t>
        </is>
      </c>
      <c r="B990" s="1" t="n">
        <v>45093</v>
      </c>
      <c r="C990" s="1" t="n">
        <v>45587</v>
      </c>
      <c r="D990" t="inlineStr">
        <is>
          <t>JÄMTLANDS LÄN</t>
        </is>
      </c>
      <c r="E990" t="inlineStr">
        <is>
          <t>HÄRJEDALEN</t>
        </is>
      </c>
      <c r="F990" t="inlineStr">
        <is>
          <t>Bergvik skog väst AB</t>
        </is>
      </c>
      <c r="G990" t="n">
        <v>10.1</v>
      </c>
      <c r="H990" t="n">
        <v>0</v>
      </c>
      <c r="I990" t="n">
        <v>0</v>
      </c>
      <c r="J990" t="n">
        <v>0</v>
      </c>
      <c r="K990" t="n">
        <v>0</v>
      </c>
      <c r="L990" t="n">
        <v>0</v>
      </c>
      <c r="M990" t="n">
        <v>0</v>
      </c>
      <c r="N990" t="n">
        <v>0</v>
      </c>
      <c r="O990" t="n">
        <v>0</v>
      </c>
      <c r="P990" t="n">
        <v>0</v>
      </c>
      <c r="Q990" t="n">
        <v>0</v>
      </c>
      <c r="R990" s="2" t="inlineStr"/>
    </row>
    <row r="991" ht="15" customHeight="1">
      <c r="A991" t="inlineStr">
        <is>
          <t>A 26902-2023</t>
        </is>
      </c>
      <c r="B991" s="1" t="n">
        <v>45093</v>
      </c>
      <c r="C991" s="1" t="n">
        <v>45587</v>
      </c>
      <c r="D991" t="inlineStr">
        <is>
          <t>JÄMTLANDS LÄN</t>
        </is>
      </c>
      <c r="E991" t="inlineStr">
        <is>
          <t>HÄRJEDALEN</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26905-2023</t>
        </is>
      </c>
      <c r="B992" s="1" t="n">
        <v>45093</v>
      </c>
      <c r="C992" s="1" t="n">
        <v>45587</v>
      </c>
      <c r="D992" t="inlineStr">
        <is>
          <t>JÄMTLANDS LÄN</t>
        </is>
      </c>
      <c r="E992" t="inlineStr">
        <is>
          <t>HÄRJEDALEN</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27136-2023</t>
        </is>
      </c>
      <c r="B993" s="1" t="n">
        <v>45096</v>
      </c>
      <c r="C993" s="1" t="n">
        <v>45587</v>
      </c>
      <c r="D993" t="inlineStr">
        <is>
          <t>JÄMTLANDS LÄN</t>
        </is>
      </c>
      <c r="E993" t="inlineStr">
        <is>
          <t>HÄRJEDALEN</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v>
      </c>
      <c r="C994" s="1" t="n">
        <v>45587</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27541-2023</t>
        </is>
      </c>
      <c r="B995" s="1" t="n">
        <v>45097</v>
      </c>
      <c r="C995" s="1" t="n">
        <v>45587</v>
      </c>
      <c r="D995" t="inlineStr">
        <is>
          <t>JÄMTLANDS LÄN</t>
        </is>
      </c>
      <c r="E995" t="inlineStr">
        <is>
          <t>HÄRJEDALEN</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27764-2023</t>
        </is>
      </c>
      <c r="B996" s="1" t="n">
        <v>45098</v>
      </c>
      <c r="C996" s="1" t="n">
        <v>45587</v>
      </c>
      <c r="D996" t="inlineStr">
        <is>
          <t>JÄMTLANDS LÄN</t>
        </is>
      </c>
      <c r="E996" t="inlineStr">
        <is>
          <t>HÄRJEDALEN</t>
        </is>
      </c>
      <c r="G996" t="n">
        <v>66.40000000000001</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v>
      </c>
      <c r="C997" s="1" t="n">
        <v>45587</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27940-2023</t>
        </is>
      </c>
      <c r="B998" s="1" t="n">
        <v>45098</v>
      </c>
      <c r="C998" s="1" t="n">
        <v>45587</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28078-2023</t>
        </is>
      </c>
      <c r="B999" s="1" t="n">
        <v>45099</v>
      </c>
      <c r="C999" s="1" t="n">
        <v>45587</v>
      </c>
      <c r="D999" t="inlineStr">
        <is>
          <t>JÄMTLANDS LÄN</t>
        </is>
      </c>
      <c r="E999" t="inlineStr">
        <is>
          <t>HÄRJEDALEN</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28059-2023</t>
        </is>
      </c>
      <c r="B1000" s="1" t="n">
        <v>45099</v>
      </c>
      <c r="C1000" s="1" t="n">
        <v>45587</v>
      </c>
      <c r="D1000" t="inlineStr">
        <is>
          <t>JÄMTLANDS LÄN</t>
        </is>
      </c>
      <c r="E1000" t="inlineStr">
        <is>
          <t>HÄRJEDALEN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28209-2023</t>
        </is>
      </c>
      <c r="B1001" s="1" t="n">
        <v>45099</v>
      </c>
      <c r="C1001" s="1" t="n">
        <v>45587</v>
      </c>
      <c r="D1001" t="inlineStr">
        <is>
          <t>JÄMTLANDS LÄN</t>
        </is>
      </c>
      <c r="E1001" t="inlineStr">
        <is>
          <t>HÄRJEDALEN</t>
        </is>
      </c>
      <c r="F1001" t="inlineStr">
        <is>
          <t>Bergvik skog väst AB</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28802-2023</t>
        </is>
      </c>
      <c r="B1002" s="1" t="n">
        <v>45104</v>
      </c>
      <c r="C1002" s="1" t="n">
        <v>45587</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29067-2023</t>
        </is>
      </c>
      <c r="B1003" s="1" t="n">
        <v>45104</v>
      </c>
      <c r="C1003" s="1" t="n">
        <v>45587</v>
      </c>
      <c r="D1003" t="inlineStr">
        <is>
          <t>JÄMTLANDS LÄN</t>
        </is>
      </c>
      <c r="E1003" t="inlineStr">
        <is>
          <t>HÄRJEDALEN</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29194-2023</t>
        </is>
      </c>
      <c r="B1004" s="1" t="n">
        <v>45105</v>
      </c>
      <c r="C1004" s="1" t="n">
        <v>45587</v>
      </c>
      <c r="D1004" t="inlineStr">
        <is>
          <t>JÄMTLANDS LÄN</t>
        </is>
      </c>
      <c r="E1004" t="inlineStr">
        <is>
          <t>HÄRJEDALEN</t>
        </is>
      </c>
      <c r="F1004" t="inlineStr">
        <is>
          <t>Bergvik skog väst AB</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29094-2023</t>
        </is>
      </c>
      <c r="B1005" s="1" t="n">
        <v>45105</v>
      </c>
      <c r="C1005" s="1" t="n">
        <v>45587</v>
      </c>
      <c r="D1005" t="inlineStr">
        <is>
          <t>JÄMTLANDS LÄN</t>
        </is>
      </c>
      <c r="E1005" t="inlineStr">
        <is>
          <t>HÄRJEDALEN</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29431-2023</t>
        </is>
      </c>
      <c r="B1006" s="1" t="n">
        <v>45106</v>
      </c>
      <c r="C1006" s="1" t="n">
        <v>45587</v>
      </c>
      <c r="D1006" t="inlineStr">
        <is>
          <t>JÄMTLANDS LÄN</t>
        </is>
      </c>
      <c r="E1006" t="inlineStr">
        <is>
          <t>HÄRJEDALEN</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29772-2023</t>
        </is>
      </c>
      <c r="B1007" s="1" t="n">
        <v>45107</v>
      </c>
      <c r="C1007" s="1" t="n">
        <v>45587</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30411-2023</t>
        </is>
      </c>
      <c r="B1008" s="1" t="n">
        <v>45111</v>
      </c>
      <c r="C1008" s="1" t="n">
        <v>45587</v>
      </c>
      <c r="D1008" t="inlineStr">
        <is>
          <t>JÄMTLANDS LÄN</t>
        </is>
      </c>
      <c r="E1008" t="inlineStr">
        <is>
          <t>HÄRJEDALEN</t>
        </is>
      </c>
      <c r="F1008" t="inlineStr">
        <is>
          <t>Bergvik skog väst AB</t>
        </is>
      </c>
      <c r="G1008" t="n">
        <v>28.3</v>
      </c>
      <c r="H1008" t="n">
        <v>0</v>
      </c>
      <c r="I1008" t="n">
        <v>0</v>
      </c>
      <c r="J1008" t="n">
        <v>0</v>
      </c>
      <c r="K1008" t="n">
        <v>0</v>
      </c>
      <c r="L1008" t="n">
        <v>0</v>
      </c>
      <c r="M1008" t="n">
        <v>0</v>
      </c>
      <c r="N1008" t="n">
        <v>0</v>
      </c>
      <c r="O1008" t="n">
        <v>0</v>
      </c>
      <c r="P1008" t="n">
        <v>0</v>
      </c>
      <c r="Q1008" t="n">
        <v>0</v>
      </c>
      <c r="R1008" s="2" t="inlineStr"/>
    </row>
    <row r="1009" ht="15" customHeight="1">
      <c r="A1009" t="inlineStr">
        <is>
          <t>A 30435-2023</t>
        </is>
      </c>
      <c r="B1009" s="1" t="n">
        <v>45111</v>
      </c>
      <c r="C1009" s="1" t="n">
        <v>45587</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30751-2023</t>
        </is>
      </c>
      <c r="B1010" s="1" t="n">
        <v>45112</v>
      </c>
      <c r="C1010" s="1" t="n">
        <v>45587</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30709-2023</t>
        </is>
      </c>
      <c r="B1011" s="1" t="n">
        <v>45112</v>
      </c>
      <c r="C1011" s="1" t="n">
        <v>45587</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30984-2023</t>
        </is>
      </c>
      <c r="B1012" s="1" t="n">
        <v>45113</v>
      </c>
      <c r="C1012" s="1" t="n">
        <v>45587</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31269-2023</t>
        </is>
      </c>
      <c r="B1013" s="1" t="n">
        <v>45114</v>
      </c>
      <c r="C1013" s="1" t="n">
        <v>45587</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31435-2023</t>
        </is>
      </c>
      <c r="B1014" s="1" t="n">
        <v>45114</v>
      </c>
      <c r="C1014" s="1" t="n">
        <v>45587</v>
      </c>
      <c r="D1014" t="inlineStr">
        <is>
          <t>JÄMTLANDS LÄN</t>
        </is>
      </c>
      <c r="E1014" t="inlineStr">
        <is>
          <t>HÄRJEDALEN</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31778-2023</t>
        </is>
      </c>
      <c r="B1015" s="1" t="n">
        <v>45118</v>
      </c>
      <c r="C1015" s="1" t="n">
        <v>45587</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45587</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31910-2023</t>
        </is>
      </c>
      <c r="B1017" s="1" t="n">
        <v>45118</v>
      </c>
      <c r="C1017" s="1" t="n">
        <v>45587</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31958-2023</t>
        </is>
      </c>
      <c r="B1018" s="1" t="n">
        <v>45119</v>
      </c>
      <c r="C1018" s="1" t="n">
        <v>45587</v>
      </c>
      <c r="D1018" t="inlineStr">
        <is>
          <t>JÄMTLANDS LÄN</t>
        </is>
      </c>
      <c r="E1018" t="inlineStr">
        <is>
          <t>HÄRJEDALEN</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31996-2023</t>
        </is>
      </c>
      <c r="B1019" s="1" t="n">
        <v>45119</v>
      </c>
      <c r="C1019" s="1" t="n">
        <v>45587</v>
      </c>
      <c r="D1019" t="inlineStr">
        <is>
          <t>JÄMTLANDS LÄN</t>
        </is>
      </c>
      <c r="E1019" t="inlineStr">
        <is>
          <t>HÄRJEDALEN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31960-2023</t>
        </is>
      </c>
      <c r="B1020" s="1" t="n">
        <v>45119</v>
      </c>
      <c r="C1020" s="1" t="n">
        <v>45587</v>
      </c>
      <c r="D1020" t="inlineStr">
        <is>
          <t>JÄMTLANDS LÄN</t>
        </is>
      </c>
      <c r="E1020" t="inlineStr">
        <is>
          <t>HÄRJEDALEN</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v>
      </c>
      <c r="C1021" s="1" t="n">
        <v>45587</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31961-2023</t>
        </is>
      </c>
      <c r="B1022" s="1" t="n">
        <v>45119</v>
      </c>
      <c r="C1022" s="1" t="n">
        <v>45587</v>
      </c>
      <c r="D1022" t="inlineStr">
        <is>
          <t>JÄMTLANDS LÄN</t>
        </is>
      </c>
      <c r="E1022" t="inlineStr">
        <is>
          <t>HÄRJEDALEN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33257-2023</t>
        </is>
      </c>
      <c r="B1023" s="1" t="n">
        <v>45127</v>
      </c>
      <c r="C1023" s="1" t="n">
        <v>45587</v>
      </c>
      <c r="D1023" t="inlineStr">
        <is>
          <t>JÄMTLANDS LÄN</t>
        </is>
      </c>
      <c r="E1023" t="inlineStr">
        <is>
          <t>HÄRJEDALEN</t>
        </is>
      </c>
      <c r="F1023" t="inlineStr">
        <is>
          <t>Bergvik skog väst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33232-2023</t>
        </is>
      </c>
      <c r="B1024" s="1" t="n">
        <v>45127</v>
      </c>
      <c r="C1024" s="1" t="n">
        <v>45587</v>
      </c>
      <c r="D1024" t="inlineStr">
        <is>
          <t>JÄMTLANDS LÄN</t>
        </is>
      </c>
      <c r="E1024" t="inlineStr">
        <is>
          <t>HÄRJEDALEN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33992-2023</t>
        </is>
      </c>
      <c r="B1025" s="1" t="n">
        <v>45134</v>
      </c>
      <c r="C1025" s="1" t="n">
        <v>45587</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34260-2023</t>
        </is>
      </c>
      <c r="B1026" s="1" t="n">
        <v>45138</v>
      </c>
      <c r="C1026" s="1" t="n">
        <v>45587</v>
      </c>
      <c r="D1026" t="inlineStr">
        <is>
          <t>JÄMTLANDS LÄN</t>
        </is>
      </c>
      <c r="E1026" t="inlineStr">
        <is>
          <t>HÄRJEDALEN</t>
        </is>
      </c>
      <c r="F1026" t="inlineStr">
        <is>
          <t>Holmen skog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34313-2023</t>
        </is>
      </c>
      <c r="B1027" s="1" t="n">
        <v>45139</v>
      </c>
      <c r="C1027" s="1" t="n">
        <v>45587</v>
      </c>
      <c r="D1027" t="inlineStr">
        <is>
          <t>JÄMTLANDS LÄN</t>
        </is>
      </c>
      <c r="E1027" t="inlineStr">
        <is>
          <t>HÄRJEDALEN</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34314-2023</t>
        </is>
      </c>
      <c r="B1028" s="1" t="n">
        <v>45138</v>
      </c>
      <c r="C1028" s="1" t="n">
        <v>45587</v>
      </c>
      <c r="D1028" t="inlineStr">
        <is>
          <t>JÄMTLANDS LÄN</t>
        </is>
      </c>
      <c r="E1028" t="inlineStr">
        <is>
          <t>HÄRJEDALEN</t>
        </is>
      </c>
      <c r="F1028" t="inlineStr">
        <is>
          <t>SCA</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35396-2023</t>
        </is>
      </c>
      <c r="B1029" s="1" t="n">
        <v>45146</v>
      </c>
      <c r="C1029" s="1" t="n">
        <v>45587</v>
      </c>
      <c r="D1029" t="inlineStr">
        <is>
          <t>JÄMTLANDS LÄN</t>
        </is>
      </c>
      <c r="E1029" t="inlineStr">
        <is>
          <t>HÄRJEDALEN</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35813-2023</t>
        </is>
      </c>
      <c r="B1030" s="1" t="n">
        <v>45147</v>
      </c>
      <c r="C1030" s="1" t="n">
        <v>45587</v>
      </c>
      <c r="D1030" t="inlineStr">
        <is>
          <t>JÄMTLANDS LÄN</t>
        </is>
      </c>
      <c r="E1030" t="inlineStr">
        <is>
          <t>HÄRJEDALEN</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35891-2023</t>
        </is>
      </c>
      <c r="B1031" s="1" t="n">
        <v>45148</v>
      </c>
      <c r="C1031" s="1" t="n">
        <v>45587</v>
      </c>
      <c r="D1031" t="inlineStr">
        <is>
          <t>JÄMTLANDS LÄN</t>
        </is>
      </c>
      <c r="E1031" t="inlineStr">
        <is>
          <t>HÄRJEDALEN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36027-2023</t>
        </is>
      </c>
      <c r="B1032" s="1" t="n">
        <v>45149</v>
      </c>
      <c r="C1032" s="1" t="n">
        <v>45587</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36111-2023</t>
        </is>
      </c>
      <c r="B1033" s="1" t="n">
        <v>45149</v>
      </c>
      <c r="C1033" s="1" t="n">
        <v>45587</v>
      </c>
      <c r="D1033" t="inlineStr">
        <is>
          <t>JÄMTLANDS LÄN</t>
        </is>
      </c>
      <c r="E1033" t="inlineStr">
        <is>
          <t>HÄRJEDALEN</t>
        </is>
      </c>
      <c r="F1033" t="inlineStr">
        <is>
          <t>Bergvik skog väst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36143-2023</t>
        </is>
      </c>
      <c r="B1034" s="1" t="n">
        <v>45149</v>
      </c>
      <c r="C1034" s="1" t="n">
        <v>45587</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36570-2023</t>
        </is>
      </c>
      <c r="B1035" s="1" t="n">
        <v>45153</v>
      </c>
      <c r="C1035" s="1" t="n">
        <v>45587</v>
      </c>
      <c r="D1035" t="inlineStr">
        <is>
          <t>JÄMTLANDS LÄN</t>
        </is>
      </c>
      <c r="E1035" t="inlineStr">
        <is>
          <t>HÄRJEDALEN</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36565-2023</t>
        </is>
      </c>
      <c r="B1036" s="1" t="n">
        <v>45153</v>
      </c>
      <c r="C1036" s="1" t="n">
        <v>45587</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36568-2023</t>
        </is>
      </c>
      <c r="B1037" s="1" t="n">
        <v>45153</v>
      </c>
      <c r="C1037" s="1" t="n">
        <v>45587</v>
      </c>
      <c r="D1037" t="inlineStr">
        <is>
          <t>JÄMTLANDS LÄN</t>
        </is>
      </c>
      <c r="E1037" t="inlineStr">
        <is>
          <t>HÄRJEDALEN</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36651-2023</t>
        </is>
      </c>
      <c r="B1038" s="1" t="n">
        <v>45153</v>
      </c>
      <c r="C1038" s="1" t="n">
        <v>45587</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36720-2023</t>
        </is>
      </c>
      <c r="B1039" s="1" t="n">
        <v>45153</v>
      </c>
      <c r="C1039" s="1" t="n">
        <v>45587</v>
      </c>
      <c r="D1039" t="inlineStr">
        <is>
          <t>JÄMTLANDS LÄN</t>
        </is>
      </c>
      <c r="E1039" t="inlineStr">
        <is>
          <t>HÄRJEDALEN</t>
        </is>
      </c>
      <c r="F1039" t="inlineStr">
        <is>
          <t>Bergvik skog väst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36677-2023</t>
        </is>
      </c>
      <c r="B1040" s="1" t="n">
        <v>45153</v>
      </c>
      <c r="C1040" s="1" t="n">
        <v>45587</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36921-2023</t>
        </is>
      </c>
      <c r="B1041" s="1" t="n">
        <v>45154</v>
      </c>
      <c r="C1041" s="1" t="n">
        <v>45587</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36926-2023</t>
        </is>
      </c>
      <c r="B1042" s="1" t="n">
        <v>45154</v>
      </c>
      <c r="C1042" s="1" t="n">
        <v>45587</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36930-2023</t>
        </is>
      </c>
      <c r="B1043" s="1" t="n">
        <v>45154</v>
      </c>
      <c r="C1043" s="1" t="n">
        <v>45587</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36946-2023</t>
        </is>
      </c>
      <c r="B1044" s="1" t="n">
        <v>45154</v>
      </c>
      <c r="C1044" s="1" t="n">
        <v>45587</v>
      </c>
      <c r="D1044" t="inlineStr">
        <is>
          <t>JÄMTLANDS LÄN</t>
        </is>
      </c>
      <c r="E1044" t="inlineStr">
        <is>
          <t>HÄRJEDALEN</t>
        </is>
      </c>
      <c r="F1044" t="inlineStr">
        <is>
          <t>Kyrkan</t>
        </is>
      </c>
      <c r="G1044" t="n">
        <v>43.1</v>
      </c>
      <c r="H1044" t="n">
        <v>0</v>
      </c>
      <c r="I1044" t="n">
        <v>0</v>
      </c>
      <c r="J1044" t="n">
        <v>0</v>
      </c>
      <c r="K1044" t="n">
        <v>0</v>
      </c>
      <c r="L1044" t="n">
        <v>0</v>
      </c>
      <c r="M1044" t="n">
        <v>0</v>
      </c>
      <c r="N1044" t="n">
        <v>0</v>
      </c>
      <c r="O1044" t="n">
        <v>0</v>
      </c>
      <c r="P1044" t="n">
        <v>0</v>
      </c>
      <c r="Q1044" t="n">
        <v>0</v>
      </c>
      <c r="R1044" s="2" t="inlineStr"/>
    </row>
    <row r="1045" ht="15" customHeight="1">
      <c r="A1045" t="inlineStr">
        <is>
          <t>A 36840-2023</t>
        </is>
      </c>
      <c r="B1045" s="1" t="n">
        <v>45154</v>
      </c>
      <c r="C1045" s="1" t="n">
        <v>45587</v>
      </c>
      <c r="D1045" t="inlineStr">
        <is>
          <t>JÄMTLANDS LÄN</t>
        </is>
      </c>
      <c r="E1045" t="inlineStr">
        <is>
          <t>HÄRJEDALEN</t>
        </is>
      </c>
      <c r="G1045" t="n">
        <v>2.8</v>
      </c>
      <c r="H1045" t="n">
        <v>0</v>
      </c>
      <c r="I1045" t="n">
        <v>0</v>
      </c>
      <c r="J1045" t="n">
        <v>0</v>
      </c>
      <c r="K1045" t="n">
        <v>0</v>
      </c>
      <c r="L1045" t="n">
        <v>0</v>
      </c>
      <c r="M1045" t="n">
        <v>0</v>
      </c>
      <c r="N1045" t="n">
        <v>0</v>
      </c>
      <c r="O1045" t="n">
        <v>0</v>
      </c>
      <c r="P1045" t="n">
        <v>0</v>
      </c>
      <c r="Q1045" t="n">
        <v>0</v>
      </c>
      <c r="R1045" s="2" t="inlineStr"/>
      <c r="U1045">
        <f>HYPERLINK("https://klasma.github.io/Logging_2361/knärot/A 36840-2023 karta knärot.png", "A 36840-2023")</f>
        <v/>
      </c>
      <c r="V1045">
        <f>HYPERLINK("https://klasma.github.io/Logging_2361/klagomål/A 36840-2023 FSC-klagomål.docx", "A 36840-2023")</f>
        <v/>
      </c>
      <c r="W1045">
        <f>HYPERLINK("https://klasma.github.io/Logging_2361/klagomålsmail/A 36840-2023 FSC-klagomål mail.docx", "A 36840-2023")</f>
        <v/>
      </c>
      <c r="X1045">
        <f>HYPERLINK("https://klasma.github.io/Logging_2361/tillsyn/A 36840-2023 tillsynsbegäran.docx", "A 36840-2023")</f>
        <v/>
      </c>
      <c r="Y1045">
        <f>HYPERLINK("https://klasma.github.io/Logging_2361/tillsynsmail/A 36840-2023 tillsynsbegäran mail.docx", "A 36840-2023")</f>
        <v/>
      </c>
    </row>
    <row r="1046" ht="15" customHeight="1">
      <c r="A1046" t="inlineStr">
        <is>
          <t>A 37054-2023</t>
        </is>
      </c>
      <c r="B1046" s="1" t="n">
        <v>45154</v>
      </c>
      <c r="C1046" s="1" t="n">
        <v>45587</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36931-2023</t>
        </is>
      </c>
      <c r="B1047" s="1" t="n">
        <v>45154</v>
      </c>
      <c r="C1047" s="1" t="n">
        <v>45587</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37315-2023</t>
        </is>
      </c>
      <c r="B1048" s="1" t="n">
        <v>45156</v>
      </c>
      <c r="C1048" s="1" t="n">
        <v>45587</v>
      </c>
      <c r="D1048" t="inlineStr">
        <is>
          <t>JÄMTLANDS LÄN</t>
        </is>
      </c>
      <c r="E1048" t="inlineStr">
        <is>
          <t>HÄRJEDALEN</t>
        </is>
      </c>
      <c r="F1048" t="inlineStr">
        <is>
          <t>Bergvik skog väst AB</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37345-2023</t>
        </is>
      </c>
      <c r="B1049" s="1" t="n">
        <v>45156</v>
      </c>
      <c r="C1049" s="1" t="n">
        <v>45587</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37365-2023</t>
        </is>
      </c>
      <c r="B1050" s="1" t="n">
        <v>45156</v>
      </c>
      <c r="C1050" s="1" t="n">
        <v>45587</v>
      </c>
      <c r="D1050" t="inlineStr">
        <is>
          <t>JÄMTLANDS LÄN</t>
        </is>
      </c>
      <c r="E1050" t="inlineStr">
        <is>
          <t>HÄRJEDALEN</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37363-2023</t>
        </is>
      </c>
      <c r="B1051" s="1" t="n">
        <v>45156</v>
      </c>
      <c r="C1051" s="1" t="n">
        <v>45587</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37638-2023</t>
        </is>
      </c>
      <c r="B1052" s="1" t="n">
        <v>45159</v>
      </c>
      <c r="C1052" s="1" t="n">
        <v>45587</v>
      </c>
      <c r="D1052" t="inlineStr">
        <is>
          <t>JÄMTLANDS LÄN</t>
        </is>
      </c>
      <c r="E1052" t="inlineStr">
        <is>
          <t>HÄRJEDALEN</t>
        </is>
      </c>
      <c r="F1052" t="inlineStr">
        <is>
          <t>Bergvik skog väst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37764-2023</t>
        </is>
      </c>
      <c r="B1053" s="1" t="n">
        <v>45159</v>
      </c>
      <c r="C1053" s="1" t="n">
        <v>45587</v>
      </c>
      <c r="D1053" t="inlineStr">
        <is>
          <t>JÄMTLANDS LÄN</t>
        </is>
      </c>
      <c r="E1053" t="inlineStr">
        <is>
          <t>HÄRJEDALEN</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37715-2023</t>
        </is>
      </c>
      <c r="B1054" s="1" t="n">
        <v>45159</v>
      </c>
      <c r="C1054" s="1" t="n">
        <v>45587</v>
      </c>
      <c r="D1054" t="inlineStr">
        <is>
          <t>JÄMTLANDS LÄN</t>
        </is>
      </c>
      <c r="E1054" t="inlineStr">
        <is>
          <t>HÄRJEDALEN</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37719-2023</t>
        </is>
      </c>
      <c r="B1055" s="1" t="n">
        <v>45159</v>
      </c>
      <c r="C1055" s="1" t="n">
        <v>45587</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45587</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37762-2023</t>
        </is>
      </c>
      <c r="B1057" s="1" t="n">
        <v>45159</v>
      </c>
      <c r="C1057" s="1" t="n">
        <v>45587</v>
      </c>
      <c r="D1057" t="inlineStr">
        <is>
          <t>JÄMTLANDS LÄN</t>
        </is>
      </c>
      <c r="E1057" t="inlineStr">
        <is>
          <t>HÄRJEDALEN</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38683-2023</t>
        </is>
      </c>
      <c r="B1058" s="1" t="n">
        <v>45162</v>
      </c>
      <c r="C1058" s="1" t="n">
        <v>45587</v>
      </c>
      <c r="D1058" t="inlineStr">
        <is>
          <t>JÄMTLANDS LÄN</t>
        </is>
      </c>
      <c r="E1058" t="inlineStr">
        <is>
          <t>HÄRJEDALEN</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38929-2023</t>
        </is>
      </c>
      <c r="B1059" s="1" t="n">
        <v>45163</v>
      </c>
      <c r="C1059" s="1" t="n">
        <v>45587</v>
      </c>
      <c r="D1059" t="inlineStr">
        <is>
          <t>JÄMTLANDS LÄN</t>
        </is>
      </c>
      <c r="E1059" t="inlineStr">
        <is>
          <t>HÄRJEDALEN</t>
        </is>
      </c>
      <c r="G1059" t="n">
        <v>23.1</v>
      </c>
      <c r="H1059" t="n">
        <v>0</v>
      </c>
      <c r="I1059" t="n">
        <v>0</v>
      </c>
      <c r="J1059" t="n">
        <v>0</v>
      </c>
      <c r="K1059" t="n">
        <v>0</v>
      </c>
      <c r="L1059" t="n">
        <v>0</v>
      </c>
      <c r="M1059" t="n">
        <v>0</v>
      </c>
      <c r="N1059" t="n">
        <v>0</v>
      </c>
      <c r="O1059" t="n">
        <v>0</v>
      </c>
      <c r="P1059" t="n">
        <v>0</v>
      </c>
      <c r="Q1059" t="n">
        <v>0</v>
      </c>
      <c r="R1059" s="2" t="inlineStr"/>
    </row>
    <row r="1060" ht="15" customHeight="1">
      <c r="A1060" t="inlineStr">
        <is>
          <t>A 39158-2023</t>
        </is>
      </c>
      <c r="B1060" s="1" t="n">
        <v>45166</v>
      </c>
      <c r="C1060" s="1" t="n">
        <v>45587</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39355-2023</t>
        </is>
      </c>
      <c r="B1061" s="1" t="n">
        <v>45166</v>
      </c>
      <c r="C1061" s="1" t="n">
        <v>45587</v>
      </c>
      <c r="D1061" t="inlineStr">
        <is>
          <t>JÄMTLANDS LÄN</t>
        </is>
      </c>
      <c r="E1061" t="inlineStr">
        <is>
          <t>HÄRJEDALEN</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39614-2023</t>
        </is>
      </c>
      <c r="B1062" s="1" t="n">
        <v>45167</v>
      </c>
      <c r="C1062" s="1" t="n">
        <v>45587</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39612-2023</t>
        </is>
      </c>
      <c r="B1063" s="1" t="n">
        <v>45167</v>
      </c>
      <c r="C1063" s="1" t="n">
        <v>45587</v>
      </c>
      <c r="D1063" t="inlineStr">
        <is>
          <t>JÄMTLANDS LÄN</t>
        </is>
      </c>
      <c r="E1063" t="inlineStr">
        <is>
          <t>HÄRJEDALEN</t>
        </is>
      </c>
      <c r="F1063" t="inlineStr">
        <is>
          <t>Bergvik skog väst AB</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39649-2023</t>
        </is>
      </c>
      <c r="B1064" s="1" t="n">
        <v>45167</v>
      </c>
      <c r="C1064" s="1" t="n">
        <v>45587</v>
      </c>
      <c r="D1064" t="inlineStr">
        <is>
          <t>JÄMTLANDS LÄN</t>
        </is>
      </c>
      <c r="E1064" t="inlineStr">
        <is>
          <t>HÄRJEDALEN</t>
        </is>
      </c>
      <c r="F1064" t="inlineStr">
        <is>
          <t>Bergvik skog väst AB</t>
        </is>
      </c>
      <c r="G1064" t="n">
        <v>23.6</v>
      </c>
      <c r="H1064" t="n">
        <v>0</v>
      </c>
      <c r="I1064" t="n">
        <v>0</v>
      </c>
      <c r="J1064" t="n">
        <v>0</v>
      </c>
      <c r="K1064" t="n">
        <v>0</v>
      </c>
      <c r="L1064" t="n">
        <v>0</v>
      </c>
      <c r="M1064" t="n">
        <v>0</v>
      </c>
      <c r="N1064" t="n">
        <v>0</v>
      </c>
      <c r="O1064" t="n">
        <v>0</v>
      </c>
      <c r="P1064" t="n">
        <v>0</v>
      </c>
      <c r="Q1064" t="n">
        <v>0</v>
      </c>
      <c r="R1064" s="2" t="inlineStr"/>
      <c r="U1064">
        <f>HYPERLINK("https://klasma.github.io/Logging_2361/knärot/A 39649-2023 karta knärot.png", "A 39649-2023")</f>
        <v/>
      </c>
      <c r="V1064">
        <f>HYPERLINK("https://klasma.github.io/Logging_2361/klagomål/A 39649-2023 FSC-klagomål.docx", "A 39649-2023")</f>
        <v/>
      </c>
      <c r="W1064">
        <f>HYPERLINK("https://klasma.github.io/Logging_2361/klagomålsmail/A 39649-2023 FSC-klagomål mail.docx", "A 39649-2023")</f>
        <v/>
      </c>
      <c r="X1064">
        <f>HYPERLINK("https://klasma.github.io/Logging_2361/tillsyn/A 39649-2023 tillsynsbegäran.docx", "A 39649-2023")</f>
        <v/>
      </c>
      <c r="Y1064">
        <f>HYPERLINK("https://klasma.github.io/Logging_2361/tillsynsmail/A 39649-2023 tillsynsbegäran mail.docx", "A 39649-2023")</f>
        <v/>
      </c>
    </row>
    <row r="1065" ht="15" customHeight="1">
      <c r="A1065" t="inlineStr">
        <is>
          <t>A 40215-2023</t>
        </is>
      </c>
      <c r="B1065" s="1" t="n">
        <v>45169</v>
      </c>
      <c r="C1065" s="1" t="n">
        <v>45587</v>
      </c>
      <c r="D1065" t="inlineStr">
        <is>
          <t>JÄMTLANDS LÄN</t>
        </is>
      </c>
      <c r="E1065" t="inlineStr">
        <is>
          <t>HÄRJEDALEN</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40217-2023</t>
        </is>
      </c>
      <c r="B1066" s="1" t="n">
        <v>45169</v>
      </c>
      <c r="C1066" s="1" t="n">
        <v>45587</v>
      </c>
      <c r="D1066" t="inlineStr">
        <is>
          <t>JÄMTLANDS LÄN</t>
        </is>
      </c>
      <c r="E1066" t="inlineStr">
        <is>
          <t>HÄRJEDALEN</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40560-2023</t>
        </is>
      </c>
      <c r="B1067" s="1" t="n">
        <v>45170</v>
      </c>
      <c r="C1067" s="1" t="n">
        <v>45587</v>
      </c>
      <c r="D1067" t="inlineStr">
        <is>
          <t>JÄMTLANDS LÄN</t>
        </is>
      </c>
      <c r="E1067" t="inlineStr">
        <is>
          <t>HÄRJEDALEN</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40569-2023</t>
        </is>
      </c>
      <c r="B1068" s="1" t="n">
        <v>45170</v>
      </c>
      <c r="C1068" s="1" t="n">
        <v>45587</v>
      </c>
      <c r="D1068" t="inlineStr">
        <is>
          <t>JÄMTLANDS LÄN</t>
        </is>
      </c>
      <c r="E1068" t="inlineStr">
        <is>
          <t>HÄRJEDALEN</t>
        </is>
      </c>
      <c r="F1068" t="inlineStr">
        <is>
          <t>Holmen skog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40578-2023</t>
        </is>
      </c>
      <c r="B1069" s="1" t="n">
        <v>45170</v>
      </c>
      <c r="C1069" s="1" t="n">
        <v>45587</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40664-2023</t>
        </is>
      </c>
      <c r="B1070" s="1" t="n">
        <v>45170</v>
      </c>
      <c r="C1070" s="1" t="n">
        <v>45587</v>
      </c>
      <c r="D1070" t="inlineStr">
        <is>
          <t>JÄMTLANDS LÄN</t>
        </is>
      </c>
      <c r="E1070" t="inlineStr">
        <is>
          <t>HÄRJEDALEN</t>
        </is>
      </c>
      <c r="G1070" t="n">
        <v>65.3</v>
      </c>
      <c r="H1070" t="n">
        <v>0</v>
      </c>
      <c r="I1070" t="n">
        <v>0</v>
      </c>
      <c r="J1070" t="n">
        <v>0</v>
      </c>
      <c r="K1070" t="n">
        <v>0</v>
      </c>
      <c r="L1070" t="n">
        <v>0</v>
      </c>
      <c r="M1070" t="n">
        <v>0</v>
      </c>
      <c r="N1070" t="n">
        <v>0</v>
      </c>
      <c r="O1070" t="n">
        <v>0</v>
      </c>
      <c r="P1070" t="n">
        <v>0</v>
      </c>
      <c r="Q1070" t="n">
        <v>0</v>
      </c>
      <c r="R1070" s="2" t="inlineStr"/>
    </row>
    <row r="1071" ht="15" customHeight="1">
      <c r="A1071" t="inlineStr">
        <is>
          <t>A 40567-2023</t>
        </is>
      </c>
      <c r="B1071" s="1" t="n">
        <v>45170</v>
      </c>
      <c r="C1071" s="1" t="n">
        <v>45587</v>
      </c>
      <c r="D1071" t="inlineStr">
        <is>
          <t>JÄMTLANDS LÄN</t>
        </is>
      </c>
      <c r="E1071" t="inlineStr">
        <is>
          <t>HÄRJEDALEN</t>
        </is>
      </c>
      <c r="F1071" t="inlineStr">
        <is>
          <t>Holmen skog AB</t>
        </is>
      </c>
      <c r="G1071" t="n">
        <v>19.4</v>
      </c>
      <c r="H1071" t="n">
        <v>0</v>
      </c>
      <c r="I1071" t="n">
        <v>0</v>
      </c>
      <c r="J1071" t="n">
        <v>0</v>
      </c>
      <c r="K1071" t="n">
        <v>0</v>
      </c>
      <c r="L1071" t="n">
        <v>0</v>
      </c>
      <c r="M1071" t="n">
        <v>0</v>
      </c>
      <c r="N1071" t="n">
        <v>0</v>
      </c>
      <c r="O1071" t="n">
        <v>0</v>
      </c>
      <c r="P1071" t="n">
        <v>0</v>
      </c>
      <c r="Q1071" t="n">
        <v>0</v>
      </c>
      <c r="R1071" s="2" t="inlineStr"/>
    </row>
    <row r="1072" ht="15" customHeight="1">
      <c r="A1072" t="inlineStr">
        <is>
          <t>A 40573-2023</t>
        </is>
      </c>
      <c r="B1072" s="1" t="n">
        <v>45170</v>
      </c>
      <c r="C1072" s="1" t="n">
        <v>45587</v>
      </c>
      <c r="D1072" t="inlineStr">
        <is>
          <t>JÄMTLANDS LÄN</t>
        </is>
      </c>
      <c r="E1072" t="inlineStr">
        <is>
          <t>HÄRJEDALEN</t>
        </is>
      </c>
      <c r="F1072" t="inlineStr">
        <is>
          <t>Holmen skog AB</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40900-2023</t>
        </is>
      </c>
      <c r="B1073" s="1" t="n">
        <v>45173</v>
      </c>
      <c r="C1073" s="1" t="n">
        <v>45587</v>
      </c>
      <c r="D1073" t="inlineStr">
        <is>
          <t>JÄMTLANDS LÄN</t>
        </is>
      </c>
      <c r="E1073" t="inlineStr">
        <is>
          <t>HÄRJEDALEN</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40904-2023</t>
        </is>
      </c>
      <c r="B1074" s="1" t="n">
        <v>45173</v>
      </c>
      <c r="C1074" s="1" t="n">
        <v>45587</v>
      </c>
      <c r="D1074" t="inlineStr">
        <is>
          <t>JÄMTLANDS LÄN</t>
        </is>
      </c>
      <c r="E1074" t="inlineStr">
        <is>
          <t>HÄRJEDALEN</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45587</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45587</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41955-2023</t>
        </is>
      </c>
      <c r="B1077" s="1" t="n">
        <v>45174</v>
      </c>
      <c r="C1077" s="1" t="n">
        <v>45587</v>
      </c>
      <c r="D1077" t="inlineStr">
        <is>
          <t>JÄMTLANDS LÄN</t>
        </is>
      </c>
      <c r="E1077" t="inlineStr">
        <is>
          <t>HÄRJEDALEN</t>
        </is>
      </c>
      <c r="G1077" t="n">
        <v>60.4</v>
      </c>
      <c r="H1077" t="n">
        <v>0</v>
      </c>
      <c r="I1077" t="n">
        <v>0</v>
      </c>
      <c r="J1077" t="n">
        <v>0</v>
      </c>
      <c r="K1077" t="n">
        <v>0</v>
      </c>
      <c r="L1077" t="n">
        <v>0</v>
      </c>
      <c r="M1077" t="n">
        <v>0</v>
      </c>
      <c r="N1077" t="n">
        <v>0</v>
      </c>
      <c r="O1077" t="n">
        <v>0</v>
      </c>
      <c r="P1077" t="n">
        <v>0</v>
      </c>
      <c r="Q1077" t="n">
        <v>0</v>
      </c>
      <c r="R1077" s="2" t="inlineStr"/>
    </row>
    <row r="1078" ht="15" customHeight="1">
      <c r="A1078" t="inlineStr">
        <is>
          <t>A 42146-2023</t>
        </is>
      </c>
      <c r="B1078" s="1" t="n">
        <v>45178</v>
      </c>
      <c r="C1078" s="1" t="n">
        <v>45587</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42143-2023</t>
        </is>
      </c>
      <c r="B1079" s="1" t="n">
        <v>45178</v>
      </c>
      <c r="C1079" s="1" t="n">
        <v>45587</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43192-2023</t>
        </is>
      </c>
      <c r="B1080" s="1" t="n">
        <v>45180</v>
      </c>
      <c r="C1080" s="1" t="n">
        <v>45587</v>
      </c>
      <c r="D1080" t="inlineStr">
        <is>
          <t>JÄMTLANDS LÄN</t>
        </is>
      </c>
      <c r="E1080" t="inlineStr">
        <is>
          <t>HÄRJEDALEN</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43211-2023</t>
        </is>
      </c>
      <c r="B1081" s="1" t="n">
        <v>45180</v>
      </c>
      <c r="C1081" s="1" t="n">
        <v>45587</v>
      </c>
      <c r="D1081" t="inlineStr">
        <is>
          <t>JÄMTLANDS LÄN</t>
        </is>
      </c>
      <c r="E1081" t="inlineStr">
        <is>
          <t>HÄRJEDALEN</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42720-2023</t>
        </is>
      </c>
      <c r="B1082" s="1" t="n">
        <v>45181</v>
      </c>
      <c r="C1082" s="1" t="n">
        <v>45587</v>
      </c>
      <c r="D1082" t="inlineStr">
        <is>
          <t>JÄMTLANDS LÄN</t>
        </is>
      </c>
      <c r="E1082" t="inlineStr">
        <is>
          <t>HÄRJEDALEN</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43503-2023</t>
        </is>
      </c>
      <c r="B1083" s="1" t="n">
        <v>45184</v>
      </c>
      <c r="C1083" s="1" t="n">
        <v>45587</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43481-2023</t>
        </is>
      </c>
      <c r="B1084" s="1" t="n">
        <v>45184</v>
      </c>
      <c r="C1084" s="1" t="n">
        <v>45587</v>
      </c>
      <c r="D1084" t="inlineStr">
        <is>
          <t>JÄMTLANDS LÄN</t>
        </is>
      </c>
      <c r="E1084" t="inlineStr">
        <is>
          <t>HÄRJEDALEN</t>
        </is>
      </c>
      <c r="F1084" t="inlineStr">
        <is>
          <t>Bergvik skog väst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43870-2023</t>
        </is>
      </c>
      <c r="B1085" s="1" t="n">
        <v>45187</v>
      </c>
      <c r="C1085" s="1" t="n">
        <v>45587</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43804-2023</t>
        </is>
      </c>
      <c r="B1086" s="1" t="n">
        <v>45187</v>
      </c>
      <c r="C1086" s="1" t="n">
        <v>45587</v>
      </c>
      <c r="D1086" t="inlineStr">
        <is>
          <t>JÄMTLANDS LÄN</t>
        </is>
      </c>
      <c r="E1086" t="inlineStr">
        <is>
          <t>HÄRJEDALEN</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43811-2023</t>
        </is>
      </c>
      <c r="B1087" s="1" t="n">
        <v>45187</v>
      </c>
      <c r="C1087" s="1" t="n">
        <v>45587</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43820-2023</t>
        </is>
      </c>
      <c r="B1088" s="1" t="n">
        <v>45187</v>
      </c>
      <c r="C1088" s="1" t="n">
        <v>45587</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44102-2023</t>
        </is>
      </c>
      <c r="B1089" s="1" t="n">
        <v>45188</v>
      </c>
      <c r="C1089" s="1" t="n">
        <v>45587</v>
      </c>
      <c r="D1089" t="inlineStr">
        <is>
          <t>JÄMTLANDS LÄN</t>
        </is>
      </c>
      <c r="E1089" t="inlineStr">
        <is>
          <t>HÄRJEDALEN</t>
        </is>
      </c>
      <c r="F1089" t="inlineStr">
        <is>
          <t>Bergvik skog väst AB</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44270-2023</t>
        </is>
      </c>
      <c r="B1090" s="1" t="n">
        <v>45188</v>
      </c>
      <c r="C1090" s="1" t="n">
        <v>45587</v>
      </c>
      <c r="D1090" t="inlineStr">
        <is>
          <t>JÄMTLANDS LÄN</t>
        </is>
      </c>
      <c r="E1090" t="inlineStr">
        <is>
          <t>HÄRJEDALEN</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45640-2023</t>
        </is>
      </c>
      <c r="B1091" s="1" t="n">
        <v>45188</v>
      </c>
      <c r="C1091" s="1" t="n">
        <v>45587</v>
      </c>
      <c r="D1091" t="inlineStr">
        <is>
          <t>JÄMTLANDS LÄN</t>
        </is>
      </c>
      <c r="E1091" t="inlineStr">
        <is>
          <t>HÄRJEDALEN</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45179-2023</t>
        </is>
      </c>
      <c r="B1092" s="1" t="n">
        <v>45191</v>
      </c>
      <c r="C1092" s="1" t="n">
        <v>45587</v>
      </c>
      <c r="D1092" t="inlineStr">
        <is>
          <t>JÄMTLANDS LÄN</t>
        </is>
      </c>
      <c r="E1092" t="inlineStr">
        <is>
          <t>HÄRJEDALEN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45143-2023</t>
        </is>
      </c>
      <c r="B1093" s="1" t="n">
        <v>45191</v>
      </c>
      <c r="C1093" s="1" t="n">
        <v>45587</v>
      </c>
      <c r="D1093" t="inlineStr">
        <is>
          <t>JÄMTLANDS LÄN</t>
        </is>
      </c>
      <c r="E1093" t="inlineStr">
        <is>
          <t>HÄRJEDALEN</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45274-2023</t>
        </is>
      </c>
      <c r="B1094" s="1" t="n">
        <v>45191</v>
      </c>
      <c r="C1094" s="1" t="n">
        <v>45587</v>
      </c>
      <c r="D1094" t="inlineStr">
        <is>
          <t>JÄMTLANDS LÄN</t>
        </is>
      </c>
      <c r="E1094" t="inlineStr">
        <is>
          <t>HÄRJEDALEN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45491-2023</t>
        </is>
      </c>
      <c r="B1095" s="1" t="n">
        <v>45194</v>
      </c>
      <c r="C1095" s="1" t="n">
        <v>45587</v>
      </c>
      <c r="D1095" t="inlineStr">
        <is>
          <t>JÄMTLANDS LÄN</t>
        </is>
      </c>
      <c r="E1095" t="inlineStr">
        <is>
          <t>HÄRJEDALEN</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45495-2023</t>
        </is>
      </c>
      <c r="B1096" s="1" t="n">
        <v>45194</v>
      </c>
      <c r="C1096" s="1" t="n">
        <v>45587</v>
      </c>
      <c r="D1096" t="inlineStr">
        <is>
          <t>JÄMTLANDS LÄN</t>
        </is>
      </c>
      <c r="E1096" t="inlineStr">
        <is>
          <t>HÄRJEDALEN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45613-2023</t>
        </is>
      </c>
      <c r="B1097" s="1" t="n">
        <v>45194</v>
      </c>
      <c r="C1097" s="1" t="n">
        <v>45587</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45636-2023</t>
        </is>
      </c>
      <c r="B1098" s="1" t="n">
        <v>45194</v>
      </c>
      <c r="C1098" s="1" t="n">
        <v>45587</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45616-2023</t>
        </is>
      </c>
      <c r="B1099" s="1" t="n">
        <v>45194</v>
      </c>
      <c r="C1099" s="1" t="n">
        <v>45587</v>
      </c>
      <c r="D1099" t="inlineStr">
        <is>
          <t>JÄMTLANDS LÄN</t>
        </is>
      </c>
      <c r="E1099" t="inlineStr">
        <is>
          <t>HÄRJEDALEN</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45684-2023</t>
        </is>
      </c>
      <c r="B1100" s="1" t="n">
        <v>45195</v>
      </c>
      <c r="C1100" s="1" t="n">
        <v>45587</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45716-2023</t>
        </is>
      </c>
      <c r="B1101" s="1" t="n">
        <v>45195</v>
      </c>
      <c r="C1101" s="1" t="n">
        <v>45587</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45720-2023</t>
        </is>
      </c>
      <c r="B1102" s="1" t="n">
        <v>45195</v>
      </c>
      <c r="C1102" s="1" t="n">
        <v>45587</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45747-2023</t>
        </is>
      </c>
      <c r="B1103" s="1" t="n">
        <v>45195</v>
      </c>
      <c r="C1103" s="1" t="n">
        <v>45587</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v>
      </c>
      <c r="C1104" s="1" t="n">
        <v>45587</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45843-2023</t>
        </is>
      </c>
      <c r="B1105" s="1" t="n">
        <v>45195</v>
      </c>
      <c r="C1105" s="1" t="n">
        <v>45587</v>
      </c>
      <c r="D1105" t="inlineStr">
        <is>
          <t>JÄMTLANDS LÄN</t>
        </is>
      </c>
      <c r="E1105" t="inlineStr">
        <is>
          <t>HÄRJEDALEN</t>
        </is>
      </c>
      <c r="G1105" t="n">
        <v>19.5</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45587</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46383-2023</t>
        </is>
      </c>
      <c r="B1107" s="1" t="n">
        <v>45197</v>
      </c>
      <c r="C1107" s="1" t="n">
        <v>45587</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46394-2023</t>
        </is>
      </c>
      <c r="B1108" s="1" t="n">
        <v>45197</v>
      </c>
      <c r="C1108" s="1" t="n">
        <v>45587</v>
      </c>
      <c r="D1108" t="inlineStr">
        <is>
          <t>JÄMTLANDS LÄN</t>
        </is>
      </c>
      <c r="E1108" t="inlineStr">
        <is>
          <t>HÄRJEDALEN</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46977-2023</t>
        </is>
      </c>
      <c r="B1109" s="1" t="n">
        <v>45201</v>
      </c>
      <c r="C1109" s="1" t="n">
        <v>45587</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46993-2023</t>
        </is>
      </c>
      <c r="B1110" s="1" t="n">
        <v>45201</v>
      </c>
      <c r="C1110" s="1" t="n">
        <v>45587</v>
      </c>
      <c r="D1110" t="inlineStr">
        <is>
          <t>JÄMTLANDS LÄN</t>
        </is>
      </c>
      <c r="E1110" t="inlineStr">
        <is>
          <t>HÄRJEDALEN</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47095-2023</t>
        </is>
      </c>
      <c r="B1111" s="1" t="n">
        <v>45201</v>
      </c>
      <c r="C1111" s="1" t="n">
        <v>45587</v>
      </c>
      <c r="D1111" t="inlineStr">
        <is>
          <t>JÄMTLANDS LÄN</t>
        </is>
      </c>
      <c r="E1111" t="inlineStr">
        <is>
          <t>HÄRJEDALEN</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47244-2023</t>
        </is>
      </c>
      <c r="B1112" s="1" t="n">
        <v>45202</v>
      </c>
      <c r="C1112" s="1" t="n">
        <v>45587</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47546-2023</t>
        </is>
      </c>
      <c r="B1113" s="1" t="n">
        <v>45203</v>
      </c>
      <c r="C1113" s="1" t="n">
        <v>45587</v>
      </c>
      <c r="D1113" t="inlineStr">
        <is>
          <t>JÄMTLANDS LÄN</t>
        </is>
      </c>
      <c r="E1113" t="inlineStr">
        <is>
          <t>HÄRJEDALEN</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47705-2023</t>
        </is>
      </c>
      <c r="B1114" s="1" t="n">
        <v>45203</v>
      </c>
      <c r="C1114" s="1" t="n">
        <v>45587</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47510-2023</t>
        </is>
      </c>
      <c r="B1115" s="1" t="n">
        <v>45203</v>
      </c>
      <c r="C1115" s="1" t="n">
        <v>45587</v>
      </c>
      <c r="D1115" t="inlineStr">
        <is>
          <t>JÄMTLANDS LÄN</t>
        </is>
      </c>
      <c r="E1115" t="inlineStr">
        <is>
          <t>HÄRJEDALEN</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47795-2023</t>
        </is>
      </c>
      <c r="B1116" s="1" t="n">
        <v>45204</v>
      </c>
      <c r="C1116" s="1" t="n">
        <v>45587</v>
      </c>
      <c r="D1116" t="inlineStr">
        <is>
          <t>JÄMTLANDS LÄN</t>
        </is>
      </c>
      <c r="E1116" t="inlineStr">
        <is>
          <t>HÄRJEDALEN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48669-2023</t>
        </is>
      </c>
      <c r="B1117" s="1" t="n">
        <v>45203</v>
      </c>
      <c r="C1117" s="1" t="n">
        <v>45587</v>
      </c>
      <c r="D1117" t="inlineStr">
        <is>
          <t>JÄMTLANDS LÄN</t>
        </is>
      </c>
      <c r="E1117" t="inlineStr">
        <is>
          <t>HÄRJEDALEN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47955-2023</t>
        </is>
      </c>
      <c r="B1118" s="1" t="n">
        <v>45204</v>
      </c>
      <c r="C1118" s="1" t="n">
        <v>45587</v>
      </c>
      <c r="D1118" t="inlineStr">
        <is>
          <t>JÄMTLANDS LÄN</t>
        </is>
      </c>
      <c r="E1118" t="inlineStr">
        <is>
          <t>HÄRJEDALEN</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48051-2023</t>
        </is>
      </c>
      <c r="B1119" s="1" t="n">
        <v>45204</v>
      </c>
      <c r="C1119" s="1" t="n">
        <v>45587</v>
      </c>
      <c r="D1119" t="inlineStr">
        <is>
          <t>JÄMTLANDS LÄN</t>
        </is>
      </c>
      <c r="E1119" t="inlineStr">
        <is>
          <t>HÄRJEDALEN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48050-2023</t>
        </is>
      </c>
      <c r="B1120" s="1" t="n">
        <v>45204</v>
      </c>
      <c r="C1120" s="1" t="n">
        <v>45587</v>
      </c>
      <c r="D1120" t="inlineStr">
        <is>
          <t>JÄMTLANDS LÄN</t>
        </is>
      </c>
      <c r="E1120" t="inlineStr">
        <is>
          <t>HÄRJEDALEN</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48048-2023</t>
        </is>
      </c>
      <c r="B1121" s="1" t="n">
        <v>45204</v>
      </c>
      <c r="C1121" s="1" t="n">
        <v>45587</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48100-2023</t>
        </is>
      </c>
      <c r="B1122" s="1" t="n">
        <v>45205</v>
      </c>
      <c r="C1122" s="1" t="n">
        <v>45587</v>
      </c>
      <c r="D1122" t="inlineStr">
        <is>
          <t>JÄMTLANDS LÄN</t>
        </is>
      </c>
      <c r="E1122" t="inlineStr">
        <is>
          <t>HÄRJEDALEN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48213-2023</t>
        </is>
      </c>
      <c r="B1123" s="1" t="n">
        <v>45205</v>
      </c>
      <c r="C1123" s="1" t="n">
        <v>45587</v>
      </c>
      <c r="D1123" t="inlineStr">
        <is>
          <t>JÄMTLANDS LÄN</t>
        </is>
      </c>
      <c r="E1123" t="inlineStr">
        <is>
          <t>HÄRJEDALEN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48179-2023</t>
        </is>
      </c>
      <c r="B1124" s="1" t="n">
        <v>45205</v>
      </c>
      <c r="C1124" s="1" t="n">
        <v>45587</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48299-2023</t>
        </is>
      </c>
      <c r="B1125" s="1" t="n">
        <v>45205</v>
      </c>
      <c r="C1125" s="1" t="n">
        <v>45587</v>
      </c>
      <c r="D1125" t="inlineStr">
        <is>
          <t>JÄMTLANDS LÄN</t>
        </is>
      </c>
      <c r="E1125" t="inlineStr">
        <is>
          <t>HÄRJEDALEN</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48318-2023</t>
        </is>
      </c>
      <c r="B1126" s="1" t="n">
        <v>45205</v>
      </c>
      <c r="C1126" s="1" t="n">
        <v>45587</v>
      </c>
      <c r="D1126" t="inlineStr">
        <is>
          <t>JÄMTLANDS LÄN</t>
        </is>
      </c>
      <c r="E1126" t="inlineStr">
        <is>
          <t>HÄRJEDALEN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48226-2023</t>
        </is>
      </c>
      <c r="B1127" s="1" t="n">
        <v>45205</v>
      </c>
      <c r="C1127" s="1" t="n">
        <v>45587</v>
      </c>
      <c r="D1127" t="inlineStr">
        <is>
          <t>JÄMTLANDS LÄN</t>
        </is>
      </c>
      <c r="E1127" t="inlineStr">
        <is>
          <t>HÄRJEDALEN</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48364-2023</t>
        </is>
      </c>
      <c r="B1128" s="1" t="n">
        <v>45205</v>
      </c>
      <c r="C1128" s="1" t="n">
        <v>45587</v>
      </c>
      <c r="D1128" t="inlineStr">
        <is>
          <t>JÄMTLANDS LÄN</t>
        </is>
      </c>
      <c r="E1128" t="inlineStr">
        <is>
          <t>HÄRJEDALEN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48438-2023</t>
        </is>
      </c>
      <c r="B1129" s="1" t="n">
        <v>45205</v>
      </c>
      <c r="C1129" s="1" t="n">
        <v>45587</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48201-2023</t>
        </is>
      </c>
      <c r="B1130" s="1" t="n">
        <v>45205</v>
      </c>
      <c r="C1130" s="1" t="n">
        <v>45587</v>
      </c>
      <c r="D1130" t="inlineStr">
        <is>
          <t>JÄMTLANDS LÄN</t>
        </is>
      </c>
      <c r="E1130" t="inlineStr">
        <is>
          <t>HÄRJEDALEN</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48485-2023</t>
        </is>
      </c>
      <c r="B1131" s="1" t="n">
        <v>45206</v>
      </c>
      <c r="C1131" s="1" t="n">
        <v>45587</v>
      </c>
      <c r="D1131" t="inlineStr">
        <is>
          <t>JÄMTLANDS LÄN</t>
        </is>
      </c>
      <c r="E1131" t="inlineStr">
        <is>
          <t>HÄRJEDALEN</t>
        </is>
      </c>
      <c r="F1131" t="inlineStr">
        <is>
          <t>SCA</t>
        </is>
      </c>
      <c r="G1131" t="n">
        <v>23.3</v>
      </c>
      <c r="H1131" t="n">
        <v>0</v>
      </c>
      <c r="I1131" t="n">
        <v>0</v>
      </c>
      <c r="J1131" t="n">
        <v>0</v>
      </c>
      <c r="K1131" t="n">
        <v>0</v>
      </c>
      <c r="L1131" t="n">
        <v>0</v>
      </c>
      <c r="M1131" t="n">
        <v>0</v>
      </c>
      <c r="N1131" t="n">
        <v>0</v>
      </c>
      <c r="O1131" t="n">
        <v>0</v>
      </c>
      <c r="P1131" t="n">
        <v>0</v>
      </c>
      <c r="Q1131" t="n">
        <v>0</v>
      </c>
      <c r="R1131" s="2" t="inlineStr"/>
    </row>
    <row r="1132" ht="15" customHeight="1">
      <c r="A1132" t="inlineStr">
        <is>
          <t>A 48583-2023</t>
        </is>
      </c>
      <c r="B1132" s="1" t="n">
        <v>45208</v>
      </c>
      <c r="C1132" s="1" t="n">
        <v>45587</v>
      </c>
      <c r="D1132" t="inlineStr">
        <is>
          <t>JÄMTLANDS LÄN</t>
        </is>
      </c>
      <c r="E1132" t="inlineStr">
        <is>
          <t>HÄRJEDALEN</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48675-2023</t>
        </is>
      </c>
      <c r="B1133" s="1" t="n">
        <v>45208</v>
      </c>
      <c r="C1133" s="1" t="n">
        <v>45587</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48689-2023</t>
        </is>
      </c>
      <c r="B1134" s="1" t="n">
        <v>45208</v>
      </c>
      <c r="C1134" s="1" t="n">
        <v>45587</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48708-2023</t>
        </is>
      </c>
      <c r="B1135" s="1" t="n">
        <v>45208</v>
      </c>
      <c r="C1135" s="1" t="n">
        <v>45587</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48854-2023</t>
        </is>
      </c>
      <c r="B1136" s="1" t="n">
        <v>45209</v>
      </c>
      <c r="C1136" s="1" t="n">
        <v>45587</v>
      </c>
      <c r="D1136" t="inlineStr">
        <is>
          <t>JÄMTLANDS LÄN</t>
        </is>
      </c>
      <c r="E1136" t="inlineStr">
        <is>
          <t>HÄRJEDALEN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48867-2023</t>
        </is>
      </c>
      <c r="B1137" s="1" t="n">
        <v>45209</v>
      </c>
      <c r="C1137" s="1" t="n">
        <v>45587</v>
      </c>
      <c r="D1137" t="inlineStr">
        <is>
          <t>JÄMTLANDS LÄN</t>
        </is>
      </c>
      <c r="E1137" t="inlineStr">
        <is>
          <t>HÄRJEDALEN</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49120-2023</t>
        </is>
      </c>
      <c r="B1138" s="1" t="n">
        <v>45210</v>
      </c>
      <c r="C1138" s="1" t="n">
        <v>45587</v>
      </c>
      <c r="D1138" t="inlineStr">
        <is>
          <t>JÄMTLANDS LÄN</t>
        </is>
      </c>
      <c r="E1138" t="inlineStr">
        <is>
          <t>HÄRJEDALEN</t>
        </is>
      </c>
      <c r="G1138" t="n">
        <v>38.2</v>
      </c>
      <c r="H1138" t="n">
        <v>0</v>
      </c>
      <c r="I1138" t="n">
        <v>0</v>
      </c>
      <c r="J1138" t="n">
        <v>0</v>
      </c>
      <c r="K1138" t="n">
        <v>0</v>
      </c>
      <c r="L1138" t="n">
        <v>0</v>
      </c>
      <c r="M1138" t="n">
        <v>0</v>
      </c>
      <c r="N1138" t="n">
        <v>0</v>
      </c>
      <c r="O1138" t="n">
        <v>0</v>
      </c>
      <c r="P1138" t="n">
        <v>0</v>
      </c>
      <c r="Q1138" t="n">
        <v>0</v>
      </c>
      <c r="R1138" s="2" t="inlineStr"/>
    </row>
    <row r="1139" ht="15" customHeight="1">
      <c r="A1139" t="inlineStr">
        <is>
          <t>A 49134-2023</t>
        </is>
      </c>
      <c r="B1139" s="1" t="n">
        <v>45210</v>
      </c>
      <c r="C1139" s="1" t="n">
        <v>45587</v>
      </c>
      <c r="D1139" t="inlineStr">
        <is>
          <t>JÄMTLANDS LÄN</t>
        </is>
      </c>
      <c r="E1139" t="inlineStr">
        <is>
          <t>HÄRJEDALEN</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49712-2023</t>
        </is>
      </c>
      <c r="B1140" s="1" t="n">
        <v>45212</v>
      </c>
      <c r="C1140" s="1" t="n">
        <v>45587</v>
      </c>
      <c r="D1140" t="inlineStr">
        <is>
          <t>JÄMTLANDS LÄN</t>
        </is>
      </c>
      <c r="E1140" t="inlineStr">
        <is>
          <t>HÄRJEDALEN</t>
        </is>
      </c>
      <c r="G1140" t="n">
        <v>42.9</v>
      </c>
      <c r="H1140" t="n">
        <v>0</v>
      </c>
      <c r="I1140" t="n">
        <v>0</v>
      </c>
      <c r="J1140" t="n">
        <v>0</v>
      </c>
      <c r="K1140" t="n">
        <v>0</v>
      </c>
      <c r="L1140" t="n">
        <v>0</v>
      </c>
      <c r="M1140" t="n">
        <v>0</v>
      </c>
      <c r="N1140" t="n">
        <v>0</v>
      </c>
      <c r="O1140" t="n">
        <v>0</v>
      </c>
      <c r="P1140" t="n">
        <v>0</v>
      </c>
      <c r="Q1140" t="n">
        <v>0</v>
      </c>
      <c r="R1140" s="2" t="inlineStr"/>
    </row>
    <row r="1141" ht="15" customHeight="1">
      <c r="A1141" t="inlineStr">
        <is>
          <t>A 49792-2023</t>
        </is>
      </c>
      <c r="B1141" s="1" t="n">
        <v>45212</v>
      </c>
      <c r="C1141" s="1" t="n">
        <v>45587</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49969-2023</t>
        </is>
      </c>
      <c r="B1142" s="1" t="n">
        <v>45215</v>
      </c>
      <c r="C1142" s="1" t="n">
        <v>45587</v>
      </c>
      <c r="D1142" t="inlineStr">
        <is>
          <t>JÄMTLANDS LÄN</t>
        </is>
      </c>
      <c r="E1142" t="inlineStr">
        <is>
          <t>HÄRJEDALEN</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50360-2023</t>
        </is>
      </c>
      <c r="B1143" s="1" t="n">
        <v>45216</v>
      </c>
      <c r="C1143" s="1" t="n">
        <v>45587</v>
      </c>
      <c r="D1143" t="inlineStr">
        <is>
          <t>JÄMTLANDS LÄN</t>
        </is>
      </c>
      <c r="E1143" t="inlineStr">
        <is>
          <t>HÄRJEDALEN</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50331-2023</t>
        </is>
      </c>
      <c r="B1144" s="1" t="n">
        <v>45216</v>
      </c>
      <c r="C1144" s="1" t="n">
        <v>45587</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50291-2023</t>
        </is>
      </c>
      <c r="B1145" s="1" t="n">
        <v>45216</v>
      </c>
      <c r="C1145" s="1" t="n">
        <v>45587</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50424-2023</t>
        </is>
      </c>
      <c r="B1146" s="1" t="n">
        <v>45216</v>
      </c>
      <c r="C1146" s="1" t="n">
        <v>45587</v>
      </c>
      <c r="D1146" t="inlineStr">
        <is>
          <t>JÄMTLANDS LÄN</t>
        </is>
      </c>
      <c r="E1146" t="inlineStr">
        <is>
          <t>HÄRJEDALEN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50328-2023</t>
        </is>
      </c>
      <c r="B1147" s="1" t="n">
        <v>45216</v>
      </c>
      <c r="C1147" s="1" t="n">
        <v>45587</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50539-2023</t>
        </is>
      </c>
      <c r="B1148" s="1" t="n">
        <v>45217</v>
      </c>
      <c r="C1148" s="1" t="n">
        <v>45587</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51017-2023</t>
        </is>
      </c>
      <c r="B1149" s="1" t="n">
        <v>45218</v>
      </c>
      <c r="C1149" s="1" t="n">
        <v>45587</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51351-2023</t>
        </is>
      </c>
      <c r="B1150" s="1" t="n">
        <v>45219</v>
      </c>
      <c r="C1150" s="1" t="n">
        <v>45587</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51898-2023</t>
        </is>
      </c>
      <c r="B1151" s="1" t="n">
        <v>45223</v>
      </c>
      <c r="C1151" s="1" t="n">
        <v>45587</v>
      </c>
      <c r="D1151" t="inlineStr">
        <is>
          <t>JÄMTLANDS LÄN</t>
        </is>
      </c>
      <c r="E1151" t="inlineStr">
        <is>
          <t>HÄRJEDALEN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52565-2023</t>
        </is>
      </c>
      <c r="B1152" s="1" t="n">
        <v>45225</v>
      </c>
      <c r="C1152" s="1" t="n">
        <v>45587</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52554-2023</t>
        </is>
      </c>
      <c r="B1153" s="1" t="n">
        <v>45225</v>
      </c>
      <c r="C1153" s="1" t="n">
        <v>45587</v>
      </c>
      <c r="D1153" t="inlineStr">
        <is>
          <t>JÄMTLANDS LÄN</t>
        </is>
      </c>
      <c r="E1153" t="inlineStr">
        <is>
          <t>HÄRJEDALEN</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52567-2023</t>
        </is>
      </c>
      <c r="B1154" s="1" t="n">
        <v>45225</v>
      </c>
      <c r="C1154" s="1" t="n">
        <v>45587</v>
      </c>
      <c r="D1154" t="inlineStr">
        <is>
          <t>JÄMTLANDS LÄN</t>
        </is>
      </c>
      <c r="E1154" t="inlineStr">
        <is>
          <t>HÄRJEDALEN</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52683-2023</t>
        </is>
      </c>
      <c r="B1155" s="1" t="n">
        <v>45225</v>
      </c>
      <c r="C1155" s="1" t="n">
        <v>45587</v>
      </c>
      <c r="D1155" t="inlineStr">
        <is>
          <t>JÄMTLANDS LÄN</t>
        </is>
      </c>
      <c r="E1155" t="inlineStr">
        <is>
          <t>HÄRJEDALEN</t>
        </is>
      </c>
      <c r="F1155" t="inlineStr">
        <is>
          <t>Bergvik skog väst AB</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52741-2023</t>
        </is>
      </c>
      <c r="B1156" s="1" t="n">
        <v>45225</v>
      </c>
      <c r="C1156" s="1" t="n">
        <v>45587</v>
      </c>
      <c r="D1156" t="inlineStr">
        <is>
          <t>JÄMTLANDS LÄN</t>
        </is>
      </c>
      <c r="E1156" t="inlineStr">
        <is>
          <t>HÄRJEDALEN</t>
        </is>
      </c>
      <c r="F1156" t="inlineStr">
        <is>
          <t>SCA</t>
        </is>
      </c>
      <c r="G1156" t="n">
        <v>75.40000000000001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53003-2023</t>
        </is>
      </c>
      <c r="B1157" s="1" t="n">
        <v>45226</v>
      </c>
      <c r="C1157" s="1" t="n">
        <v>45587</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53431-2023</t>
        </is>
      </c>
      <c r="B1158" s="1" t="n">
        <v>45229</v>
      </c>
      <c r="C1158" s="1" t="n">
        <v>45587</v>
      </c>
      <c r="D1158" t="inlineStr">
        <is>
          <t>JÄMTLANDS LÄN</t>
        </is>
      </c>
      <c r="E1158" t="inlineStr">
        <is>
          <t>HÄRJEDALEN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53432-2023</t>
        </is>
      </c>
      <c r="B1159" s="1" t="n">
        <v>45229</v>
      </c>
      <c r="C1159" s="1" t="n">
        <v>45587</v>
      </c>
      <c r="D1159" t="inlineStr">
        <is>
          <t>JÄMTLANDS LÄN</t>
        </is>
      </c>
      <c r="E1159" t="inlineStr">
        <is>
          <t>HÄRJEDALEN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53681-2023</t>
        </is>
      </c>
      <c r="B1160" s="1" t="n">
        <v>45230</v>
      </c>
      <c r="C1160" s="1" t="n">
        <v>45587</v>
      </c>
      <c r="D1160" t="inlineStr">
        <is>
          <t>JÄMTLANDS LÄN</t>
        </is>
      </c>
      <c r="E1160" t="inlineStr">
        <is>
          <t>HÄRJEDALEN</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53804-2023</t>
        </is>
      </c>
      <c r="B1161" s="1" t="n">
        <v>45231</v>
      </c>
      <c r="C1161" s="1" t="n">
        <v>45587</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53993-2023</t>
        </is>
      </c>
      <c r="B1162" s="1" t="n">
        <v>45231</v>
      </c>
      <c r="C1162" s="1" t="n">
        <v>45587</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54382-2023</t>
        </is>
      </c>
      <c r="B1163" s="1" t="n">
        <v>45233</v>
      </c>
      <c r="C1163" s="1" t="n">
        <v>45587</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55127-2023</t>
        </is>
      </c>
      <c r="B1164" s="1" t="n">
        <v>45237</v>
      </c>
      <c r="C1164" s="1" t="n">
        <v>45587</v>
      </c>
      <c r="D1164" t="inlineStr">
        <is>
          <t>JÄMTLANDS LÄN</t>
        </is>
      </c>
      <c r="E1164" t="inlineStr">
        <is>
          <t>HÄRJEDALEN</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55150-2023</t>
        </is>
      </c>
      <c r="B1165" s="1" t="n">
        <v>45237</v>
      </c>
      <c r="C1165" s="1" t="n">
        <v>45587</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55183-2023</t>
        </is>
      </c>
      <c r="B1166" s="1" t="n">
        <v>45237</v>
      </c>
      <c r="C1166" s="1" t="n">
        <v>45587</v>
      </c>
      <c r="D1166" t="inlineStr">
        <is>
          <t>JÄMTLANDS LÄN</t>
        </is>
      </c>
      <c r="E1166" t="inlineStr">
        <is>
          <t>HÄRJEDALEN</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55195-2023</t>
        </is>
      </c>
      <c r="B1167" s="1" t="n">
        <v>45237</v>
      </c>
      <c r="C1167" s="1" t="n">
        <v>45587</v>
      </c>
      <c r="D1167" t="inlineStr">
        <is>
          <t>JÄMTLANDS LÄN</t>
        </is>
      </c>
      <c r="E1167" t="inlineStr">
        <is>
          <t>HÄRJEDALEN</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55220-2023</t>
        </is>
      </c>
      <c r="B1168" s="1" t="n">
        <v>45237</v>
      </c>
      <c r="C1168" s="1" t="n">
        <v>45587</v>
      </c>
      <c r="D1168" t="inlineStr">
        <is>
          <t>JÄMTLANDS LÄN</t>
        </is>
      </c>
      <c r="E1168" t="inlineStr">
        <is>
          <t>HÄRJEDALEN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55180-2023</t>
        </is>
      </c>
      <c r="B1169" s="1" t="n">
        <v>45237</v>
      </c>
      <c r="C1169" s="1" t="n">
        <v>45587</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55185-2023</t>
        </is>
      </c>
      <c r="B1170" s="1" t="n">
        <v>45237</v>
      </c>
      <c r="C1170" s="1" t="n">
        <v>45587</v>
      </c>
      <c r="D1170" t="inlineStr">
        <is>
          <t>JÄMTLANDS LÄN</t>
        </is>
      </c>
      <c r="E1170" t="inlineStr">
        <is>
          <t>HÄRJEDALEN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55189-2023</t>
        </is>
      </c>
      <c r="B1171" s="1" t="n">
        <v>45237</v>
      </c>
      <c r="C1171" s="1" t="n">
        <v>45587</v>
      </c>
      <c r="D1171" t="inlineStr">
        <is>
          <t>JÄMTLANDS LÄN</t>
        </is>
      </c>
      <c r="E1171" t="inlineStr">
        <is>
          <t>HÄRJEDALEN</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55193-2023</t>
        </is>
      </c>
      <c r="B1172" s="1" t="n">
        <v>45237</v>
      </c>
      <c r="C1172" s="1" t="n">
        <v>45587</v>
      </c>
      <c r="D1172" t="inlineStr">
        <is>
          <t>JÄMTLANDS LÄN</t>
        </is>
      </c>
      <c r="E1172" t="inlineStr">
        <is>
          <t>HÄRJEDALEN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55500-2023</t>
        </is>
      </c>
      <c r="B1173" s="1" t="n">
        <v>45238</v>
      </c>
      <c r="C1173" s="1" t="n">
        <v>45587</v>
      </c>
      <c r="D1173" t="inlineStr">
        <is>
          <t>JÄMTLANDS LÄN</t>
        </is>
      </c>
      <c r="E1173" t="inlineStr">
        <is>
          <t>HÄRJEDALEN</t>
        </is>
      </c>
      <c r="F1173" t="inlineStr">
        <is>
          <t>Kyrkan</t>
        </is>
      </c>
      <c r="G1173" t="n">
        <v>81.2</v>
      </c>
      <c r="H1173" t="n">
        <v>0</v>
      </c>
      <c r="I1173" t="n">
        <v>0</v>
      </c>
      <c r="J1173" t="n">
        <v>0</v>
      </c>
      <c r="K1173" t="n">
        <v>0</v>
      </c>
      <c r="L1173" t="n">
        <v>0</v>
      </c>
      <c r="M1173" t="n">
        <v>0</v>
      </c>
      <c r="N1173" t="n">
        <v>0</v>
      </c>
      <c r="O1173" t="n">
        <v>0</v>
      </c>
      <c r="P1173" t="n">
        <v>0</v>
      </c>
      <c r="Q1173" t="n">
        <v>0</v>
      </c>
      <c r="R1173" s="2" t="inlineStr"/>
    </row>
    <row r="1174" ht="15" customHeight="1">
      <c r="A1174" t="inlineStr">
        <is>
          <t>A 55562-2023</t>
        </is>
      </c>
      <c r="B1174" s="1" t="n">
        <v>45238</v>
      </c>
      <c r="C1174" s="1" t="n">
        <v>45587</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55463-2023</t>
        </is>
      </c>
      <c r="B1175" s="1" t="n">
        <v>45238</v>
      </c>
      <c r="C1175" s="1" t="n">
        <v>45587</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55555-2023</t>
        </is>
      </c>
      <c r="B1176" s="1" t="n">
        <v>45238</v>
      </c>
      <c r="C1176" s="1" t="n">
        <v>45587</v>
      </c>
      <c r="D1176" t="inlineStr">
        <is>
          <t>JÄMTLANDS LÄN</t>
        </is>
      </c>
      <c r="E1176" t="inlineStr">
        <is>
          <t>HÄRJEDALEN</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55566-2023</t>
        </is>
      </c>
      <c r="B1177" s="1" t="n">
        <v>45238</v>
      </c>
      <c r="C1177" s="1" t="n">
        <v>45587</v>
      </c>
      <c r="D1177" t="inlineStr">
        <is>
          <t>JÄMTLANDS LÄN</t>
        </is>
      </c>
      <c r="E1177" t="inlineStr">
        <is>
          <t>HÄRJEDALEN</t>
        </is>
      </c>
      <c r="F1177" t="inlineStr">
        <is>
          <t>Bergvik skog väst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55844-2023</t>
        </is>
      </c>
      <c r="B1178" s="1" t="n">
        <v>45239</v>
      </c>
      <c r="C1178" s="1" t="n">
        <v>45587</v>
      </c>
      <c r="D1178" t="inlineStr">
        <is>
          <t>JÄMTLANDS LÄN</t>
        </is>
      </c>
      <c r="E1178" t="inlineStr">
        <is>
          <t>HÄRJEDALEN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55736-2023</t>
        </is>
      </c>
      <c r="B1179" s="1" t="n">
        <v>45239</v>
      </c>
      <c r="C1179" s="1" t="n">
        <v>45587</v>
      </c>
      <c r="D1179" t="inlineStr">
        <is>
          <t>JÄMTLANDS LÄN</t>
        </is>
      </c>
      <c r="E1179" t="inlineStr">
        <is>
          <t>HÄRJEDALEN</t>
        </is>
      </c>
      <c r="F1179" t="inlineStr">
        <is>
          <t>Holmen skog AB</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55766-2023</t>
        </is>
      </c>
      <c r="B1180" s="1" t="n">
        <v>45239</v>
      </c>
      <c r="C1180" s="1" t="n">
        <v>45587</v>
      </c>
      <c r="D1180" t="inlineStr">
        <is>
          <t>JÄMTLANDS LÄN</t>
        </is>
      </c>
      <c r="E1180" t="inlineStr">
        <is>
          <t>HÄRJEDALEN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55834-2023</t>
        </is>
      </c>
      <c r="B1181" s="1" t="n">
        <v>45239</v>
      </c>
      <c r="C1181" s="1" t="n">
        <v>45587</v>
      </c>
      <c r="D1181" t="inlineStr">
        <is>
          <t>JÄMTLANDS LÄN</t>
        </is>
      </c>
      <c r="E1181" t="inlineStr">
        <is>
          <t>HÄRJEDALEN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56013-2023</t>
        </is>
      </c>
      <c r="B1182" s="1" t="n">
        <v>45240</v>
      </c>
      <c r="C1182" s="1" t="n">
        <v>45587</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56512-2023</t>
        </is>
      </c>
      <c r="B1183" s="1" t="n">
        <v>45243</v>
      </c>
      <c r="C1183" s="1" t="n">
        <v>45587</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56587-2023</t>
        </is>
      </c>
      <c r="B1184" s="1" t="n">
        <v>45243</v>
      </c>
      <c r="C1184" s="1" t="n">
        <v>45587</v>
      </c>
      <c r="D1184" t="inlineStr">
        <is>
          <t>JÄMTLANDS LÄN</t>
        </is>
      </c>
      <c r="E1184" t="inlineStr">
        <is>
          <t>HÄRJEDALEN</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56909-2023</t>
        </is>
      </c>
      <c r="B1185" s="1" t="n">
        <v>45244</v>
      </c>
      <c r="C1185" s="1" t="n">
        <v>45587</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56912-2023</t>
        </is>
      </c>
      <c r="B1186" s="1" t="n">
        <v>45244</v>
      </c>
      <c r="C1186" s="1" t="n">
        <v>45587</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45587</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57313-2023</t>
        </is>
      </c>
      <c r="B1188" s="1" t="n">
        <v>45245</v>
      </c>
      <c r="C1188" s="1" t="n">
        <v>45587</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57099-2023</t>
        </is>
      </c>
      <c r="B1189" s="1" t="n">
        <v>45245</v>
      </c>
      <c r="C1189" s="1" t="n">
        <v>45587</v>
      </c>
      <c r="D1189" t="inlineStr">
        <is>
          <t>JÄMTLANDS LÄN</t>
        </is>
      </c>
      <c r="E1189" t="inlineStr">
        <is>
          <t>HÄRJEDALEN</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57181-2023</t>
        </is>
      </c>
      <c r="B1190" s="1" t="n">
        <v>45245</v>
      </c>
      <c r="C1190" s="1" t="n">
        <v>45587</v>
      </c>
      <c r="D1190" t="inlineStr">
        <is>
          <t>JÄMTLANDS LÄN</t>
        </is>
      </c>
      <c r="E1190" t="inlineStr">
        <is>
          <t>HÄRJEDALEN</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57202-2023</t>
        </is>
      </c>
      <c r="B1191" s="1" t="n">
        <v>45245</v>
      </c>
      <c r="C1191" s="1" t="n">
        <v>45587</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57140-2023</t>
        </is>
      </c>
      <c r="B1192" s="1" t="n">
        <v>45245</v>
      </c>
      <c r="C1192" s="1" t="n">
        <v>45587</v>
      </c>
      <c r="D1192" t="inlineStr">
        <is>
          <t>JÄMTLANDS LÄN</t>
        </is>
      </c>
      <c r="E1192" t="inlineStr">
        <is>
          <t>HÄRJEDALEN</t>
        </is>
      </c>
      <c r="F1192" t="inlineStr">
        <is>
          <t>Bergvik skog väst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57281-2023</t>
        </is>
      </c>
      <c r="B1193" s="1" t="n">
        <v>45245</v>
      </c>
      <c r="C1193" s="1" t="n">
        <v>45587</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57661-2023</t>
        </is>
      </c>
      <c r="B1194" s="1" t="n">
        <v>45246</v>
      </c>
      <c r="C1194" s="1" t="n">
        <v>45587</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58146-2023</t>
        </is>
      </c>
      <c r="B1195" s="1" t="n">
        <v>45250</v>
      </c>
      <c r="C1195" s="1" t="n">
        <v>45587</v>
      </c>
      <c r="D1195" t="inlineStr">
        <is>
          <t>JÄMTLANDS LÄN</t>
        </is>
      </c>
      <c r="E1195" t="inlineStr">
        <is>
          <t>HÄRJEDALEN</t>
        </is>
      </c>
      <c r="F1195" t="inlineStr">
        <is>
          <t>Bergvik skog väst AB</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58144-2023</t>
        </is>
      </c>
      <c r="B1196" s="1" t="n">
        <v>45250</v>
      </c>
      <c r="C1196" s="1" t="n">
        <v>45587</v>
      </c>
      <c r="D1196" t="inlineStr">
        <is>
          <t>JÄMTLANDS LÄN</t>
        </is>
      </c>
      <c r="E1196" t="inlineStr">
        <is>
          <t>HÄRJEDALEN</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58890-2023</t>
        </is>
      </c>
      <c r="B1197" s="1" t="n">
        <v>45252</v>
      </c>
      <c r="C1197" s="1" t="n">
        <v>45587</v>
      </c>
      <c r="D1197" t="inlineStr">
        <is>
          <t>JÄMTLANDS LÄN</t>
        </is>
      </c>
      <c r="E1197" t="inlineStr">
        <is>
          <t>HÄRJEDALEN</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58930-2023</t>
        </is>
      </c>
      <c r="B1198" s="1" t="n">
        <v>45252</v>
      </c>
      <c r="C1198" s="1" t="n">
        <v>45587</v>
      </c>
      <c r="D1198" t="inlineStr">
        <is>
          <t>JÄMTLANDS LÄN</t>
        </is>
      </c>
      <c r="E1198" t="inlineStr">
        <is>
          <t>HÄRJEDALEN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58866-2023</t>
        </is>
      </c>
      <c r="B1199" s="1" t="n">
        <v>45252</v>
      </c>
      <c r="C1199" s="1" t="n">
        <v>45587</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59092-2023</t>
        </is>
      </c>
      <c r="B1200" s="1" t="n">
        <v>45253</v>
      </c>
      <c r="C1200" s="1" t="n">
        <v>45587</v>
      </c>
      <c r="D1200" t="inlineStr">
        <is>
          <t>JÄMTLANDS LÄN</t>
        </is>
      </c>
      <c r="E1200" t="inlineStr">
        <is>
          <t>HÄRJEDALEN</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59279-2023</t>
        </is>
      </c>
      <c r="B1201" s="1" t="n">
        <v>45253</v>
      </c>
      <c r="C1201" s="1" t="n">
        <v>45587</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59424-2023</t>
        </is>
      </c>
      <c r="B1202" s="1" t="n">
        <v>45254</v>
      </c>
      <c r="C1202" s="1" t="n">
        <v>45587</v>
      </c>
      <c r="D1202" t="inlineStr">
        <is>
          <t>JÄMTLANDS LÄN</t>
        </is>
      </c>
      <c r="E1202" t="inlineStr">
        <is>
          <t>HÄRJEDALEN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59577-2023</t>
        </is>
      </c>
      <c r="B1203" s="1" t="n">
        <v>45254</v>
      </c>
      <c r="C1203" s="1" t="n">
        <v>45587</v>
      </c>
      <c r="D1203" t="inlineStr">
        <is>
          <t>JÄMTLANDS LÄN</t>
        </is>
      </c>
      <c r="E1203" t="inlineStr">
        <is>
          <t>HÄRJEDALEN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59594-2023</t>
        </is>
      </c>
      <c r="B1204" s="1" t="n">
        <v>45254</v>
      </c>
      <c r="C1204" s="1" t="n">
        <v>45587</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59620-2023</t>
        </is>
      </c>
      <c r="B1205" s="1" t="n">
        <v>45254</v>
      </c>
      <c r="C1205" s="1" t="n">
        <v>45587</v>
      </c>
      <c r="D1205" t="inlineStr">
        <is>
          <t>JÄMTLANDS LÄN</t>
        </is>
      </c>
      <c r="E1205" t="inlineStr">
        <is>
          <t>HÄRJEDALEN</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59738-2023</t>
        </is>
      </c>
      <c r="B1206" s="1" t="n">
        <v>45257</v>
      </c>
      <c r="C1206" s="1" t="n">
        <v>45587</v>
      </c>
      <c r="D1206" t="inlineStr">
        <is>
          <t>JÄMTLANDS LÄN</t>
        </is>
      </c>
      <c r="E1206" t="inlineStr">
        <is>
          <t>HÄRJEDALEN</t>
        </is>
      </c>
      <c r="F1206" t="inlineStr">
        <is>
          <t>Bergvik skog väst AB</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59750-2023</t>
        </is>
      </c>
      <c r="B1207" s="1" t="n">
        <v>45257</v>
      </c>
      <c r="C1207" s="1" t="n">
        <v>45587</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60062-2023</t>
        </is>
      </c>
      <c r="B1208" s="1" t="n">
        <v>45257</v>
      </c>
      <c r="C1208" s="1" t="n">
        <v>45587</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60611-2023</t>
        </is>
      </c>
      <c r="B1209" s="1" t="n">
        <v>45260</v>
      </c>
      <c r="C1209" s="1" t="n">
        <v>45587</v>
      </c>
      <c r="D1209" t="inlineStr">
        <is>
          <t>JÄMTLANDS LÄN</t>
        </is>
      </c>
      <c r="E1209" t="inlineStr">
        <is>
          <t>HÄRJEDALEN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v>
      </c>
      <c r="C1210" s="1" t="n">
        <v>45587</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v>
      </c>
      <c r="C1211" s="1" t="n">
        <v>45587</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61751-2023</t>
        </is>
      </c>
      <c r="B1212" s="1" t="n">
        <v>45265</v>
      </c>
      <c r="C1212" s="1" t="n">
        <v>45587</v>
      </c>
      <c r="D1212" t="inlineStr">
        <is>
          <t>JÄMTLANDS LÄN</t>
        </is>
      </c>
      <c r="E1212" t="inlineStr">
        <is>
          <t>HÄRJEDALEN</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62482-2023</t>
        </is>
      </c>
      <c r="B1213" s="1" t="n">
        <v>45268</v>
      </c>
      <c r="C1213" s="1" t="n">
        <v>45587</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62784-2023</t>
        </is>
      </c>
      <c r="B1214" s="1" t="n">
        <v>45271</v>
      </c>
      <c r="C1214" s="1" t="n">
        <v>45587</v>
      </c>
      <c r="D1214" t="inlineStr">
        <is>
          <t>JÄMTLANDS LÄN</t>
        </is>
      </c>
      <c r="E1214" t="inlineStr">
        <is>
          <t>HÄRJEDALEN</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63323-2023</t>
        </is>
      </c>
      <c r="B1215" s="1" t="n">
        <v>45274</v>
      </c>
      <c r="C1215" s="1" t="n">
        <v>45587</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63546-2023</t>
        </is>
      </c>
      <c r="B1216" s="1" t="n">
        <v>45275</v>
      </c>
      <c r="C1216" s="1" t="n">
        <v>45587</v>
      </c>
      <c r="D1216" t="inlineStr">
        <is>
          <t>JÄMTLANDS LÄN</t>
        </is>
      </c>
      <c r="E1216" t="inlineStr">
        <is>
          <t>HÄRJEDALEN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63577-2023</t>
        </is>
      </c>
      <c r="B1217" s="1" t="n">
        <v>45275</v>
      </c>
      <c r="C1217" s="1" t="n">
        <v>45587</v>
      </c>
      <c r="D1217" t="inlineStr">
        <is>
          <t>JÄMTLANDS LÄN</t>
        </is>
      </c>
      <c r="E1217" t="inlineStr">
        <is>
          <t>HÄRJEDALEN</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63934-2023</t>
        </is>
      </c>
      <c r="B1218" s="1" t="n">
        <v>45278</v>
      </c>
      <c r="C1218" s="1" t="n">
        <v>45587</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63802-2023</t>
        </is>
      </c>
      <c r="B1219" s="1" t="n">
        <v>45278</v>
      </c>
      <c r="C1219" s="1" t="n">
        <v>45587</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64144-2023</t>
        </is>
      </c>
      <c r="B1220" s="1" t="n">
        <v>45279</v>
      </c>
      <c r="C1220" s="1" t="n">
        <v>45587</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64157-2023</t>
        </is>
      </c>
      <c r="B1221" s="1" t="n">
        <v>45279</v>
      </c>
      <c r="C1221" s="1" t="n">
        <v>45587</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64165-2023</t>
        </is>
      </c>
      <c r="B1222" s="1" t="n">
        <v>45279</v>
      </c>
      <c r="C1222" s="1" t="n">
        <v>45587</v>
      </c>
      <c r="D1222" t="inlineStr">
        <is>
          <t>JÄMTLANDS LÄN</t>
        </is>
      </c>
      <c r="E1222" t="inlineStr">
        <is>
          <t>HÄRJEDALEN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64484-2023</t>
        </is>
      </c>
      <c r="B1223" s="1" t="n">
        <v>45280</v>
      </c>
      <c r="C1223" s="1" t="n">
        <v>45587</v>
      </c>
      <c r="D1223" t="inlineStr">
        <is>
          <t>JÄMTLANDS LÄN</t>
        </is>
      </c>
      <c r="E1223" t="inlineStr">
        <is>
          <t>HÄRJEDALEN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64371-2023</t>
        </is>
      </c>
      <c r="B1224" s="1" t="n">
        <v>45280</v>
      </c>
      <c r="C1224" s="1" t="n">
        <v>45587</v>
      </c>
      <c r="D1224" t="inlineStr">
        <is>
          <t>JÄMTLANDS LÄN</t>
        </is>
      </c>
      <c r="E1224" t="inlineStr">
        <is>
          <t>HÄRJEDALEN</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64485-2023</t>
        </is>
      </c>
      <c r="B1225" s="1" t="n">
        <v>45280</v>
      </c>
      <c r="C1225" s="1" t="n">
        <v>45587</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64630-2023</t>
        </is>
      </c>
      <c r="B1226" s="1" t="n">
        <v>45281</v>
      </c>
      <c r="C1226" s="1" t="n">
        <v>45587</v>
      </c>
      <c r="D1226" t="inlineStr">
        <is>
          <t>JÄMTLANDS LÄN</t>
        </is>
      </c>
      <c r="E1226" t="inlineStr">
        <is>
          <t>HÄRJEDALEN</t>
        </is>
      </c>
      <c r="G1226" t="n">
        <v>82.2</v>
      </c>
      <c r="H1226" t="n">
        <v>0</v>
      </c>
      <c r="I1226" t="n">
        <v>0</v>
      </c>
      <c r="J1226" t="n">
        <v>0</v>
      </c>
      <c r="K1226" t="n">
        <v>0</v>
      </c>
      <c r="L1226" t="n">
        <v>0</v>
      </c>
      <c r="M1226" t="n">
        <v>0</v>
      </c>
      <c r="N1226" t="n">
        <v>0</v>
      </c>
      <c r="O1226" t="n">
        <v>0</v>
      </c>
      <c r="P1226" t="n">
        <v>0</v>
      </c>
      <c r="Q1226" t="n">
        <v>0</v>
      </c>
      <c r="R1226" s="2" t="inlineStr"/>
    </row>
    <row r="1227" ht="15" customHeight="1">
      <c r="A1227" t="inlineStr">
        <is>
          <t>A 64648-2023</t>
        </is>
      </c>
      <c r="B1227" s="1" t="n">
        <v>45281</v>
      </c>
      <c r="C1227" s="1" t="n">
        <v>45587</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64645-2023</t>
        </is>
      </c>
      <c r="B1228" s="1" t="n">
        <v>45281</v>
      </c>
      <c r="C1228" s="1" t="n">
        <v>45587</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64647-2023</t>
        </is>
      </c>
      <c r="B1229" s="1" t="n">
        <v>45281</v>
      </c>
      <c r="C1229" s="1" t="n">
        <v>45587</v>
      </c>
      <c r="D1229" t="inlineStr">
        <is>
          <t>JÄMTLANDS LÄN</t>
        </is>
      </c>
      <c r="E1229" t="inlineStr">
        <is>
          <t>HÄRJEDALEN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v>
      </c>
      <c r="C1230" s="1" t="n">
        <v>45587</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65032-2023</t>
        </is>
      </c>
      <c r="B1231" s="1" t="n">
        <v>45287</v>
      </c>
      <c r="C1231" s="1" t="n">
        <v>45587</v>
      </c>
      <c r="D1231" t="inlineStr">
        <is>
          <t>JÄMTLANDS LÄN</t>
        </is>
      </c>
      <c r="E1231" t="inlineStr">
        <is>
          <t>HÄRJEDALEN</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65152-2023</t>
        </is>
      </c>
      <c r="B1232" s="1" t="n">
        <v>45288</v>
      </c>
      <c r="C1232" s="1" t="n">
        <v>45587</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65150-2023</t>
        </is>
      </c>
      <c r="B1233" s="1" t="n">
        <v>45288</v>
      </c>
      <c r="C1233" s="1" t="n">
        <v>45587</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65248-2023</t>
        </is>
      </c>
      <c r="B1234" s="1" t="n">
        <v>45290</v>
      </c>
      <c r="C1234" s="1" t="n">
        <v>45587</v>
      </c>
      <c r="D1234" t="inlineStr">
        <is>
          <t>JÄMTLANDS LÄN</t>
        </is>
      </c>
      <c r="E1234" t="inlineStr">
        <is>
          <t>HÄRJEDALEN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54-2024</t>
        </is>
      </c>
      <c r="B1235" s="1" t="n">
        <v>45293</v>
      </c>
      <c r="C1235" s="1" t="n">
        <v>45587</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40-2024</t>
        </is>
      </c>
      <c r="B1236" s="1" t="n">
        <v>45293</v>
      </c>
      <c r="C1236" s="1" t="n">
        <v>45587</v>
      </c>
      <c r="D1236" t="inlineStr">
        <is>
          <t>JÄMTLANDS LÄN</t>
        </is>
      </c>
      <c r="E1236" t="inlineStr">
        <is>
          <t>HÄRJEDALEN</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1211-2024</t>
        </is>
      </c>
      <c r="B1237" s="1" t="n">
        <v>45302</v>
      </c>
      <c r="C1237" s="1" t="n">
        <v>45587</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1366-2024</t>
        </is>
      </c>
      <c r="B1238" s="1" t="n">
        <v>45303</v>
      </c>
      <c r="C1238" s="1" t="n">
        <v>45587</v>
      </c>
      <c r="D1238" t="inlineStr">
        <is>
          <t>JÄMTLANDS LÄN</t>
        </is>
      </c>
      <c r="E1238" t="inlineStr">
        <is>
          <t>HÄRJEDALEN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1398-2024</t>
        </is>
      </c>
      <c r="B1239" s="1" t="n">
        <v>45303</v>
      </c>
      <c r="C1239" s="1" t="n">
        <v>45587</v>
      </c>
      <c r="D1239" t="inlineStr">
        <is>
          <t>JÄMTLANDS LÄN</t>
        </is>
      </c>
      <c r="E1239" t="inlineStr">
        <is>
          <t>HÄRJEDALEN</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1361-2024</t>
        </is>
      </c>
      <c r="B1240" s="1" t="n">
        <v>45303</v>
      </c>
      <c r="C1240" s="1" t="n">
        <v>45587</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1364-2024</t>
        </is>
      </c>
      <c r="B1241" s="1" t="n">
        <v>45303</v>
      </c>
      <c r="C1241" s="1" t="n">
        <v>45587</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1587-2024</t>
        </is>
      </c>
      <c r="B1242" s="1" t="n">
        <v>45306</v>
      </c>
      <c r="C1242" s="1" t="n">
        <v>45587</v>
      </c>
      <c r="D1242" t="inlineStr">
        <is>
          <t>JÄMTLANDS LÄN</t>
        </is>
      </c>
      <c r="E1242" t="inlineStr">
        <is>
          <t>HÄRJEDALEN</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1952-2024</t>
        </is>
      </c>
      <c r="B1243" s="1" t="n">
        <v>45308</v>
      </c>
      <c r="C1243" s="1" t="n">
        <v>45587</v>
      </c>
      <c r="D1243" t="inlineStr">
        <is>
          <t>JÄMTLANDS LÄN</t>
        </is>
      </c>
      <c r="E1243" t="inlineStr">
        <is>
          <t>HÄRJEDALEN</t>
        </is>
      </c>
      <c r="F1243" t="inlineStr">
        <is>
          <t>Kyrkan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2066-2024</t>
        </is>
      </c>
      <c r="B1244" s="1" t="n">
        <v>45308</v>
      </c>
      <c r="C1244" s="1" t="n">
        <v>45587</v>
      </c>
      <c r="D1244" t="inlineStr">
        <is>
          <t>JÄMTLANDS LÄN</t>
        </is>
      </c>
      <c r="E1244" t="inlineStr">
        <is>
          <t>HÄRJEDALEN</t>
        </is>
      </c>
      <c r="G1244" t="n">
        <v>23.2</v>
      </c>
      <c r="H1244" t="n">
        <v>0</v>
      </c>
      <c r="I1244" t="n">
        <v>0</v>
      </c>
      <c r="J1244" t="n">
        <v>0</v>
      </c>
      <c r="K1244" t="n">
        <v>0</v>
      </c>
      <c r="L1244" t="n">
        <v>0</v>
      </c>
      <c r="M1244" t="n">
        <v>0</v>
      </c>
      <c r="N1244" t="n">
        <v>0</v>
      </c>
      <c r="O1244" t="n">
        <v>0</v>
      </c>
      <c r="P1244" t="n">
        <v>0</v>
      </c>
      <c r="Q1244" t="n">
        <v>0</v>
      </c>
      <c r="R1244" s="2" t="inlineStr"/>
    </row>
    <row r="1245" ht="15" customHeight="1">
      <c r="A1245" t="inlineStr">
        <is>
          <t>A 2185-2024</t>
        </is>
      </c>
      <c r="B1245" s="1" t="n">
        <v>45309</v>
      </c>
      <c r="C1245" s="1" t="n">
        <v>45587</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4533-2024</t>
        </is>
      </c>
      <c r="B1246" s="1" t="n">
        <v>45327</v>
      </c>
      <c r="C1246" s="1" t="n">
        <v>45587</v>
      </c>
      <c r="D1246" t="inlineStr">
        <is>
          <t>JÄMTLANDS LÄN</t>
        </is>
      </c>
      <c r="E1246" t="inlineStr">
        <is>
          <t>HÄRJEDALEN</t>
        </is>
      </c>
      <c r="F1246" t="inlineStr">
        <is>
          <t>Övriga statliga verk och myndigheter</t>
        </is>
      </c>
      <c r="G1246" t="n">
        <v>21.1</v>
      </c>
      <c r="H1246" t="n">
        <v>0</v>
      </c>
      <c r="I1246" t="n">
        <v>0</v>
      </c>
      <c r="J1246" t="n">
        <v>0</v>
      </c>
      <c r="K1246" t="n">
        <v>0</v>
      </c>
      <c r="L1246" t="n">
        <v>0</v>
      </c>
      <c r="M1246" t="n">
        <v>0</v>
      </c>
      <c r="N1246" t="n">
        <v>0</v>
      </c>
      <c r="O1246" t="n">
        <v>0</v>
      </c>
      <c r="P1246" t="n">
        <v>0</v>
      </c>
      <c r="Q1246" t="n">
        <v>0</v>
      </c>
      <c r="R1246" s="2" t="inlineStr"/>
    </row>
    <row r="1247" ht="15" customHeight="1">
      <c r="A1247" t="inlineStr">
        <is>
          <t>A 5630-2024</t>
        </is>
      </c>
      <c r="B1247" s="1" t="n">
        <v>45334</v>
      </c>
      <c r="C1247" s="1" t="n">
        <v>45587</v>
      </c>
      <c r="D1247" t="inlineStr">
        <is>
          <t>JÄMTLANDS LÄN</t>
        </is>
      </c>
      <c r="E1247" t="inlineStr">
        <is>
          <t>HÄRJEDALEN</t>
        </is>
      </c>
      <c r="F1247" t="inlineStr">
        <is>
          <t>Övriga statliga verk och myndigheter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5912-2024</t>
        </is>
      </c>
      <c r="B1248" s="1" t="n">
        <v>45335</v>
      </c>
      <c r="C1248" s="1" t="n">
        <v>45587</v>
      </c>
      <c r="D1248" t="inlineStr">
        <is>
          <t>JÄMTLANDS LÄN</t>
        </is>
      </c>
      <c r="E1248" t="inlineStr">
        <is>
          <t>HÄRJEDALEN</t>
        </is>
      </c>
      <c r="G1248" t="n">
        <v>39.3</v>
      </c>
      <c r="H1248" t="n">
        <v>0</v>
      </c>
      <c r="I1248" t="n">
        <v>0</v>
      </c>
      <c r="J1248" t="n">
        <v>0</v>
      </c>
      <c r="K1248" t="n">
        <v>0</v>
      </c>
      <c r="L1248" t="n">
        <v>0</v>
      </c>
      <c r="M1248" t="n">
        <v>0</v>
      </c>
      <c r="N1248" t="n">
        <v>0</v>
      </c>
      <c r="O1248" t="n">
        <v>0</v>
      </c>
      <c r="P1248" t="n">
        <v>0</v>
      </c>
      <c r="Q1248" t="n">
        <v>0</v>
      </c>
      <c r="R1248" s="2" t="inlineStr"/>
    </row>
    <row r="1249" ht="15" customHeight="1">
      <c r="A1249" t="inlineStr">
        <is>
          <t>A 5913-2024</t>
        </is>
      </c>
      <c r="B1249" s="1" t="n">
        <v>45335</v>
      </c>
      <c r="C1249" s="1" t="n">
        <v>45587</v>
      </c>
      <c r="D1249" t="inlineStr">
        <is>
          <t>JÄMTLANDS LÄN</t>
        </is>
      </c>
      <c r="E1249" t="inlineStr">
        <is>
          <t>HÄRJEDALEN</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6218-2024</t>
        </is>
      </c>
      <c r="B1250" s="1" t="n">
        <v>45337</v>
      </c>
      <c r="C1250" s="1" t="n">
        <v>45587</v>
      </c>
      <c r="D1250" t="inlineStr">
        <is>
          <t>JÄMTLANDS LÄN</t>
        </is>
      </c>
      <c r="E1250" t="inlineStr">
        <is>
          <t>HÄRJEDALEN</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6286-2024</t>
        </is>
      </c>
      <c r="B1251" s="1" t="n">
        <v>45337</v>
      </c>
      <c r="C1251" s="1" t="n">
        <v>45587</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6313-2024</t>
        </is>
      </c>
      <c r="B1252" s="1" t="n">
        <v>45338</v>
      </c>
      <c r="C1252" s="1" t="n">
        <v>45587</v>
      </c>
      <c r="D1252" t="inlineStr">
        <is>
          <t>JÄMTLANDS LÄN</t>
        </is>
      </c>
      <c r="E1252" t="inlineStr">
        <is>
          <t>HÄRJEDALEN</t>
        </is>
      </c>
      <c r="F1252" t="inlineStr">
        <is>
          <t>Bergvik skog väst AB</t>
        </is>
      </c>
      <c r="G1252" t="n">
        <v>60.7</v>
      </c>
      <c r="H1252" t="n">
        <v>0</v>
      </c>
      <c r="I1252" t="n">
        <v>0</v>
      </c>
      <c r="J1252" t="n">
        <v>0</v>
      </c>
      <c r="K1252" t="n">
        <v>0</v>
      </c>
      <c r="L1252" t="n">
        <v>0</v>
      </c>
      <c r="M1252" t="n">
        <v>0</v>
      </c>
      <c r="N1252" t="n">
        <v>0</v>
      </c>
      <c r="O1252" t="n">
        <v>0</v>
      </c>
      <c r="P1252" t="n">
        <v>0</v>
      </c>
      <c r="Q1252" t="n">
        <v>0</v>
      </c>
      <c r="R1252" s="2" t="inlineStr"/>
    </row>
    <row r="1253" ht="15" customHeight="1">
      <c r="A1253" t="inlineStr">
        <is>
          <t>A 6304-2024</t>
        </is>
      </c>
      <c r="B1253" s="1" t="n">
        <v>45338</v>
      </c>
      <c r="C1253" s="1" t="n">
        <v>45587</v>
      </c>
      <c r="D1253" t="inlineStr">
        <is>
          <t>JÄMTLANDS LÄN</t>
        </is>
      </c>
      <c r="E1253" t="inlineStr">
        <is>
          <t>HÄRJEDALEN</t>
        </is>
      </c>
      <c r="F1253" t="inlineStr">
        <is>
          <t>Bergvik skog väst AB</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6756-2024</t>
        </is>
      </c>
      <c r="B1254" s="1" t="n">
        <v>45342</v>
      </c>
      <c r="C1254" s="1" t="n">
        <v>45587</v>
      </c>
      <c r="D1254" t="inlineStr">
        <is>
          <t>JÄMTLANDS LÄN</t>
        </is>
      </c>
      <c r="E1254" t="inlineStr">
        <is>
          <t>HÄRJEDALEN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7205-2024</t>
        </is>
      </c>
      <c r="B1255" s="1" t="n">
        <v>45344</v>
      </c>
      <c r="C1255" s="1" t="n">
        <v>45587</v>
      </c>
      <c r="D1255" t="inlineStr">
        <is>
          <t>JÄMTLANDS LÄN</t>
        </is>
      </c>
      <c r="E1255" t="inlineStr">
        <is>
          <t>HÄRJEDALEN</t>
        </is>
      </c>
      <c r="F1255" t="inlineStr">
        <is>
          <t>Holmen skog AB</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7199-2024</t>
        </is>
      </c>
      <c r="B1256" s="1" t="n">
        <v>45344</v>
      </c>
      <c r="C1256" s="1" t="n">
        <v>45587</v>
      </c>
      <c r="D1256" t="inlineStr">
        <is>
          <t>JÄMTLANDS LÄN</t>
        </is>
      </c>
      <c r="E1256" t="inlineStr">
        <is>
          <t>HÄRJEDALEN</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7235-2024</t>
        </is>
      </c>
      <c r="B1257" s="1" t="n">
        <v>45344</v>
      </c>
      <c r="C1257" s="1" t="n">
        <v>45587</v>
      </c>
      <c r="D1257" t="inlineStr">
        <is>
          <t>JÄMTLANDS LÄN</t>
        </is>
      </c>
      <c r="E1257" t="inlineStr">
        <is>
          <t>HÄRJEDALEN</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7239-2024</t>
        </is>
      </c>
      <c r="B1258" s="1" t="n">
        <v>45344</v>
      </c>
      <c r="C1258" s="1" t="n">
        <v>45587</v>
      </c>
      <c r="D1258" t="inlineStr">
        <is>
          <t>JÄMTLANDS LÄN</t>
        </is>
      </c>
      <c r="E1258" t="inlineStr">
        <is>
          <t>HÄRJEDALEN</t>
        </is>
      </c>
      <c r="F1258" t="inlineStr">
        <is>
          <t>Holmen skog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7243-2024</t>
        </is>
      </c>
      <c r="B1259" s="1" t="n">
        <v>45344</v>
      </c>
      <c r="C1259" s="1" t="n">
        <v>45587</v>
      </c>
      <c r="D1259" t="inlineStr">
        <is>
          <t>JÄMTLANDS LÄN</t>
        </is>
      </c>
      <c r="E1259" t="inlineStr">
        <is>
          <t>HÄRJEDALEN</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7200-2024</t>
        </is>
      </c>
      <c r="B1260" s="1" t="n">
        <v>45344</v>
      </c>
      <c r="C1260" s="1" t="n">
        <v>45587</v>
      </c>
      <c r="D1260" t="inlineStr">
        <is>
          <t>JÄMTLANDS LÄN</t>
        </is>
      </c>
      <c r="E1260" t="inlineStr">
        <is>
          <t>HÄRJEDALEN</t>
        </is>
      </c>
      <c r="F1260" t="inlineStr">
        <is>
          <t>Holmen skog AB</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7313-2024</t>
        </is>
      </c>
      <c r="B1261" s="1" t="n">
        <v>45345</v>
      </c>
      <c r="C1261" s="1" t="n">
        <v>45587</v>
      </c>
      <c r="D1261" t="inlineStr">
        <is>
          <t>JÄMTLANDS LÄN</t>
        </is>
      </c>
      <c r="E1261" t="inlineStr">
        <is>
          <t>HÄRJEDALEN</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7311-2024</t>
        </is>
      </c>
      <c r="B1262" s="1" t="n">
        <v>45345</v>
      </c>
      <c r="C1262" s="1" t="n">
        <v>45587</v>
      </c>
      <c r="D1262" t="inlineStr">
        <is>
          <t>JÄMTLANDS LÄN</t>
        </is>
      </c>
      <c r="E1262" t="inlineStr">
        <is>
          <t>HÄRJEDALEN</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7392-2024</t>
        </is>
      </c>
      <c r="B1263" s="1" t="n">
        <v>45345</v>
      </c>
      <c r="C1263" s="1" t="n">
        <v>45587</v>
      </c>
      <c r="D1263" t="inlineStr">
        <is>
          <t>JÄMTLANDS LÄN</t>
        </is>
      </c>
      <c r="E1263" t="inlineStr">
        <is>
          <t>HÄRJEDALEN</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7396-2024</t>
        </is>
      </c>
      <c r="B1264" s="1" t="n">
        <v>45345</v>
      </c>
      <c r="C1264" s="1" t="n">
        <v>45587</v>
      </c>
      <c r="D1264" t="inlineStr">
        <is>
          <t>JÄMTLANDS LÄN</t>
        </is>
      </c>
      <c r="E1264" t="inlineStr">
        <is>
          <t>HÄRJEDALEN</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7368-2024</t>
        </is>
      </c>
      <c r="B1265" s="1" t="n">
        <v>45345</v>
      </c>
      <c r="C1265" s="1" t="n">
        <v>45587</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7433-2024</t>
        </is>
      </c>
      <c r="B1266" s="1" t="n">
        <v>45345</v>
      </c>
      <c r="C1266" s="1" t="n">
        <v>45587</v>
      </c>
      <c r="D1266" t="inlineStr">
        <is>
          <t>JÄMTLANDS LÄN</t>
        </is>
      </c>
      <c r="E1266" t="inlineStr">
        <is>
          <t>HÄRJEDALEN</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7424-2024</t>
        </is>
      </c>
      <c r="B1267" s="1" t="n">
        <v>45345</v>
      </c>
      <c r="C1267" s="1" t="n">
        <v>45587</v>
      </c>
      <c r="D1267" t="inlineStr">
        <is>
          <t>JÄMTLANDS LÄN</t>
        </is>
      </c>
      <c r="E1267" t="inlineStr">
        <is>
          <t>HÄRJEDALEN</t>
        </is>
      </c>
      <c r="F1267" t="inlineStr">
        <is>
          <t>Holmen skog AB</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7328-2024</t>
        </is>
      </c>
      <c r="B1268" s="1" t="n">
        <v>45345</v>
      </c>
      <c r="C1268" s="1" t="n">
        <v>45587</v>
      </c>
      <c r="D1268" t="inlineStr">
        <is>
          <t>JÄMTLANDS LÄN</t>
        </is>
      </c>
      <c r="E1268" t="inlineStr">
        <is>
          <t>HÄRJEDALEN</t>
        </is>
      </c>
      <c r="F1268" t="inlineStr">
        <is>
          <t>Sveaskog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7320-2024</t>
        </is>
      </c>
      <c r="B1269" s="1" t="n">
        <v>45345</v>
      </c>
      <c r="C1269" s="1" t="n">
        <v>45587</v>
      </c>
      <c r="D1269" t="inlineStr">
        <is>
          <t>JÄMTLANDS LÄN</t>
        </is>
      </c>
      <c r="E1269" t="inlineStr">
        <is>
          <t>HÄRJEDALEN</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7402-2024</t>
        </is>
      </c>
      <c r="B1270" s="1" t="n">
        <v>45345</v>
      </c>
      <c r="C1270" s="1" t="n">
        <v>45587</v>
      </c>
      <c r="D1270" t="inlineStr">
        <is>
          <t>JÄMTLANDS LÄN</t>
        </is>
      </c>
      <c r="E1270" t="inlineStr">
        <is>
          <t>HÄRJEDALEN</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7370-2024</t>
        </is>
      </c>
      <c r="B1271" s="1" t="n">
        <v>45345</v>
      </c>
      <c r="C1271" s="1" t="n">
        <v>45587</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7362-2024</t>
        </is>
      </c>
      <c r="B1272" s="1" t="n">
        <v>45345</v>
      </c>
      <c r="C1272" s="1" t="n">
        <v>45587</v>
      </c>
      <c r="D1272" t="inlineStr">
        <is>
          <t>JÄMTLANDS LÄN</t>
        </is>
      </c>
      <c r="E1272" t="inlineStr">
        <is>
          <t>HÄRJEDALEN</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7358-2024</t>
        </is>
      </c>
      <c r="B1273" s="1" t="n">
        <v>45345</v>
      </c>
      <c r="C1273" s="1" t="n">
        <v>45587</v>
      </c>
      <c r="D1273" t="inlineStr">
        <is>
          <t>JÄMTLANDS LÄN</t>
        </is>
      </c>
      <c r="E1273" t="inlineStr">
        <is>
          <t>HÄRJEDALEN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7318-2024</t>
        </is>
      </c>
      <c r="B1274" s="1" t="n">
        <v>45345</v>
      </c>
      <c r="C1274" s="1" t="n">
        <v>45587</v>
      </c>
      <c r="D1274" t="inlineStr">
        <is>
          <t>JÄMTLANDS LÄN</t>
        </is>
      </c>
      <c r="E1274" t="inlineStr">
        <is>
          <t>HÄRJEDALEN</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7430-2024</t>
        </is>
      </c>
      <c r="B1275" s="1" t="n">
        <v>45345</v>
      </c>
      <c r="C1275" s="1" t="n">
        <v>45587</v>
      </c>
      <c r="D1275" t="inlineStr">
        <is>
          <t>JÄMTLANDS LÄN</t>
        </is>
      </c>
      <c r="E1275" t="inlineStr">
        <is>
          <t>HÄRJEDALEN</t>
        </is>
      </c>
      <c r="F1275" t="inlineStr">
        <is>
          <t>Holmen skog AB</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7371-2024</t>
        </is>
      </c>
      <c r="B1276" s="1" t="n">
        <v>45345</v>
      </c>
      <c r="C1276" s="1" t="n">
        <v>45587</v>
      </c>
      <c r="D1276" t="inlineStr">
        <is>
          <t>JÄMTLANDS LÄN</t>
        </is>
      </c>
      <c r="E1276" t="inlineStr">
        <is>
          <t>HÄRJEDALEN</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7405-2024</t>
        </is>
      </c>
      <c r="B1277" s="1" t="n">
        <v>45345</v>
      </c>
      <c r="C1277" s="1" t="n">
        <v>45587</v>
      </c>
      <c r="D1277" t="inlineStr">
        <is>
          <t>JÄMTLANDS LÄN</t>
        </is>
      </c>
      <c r="E1277" t="inlineStr">
        <is>
          <t>HÄRJEDALEN</t>
        </is>
      </c>
      <c r="F1277" t="inlineStr">
        <is>
          <t>Holmen skog AB</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7349-2024</t>
        </is>
      </c>
      <c r="B1278" s="1" t="n">
        <v>45345</v>
      </c>
      <c r="C1278" s="1" t="n">
        <v>45587</v>
      </c>
      <c r="D1278" t="inlineStr">
        <is>
          <t>JÄMTLANDS LÄN</t>
        </is>
      </c>
      <c r="E1278" t="inlineStr">
        <is>
          <t>HÄRJEDALEN</t>
        </is>
      </c>
      <c r="F1278" t="inlineStr">
        <is>
          <t>Holmen skog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7341-2024</t>
        </is>
      </c>
      <c r="B1279" s="1" t="n">
        <v>45345</v>
      </c>
      <c r="C1279" s="1" t="n">
        <v>45587</v>
      </c>
      <c r="D1279" t="inlineStr">
        <is>
          <t>JÄMTLANDS LÄN</t>
        </is>
      </c>
      <c r="E1279" t="inlineStr">
        <is>
          <t>HÄRJEDALEN</t>
        </is>
      </c>
      <c r="F1279" t="inlineStr">
        <is>
          <t>Holmen skog AB</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7647-2024</t>
        </is>
      </c>
      <c r="B1280" s="1" t="n">
        <v>45348</v>
      </c>
      <c r="C1280" s="1" t="n">
        <v>45587</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7528-2024</t>
        </is>
      </c>
      <c r="B1281" s="1" t="n">
        <v>45348</v>
      </c>
      <c r="C1281" s="1" t="n">
        <v>45587</v>
      </c>
      <c r="D1281" t="inlineStr">
        <is>
          <t>JÄMTLANDS LÄN</t>
        </is>
      </c>
      <c r="E1281" t="inlineStr">
        <is>
          <t>HÄRJEDALEN</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7530-2024</t>
        </is>
      </c>
      <c r="B1282" s="1" t="n">
        <v>45348</v>
      </c>
      <c r="C1282" s="1" t="n">
        <v>45587</v>
      </c>
      <c r="D1282" t="inlineStr">
        <is>
          <t>JÄMTLANDS LÄN</t>
        </is>
      </c>
      <c r="E1282" t="inlineStr">
        <is>
          <t>HÄRJEDALEN</t>
        </is>
      </c>
      <c r="F1282" t="inlineStr">
        <is>
          <t>Holmen skog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7639-2024</t>
        </is>
      </c>
      <c r="B1283" s="1" t="n">
        <v>45348</v>
      </c>
      <c r="C1283" s="1" t="n">
        <v>45587</v>
      </c>
      <c r="D1283" t="inlineStr">
        <is>
          <t>JÄMTLANDS LÄN</t>
        </is>
      </c>
      <c r="E1283" t="inlineStr">
        <is>
          <t>HÄRJEDALEN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7684-2024</t>
        </is>
      </c>
      <c r="B1284" s="1" t="n">
        <v>45348</v>
      </c>
      <c r="C1284" s="1" t="n">
        <v>45587</v>
      </c>
      <c r="D1284" t="inlineStr">
        <is>
          <t>JÄMTLANDS LÄN</t>
        </is>
      </c>
      <c r="E1284" t="inlineStr">
        <is>
          <t>HÄRJEDALEN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7896-2024</t>
        </is>
      </c>
      <c r="B1285" s="1" t="n">
        <v>45350</v>
      </c>
      <c r="C1285" s="1" t="n">
        <v>45587</v>
      </c>
      <c r="D1285" t="inlineStr">
        <is>
          <t>JÄMTLANDS LÄN</t>
        </is>
      </c>
      <c r="E1285" t="inlineStr">
        <is>
          <t>HÄRJEDALEN</t>
        </is>
      </c>
      <c r="F1285" t="inlineStr">
        <is>
          <t>Holmen skog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7880-2024</t>
        </is>
      </c>
      <c r="B1286" s="1" t="n">
        <v>45350</v>
      </c>
      <c r="C1286" s="1" t="n">
        <v>45587</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7995-2024</t>
        </is>
      </c>
      <c r="B1287" s="1" t="n">
        <v>45350</v>
      </c>
      <c r="C1287" s="1" t="n">
        <v>45587</v>
      </c>
      <c r="D1287" t="inlineStr">
        <is>
          <t>JÄMTLANDS LÄN</t>
        </is>
      </c>
      <c r="E1287" t="inlineStr">
        <is>
          <t>HÄRJEDALEN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8178-2024</t>
        </is>
      </c>
      <c r="B1288" s="1" t="n">
        <v>45350</v>
      </c>
      <c r="C1288" s="1" t="n">
        <v>45587</v>
      </c>
      <c r="D1288" t="inlineStr">
        <is>
          <t>JÄMTLANDS LÄN</t>
        </is>
      </c>
      <c r="E1288" t="inlineStr">
        <is>
          <t>HÄRJEDALEN</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8158-2024</t>
        </is>
      </c>
      <c r="B1289" s="1" t="n">
        <v>45351</v>
      </c>
      <c r="C1289" s="1" t="n">
        <v>45587</v>
      </c>
      <c r="D1289" t="inlineStr">
        <is>
          <t>JÄMTLANDS LÄN</t>
        </is>
      </c>
      <c r="E1289" t="inlineStr">
        <is>
          <t>HÄRJEDALEN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8215-2024</t>
        </is>
      </c>
      <c r="B1290" s="1" t="n">
        <v>45351</v>
      </c>
      <c r="C1290" s="1" t="n">
        <v>45587</v>
      </c>
      <c r="D1290" t="inlineStr">
        <is>
          <t>JÄMTLANDS LÄN</t>
        </is>
      </c>
      <c r="E1290" t="inlineStr">
        <is>
          <t>HÄRJEDALEN</t>
        </is>
      </c>
      <c r="G1290" t="n">
        <v>49.2</v>
      </c>
      <c r="H1290" t="n">
        <v>0</v>
      </c>
      <c r="I1290" t="n">
        <v>0</v>
      </c>
      <c r="J1290" t="n">
        <v>0</v>
      </c>
      <c r="K1290" t="n">
        <v>0</v>
      </c>
      <c r="L1290" t="n">
        <v>0</v>
      </c>
      <c r="M1290" t="n">
        <v>0</v>
      </c>
      <c r="N1290" t="n">
        <v>0</v>
      </c>
      <c r="O1290" t="n">
        <v>0</v>
      </c>
      <c r="P1290" t="n">
        <v>0</v>
      </c>
      <c r="Q1290" t="n">
        <v>0</v>
      </c>
      <c r="R1290" s="2" t="inlineStr"/>
    </row>
    <row r="1291" ht="15" customHeight="1">
      <c r="A1291" t="inlineStr">
        <is>
          <t>A 8136-2024</t>
        </is>
      </c>
      <c r="B1291" s="1" t="n">
        <v>45351</v>
      </c>
      <c r="C1291" s="1" t="n">
        <v>45587</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8376-2024</t>
        </is>
      </c>
      <c r="B1292" s="1" t="n">
        <v>45352</v>
      </c>
      <c r="C1292" s="1" t="n">
        <v>45587</v>
      </c>
      <c r="D1292" t="inlineStr">
        <is>
          <t>JÄMTLANDS LÄN</t>
        </is>
      </c>
      <c r="E1292" t="inlineStr">
        <is>
          <t>HÄRJEDALEN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9013-2024</t>
        </is>
      </c>
      <c r="B1293" s="1" t="n">
        <v>45357</v>
      </c>
      <c r="C1293" s="1" t="n">
        <v>45587</v>
      </c>
      <c r="D1293" t="inlineStr">
        <is>
          <t>JÄMTLANDS LÄN</t>
        </is>
      </c>
      <c r="E1293" t="inlineStr">
        <is>
          <t>HÄRJEDALEN</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9778-2024</t>
        </is>
      </c>
      <c r="B1294" s="1" t="n">
        <v>45362</v>
      </c>
      <c r="C1294" s="1" t="n">
        <v>45587</v>
      </c>
      <c r="D1294" t="inlineStr">
        <is>
          <t>JÄMTLANDS LÄN</t>
        </is>
      </c>
      <c r="E1294" t="inlineStr">
        <is>
          <t>HÄRJEDALEN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9782-2024</t>
        </is>
      </c>
      <c r="B1295" s="1" t="n">
        <v>45362</v>
      </c>
      <c r="C1295" s="1" t="n">
        <v>45587</v>
      </c>
      <c r="D1295" t="inlineStr">
        <is>
          <t>JÄMTLANDS LÄN</t>
        </is>
      </c>
      <c r="E1295" t="inlineStr">
        <is>
          <t>HÄRJEDALEN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9767-2024</t>
        </is>
      </c>
      <c r="B1296" s="1" t="n">
        <v>45362</v>
      </c>
      <c r="C1296" s="1" t="n">
        <v>45587</v>
      </c>
      <c r="D1296" t="inlineStr">
        <is>
          <t>JÄMTLANDS LÄN</t>
        </is>
      </c>
      <c r="E1296" t="inlineStr">
        <is>
          <t>HÄRJEDALEN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9780-2024</t>
        </is>
      </c>
      <c r="B1297" s="1" t="n">
        <v>45362</v>
      </c>
      <c r="C1297" s="1" t="n">
        <v>45587</v>
      </c>
      <c r="D1297" t="inlineStr">
        <is>
          <t>JÄMTLANDS LÄN</t>
        </is>
      </c>
      <c r="E1297" t="inlineStr">
        <is>
          <t>HÄRJEDALEN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9784-2024</t>
        </is>
      </c>
      <c r="B1298" s="1" t="n">
        <v>45362</v>
      </c>
      <c r="C1298" s="1" t="n">
        <v>45587</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9788-2024</t>
        </is>
      </c>
      <c r="B1299" s="1" t="n">
        <v>45362</v>
      </c>
      <c r="C1299" s="1" t="n">
        <v>45587</v>
      </c>
      <c r="D1299" t="inlineStr">
        <is>
          <t>JÄMTLANDS LÄN</t>
        </is>
      </c>
      <c r="E1299" t="inlineStr">
        <is>
          <t>HÄRJEDALEN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9775-2024</t>
        </is>
      </c>
      <c r="B1300" s="1" t="n">
        <v>45362</v>
      </c>
      <c r="C1300" s="1" t="n">
        <v>45587</v>
      </c>
      <c r="D1300" t="inlineStr">
        <is>
          <t>JÄMTLANDS LÄN</t>
        </is>
      </c>
      <c r="E1300" t="inlineStr">
        <is>
          <t>HÄRJEDALEN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10566-2024</t>
        </is>
      </c>
      <c r="B1301" s="1" t="n">
        <v>45366</v>
      </c>
      <c r="C1301" s="1" t="n">
        <v>45587</v>
      </c>
      <c r="D1301" t="inlineStr">
        <is>
          <t>JÄMTLANDS LÄN</t>
        </is>
      </c>
      <c r="E1301" t="inlineStr">
        <is>
          <t>HÄRJEDALEN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10564-2024</t>
        </is>
      </c>
      <c r="B1302" s="1" t="n">
        <v>45366</v>
      </c>
      <c r="C1302" s="1" t="n">
        <v>45587</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10563-2024</t>
        </is>
      </c>
      <c r="B1303" s="1" t="n">
        <v>45366</v>
      </c>
      <c r="C1303" s="1" t="n">
        <v>45587</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11257-2024</t>
        </is>
      </c>
      <c r="B1304" s="1" t="n">
        <v>45371</v>
      </c>
      <c r="C1304" s="1" t="n">
        <v>45587</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11255-2024</t>
        </is>
      </c>
      <c r="B1305" s="1" t="n">
        <v>45371</v>
      </c>
      <c r="C1305" s="1" t="n">
        <v>45587</v>
      </c>
      <c r="D1305" t="inlineStr">
        <is>
          <t>JÄMTLANDS LÄN</t>
        </is>
      </c>
      <c r="E1305" t="inlineStr">
        <is>
          <t>HÄRJEDALEN</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11494-2024</t>
        </is>
      </c>
      <c r="B1306" s="1" t="n">
        <v>45372</v>
      </c>
      <c r="C1306" s="1" t="n">
        <v>45587</v>
      </c>
      <c r="D1306" t="inlineStr">
        <is>
          <t>JÄMTLANDS LÄN</t>
        </is>
      </c>
      <c r="E1306" t="inlineStr">
        <is>
          <t>HÄRJEDALEN</t>
        </is>
      </c>
      <c r="G1306" t="n">
        <v>28.8</v>
      </c>
      <c r="H1306" t="n">
        <v>0</v>
      </c>
      <c r="I1306" t="n">
        <v>0</v>
      </c>
      <c r="J1306" t="n">
        <v>0</v>
      </c>
      <c r="K1306" t="n">
        <v>0</v>
      </c>
      <c r="L1306" t="n">
        <v>0</v>
      </c>
      <c r="M1306" t="n">
        <v>0</v>
      </c>
      <c r="N1306" t="n">
        <v>0</v>
      </c>
      <c r="O1306" t="n">
        <v>0</v>
      </c>
      <c r="P1306" t="n">
        <v>0</v>
      </c>
      <c r="Q1306" t="n">
        <v>0</v>
      </c>
      <c r="R1306" s="2" t="inlineStr"/>
    </row>
    <row r="1307" ht="15" customHeight="1">
      <c r="A1307" t="inlineStr">
        <is>
          <t>A 11624-2024</t>
        </is>
      </c>
      <c r="B1307" s="1" t="n">
        <v>45373</v>
      </c>
      <c r="C1307" s="1" t="n">
        <v>45587</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11612-2024</t>
        </is>
      </c>
      <c r="B1308" s="1" t="n">
        <v>45373</v>
      </c>
      <c r="C1308" s="1" t="n">
        <v>45587</v>
      </c>
      <c r="D1308" t="inlineStr">
        <is>
          <t>JÄMTLANDS LÄN</t>
        </is>
      </c>
      <c r="E1308" t="inlineStr">
        <is>
          <t>HÄRJEDALEN</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12043-2024</t>
        </is>
      </c>
      <c r="B1309" s="1" t="n">
        <v>45377</v>
      </c>
      <c r="C1309" s="1" t="n">
        <v>45587</v>
      </c>
      <c r="D1309" t="inlineStr">
        <is>
          <t>JÄMTLANDS LÄN</t>
        </is>
      </c>
      <c r="E1309" t="inlineStr">
        <is>
          <t>HÄRJEDALEN</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12929-2024</t>
        </is>
      </c>
      <c r="B1310" s="1" t="n">
        <v>45385</v>
      </c>
      <c r="C1310" s="1" t="n">
        <v>45587</v>
      </c>
      <c r="D1310" t="inlineStr">
        <is>
          <t>JÄMTLANDS LÄN</t>
        </is>
      </c>
      <c r="E1310" t="inlineStr">
        <is>
          <t>HÄRJEDALEN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13542-2024</t>
        </is>
      </c>
      <c r="B1311" s="1" t="n">
        <v>45387</v>
      </c>
      <c r="C1311" s="1" t="n">
        <v>45587</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13543-2024</t>
        </is>
      </c>
      <c r="B1312" s="1" t="n">
        <v>45387</v>
      </c>
      <c r="C1312" s="1" t="n">
        <v>45587</v>
      </c>
      <c r="D1312" t="inlineStr">
        <is>
          <t>JÄMTLANDS LÄN</t>
        </is>
      </c>
      <c r="E1312" t="inlineStr">
        <is>
          <t>HÄRJEDALEN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13544-2024</t>
        </is>
      </c>
      <c r="B1313" s="1" t="n">
        <v>45387</v>
      </c>
      <c r="C1313" s="1" t="n">
        <v>45587</v>
      </c>
      <c r="D1313" t="inlineStr">
        <is>
          <t>JÄMTLANDS LÄN</t>
        </is>
      </c>
      <c r="E1313" t="inlineStr">
        <is>
          <t>HÄRJEDALEN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13545-2024</t>
        </is>
      </c>
      <c r="B1314" s="1" t="n">
        <v>45387</v>
      </c>
      <c r="C1314" s="1" t="n">
        <v>45587</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13541-2024</t>
        </is>
      </c>
      <c r="B1315" s="1" t="n">
        <v>45387</v>
      </c>
      <c r="C1315" s="1" t="n">
        <v>45587</v>
      </c>
      <c r="D1315" t="inlineStr">
        <is>
          <t>JÄMTLANDS LÄN</t>
        </is>
      </c>
      <c r="E1315" t="inlineStr">
        <is>
          <t>HÄRJEDALEN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13723-2024</t>
        </is>
      </c>
      <c r="B1316" s="1" t="n">
        <v>45390</v>
      </c>
      <c r="C1316" s="1" t="n">
        <v>45587</v>
      </c>
      <c r="D1316" t="inlineStr">
        <is>
          <t>JÄMTLANDS LÄN</t>
        </is>
      </c>
      <c r="E1316" t="inlineStr">
        <is>
          <t>HÄRJEDALEN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14301-2024</t>
        </is>
      </c>
      <c r="B1317" s="1" t="n">
        <v>45393</v>
      </c>
      <c r="C1317" s="1" t="n">
        <v>45587</v>
      </c>
      <c r="D1317" t="inlineStr">
        <is>
          <t>JÄMTLANDS LÄN</t>
        </is>
      </c>
      <c r="E1317" t="inlineStr">
        <is>
          <t>HÄRJEDALEN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14306-2024</t>
        </is>
      </c>
      <c r="B1318" s="1" t="n">
        <v>45393</v>
      </c>
      <c r="C1318" s="1" t="n">
        <v>45587</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14752-2024</t>
        </is>
      </c>
      <c r="B1319" s="1" t="n">
        <v>45397</v>
      </c>
      <c r="C1319" s="1" t="n">
        <v>45587</v>
      </c>
      <c r="D1319" t="inlineStr">
        <is>
          <t>JÄMTLANDS LÄN</t>
        </is>
      </c>
      <c r="E1319" t="inlineStr">
        <is>
          <t>HÄRJEDALEN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15525-2024</t>
        </is>
      </c>
      <c r="B1320" s="1" t="n">
        <v>45401</v>
      </c>
      <c r="C1320" s="1" t="n">
        <v>45587</v>
      </c>
      <c r="D1320" t="inlineStr">
        <is>
          <t>JÄMTLANDS LÄN</t>
        </is>
      </c>
      <c r="E1320" t="inlineStr">
        <is>
          <t>HÄRJEDALEN</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16185-2024</t>
        </is>
      </c>
      <c r="B1321" s="1" t="n">
        <v>45406</v>
      </c>
      <c r="C1321" s="1" t="n">
        <v>45587</v>
      </c>
      <c r="D1321" t="inlineStr">
        <is>
          <t>JÄMTLANDS LÄN</t>
        </is>
      </c>
      <c r="E1321" t="inlineStr">
        <is>
          <t>HÄRJEDALEN</t>
        </is>
      </c>
      <c r="F1321" t="inlineStr">
        <is>
          <t>Holmen skog AB</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16151-2024</t>
        </is>
      </c>
      <c r="B1322" s="1" t="n">
        <v>45406</v>
      </c>
      <c r="C1322" s="1" t="n">
        <v>45587</v>
      </c>
      <c r="D1322" t="inlineStr">
        <is>
          <t>JÄMTLANDS LÄN</t>
        </is>
      </c>
      <c r="E1322" t="inlineStr">
        <is>
          <t>HÄRJEDALEN</t>
        </is>
      </c>
      <c r="F1322" t="inlineStr">
        <is>
          <t>Holmen skog AB</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16175-2024</t>
        </is>
      </c>
      <c r="B1323" s="1" t="n">
        <v>45406</v>
      </c>
      <c r="C1323" s="1" t="n">
        <v>45587</v>
      </c>
      <c r="D1323" t="inlineStr">
        <is>
          <t>JÄMTLANDS LÄN</t>
        </is>
      </c>
      <c r="E1323" t="inlineStr">
        <is>
          <t>HÄRJEDALEN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v>
      </c>
      <c r="C1324" s="1" t="n">
        <v>45587</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16283-2024</t>
        </is>
      </c>
      <c r="B1325" s="1" t="n">
        <v>45407</v>
      </c>
      <c r="C1325" s="1" t="n">
        <v>45587</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16511-2024</t>
        </is>
      </c>
      <c r="B1326" s="1" t="n">
        <v>45408</v>
      </c>
      <c r="C1326" s="1" t="n">
        <v>45587</v>
      </c>
      <c r="D1326" t="inlineStr">
        <is>
          <t>JÄMTLANDS LÄN</t>
        </is>
      </c>
      <c r="E1326" t="inlineStr">
        <is>
          <t>HÄRJEDALEN</t>
        </is>
      </c>
      <c r="G1326" t="n">
        <v>54.2</v>
      </c>
      <c r="H1326" t="n">
        <v>0</v>
      </c>
      <c r="I1326" t="n">
        <v>0</v>
      </c>
      <c r="J1326" t="n">
        <v>0</v>
      </c>
      <c r="K1326" t="n">
        <v>0</v>
      </c>
      <c r="L1326" t="n">
        <v>0</v>
      </c>
      <c r="M1326" t="n">
        <v>0</v>
      </c>
      <c r="N1326" t="n">
        <v>0</v>
      </c>
      <c r="O1326" t="n">
        <v>0</v>
      </c>
      <c r="P1326" t="n">
        <v>0</v>
      </c>
      <c r="Q1326" t="n">
        <v>0</v>
      </c>
      <c r="R1326" s="2" t="inlineStr"/>
    </row>
    <row r="1327" ht="15" customHeight="1">
      <c r="A1327" t="inlineStr">
        <is>
          <t>A 16535-2024</t>
        </is>
      </c>
      <c r="B1327" s="1" t="n">
        <v>45408</v>
      </c>
      <c r="C1327" s="1" t="n">
        <v>45587</v>
      </c>
      <c r="D1327" t="inlineStr">
        <is>
          <t>JÄMTLANDS LÄN</t>
        </is>
      </c>
      <c r="E1327" t="inlineStr">
        <is>
          <t>HÄRJEDALEN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16801-2024</t>
        </is>
      </c>
      <c r="B1328" s="1" t="n">
        <v>45411</v>
      </c>
      <c r="C1328" s="1" t="n">
        <v>45587</v>
      </c>
      <c r="D1328" t="inlineStr">
        <is>
          <t>JÄMTLANDS LÄN</t>
        </is>
      </c>
      <c r="E1328" t="inlineStr">
        <is>
          <t>HÄRJEDALEN</t>
        </is>
      </c>
      <c r="F1328" t="inlineStr">
        <is>
          <t>Bergvik skog väst AB</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17416-2024</t>
        </is>
      </c>
      <c r="B1329" s="1" t="n">
        <v>45415</v>
      </c>
      <c r="C1329" s="1" t="n">
        <v>45587</v>
      </c>
      <c r="D1329" t="inlineStr">
        <is>
          <t>JÄMTLANDS LÄN</t>
        </is>
      </c>
      <c r="E1329" t="inlineStr">
        <is>
          <t>HÄRJEDALEN</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17773-2024</t>
        </is>
      </c>
      <c r="B1330" s="1" t="n">
        <v>45418</v>
      </c>
      <c r="C1330" s="1" t="n">
        <v>45587</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17865-2024</t>
        </is>
      </c>
      <c r="B1331" s="1" t="n">
        <v>45419</v>
      </c>
      <c r="C1331" s="1" t="n">
        <v>45587</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18036-2024</t>
        </is>
      </c>
      <c r="B1332" s="1" t="n">
        <v>45420</v>
      </c>
      <c r="C1332" s="1" t="n">
        <v>45587</v>
      </c>
      <c r="D1332" t="inlineStr">
        <is>
          <t>JÄMTLANDS LÄN</t>
        </is>
      </c>
      <c r="E1332" t="inlineStr">
        <is>
          <t>HÄRJEDALEN</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18068-2024</t>
        </is>
      </c>
      <c r="B1333" s="1" t="n">
        <v>45420</v>
      </c>
      <c r="C1333" s="1" t="n">
        <v>45587</v>
      </c>
      <c r="D1333" t="inlineStr">
        <is>
          <t>JÄMTLANDS LÄN</t>
        </is>
      </c>
      <c r="E1333" t="inlineStr">
        <is>
          <t>HÄRJEDALEN</t>
        </is>
      </c>
      <c r="F1333" t="inlineStr">
        <is>
          <t>Bergvik skog väst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18076-2024</t>
        </is>
      </c>
      <c r="B1334" s="1" t="n">
        <v>45420</v>
      </c>
      <c r="C1334" s="1" t="n">
        <v>45587</v>
      </c>
      <c r="D1334" t="inlineStr">
        <is>
          <t>JÄMTLANDS LÄN</t>
        </is>
      </c>
      <c r="E1334" t="inlineStr">
        <is>
          <t>HÄRJEDALEN</t>
        </is>
      </c>
      <c r="F1334" t="inlineStr">
        <is>
          <t>Holmen skog AB</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18080-2024</t>
        </is>
      </c>
      <c r="B1335" s="1" t="n">
        <v>45420</v>
      </c>
      <c r="C1335" s="1" t="n">
        <v>45587</v>
      </c>
      <c r="D1335" t="inlineStr">
        <is>
          <t>JÄMTLANDS LÄN</t>
        </is>
      </c>
      <c r="E1335" t="inlineStr">
        <is>
          <t>HÄRJEDALEN</t>
        </is>
      </c>
      <c r="F1335" t="inlineStr">
        <is>
          <t>Holmen skog AB</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18107-2024</t>
        </is>
      </c>
      <c r="B1336" s="1" t="n">
        <v>45420</v>
      </c>
      <c r="C1336" s="1" t="n">
        <v>45587</v>
      </c>
      <c r="D1336" t="inlineStr">
        <is>
          <t>JÄMTLANDS LÄN</t>
        </is>
      </c>
      <c r="E1336" t="inlineStr">
        <is>
          <t>HÄRJEDALEN</t>
        </is>
      </c>
      <c r="F1336" t="inlineStr">
        <is>
          <t>Holmen skog AB</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18554-2024</t>
        </is>
      </c>
      <c r="B1337" s="1" t="n">
        <v>45425</v>
      </c>
      <c r="C1337" s="1" t="n">
        <v>45587</v>
      </c>
      <c r="D1337" t="inlineStr">
        <is>
          <t>JÄMTLANDS LÄN</t>
        </is>
      </c>
      <c r="E1337" t="inlineStr">
        <is>
          <t>HÄRJEDALEN</t>
        </is>
      </c>
      <c r="G1337" t="n">
        <v>18.7</v>
      </c>
      <c r="H1337" t="n">
        <v>0</v>
      </c>
      <c r="I1337" t="n">
        <v>0</v>
      </c>
      <c r="J1337" t="n">
        <v>0</v>
      </c>
      <c r="K1337" t="n">
        <v>0</v>
      </c>
      <c r="L1337" t="n">
        <v>0</v>
      </c>
      <c r="M1337" t="n">
        <v>0</v>
      </c>
      <c r="N1337" t="n">
        <v>0</v>
      </c>
      <c r="O1337" t="n">
        <v>0</v>
      </c>
      <c r="P1337" t="n">
        <v>0</v>
      </c>
      <c r="Q1337" t="n">
        <v>0</v>
      </c>
      <c r="R1337" s="2" t="inlineStr"/>
    </row>
    <row r="1338" ht="15" customHeight="1">
      <c r="A1338" t="inlineStr">
        <is>
          <t>A 18550-2024</t>
        </is>
      </c>
      <c r="B1338" s="1" t="n">
        <v>45425</v>
      </c>
      <c r="C1338" s="1" t="n">
        <v>45587</v>
      </c>
      <c r="D1338" t="inlineStr">
        <is>
          <t>JÄMTLANDS LÄN</t>
        </is>
      </c>
      <c r="E1338" t="inlineStr">
        <is>
          <t>HÄRJEDALEN</t>
        </is>
      </c>
      <c r="G1338" t="n">
        <v>15.7</v>
      </c>
      <c r="H1338" t="n">
        <v>0</v>
      </c>
      <c r="I1338" t="n">
        <v>0</v>
      </c>
      <c r="J1338" t="n">
        <v>0</v>
      </c>
      <c r="K1338" t="n">
        <v>0</v>
      </c>
      <c r="L1338" t="n">
        <v>0</v>
      </c>
      <c r="M1338" t="n">
        <v>0</v>
      </c>
      <c r="N1338" t="n">
        <v>0</v>
      </c>
      <c r="O1338" t="n">
        <v>0</v>
      </c>
      <c r="P1338" t="n">
        <v>0</v>
      </c>
      <c r="Q1338" t="n">
        <v>0</v>
      </c>
      <c r="R1338" s="2" t="inlineStr"/>
    </row>
    <row r="1339" ht="15" customHeight="1">
      <c r="A1339" t="inlineStr">
        <is>
          <t>A 18644-2024</t>
        </is>
      </c>
      <c r="B1339" s="1" t="n">
        <v>45426</v>
      </c>
      <c r="C1339" s="1" t="n">
        <v>45587</v>
      </c>
      <c r="D1339" t="inlineStr">
        <is>
          <t>JÄMTLANDS LÄN</t>
        </is>
      </c>
      <c r="E1339" t="inlineStr">
        <is>
          <t>HÄRJEDALEN</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18903-2024</t>
        </is>
      </c>
      <c r="B1340" s="1" t="n">
        <v>45427</v>
      </c>
      <c r="C1340" s="1" t="n">
        <v>45587</v>
      </c>
      <c r="D1340" t="inlineStr">
        <is>
          <t>JÄMTLANDS LÄN</t>
        </is>
      </c>
      <c r="E1340" t="inlineStr">
        <is>
          <t>HÄRJEDALEN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19001-2024</t>
        </is>
      </c>
      <c r="B1341" s="1" t="n">
        <v>45427</v>
      </c>
      <c r="C1341" s="1" t="n">
        <v>45587</v>
      </c>
      <c r="D1341" t="inlineStr">
        <is>
          <t>JÄMTLANDS LÄN</t>
        </is>
      </c>
      <c r="E1341" t="inlineStr">
        <is>
          <t>HÄRJEDALEN</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19453-2024</t>
        </is>
      </c>
      <c r="B1342" s="1" t="n">
        <v>45429</v>
      </c>
      <c r="C1342" s="1" t="n">
        <v>45587</v>
      </c>
      <c r="D1342" t="inlineStr">
        <is>
          <t>JÄMTLANDS LÄN</t>
        </is>
      </c>
      <c r="E1342" t="inlineStr">
        <is>
          <t>HÄRJEDALEN</t>
        </is>
      </c>
      <c r="G1342" t="n">
        <v>31.6</v>
      </c>
      <c r="H1342" t="n">
        <v>0</v>
      </c>
      <c r="I1342" t="n">
        <v>0</v>
      </c>
      <c r="J1342" t="n">
        <v>0</v>
      </c>
      <c r="K1342" t="n">
        <v>0</v>
      </c>
      <c r="L1342" t="n">
        <v>0</v>
      </c>
      <c r="M1342" t="n">
        <v>0</v>
      </c>
      <c r="N1342" t="n">
        <v>0</v>
      </c>
      <c r="O1342" t="n">
        <v>0</v>
      </c>
      <c r="P1342" t="n">
        <v>0</v>
      </c>
      <c r="Q1342" t="n">
        <v>0</v>
      </c>
      <c r="R1342" s="2" t="inlineStr"/>
    </row>
    <row r="1343" ht="15" customHeight="1">
      <c r="A1343" t="inlineStr">
        <is>
          <t>A 19488-2024</t>
        </is>
      </c>
      <c r="B1343" s="1" t="n">
        <v>45429</v>
      </c>
      <c r="C1343" s="1" t="n">
        <v>45587</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19492-2024</t>
        </is>
      </c>
      <c r="B1344" s="1" t="n">
        <v>45429</v>
      </c>
      <c r="C1344" s="1" t="n">
        <v>45587</v>
      </c>
      <c r="D1344" t="inlineStr">
        <is>
          <t>JÄMTLANDS LÄN</t>
        </is>
      </c>
      <c r="E1344" t="inlineStr">
        <is>
          <t>HÄRJEDALEN</t>
        </is>
      </c>
      <c r="G1344" t="n">
        <v>58.7</v>
      </c>
      <c r="H1344" t="n">
        <v>0</v>
      </c>
      <c r="I1344" t="n">
        <v>0</v>
      </c>
      <c r="J1344" t="n">
        <v>0</v>
      </c>
      <c r="K1344" t="n">
        <v>0</v>
      </c>
      <c r="L1344" t="n">
        <v>0</v>
      </c>
      <c r="M1344" t="n">
        <v>0</v>
      </c>
      <c r="N1344" t="n">
        <v>0</v>
      </c>
      <c r="O1344" t="n">
        <v>0</v>
      </c>
      <c r="P1344" t="n">
        <v>0</v>
      </c>
      <c r="Q1344" t="n">
        <v>0</v>
      </c>
      <c r="R1344" s="2" t="inlineStr"/>
    </row>
    <row r="1345" ht="15" customHeight="1">
      <c r="A1345" t="inlineStr">
        <is>
          <t>A 19402-2024</t>
        </is>
      </c>
      <c r="B1345" s="1" t="n">
        <v>45429</v>
      </c>
      <c r="C1345" s="1" t="n">
        <v>45587</v>
      </c>
      <c r="D1345" t="inlineStr">
        <is>
          <t>JÄMTLANDS LÄN</t>
        </is>
      </c>
      <c r="E1345" t="inlineStr">
        <is>
          <t>HÄRJEDALEN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19426-2024</t>
        </is>
      </c>
      <c r="B1346" s="1" t="n">
        <v>45429</v>
      </c>
      <c r="C1346" s="1" t="n">
        <v>45587</v>
      </c>
      <c r="D1346" t="inlineStr">
        <is>
          <t>JÄMTLANDS LÄN</t>
        </is>
      </c>
      <c r="E1346" t="inlineStr">
        <is>
          <t>HÄRJEDALEN</t>
        </is>
      </c>
      <c r="G1346" t="n">
        <v>30.6</v>
      </c>
      <c r="H1346" t="n">
        <v>0</v>
      </c>
      <c r="I1346" t="n">
        <v>0</v>
      </c>
      <c r="J1346" t="n">
        <v>0</v>
      </c>
      <c r="K1346" t="n">
        <v>0</v>
      </c>
      <c r="L1346" t="n">
        <v>0</v>
      </c>
      <c r="M1346" t="n">
        <v>0</v>
      </c>
      <c r="N1346" t="n">
        <v>0</v>
      </c>
      <c r="O1346" t="n">
        <v>0</v>
      </c>
      <c r="P1346" t="n">
        <v>0</v>
      </c>
      <c r="Q1346" t="n">
        <v>0</v>
      </c>
      <c r="R1346" s="2" t="inlineStr"/>
    </row>
    <row r="1347" ht="15" customHeight="1">
      <c r="A1347" t="inlineStr">
        <is>
          <t>A 19661-2024</t>
        </is>
      </c>
      <c r="B1347" s="1" t="n">
        <v>45432</v>
      </c>
      <c r="C1347" s="1" t="n">
        <v>45587</v>
      </c>
      <c r="D1347" t="inlineStr">
        <is>
          <t>JÄMTLANDS LÄN</t>
        </is>
      </c>
      <c r="E1347" t="inlineStr">
        <is>
          <t>HÄRJEDALEN</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19677-2024</t>
        </is>
      </c>
      <c r="B1348" s="1" t="n">
        <v>45432</v>
      </c>
      <c r="C1348" s="1" t="n">
        <v>45587</v>
      </c>
      <c r="D1348" t="inlineStr">
        <is>
          <t>JÄMTLANDS LÄN</t>
        </is>
      </c>
      <c r="E1348" t="inlineStr">
        <is>
          <t>HÄRJEDALEN</t>
        </is>
      </c>
      <c r="F1348" t="inlineStr">
        <is>
          <t>Bergvik skog väst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20005-2024</t>
        </is>
      </c>
      <c r="B1349" s="1" t="n">
        <v>45434</v>
      </c>
      <c r="C1349" s="1" t="n">
        <v>45587</v>
      </c>
      <c r="D1349" t="inlineStr">
        <is>
          <t>JÄMTLANDS LÄN</t>
        </is>
      </c>
      <c r="E1349" t="inlineStr">
        <is>
          <t>HÄRJEDALEN</t>
        </is>
      </c>
      <c r="F1349" t="inlineStr">
        <is>
          <t>SCA</t>
        </is>
      </c>
      <c r="G1349" t="n">
        <v>20.7</v>
      </c>
      <c r="H1349" t="n">
        <v>0</v>
      </c>
      <c r="I1349" t="n">
        <v>0</v>
      </c>
      <c r="J1349" t="n">
        <v>0</v>
      </c>
      <c r="K1349" t="n">
        <v>0</v>
      </c>
      <c r="L1349" t="n">
        <v>0</v>
      </c>
      <c r="M1349" t="n">
        <v>0</v>
      </c>
      <c r="N1349" t="n">
        <v>0</v>
      </c>
      <c r="O1349" t="n">
        <v>0</v>
      </c>
      <c r="P1349" t="n">
        <v>0</v>
      </c>
      <c r="Q1349" t="n">
        <v>0</v>
      </c>
      <c r="R1349" s="2" t="inlineStr"/>
    </row>
    <row r="1350" ht="15" customHeight="1">
      <c r="A1350" t="inlineStr">
        <is>
          <t>A 20701-2024</t>
        </is>
      </c>
      <c r="B1350" s="1" t="n">
        <v>45436</v>
      </c>
      <c r="C1350" s="1" t="n">
        <v>45587</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20865-2024</t>
        </is>
      </c>
      <c r="B1351" s="1" t="n">
        <v>45439</v>
      </c>
      <c r="C1351" s="1" t="n">
        <v>45587</v>
      </c>
      <c r="D1351" t="inlineStr">
        <is>
          <t>JÄMTLANDS LÄN</t>
        </is>
      </c>
      <c r="E1351" t="inlineStr">
        <is>
          <t>HÄRJEDALEN</t>
        </is>
      </c>
      <c r="F1351" t="inlineStr">
        <is>
          <t>Holmen skog AB</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21011-2024</t>
        </is>
      </c>
      <c r="B1352" s="1" t="n">
        <v>45439</v>
      </c>
      <c r="C1352" s="1" t="n">
        <v>45587</v>
      </c>
      <c r="D1352" t="inlineStr">
        <is>
          <t>JÄMTLANDS LÄN</t>
        </is>
      </c>
      <c r="E1352" t="inlineStr">
        <is>
          <t>HÄRJEDALEN</t>
        </is>
      </c>
      <c r="G1352" t="n">
        <v>92.40000000000001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20853-2024</t>
        </is>
      </c>
      <c r="B1353" s="1" t="n">
        <v>45439</v>
      </c>
      <c r="C1353" s="1" t="n">
        <v>45587</v>
      </c>
      <c r="D1353" t="inlineStr">
        <is>
          <t>JÄMTLANDS LÄN</t>
        </is>
      </c>
      <c r="E1353" t="inlineStr">
        <is>
          <t>HÄRJEDALEN</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21478-2024</t>
        </is>
      </c>
      <c r="B1354" s="1" t="n">
        <v>45441</v>
      </c>
      <c r="C1354" s="1" t="n">
        <v>45587</v>
      </c>
      <c r="D1354" t="inlineStr">
        <is>
          <t>JÄMTLANDS LÄN</t>
        </is>
      </c>
      <c r="E1354" t="inlineStr">
        <is>
          <t>HÄRJEDALEN</t>
        </is>
      </c>
      <c r="G1354" t="n">
        <v>44.9</v>
      </c>
      <c r="H1354" t="n">
        <v>0</v>
      </c>
      <c r="I1354" t="n">
        <v>0</v>
      </c>
      <c r="J1354" t="n">
        <v>0</v>
      </c>
      <c r="K1354" t="n">
        <v>0</v>
      </c>
      <c r="L1354" t="n">
        <v>0</v>
      </c>
      <c r="M1354" t="n">
        <v>0</v>
      </c>
      <c r="N1354" t="n">
        <v>0</v>
      </c>
      <c r="O1354" t="n">
        <v>0</v>
      </c>
      <c r="P1354" t="n">
        <v>0</v>
      </c>
      <c r="Q1354" t="n">
        <v>0</v>
      </c>
      <c r="R1354" s="2" t="inlineStr"/>
    </row>
    <row r="1355" ht="15" customHeight="1">
      <c r="A1355" t="inlineStr">
        <is>
          <t>A 21621-2024</t>
        </is>
      </c>
      <c r="B1355" s="1" t="n">
        <v>45442</v>
      </c>
      <c r="C1355" s="1" t="n">
        <v>45587</v>
      </c>
      <c r="D1355" t="inlineStr">
        <is>
          <t>JÄMTLANDS LÄN</t>
        </is>
      </c>
      <c r="E1355" t="inlineStr">
        <is>
          <t>HÄRJEDALEN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21624-2024</t>
        </is>
      </c>
      <c r="B1356" s="1" t="n">
        <v>45442</v>
      </c>
      <c r="C1356" s="1" t="n">
        <v>45587</v>
      </c>
      <c r="D1356" t="inlineStr">
        <is>
          <t>JÄMTLANDS LÄN</t>
        </is>
      </c>
      <c r="E1356" t="inlineStr">
        <is>
          <t>HÄRJEDALEN</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21816-2024</t>
        </is>
      </c>
      <c r="B1357" s="1" t="n">
        <v>45442</v>
      </c>
      <c r="C1357" s="1" t="n">
        <v>45587</v>
      </c>
      <c r="D1357" t="inlineStr">
        <is>
          <t>JÄMTLANDS LÄN</t>
        </is>
      </c>
      <c r="E1357" t="inlineStr">
        <is>
          <t>HÄRJEDALEN</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22499-2024</t>
        </is>
      </c>
      <c r="B1358" s="1" t="n">
        <v>45447</v>
      </c>
      <c r="C1358" s="1" t="n">
        <v>45587</v>
      </c>
      <c r="D1358" t="inlineStr">
        <is>
          <t>JÄMTLANDS LÄN</t>
        </is>
      </c>
      <c r="E1358" t="inlineStr">
        <is>
          <t>HÄRJEDALEN</t>
        </is>
      </c>
      <c r="G1358" t="n">
        <v>14.1</v>
      </c>
      <c r="H1358" t="n">
        <v>0</v>
      </c>
      <c r="I1358" t="n">
        <v>0</v>
      </c>
      <c r="J1358" t="n">
        <v>0</v>
      </c>
      <c r="K1358" t="n">
        <v>0</v>
      </c>
      <c r="L1358" t="n">
        <v>0</v>
      </c>
      <c r="M1358" t="n">
        <v>0</v>
      </c>
      <c r="N1358" t="n">
        <v>0</v>
      </c>
      <c r="O1358" t="n">
        <v>0</v>
      </c>
      <c r="P1358" t="n">
        <v>0</v>
      </c>
      <c r="Q1358" t="n">
        <v>0</v>
      </c>
      <c r="R1358" s="2" t="inlineStr"/>
    </row>
    <row r="1359" ht="15" customHeight="1">
      <c r="A1359" t="inlineStr">
        <is>
          <t>A 22685-2024</t>
        </is>
      </c>
      <c r="B1359" s="1" t="n">
        <v>45448</v>
      </c>
      <c r="C1359" s="1" t="n">
        <v>45587</v>
      </c>
      <c r="D1359" t="inlineStr">
        <is>
          <t>JÄMTLANDS LÄN</t>
        </is>
      </c>
      <c r="E1359" t="inlineStr">
        <is>
          <t>HÄRJEDALEN</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22706-2024</t>
        </is>
      </c>
      <c r="B1360" s="1" t="n">
        <v>45448</v>
      </c>
      <c r="C1360" s="1" t="n">
        <v>45587</v>
      </c>
      <c r="D1360" t="inlineStr">
        <is>
          <t>JÄMTLANDS LÄN</t>
        </is>
      </c>
      <c r="E1360" t="inlineStr">
        <is>
          <t>HÄRJEDALEN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22838-2024</t>
        </is>
      </c>
      <c r="B1361" s="1" t="n">
        <v>45448</v>
      </c>
      <c r="C1361" s="1" t="n">
        <v>45587</v>
      </c>
      <c r="D1361" t="inlineStr">
        <is>
          <t>JÄMTLANDS LÄN</t>
        </is>
      </c>
      <c r="E1361" t="inlineStr">
        <is>
          <t>HÄRJEDALEN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23474-2024</t>
        </is>
      </c>
      <c r="B1362" s="1" t="n">
        <v>45453</v>
      </c>
      <c r="C1362" s="1" t="n">
        <v>45587</v>
      </c>
      <c r="D1362" t="inlineStr">
        <is>
          <t>JÄMTLANDS LÄN</t>
        </is>
      </c>
      <c r="E1362" t="inlineStr">
        <is>
          <t>HÄRJEDALEN</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23467-2024</t>
        </is>
      </c>
      <c r="B1363" s="1" t="n">
        <v>45453</v>
      </c>
      <c r="C1363" s="1" t="n">
        <v>45587</v>
      </c>
      <c r="D1363" t="inlineStr">
        <is>
          <t>JÄMTLANDS LÄN</t>
        </is>
      </c>
      <c r="E1363" t="inlineStr">
        <is>
          <t>HÄRJEDALEN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23965-2024</t>
        </is>
      </c>
      <c r="B1364" s="1" t="n">
        <v>45456</v>
      </c>
      <c r="C1364" s="1" t="n">
        <v>45587</v>
      </c>
      <c r="D1364" t="inlineStr">
        <is>
          <t>JÄMTLANDS LÄN</t>
        </is>
      </c>
      <c r="E1364" t="inlineStr">
        <is>
          <t>HÄRJEDALEN</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23964-2024</t>
        </is>
      </c>
      <c r="B1365" s="1" t="n">
        <v>45456</v>
      </c>
      <c r="C1365" s="1" t="n">
        <v>45587</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24250-2024</t>
        </is>
      </c>
      <c r="B1366" s="1" t="n">
        <v>45457</v>
      </c>
      <c r="C1366" s="1" t="n">
        <v>45587</v>
      </c>
      <c r="D1366" t="inlineStr">
        <is>
          <t>JÄMTLANDS LÄN</t>
        </is>
      </c>
      <c r="E1366" t="inlineStr">
        <is>
          <t>HÄRJEDALEN</t>
        </is>
      </c>
      <c r="F1366" t="inlineStr">
        <is>
          <t>Sveaskog</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24423-2024</t>
        </is>
      </c>
      <c r="B1367" s="1" t="n">
        <v>45458</v>
      </c>
      <c r="C1367" s="1" t="n">
        <v>45587</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24453-2024</t>
        </is>
      </c>
      <c r="B1368" s="1" t="n">
        <v>45458</v>
      </c>
      <c r="C1368" s="1" t="n">
        <v>45587</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24240-2024</t>
        </is>
      </c>
      <c r="B1369" s="1" t="n">
        <v>45457</v>
      </c>
      <c r="C1369" s="1" t="n">
        <v>45587</v>
      </c>
      <c r="D1369" t="inlineStr">
        <is>
          <t>JÄMTLANDS LÄN</t>
        </is>
      </c>
      <c r="E1369" t="inlineStr">
        <is>
          <t>HÄRJEDALEN</t>
        </is>
      </c>
      <c r="F1369" t="inlineStr">
        <is>
          <t>Bergvik skog väst AB</t>
        </is>
      </c>
      <c r="G1369" t="n">
        <v>27.3</v>
      </c>
      <c r="H1369" t="n">
        <v>0</v>
      </c>
      <c r="I1369" t="n">
        <v>0</v>
      </c>
      <c r="J1369" t="n">
        <v>0</v>
      </c>
      <c r="K1369" t="n">
        <v>0</v>
      </c>
      <c r="L1369" t="n">
        <v>0</v>
      </c>
      <c r="M1369" t="n">
        <v>0</v>
      </c>
      <c r="N1369" t="n">
        <v>0</v>
      </c>
      <c r="O1369" t="n">
        <v>0</v>
      </c>
      <c r="P1369" t="n">
        <v>0</v>
      </c>
      <c r="Q1369" t="n">
        <v>0</v>
      </c>
      <c r="R1369" s="2" t="inlineStr"/>
    </row>
    <row r="1370" ht="15" customHeight="1">
      <c r="A1370" t="inlineStr">
        <is>
          <t>A 24421-2024</t>
        </is>
      </c>
      <c r="B1370" s="1" t="n">
        <v>45458</v>
      </c>
      <c r="C1370" s="1" t="n">
        <v>45587</v>
      </c>
      <c r="D1370" t="inlineStr">
        <is>
          <t>JÄMTLANDS LÄN</t>
        </is>
      </c>
      <c r="E1370" t="inlineStr">
        <is>
          <t>HÄRJEDALEN</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24452-2024</t>
        </is>
      </c>
      <c r="B1371" s="1" t="n">
        <v>45458</v>
      </c>
      <c r="C1371" s="1" t="n">
        <v>45587</v>
      </c>
      <c r="D1371" t="inlineStr">
        <is>
          <t>JÄMTLANDS LÄN</t>
        </is>
      </c>
      <c r="E1371" t="inlineStr">
        <is>
          <t>HÄRJEDALEN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24275-2024</t>
        </is>
      </c>
      <c r="B1372" s="1" t="n">
        <v>45457</v>
      </c>
      <c r="C1372" s="1" t="n">
        <v>45587</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24295-2024</t>
        </is>
      </c>
      <c r="B1373" s="1" t="n">
        <v>45457</v>
      </c>
      <c r="C1373" s="1" t="n">
        <v>45587</v>
      </c>
      <c r="D1373" t="inlineStr">
        <is>
          <t>JÄMTLANDS LÄN</t>
        </is>
      </c>
      <c r="E1373" t="inlineStr">
        <is>
          <t>HÄRJEDALEN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24335-2024</t>
        </is>
      </c>
      <c r="B1374" s="1" t="n">
        <v>45457</v>
      </c>
      <c r="C1374" s="1" t="n">
        <v>45587</v>
      </c>
      <c r="D1374" t="inlineStr">
        <is>
          <t>JÄMTLANDS LÄN</t>
        </is>
      </c>
      <c r="E1374" t="inlineStr">
        <is>
          <t>HÄRJEDALEN</t>
        </is>
      </c>
      <c r="F1374" t="inlineStr">
        <is>
          <t>Naturvårdsverket</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24425-2024</t>
        </is>
      </c>
      <c r="B1375" s="1" t="n">
        <v>45458</v>
      </c>
      <c r="C1375" s="1" t="n">
        <v>45587</v>
      </c>
      <c r="D1375" t="inlineStr">
        <is>
          <t>JÄMTLANDS LÄN</t>
        </is>
      </c>
      <c r="E1375" t="inlineStr">
        <is>
          <t>HÄRJEDALEN</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24494-2024</t>
        </is>
      </c>
      <c r="B1376" s="1" t="n">
        <v>45459</v>
      </c>
      <c r="C1376" s="1" t="n">
        <v>45587</v>
      </c>
      <c r="D1376" t="inlineStr">
        <is>
          <t>JÄMTLANDS LÄN</t>
        </is>
      </c>
      <c r="E1376" t="inlineStr">
        <is>
          <t>HÄRJEDALEN</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24711-2024</t>
        </is>
      </c>
      <c r="B1377" s="1" t="n">
        <v>45460</v>
      </c>
      <c r="C1377" s="1" t="n">
        <v>45587</v>
      </c>
      <c r="D1377" t="inlineStr">
        <is>
          <t>JÄMTLANDS LÄN</t>
        </is>
      </c>
      <c r="E1377" t="inlineStr">
        <is>
          <t>HÄRJEDALEN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24608-2024</t>
        </is>
      </c>
      <c r="B1378" s="1" t="n">
        <v>45460</v>
      </c>
      <c r="C1378" s="1" t="n">
        <v>45587</v>
      </c>
      <c r="D1378" t="inlineStr">
        <is>
          <t>JÄMTLANDS LÄN</t>
        </is>
      </c>
      <c r="E1378" t="inlineStr">
        <is>
          <t>HÄRJEDALEN</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24526-2024</t>
        </is>
      </c>
      <c r="B1379" s="1" t="n">
        <v>45460</v>
      </c>
      <c r="C1379" s="1" t="n">
        <v>45587</v>
      </c>
      <c r="D1379" t="inlineStr">
        <is>
          <t>JÄMTLANDS LÄN</t>
        </is>
      </c>
      <c r="E1379" t="inlineStr">
        <is>
          <t>HÄRJEDALEN</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24613-2024</t>
        </is>
      </c>
      <c r="B1380" s="1" t="n">
        <v>45460</v>
      </c>
      <c r="C1380" s="1" t="n">
        <v>45587</v>
      </c>
      <c r="D1380" t="inlineStr">
        <is>
          <t>JÄMTLANDS LÄN</t>
        </is>
      </c>
      <c r="E1380" t="inlineStr">
        <is>
          <t>HÄRJEDALEN</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25049-2024</t>
        </is>
      </c>
      <c r="B1381" s="1" t="n">
        <v>45462</v>
      </c>
      <c r="C1381" s="1" t="n">
        <v>45587</v>
      </c>
      <c r="D1381" t="inlineStr">
        <is>
          <t>JÄMTLANDS LÄN</t>
        </is>
      </c>
      <c r="E1381" t="inlineStr">
        <is>
          <t>HÄRJEDALEN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25502-2024</t>
        </is>
      </c>
      <c r="B1382" s="1" t="n">
        <v>45463</v>
      </c>
      <c r="C1382" s="1" t="n">
        <v>45587</v>
      </c>
      <c r="D1382" t="inlineStr">
        <is>
          <t>JÄMTLANDS LÄN</t>
        </is>
      </c>
      <c r="E1382" t="inlineStr">
        <is>
          <t>HÄRJEDALEN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25893-2024</t>
        </is>
      </c>
      <c r="B1383" s="1" t="n">
        <v>45467</v>
      </c>
      <c r="C1383" s="1" t="n">
        <v>45587</v>
      </c>
      <c r="D1383" t="inlineStr">
        <is>
          <t>JÄMTLANDS LÄN</t>
        </is>
      </c>
      <c r="E1383" t="inlineStr">
        <is>
          <t>HÄRJEDALEN</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26001-2024</t>
        </is>
      </c>
      <c r="B1384" s="1" t="n">
        <v>45468</v>
      </c>
      <c r="C1384" s="1" t="n">
        <v>45587</v>
      </c>
      <c r="D1384" t="inlineStr">
        <is>
          <t>JÄMTLANDS LÄN</t>
        </is>
      </c>
      <c r="E1384" t="inlineStr">
        <is>
          <t>HÄRJEDALEN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27068-2024</t>
        </is>
      </c>
      <c r="B1385" s="1" t="n">
        <v>45471</v>
      </c>
      <c r="C1385" s="1" t="n">
        <v>45587</v>
      </c>
      <c r="D1385" t="inlineStr">
        <is>
          <t>JÄMTLANDS LÄN</t>
        </is>
      </c>
      <c r="E1385" t="inlineStr">
        <is>
          <t>HÄRJEDALEN</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27075-2024</t>
        </is>
      </c>
      <c r="B1386" s="1" t="n">
        <v>45471</v>
      </c>
      <c r="C1386" s="1" t="n">
        <v>45587</v>
      </c>
      <c r="D1386" t="inlineStr">
        <is>
          <t>JÄMTLANDS LÄN</t>
        </is>
      </c>
      <c r="E1386" t="inlineStr">
        <is>
          <t>HÄRJEDALEN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27245-2024</t>
        </is>
      </c>
      <c r="B1387" s="1" t="n">
        <v>45471</v>
      </c>
      <c r="C1387" s="1" t="n">
        <v>45587</v>
      </c>
      <c r="D1387" t="inlineStr">
        <is>
          <t>JÄMTLANDS LÄN</t>
        </is>
      </c>
      <c r="E1387" t="inlineStr">
        <is>
          <t>HÄRJEDALEN</t>
        </is>
      </c>
      <c r="F1387" t="inlineStr">
        <is>
          <t>Bergvik skog väst AB</t>
        </is>
      </c>
      <c r="G1387" t="n">
        <v>31.2</v>
      </c>
      <c r="H1387" t="n">
        <v>0</v>
      </c>
      <c r="I1387" t="n">
        <v>0</v>
      </c>
      <c r="J1387" t="n">
        <v>0</v>
      </c>
      <c r="K1387" t="n">
        <v>0</v>
      </c>
      <c r="L1387" t="n">
        <v>0</v>
      </c>
      <c r="M1387" t="n">
        <v>0</v>
      </c>
      <c r="N1387" t="n">
        <v>0</v>
      </c>
      <c r="O1387" t="n">
        <v>0</v>
      </c>
      <c r="P1387" t="n">
        <v>0</v>
      </c>
      <c r="Q1387" t="n">
        <v>0</v>
      </c>
      <c r="R1387" s="2" t="inlineStr"/>
    </row>
    <row r="1388" ht="15" customHeight="1">
      <c r="A1388" t="inlineStr">
        <is>
          <t>A 27065-2024</t>
        </is>
      </c>
      <c r="B1388" s="1" t="n">
        <v>45471</v>
      </c>
      <c r="C1388" s="1" t="n">
        <v>45587</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27066-2024</t>
        </is>
      </c>
      <c r="B1389" s="1" t="n">
        <v>45471</v>
      </c>
      <c r="C1389" s="1" t="n">
        <v>45587</v>
      </c>
      <c r="D1389" t="inlineStr">
        <is>
          <t>JÄMTLANDS LÄN</t>
        </is>
      </c>
      <c r="E1389" t="inlineStr">
        <is>
          <t>HÄRJEDALEN</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27235-2024</t>
        </is>
      </c>
      <c r="B1390" s="1" t="n">
        <v>45471</v>
      </c>
      <c r="C1390" s="1" t="n">
        <v>45587</v>
      </c>
      <c r="D1390" t="inlineStr">
        <is>
          <t>JÄMTLANDS LÄN</t>
        </is>
      </c>
      <c r="E1390" t="inlineStr">
        <is>
          <t>HÄRJEDALEN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27076-2024</t>
        </is>
      </c>
      <c r="B1391" s="1" t="n">
        <v>45471</v>
      </c>
      <c r="C1391" s="1" t="n">
        <v>45587</v>
      </c>
      <c r="D1391" t="inlineStr">
        <is>
          <t>JÄMTLANDS LÄN</t>
        </is>
      </c>
      <c r="E1391" t="inlineStr">
        <is>
          <t>HÄRJEDALEN</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27512-2024</t>
        </is>
      </c>
      <c r="B1392" s="1" t="n">
        <v>45474</v>
      </c>
      <c r="C1392" s="1" t="n">
        <v>45587</v>
      </c>
      <c r="D1392" t="inlineStr">
        <is>
          <t>JÄMTLANDS LÄN</t>
        </is>
      </c>
      <c r="E1392" t="inlineStr">
        <is>
          <t>HÄRJEDALEN</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28406-2024</t>
        </is>
      </c>
      <c r="B1393" s="1" t="n">
        <v>45477</v>
      </c>
      <c r="C1393" s="1" t="n">
        <v>45587</v>
      </c>
      <c r="D1393" t="inlineStr">
        <is>
          <t>JÄMTLANDS LÄN</t>
        </is>
      </c>
      <c r="E1393" t="inlineStr">
        <is>
          <t>HÄRJEDALEN</t>
        </is>
      </c>
      <c r="F1393" t="inlineStr">
        <is>
          <t>Holmen skog AB</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28444-2024</t>
        </is>
      </c>
      <c r="B1394" s="1" t="n">
        <v>45477</v>
      </c>
      <c r="C1394" s="1" t="n">
        <v>45587</v>
      </c>
      <c r="D1394" t="inlineStr">
        <is>
          <t>JÄMTLANDS LÄN</t>
        </is>
      </c>
      <c r="E1394" t="inlineStr">
        <is>
          <t>HÄRJEDALEN</t>
        </is>
      </c>
      <c r="F1394" t="inlineStr">
        <is>
          <t>Holmen skog AB</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28408-2024</t>
        </is>
      </c>
      <c r="B1395" s="1" t="n">
        <v>45477</v>
      </c>
      <c r="C1395" s="1" t="n">
        <v>45587</v>
      </c>
      <c r="D1395" t="inlineStr">
        <is>
          <t>JÄMTLANDS LÄN</t>
        </is>
      </c>
      <c r="E1395" t="inlineStr">
        <is>
          <t>HÄRJEDALEN</t>
        </is>
      </c>
      <c r="F1395" t="inlineStr">
        <is>
          <t>Holmen skog AB</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28400-2024</t>
        </is>
      </c>
      <c r="B1396" s="1" t="n">
        <v>45477</v>
      </c>
      <c r="C1396" s="1" t="n">
        <v>45587</v>
      </c>
      <c r="D1396" t="inlineStr">
        <is>
          <t>JÄMTLANDS LÄN</t>
        </is>
      </c>
      <c r="E1396" t="inlineStr">
        <is>
          <t>HÄRJEDALEN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28403-2024</t>
        </is>
      </c>
      <c r="B1397" s="1" t="n">
        <v>45477</v>
      </c>
      <c r="C1397" s="1" t="n">
        <v>45587</v>
      </c>
      <c r="D1397" t="inlineStr">
        <is>
          <t>JÄMTLANDS LÄN</t>
        </is>
      </c>
      <c r="E1397" t="inlineStr">
        <is>
          <t>HÄRJEDALEN</t>
        </is>
      </c>
      <c r="F1397" t="inlineStr">
        <is>
          <t>Holmen skog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28426-2024</t>
        </is>
      </c>
      <c r="B1398" s="1" t="n">
        <v>45477</v>
      </c>
      <c r="C1398" s="1" t="n">
        <v>45587</v>
      </c>
      <c r="D1398" t="inlineStr">
        <is>
          <t>JÄMTLANDS LÄN</t>
        </is>
      </c>
      <c r="E1398" t="inlineStr">
        <is>
          <t>HÄRJEDALEN</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28627-2024</t>
        </is>
      </c>
      <c r="B1399" s="1" t="n">
        <v>45478</v>
      </c>
      <c r="C1399" s="1" t="n">
        <v>45587</v>
      </c>
      <c r="D1399" t="inlineStr">
        <is>
          <t>JÄMTLANDS LÄN</t>
        </is>
      </c>
      <c r="E1399" t="inlineStr">
        <is>
          <t>HÄRJEDALEN</t>
        </is>
      </c>
      <c r="F1399" t="inlineStr">
        <is>
          <t>Bergvik skog väst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28686-2024</t>
        </is>
      </c>
      <c r="B1400" s="1" t="n">
        <v>45478</v>
      </c>
      <c r="C1400" s="1" t="n">
        <v>45587</v>
      </c>
      <c r="D1400" t="inlineStr">
        <is>
          <t>JÄMTLANDS LÄN</t>
        </is>
      </c>
      <c r="E1400" t="inlineStr">
        <is>
          <t>HÄRJEDALEN</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28930-2024</t>
        </is>
      </c>
      <c r="B1401" s="1" t="n">
        <v>45481</v>
      </c>
      <c r="C1401" s="1" t="n">
        <v>45587</v>
      </c>
      <c r="D1401" t="inlineStr">
        <is>
          <t>JÄMTLANDS LÄN</t>
        </is>
      </c>
      <c r="E1401" t="inlineStr">
        <is>
          <t>HÄRJEDALEN</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29330-2024</t>
        </is>
      </c>
      <c r="B1402" s="1" t="n">
        <v>45483</v>
      </c>
      <c r="C1402" s="1" t="n">
        <v>45587</v>
      </c>
      <c r="D1402" t="inlineStr">
        <is>
          <t>JÄMTLANDS LÄN</t>
        </is>
      </c>
      <c r="E1402" t="inlineStr">
        <is>
          <t>HÄRJEDALEN</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29334-2024</t>
        </is>
      </c>
      <c r="B1403" s="1" t="n">
        <v>45483</v>
      </c>
      <c r="C1403" s="1" t="n">
        <v>45587</v>
      </c>
      <c r="D1403" t="inlineStr">
        <is>
          <t>JÄMTLANDS LÄN</t>
        </is>
      </c>
      <c r="E1403" t="inlineStr">
        <is>
          <t>HÄRJEDALEN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29343-2024</t>
        </is>
      </c>
      <c r="B1404" s="1" t="n">
        <v>45483</v>
      </c>
      <c r="C1404" s="1" t="n">
        <v>45587</v>
      </c>
      <c r="D1404" t="inlineStr">
        <is>
          <t>JÄMTLANDS LÄN</t>
        </is>
      </c>
      <c r="E1404" t="inlineStr">
        <is>
          <t>HÄRJEDALEN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29304-2024</t>
        </is>
      </c>
      <c r="B1405" s="1" t="n">
        <v>45483</v>
      </c>
      <c r="C1405" s="1" t="n">
        <v>45587</v>
      </c>
      <c r="D1405" t="inlineStr">
        <is>
          <t>JÄMTLANDS LÄN</t>
        </is>
      </c>
      <c r="E1405" t="inlineStr">
        <is>
          <t>HÄRJEDALEN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29347-2024</t>
        </is>
      </c>
      <c r="B1406" s="1" t="n">
        <v>45483</v>
      </c>
      <c r="C1406" s="1" t="n">
        <v>45587</v>
      </c>
      <c r="D1406" t="inlineStr">
        <is>
          <t>JÄMTLANDS LÄN</t>
        </is>
      </c>
      <c r="E1406" t="inlineStr">
        <is>
          <t>HÄRJEDALEN</t>
        </is>
      </c>
      <c r="G1406" t="n">
        <v>35.8</v>
      </c>
      <c r="H1406" t="n">
        <v>0</v>
      </c>
      <c r="I1406" t="n">
        <v>0</v>
      </c>
      <c r="J1406" t="n">
        <v>0</v>
      </c>
      <c r="K1406" t="n">
        <v>0</v>
      </c>
      <c r="L1406" t="n">
        <v>0</v>
      </c>
      <c r="M1406" t="n">
        <v>0</v>
      </c>
      <c r="N1406" t="n">
        <v>0</v>
      </c>
      <c r="O1406" t="n">
        <v>0</v>
      </c>
      <c r="P1406" t="n">
        <v>0</v>
      </c>
      <c r="Q1406" t="n">
        <v>0</v>
      </c>
      <c r="R1406" s="2" t="inlineStr"/>
    </row>
    <row r="1407" ht="15" customHeight="1">
      <c r="A1407" t="inlineStr">
        <is>
          <t>A 29536-2024</t>
        </is>
      </c>
      <c r="B1407" s="1" t="n">
        <v>45484</v>
      </c>
      <c r="C1407" s="1" t="n">
        <v>45587</v>
      </c>
      <c r="D1407" t="inlineStr">
        <is>
          <t>JÄMTLANDS LÄN</t>
        </is>
      </c>
      <c r="E1407" t="inlineStr">
        <is>
          <t>HÄRJEDALEN</t>
        </is>
      </c>
      <c r="F1407" t="inlineStr">
        <is>
          <t>Holmen skog AB</t>
        </is>
      </c>
      <c r="G1407" t="n">
        <v>25.2</v>
      </c>
      <c r="H1407" t="n">
        <v>0</v>
      </c>
      <c r="I1407" t="n">
        <v>0</v>
      </c>
      <c r="J1407" t="n">
        <v>0</v>
      </c>
      <c r="K1407" t="n">
        <v>0</v>
      </c>
      <c r="L1407" t="n">
        <v>0</v>
      </c>
      <c r="M1407" t="n">
        <v>0</v>
      </c>
      <c r="N1407" t="n">
        <v>0</v>
      </c>
      <c r="O1407" t="n">
        <v>0</v>
      </c>
      <c r="P1407" t="n">
        <v>0</v>
      </c>
      <c r="Q1407" t="n">
        <v>0</v>
      </c>
      <c r="R1407" s="2" t="inlineStr"/>
    </row>
    <row r="1408" ht="15" customHeight="1">
      <c r="A1408" t="inlineStr">
        <is>
          <t>A 29624-2024</t>
        </is>
      </c>
      <c r="B1408" s="1" t="n">
        <v>45484</v>
      </c>
      <c r="C1408" s="1" t="n">
        <v>45587</v>
      </c>
      <c r="D1408" t="inlineStr">
        <is>
          <t>JÄMTLANDS LÄN</t>
        </is>
      </c>
      <c r="E1408" t="inlineStr">
        <is>
          <t>HÄRJEDALEN</t>
        </is>
      </c>
      <c r="F1408" t="inlineStr">
        <is>
          <t>Holmen skog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29584-2024</t>
        </is>
      </c>
      <c r="B1409" s="1" t="n">
        <v>45484</v>
      </c>
      <c r="C1409" s="1" t="n">
        <v>45587</v>
      </c>
      <c r="D1409" t="inlineStr">
        <is>
          <t>JÄMTLANDS LÄN</t>
        </is>
      </c>
      <c r="E1409" t="inlineStr">
        <is>
          <t>HÄRJEDALEN</t>
        </is>
      </c>
      <c r="F1409" t="inlineStr">
        <is>
          <t>Holmen skog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29580-2024</t>
        </is>
      </c>
      <c r="B1410" s="1" t="n">
        <v>45484</v>
      </c>
      <c r="C1410" s="1" t="n">
        <v>45587</v>
      </c>
      <c r="D1410" t="inlineStr">
        <is>
          <t>JÄMTLANDS LÄN</t>
        </is>
      </c>
      <c r="E1410" t="inlineStr">
        <is>
          <t>HÄRJEDALEN</t>
        </is>
      </c>
      <c r="F1410" t="inlineStr">
        <is>
          <t>Holmen skog AB</t>
        </is>
      </c>
      <c r="G1410" t="n">
        <v>38.1</v>
      </c>
      <c r="H1410" t="n">
        <v>0</v>
      </c>
      <c r="I1410" t="n">
        <v>0</v>
      </c>
      <c r="J1410" t="n">
        <v>0</v>
      </c>
      <c r="K1410" t="n">
        <v>0</v>
      </c>
      <c r="L1410" t="n">
        <v>0</v>
      </c>
      <c r="M1410" t="n">
        <v>0</v>
      </c>
      <c r="N1410" t="n">
        <v>0</v>
      </c>
      <c r="O1410" t="n">
        <v>0</v>
      </c>
      <c r="P1410" t="n">
        <v>0</v>
      </c>
      <c r="Q1410" t="n">
        <v>0</v>
      </c>
      <c r="R1410" s="2" t="inlineStr"/>
    </row>
    <row r="1411" ht="15" customHeight="1">
      <c r="A1411" t="inlineStr">
        <is>
          <t>A 29631-2024</t>
        </is>
      </c>
      <c r="B1411" s="1" t="n">
        <v>45484</v>
      </c>
      <c r="C1411" s="1" t="n">
        <v>45587</v>
      </c>
      <c r="D1411" t="inlineStr">
        <is>
          <t>JÄMTLANDS LÄN</t>
        </is>
      </c>
      <c r="E1411" t="inlineStr">
        <is>
          <t>HÄRJEDALEN</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29538-2024</t>
        </is>
      </c>
      <c r="B1412" s="1" t="n">
        <v>45484</v>
      </c>
      <c r="C1412" s="1" t="n">
        <v>45587</v>
      </c>
      <c r="D1412" t="inlineStr">
        <is>
          <t>JÄMTLANDS LÄN</t>
        </is>
      </c>
      <c r="E1412" t="inlineStr">
        <is>
          <t>HÄRJEDALEN</t>
        </is>
      </c>
      <c r="G1412" t="n">
        <v>11.8</v>
      </c>
      <c r="H1412" t="n">
        <v>0</v>
      </c>
      <c r="I1412" t="n">
        <v>0</v>
      </c>
      <c r="J1412" t="n">
        <v>0</v>
      </c>
      <c r="K1412" t="n">
        <v>0</v>
      </c>
      <c r="L1412" t="n">
        <v>0</v>
      </c>
      <c r="M1412" t="n">
        <v>0</v>
      </c>
      <c r="N1412" t="n">
        <v>0</v>
      </c>
      <c r="O1412" t="n">
        <v>0</v>
      </c>
      <c r="P1412" t="n">
        <v>0</v>
      </c>
      <c r="Q1412" t="n">
        <v>0</v>
      </c>
      <c r="R1412" s="2" t="inlineStr"/>
    </row>
    <row r="1413" ht="15" customHeight="1">
      <c r="A1413" t="inlineStr">
        <is>
          <t>A 29626-2024</t>
        </is>
      </c>
      <c r="B1413" s="1" t="n">
        <v>45484</v>
      </c>
      <c r="C1413" s="1" t="n">
        <v>45587</v>
      </c>
      <c r="D1413" t="inlineStr">
        <is>
          <t>JÄMTLANDS LÄN</t>
        </is>
      </c>
      <c r="E1413" t="inlineStr">
        <is>
          <t>HÄRJEDALEN</t>
        </is>
      </c>
      <c r="F1413" t="inlineStr">
        <is>
          <t>Holmen skog AB</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29602-2024</t>
        </is>
      </c>
      <c r="B1414" s="1" t="n">
        <v>45484</v>
      </c>
      <c r="C1414" s="1" t="n">
        <v>45587</v>
      </c>
      <c r="D1414" t="inlineStr">
        <is>
          <t>JÄMTLANDS LÄN</t>
        </is>
      </c>
      <c r="E1414" t="inlineStr">
        <is>
          <t>HÄRJEDALEN</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29594-2024</t>
        </is>
      </c>
      <c r="B1415" s="1" t="n">
        <v>45484</v>
      </c>
      <c r="C1415" s="1" t="n">
        <v>45587</v>
      </c>
      <c r="D1415" t="inlineStr">
        <is>
          <t>JÄMTLANDS LÄN</t>
        </is>
      </c>
      <c r="E1415" t="inlineStr">
        <is>
          <t>HÄRJEDALEN</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29803-2024</t>
        </is>
      </c>
      <c r="B1416" s="1" t="n">
        <v>45485</v>
      </c>
      <c r="C1416" s="1" t="n">
        <v>45587</v>
      </c>
      <c r="D1416" t="inlineStr">
        <is>
          <t>JÄMTLANDS LÄN</t>
        </is>
      </c>
      <c r="E1416" t="inlineStr">
        <is>
          <t>HÄRJEDALEN</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29791-2024</t>
        </is>
      </c>
      <c r="B1417" s="1" t="n">
        <v>45485</v>
      </c>
      <c r="C1417" s="1" t="n">
        <v>45587</v>
      </c>
      <c r="D1417" t="inlineStr">
        <is>
          <t>JÄMTLANDS LÄN</t>
        </is>
      </c>
      <c r="E1417" t="inlineStr">
        <is>
          <t>HÄRJEDALEN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29706-2024</t>
        </is>
      </c>
      <c r="B1418" s="1" t="n">
        <v>45485</v>
      </c>
      <c r="C1418" s="1" t="n">
        <v>45587</v>
      </c>
      <c r="D1418" t="inlineStr">
        <is>
          <t>JÄMTLANDS LÄN</t>
        </is>
      </c>
      <c r="E1418" t="inlineStr">
        <is>
          <t>HÄRJEDALEN</t>
        </is>
      </c>
      <c r="F1418" t="inlineStr">
        <is>
          <t>Holmen skog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29710-2024</t>
        </is>
      </c>
      <c r="B1419" s="1" t="n">
        <v>45485</v>
      </c>
      <c r="C1419" s="1" t="n">
        <v>45587</v>
      </c>
      <c r="D1419" t="inlineStr">
        <is>
          <t>JÄMTLANDS LÄN</t>
        </is>
      </c>
      <c r="E1419" t="inlineStr">
        <is>
          <t>HÄRJEDALEN</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29766-2024</t>
        </is>
      </c>
      <c r="B1420" s="1" t="n">
        <v>45485</v>
      </c>
      <c r="C1420" s="1" t="n">
        <v>45587</v>
      </c>
      <c r="D1420" t="inlineStr">
        <is>
          <t>JÄMTLANDS LÄN</t>
        </is>
      </c>
      <c r="E1420" t="inlineStr">
        <is>
          <t>HÄRJEDALEN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29774-2024</t>
        </is>
      </c>
      <c r="B1421" s="1" t="n">
        <v>45485</v>
      </c>
      <c r="C1421" s="1" t="n">
        <v>45587</v>
      </c>
      <c r="D1421" t="inlineStr">
        <is>
          <t>JÄMTLANDS LÄN</t>
        </is>
      </c>
      <c r="E1421" t="inlineStr">
        <is>
          <t>HÄRJEDALEN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29712-2024</t>
        </is>
      </c>
      <c r="B1422" s="1" t="n">
        <v>45485</v>
      </c>
      <c r="C1422" s="1" t="n">
        <v>45587</v>
      </c>
      <c r="D1422" t="inlineStr">
        <is>
          <t>JÄMTLANDS LÄN</t>
        </is>
      </c>
      <c r="E1422" t="inlineStr">
        <is>
          <t>HÄRJEDALEN</t>
        </is>
      </c>
      <c r="F1422" t="inlineStr">
        <is>
          <t>Holmen skog AB</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29768-2024</t>
        </is>
      </c>
      <c r="B1423" s="1" t="n">
        <v>45485</v>
      </c>
      <c r="C1423" s="1" t="n">
        <v>45587</v>
      </c>
      <c r="D1423" t="inlineStr">
        <is>
          <t>JÄMTLANDS LÄN</t>
        </is>
      </c>
      <c r="E1423" t="inlineStr">
        <is>
          <t>HÄRJEDALEN</t>
        </is>
      </c>
      <c r="F1423" t="inlineStr">
        <is>
          <t>Holmen skog AB</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29717-2024</t>
        </is>
      </c>
      <c r="B1424" s="1" t="n">
        <v>45485</v>
      </c>
      <c r="C1424" s="1" t="n">
        <v>45587</v>
      </c>
      <c r="D1424" t="inlineStr">
        <is>
          <t>JÄMTLANDS LÄN</t>
        </is>
      </c>
      <c r="E1424" t="inlineStr">
        <is>
          <t>HÄRJEDALEN</t>
        </is>
      </c>
      <c r="F1424" t="inlineStr">
        <is>
          <t>Holmen skog AB</t>
        </is>
      </c>
      <c r="G1424" t="n">
        <v>25.7</v>
      </c>
      <c r="H1424" t="n">
        <v>0</v>
      </c>
      <c r="I1424" t="n">
        <v>0</v>
      </c>
      <c r="J1424" t="n">
        <v>0</v>
      </c>
      <c r="K1424" t="n">
        <v>0</v>
      </c>
      <c r="L1424" t="n">
        <v>0</v>
      </c>
      <c r="M1424" t="n">
        <v>0</v>
      </c>
      <c r="N1424" t="n">
        <v>0</v>
      </c>
      <c r="O1424" t="n">
        <v>0</v>
      </c>
      <c r="P1424" t="n">
        <v>0</v>
      </c>
      <c r="Q1424" t="n">
        <v>0</v>
      </c>
      <c r="R1424" s="2" t="inlineStr"/>
    </row>
    <row r="1425" ht="15" customHeight="1">
      <c r="A1425" t="inlineStr">
        <is>
          <t>A 29729-2024</t>
        </is>
      </c>
      <c r="B1425" s="1" t="n">
        <v>45485</v>
      </c>
      <c r="C1425" s="1" t="n">
        <v>45587</v>
      </c>
      <c r="D1425" t="inlineStr">
        <is>
          <t>JÄMTLANDS LÄN</t>
        </is>
      </c>
      <c r="E1425" t="inlineStr">
        <is>
          <t>HÄRJEDALEN</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29749-2024</t>
        </is>
      </c>
      <c r="B1426" s="1" t="n">
        <v>45485</v>
      </c>
      <c r="C1426" s="1" t="n">
        <v>45587</v>
      </c>
      <c r="D1426" t="inlineStr">
        <is>
          <t>JÄMTLANDS LÄN</t>
        </is>
      </c>
      <c r="E1426" t="inlineStr">
        <is>
          <t>HÄRJEDALEN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29935-2024</t>
        </is>
      </c>
      <c r="B1427" s="1" t="n">
        <v>45488</v>
      </c>
      <c r="C1427" s="1" t="n">
        <v>45587</v>
      </c>
      <c r="D1427" t="inlineStr">
        <is>
          <t>JÄMTLANDS LÄN</t>
        </is>
      </c>
      <c r="E1427" t="inlineStr">
        <is>
          <t>HÄRJEDALEN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30404-2024</t>
        </is>
      </c>
      <c r="B1428" s="1" t="n">
        <v>45491</v>
      </c>
      <c r="C1428" s="1" t="n">
        <v>45587</v>
      </c>
      <c r="D1428" t="inlineStr">
        <is>
          <t>JÄMTLANDS LÄN</t>
        </is>
      </c>
      <c r="E1428" t="inlineStr">
        <is>
          <t>HÄRJEDALEN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30626-2024</t>
        </is>
      </c>
      <c r="B1429" s="1" t="n">
        <v>45495</v>
      </c>
      <c r="C1429" s="1" t="n">
        <v>45587</v>
      </c>
      <c r="D1429" t="inlineStr">
        <is>
          <t>JÄMTLANDS LÄN</t>
        </is>
      </c>
      <c r="E1429" t="inlineStr">
        <is>
          <t>HÄRJEDALEN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30742-2024</t>
        </is>
      </c>
      <c r="B1430" s="1" t="n">
        <v>45496</v>
      </c>
      <c r="C1430" s="1" t="n">
        <v>45587</v>
      </c>
      <c r="D1430" t="inlineStr">
        <is>
          <t>JÄMTLANDS LÄN</t>
        </is>
      </c>
      <c r="E1430" t="inlineStr">
        <is>
          <t>HÄRJEDALEN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30776-2024</t>
        </is>
      </c>
      <c r="B1431" s="1" t="n">
        <v>45497</v>
      </c>
      <c r="C1431" s="1" t="n">
        <v>45587</v>
      </c>
      <c r="D1431" t="inlineStr">
        <is>
          <t>JÄMTLANDS LÄN</t>
        </is>
      </c>
      <c r="E1431" t="inlineStr">
        <is>
          <t>HÄRJEDALEN</t>
        </is>
      </c>
      <c r="F1431" t="inlineStr">
        <is>
          <t>SCA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30744-2024</t>
        </is>
      </c>
      <c r="B1432" s="1" t="n">
        <v>45496</v>
      </c>
      <c r="C1432" s="1" t="n">
        <v>45587</v>
      </c>
      <c r="D1432" t="inlineStr">
        <is>
          <t>JÄMTLANDS LÄN</t>
        </is>
      </c>
      <c r="E1432" t="inlineStr">
        <is>
          <t>HÄRJEDALEN</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30781-2024</t>
        </is>
      </c>
      <c r="B1433" s="1" t="n">
        <v>45497</v>
      </c>
      <c r="C1433" s="1" t="n">
        <v>45587</v>
      </c>
      <c r="D1433" t="inlineStr">
        <is>
          <t>JÄMTLANDS LÄN</t>
        </is>
      </c>
      <c r="E1433" t="inlineStr">
        <is>
          <t>HÄRJEDALEN</t>
        </is>
      </c>
      <c r="F1433" t="inlineStr">
        <is>
          <t>SCA</t>
        </is>
      </c>
      <c r="G1433" t="n">
        <v>23.1</v>
      </c>
      <c r="H1433" t="n">
        <v>0</v>
      </c>
      <c r="I1433" t="n">
        <v>0</v>
      </c>
      <c r="J1433" t="n">
        <v>0</v>
      </c>
      <c r="K1433" t="n">
        <v>0</v>
      </c>
      <c r="L1433" t="n">
        <v>0</v>
      </c>
      <c r="M1433" t="n">
        <v>0</v>
      </c>
      <c r="N1433" t="n">
        <v>0</v>
      </c>
      <c r="O1433" t="n">
        <v>0</v>
      </c>
      <c r="P1433" t="n">
        <v>0</v>
      </c>
      <c r="Q1433" t="n">
        <v>0</v>
      </c>
      <c r="R1433" s="2" t="inlineStr"/>
    </row>
    <row r="1434" ht="15" customHeight="1">
      <c r="A1434" t="inlineStr">
        <is>
          <t>A 30777-2024</t>
        </is>
      </c>
      <c r="B1434" s="1" t="n">
        <v>45497</v>
      </c>
      <c r="C1434" s="1" t="n">
        <v>45587</v>
      </c>
      <c r="D1434" t="inlineStr">
        <is>
          <t>JÄMTLANDS LÄN</t>
        </is>
      </c>
      <c r="E1434" t="inlineStr">
        <is>
          <t>HÄRJEDALEN</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30743-2024</t>
        </is>
      </c>
      <c r="B1435" s="1" t="n">
        <v>45496</v>
      </c>
      <c r="C1435" s="1" t="n">
        <v>45587</v>
      </c>
      <c r="D1435" t="inlineStr">
        <is>
          <t>JÄMTLANDS LÄN</t>
        </is>
      </c>
      <c r="E1435" t="inlineStr">
        <is>
          <t>HÄRJEDALEN</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30775-2024</t>
        </is>
      </c>
      <c r="B1436" s="1" t="n">
        <v>45497</v>
      </c>
      <c r="C1436" s="1" t="n">
        <v>45587</v>
      </c>
      <c r="D1436" t="inlineStr">
        <is>
          <t>JÄMTLANDS LÄN</t>
        </is>
      </c>
      <c r="E1436" t="inlineStr">
        <is>
          <t>HÄRJEDALEN</t>
        </is>
      </c>
      <c r="F1436" t="inlineStr">
        <is>
          <t>SCA</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30729-2024</t>
        </is>
      </c>
      <c r="B1437" s="1" t="n">
        <v>45496</v>
      </c>
      <c r="C1437" s="1" t="n">
        <v>45587</v>
      </c>
      <c r="D1437" t="inlineStr">
        <is>
          <t>JÄMTLANDS LÄN</t>
        </is>
      </c>
      <c r="E1437" t="inlineStr">
        <is>
          <t>HÄRJEDALEN</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31116-2024</t>
        </is>
      </c>
      <c r="B1438" s="1" t="n">
        <v>45502</v>
      </c>
      <c r="C1438" s="1" t="n">
        <v>45587</v>
      </c>
      <c r="D1438" t="inlineStr">
        <is>
          <t>JÄMTLANDS LÄN</t>
        </is>
      </c>
      <c r="E1438" t="inlineStr">
        <is>
          <t>HÄRJEDALEN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31205-2024</t>
        </is>
      </c>
      <c r="B1439" s="1" t="n">
        <v>45503</v>
      </c>
      <c r="C1439" s="1" t="n">
        <v>45587</v>
      </c>
      <c r="D1439" t="inlineStr">
        <is>
          <t>JÄMTLANDS LÄN</t>
        </is>
      </c>
      <c r="E1439" t="inlineStr">
        <is>
          <t>HÄRJEDALEN</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31301-2024</t>
        </is>
      </c>
      <c r="B1440" s="1" t="n">
        <v>45504</v>
      </c>
      <c r="C1440" s="1" t="n">
        <v>45587</v>
      </c>
      <c r="D1440" t="inlineStr">
        <is>
          <t>JÄMTLANDS LÄN</t>
        </is>
      </c>
      <c r="E1440" t="inlineStr">
        <is>
          <t>HÄRJEDALEN</t>
        </is>
      </c>
      <c r="G1440" t="n">
        <v>32.9</v>
      </c>
      <c r="H1440" t="n">
        <v>0</v>
      </c>
      <c r="I1440" t="n">
        <v>0</v>
      </c>
      <c r="J1440" t="n">
        <v>0</v>
      </c>
      <c r="K1440" t="n">
        <v>0</v>
      </c>
      <c r="L1440" t="n">
        <v>0</v>
      </c>
      <c r="M1440" t="n">
        <v>0</v>
      </c>
      <c r="N1440" t="n">
        <v>0</v>
      </c>
      <c r="O1440" t="n">
        <v>0</v>
      </c>
      <c r="P1440" t="n">
        <v>0</v>
      </c>
      <c r="Q1440" t="n">
        <v>0</v>
      </c>
      <c r="R1440" s="2" t="inlineStr"/>
    </row>
    <row r="1441" ht="15" customHeight="1">
      <c r="A1441" t="inlineStr">
        <is>
          <t>A 31460-2024</t>
        </is>
      </c>
      <c r="B1441" s="1" t="n">
        <v>45505</v>
      </c>
      <c r="C1441" s="1" t="n">
        <v>45587</v>
      </c>
      <c r="D1441" t="inlineStr">
        <is>
          <t>JÄMTLANDS LÄN</t>
        </is>
      </c>
      <c r="E1441" t="inlineStr">
        <is>
          <t>HÄRJEDALEN</t>
        </is>
      </c>
      <c r="F1441" t="inlineStr">
        <is>
          <t>SCA</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31527-2024</t>
        </is>
      </c>
      <c r="B1442" s="1" t="n">
        <v>45505</v>
      </c>
      <c r="C1442" s="1" t="n">
        <v>45587</v>
      </c>
      <c r="D1442" t="inlineStr">
        <is>
          <t>JÄMTLANDS LÄN</t>
        </is>
      </c>
      <c r="E1442" t="inlineStr">
        <is>
          <t>HÄRJEDALEN</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31462-2024</t>
        </is>
      </c>
      <c r="B1443" s="1" t="n">
        <v>45505</v>
      </c>
      <c r="C1443" s="1" t="n">
        <v>45587</v>
      </c>
      <c r="D1443" t="inlineStr">
        <is>
          <t>JÄMTLANDS LÄN</t>
        </is>
      </c>
      <c r="E1443" t="inlineStr">
        <is>
          <t>HÄRJEDALEN</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31473-2024</t>
        </is>
      </c>
      <c r="B1444" s="1" t="n">
        <v>45505</v>
      </c>
      <c r="C1444" s="1" t="n">
        <v>45587</v>
      </c>
      <c r="D1444" t="inlineStr">
        <is>
          <t>JÄMTLANDS LÄN</t>
        </is>
      </c>
      <c r="E1444" t="inlineStr">
        <is>
          <t>HÄRJEDALEN</t>
        </is>
      </c>
      <c r="F1444" t="inlineStr">
        <is>
          <t>SCA</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31459-2024</t>
        </is>
      </c>
      <c r="B1445" s="1" t="n">
        <v>45505</v>
      </c>
      <c r="C1445" s="1" t="n">
        <v>45587</v>
      </c>
      <c r="D1445" t="inlineStr">
        <is>
          <t>JÄMTLANDS LÄN</t>
        </is>
      </c>
      <c r="E1445" t="inlineStr">
        <is>
          <t>HÄRJEDALEN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31672-2024</t>
        </is>
      </c>
      <c r="B1446" s="1" t="n">
        <v>45506</v>
      </c>
      <c r="C1446" s="1" t="n">
        <v>45587</v>
      </c>
      <c r="D1446" t="inlineStr">
        <is>
          <t>JÄMTLANDS LÄN</t>
        </is>
      </c>
      <c r="E1446" t="inlineStr">
        <is>
          <t>HÄRJEDALEN</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31581-2024</t>
        </is>
      </c>
      <c r="B1447" s="1" t="n">
        <v>45506</v>
      </c>
      <c r="C1447" s="1" t="n">
        <v>45587</v>
      </c>
      <c r="D1447" t="inlineStr">
        <is>
          <t>JÄMTLANDS LÄN</t>
        </is>
      </c>
      <c r="E1447" t="inlineStr">
        <is>
          <t>HÄRJEDALEN</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31584-2024</t>
        </is>
      </c>
      <c r="B1448" s="1" t="n">
        <v>45506</v>
      </c>
      <c r="C1448" s="1" t="n">
        <v>45587</v>
      </c>
      <c r="D1448" t="inlineStr">
        <is>
          <t>JÄMTLANDS LÄN</t>
        </is>
      </c>
      <c r="E1448" t="inlineStr">
        <is>
          <t>HÄRJEDALEN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31683-2024</t>
        </is>
      </c>
      <c r="B1449" s="1" t="n">
        <v>45506</v>
      </c>
      <c r="C1449" s="1" t="n">
        <v>45587</v>
      </c>
      <c r="D1449" t="inlineStr">
        <is>
          <t>JÄMTLANDS LÄN</t>
        </is>
      </c>
      <c r="E1449" t="inlineStr">
        <is>
          <t>HÄRJEDALEN</t>
        </is>
      </c>
      <c r="F1449" t="inlineStr">
        <is>
          <t>SCA</t>
        </is>
      </c>
      <c r="G1449" t="n">
        <v>37.4</v>
      </c>
      <c r="H1449" t="n">
        <v>0</v>
      </c>
      <c r="I1449" t="n">
        <v>0</v>
      </c>
      <c r="J1449" t="n">
        <v>0</v>
      </c>
      <c r="K1449" t="n">
        <v>0</v>
      </c>
      <c r="L1449" t="n">
        <v>0</v>
      </c>
      <c r="M1449" t="n">
        <v>0</v>
      </c>
      <c r="N1449" t="n">
        <v>0</v>
      </c>
      <c r="O1449" t="n">
        <v>0</v>
      </c>
      <c r="P1449" t="n">
        <v>0</v>
      </c>
      <c r="Q1449" t="n">
        <v>0</v>
      </c>
      <c r="R1449" s="2" t="inlineStr"/>
    </row>
    <row r="1450" ht="15" customHeight="1">
      <c r="A1450" t="inlineStr">
        <is>
          <t>A 31588-2024</t>
        </is>
      </c>
      <c r="B1450" s="1" t="n">
        <v>45506</v>
      </c>
      <c r="C1450" s="1" t="n">
        <v>45587</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31587-2024</t>
        </is>
      </c>
      <c r="B1451" s="1" t="n">
        <v>45506</v>
      </c>
      <c r="C1451" s="1" t="n">
        <v>45587</v>
      </c>
      <c r="D1451" t="inlineStr">
        <is>
          <t>JÄMTLANDS LÄN</t>
        </is>
      </c>
      <c r="E1451" t="inlineStr">
        <is>
          <t>HÄRJEDALEN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31586-2024</t>
        </is>
      </c>
      <c r="B1452" s="1" t="n">
        <v>45506</v>
      </c>
      <c r="C1452" s="1" t="n">
        <v>45587</v>
      </c>
      <c r="D1452" t="inlineStr">
        <is>
          <t>JÄMTLANDS LÄN</t>
        </is>
      </c>
      <c r="E1452" t="inlineStr">
        <is>
          <t>HÄRJEDALEN</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31682-2024</t>
        </is>
      </c>
      <c r="B1453" s="1" t="n">
        <v>45506</v>
      </c>
      <c r="C1453" s="1" t="n">
        <v>45587</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31777-2024</t>
        </is>
      </c>
      <c r="B1454" s="1" t="n">
        <v>45509</v>
      </c>
      <c r="C1454" s="1" t="n">
        <v>45587</v>
      </c>
      <c r="D1454" t="inlineStr">
        <is>
          <t>JÄMTLANDS LÄN</t>
        </is>
      </c>
      <c r="E1454" t="inlineStr">
        <is>
          <t>HÄRJEDALEN</t>
        </is>
      </c>
      <c r="F1454" t="inlineStr">
        <is>
          <t>Övriga statliga verk och myndigheter</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31743-2024</t>
        </is>
      </c>
      <c r="B1455" s="1" t="n">
        <v>45509</v>
      </c>
      <c r="C1455" s="1" t="n">
        <v>45587</v>
      </c>
      <c r="D1455" t="inlineStr">
        <is>
          <t>JÄMTLANDS LÄN</t>
        </is>
      </c>
      <c r="E1455" t="inlineStr">
        <is>
          <t>HÄRJEDALEN</t>
        </is>
      </c>
      <c r="F1455" t="inlineStr">
        <is>
          <t>Bergvik skog väst AB</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31747-2024</t>
        </is>
      </c>
      <c r="B1456" s="1" t="n">
        <v>45509</v>
      </c>
      <c r="C1456" s="1" t="n">
        <v>45587</v>
      </c>
      <c r="D1456" t="inlineStr">
        <is>
          <t>JÄMTLANDS LÄN</t>
        </is>
      </c>
      <c r="E1456" t="inlineStr">
        <is>
          <t>HÄRJEDALEN</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31759-2024</t>
        </is>
      </c>
      <c r="B1457" s="1" t="n">
        <v>45509</v>
      </c>
      <c r="C1457" s="1" t="n">
        <v>45587</v>
      </c>
      <c r="D1457" t="inlineStr">
        <is>
          <t>JÄMTLANDS LÄN</t>
        </is>
      </c>
      <c r="E1457" t="inlineStr">
        <is>
          <t>HÄRJEDALEN</t>
        </is>
      </c>
      <c r="F1457" t="inlineStr">
        <is>
          <t>Övriga statliga verk och myndigheter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31783-2024</t>
        </is>
      </c>
      <c r="B1458" s="1" t="n">
        <v>45509</v>
      </c>
      <c r="C1458" s="1" t="n">
        <v>45587</v>
      </c>
      <c r="D1458" t="inlineStr">
        <is>
          <t>JÄMTLANDS LÄN</t>
        </is>
      </c>
      <c r="E1458" t="inlineStr">
        <is>
          <t>HÄRJEDALEN</t>
        </is>
      </c>
      <c r="F1458" t="inlineStr">
        <is>
          <t>Övriga statliga verk och myndigheter</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31791-2024</t>
        </is>
      </c>
      <c r="B1459" s="1" t="n">
        <v>45509</v>
      </c>
      <c r="C1459" s="1" t="n">
        <v>45587</v>
      </c>
      <c r="D1459" t="inlineStr">
        <is>
          <t>JÄMTLANDS LÄN</t>
        </is>
      </c>
      <c r="E1459" t="inlineStr">
        <is>
          <t>HÄRJEDALEN</t>
        </is>
      </c>
      <c r="F1459" t="inlineStr">
        <is>
          <t>Övriga statliga verk och myndigheter</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31819-2024</t>
        </is>
      </c>
      <c r="B1460" s="1" t="n">
        <v>45509</v>
      </c>
      <c r="C1460" s="1" t="n">
        <v>45587</v>
      </c>
      <c r="D1460" t="inlineStr">
        <is>
          <t>JÄMTLANDS LÄN</t>
        </is>
      </c>
      <c r="E1460" t="inlineStr">
        <is>
          <t>HÄRJEDALEN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31816-2024</t>
        </is>
      </c>
      <c r="B1461" s="1" t="n">
        <v>45509</v>
      </c>
      <c r="C1461" s="1" t="n">
        <v>45587</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31764-2024</t>
        </is>
      </c>
      <c r="B1462" s="1" t="n">
        <v>45509</v>
      </c>
      <c r="C1462" s="1" t="n">
        <v>45587</v>
      </c>
      <c r="D1462" t="inlineStr">
        <is>
          <t>JÄMTLANDS LÄN</t>
        </is>
      </c>
      <c r="E1462" t="inlineStr">
        <is>
          <t>HÄRJEDALEN</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31732-2024</t>
        </is>
      </c>
      <c r="B1463" s="1" t="n">
        <v>45509</v>
      </c>
      <c r="C1463" s="1" t="n">
        <v>45587</v>
      </c>
      <c r="D1463" t="inlineStr">
        <is>
          <t>JÄMTLANDS LÄN</t>
        </is>
      </c>
      <c r="E1463" t="inlineStr">
        <is>
          <t>HÄRJEDALEN</t>
        </is>
      </c>
      <c r="F1463" t="inlineStr">
        <is>
          <t>Bergvik skog väst AB</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31834-2024</t>
        </is>
      </c>
      <c r="B1464" s="1" t="n">
        <v>45509</v>
      </c>
      <c r="C1464" s="1" t="n">
        <v>45587</v>
      </c>
      <c r="D1464" t="inlineStr">
        <is>
          <t>JÄMTLANDS LÄN</t>
        </is>
      </c>
      <c r="E1464" t="inlineStr">
        <is>
          <t>HÄRJEDALEN</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31806-2024</t>
        </is>
      </c>
      <c r="B1465" s="1" t="n">
        <v>45509</v>
      </c>
      <c r="C1465" s="1" t="n">
        <v>45587</v>
      </c>
      <c r="D1465" t="inlineStr">
        <is>
          <t>JÄMTLANDS LÄN</t>
        </is>
      </c>
      <c r="E1465" t="inlineStr">
        <is>
          <t>HÄRJEDALEN</t>
        </is>
      </c>
      <c r="F1465" t="inlineStr">
        <is>
          <t>Bergvik skog väst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31891-2024</t>
        </is>
      </c>
      <c r="B1466" s="1" t="n">
        <v>45509</v>
      </c>
      <c r="C1466" s="1" t="n">
        <v>45587</v>
      </c>
      <c r="D1466" t="inlineStr">
        <is>
          <t>JÄMTLANDS LÄN</t>
        </is>
      </c>
      <c r="E1466" t="inlineStr">
        <is>
          <t>HÄRJEDALEN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32064-2024</t>
        </is>
      </c>
      <c r="B1467" s="1" t="n">
        <v>45510</v>
      </c>
      <c r="C1467" s="1" t="n">
        <v>45587</v>
      </c>
      <c r="D1467" t="inlineStr">
        <is>
          <t>JÄMTLANDS LÄN</t>
        </is>
      </c>
      <c r="E1467" t="inlineStr">
        <is>
          <t>HÄRJEDALEN</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31920-2024</t>
        </is>
      </c>
      <c r="B1468" s="1" t="n">
        <v>45510</v>
      </c>
      <c r="C1468" s="1" t="n">
        <v>45587</v>
      </c>
      <c r="D1468" t="inlineStr">
        <is>
          <t>JÄMTLANDS LÄN</t>
        </is>
      </c>
      <c r="E1468" t="inlineStr">
        <is>
          <t>HÄRJEDALEN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32135-2024</t>
        </is>
      </c>
      <c r="B1469" s="1" t="n">
        <v>45511</v>
      </c>
      <c r="C1469" s="1" t="n">
        <v>45587</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32122-2024</t>
        </is>
      </c>
      <c r="B1470" s="1" t="n">
        <v>45511</v>
      </c>
      <c r="C1470" s="1" t="n">
        <v>45587</v>
      </c>
      <c r="D1470" t="inlineStr">
        <is>
          <t>JÄMTLANDS LÄN</t>
        </is>
      </c>
      <c r="E1470" t="inlineStr">
        <is>
          <t>HÄRJEDALEN</t>
        </is>
      </c>
      <c r="F1470" t="inlineStr">
        <is>
          <t>Bergvik skog väst AB</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32233-2024</t>
        </is>
      </c>
      <c r="B1471" s="1" t="n">
        <v>45512</v>
      </c>
      <c r="C1471" s="1" t="n">
        <v>45587</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32382-2024</t>
        </is>
      </c>
      <c r="B1472" s="1" t="n">
        <v>45512</v>
      </c>
      <c r="C1472" s="1" t="n">
        <v>45587</v>
      </c>
      <c r="D1472" t="inlineStr">
        <is>
          <t>JÄMTLANDS LÄN</t>
        </is>
      </c>
      <c r="E1472" t="inlineStr">
        <is>
          <t>HÄRJEDALEN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32403-2024</t>
        </is>
      </c>
      <c r="B1473" s="1" t="n">
        <v>45512</v>
      </c>
      <c r="C1473" s="1" t="n">
        <v>45587</v>
      </c>
      <c r="D1473" t="inlineStr">
        <is>
          <t>JÄMTLANDS LÄN</t>
        </is>
      </c>
      <c r="E1473" t="inlineStr">
        <is>
          <t>HÄRJEDALEN</t>
        </is>
      </c>
      <c r="F1473" t="inlineStr">
        <is>
          <t>Bergvik skog väst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32765-2024</t>
        </is>
      </c>
      <c r="B1474" s="1" t="n">
        <v>45516</v>
      </c>
      <c r="C1474" s="1" t="n">
        <v>45587</v>
      </c>
      <c r="D1474" t="inlineStr">
        <is>
          <t>JÄMTLANDS LÄN</t>
        </is>
      </c>
      <c r="E1474" t="inlineStr">
        <is>
          <t>HÄRJEDALEN</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32735-2024</t>
        </is>
      </c>
      <c r="B1475" s="1" t="n">
        <v>45516</v>
      </c>
      <c r="C1475" s="1" t="n">
        <v>45587</v>
      </c>
      <c r="D1475" t="inlineStr">
        <is>
          <t>JÄMTLANDS LÄN</t>
        </is>
      </c>
      <c r="E1475" t="inlineStr">
        <is>
          <t>HÄRJEDALEN</t>
        </is>
      </c>
      <c r="F1475" t="inlineStr">
        <is>
          <t>Bergvik skog väst AB</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33096-2024</t>
        </is>
      </c>
      <c r="B1476" s="1" t="n">
        <v>45517</v>
      </c>
      <c r="C1476" s="1" t="n">
        <v>45587</v>
      </c>
      <c r="D1476" t="inlineStr">
        <is>
          <t>JÄMTLANDS LÄN</t>
        </is>
      </c>
      <c r="E1476" t="inlineStr">
        <is>
          <t>HÄRJEDALEN</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33123-2024</t>
        </is>
      </c>
      <c r="B1477" s="1" t="n">
        <v>45518</v>
      </c>
      <c r="C1477" s="1" t="n">
        <v>45587</v>
      </c>
      <c r="D1477" t="inlineStr">
        <is>
          <t>JÄMTLANDS LÄN</t>
        </is>
      </c>
      <c r="E1477" t="inlineStr">
        <is>
          <t>HÄRJEDALEN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33125-2024</t>
        </is>
      </c>
      <c r="B1478" s="1" t="n">
        <v>45518</v>
      </c>
      <c r="C1478" s="1" t="n">
        <v>45587</v>
      </c>
      <c r="D1478" t="inlineStr">
        <is>
          <t>JÄMTLANDS LÄN</t>
        </is>
      </c>
      <c r="E1478" t="inlineStr">
        <is>
          <t>HÄRJEDALEN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32962-2024</t>
        </is>
      </c>
      <c r="B1479" s="1" t="n">
        <v>45517</v>
      </c>
      <c r="C1479" s="1" t="n">
        <v>45587</v>
      </c>
      <c r="D1479" t="inlineStr">
        <is>
          <t>JÄMTLANDS LÄN</t>
        </is>
      </c>
      <c r="E1479" t="inlineStr">
        <is>
          <t>HÄRJEDALEN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32964-2024</t>
        </is>
      </c>
      <c r="B1480" s="1" t="n">
        <v>45517</v>
      </c>
      <c r="C1480" s="1" t="n">
        <v>45587</v>
      </c>
      <c r="D1480" t="inlineStr">
        <is>
          <t>JÄMTLANDS LÄN</t>
        </is>
      </c>
      <c r="E1480" t="inlineStr">
        <is>
          <t>HÄRJEDALEN</t>
        </is>
      </c>
      <c r="F1480" t="inlineStr">
        <is>
          <t>Kommuner</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33124-2024</t>
        </is>
      </c>
      <c r="B1481" s="1" t="n">
        <v>45518</v>
      </c>
      <c r="C1481" s="1" t="n">
        <v>45587</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33307-2024</t>
        </is>
      </c>
      <c r="B1482" s="1" t="n">
        <v>45519</v>
      </c>
      <c r="C1482" s="1" t="n">
        <v>45587</v>
      </c>
      <c r="D1482" t="inlineStr">
        <is>
          <t>JÄMTLANDS LÄN</t>
        </is>
      </c>
      <c r="E1482" t="inlineStr">
        <is>
          <t>HÄRJEDALEN</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33308-2024</t>
        </is>
      </c>
      <c r="B1483" s="1" t="n">
        <v>45519</v>
      </c>
      <c r="C1483" s="1" t="n">
        <v>45587</v>
      </c>
      <c r="D1483" t="inlineStr">
        <is>
          <t>JÄMTLANDS LÄN</t>
        </is>
      </c>
      <c r="E1483" t="inlineStr">
        <is>
          <t>HÄRJEDALEN</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33502-2024</t>
        </is>
      </c>
      <c r="B1484" s="1" t="n">
        <v>45519</v>
      </c>
      <c r="C1484" s="1" t="n">
        <v>45587</v>
      </c>
      <c r="D1484" t="inlineStr">
        <is>
          <t>JÄMTLANDS LÄN</t>
        </is>
      </c>
      <c r="E1484" t="inlineStr">
        <is>
          <t>HÄRJEDALEN</t>
        </is>
      </c>
      <c r="F1484" t="inlineStr">
        <is>
          <t>SCA</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33523-2024</t>
        </is>
      </c>
      <c r="B1485" s="1" t="n">
        <v>45519</v>
      </c>
      <c r="C1485" s="1" t="n">
        <v>45587</v>
      </c>
      <c r="D1485" t="inlineStr">
        <is>
          <t>JÄMTLANDS LÄN</t>
        </is>
      </c>
      <c r="E1485" t="inlineStr">
        <is>
          <t>HÄRJEDALEN</t>
        </is>
      </c>
      <c r="F1485" t="inlineStr">
        <is>
          <t>SCA</t>
        </is>
      </c>
      <c r="G1485" t="n">
        <v>19.4</v>
      </c>
      <c r="H1485" t="n">
        <v>0</v>
      </c>
      <c r="I1485" t="n">
        <v>0</v>
      </c>
      <c r="J1485" t="n">
        <v>0</v>
      </c>
      <c r="K1485" t="n">
        <v>0</v>
      </c>
      <c r="L1485" t="n">
        <v>0</v>
      </c>
      <c r="M1485" t="n">
        <v>0</v>
      </c>
      <c r="N1485" t="n">
        <v>0</v>
      </c>
      <c r="O1485" t="n">
        <v>0</v>
      </c>
      <c r="P1485" t="n">
        <v>0</v>
      </c>
      <c r="Q1485" t="n">
        <v>0</v>
      </c>
      <c r="R1485" s="2" t="inlineStr"/>
    </row>
    <row r="1486" ht="15" customHeight="1">
      <c r="A1486" t="inlineStr">
        <is>
          <t>A 34291-2024</t>
        </is>
      </c>
      <c r="B1486" s="1" t="n">
        <v>45524</v>
      </c>
      <c r="C1486" s="1" t="n">
        <v>45587</v>
      </c>
      <c r="D1486" t="inlineStr">
        <is>
          <t>JÄMTLANDS LÄN</t>
        </is>
      </c>
      <c r="E1486" t="inlineStr">
        <is>
          <t>HÄRJEDALEN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34523-2024</t>
        </is>
      </c>
      <c r="B1487" s="1" t="n">
        <v>45525</v>
      </c>
      <c r="C1487" s="1" t="n">
        <v>45587</v>
      </c>
      <c r="D1487" t="inlineStr">
        <is>
          <t>JÄMTLANDS LÄN</t>
        </is>
      </c>
      <c r="E1487" t="inlineStr">
        <is>
          <t>HÄRJEDALEN</t>
        </is>
      </c>
      <c r="G1487" t="n">
        <v>31.5</v>
      </c>
      <c r="H1487" t="n">
        <v>0</v>
      </c>
      <c r="I1487" t="n">
        <v>0</v>
      </c>
      <c r="J1487" t="n">
        <v>0</v>
      </c>
      <c r="K1487" t="n">
        <v>0</v>
      </c>
      <c r="L1487" t="n">
        <v>0</v>
      </c>
      <c r="M1487" t="n">
        <v>0</v>
      </c>
      <c r="N1487" t="n">
        <v>0</v>
      </c>
      <c r="O1487" t="n">
        <v>0</v>
      </c>
      <c r="P1487" t="n">
        <v>0</v>
      </c>
      <c r="Q1487" t="n">
        <v>0</v>
      </c>
      <c r="R1487" s="2" t="inlineStr"/>
    </row>
    <row r="1488" ht="15" customHeight="1">
      <c r="A1488" t="inlineStr">
        <is>
          <t>A 34660-2024</t>
        </is>
      </c>
      <c r="B1488" s="1" t="n">
        <v>45526</v>
      </c>
      <c r="C1488" s="1" t="n">
        <v>45587</v>
      </c>
      <c r="D1488" t="inlineStr">
        <is>
          <t>JÄMTLANDS LÄN</t>
        </is>
      </c>
      <c r="E1488" t="inlineStr">
        <is>
          <t>HÄRJEDALEN</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34775-2024</t>
        </is>
      </c>
      <c r="B1489" s="1" t="n">
        <v>45526</v>
      </c>
      <c r="C1489" s="1" t="n">
        <v>45587</v>
      </c>
      <c r="D1489" t="inlineStr">
        <is>
          <t>JÄMTLANDS LÄN</t>
        </is>
      </c>
      <c r="E1489" t="inlineStr">
        <is>
          <t>HÄRJEDALEN</t>
        </is>
      </c>
      <c r="F1489" t="inlineStr">
        <is>
          <t>Bergvik skog väst AB</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35015-2024</t>
        </is>
      </c>
      <c r="B1490" s="1" t="n">
        <v>45527</v>
      </c>
      <c r="C1490" s="1" t="n">
        <v>45587</v>
      </c>
      <c r="D1490" t="inlineStr">
        <is>
          <t>JÄMTLANDS LÄN</t>
        </is>
      </c>
      <c r="E1490" t="inlineStr">
        <is>
          <t>HÄRJEDALEN</t>
        </is>
      </c>
      <c r="G1490" t="n">
        <v>23.2</v>
      </c>
      <c r="H1490" t="n">
        <v>0</v>
      </c>
      <c r="I1490" t="n">
        <v>0</v>
      </c>
      <c r="J1490" t="n">
        <v>0</v>
      </c>
      <c r="K1490" t="n">
        <v>0</v>
      </c>
      <c r="L1490" t="n">
        <v>0</v>
      </c>
      <c r="M1490" t="n">
        <v>0</v>
      </c>
      <c r="N1490" t="n">
        <v>0</v>
      </c>
      <c r="O1490" t="n">
        <v>0</v>
      </c>
      <c r="P1490" t="n">
        <v>0</v>
      </c>
      <c r="Q1490" t="n">
        <v>0</v>
      </c>
      <c r="R1490" s="2" t="inlineStr"/>
    </row>
    <row r="1491" ht="15" customHeight="1">
      <c r="A1491" t="inlineStr">
        <is>
          <t>A 35046-2024</t>
        </is>
      </c>
      <c r="B1491" s="1" t="n">
        <v>45527</v>
      </c>
      <c r="C1491" s="1" t="n">
        <v>45587</v>
      </c>
      <c r="D1491" t="inlineStr">
        <is>
          <t>JÄMTLANDS LÄN</t>
        </is>
      </c>
      <c r="E1491" t="inlineStr">
        <is>
          <t>HÄRJEDALEN</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35454-2024</t>
        </is>
      </c>
      <c r="B1492" s="1" t="n">
        <v>45531</v>
      </c>
      <c r="C1492" s="1" t="n">
        <v>45587</v>
      </c>
      <c r="D1492" t="inlineStr">
        <is>
          <t>JÄMTLANDS LÄN</t>
        </is>
      </c>
      <c r="E1492" t="inlineStr">
        <is>
          <t>HÄRJEDALEN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45587</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45587</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45587</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45587</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45587</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45587</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45587</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45587</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45587</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45587</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45587</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45587</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45587</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45587</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45587</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45587</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45587</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45587</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45587</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45587</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45587</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45587</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45587</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45587</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45587</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41329-2024</t>
        </is>
      </c>
      <c r="B1518" s="1" t="n">
        <v>45559</v>
      </c>
      <c r="C1518" s="1" t="n">
        <v>45587</v>
      </c>
      <c r="D1518" t="inlineStr">
        <is>
          <t>JÄMTLANDS LÄN</t>
        </is>
      </c>
      <c r="E1518" t="inlineStr">
        <is>
          <t>HÄRJEDALEN</t>
        </is>
      </c>
      <c r="G1518" t="n">
        <v>47.1</v>
      </c>
      <c r="H1518" t="n">
        <v>0</v>
      </c>
      <c r="I1518" t="n">
        <v>0</v>
      </c>
      <c r="J1518" t="n">
        <v>0</v>
      </c>
      <c r="K1518" t="n">
        <v>0</v>
      </c>
      <c r="L1518" t="n">
        <v>0</v>
      </c>
      <c r="M1518" t="n">
        <v>0</v>
      </c>
      <c r="N1518" t="n">
        <v>0</v>
      </c>
      <c r="O1518" t="n">
        <v>0</v>
      </c>
      <c r="P1518" t="n">
        <v>0</v>
      </c>
      <c r="Q1518" t="n">
        <v>0</v>
      </c>
      <c r="R1518" s="2" t="inlineStr"/>
    </row>
    <row r="1519" ht="15" customHeight="1">
      <c r="A1519" t="inlineStr">
        <is>
          <t>A 41101-2024</t>
        </is>
      </c>
      <c r="B1519" s="1" t="n">
        <v>45559</v>
      </c>
      <c r="C1519" s="1" t="n">
        <v>45587</v>
      </c>
      <c r="D1519" t="inlineStr">
        <is>
          <t>JÄMTLANDS LÄN</t>
        </is>
      </c>
      <c r="E1519" t="inlineStr">
        <is>
          <t>HÄRJEDALEN</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41615-2024</t>
        </is>
      </c>
      <c r="B1520" s="1" t="n">
        <v>45560</v>
      </c>
      <c r="C1520" s="1" t="n">
        <v>45587</v>
      </c>
      <c r="D1520" t="inlineStr">
        <is>
          <t>JÄMTLANDS LÄN</t>
        </is>
      </c>
      <c r="E1520" t="inlineStr">
        <is>
          <t>HÄRJEDALEN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41647-2024</t>
        </is>
      </c>
      <c r="B1521" s="1" t="n">
        <v>45560</v>
      </c>
      <c r="C1521" s="1" t="n">
        <v>45587</v>
      </c>
      <c r="D1521" t="inlineStr">
        <is>
          <t>JÄMTLANDS LÄN</t>
        </is>
      </c>
      <c r="E1521" t="inlineStr">
        <is>
          <t>HÄRJEDALEN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41401-2024</t>
        </is>
      </c>
      <c r="B1522" s="1" t="n">
        <v>45560</v>
      </c>
      <c r="C1522" s="1" t="n">
        <v>45587</v>
      </c>
      <c r="D1522" t="inlineStr">
        <is>
          <t>JÄMTLANDS LÄN</t>
        </is>
      </c>
      <c r="E1522" t="inlineStr">
        <is>
          <t>HÄRJEDALEN</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45587</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45587</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45587</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45587</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45587</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41885-2024</t>
        </is>
      </c>
      <c r="B1528" s="1" t="n">
        <v>45561</v>
      </c>
      <c r="C1528" s="1" t="n">
        <v>45587</v>
      </c>
      <c r="D1528" t="inlineStr">
        <is>
          <t>JÄMTLANDS LÄN</t>
        </is>
      </c>
      <c r="E1528" t="inlineStr">
        <is>
          <t>HÄRJEDALEN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45587</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45587</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45587</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45587</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45587</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45587</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45587</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45587</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45587</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43294-2024</t>
        </is>
      </c>
      <c r="B1538" s="1" t="n">
        <v>45568</v>
      </c>
      <c r="C1538" s="1" t="n">
        <v>45587</v>
      </c>
      <c r="D1538" t="inlineStr">
        <is>
          <t>JÄMTLANDS LÄN</t>
        </is>
      </c>
      <c r="E1538" t="inlineStr">
        <is>
          <t>HÄRJEDALEN</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45587</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43574-2024</t>
        </is>
      </c>
      <c r="B1540" s="1" t="n">
        <v>45569</v>
      </c>
      <c r="C1540" s="1" t="n">
        <v>45587</v>
      </c>
      <c r="D1540" t="inlineStr">
        <is>
          <t>JÄMTLANDS LÄN</t>
        </is>
      </c>
      <c r="E1540" t="inlineStr">
        <is>
          <t>HÄRJEDALEN</t>
        </is>
      </c>
      <c r="F1540" t="inlineStr">
        <is>
          <t>Bergvik skog väst AB</t>
        </is>
      </c>
      <c r="G1540" t="n">
        <v>258.3</v>
      </c>
      <c r="H1540" t="n">
        <v>0</v>
      </c>
      <c r="I1540" t="n">
        <v>0</v>
      </c>
      <c r="J1540" t="n">
        <v>0</v>
      </c>
      <c r="K1540" t="n">
        <v>0</v>
      </c>
      <c r="L1540" t="n">
        <v>0</v>
      </c>
      <c r="M1540" t="n">
        <v>0</v>
      </c>
      <c r="N1540" t="n">
        <v>0</v>
      </c>
      <c r="O1540" t="n">
        <v>0</v>
      </c>
      <c r="P1540" t="n">
        <v>0</v>
      </c>
      <c r="Q1540" t="n">
        <v>0</v>
      </c>
      <c r="R1540" s="2" t="inlineStr"/>
    </row>
    <row r="1541" ht="15" customHeight="1">
      <c r="A1541" t="inlineStr">
        <is>
          <t>A 43586-2024</t>
        </is>
      </c>
      <c r="B1541" s="1" t="n">
        <v>45569</v>
      </c>
      <c r="C1541" s="1" t="n">
        <v>45587</v>
      </c>
      <c r="D1541" t="inlineStr">
        <is>
          <t>JÄMTLANDS LÄN</t>
        </is>
      </c>
      <c r="E1541" t="inlineStr">
        <is>
          <t>HÄRJEDALEN</t>
        </is>
      </c>
      <c r="F1541" t="inlineStr">
        <is>
          <t>Bergvik skog väst AB</t>
        </is>
      </c>
      <c r="G1541" t="n">
        <v>96.2</v>
      </c>
      <c r="H1541" t="n">
        <v>0</v>
      </c>
      <c r="I1541" t="n">
        <v>0</v>
      </c>
      <c r="J1541" t="n">
        <v>0</v>
      </c>
      <c r="K1541" t="n">
        <v>0</v>
      </c>
      <c r="L1541" t="n">
        <v>0</v>
      </c>
      <c r="M1541" t="n">
        <v>0</v>
      </c>
      <c r="N1541" t="n">
        <v>0</v>
      </c>
      <c r="O1541" t="n">
        <v>0</v>
      </c>
      <c r="P1541" t="n">
        <v>0</v>
      </c>
      <c r="Q1541" t="n">
        <v>0</v>
      </c>
      <c r="R1541" s="2" t="inlineStr"/>
    </row>
    <row r="1542" ht="15" customHeight="1">
      <c r="A1542" t="inlineStr">
        <is>
          <t>A 43607-2024</t>
        </is>
      </c>
      <c r="B1542" s="1" t="n">
        <v>45569</v>
      </c>
      <c r="C1542" s="1" t="n">
        <v>45587</v>
      </c>
      <c r="D1542" t="inlineStr">
        <is>
          <t>JÄMTLANDS LÄN</t>
        </is>
      </c>
      <c r="E1542" t="inlineStr">
        <is>
          <t>HÄRJEDALEN</t>
        </is>
      </c>
      <c r="F1542" t="inlineStr">
        <is>
          <t>Bergvik skog väst AB</t>
        </is>
      </c>
      <c r="G1542" t="n">
        <v>189.8</v>
      </c>
      <c r="H1542" t="n">
        <v>0</v>
      </c>
      <c r="I1542" t="n">
        <v>0</v>
      </c>
      <c r="J1542" t="n">
        <v>0</v>
      </c>
      <c r="K1542" t="n">
        <v>0</v>
      </c>
      <c r="L1542" t="n">
        <v>0</v>
      </c>
      <c r="M1542" t="n">
        <v>0</v>
      </c>
      <c r="N1542" t="n">
        <v>0</v>
      </c>
      <c r="O1542" t="n">
        <v>0</v>
      </c>
      <c r="P1542" t="n">
        <v>0</v>
      </c>
      <c r="Q1542" t="n">
        <v>0</v>
      </c>
      <c r="R1542" s="2" t="inlineStr"/>
    </row>
    <row r="1543" ht="15" customHeight="1">
      <c r="A1543" t="inlineStr">
        <is>
          <t>A 43623-2024</t>
        </is>
      </c>
      <c r="B1543" s="1" t="n">
        <v>45569</v>
      </c>
      <c r="C1543" s="1" t="n">
        <v>45587</v>
      </c>
      <c r="D1543" t="inlineStr">
        <is>
          <t>JÄMTLANDS LÄN</t>
        </is>
      </c>
      <c r="E1543" t="inlineStr">
        <is>
          <t>HÄRJEDALEN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43555-2024</t>
        </is>
      </c>
      <c r="B1544" s="1" t="n">
        <v>45569</v>
      </c>
      <c r="C1544" s="1" t="n">
        <v>45587</v>
      </c>
      <c r="D1544" t="inlineStr">
        <is>
          <t>JÄMTLANDS LÄN</t>
        </is>
      </c>
      <c r="E1544" t="inlineStr">
        <is>
          <t>HÄRJEDALEN</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43758-2024</t>
        </is>
      </c>
      <c r="B1545" s="1" t="n">
        <v>45569</v>
      </c>
      <c r="C1545" s="1" t="n">
        <v>45587</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43591-2024</t>
        </is>
      </c>
      <c r="B1546" s="1" t="n">
        <v>45569</v>
      </c>
      <c r="C1546" s="1" t="n">
        <v>45587</v>
      </c>
      <c r="D1546" t="inlineStr">
        <is>
          <t>JÄMTLANDS LÄN</t>
        </is>
      </c>
      <c r="E1546" t="inlineStr">
        <is>
          <t>HÄRJEDALEN</t>
        </is>
      </c>
      <c r="F1546" t="inlineStr">
        <is>
          <t>Bergvik skog väst AB</t>
        </is>
      </c>
      <c r="G1546" t="n">
        <v>50.5</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45587</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45587</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45587</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45587</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45587</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45587</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44641-2024</t>
        </is>
      </c>
      <c r="B1553" s="1" t="n">
        <v>45574</v>
      </c>
      <c r="C1553" s="1" t="n">
        <v>45587</v>
      </c>
      <c r="D1553" t="inlineStr">
        <is>
          <t>JÄMTLANDS LÄN</t>
        </is>
      </c>
      <c r="E1553" t="inlineStr">
        <is>
          <t>HÄRJEDALEN</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44705-2024</t>
        </is>
      </c>
      <c r="B1554" s="1" t="n">
        <v>45574</v>
      </c>
      <c r="C1554" s="1" t="n">
        <v>45587</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44819-2024</t>
        </is>
      </c>
      <c r="B1555" s="1" t="n">
        <v>45574</v>
      </c>
      <c r="C1555" s="1" t="n">
        <v>45587</v>
      </c>
      <c r="D1555" t="inlineStr">
        <is>
          <t>JÄMTLANDS LÄN</t>
        </is>
      </c>
      <c r="E1555" t="inlineStr">
        <is>
          <t>HÄRJEDALEN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44824-2024</t>
        </is>
      </c>
      <c r="B1556" s="1" t="n">
        <v>45574</v>
      </c>
      <c r="C1556" s="1" t="n">
        <v>45587</v>
      </c>
      <c r="D1556" t="inlineStr">
        <is>
          <t>JÄMTLANDS LÄN</t>
        </is>
      </c>
      <c r="E1556" t="inlineStr">
        <is>
          <t>HÄRJEDALEN</t>
        </is>
      </c>
      <c r="F1556" t="inlineStr">
        <is>
          <t>Bergvik skog väst AB</t>
        </is>
      </c>
      <c r="G1556" t="n">
        <v>29.4</v>
      </c>
      <c r="H1556" t="n">
        <v>0</v>
      </c>
      <c r="I1556" t="n">
        <v>0</v>
      </c>
      <c r="J1556" t="n">
        <v>0</v>
      </c>
      <c r="K1556" t="n">
        <v>0</v>
      </c>
      <c r="L1556" t="n">
        <v>0</v>
      </c>
      <c r="M1556" t="n">
        <v>0</v>
      </c>
      <c r="N1556" t="n">
        <v>0</v>
      </c>
      <c r="O1556" t="n">
        <v>0</v>
      </c>
      <c r="P1556" t="n">
        <v>0</v>
      </c>
      <c r="Q1556" t="n">
        <v>0</v>
      </c>
      <c r="R1556" s="2" t="inlineStr"/>
    </row>
    <row r="1557" ht="15" customHeight="1">
      <c r="A1557" t="inlineStr">
        <is>
          <t>A 44583-2024</t>
        </is>
      </c>
      <c r="B1557" s="1" t="n">
        <v>45574</v>
      </c>
      <c r="C1557" s="1" t="n">
        <v>45587</v>
      </c>
      <c r="D1557" t="inlineStr">
        <is>
          <t>JÄMTLANDS LÄN</t>
        </is>
      </c>
      <c r="E1557" t="inlineStr">
        <is>
          <t>HÄRJEDALEN</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44745-2024</t>
        </is>
      </c>
      <c r="B1558" s="1" t="n">
        <v>45574</v>
      </c>
      <c r="C1558" s="1" t="n">
        <v>45587</v>
      </c>
      <c r="D1558" t="inlineStr">
        <is>
          <t>JÄMTLANDS LÄN</t>
        </is>
      </c>
      <c r="E1558" t="inlineStr">
        <is>
          <t>HÄRJEDALEN</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44757-2024</t>
        </is>
      </c>
      <c r="B1559" s="1" t="n">
        <v>45574</v>
      </c>
      <c r="C1559" s="1" t="n">
        <v>45587</v>
      </c>
      <c r="D1559" t="inlineStr">
        <is>
          <t>JÄMTLANDS LÄN</t>
        </is>
      </c>
      <c r="E1559" t="inlineStr">
        <is>
          <t>HÄRJEDALEN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45587</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45120-2024</t>
        </is>
      </c>
      <c r="B1561" s="1" t="n">
        <v>45575</v>
      </c>
      <c r="C1561" s="1" t="n">
        <v>45587</v>
      </c>
      <c r="D1561" t="inlineStr">
        <is>
          <t>JÄMTLANDS LÄN</t>
        </is>
      </c>
      <c r="E1561" t="inlineStr">
        <is>
          <t>HÄRJEDALEN</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44903-2024</t>
        </is>
      </c>
      <c r="B1562" s="1" t="n">
        <v>45575</v>
      </c>
      <c r="C1562" s="1" t="n">
        <v>45587</v>
      </c>
      <c r="D1562" t="inlineStr">
        <is>
          <t>JÄMTLANDS LÄN</t>
        </is>
      </c>
      <c r="E1562" t="inlineStr">
        <is>
          <t>HÄRJEDALEN</t>
        </is>
      </c>
      <c r="F1562" t="inlineStr">
        <is>
          <t>Sveaskog</t>
        </is>
      </c>
      <c r="G1562" t="n">
        <v>13.2</v>
      </c>
      <c r="H1562" t="n">
        <v>0</v>
      </c>
      <c r="I1562" t="n">
        <v>0</v>
      </c>
      <c r="J1562" t="n">
        <v>0</v>
      </c>
      <c r="K1562" t="n">
        <v>0</v>
      </c>
      <c r="L1562" t="n">
        <v>0</v>
      </c>
      <c r="M1562" t="n">
        <v>0</v>
      </c>
      <c r="N1562" t="n">
        <v>0</v>
      </c>
      <c r="O1562" t="n">
        <v>0</v>
      </c>
      <c r="P1562" t="n">
        <v>0</v>
      </c>
      <c r="Q1562" t="n">
        <v>0</v>
      </c>
      <c r="R1562" s="2" t="inlineStr"/>
    </row>
    <row r="1563" ht="15" customHeight="1">
      <c r="A1563" t="inlineStr">
        <is>
          <t>A 44955-2024</t>
        </is>
      </c>
      <c r="B1563" s="1" t="n">
        <v>45575</v>
      </c>
      <c r="C1563" s="1" t="n">
        <v>45587</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45587</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45587</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45587</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45587</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45587</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45570-2024</t>
        </is>
      </c>
      <c r="B1569" s="1" t="n">
        <v>45579</v>
      </c>
      <c r="C1569" s="1" t="n">
        <v>45587</v>
      </c>
      <c r="D1569" t="inlineStr">
        <is>
          <t>JÄMTLANDS LÄN</t>
        </is>
      </c>
      <c r="E1569" t="inlineStr">
        <is>
          <t>HÄRJEDALEN</t>
        </is>
      </c>
      <c r="F1569" t="inlineStr">
        <is>
          <t>Kommuner</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45705-2024</t>
        </is>
      </c>
      <c r="B1570" s="1" t="n">
        <v>45579</v>
      </c>
      <c r="C1570" s="1" t="n">
        <v>45587</v>
      </c>
      <c r="D1570" t="inlineStr">
        <is>
          <t>JÄMTLANDS LÄN</t>
        </is>
      </c>
      <c r="E1570" t="inlineStr">
        <is>
          <t>HÄRJEDALEN</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45587</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45587</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45587</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46499-2024</t>
        </is>
      </c>
      <c r="B1574" s="1" t="n">
        <v>45582</v>
      </c>
      <c r="C1574" s="1" t="n">
        <v>45587</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row r="1575">
      <c r="A1575" t="inlineStr">
        <is>
          <t>A 47247-2024</t>
        </is>
      </c>
      <c r="B1575" s="1" t="n">
        <v>45586</v>
      </c>
      <c r="C1575" s="1" t="n">
        <v>45587</v>
      </c>
      <c r="D1575" t="inlineStr">
        <is>
          <t>JÄMTLANDS LÄN</t>
        </is>
      </c>
      <c r="E1575" t="inlineStr">
        <is>
          <t>HÄRJEDALEN</t>
        </is>
      </c>
      <c r="G1575" t="n">
        <v>3.5</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2024-10-22T13:01:37Z</dcterms:created>
  <dcterms:modified xmlns:dcterms="http://purl.org/dc/terms/" xmlns:xsi="http://www.w3.org/2001/XMLSchema-instance" xsi:type="dcterms:W3CDTF">2024-10-22T13:01:38Z</dcterms:modified>
</cp:coreProperties>
</file>