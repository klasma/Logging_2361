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45789</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45789</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45789</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38535-2019</t>
        </is>
      </c>
      <c r="B50" s="1" t="n">
        <v>43685</v>
      </c>
      <c r="C50" s="1" t="n">
        <v>45789</v>
      </c>
      <c r="D50" t="inlineStr">
        <is>
          <t>JÄMTLANDS LÄN</t>
        </is>
      </c>
      <c r="E50" t="inlineStr">
        <is>
          <t>HÄRJEDALEN</t>
        </is>
      </c>
      <c r="F50" t="inlineStr">
        <is>
          <t>Sveaskog</t>
        </is>
      </c>
      <c r="G50" t="n">
        <v>7.2</v>
      </c>
      <c r="H50" t="n">
        <v>4</v>
      </c>
      <c r="I50" t="n">
        <v>2</v>
      </c>
      <c r="J50" t="n">
        <v>5</v>
      </c>
      <c r="K50" t="n">
        <v>1</v>
      </c>
      <c r="L50" t="n">
        <v>0</v>
      </c>
      <c r="M50" t="n">
        <v>0</v>
      </c>
      <c r="N50" t="n">
        <v>0</v>
      </c>
      <c r="O50" t="n">
        <v>6</v>
      </c>
      <c r="P50" t="n">
        <v>1</v>
      </c>
      <c r="Q50" t="n">
        <v>11</v>
      </c>
      <c r="R50" s="2" t="inlineStr">
        <is>
          <t>Knärot
Blanksvart spiklav
Gammelgransskål
Garnlav
Lunglav
Skrovellav
Barkkornlav
Bronshjon
Tjäder
Fläcknycklar
Revlummer</t>
        </is>
      </c>
      <c r="S50">
        <f>HYPERLINK("https://klasma.github.io/Logging_2361/artfynd/A 38535-2019 artfynd.xlsx", "A 38535-2019")</f>
        <v/>
      </c>
      <c r="T50">
        <f>HYPERLINK("https://klasma.github.io/Logging_2361/kartor/A 38535-2019 karta.png", "A 38535-2019")</f>
        <v/>
      </c>
      <c r="U50">
        <f>HYPERLINK("https://klasma.github.io/Logging_2361/knärot/A 38535-2019 karta knärot.png", "A 38535-2019")</f>
        <v/>
      </c>
      <c r="V50">
        <f>HYPERLINK("https://klasma.github.io/Logging_2361/klagomål/A 38535-2019 FSC-klagomål.docx", "A 38535-2019")</f>
        <v/>
      </c>
      <c r="W50">
        <f>HYPERLINK("https://klasma.github.io/Logging_2361/klagomålsmail/A 38535-2019 FSC-klagomål mail.docx", "A 38535-2019")</f>
        <v/>
      </c>
      <c r="X50">
        <f>HYPERLINK("https://klasma.github.io/Logging_2361/tillsyn/A 38535-2019 tillsynsbegäran.docx", "A 38535-2019")</f>
        <v/>
      </c>
      <c r="Y50">
        <f>HYPERLINK("https://klasma.github.io/Logging_2361/tillsynsmail/A 38535-2019 tillsynsbegäran mail.docx", "A 38535-2019")</f>
        <v/>
      </c>
      <c r="Z50">
        <f>HYPERLINK("https://klasma.github.io/Logging_2361/fåglar/A 38535-2019 prioriterade fågelarter.docx", "A 38535-2019")</f>
        <v/>
      </c>
    </row>
    <row r="51" ht="15" customHeight="1">
      <c r="A51" t="inlineStr">
        <is>
          <t>A 28713-2021</t>
        </is>
      </c>
      <c r="B51" s="1" t="n">
        <v>44357</v>
      </c>
      <c r="C51" s="1" t="n">
        <v>45789</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58278-2021</t>
        </is>
      </c>
      <c r="B52" s="1" t="n">
        <v>44487</v>
      </c>
      <c r="C52" s="1" t="n">
        <v>45789</v>
      </c>
      <c r="D52" t="inlineStr">
        <is>
          <t>JÄMTLANDS LÄN</t>
        </is>
      </c>
      <c r="E52" t="inlineStr">
        <is>
          <t>HÄRJEDALEN</t>
        </is>
      </c>
      <c r="F52" t="inlineStr">
        <is>
          <t>SCA</t>
        </is>
      </c>
      <c r="G52" t="n">
        <v>33.9</v>
      </c>
      <c r="H52" t="n">
        <v>1</v>
      </c>
      <c r="I52" t="n">
        <v>3</v>
      </c>
      <c r="J52" t="n">
        <v>4</v>
      </c>
      <c r="K52" t="n">
        <v>3</v>
      </c>
      <c r="L52" t="n">
        <v>1</v>
      </c>
      <c r="M52" t="n">
        <v>0</v>
      </c>
      <c r="N52" t="n">
        <v>0</v>
      </c>
      <c r="O52" t="n">
        <v>8</v>
      </c>
      <c r="P52" t="n">
        <v>4</v>
      </c>
      <c r="Q52" t="n">
        <v>11</v>
      </c>
      <c r="R52" s="2" t="inlineStr">
        <is>
          <t>Mosippa
Lammticka
Spadskinn
Tallgråticka
Blå taggsvamp
Motaggsvamp
Skrovlig taggsvamp
Talltaggsvamp
Dropptaggsvamp
Skarp dropptaggsvamp
Tallfingersvamp</t>
        </is>
      </c>
      <c r="S52">
        <f>HYPERLINK("https://klasma.github.io/Logging_2361/artfynd/A 58278-2021 artfynd.xlsx", "A 58278-2021")</f>
        <v/>
      </c>
      <c r="T52">
        <f>HYPERLINK("https://klasma.github.io/Logging_2361/kartor/A 58278-2021 karta.png", "A 58278-2021")</f>
        <v/>
      </c>
      <c r="V52">
        <f>HYPERLINK("https://klasma.github.io/Logging_2361/klagomål/A 58278-2021 FSC-klagomål.docx", "A 58278-2021")</f>
        <v/>
      </c>
      <c r="W52">
        <f>HYPERLINK("https://klasma.github.io/Logging_2361/klagomålsmail/A 58278-2021 FSC-klagomål mail.docx", "A 58278-2021")</f>
        <v/>
      </c>
      <c r="X52">
        <f>HYPERLINK("https://klasma.github.io/Logging_2361/tillsyn/A 58278-2021 tillsynsbegäran.docx", "A 58278-2021")</f>
        <v/>
      </c>
      <c r="Y52">
        <f>HYPERLINK("https://klasma.github.io/Logging_2361/tillsynsmail/A 58278-2021 tillsynsbegäran mail.docx", "A 58278-2021")</f>
        <v/>
      </c>
    </row>
    <row r="53" ht="15" customHeight="1">
      <c r="A53" t="inlineStr">
        <is>
          <t>A 17749-2022</t>
        </is>
      </c>
      <c r="B53" s="1" t="n">
        <v>44680</v>
      </c>
      <c r="C53" s="1" t="n">
        <v>45789</v>
      </c>
      <c r="D53" t="inlineStr">
        <is>
          <t>JÄMTLANDS LÄN</t>
        </is>
      </c>
      <c r="E53" t="inlineStr">
        <is>
          <t>HÄRJEDALEN</t>
        </is>
      </c>
      <c r="F53" t="inlineStr">
        <is>
          <t>SCA</t>
        </is>
      </c>
      <c r="G53" t="n">
        <v>17.6</v>
      </c>
      <c r="H53" t="n">
        <v>0</v>
      </c>
      <c r="I53" t="n">
        <v>2</v>
      </c>
      <c r="J53" t="n">
        <v>6</v>
      </c>
      <c r="K53" t="n">
        <v>3</v>
      </c>
      <c r="L53" t="n">
        <v>0</v>
      </c>
      <c r="M53" t="n">
        <v>0</v>
      </c>
      <c r="N53" t="n">
        <v>0</v>
      </c>
      <c r="O53" t="n">
        <v>9</v>
      </c>
      <c r="P53" t="n">
        <v>3</v>
      </c>
      <c r="Q53" t="n">
        <v>11</v>
      </c>
      <c r="R53" s="2" t="inlineStr">
        <is>
          <t>Goliatmusseron
Tajgataggsvamp
Tallgråticka
Blå taggsvamp
Orange taggsvamp
Skrovlig taggsvamp
Tallriska
Talltaggsvamp
Vaddporing
Dropptaggsvamp
Skarp dropptaggsvamp</t>
        </is>
      </c>
      <c r="S53">
        <f>HYPERLINK("https://klasma.github.io/Logging_2361/artfynd/A 17749-2022 artfynd.xlsx", "A 17749-2022")</f>
        <v/>
      </c>
      <c r="T53">
        <f>HYPERLINK("https://klasma.github.io/Logging_2361/kartor/A 17749-2022 karta.png", "A 17749-2022")</f>
        <v/>
      </c>
      <c r="V53">
        <f>HYPERLINK("https://klasma.github.io/Logging_2361/klagomål/A 17749-2022 FSC-klagomål.docx", "A 17749-2022")</f>
        <v/>
      </c>
      <c r="W53">
        <f>HYPERLINK("https://klasma.github.io/Logging_2361/klagomålsmail/A 17749-2022 FSC-klagomål mail.docx", "A 17749-2022")</f>
        <v/>
      </c>
      <c r="X53">
        <f>HYPERLINK("https://klasma.github.io/Logging_2361/tillsyn/A 17749-2022 tillsynsbegäran.docx", "A 17749-2022")</f>
        <v/>
      </c>
      <c r="Y53">
        <f>HYPERLINK("https://klasma.github.io/Logging_2361/tillsynsmail/A 17749-2022 tillsynsbegäran mail.docx", "A 17749-2022")</f>
        <v/>
      </c>
    </row>
    <row r="54" ht="15" customHeight="1">
      <c r="A54" t="inlineStr">
        <is>
          <t>A 31328-2022</t>
        </is>
      </c>
      <c r="B54" s="1" t="n">
        <v>44774</v>
      </c>
      <c r="C54" s="1" t="n">
        <v>45789</v>
      </c>
      <c r="D54" t="inlineStr">
        <is>
          <t>JÄMTLANDS LÄN</t>
        </is>
      </c>
      <c r="E54" t="inlineStr">
        <is>
          <t>HÄRJEDALEN</t>
        </is>
      </c>
      <c r="G54" t="n">
        <v>10.9</v>
      </c>
      <c r="H54" t="n">
        <v>1</v>
      </c>
      <c r="I54" t="n">
        <v>0</v>
      </c>
      <c r="J54" t="n">
        <v>11</v>
      </c>
      <c r="K54" t="n">
        <v>0</v>
      </c>
      <c r="L54" t="n">
        <v>0</v>
      </c>
      <c r="M54" t="n">
        <v>0</v>
      </c>
      <c r="N54" t="n">
        <v>0</v>
      </c>
      <c r="O54" t="n">
        <v>11</v>
      </c>
      <c r="P54" t="n">
        <v>0</v>
      </c>
      <c r="Q54" t="n">
        <v>11</v>
      </c>
      <c r="R54" s="2" t="inlineStr">
        <is>
          <t>Blanksvart spiklav
Gammelgransskål
Garnlav
Granticka
Halmgul örnlav
Harticka
Rödbrun blekspik
Tretåig hackspett
Ullticka
Vedskivlav
Vitgrynig nållav</t>
        </is>
      </c>
      <c r="S54">
        <f>HYPERLINK("https://klasma.github.io/Logging_2361/artfynd/A 31328-2022 artfynd.xlsx", "A 31328-2022")</f>
        <v/>
      </c>
      <c r="T54">
        <f>HYPERLINK("https://klasma.github.io/Logging_2361/kartor/A 31328-2022 karta.png", "A 31328-2022")</f>
        <v/>
      </c>
      <c r="V54">
        <f>HYPERLINK("https://klasma.github.io/Logging_2361/klagomål/A 31328-2022 FSC-klagomål.docx", "A 31328-2022")</f>
        <v/>
      </c>
      <c r="W54">
        <f>HYPERLINK("https://klasma.github.io/Logging_2361/klagomålsmail/A 31328-2022 FSC-klagomål mail.docx", "A 31328-2022")</f>
        <v/>
      </c>
      <c r="X54">
        <f>HYPERLINK("https://klasma.github.io/Logging_2361/tillsyn/A 31328-2022 tillsynsbegäran.docx", "A 31328-2022")</f>
        <v/>
      </c>
      <c r="Y54">
        <f>HYPERLINK("https://klasma.github.io/Logging_2361/tillsynsmail/A 31328-2022 tillsynsbegäran mail.docx", "A 31328-2022")</f>
        <v/>
      </c>
      <c r="Z54">
        <f>HYPERLINK("https://klasma.github.io/Logging_2361/fåglar/A 31328-2022 prioriterade fågelarter.docx", "A 31328-2022")</f>
        <v/>
      </c>
    </row>
    <row r="55" ht="15" customHeight="1">
      <c r="A55" t="inlineStr">
        <is>
          <t>A 46633-2023</t>
        </is>
      </c>
      <c r="B55" s="1" t="n">
        <v>45198</v>
      </c>
      <c r="C55" s="1" t="n">
        <v>45789</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38070-2024</t>
        </is>
      </c>
      <c r="B56" s="1" t="n">
        <v>45544</v>
      </c>
      <c r="C56" s="1" t="n">
        <v>45789</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51061-2019</t>
        </is>
      </c>
      <c r="B57" s="1" t="n">
        <v>43739</v>
      </c>
      <c r="C57" s="1" t="n">
        <v>45789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45789</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45789</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45789</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45789</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45789</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45789</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45789</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45789</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18116-2025</t>
        </is>
      </c>
      <c r="B72" s="1" t="n">
        <v>45761</v>
      </c>
      <c r="C72" s="1" t="n">
        <v>45789</v>
      </c>
      <c r="D72" t="inlineStr">
        <is>
          <t>JÄMTLANDS LÄN</t>
        </is>
      </c>
      <c r="E72" t="inlineStr">
        <is>
          <t>HÄRJEDALEN</t>
        </is>
      </c>
      <c r="G72" t="n">
        <v>17.8</v>
      </c>
      <c r="H72" t="n">
        <v>0</v>
      </c>
      <c r="I72" t="n">
        <v>2</v>
      </c>
      <c r="J72" t="n">
        <v>7</v>
      </c>
      <c r="K72" t="n">
        <v>0</v>
      </c>
      <c r="L72" t="n">
        <v>0</v>
      </c>
      <c r="M72" t="n">
        <v>0</v>
      </c>
      <c r="N72" t="n">
        <v>0</v>
      </c>
      <c r="O72" t="n">
        <v>7</v>
      </c>
      <c r="P72" t="n">
        <v>0</v>
      </c>
      <c r="Q72" t="n">
        <v>9</v>
      </c>
      <c r="R72" s="2" t="inlineStr">
        <is>
          <t>Blanksvart spiklav
Blågrå svartspik
Dvärgbägarlav
Kolflarnlav
Lunglav
Mörk kolflarnlav
Vedflamlav
Bårdlav
Luddlav</t>
        </is>
      </c>
      <c r="S72">
        <f>HYPERLINK("https://klasma.github.io/Logging_232361/artfynd/A 18116-2025 artfynd.xlsx", "A 18116-2025")</f>
        <v/>
      </c>
      <c r="T72">
        <f>HYPERLINK("https://klasma.github.io/Logging_232361/kartor/A 18116-2025 karta.png", "A 18116-2025")</f>
        <v/>
      </c>
      <c r="V72">
        <f>HYPERLINK("https://klasma.github.io/Logging_232361/klagomål/A 18116-2025 FSC-klagomål.docx", "A 18116-2025")</f>
        <v/>
      </c>
      <c r="W72">
        <f>HYPERLINK("https://klasma.github.io/Logging_232361/klagomålsmail/A 18116-2025 FSC-klagomål mail.docx", "A 18116-2025")</f>
        <v/>
      </c>
      <c r="X72">
        <f>HYPERLINK("https://klasma.github.io/Logging_232361/tillsyn/A 18116-2025 tillsynsbegäran.docx", "A 18116-2025")</f>
        <v/>
      </c>
      <c r="Y72">
        <f>HYPERLINK("https://klasma.github.io/Logging_232361/tillsynsmail/A 18116-2025 tillsynsbegäran mail.docx", "A 18116-2025")</f>
        <v/>
      </c>
    </row>
    <row r="73" ht="15" customHeight="1">
      <c r="A73" t="inlineStr">
        <is>
          <t>A 32501-2019</t>
        </is>
      </c>
      <c r="B73" s="1" t="n">
        <v>43644</v>
      </c>
      <c r="C73" s="1" t="n">
        <v>45789</v>
      </c>
      <c r="D73" t="inlineStr">
        <is>
          <t>JÄMTLANDS LÄN</t>
        </is>
      </c>
      <c r="E73" t="inlineStr">
        <is>
          <t>HÄRJEDALEN</t>
        </is>
      </c>
      <c r="F73" t="inlineStr">
        <is>
          <t>SCA</t>
        </is>
      </c>
      <c r="G73" t="n">
        <v>1</v>
      </c>
      <c r="H73" t="n">
        <v>3</v>
      </c>
      <c r="I73" t="n">
        <v>3</v>
      </c>
      <c r="J73" t="n">
        <v>4</v>
      </c>
      <c r="K73" t="n">
        <v>0</v>
      </c>
      <c r="L73" t="n">
        <v>0</v>
      </c>
      <c r="M73" t="n">
        <v>0</v>
      </c>
      <c r="N73" t="n">
        <v>0</v>
      </c>
      <c r="O73" t="n">
        <v>4</v>
      </c>
      <c r="P73" t="n">
        <v>0</v>
      </c>
      <c r="Q73" t="n">
        <v>8</v>
      </c>
      <c r="R73" s="2" t="inlineStr">
        <is>
          <t>Garnlav
Lunglav
Talltita
Vitgrynig nållav
Skinnlav
Spindelblomster
Stuplav
Tjäder</t>
        </is>
      </c>
      <c r="S73">
        <f>HYPERLINK("https://klasma.github.io/Logging_2361/artfynd/A 32501-2019 artfynd.xlsx", "A 32501-2019")</f>
        <v/>
      </c>
      <c r="T73">
        <f>HYPERLINK("https://klasma.github.io/Logging_2361/kartor/A 32501-2019 karta.png", "A 32501-2019")</f>
        <v/>
      </c>
      <c r="V73">
        <f>HYPERLINK("https://klasma.github.io/Logging_2361/klagomål/A 32501-2019 FSC-klagomål.docx", "A 32501-2019")</f>
        <v/>
      </c>
      <c r="W73">
        <f>HYPERLINK("https://klasma.github.io/Logging_2361/klagomålsmail/A 32501-2019 FSC-klagomål mail.docx", "A 32501-2019")</f>
        <v/>
      </c>
      <c r="X73">
        <f>HYPERLINK("https://klasma.github.io/Logging_2361/tillsyn/A 32501-2019 tillsynsbegäran.docx", "A 32501-2019")</f>
        <v/>
      </c>
      <c r="Y73">
        <f>HYPERLINK("https://klasma.github.io/Logging_2361/tillsynsmail/A 32501-2019 tillsynsbegäran mail.docx", "A 32501-2019")</f>
        <v/>
      </c>
      <c r="Z73">
        <f>HYPERLINK("https://klasma.github.io/Logging_2361/fåglar/A 32501-2019 prioriterade fågelarter.docx", "A 32501-2019")</f>
        <v/>
      </c>
    </row>
    <row r="74" ht="15" customHeight="1">
      <c r="A74" t="inlineStr">
        <is>
          <t>A 38530-2019</t>
        </is>
      </c>
      <c r="B74" s="1" t="n">
        <v>43685</v>
      </c>
      <c r="C74" s="1" t="n">
        <v>45789</v>
      </c>
      <c r="D74" t="inlineStr">
        <is>
          <t>JÄMTLANDS LÄN</t>
        </is>
      </c>
      <c r="E74" t="inlineStr">
        <is>
          <t>HÄRJEDALEN</t>
        </is>
      </c>
      <c r="F74" t="inlineStr">
        <is>
          <t>Sveaskog</t>
        </is>
      </c>
      <c r="G74" t="n">
        <v>67.8</v>
      </c>
      <c r="H74" t="n">
        <v>1</v>
      </c>
      <c r="I74" t="n">
        <v>1</v>
      </c>
      <c r="J74" t="n">
        <v>7</v>
      </c>
      <c r="K74" t="n">
        <v>0</v>
      </c>
      <c r="L74" t="n">
        <v>0</v>
      </c>
      <c r="M74" t="n">
        <v>0</v>
      </c>
      <c r="N74" t="n">
        <v>0</v>
      </c>
      <c r="O74" t="n">
        <v>7</v>
      </c>
      <c r="P74" t="n">
        <v>0</v>
      </c>
      <c r="Q74" t="n">
        <v>8</v>
      </c>
      <c r="R74" s="2" t="inlineStr">
        <is>
          <t>Buskskvätta
Garnlav
Kolflarnlav
Lunglav
Mörk kolflarnlav
Skrovellav
Violettgrå tagellav
Skuggblåslav</t>
        </is>
      </c>
      <c r="S74">
        <f>HYPERLINK("https://klasma.github.io/Logging_2361/artfynd/A 38530-2019 artfynd.xlsx", "A 38530-2019")</f>
        <v/>
      </c>
      <c r="T74">
        <f>HYPERLINK("https://klasma.github.io/Logging_2361/kartor/A 38530-2019 karta.png", "A 38530-2019")</f>
        <v/>
      </c>
      <c r="V74">
        <f>HYPERLINK("https://klasma.github.io/Logging_2361/klagomål/A 38530-2019 FSC-klagomål.docx", "A 38530-2019")</f>
        <v/>
      </c>
      <c r="W74">
        <f>HYPERLINK("https://klasma.github.io/Logging_2361/klagomålsmail/A 38530-2019 FSC-klagomål mail.docx", "A 38530-2019")</f>
        <v/>
      </c>
      <c r="X74">
        <f>HYPERLINK("https://klasma.github.io/Logging_2361/tillsyn/A 38530-2019 tillsynsbegäran.docx", "A 38530-2019")</f>
        <v/>
      </c>
      <c r="Y74">
        <f>HYPERLINK("https://klasma.github.io/Logging_2361/tillsynsmail/A 38530-2019 tillsynsbegäran mail.docx", "A 38530-2019")</f>
        <v/>
      </c>
      <c r="Z74">
        <f>HYPERLINK("https://klasma.github.io/Logging_2361/fåglar/A 38530-2019 prioriterade fågelarter.docx", "A 38530-2019")</f>
        <v/>
      </c>
    </row>
    <row r="75" ht="15" customHeight="1">
      <c r="A75" t="inlineStr">
        <is>
          <t>A 33422-2021</t>
        </is>
      </c>
      <c r="B75" s="1" t="n">
        <v>44377</v>
      </c>
      <c r="C75" s="1" t="n">
        <v>45789</v>
      </c>
      <c r="D75" t="inlineStr">
        <is>
          <t>JÄMTLANDS LÄN</t>
        </is>
      </c>
      <c r="E75" t="inlineStr">
        <is>
          <t>HÄRJEDALEN</t>
        </is>
      </c>
      <c r="G75" t="n">
        <v>13.3</v>
      </c>
      <c r="H75" t="n">
        <v>2</v>
      </c>
      <c r="I75" t="n">
        <v>1</v>
      </c>
      <c r="J75" t="n">
        <v>7</v>
      </c>
      <c r="K75" t="n">
        <v>0</v>
      </c>
      <c r="L75" t="n">
        <v>0</v>
      </c>
      <c r="M75" t="n">
        <v>0</v>
      </c>
      <c r="N75" t="n">
        <v>0</v>
      </c>
      <c r="O75" t="n">
        <v>7</v>
      </c>
      <c r="P75" t="n">
        <v>0</v>
      </c>
      <c r="Q75" t="n">
        <v>8</v>
      </c>
      <c r="R75" s="2" t="inlineStr">
        <is>
          <t>Blanksvart spiklav
Garnlav
Knottrig blåslav
Parknål
Skrovellav
Spillkråka
Vitgrynig nållav
Plattlummer</t>
        </is>
      </c>
      <c r="S75">
        <f>HYPERLINK("https://klasma.github.io/Logging_2361/artfynd/A 33422-2021 artfynd.xlsx", "A 33422-2021")</f>
        <v/>
      </c>
      <c r="T75">
        <f>HYPERLINK("https://klasma.github.io/Logging_2361/kartor/A 33422-2021 karta.png", "A 33422-2021")</f>
        <v/>
      </c>
      <c r="V75">
        <f>HYPERLINK("https://klasma.github.io/Logging_2361/klagomål/A 33422-2021 FSC-klagomål.docx", "A 33422-2021")</f>
        <v/>
      </c>
      <c r="W75">
        <f>HYPERLINK("https://klasma.github.io/Logging_2361/klagomålsmail/A 33422-2021 FSC-klagomål mail.docx", "A 33422-2021")</f>
        <v/>
      </c>
      <c r="X75">
        <f>HYPERLINK("https://klasma.github.io/Logging_2361/tillsyn/A 33422-2021 tillsynsbegäran.docx", "A 33422-2021")</f>
        <v/>
      </c>
      <c r="Y75">
        <f>HYPERLINK("https://klasma.github.io/Logging_2361/tillsynsmail/A 33422-2021 tillsynsbegäran mail.docx", "A 33422-2021")</f>
        <v/>
      </c>
      <c r="Z75">
        <f>HYPERLINK("https://klasma.github.io/Logging_2361/fåglar/A 33422-2021 prioriterade fågelarter.docx", "A 33422-2021")</f>
        <v/>
      </c>
    </row>
    <row r="76" ht="15" customHeight="1">
      <c r="A76" t="inlineStr">
        <is>
          <t>A 74075-2021</t>
        </is>
      </c>
      <c r="B76" s="1" t="n">
        <v>44553</v>
      </c>
      <c r="C76" s="1" t="n">
        <v>45789</v>
      </c>
      <c r="D76" t="inlineStr">
        <is>
          <t>JÄMTLANDS LÄN</t>
        </is>
      </c>
      <c r="E76" t="inlineStr">
        <is>
          <t>HÄRJEDALEN</t>
        </is>
      </c>
      <c r="F76" t="inlineStr">
        <is>
          <t>Sveaskog</t>
        </is>
      </c>
      <c r="G76" t="n">
        <v>16</v>
      </c>
      <c r="H76" t="n">
        <v>1</v>
      </c>
      <c r="I76" t="n">
        <v>0</v>
      </c>
      <c r="J76" t="n">
        <v>8</v>
      </c>
      <c r="K76" t="n">
        <v>0</v>
      </c>
      <c r="L76" t="n">
        <v>0</v>
      </c>
      <c r="M76" t="n">
        <v>0</v>
      </c>
      <c r="N76" t="n">
        <v>0</v>
      </c>
      <c r="O76" t="n">
        <v>8</v>
      </c>
      <c r="P76" t="n">
        <v>0</v>
      </c>
      <c r="Q76" t="n">
        <v>8</v>
      </c>
      <c r="R76" s="2" t="inlineStr">
        <is>
          <t>Blanksvart spiklav
Garnlav
Kolflarnlav
Kortskaftad ärgspik
Mörk kolflarnlav
Varglav
Vedflamlav
Vedskivlav</t>
        </is>
      </c>
      <c r="S76">
        <f>HYPERLINK("https://klasma.github.io/Logging_2361/artfynd/A 74075-2021 artfynd.xlsx", "A 74075-2021")</f>
        <v/>
      </c>
      <c r="T76">
        <f>HYPERLINK("https://klasma.github.io/Logging_2361/kartor/A 74075-2021 karta.png", "A 74075-2021")</f>
        <v/>
      </c>
      <c r="V76">
        <f>HYPERLINK("https://klasma.github.io/Logging_2361/klagomål/A 74075-2021 FSC-klagomål.docx", "A 74075-2021")</f>
        <v/>
      </c>
      <c r="W76">
        <f>HYPERLINK("https://klasma.github.io/Logging_2361/klagomålsmail/A 74075-2021 FSC-klagomål mail.docx", "A 74075-2021")</f>
        <v/>
      </c>
      <c r="X76">
        <f>HYPERLINK("https://klasma.github.io/Logging_2361/tillsyn/A 74075-2021 tillsynsbegäran.docx", "A 74075-2021")</f>
        <v/>
      </c>
      <c r="Y76">
        <f>HYPERLINK("https://klasma.github.io/Logging_2361/tillsynsmail/A 74075-2021 tillsynsbegäran mail.docx", "A 74075-2021")</f>
        <v/>
      </c>
    </row>
    <row r="77" ht="15" customHeight="1">
      <c r="A77" t="inlineStr">
        <is>
          <t>A 41555-2023</t>
        </is>
      </c>
      <c r="B77" s="1" t="n">
        <v>45175</v>
      </c>
      <c r="C77" s="1" t="n">
        <v>45789</v>
      </c>
      <c r="D77" t="inlineStr">
        <is>
          <t>JÄMTLANDS LÄN</t>
        </is>
      </c>
      <c r="E77" t="inlineStr">
        <is>
          <t>HÄRJEDALEN</t>
        </is>
      </c>
      <c r="F77" t="inlineStr">
        <is>
          <t>Bergvik skog väst AB</t>
        </is>
      </c>
      <c r="G77" t="n">
        <v>10.2</v>
      </c>
      <c r="H77" t="n">
        <v>1</v>
      </c>
      <c r="I77" t="n">
        <v>0</v>
      </c>
      <c r="J77" t="n">
        <v>7</v>
      </c>
      <c r="K77" t="n">
        <v>1</v>
      </c>
      <c r="L77" t="n">
        <v>0</v>
      </c>
      <c r="M77" t="n">
        <v>0</v>
      </c>
      <c r="N77" t="n">
        <v>0</v>
      </c>
      <c r="O77" t="n">
        <v>8</v>
      </c>
      <c r="P77" t="n">
        <v>1</v>
      </c>
      <c r="Q77" t="n">
        <v>8</v>
      </c>
      <c r="R77" s="2" t="inlineStr">
        <is>
          <t>Knärot
Dvärgbägarlav
Garnlav
Kolflarnlav
Mörk kolflarnlav
Vedflamlav
Vedskivlav
Violettgrå tagellav</t>
        </is>
      </c>
      <c r="S77">
        <f>HYPERLINK("https://klasma.github.io/Logging_2361/artfynd/A 41555-2023 artfynd.xlsx", "A 41555-2023")</f>
        <v/>
      </c>
      <c r="T77">
        <f>HYPERLINK("https://klasma.github.io/Logging_2361/kartor/A 41555-2023 karta.png", "A 41555-2023")</f>
        <v/>
      </c>
      <c r="U77">
        <f>HYPERLINK("https://klasma.github.io/Logging_2361/knärot/A 41555-2023 karta knärot.png", "A 41555-2023")</f>
        <v/>
      </c>
      <c r="V77">
        <f>HYPERLINK("https://klasma.github.io/Logging_2361/klagomål/A 41555-2023 FSC-klagomål.docx", "A 41555-2023")</f>
        <v/>
      </c>
      <c r="W77">
        <f>HYPERLINK("https://klasma.github.io/Logging_2361/klagomålsmail/A 41555-2023 FSC-klagomål mail.docx", "A 41555-2023")</f>
        <v/>
      </c>
      <c r="X77">
        <f>HYPERLINK("https://klasma.github.io/Logging_2361/tillsyn/A 41555-2023 tillsynsbegäran.docx", "A 41555-2023")</f>
        <v/>
      </c>
      <c r="Y77">
        <f>HYPERLINK("https://klasma.github.io/Logging_2361/tillsynsmail/A 41555-2023 tillsynsbegäran mail.docx", "A 41555-2023")</f>
        <v/>
      </c>
    </row>
    <row r="78" ht="15" customHeight="1">
      <c r="A78" t="inlineStr">
        <is>
          <t>A 18885-2024</t>
        </is>
      </c>
      <c r="B78" s="1" t="n">
        <v>45426</v>
      </c>
      <c r="C78" s="1" t="n">
        <v>45789</v>
      </c>
      <c r="D78" t="inlineStr">
        <is>
          <t>JÄMTLANDS LÄN</t>
        </is>
      </c>
      <c r="E78" t="inlineStr">
        <is>
          <t>HÄRJEDALEN</t>
        </is>
      </c>
      <c r="G78" t="n">
        <v>9.4</v>
      </c>
      <c r="H78" t="n">
        <v>8</v>
      </c>
      <c r="I78" t="n">
        <v>3</v>
      </c>
      <c r="J78" t="n">
        <v>0</v>
      </c>
      <c r="K78" t="n">
        <v>0</v>
      </c>
      <c r="L78" t="n">
        <v>0</v>
      </c>
      <c r="M78" t="n">
        <v>0</v>
      </c>
      <c r="N78" t="n">
        <v>0</v>
      </c>
      <c r="O78" t="n">
        <v>0</v>
      </c>
      <c r="P78" t="n">
        <v>0</v>
      </c>
      <c r="Q78" t="n">
        <v>8</v>
      </c>
      <c r="R78" s="2" t="inlineStr">
        <is>
          <t>Korallrot
Spindelblomster
Tvåblad
Vanlig groda
Brudsporre
Fläcknycklar
Ängsnycklar
Revlummer</t>
        </is>
      </c>
      <c r="S78">
        <f>HYPERLINK("https://klasma.github.io/Logging_2361/artfynd/A 18885-2024 artfynd.xlsx", "A 18885-2024")</f>
        <v/>
      </c>
      <c r="T78">
        <f>HYPERLINK("https://klasma.github.io/Logging_2361/kartor/A 18885-2024 karta.png", "A 18885-2024")</f>
        <v/>
      </c>
      <c r="V78">
        <f>HYPERLINK("https://klasma.github.io/Logging_2361/klagomål/A 18885-2024 FSC-klagomål.docx", "A 18885-2024")</f>
        <v/>
      </c>
      <c r="W78">
        <f>HYPERLINK("https://klasma.github.io/Logging_2361/klagomålsmail/A 18885-2024 FSC-klagomål mail.docx", "A 18885-2024")</f>
        <v/>
      </c>
      <c r="X78">
        <f>HYPERLINK("https://klasma.github.io/Logging_2361/tillsyn/A 18885-2024 tillsynsbegäran.docx", "A 18885-2024")</f>
        <v/>
      </c>
      <c r="Y78">
        <f>HYPERLINK("https://klasma.github.io/Logging_2361/tillsynsmail/A 18885-2024 tillsynsbegäran mail.docx", "A 18885-2024")</f>
        <v/>
      </c>
    </row>
    <row r="79" ht="15" customHeight="1">
      <c r="A79" t="inlineStr">
        <is>
          <t>A 53354-2024</t>
        </is>
      </c>
      <c r="B79" s="1" t="n">
        <v>45614</v>
      </c>
      <c r="C79" s="1" t="n">
        <v>45789</v>
      </c>
      <c r="D79" t="inlineStr">
        <is>
          <t>JÄMTLANDS LÄN</t>
        </is>
      </c>
      <c r="E79" t="inlineStr">
        <is>
          <t>HÄRJEDALEN</t>
        </is>
      </c>
      <c r="F79" t="inlineStr">
        <is>
          <t>Sveaskog</t>
        </is>
      </c>
      <c r="G79" t="n">
        <v>15.3</v>
      </c>
      <c r="H79" t="n">
        <v>5</v>
      </c>
      <c r="I79" t="n">
        <v>0</v>
      </c>
      <c r="J79" t="n">
        <v>5</v>
      </c>
      <c r="K79" t="n">
        <v>1</v>
      </c>
      <c r="L79" t="n">
        <v>0</v>
      </c>
      <c r="M79" t="n">
        <v>0</v>
      </c>
      <c r="N79" t="n">
        <v>0</v>
      </c>
      <c r="O79" t="n">
        <v>6</v>
      </c>
      <c r="P79" t="n">
        <v>1</v>
      </c>
      <c r="Q79" t="n">
        <v>8</v>
      </c>
      <c r="R79" s="2" t="inlineStr">
        <is>
          <t>Knärot
Kolflarnlav
Mörk kolflarnlav
Talltita
Varglav
Vedskivlav
Orre
Tjäder</t>
        </is>
      </c>
      <c r="S79">
        <f>HYPERLINK("https://klasma.github.io/Logging_2361/artfynd/A 53354-2024 artfynd.xlsx", "A 53354-2024")</f>
        <v/>
      </c>
      <c r="T79">
        <f>HYPERLINK("https://klasma.github.io/Logging_2361/kartor/A 53354-2024 karta.png", "A 53354-2024")</f>
        <v/>
      </c>
      <c r="U79">
        <f>HYPERLINK("https://klasma.github.io/Logging_2361/knärot/A 53354-2024 karta knärot.png", "A 53354-2024")</f>
        <v/>
      </c>
      <c r="V79">
        <f>HYPERLINK("https://klasma.github.io/Logging_2361/klagomål/A 53354-2024 FSC-klagomål.docx", "A 53354-2024")</f>
        <v/>
      </c>
      <c r="W79">
        <f>HYPERLINK("https://klasma.github.io/Logging_2361/klagomålsmail/A 53354-2024 FSC-klagomål mail.docx", "A 53354-2024")</f>
        <v/>
      </c>
      <c r="X79">
        <f>HYPERLINK("https://klasma.github.io/Logging_2361/tillsyn/A 53354-2024 tillsynsbegäran.docx", "A 53354-2024")</f>
        <v/>
      </c>
      <c r="Y79">
        <f>HYPERLINK("https://klasma.github.io/Logging_2361/tillsynsmail/A 53354-2024 tillsynsbegäran mail.docx", "A 53354-2024")</f>
        <v/>
      </c>
      <c r="Z79">
        <f>HYPERLINK("https://klasma.github.io/Logging_2361/fåglar/A 53354-2024 prioriterade fågelarter.docx", "A 53354-2024")</f>
        <v/>
      </c>
    </row>
    <row r="80" ht="15" customHeight="1">
      <c r="A80" t="inlineStr">
        <is>
          <t>A 14565-2025</t>
        </is>
      </c>
      <c r="B80" s="1" t="n">
        <v>45741</v>
      </c>
      <c r="C80" s="1" t="n">
        <v>45789</v>
      </c>
      <c r="D80" t="inlineStr">
        <is>
          <t>JÄMTLANDS LÄN</t>
        </is>
      </c>
      <c r="E80" t="inlineStr">
        <is>
          <t>HÄRJEDALEN</t>
        </is>
      </c>
      <c r="G80" t="n">
        <v>7.3</v>
      </c>
      <c r="H80" t="n">
        <v>0</v>
      </c>
      <c r="I80" t="n">
        <v>0</v>
      </c>
      <c r="J80" t="n">
        <v>4</v>
      </c>
      <c r="K80" t="n">
        <v>4</v>
      </c>
      <c r="L80" t="n">
        <v>0</v>
      </c>
      <c r="M80" t="n">
        <v>0</v>
      </c>
      <c r="N80" t="n">
        <v>0</v>
      </c>
      <c r="O80" t="n">
        <v>8</v>
      </c>
      <c r="P80" t="n">
        <v>4</v>
      </c>
      <c r="Q80" t="n">
        <v>8</v>
      </c>
      <c r="R80" s="2" t="inlineStr">
        <is>
          <t>Goliatmusseron
Smalfotad taggsvamp
Spadskinn
Tallgråticka
Blå taggsvamp
Skrovlig taggsvamp
Svart taggsvamp
Talltaggsvamp</t>
        </is>
      </c>
      <c r="S80">
        <f>HYPERLINK("https://klasma.github.io/Logging_232361/artfynd/A 14565-2025 artfynd.xlsx", "A 14565-2025")</f>
        <v/>
      </c>
      <c r="T80">
        <f>HYPERLINK("https://klasma.github.io/Logging_232361/kartor/A 14565-2025 karta.png", "A 14565-2025")</f>
        <v/>
      </c>
      <c r="V80">
        <f>HYPERLINK("https://klasma.github.io/Logging_232361/klagomål/A 14565-2025 FSC-klagomål.docx", "A 14565-2025")</f>
        <v/>
      </c>
      <c r="W80">
        <f>HYPERLINK("https://klasma.github.io/Logging_232361/klagomålsmail/A 14565-2025 FSC-klagomål mail.docx", "A 14565-2025")</f>
        <v/>
      </c>
      <c r="X80">
        <f>HYPERLINK("https://klasma.github.io/Logging_232361/tillsyn/A 14565-2025 tillsynsbegäran.docx", "A 14565-2025")</f>
        <v/>
      </c>
      <c r="Y80">
        <f>HYPERLINK("https://klasma.github.io/Logging_232361/tillsynsmail/A 14565-2025 tillsynsbegäran mail.docx", "A 14565-2025")</f>
        <v/>
      </c>
    </row>
    <row r="81" ht="15" customHeight="1">
      <c r="A81" t="inlineStr">
        <is>
          <t>A 42828-2021</t>
        </is>
      </c>
      <c r="B81" s="1" t="n">
        <v>44430</v>
      </c>
      <c r="C81" s="1" t="n">
        <v>45789</v>
      </c>
      <c r="D81" t="inlineStr">
        <is>
          <t>JÄMTLANDS LÄN</t>
        </is>
      </c>
      <c r="E81" t="inlineStr">
        <is>
          <t>HÄRJEDALEN</t>
        </is>
      </c>
      <c r="F81" t="inlineStr">
        <is>
          <t>Sveaskog</t>
        </is>
      </c>
      <c r="G81" t="n">
        <v>1.7</v>
      </c>
      <c r="H81" t="n">
        <v>0</v>
      </c>
      <c r="I81" t="n">
        <v>1</v>
      </c>
      <c r="J81" t="n">
        <v>3</v>
      </c>
      <c r="K81" t="n">
        <v>3</v>
      </c>
      <c r="L81" t="n">
        <v>0</v>
      </c>
      <c r="M81" t="n">
        <v>0</v>
      </c>
      <c r="N81" t="n">
        <v>0</v>
      </c>
      <c r="O81" t="n">
        <v>6</v>
      </c>
      <c r="P81" t="n">
        <v>3</v>
      </c>
      <c r="Q81" t="n">
        <v>7</v>
      </c>
      <c r="R81" s="2" t="inlineStr">
        <is>
          <t>Fläckporing
Gräddporing
Smalfotad taggsvamp
Dvärgbägarlav
Nordtagging
Vaddporing
Dropptaggsvamp</t>
        </is>
      </c>
      <c r="S81">
        <f>HYPERLINK("https://klasma.github.io/Logging_2361/artfynd/A 42828-2021 artfynd.xlsx", "A 42828-2021")</f>
        <v/>
      </c>
      <c r="T81">
        <f>HYPERLINK("https://klasma.github.io/Logging_2361/kartor/A 42828-2021 karta.png", "A 42828-2021")</f>
        <v/>
      </c>
      <c r="V81">
        <f>HYPERLINK("https://klasma.github.io/Logging_2361/klagomål/A 42828-2021 FSC-klagomål.docx", "A 42828-2021")</f>
        <v/>
      </c>
      <c r="W81">
        <f>HYPERLINK("https://klasma.github.io/Logging_2361/klagomålsmail/A 42828-2021 FSC-klagomål mail.docx", "A 42828-2021")</f>
        <v/>
      </c>
      <c r="X81">
        <f>HYPERLINK("https://klasma.github.io/Logging_2361/tillsyn/A 42828-2021 tillsynsbegäran.docx", "A 42828-2021")</f>
        <v/>
      </c>
      <c r="Y81">
        <f>HYPERLINK("https://klasma.github.io/Logging_2361/tillsynsmail/A 42828-2021 tillsynsbegäran mail.docx", "A 42828-2021")</f>
        <v/>
      </c>
    </row>
    <row r="82" ht="15" customHeight="1">
      <c r="A82" t="inlineStr">
        <is>
          <t>A 74070-2021</t>
        </is>
      </c>
      <c r="B82" s="1" t="n">
        <v>44553</v>
      </c>
      <c r="C82" s="1" t="n">
        <v>45789</v>
      </c>
      <c r="D82" t="inlineStr">
        <is>
          <t>JÄMTLANDS LÄN</t>
        </is>
      </c>
      <c r="E82" t="inlineStr">
        <is>
          <t>HÄRJEDALEN</t>
        </is>
      </c>
      <c r="F82" t="inlineStr">
        <is>
          <t>Sveaskog</t>
        </is>
      </c>
      <c r="G82" t="n">
        <v>20</v>
      </c>
      <c r="H82" t="n">
        <v>1</v>
      </c>
      <c r="I82" t="n">
        <v>0</v>
      </c>
      <c r="J82" t="n">
        <v>6</v>
      </c>
      <c r="K82" t="n">
        <v>1</v>
      </c>
      <c r="L82" t="n">
        <v>0</v>
      </c>
      <c r="M82" t="n">
        <v>0</v>
      </c>
      <c r="N82" t="n">
        <v>0</v>
      </c>
      <c r="O82" t="n">
        <v>7</v>
      </c>
      <c r="P82" t="n">
        <v>1</v>
      </c>
      <c r="Q82" t="n">
        <v>7</v>
      </c>
      <c r="R82" s="2" t="inlineStr">
        <is>
          <t>Varglavsknöl
Blanksvart spiklav
Garnlav
Kolflarnlav
Mörk kolflarnlav
Varglav
Vedflamlav</t>
        </is>
      </c>
      <c r="S82">
        <f>HYPERLINK("https://klasma.github.io/Logging_2361/artfynd/A 74070-2021 artfynd.xlsx", "A 74070-2021")</f>
        <v/>
      </c>
      <c r="T82">
        <f>HYPERLINK("https://klasma.github.io/Logging_2361/kartor/A 74070-2021 karta.png", "A 74070-2021")</f>
        <v/>
      </c>
      <c r="V82">
        <f>HYPERLINK("https://klasma.github.io/Logging_2361/klagomål/A 74070-2021 FSC-klagomål.docx", "A 74070-2021")</f>
        <v/>
      </c>
      <c r="W82">
        <f>HYPERLINK("https://klasma.github.io/Logging_2361/klagomålsmail/A 74070-2021 FSC-klagomål mail.docx", "A 74070-2021")</f>
        <v/>
      </c>
      <c r="X82">
        <f>HYPERLINK("https://klasma.github.io/Logging_2361/tillsyn/A 74070-2021 tillsynsbegäran.docx", "A 74070-2021")</f>
        <v/>
      </c>
      <c r="Y82">
        <f>HYPERLINK("https://klasma.github.io/Logging_2361/tillsynsmail/A 74070-2021 tillsynsbegäran mail.docx", "A 74070-2021")</f>
        <v/>
      </c>
    </row>
    <row r="83" ht="15" customHeight="1">
      <c r="A83" t="inlineStr">
        <is>
          <t>A 14058-2023</t>
        </is>
      </c>
      <c r="B83" s="1" t="n">
        <v>45007</v>
      </c>
      <c r="C83" s="1" t="n">
        <v>45789</v>
      </c>
      <c r="D83" t="inlineStr">
        <is>
          <t>JÄMTLANDS LÄN</t>
        </is>
      </c>
      <c r="E83" t="inlineStr">
        <is>
          <t>HÄRJEDALEN</t>
        </is>
      </c>
      <c r="F83" t="inlineStr">
        <is>
          <t>Bergvik skog väst AB</t>
        </is>
      </c>
      <c r="G83" t="n">
        <v>33.9</v>
      </c>
      <c r="H83" t="n">
        <v>1</v>
      </c>
      <c r="I83" t="n">
        <v>1</v>
      </c>
      <c r="J83" t="n">
        <v>5</v>
      </c>
      <c r="K83" t="n">
        <v>1</v>
      </c>
      <c r="L83" t="n">
        <v>0</v>
      </c>
      <c r="M83" t="n">
        <v>0</v>
      </c>
      <c r="N83" t="n">
        <v>0</v>
      </c>
      <c r="O83" t="n">
        <v>6</v>
      </c>
      <c r="P83" t="n">
        <v>1</v>
      </c>
      <c r="Q83" t="n">
        <v>7</v>
      </c>
      <c r="R83" s="2" t="inlineStr">
        <is>
          <t>Gräddporing
Björktrast
Kolflarnlav
Mörk kolflarnlav
Nordtagging
Vedflamlav
Skarp dropptaggsvamp</t>
        </is>
      </c>
      <c r="S83">
        <f>HYPERLINK("https://klasma.github.io/Logging_2361/artfynd/A 14058-2023 artfynd.xlsx", "A 14058-2023")</f>
        <v/>
      </c>
      <c r="T83">
        <f>HYPERLINK("https://klasma.github.io/Logging_2361/kartor/A 14058-2023 karta.png", "A 14058-2023")</f>
        <v/>
      </c>
      <c r="V83">
        <f>HYPERLINK("https://klasma.github.io/Logging_2361/klagomål/A 14058-2023 FSC-klagomål.docx", "A 14058-2023")</f>
        <v/>
      </c>
      <c r="W83">
        <f>HYPERLINK("https://klasma.github.io/Logging_2361/klagomålsmail/A 14058-2023 FSC-klagomål mail.docx", "A 14058-2023")</f>
        <v/>
      </c>
      <c r="X83">
        <f>HYPERLINK("https://klasma.github.io/Logging_2361/tillsyn/A 14058-2023 tillsynsbegäran.docx", "A 14058-2023")</f>
        <v/>
      </c>
      <c r="Y83">
        <f>HYPERLINK("https://klasma.github.io/Logging_2361/tillsynsmail/A 14058-2023 tillsynsbegäran mail.docx", "A 14058-2023")</f>
        <v/>
      </c>
      <c r="Z83">
        <f>HYPERLINK("https://klasma.github.io/Logging_2361/fåglar/A 14058-2023 prioriterade fågelarter.docx", "A 14058-2023")</f>
        <v/>
      </c>
    </row>
    <row r="84" ht="15" customHeight="1">
      <c r="A84" t="inlineStr">
        <is>
          <t>A 29760-2023</t>
        </is>
      </c>
      <c r="B84" s="1" t="n">
        <v>45107</v>
      </c>
      <c r="C84" s="1" t="n">
        <v>45789</v>
      </c>
      <c r="D84" t="inlineStr">
        <is>
          <t>JÄMTLANDS LÄN</t>
        </is>
      </c>
      <c r="E84" t="inlineStr">
        <is>
          <t>HÄRJEDALEN</t>
        </is>
      </c>
      <c r="G84" t="n">
        <v>24.9</v>
      </c>
      <c r="H84" t="n">
        <v>1</v>
      </c>
      <c r="I84" t="n">
        <v>0</v>
      </c>
      <c r="J84" t="n">
        <v>6</v>
      </c>
      <c r="K84" t="n">
        <v>1</v>
      </c>
      <c r="L84" t="n">
        <v>0</v>
      </c>
      <c r="M84" t="n">
        <v>0</v>
      </c>
      <c r="N84" t="n">
        <v>0</v>
      </c>
      <c r="O84" t="n">
        <v>7</v>
      </c>
      <c r="P84" t="n">
        <v>1</v>
      </c>
      <c r="Q84" t="n">
        <v>7</v>
      </c>
      <c r="R84" s="2" t="inlineStr">
        <is>
          <t>Knärot
Garnlav
Kolflarnlav
Lunglav
Mörk kolflarnlav
Vedskivlav
Violettgrå tagellav</t>
        </is>
      </c>
      <c r="S84">
        <f>HYPERLINK("https://klasma.github.io/Logging_2361/artfynd/A 29760-2023 artfynd.xlsx", "A 29760-2023")</f>
        <v/>
      </c>
      <c r="T84">
        <f>HYPERLINK("https://klasma.github.io/Logging_2361/kartor/A 29760-2023 karta.png", "A 29760-2023")</f>
        <v/>
      </c>
      <c r="U84">
        <f>HYPERLINK("https://klasma.github.io/Logging_2361/knärot/A 29760-2023 karta knärot.png", "A 29760-2023")</f>
        <v/>
      </c>
      <c r="V84">
        <f>HYPERLINK("https://klasma.github.io/Logging_2361/klagomål/A 29760-2023 FSC-klagomål.docx", "A 29760-2023")</f>
        <v/>
      </c>
      <c r="W84">
        <f>HYPERLINK("https://klasma.github.io/Logging_2361/klagomålsmail/A 29760-2023 FSC-klagomål mail.docx", "A 29760-2023")</f>
        <v/>
      </c>
      <c r="X84">
        <f>HYPERLINK("https://klasma.github.io/Logging_2361/tillsyn/A 29760-2023 tillsynsbegäran.docx", "A 29760-2023")</f>
        <v/>
      </c>
      <c r="Y84">
        <f>HYPERLINK("https://klasma.github.io/Logging_2361/tillsynsmail/A 29760-2023 tillsynsbegäran mail.docx", "A 29760-2023")</f>
        <v/>
      </c>
    </row>
    <row r="85" ht="15" customHeight="1">
      <c r="A85" t="inlineStr">
        <is>
          <t>A 42719-2023</t>
        </is>
      </c>
      <c r="B85" s="1" t="n">
        <v>45181</v>
      </c>
      <c r="C85" s="1" t="n">
        <v>45789</v>
      </c>
      <c r="D85" t="inlineStr">
        <is>
          <t>JÄMTLANDS LÄN</t>
        </is>
      </c>
      <c r="E85" t="inlineStr">
        <is>
          <t>HÄRJEDALEN</t>
        </is>
      </c>
      <c r="F85" t="inlineStr">
        <is>
          <t>Sveaskog</t>
        </is>
      </c>
      <c r="G85" t="n">
        <v>11.3</v>
      </c>
      <c r="H85" t="n">
        <v>0</v>
      </c>
      <c r="I85" t="n">
        <v>2</v>
      </c>
      <c r="J85" t="n">
        <v>5</v>
      </c>
      <c r="K85" t="n">
        <v>0</v>
      </c>
      <c r="L85" t="n">
        <v>0</v>
      </c>
      <c r="M85" t="n">
        <v>0</v>
      </c>
      <c r="N85" t="n">
        <v>0</v>
      </c>
      <c r="O85" t="n">
        <v>5</v>
      </c>
      <c r="P85" t="n">
        <v>0</v>
      </c>
      <c r="Q85" t="n">
        <v>7</v>
      </c>
      <c r="R85" s="2" t="inlineStr">
        <is>
          <t>Blå taggsvamp
Dvärgbägarlav
Kolflarnlav
Mörk kolflarnlav
Vedflamlav
Dropptaggsvamp
Skarp dropptaggsvamp</t>
        </is>
      </c>
      <c r="S85">
        <f>HYPERLINK("https://klasma.github.io/Logging_2361/artfynd/A 42719-2023 artfynd.xlsx", "A 42719-2023")</f>
        <v/>
      </c>
      <c r="T85">
        <f>HYPERLINK("https://klasma.github.io/Logging_2361/kartor/A 42719-2023 karta.png", "A 42719-2023")</f>
        <v/>
      </c>
      <c r="V85">
        <f>HYPERLINK("https://klasma.github.io/Logging_2361/klagomål/A 42719-2023 FSC-klagomål.docx", "A 42719-2023")</f>
        <v/>
      </c>
      <c r="W85">
        <f>HYPERLINK("https://klasma.github.io/Logging_2361/klagomålsmail/A 42719-2023 FSC-klagomål mail.docx", "A 42719-2023")</f>
        <v/>
      </c>
      <c r="X85">
        <f>HYPERLINK("https://klasma.github.io/Logging_2361/tillsyn/A 42719-2023 tillsynsbegäran.docx", "A 42719-2023")</f>
        <v/>
      </c>
      <c r="Y85">
        <f>HYPERLINK("https://klasma.github.io/Logging_2361/tillsynsmail/A 42719-2023 tillsynsbegäran mail.docx", "A 42719-2023")</f>
        <v/>
      </c>
    </row>
    <row r="86" ht="15" customHeight="1">
      <c r="A86" t="inlineStr">
        <is>
          <t>A 33404-2024</t>
        </is>
      </c>
      <c r="B86" s="1" t="n">
        <v>45519</v>
      </c>
      <c r="C86" s="1" t="n">
        <v>45789</v>
      </c>
      <c r="D86" t="inlineStr">
        <is>
          <t>JÄMTLANDS LÄN</t>
        </is>
      </c>
      <c r="E86" t="inlineStr">
        <is>
          <t>HÄRJEDALEN</t>
        </is>
      </c>
      <c r="F86" t="inlineStr">
        <is>
          <t>SCA</t>
        </is>
      </c>
      <c r="G86" t="n">
        <v>8.1</v>
      </c>
      <c r="H86" t="n">
        <v>0</v>
      </c>
      <c r="I86" t="n">
        <v>0</v>
      </c>
      <c r="J86" t="n">
        <v>6</v>
      </c>
      <c r="K86" t="n">
        <v>1</v>
      </c>
      <c r="L86" t="n">
        <v>0</v>
      </c>
      <c r="M86" t="n">
        <v>0</v>
      </c>
      <c r="N86" t="n">
        <v>0</v>
      </c>
      <c r="O86" t="n">
        <v>7</v>
      </c>
      <c r="P86" t="n">
        <v>1</v>
      </c>
      <c r="Q86" t="n">
        <v>7</v>
      </c>
      <c r="R86" s="2" t="inlineStr">
        <is>
          <t>Rynkskinn
Gammelgransskål
Garnlav
Granticka
Gränsticka
Knottrig blåslav
Ullticka</t>
        </is>
      </c>
      <c r="S86">
        <f>HYPERLINK("https://klasma.github.io/Logging_2361/artfynd/A 33404-2024 artfynd.xlsx", "A 33404-2024")</f>
        <v/>
      </c>
      <c r="T86">
        <f>HYPERLINK("https://klasma.github.io/Logging_2361/kartor/A 33404-2024 karta.png", "A 33404-2024")</f>
        <v/>
      </c>
      <c r="V86">
        <f>HYPERLINK("https://klasma.github.io/Logging_2361/klagomål/A 33404-2024 FSC-klagomål.docx", "A 33404-2024")</f>
        <v/>
      </c>
      <c r="W86">
        <f>HYPERLINK("https://klasma.github.io/Logging_2361/klagomålsmail/A 33404-2024 FSC-klagomål mail.docx", "A 33404-2024")</f>
        <v/>
      </c>
      <c r="X86">
        <f>HYPERLINK("https://klasma.github.io/Logging_2361/tillsyn/A 33404-2024 tillsynsbegäran.docx", "A 33404-2024")</f>
        <v/>
      </c>
      <c r="Y86">
        <f>HYPERLINK("https://klasma.github.io/Logging_2361/tillsynsmail/A 33404-2024 tillsynsbegäran mail.docx", "A 33404-2024")</f>
        <v/>
      </c>
    </row>
    <row r="87" ht="15" customHeight="1">
      <c r="A87" t="inlineStr">
        <is>
          <t>A 9618-2025</t>
        </is>
      </c>
      <c r="B87" s="1" t="n">
        <v>45715</v>
      </c>
      <c r="C87" s="1" t="n">
        <v>45789</v>
      </c>
      <c r="D87" t="inlineStr">
        <is>
          <t>JÄMTLANDS LÄN</t>
        </is>
      </c>
      <c r="E87" t="inlineStr">
        <is>
          <t>HÄRJEDALEN</t>
        </is>
      </c>
      <c r="F87" t="inlineStr">
        <is>
          <t>Bergvik skog väst AB</t>
        </is>
      </c>
      <c r="G87" t="n">
        <v>11.5</v>
      </c>
      <c r="H87" t="n">
        <v>1</v>
      </c>
      <c r="I87" t="n">
        <v>0</v>
      </c>
      <c r="J87" t="n">
        <v>7</v>
      </c>
      <c r="K87" t="n">
        <v>0</v>
      </c>
      <c r="L87" t="n">
        <v>0</v>
      </c>
      <c r="M87" t="n">
        <v>0</v>
      </c>
      <c r="N87" t="n">
        <v>0</v>
      </c>
      <c r="O87" t="n">
        <v>7</v>
      </c>
      <c r="P87" t="n">
        <v>0</v>
      </c>
      <c r="Q87" t="n">
        <v>7</v>
      </c>
      <c r="R87" s="2" t="inlineStr">
        <is>
          <t>Doftskinn
Garnlav
Granticka
Harticka
Tretåig hackspett
Ullticka
Vitgrynig nållav</t>
        </is>
      </c>
      <c r="S87">
        <f>HYPERLINK("https://klasma.github.io/Logging_232361/artfynd/A 9618-2025 artfynd.xlsx", "A 9618-2025")</f>
        <v/>
      </c>
      <c r="T87">
        <f>HYPERLINK("https://klasma.github.io/Logging_232361/kartor/A 9618-2025 karta.png", "A 9618-2025")</f>
        <v/>
      </c>
      <c r="V87">
        <f>HYPERLINK("https://klasma.github.io/Logging_232361/klagomål/A 9618-2025 FSC-klagomål.docx", "A 9618-2025")</f>
        <v/>
      </c>
      <c r="W87">
        <f>HYPERLINK("https://klasma.github.io/Logging_232361/klagomålsmail/A 9618-2025 FSC-klagomål mail.docx", "A 9618-2025")</f>
        <v/>
      </c>
      <c r="X87">
        <f>HYPERLINK("https://klasma.github.io/Logging_232361/tillsyn/A 9618-2025 tillsynsbegäran.docx", "A 9618-2025")</f>
        <v/>
      </c>
      <c r="Y87">
        <f>HYPERLINK("https://klasma.github.io/Logging_232361/tillsynsmail/A 9618-2025 tillsynsbegäran mail.docx", "A 9618-2025")</f>
        <v/>
      </c>
      <c r="Z87">
        <f>HYPERLINK("https://klasma.github.io/Logging_232361/fåglar/A 9618-2025 prioriterade fågelarter.docx", "A 9618-2025")</f>
        <v/>
      </c>
    </row>
    <row r="88" ht="15" customHeight="1">
      <c r="A88" t="inlineStr">
        <is>
          <t>A 18557-2025</t>
        </is>
      </c>
      <c r="B88" s="1" t="n">
        <v>45763</v>
      </c>
      <c r="C88" s="1" t="n">
        <v>45789</v>
      </c>
      <c r="D88" t="inlineStr">
        <is>
          <t>JÄMTLANDS LÄN</t>
        </is>
      </c>
      <c r="E88" t="inlineStr">
        <is>
          <t>HÄRJEDALEN</t>
        </is>
      </c>
      <c r="G88" t="n">
        <v>46.9</v>
      </c>
      <c r="H88" t="n">
        <v>0</v>
      </c>
      <c r="I88" t="n">
        <v>0</v>
      </c>
      <c r="J88" t="n">
        <v>7</v>
      </c>
      <c r="K88" t="n">
        <v>0</v>
      </c>
      <c r="L88" t="n">
        <v>0</v>
      </c>
      <c r="M88" t="n">
        <v>0</v>
      </c>
      <c r="N88" t="n">
        <v>0</v>
      </c>
      <c r="O88" t="n">
        <v>7</v>
      </c>
      <c r="P88" t="n">
        <v>0</v>
      </c>
      <c r="Q88" t="n">
        <v>7</v>
      </c>
      <c r="R88" s="2" t="inlineStr">
        <is>
          <t>Blanksvart spiklav
Doftskinn
Gammelgransskål
Garnlav
Knottrig blåslav
Kolflarnlav
Mörk kolflarnlav</t>
        </is>
      </c>
      <c r="S88">
        <f>HYPERLINK("https://klasma.github.io/Logging_232361/artfynd/A 18557-2025 artfynd.xlsx", "A 18557-2025")</f>
        <v/>
      </c>
      <c r="T88">
        <f>HYPERLINK("https://klasma.github.io/Logging_232361/kartor/A 18557-2025 karta.png", "A 18557-2025")</f>
        <v/>
      </c>
      <c r="V88">
        <f>HYPERLINK("https://klasma.github.io/Logging_232361/klagomål/A 18557-2025 FSC-klagomål.docx", "A 18557-2025")</f>
        <v/>
      </c>
      <c r="W88">
        <f>HYPERLINK("https://klasma.github.io/Logging_232361/klagomålsmail/A 18557-2025 FSC-klagomål mail.docx", "A 18557-2025")</f>
        <v/>
      </c>
      <c r="X88">
        <f>HYPERLINK("https://klasma.github.io/Logging_232361/tillsyn/A 18557-2025 tillsynsbegäran.docx", "A 18557-2025")</f>
        <v/>
      </c>
      <c r="Y88">
        <f>HYPERLINK("https://klasma.github.io/Logging_232361/tillsynsmail/A 18557-2025 tillsynsbegäran mail.docx", "A 18557-2025")</f>
        <v/>
      </c>
    </row>
    <row r="89" ht="15" customHeight="1">
      <c r="A89" t="inlineStr">
        <is>
          <t>A 60213-2019</t>
        </is>
      </c>
      <c r="B89" s="1" t="n">
        <v>43780</v>
      </c>
      <c r="C89" s="1" t="n">
        <v>45789</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45789</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45789</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45789</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45789</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45789</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45789</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45789</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45789</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45789</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45789</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45789</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45789</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45789</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45789</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45789</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45789</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45789</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45789</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45789</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45789</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45789</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45789</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45789</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45789</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45789</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45789</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45789</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45789</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45789</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45789</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45789</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45789</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45789</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45789</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45789</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45789</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45789</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45789</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45789</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45789</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45789</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45789</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45789</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45789</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45789</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45789</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45789</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45789</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45789</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45789</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45789</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45789</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45789</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45789</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45789</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45789</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45789</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45789</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45789</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45789</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45789</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45789</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45789</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45789</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45789</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45789</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45789</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45789</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45789</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45789</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45789</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45789</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45789</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45789</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45789</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45789</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45789</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45789</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45789</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45789</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45789</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45789</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45789</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45789</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45789</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45789</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45789</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45789</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45789</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45789</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45789</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45789</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45789</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45789</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45789</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45789</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45789</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45789</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45789</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45789</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45789</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45789</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45789</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45789</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45789</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45789</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45789</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45789</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45789</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22511-2025</t>
        </is>
      </c>
      <c r="B199" s="1" t="n">
        <v>45786</v>
      </c>
      <c r="C199" s="1" t="n">
        <v>45789</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22511-2025 artfynd.xlsx", "A 22511-2025")</f>
        <v/>
      </c>
      <c r="T199">
        <f>HYPERLINK("https://klasma.github.io/Logging_232361/kartor/A 22511-2025 karta.png", "A 22511-2025")</f>
        <v/>
      </c>
      <c r="V199">
        <f>HYPERLINK("https://klasma.github.io/Logging_232361/klagomål/A 22511-2025 FSC-klagomål.docx", "A 22511-2025")</f>
        <v/>
      </c>
      <c r="W199">
        <f>HYPERLINK("https://klasma.github.io/Logging_232361/klagomålsmail/A 22511-2025 FSC-klagomål mail.docx", "A 22511-2025")</f>
        <v/>
      </c>
      <c r="X199">
        <f>HYPERLINK("https://klasma.github.io/Logging_232361/tillsyn/A 22511-2025 tillsynsbegäran.docx", "A 22511-2025")</f>
        <v/>
      </c>
      <c r="Y199">
        <f>HYPERLINK("https://klasma.github.io/Logging_232361/tillsynsmail/A 22511-2025 tillsynsbegäran mail.docx", "A 22511-2025")</f>
        <v/>
      </c>
    </row>
    <row r="200" ht="15" customHeight="1">
      <c r="A200" t="inlineStr">
        <is>
          <t>A 22513-2025</t>
        </is>
      </c>
      <c r="B200" s="1" t="n">
        <v>45786</v>
      </c>
      <c r="C200" s="1" t="n">
        <v>45789</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22513-2025 artfynd.xlsx", "A 22513-2025")</f>
        <v/>
      </c>
      <c r="T200">
        <f>HYPERLINK("https://klasma.github.io/Logging_232361/kartor/A 22513-2025 karta.png", "A 22513-2025")</f>
        <v/>
      </c>
      <c r="V200">
        <f>HYPERLINK("https://klasma.github.io/Logging_232361/klagomål/A 22513-2025 FSC-klagomål.docx", "A 22513-2025")</f>
        <v/>
      </c>
      <c r="W200">
        <f>HYPERLINK("https://klasma.github.io/Logging_232361/klagomålsmail/A 22513-2025 FSC-klagomål mail.docx", "A 22513-2025")</f>
        <v/>
      </c>
      <c r="X200">
        <f>HYPERLINK("https://klasma.github.io/Logging_232361/tillsyn/A 22513-2025 tillsynsbegäran.docx", "A 22513-2025")</f>
        <v/>
      </c>
      <c r="Y200">
        <f>HYPERLINK("https://klasma.github.io/Logging_232361/tillsynsmail/A 22513-2025 tillsynsbegäran mail.docx", "A 22513-2025")</f>
        <v/>
      </c>
    </row>
    <row r="201" ht="15" customHeight="1">
      <c r="A201" t="inlineStr">
        <is>
          <t>A 22512-2025</t>
        </is>
      </c>
      <c r="B201" s="1" t="n">
        <v>45786</v>
      </c>
      <c r="C201" s="1" t="n">
        <v>45789</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22512-2025 artfynd.xlsx", "A 22512-2025")</f>
        <v/>
      </c>
      <c r="T201">
        <f>HYPERLINK("https://klasma.github.io/Logging_232361/kartor/A 22512-2025 karta.png", "A 22512-2025")</f>
        <v/>
      </c>
      <c r="V201">
        <f>HYPERLINK("https://klasma.github.io/Logging_232361/klagomål/A 22512-2025 FSC-klagomål.docx", "A 22512-2025")</f>
        <v/>
      </c>
      <c r="W201">
        <f>HYPERLINK("https://klasma.github.io/Logging_232361/klagomålsmail/A 22512-2025 FSC-klagomål mail.docx", "A 22512-2025")</f>
        <v/>
      </c>
      <c r="X201">
        <f>HYPERLINK("https://klasma.github.io/Logging_232361/tillsyn/A 22512-2025 tillsynsbegäran.docx", "A 22512-2025")</f>
        <v/>
      </c>
      <c r="Y201">
        <f>HYPERLINK("https://klasma.github.io/Logging_232361/tillsynsmail/A 22512-2025 tillsynsbegäran mail.docx", "A 22512-2025")</f>
        <v/>
      </c>
    </row>
    <row r="202" ht="15" customHeight="1">
      <c r="A202" t="inlineStr">
        <is>
          <t>A 22494-2025</t>
        </is>
      </c>
      <c r="B202" s="1" t="n">
        <v>45786</v>
      </c>
      <c r="C202" s="1" t="n">
        <v>45789</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22494-2025 artfynd.xlsx", "A 22494-2025")</f>
        <v/>
      </c>
      <c r="T202">
        <f>HYPERLINK("https://klasma.github.io/Logging_232361/kartor/A 22494-2025 karta.png", "A 22494-2025")</f>
        <v/>
      </c>
      <c r="V202">
        <f>HYPERLINK("https://klasma.github.io/Logging_232361/klagomål/A 22494-2025 FSC-klagomål.docx", "A 22494-2025")</f>
        <v/>
      </c>
      <c r="W202">
        <f>HYPERLINK("https://klasma.github.io/Logging_232361/klagomålsmail/A 22494-2025 FSC-klagomål mail.docx", "A 22494-2025")</f>
        <v/>
      </c>
      <c r="X202">
        <f>HYPERLINK("https://klasma.github.io/Logging_232361/tillsyn/A 22494-2025 tillsynsbegäran.docx", "A 22494-2025")</f>
        <v/>
      </c>
      <c r="Y202">
        <f>HYPERLINK("https://klasma.github.io/Logging_232361/tillsynsmail/A 22494-2025 tillsynsbegäran mail.docx", "A 22494-2025")</f>
        <v/>
      </c>
    </row>
    <row r="203" ht="15" customHeight="1">
      <c r="A203" t="inlineStr">
        <is>
          <t>A 22508-2025</t>
        </is>
      </c>
      <c r="B203" s="1" t="n">
        <v>45786</v>
      </c>
      <c r="C203" s="1" t="n">
        <v>45789</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22501-2025</t>
        </is>
      </c>
      <c r="B204" s="1" t="n">
        <v>45786</v>
      </c>
      <c r="C204" s="1" t="n">
        <v>45789</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22501-2025 artfynd.xlsx", "A 22501-2025")</f>
        <v/>
      </c>
      <c r="T204">
        <f>HYPERLINK("https://klasma.github.io/Logging_232361/kartor/A 22501-2025 karta.png", "A 22501-2025")</f>
        <v/>
      </c>
      <c r="V204">
        <f>HYPERLINK("https://klasma.github.io/Logging_232361/klagomål/A 22501-2025 FSC-klagomål.docx", "A 22501-2025")</f>
        <v/>
      </c>
      <c r="W204">
        <f>HYPERLINK("https://klasma.github.io/Logging_232361/klagomålsmail/A 22501-2025 FSC-klagomål mail.docx", "A 22501-2025")</f>
        <v/>
      </c>
      <c r="X204">
        <f>HYPERLINK("https://klasma.github.io/Logging_232361/tillsyn/A 22501-2025 tillsynsbegäran.docx", "A 22501-2025")</f>
        <v/>
      </c>
      <c r="Y204">
        <f>HYPERLINK("https://klasma.github.io/Logging_232361/tillsynsmail/A 22501-2025 tillsynsbegäran mail.docx", "A 22501-2025")</f>
        <v/>
      </c>
    </row>
    <row r="205" ht="15" customHeight="1">
      <c r="A205" t="inlineStr">
        <is>
          <t>A 45781-2019</t>
        </is>
      </c>
      <c r="B205" s="1" t="n">
        <v>43717</v>
      </c>
      <c r="C205" s="1" t="n">
        <v>45789</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45789</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45789</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45789</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45789</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45789</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45789</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45789</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45789</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45789</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45789</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45789</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45789</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45789</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45789</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45789</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45789</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45789</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45789</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45789</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45789</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45789</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45789</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45789</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45789</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45789</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45789</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45789</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45789</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45789</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45789</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45789</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45789</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45789</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45789</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45789</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45789</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45789</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45789</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45789</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45789</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45789</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45789</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45789</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45789</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45789</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45789</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45789</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45789</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45789</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45789</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45789</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45789</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45789</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45789</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45789</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45789</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45789</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45789</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45789</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45789</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45789</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45789</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45789</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45789</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45789</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45789</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45789</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45789</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45789</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45789</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45789</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45789</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45789</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45789</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45789</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45789</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45789</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45789</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45789</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45789</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45789</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45789</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45789</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45789</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45789</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45789</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45789</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45789</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45789</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45789</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45789</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45789</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45789</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45789</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45789</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45789</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45789</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45789</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45789</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45789</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45789</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45789</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45789</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45789</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45789</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45789</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45789</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45789</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45789</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45789</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45789</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45789</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45789</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45789</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45789</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45789</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45789</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45789</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45789</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45789</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45789</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45789</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45789</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45789</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45789</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45789</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45789</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45789</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45789</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45789</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45789</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45789</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45789</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45789</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45789</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45789</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45789</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45789</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45789</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45789</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45789</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45789</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45789</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45789</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45789</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45789</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45789</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45789</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45789</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45789</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45789</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45789</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45789</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45789</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45789</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45789</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45789</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45789</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45789</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45789</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45789</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45789</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45789</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45789</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45789</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45789</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45789</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45789</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45789</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45789</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45789</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45789</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45789</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45789</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45789</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45789</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45789</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45789</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45789</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45789</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45789</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45789</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45789</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45789</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45789</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45789</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45789</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45789</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45789</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45789</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45789</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45789</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45789</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45789</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45789</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45789</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45789</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45789</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45789</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45789</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45789</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45789</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45789</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45789</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45789</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45789</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45789</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45789</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45789</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45789</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45789</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45789</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45789</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45789</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45789</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45789</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45789</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45789</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45789</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45789</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45789</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45789</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45789</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45789</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45789</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45789</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45789</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45789</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45789</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45789</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45789</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45789</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45789</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45789</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45789</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45789</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45789</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45789</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45789</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45789</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45789</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45789</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45789</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45789</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45789</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45789</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45789</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45789</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45789</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45789</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45789</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45789</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45789</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45789</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45789</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45789</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45789</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45789</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45789</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45789</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45789</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45789</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45789</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45789</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45789</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45789</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45789</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45789</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45789</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45789</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45789</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45789</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45789</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45789</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45789</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45789</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45789</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45789</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45789</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45789</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45789</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45789</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45789</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45789</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45789</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45789</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45789</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45789</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45789</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45789</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45789</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45789</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45789</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45789</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45789</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45789</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45789</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45789</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45789</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45789</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45789</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45789</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45789</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45789</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45789</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45789</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45789</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45789</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45789</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45789</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45789</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45789</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45789</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45789</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45789</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45789</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45789</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45789</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45789</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45789</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45789</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45789</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45789</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45789</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45789</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45789</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45789</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45789</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45789</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45789</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45789</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45789</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45789</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45789</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45789</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45789</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45789</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45789</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45789</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45789</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45789</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45789</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45789</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45789</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45789</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45789</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45789</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45789</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45789</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45789</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45789</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45789</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45789</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45789</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45789</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45789</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45789</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45789</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45789</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45789</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45789</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45789</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45789</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45789</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45789</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45789</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45789</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45789</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45789</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45789</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45789</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45789</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45789</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45789</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45789</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45789</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45789</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45789</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45789</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45789</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45789</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45789</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45789</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45789</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45789</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45789</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45789</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45789</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45789</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45789</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45789</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45789</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45789</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45789</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45789</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45789</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45789</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45789</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45789</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45789</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45789</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45789</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45789</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45789</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45789</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45789</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45789</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45789</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45789</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45789</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45789</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45789</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45789</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45789</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45789</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45789</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45789</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45789</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45789</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45789</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45789</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45789</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45789</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45789</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45789</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45789</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45789</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45789</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45789</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45789</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45789</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45789</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45789</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45789</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45789</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45789</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45789</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45789</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45789</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45789</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45789</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45789</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45789</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45789</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45789</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45789</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45789</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45789</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45789</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45789</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45789</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45789</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45789</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45789</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45789</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45789</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45789</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45789</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45789</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45789</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45789</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45789</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45789</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45789</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45789</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45789</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45789</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45789</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45789</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45789</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45789</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45789</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45789</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45789</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45789</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45789</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45789</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45789</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45789</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45789</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45789</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45789</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45789</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45789</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45789</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45789</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45789</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45789</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45789</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45789</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45789</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45789</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45789</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45789</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45789</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45789</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45789</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45789</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45789</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45789</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45789</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45789</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45789</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45789</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45789</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45789</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45789</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45789</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45789</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45789</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45789</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45789</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45789</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45789</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45789</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45789</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45789</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45789</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45789</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45789</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45789</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45789</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45789</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45789</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45789</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45789</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45789</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45789</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45789</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45789</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45789</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45789</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45789</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45789</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45789</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45789</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45789</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45789</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45789</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45789</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45789</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45789</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45789</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45789</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45789</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45789</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45789</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45789</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45789</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45789</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45789</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45789</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45789</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45789</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45789</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45789</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45789</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45789</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45789</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45789</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45789</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45789</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45789</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45789</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45789</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45789</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45789</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45789</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45789</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45789</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45789</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45789</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45789</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45789</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45789</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45789</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45789</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45789</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45789</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45789</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45789</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45789</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45789</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45789</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45789</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45789</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45789</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45789</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45789</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45789</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45789</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45789</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45789</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45789</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45789</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45789</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45789</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45789</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45789</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45789</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45789</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45789</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45789</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45789</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45789</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45789</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45789</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45789</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45789</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45789</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45789</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45789</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45789</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45789</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45789</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45789</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45789</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45789</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45789</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45789</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45789</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45789</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45789</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45789</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45789</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45789</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45789</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45789</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45789</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45789</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45789</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45789</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45789</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45789</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45789</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45789</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45789</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45789</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45789</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45789</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45789</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45789</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45789</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45789</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45789</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45789</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45789</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45789</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45789</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45789</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45789</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45789</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45789</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45789</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45789</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45789</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45789</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45789</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45789</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45789</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45789</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45789</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45789</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45789</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45789</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45789</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45789</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45789</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45789</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45789</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45789</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45789</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45789</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45789</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45789</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45789</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45789</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45789</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45789</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45789</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45789</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45789</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45789</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45789</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45789</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45789</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45789</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45789</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45789</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45789</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45789</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45789</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45789</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45789</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45789</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45789</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45789</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45789</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45789</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45789</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45789</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45789</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45789</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45789</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45789</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45789</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45789</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45789</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45789</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45789</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45789</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45789</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45789</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45789</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45789</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45789</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45789</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45789</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45789</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45789</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45789</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45789</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45789</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45789</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45789</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45789</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45789</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45789</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45789</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45789</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45789</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45789</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45789</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45789</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45789</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45789</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45789</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45789</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45789</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45789</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45789</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45789</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45789</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45789</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45789</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45789</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45789</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45789</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45789</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45789</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45789</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45789</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45789</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45789</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45789</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45789</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45789</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45789</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45789</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45789</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45789</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45789</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45789</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45789</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45789</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45789</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45789</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45789</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45789</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45789</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45789</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45789</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45789</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45789</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45789</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45789</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45789</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45789</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45789</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45789</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45789</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45789</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45789</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45789</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45789</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45789</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45789</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45789</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45789</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45789</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45789</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45789</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45789</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45789</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45789</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45789</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45789</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45789</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45789</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45789</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45789</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45789</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45789</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45789</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45789</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45789</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45789</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45789</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45789</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45789</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45789</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45789</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45789</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45789</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45789</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45789</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45789</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45789</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45789</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45789</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45789</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45789</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45789</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45789</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45789</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45789</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45789</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45789</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45789</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45789</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45789</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45789</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45789</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45789</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45789</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45789</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45789</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45789</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45789</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45789</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45789</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45789</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45789</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45789</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45789</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45789</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45789</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45789</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45789</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45789</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45789</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45789</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45789</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45789</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45789</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45789</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45789</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45789</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45789</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45789</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45789</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45789</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45789</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45789</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45789</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45789</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45789</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45789</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45789</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45789</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45789</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45789</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45789</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45789</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45789</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45789</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45789</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45789</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45789</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45789</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45789</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45789</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45789</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45789</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45789</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45789</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45789</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45789</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45789</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45789</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45789</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45789</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45789</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45789</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45789</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45789</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45789</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45789</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45789</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45789</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45789</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45789</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45789</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45789</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45789</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45789</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45789</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45789</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45789</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45789</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45789</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45789</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45789</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45789</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45789</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45789</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45789</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45789</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45789</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45789</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45789</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45789</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45789</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45789</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45789</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45789</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45789</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45789</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45789</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45789</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45789</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45789</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45789</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45789</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45789</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45789</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45789</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45789</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45789</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45789</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45789</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45789</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45789</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45789</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45789</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45789</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45789</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45789</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45789</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45789</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45789</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45789</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45789</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45789</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45789</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45789</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45789</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45789</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45789</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45789</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45789</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45789</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45789</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45789</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45789</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45789</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45789</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45789</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45789</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45789</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45789</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45789</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45789</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45789</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45789</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45789</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45789</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45789</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45789</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45789</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45789</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45789</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45789</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45789</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45789</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45789</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45789</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45789</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45789</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45789</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45789</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45789</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45789</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45789</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45789</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45789</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45789</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45789</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45789</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45789</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45789</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45789</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45789</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45789</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45789</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45789</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45789</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45789</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45789</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45789</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45789</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45789</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45789</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45789</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45789</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45789</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45789</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45789</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45789</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45789</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45789</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45789</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45789</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45789</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45789</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45789</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45789</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45789</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45789</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45789</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45789</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45789</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45789</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45789</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45789</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45789</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45789</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45789</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45789</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45789</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45789</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45789</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45789</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45789</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45789</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45789</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45789</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45789</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45789</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45789</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45789</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45789</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45789</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45789</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45789</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45789</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45789</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45789</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45789</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45789</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45789</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45789</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45789</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45789</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45789</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45789</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45789</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45789</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45789</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45789</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45789</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45789</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45789</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45789</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45789</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45789</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45789</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45789</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45789</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45789</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45789</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45789</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45789</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45789</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45789</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45789</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45789</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45789</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45789</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45789</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45789</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45789</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45789</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45789</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45789</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45789</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45789</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45789</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45789</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45789</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45789</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45789</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45789</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45789</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45789</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45789</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45789</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45789</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45789</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45789</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45789</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45789</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45789</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45789</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45789</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45789</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45789</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45789</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45789</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45789</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45789</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45789</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45789</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45789</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45789</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45789</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45789</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45789</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45789</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45789</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45789</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45789</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45789</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45789</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45789</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45789</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45789</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45789</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45789</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45789</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45789</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45789</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45789</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45789</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45789</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45789</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45789</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45789</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45789</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45789</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45789</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45789</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45789</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45789</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45789</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45789</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45789</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45789</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45789</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45789</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45789</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45789</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45789</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45789</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45789</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45789</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45789</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45789</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45789</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45789</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45789</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45789</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45789</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45789</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45789</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45789</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45789</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45789</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45789</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45789</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45789</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45789</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45789</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45789</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45789</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45789</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45789</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45789</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45789</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45789</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45789</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45789</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45789</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45789</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45789</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45789</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45789</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45789</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45789</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45789</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45789</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45789</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45789</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45789</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45789</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45789</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45789</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45789</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45789</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45789</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45789</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45789</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45789</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45789</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45789</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45789</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45789</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45789</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45789</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45789</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45789</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45789</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45789</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45789</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45789</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45789</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45789</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45789</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45789</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45789</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45789</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45789</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45789</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45789</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45789</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45789</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45789</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45789</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45789</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45789</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45789</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45789</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45789</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45789</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45789</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45789</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45789</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45789</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45789</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45789</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45789</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45789</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45789</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45789</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45789</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45789</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45789</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45789</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45789</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45789</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45789</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45789</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45789</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45789</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45789</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45789</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45789</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45789</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45789</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45789</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45789</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45789</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45789</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45789</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45789</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45789</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45789</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45789</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45789</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45789</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45789</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45789</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45789</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45789</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45789</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45789</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45789</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45789</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45789</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45789</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45789</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45789</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45789</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45789</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45789</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45789</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45789</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45789</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45789</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45789</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45789</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45789</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45789</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45789</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45789</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45789</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45789</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45789</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45789</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45789</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45789</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45789</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45789</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45789</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45789</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45789</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45789</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45789</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45789</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45789</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45789</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45789</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45789</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45789</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45789</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45789</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45789</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45789</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45789</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45789</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45789</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45789</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45789</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45789</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45789</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45789</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45789</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45789</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45789</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45789</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45789</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45789</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45789</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45789</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45789</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45789</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45789</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45789</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45789</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45789</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45789</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45789</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45789</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45789</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45789</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45789</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45789</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45789</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45789</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45789</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45789</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45789</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45789</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45789</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45789</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45789</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45789</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45789</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45789</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45789</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45789</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45789</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45789</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45789</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45789</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45789</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45789</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45789</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45789</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45789</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45789</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45789</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45789</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45789</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45789</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45789</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45789</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45789</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45789</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45789</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45789</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45789</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45789</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45789</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45789</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45789</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45789</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45789</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45789</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45789</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45789</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45789</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45789</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45789</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45789</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45789</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45789</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45789</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45789</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45789</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45789</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45789</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45789</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45789</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45789</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45789</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45789</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45789</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45789</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45789</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45789</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45789</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45789</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45789</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45789</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45789</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45789</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45789</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45789</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45789</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45789</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45789</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45789</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45789</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45789</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45789</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45789</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45789</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45789</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45789</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45789</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45789</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45789</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45789</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45789</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45789</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45789</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45789</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45789</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45789</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45789</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45789</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45789</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45789</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45789</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45789</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45789</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45789</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45789</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45789</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45789</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45789</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45789</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45789</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45789</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45789</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45789</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45789</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45789</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45789</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45789</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45789</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45789</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45789</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45789</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45789</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45789</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45789</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45789</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45789</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45789</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45789</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45789</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45789</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45789</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45789</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45789</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45789</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45789</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45789</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45789</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45789</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45789</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45789</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45789</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45789</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45789</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45789</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45789</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45789</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45789</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45789</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45789</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45789</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45789</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45789</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45789</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45789</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45789</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45789</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45789</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45789</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45789</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45789</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45789</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45789</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45789</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45789</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45789</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45789</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45789</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45789</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45789</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45789</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45789</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45789</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45789</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45789</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45789</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45789</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45789</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45789</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45789</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45789</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45789</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45789</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45789</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45789</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45789</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45789</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45789</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45789</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45789</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45789</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45789</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45789</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45789</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45789</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45789</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45789</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45789</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45789</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45789</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45789</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45789</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45789</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45789</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45789</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45789</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45789</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45789</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45789</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45789</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45789</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45789</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45789</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45789</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45789</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45789</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45789</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45789</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45789</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45789</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45789</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45789</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45789</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45789</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45789</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45789</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45789</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45789</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45789</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45789</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45789</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45789</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45789</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45789</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45789</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45789</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45789</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45789</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45789</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45789</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45789</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45789</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45789</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45789</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45789</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45789</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45789</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45789</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45789</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45789</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45789</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45789</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45789</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45789</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45789</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45789</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45789</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45789</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45789</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45789</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45789</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45789</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45789</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45789</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45789</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45789</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45789</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45789</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45789</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45789</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45789</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45789</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45789</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45789</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45789</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45789</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45789</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45789</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45789</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45789</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45789</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45789</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45789</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45789</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45789</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45789</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45789</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45789</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45789</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45789</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45789</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45789</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45789</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45789</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45789</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45789</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45789</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45789</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45789</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45789</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45789</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45789</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45789</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45789</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45789</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45789</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45789</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45789</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45789</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45789</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45789</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45789</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45789</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45789</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45789</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45789</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45789</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45789</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45789</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45789</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45789</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45789</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45789</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45789</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45789</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45789</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45789</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45789</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45789</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45789</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45789</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45789</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45789</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45789</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45789</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45789</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45789</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45789</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45789</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45789</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45789</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45789</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45789</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45789</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45789</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45789</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45789</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45789</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45789</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45789</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45789</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45789</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45789</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45789</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45789</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45789</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45789</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45789</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45789</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45789</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45789</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18953-2025</t>
        </is>
      </c>
      <c r="B1920" s="1" t="n">
        <v>45764</v>
      </c>
      <c r="C1920" s="1" t="n">
        <v>45789</v>
      </c>
      <c r="D1920" t="inlineStr">
        <is>
          <t>JÄMTLANDS LÄN</t>
        </is>
      </c>
      <c r="E1920" t="inlineStr">
        <is>
          <t>HÄRJEDALEN</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18896-2025</t>
        </is>
      </c>
      <c r="B1921" s="1" t="n">
        <v>45764</v>
      </c>
      <c r="C1921" s="1" t="n">
        <v>45789</v>
      </c>
      <c r="D1921" t="inlineStr">
        <is>
          <t>JÄMTLANDS LÄN</t>
        </is>
      </c>
      <c r="E1921" t="inlineStr">
        <is>
          <t>HÄRJEDALEN</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19102-2025</t>
        </is>
      </c>
      <c r="B1922" s="1" t="n">
        <v>45768</v>
      </c>
      <c r="C1922" s="1" t="n">
        <v>45789</v>
      </c>
      <c r="D1922" t="inlineStr">
        <is>
          <t>JÄMTLANDS LÄN</t>
        </is>
      </c>
      <c r="E1922" t="inlineStr">
        <is>
          <t>HÄRJEDALEN</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19103-2025</t>
        </is>
      </c>
      <c r="B1923" s="1" t="n">
        <v>45768</v>
      </c>
      <c r="C1923" s="1" t="n">
        <v>45789</v>
      </c>
      <c r="D1923" t="inlineStr">
        <is>
          <t>JÄMTLANDS LÄN</t>
        </is>
      </c>
      <c r="E1923" t="inlineStr">
        <is>
          <t>HÄRJEDALEN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19100-2025</t>
        </is>
      </c>
      <c r="B1924" s="1" t="n">
        <v>45768</v>
      </c>
      <c r="C1924" s="1" t="n">
        <v>45789</v>
      </c>
      <c r="D1924" t="inlineStr">
        <is>
          <t>JÄMTLANDS LÄN</t>
        </is>
      </c>
      <c r="E1924" t="inlineStr">
        <is>
          <t>HÄRJEDALEN</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19101-2025</t>
        </is>
      </c>
      <c r="B1925" s="1" t="n">
        <v>45768</v>
      </c>
      <c r="C1925" s="1" t="n">
        <v>45789</v>
      </c>
      <c r="D1925" t="inlineStr">
        <is>
          <t>JÄMTLANDS LÄN</t>
        </is>
      </c>
      <c r="E1925" t="inlineStr">
        <is>
          <t>HÄRJEDALEN</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45789</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45789</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45789</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45789</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45789</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20103-2025</t>
        </is>
      </c>
      <c r="B1931" s="1" t="n">
        <v>45772</v>
      </c>
      <c r="C1931" s="1" t="n">
        <v>45789</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20033-2025</t>
        </is>
      </c>
      <c r="B1932" s="1" t="n">
        <v>45772</v>
      </c>
      <c r="C1932" s="1" t="n">
        <v>45789</v>
      </c>
      <c r="D1932" t="inlineStr">
        <is>
          <t>JÄMTLANDS LÄN</t>
        </is>
      </c>
      <c r="E1932" t="inlineStr">
        <is>
          <t>HÄRJEDALEN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20238-2025</t>
        </is>
      </c>
      <c r="B1933" s="1" t="n">
        <v>45772</v>
      </c>
      <c r="C1933" s="1" t="n">
        <v>45789</v>
      </c>
      <c r="D1933" t="inlineStr">
        <is>
          <t>JÄMTLANDS LÄN</t>
        </is>
      </c>
      <c r="E1933" t="inlineStr">
        <is>
          <t>HÄRJEDALEN</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20104-2025</t>
        </is>
      </c>
      <c r="B1934" s="1" t="n">
        <v>45772</v>
      </c>
      <c r="C1934" s="1" t="n">
        <v>45789</v>
      </c>
      <c r="D1934" t="inlineStr">
        <is>
          <t>JÄMTLANDS LÄN</t>
        </is>
      </c>
      <c r="E1934" t="inlineStr">
        <is>
          <t>HÄRJEDALEN</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20106-2025</t>
        </is>
      </c>
      <c r="B1935" s="1" t="n">
        <v>45772</v>
      </c>
      <c r="C1935" s="1" t="n">
        <v>45789</v>
      </c>
      <c r="D1935" t="inlineStr">
        <is>
          <t>JÄMTLANDS LÄN</t>
        </is>
      </c>
      <c r="E1935" t="inlineStr">
        <is>
          <t>HÄRJEDALEN</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45789</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45789</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45789</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45789</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45789</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21208-2025</t>
        </is>
      </c>
      <c r="B1941" s="1" t="n">
        <v>45779</v>
      </c>
      <c r="C1941" s="1" t="n">
        <v>45789</v>
      </c>
      <c r="D1941" t="inlineStr">
        <is>
          <t>JÄMTLANDS LÄN</t>
        </is>
      </c>
      <c r="E1941" t="inlineStr">
        <is>
          <t>HÄRJEDALEN</t>
        </is>
      </c>
      <c r="F1941" t="inlineStr">
        <is>
          <t>Holmen skog AB</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45789</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45789</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45789</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21169-2025</t>
        </is>
      </c>
      <c r="B1945" s="1" t="n">
        <v>45779</v>
      </c>
      <c r="C1945" s="1" t="n">
        <v>45789</v>
      </c>
      <c r="D1945" t="inlineStr">
        <is>
          <t>JÄMTLANDS LÄN</t>
        </is>
      </c>
      <c r="E1945" t="inlineStr">
        <is>
          <t>HÄRJEDALEN</t>
        </is>
      </c>
      <c r="F1945" t="inlineStr">
        <is>
          <t>Holmen skog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45789</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45789</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45789</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45789</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45789</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45789</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45789</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45789</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45789</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45789</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45789</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45789</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45789</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c r="A1959" t="inlineStr">
        <is>
          <t>A 22504-2025</t>
        </is>
      </c>
      <c r="B1959" s="1" t="n">
        <v>45786</v>
      </c>
      <c r="C1959" s="1" t="n">
        <v>45789</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2025-05-12T17:39:08Z</dcterms:created>
  <dcterms:modified xmlns:dcterms="http://purl.org/dc/terms/" xmlns:xsi="http://www.w3.org/2001/XMLSchema-instance" xsi:type="dcterms:W3CDTF">2025-05-12T17:39:10Z</dcterms:modified>
</cp:coreProperties>
</file>