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38591-2021</t>
        </is>
      </c>
      <c r="B2" s="1" t="n">
        <v>44407</v>
      </c>
      <c r="C2" s="1" t="n">
        <v>45294</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row>
    <row r="3" ht="15" customHeight="1">
      <c r="A3" t="inlineStr">
        <is>
          <t>A 73869-2021</t>
        </is>
      </c>
      <c r="B3" s="1" t="n">
        <v>44553</v>
      </c>
      <c r="C3" s="1" t="n">
        <v>45294</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row>
    <row r="4" ht="15" customHeight="1">
      <c r="A4" t="inlineStr">
        <is>
          <t>A 33058-2022</t>
        </is>
      </c>
      <c r="B4" s="1" t="n">
        <v>44785</v>
      </c>
      <c r="C4" s="1" t="n">
        <v>45294</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row>
    <row r="5" ht="15" customHeight="1">
      <c r="A5" t="inlineStr">
        <is>
          <t>A 27529-2020</t>
        </is>
      </c>
      <c r="B5" s="1" t="n">
        <v>43993</v>
      </c>
      <c r="C5" s="1" t="n">
        <v>45294</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row>
    <row r="6" ht="15" customHeight="1">
      <c r="A6" t="inlineStr">
        <is>
          <t>A 34896-2022</t>
        </is>
      </c>
      <c r="B6" s="1" t="n">
        <v>44790</v>
      </c>
      <c r="C6" s="1" t="n">
        <v>45294</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row>
    <row r="7" ht="15" customHeight="1">
      <c r="A7" t="inlineStr">
        <is>
          <t>A 43777-2022</t>
        </is>
      </c>
      <c r="B7" s="1" t="n">
        <v>44837</v>
      </c>
      <c r="C7" s="1" t="n">
        <v>45294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row>
    <row r="8" ht="15" customHeight="1">
      <c r="A8" t="inlineStr">
        <is>
          <t>A 45429-2022</t>
        </is>
      </c>
      <c r="B8" s="1" t="n">
        <v>44844</v>
      </c>
      <c r="C8" s="1" t="n">
        <v>45294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row>
    <row r="9" ht="15" customHeight="1">
      <c r="A9" t="inlineStr">
        <is>
          <t>A 173-2020</t>
        </is>
      </c>
      <c r="B9" s="1" t="n">
        <v>43833</v>
      </c>
      <c r="C9" s="1" t="n">
        <v>45294</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row>
    <row r="10" ht="15" customHeight="1">
      <c r="A10" t="inlineStr">
        <is>
          <t>A 35782-2020</t>
        </is>
      </c>
      <c r="B10" s="1" t="n">
        <v>44046</v>
      </c>
      <c r="C10" s="1" t="n">
        <v>45294</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row>
    <row r="11" ht="15" customHeight="1">
      <c r="A11" t="inlineStr">
        <is>
          <t>A 72189-2021</t>
        </is>
      </c>
      <c r="B11" s="1" t="n">
        <v>44543</v>
      </c>
      <c r="C11" s="1" t="n">
        <v>45294</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row>
    <row r="12" ht="15" customHeight="1">
      <c r="A12" t="inlineStr">
        <is>
          <t>A 28769-2022</t>
        </is>
      </c>
      <c r="B12" s="1" t="n">
        <v>44749</v>
      </c>
      <c r="C12" s="1" t="n">
        <v>45294</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row>
    <row r="13" ht="15" customHeight="1">
      <c r="A13" t="inlineStr">
        <is>
          <t>A 67786-2020</t>
        </is>
      </c>
      <c r="B13" s="1" t="n">
        <v>44182</v>
      </c>
      <c r="C13" s="1" t="n">
        <v>45294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row>
    <row r="14" ht="15" customHeight="1">
      <c r="A14" t="inlineStr">
        <is>
          <t>A 69055-2019</t>
        </is>
      </c>
      <c r="B14" s="1" t="n">
        <v>43826</v>
      </c>
      <c r="C14" s="1" t="n">
        <v>45294</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row>
    <row r="15" ht="15" customHeight="1">
      <c r="A15" t="inlineStr">
        <is>
          <t>A 60766-2021</t>
        </is>
      </c>
      <c r="B15" s="1" t="n">
        <v>44497</v>
      </c>
      <c r="C15" s="1" t="n">
        <v>45294</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45294</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45294</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row>
    <row r="18" ht="15" customHeight="1">
      <c r="A18" t="inlineStr">
        <is>
          <t>A 13974-2022</t>
        </is>
      </c>
      <c r="B18" s="1" t="n">
        <v>44650</v>
      </c>
      <c r="C18" s="1" t="n">
        <v>45294</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row>
    <row r="19" ht="15" customHeight="1">
      <c r="A19" t="inlineStr">
        <is>
          <t>A 42444-2023</t>
        </is>
      </c>
      <c r="B19" s="1" t="n">
        <v>45180</v>
      </c>
      <c r="C19" s="1" t="n">
        <v>45294</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row>
    <row r="20" ht="15" customHeight="1">
      <c r="A20" t="inlineStr">
        <is>
          <t>A 58154-2023</t>
        </is>
      </c>
      <c r="B20" s="1" t="n">
        <v>45250</v>
      </c>
      <c r="C20" s="1" t="n">
        <v>45294</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45294</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row>
    <row r="22" ht="15" customHeight="1">
      <c r="A22" t="inlineStr">
        <is>
          <t>A 69366-2020</t>
        </is>
      </c>
      <c r="B22" s="1" t="n">
        <v>44193</v>
      </c>
      <c r="C22" s="1" t="n">
        <v>45294</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row>
    <row r="23" ht="15" customHeight="1">
      <c r="A23" t="inlineStr">
        <is>
          <t>A 58277-2021</t>
        </is>
      </c>
      <c r="B23" s="1" t="n">
        <v>44487</v>
      </c>
      <c r="C23" s="1" t="n">
        <v>45294</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45294</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45294</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45294</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row>
    <row r="27" ht="15" customHeight="1">
      <c r="A27" t="inlineStr">
        <is>
          <t>A 28811-2022</t>
        </is>
      </c>
      <c r="B27" s="1" t="n">
        <v>44748</v>
      </c>
      <c r="C27" s="1" t="n">
        <v>45294</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row>
    <row r="28" ht="15" customHeight="1">
      <c r="A28" t="inlineStr">
        <is>
          <t>A 36972-2020</t>
        </is>
      </c>
      <c r="B28" s="1" t="n">
        <v>44053</v>
      </c>
      <c r="C28" s="1" t="n">
        <v>45294</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45294</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row>
    <row r="30" ht="15" customHeight="1">
      <c r="A30" t="inlineStr">
        <is>
          <t>A 50604-2023</t>
        </is>
      </c>
      <c r="B30" s="1" t="n">
        <v>45217</v>
      </c>
      <c r="C30" s="1" t="n">
        <v>45294</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row>
    <row r="31" ht="15" customHeight="1">
      <c r="A31" t="inlineStr">
        <is>
          <t>A 28713-2021</t>
        </is>
      </c>
      <c r="B31" s="1" t="n">
        <v>44357</v>
      </c>
      <c r="C31" s="1" t="n">
        <v>45294</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row>
    <row r="32" ht="15" customHeight="1">
      <c r="A32" t="inlineStr">
        <is>
          <t>A 38354-2021</t>
        </is>
      </c>
      <c r="B32" s="1" t="n">
        <v>44406</v>
      </c>
      <c r="C32" s="1" t="n">
        <v>45294</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45294</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45294</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45294</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45294</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row>
    <row r="37" ht="15" customHeight="1">
      <c r="A37" t="inlineStr">
        <is>
          <t>A 38535-2019</t>
        </is>
      </c>
      <c r="B37" s="1" t="n">
        <v>43685</v>
      </c>
      <c r="C37" s="1" t="n">
        <v>45294</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45294</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45294</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45294</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row>
    <row r="41" ht="15" customHeight="1">
      <c r="A41" t="inlineStr">
        <is>
          <t>A 174-2021</t>
        </is>
      </c>
      <c r="B41" s="1" t="n">
        <v>44200</v>
      </c>
      <c r="C41" s="1" t="n">
        <v>45294</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45294</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45294</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45294</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row>
    <row r="45" ht="15" customHeight="1">
      <c r="A45" t="inlineStr">
        <is>
          <t>A 4916-2019</t>
        </is>
      </c>
      <c r="B45" s="1" t="n">
        <v>43479</v>
      </c>
      <c r="C45" s="1" t="n">
        <v>45294</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45294</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row>
    <row r="47" ht="15" customHeight="1">
      <c r="A47" t="inlineStr">
        <is>
          <t>A 74075-2021</t>
        </is>
      </c>
      <c r="B47" s="1" t="n">
        <v>44553</v>
      </c>
      <c r="C47" s="1" t="n">
        <v>45294</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45294</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row>
    <row r="49" ht="15" customHeight="1">
      <c r="A49" t="inlineStr">
        <is>
          <t>A 12810-2019</t>
        </is>
      </c>
      <c r="B49" s="1" t="n">
        <v>43525</v>
      </c>
      <c r="C49" s="1" t="n">
        <v>45294</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45294</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45294</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45294</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45294</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45294</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45294</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45294</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45294</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45294</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45294</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45294</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45294</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45294</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45294</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45294</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row>
    <row r="65" ht="15" customHeight="1">
      <c r="A65" t="inlineStr">
        <is>
          <t>A 65899-2021</t>
        </is>
      </c>
      <c r="B65" s="1" t="n">
        <v>44517</v>
      </c>
      <c r="C65" s="1" t="n">
        <v>45294</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45294</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45294</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45294</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45294</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45294</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45294</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45294</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45294</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row>
    <row r="74" ht="15" customHeight="1">
      <c r="A74" t="inlineStr">
        <is>
          <t>A 8587-2023</t>
        </is>
      </c>
      <c r="B74" s="1" t="n">
        <v>44977</v>
      </c>
      <c r="C74" s="1" t="n">
        <v>45294</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45294</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45294</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row>
    <row r="77" ht="15" customHeight="1">
      <c r="A77" t="inlineStr">
        <is>
          <t>A 39925-2023</t>
        </is>
      </c>
      <c r="B77" s="1" t="n">
        <v>45168</v>
      </c>
      <c r="C77" s="1" t="n">
        <v>45294</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12806-2019</t>
        </is>
      </c>
      <c r="B78" s="1" t="n">
        <v>43525</v>
      </c>
      <c r="C78" s="1" t="n">
        <v>45294</v>
      </c>
      <c r="D78" t="inlineStr">
        <is>
          <t>JÄMTLANDS LÄN</t>
        </is>
      </c>
      <c r="E78" t="inlineStr">
        <is>
          <t>HÄRJEDALEN</t>
        </is>
      </c>
      <c r="G78" t="n">
        <v>18.8</v>
      </c>
      <c r="H78" t="n">
        <v>0</v>
      </c>
      <c r="I78" t="n">
        <v>1</v>
      </c>
      <c r="J78" t="n">
        <v>2</v>
      </c>
      <c r="K78" t="n">
        <v>0</v>
      </c>
      <c r="L78" t="n">
        <v>0</v>
      </c>
      <c r="M78" t="n">
        <v>0</v>
      </c>
      <c r="N78" t="n">
        <v>0</v>
      </c>
      <c r="O78" t="n">
        <v>2</v>
      </c>
      <c r="P78" t="n">
        <v>0</v>
      </c>
      <c r="Q78" t="n">
        <v>3</v>
      </c>
      <c r="R78" s="2" t="inlineStr">
        <is>
          <t>Dvärgbägarlav
Skrovellav
Stuplav</t>
        </is>
      </c>
      <c r="S78">
        <f>HYPERLINK("https://klasma.github.io/Logging_2361/artfynd/A 12806-2019 artfynd.xlsx", "A 12806-2019")</f>
        <v/>
      </c>
      <c r="T78">
        <f>HYPERLINK("https://klasma.github.io/Logging_2361/kartor/A 12806-2019 karta.png", "A 12806-2019")</f>
        <v/>
      </c>
      <c r="V78">
        <f>HYPERLINK("https://klasma.github.io/Logging_2361/klagomål/A 12806-2019 FSC-klagomål.docx", "A 12806-2019")</f>
        <v/>
      </c>
      <c r="W78">
        <f>HYPERLINK("https://klasma.github.io/Logging_2361/klagomålsmail/A 12806-2019 FSC-klagomål mail.docx", "A 12806-2019")</f>
        <v/>
      </c>
      <c r="X78">
        <f>HYPERLINK("https://klasma.github.io/Logging_2361/tillsyn/A 12806-2019 tillsynsbegäran.docx", "A 12806-2019")</f>
        <v/>
      </c>
      <c r="Y78">
        <f>HYPERLINK("https://klasma.github.io/Logging_2361/tillsynsmail/A 12806-2019 tillsynsbegäran mail.docx", "A 12806-2019")</f>
        <v/>
      </c>
    </row>
    <row r="79" ht="15" customHeight="1">
      <c r="A79" t="inlineStr">
        <is>
          <t>A 35719-2019</t>
        </is>
      </c>
      <c r="B79" s="1" t="n">
        <v>43664</v>
      </c>
      <c r="C79" s="1" t="n">
        <v>45294</v>
      </c>
      <c r="D79" t="inlineStr">
        <is>
          <t>JÄMTLANDS LÄN</t>
        </is>
      </c>
      <c r="E79" t="inlineStr">
        <is>
          <t>HÄRJEDALEN</t>
        </is>
      </c>
      <c r="F79" t="inlineStr">
        <is>
          <t>SCA</t>
        </is>
      </c>
      <c r="G79" t="n">
        <v>17.7</v>
      </c>
      <c r="H79" t="n">
        <v>0</v>
      </c>
      <c r="I79" t="n">
        <v>1</v>
      </c>
      <c r="J79" t="n">
        <v>2</v>
      </c>
      <c r="K79" t="n">
        <v>0</v>
      </c>
      <c r="L79" t="n">
        <v>0</v>
      </c>
      <c r="M79" t="n">
        <v>0</v>
      </c>
      <c r="N79" t="n">
        <v>0</v>
      </c>
      <c r="O79" t="n">
        <v>2</v>
      </c>
      <c r="P79" t="n">
        <v>0</v>
      </c>
      <c r="Q79" t="n">
        <v>3</v>
      </c>
      <c r="R79" s="2" t="inlineStr">
        <is>
          <t>Kolflarnlav
Tallticka
Dropptaggsvamp</t>
        </is>
      </c>
      <c r="S79">
        <f>HYPERLINK("https://klasma.github.io/Logging_2361/artfynd/A 35719-2019 artfynd.xlsx", "A 35719-2019")</f>
        <v/>
      </c>
      <c r="T79">
        <f>HYPERLINK("https://klasma.github.io/Logging_2361/kartor/A 35719-2019 karta.png", "A 35719-2019")</f>
        <v/>
      </c>
      <c r="V79">
        <f>HYPERLINK("https://klasma.github.io/Logging_2361/klagomål/A 35719-2019 FSC-klagomål.docx", "A 35719-2019")</f>
        <v/>
      </c>
      <c r="W79">
        <f>HYPERLINK("https://klasma.github.io/Logging_2361/klagomålsmail/A 35719-2019 FSC-klagomål mail.docx", "A 35719-2019")</f>
        <v/>
      </c>
      <c r="X79">
        <f>HYPERLINK("https://klasma.github.io/Logging_2361/tillsyn/A 35719-2019 tillsynsbegäran.docx", "A 35719-2019")</f>
        <v/>
      </c>
      <c r="Y79">
        <f>HYPERLINK("https://klasma.github.io/Logging_2361/tillsynsmail/A 35719-2019 tillsynsbegäran mail.docx", "A 35719-2019")</f>
        <v/>
      </c>
    </row>
    <row r="80" ht="15" customHeight="1">
      <c r="A80" t="inlineStr">
        <is>
          <t>A 41873-2020</t>
        </is>
      </c>
      <c r="B80" s="1" t="n">
        <v>44074</v>
      </c>
      <c r="C80" s="1" t="n">
        <v>45294</v>
      </c>
      <c r="D80" t="inlineStr">
        <is>
          <t>JÄMTLANDS LÄN</t>
        </is>
      </c>
      <c r="E80" t="inlineStr">
        <is>
          <t>HÄRJEDALEN</t>
        </is>
      </c>
      <c r="F80" t="inlineStr">
        <is>
          <t>SCA</t>
        </is>
      </c>
      <c r="G80" t="n">
        <v>2.4</v>
      </c>
      <c r="H80" t="n">
        <v>2</v>
      </c>
      <c r="I80" t="n">
        <v>1</v>
      </c>
      <c r="J80" t="n">
        <v>1</v>
      </c>
      <c r="K80" t="n">
        <v>1</v>
      </c>
      <c r="L80" t="n">
        <v>0</v>
      </c>
      <c r="M80" t="n">
        <v>0</v>
      </c>
      <c r="N80" t="n">
        <v>0</v>
      </c>
      <c r="O80" t="n">
        <v>2</v>
      </c>
      <c r="P80" t="n">
        <v>1</v>
      </c>
      <c r="Q80" t="n">
        <v>3</v>
      </c>
      <c r="R80" s="2" t="inlineStr">
        <is>
          <t>Knärot
Garnlav
Korallrot</t>
        </is>
      </c>
      <c r="S80">
        <f>HYPERLINK("https://klasma.github.io/Logging_2361/artfynd/A 41873-2020 artfynd.xlsx", "A 41873-2020")</f>
        <v/>
      </c>
      <c r="T80">
        <f>HYPERLINK("https://klasma.github.io/Logging_2361/kartor/A 41873-2020 karta.png", "A 41873-2020")</f>
        <v/>
      </c>
      <c r="U80">
        <f>HYPERLINK("https://klasma.github.io/Logging_2361/knärot/A 41873-2020 karta knärot.png", "A 41873-2020")</f>
        <v/>
      </c>
      <c r="V80">
        <f>HYPERLINK("https://klasma.github.io/Logging_2361/klagomål/A 41873-2020 FSC-klagomål.docx", "A 41873-2020")</f>
        <v/>
      </c>
      <c r="W80">
        <f>HYPERLINK("https://klasma.github.io/Logging_2361/klagomålsmail/A 41873-2020 FSC-klagomål mail.docx", "A 41873-2020")</f>
        <v/>
      </c>
      <c r="X80">
        <f>HYPERLINK("https://klasma.github.io/Logging_2361/tillsyn/A 41873-2020 tillsynsbegäran.docx", "A 41873-2020")</f>
        <v/>
      </c>
      <c r="Y80">
        <f>HYPERLINK("https://klasma.github.io/Logging_2361/tillsynsmail/A 41873-2020 tillsynsbegäran mail.docx", "A 41873-2020")</f>
        <v/>
      </c>
    </row>
    <row r="81" ht="15" customHeight="1">
      <c r="A81" t="inlineStr">
        <is>
          <t>A 49864-2020</t>
        </is>
      </c>
      <c r="B81" s="1" t="n">
        <v>44107</v>
      </c>
      <c r="C81" s="1" t="n">
        <v>45294</v>
      </c>
      <c r="D81" t="inlineStr">
        <is>
          <t>JÄMTLANDS LÄN</t>
        </is>
      </c>
      <c r="E81" t="inlineStr">
        <is>
          <t>HÄRJEDALEN</t>
        </is>
      </c>
      <c r="F81" t="inlineStr">
        <is>
          <t>Bergvik skog väst AB</t>
        </is>
      </c>
      <c r="G81" t="n">
        <v>3.2</v>
      </c>
      <c r="H81" t="n">
        <v>1</v>
      </c>
      <c r="I81" t="n">
        <v>0</v>
      </c>
      <c r="J81" t="n">
        <v>3</v>
      </c>
      <c r="K81" t="n">
        <v>0</v>
      </c>
      <c r="L81" t="n">
        <v>0</v>
      </c>
      <c r="M81" t="n">
        <v>0</v>
      </c>
      <c r="N81" t="n">
        <v>0</v>
      </c>
      <c r="O81" t="n">
        <v>3</v>
      </c>
      <c r="P81" t="n">
        <v>0</v>
      </c>
      <c r="Q81" t="n">
        <v>3</v>
      </c>
      <c r="R81" s="2" t="inlineStr">
        <is>
          <t>Garnlav
Granticka
Tretåig hackspett</t>
        </is>
      </c>
      <c r="S81">
        <f>HYPERLINK("https://klasma.github.io/Logging_2361/artfynd/A 49864-2020 artfynd.xlsx", "A 49864-2020")</f>
        <v/>
      </c>
      <c r="T81">
        <f>HYPERLINK("https://klasma.github.io/Logging_2361/kartor/A 49864-2020 karta.png", "A 49864-2020")</f>
        <v/>
      </c>
      <c r="V81">
        <f>HYPERLINK("https://klasma.github.io/Logging_2361/klagomål/A 49864-2020 FSC-klagomål.docx", "A 49864-2020")</f>
        <v/>
      </c>
      <c r="W81">
        <f>HYPERLINK("https://klasma.github.io/Logging_2361/klagomålsmail/A 49864-2020 FSC-klagomål mail.docx", "A 49864-2020")</f>
        <v/>
      </c>
      <c r="X81">
        <f>HYPERLINK("https://klasma.github.io/Logging_2361/tillsyn/A 49864-2020 tillsynsbegäran.docx", "A 49864-2020")</f>
        <v/>
      </c>
      <c r="Y81">
        <f>HYPERLINK("https://klasma.github.io/Logging_2361/tillsynsmail/A 49864-2020 tillsynsbegäran mail.docx", "A 49864-2020")</f>
        <v/>
      </c>
    </row>
    <row r="82" ht="15" customHeight="1">
      <c r="A82" t="inlineStr">
        <is>
          <t>A 49863-2020</t>
        </is>
      </c>
      <c r="B82" s="1" t="n">
        <v>44107</v>
      </c>
      <c r="C82" s="1" t="n">
        <v>45294</v>
      </c>
      <c r="D82" t="inlineStr">
        <is>
          <t>JÄMTLANDS LÄN</t>
        </is>
      </c>
      <c r="E82" t="inlineStr">
        <is>
          <t>HÄRJEDALEN</t>
        </is>
      </c>
      <c r="F82" t="inlineStr">
        <is>
          <t>Bergvik skog väst AB</t>
        </is>
      </c>
      <c r="G82" t="n">
        <v>12.8</v>
      </c>
      <c r="H82" t="n">
        <v>1</v>
      </c>
      <c r="I82" t="n">
        <v>1</v>
      </c>
      <c r="J82" t="n">
        <v>2</v>
      </c>
      <c r="K82" t="n">
        <v>0</v>
      </c>
      <c r="L82" t="n">
        <v>0</v>
      </c>
      <c r="M82" t="n">
        <v>0</v>
      </c>
      <c r="N82" t="n">
        <v>0</v>
      </c>
      <c r="O82" t="n">
        <v>2</v>
      </c>
      <c r="P82" t="n">
        <v>0</v>
      </c>
      <c r="Q82" t="n">
        <v>3</v>
      </c>
      <c r="R82" s="2" t="inlineStr">
        <is>
          <t>Garnlav
Tretåig hackspett
Trådticka</t>
        </is>
      </c>
      <c r="S82">
        <f>HYPERLINK("https://klasma.github.io/Logging_2361/artfynd/A 49863-2020 artfynd.xlsx", "A 49863-2020")</f>
        <v/>
      </c>
      <c r="T82">
        <f>HYPERLINK("https://klasma.github.io/Logging_2361/kartor/A 49863-2020 karta.png", "A 49863-2020")</f>
        <v/>
      </c>
      <c r="V82">
        <f>HYPERLINK("https://klasma.github.io/Logging_2361/klagomål/A 49863-2020 FSC-klagomål.docx", "A 49863-2020")</f>
        <v/>
      </c>
      <c r="W82">
        <f>HYPERLINK("https://klasma.github.io/Logging_2361/klagomålsmail/A 49863-2020 FSC-klagomål mail.docx", "A 49863-2020")</f>
        <v/>
      </c>
      <c r="X82">
        <f>HYPERLINK("https://klasma.github.io/Logging_2361/tillsyn/A 49863-2020 tillsynsbegäran.docx", "A 49863-2020")</f>
        <v/>
      </c>
      <c r="Y82">
        <f>HYPERLINK("https://klasma.github.io/Logging_2361/tillsynsmail/A 49863-2020 tillsynsbegäran mail.docx", "A 49863-2020")</f>
        <v/>
      </c>
    </row>
    <row r="83" ht="15" customHeight="1">
      <c r="A83" t="inlineStr">
        <is>
          <t>A 65147-2020</t>
        </is>
      </c>
      <c r="B83" s="1" t="n">
        <v>44172</v>
      </c>
      <c r="C83" s="1" t="n">
        <v>45294</v>
      </c>
      <c r="D83" t="inlineStr">
        <is>
          <t>JÄMTLANDS LÄN</t>
        </is>
      </c>
      <c r="E83" t="inlineStr">
        <is>
          <t>HÄRJEDALEN</t>
        </is>
      </c>
      <c r="G83" t="n">
        <v>5.9</v>
      </c>
      <c r="H83" t="n">
        <v>1</v>
      </c>
      <c r="I83" t="n">
        <v>0</v>
      </c>
      <c r="J83" t="n">
        <v>3</v>
      </c>
      <c r="K83" t="n">
        <v>0</v>
      </c>
      <c r="L83" t="n">
        <v>0</v>
      </c>
      <c r="M83" t="n">
        <v>0</v>
      </c>
      <c r="N83" t="n">
        <v>0</v>
      </c>
      <c r="O83" t="n">
        <v>3</v>
      </c>
      <c r="P83" t="n">
        <v>0</v>
      </c>
      <c r="Q83" t="n">
        <v>3</v>
      </c>
      <c r="R83" s="2" t="inlineStr">
        <is>
          <t>Blanksvart spiklav
Garnlav
Varglav</t>
        </is>
      </c>
      <c r="S83">
        <f>HYPERLINK("https://klasma.github.io/Logging_2361/artfynd/A 65147-2020 artfynd.xlsx", "A 65147-2020")</f>
        <v/>
      </c>
      <c r="T83">
        <f>HYPERLINK("https://klasma.github.io/Logging_2361/kartor/A 65147-2020 karta.png", "A 65147-2020")</f>
        <v/>
      </c>
      <c r="V83">
        <f>HYPERLINK("https://klasma.github.io/Logging_2361/klagomål/A 65147-2020 FSC-klagomål.docx", "A 65147-2020")</f>
        <v/>
      </c>
      <c r="W83">
        <f>HYPERLINK("https://klasma.github.io/Logging_2361/klagomålsmail/A 65147-2020 FSC-klagomål mail.docx", "A 65147-2020")</f>
        <v/>
      </c>
      <c r="X83">
        <f>HYPERLINK("https://klasma.github.io/Logging_2361/tillsyn/A 65147-2020 tillsynsbegäran.docx", "A 65147-2020")</f>
        <v/>
      </c>
      <c r="Y83">
        <f>HYPERLINK("https://klasma.github.io/Logging_2361/tillsynsmail/A 65147-2020 tillsynsbegäran mail.docx", "A 65147-2020")</f>
        <v/>
      </c>
    </row>
    <row r="84" ht="15" customHeight="1">
      <c r="A84" t="inlineStr">
        <is>
          <t>A 67126-2020</t>
        </is>
      </c>
      <c r="B84" s="1" t="n">
        <v>44180</v>
      </c>
      <c r="C84" s="1" t="n">
        <v>45294</v>
      </c>
      <c r="D84" t="inlineStr">
        <is>
          <t>JÄMTLANDS LÄN</t>
        </is>
      </c>
      <c r="E84" t="inlineStr">
        <is>
          <t>HÄRJEDALEN</t>
        </is>
      </c>
      <c r="F84" t="inlineStr">
        <is>
          <t>Holmen skog AB</t>
        </is>
      </c>
      <c r="G84" t="n">
        <v>0.2</v>
      </c>
      <c r="H84" t="n">
        <v>0</v>
      </c>
      <c r="I84" t="n">
        <v>0</v>
      </c>
      <c r="J84" t="n">
        <v>3</v>
      </c>
      <c r="K84" t="n">
        <v>0</v>
      </c>
      <c r="L84" t="n">
        <v>0</v>
      </c>
      <c r="M84" t="n">
        <v>0</v>
      </c>
      <c r="N84" t="n">
        <v>0</v>
      </c>
      <c r="O84" t="n">
        <v>3</v>
      </c>
      <c r="P84" t="n">
        <v>0</v>
      </c>
      <c r="Q84" t="n">
        <v>3</v>
      </c>
      <c r="R84" s="2" t="inlineStr">
        <is>
          <t>Granticka
Mörk kolflarnlav
Ullticka</t>
        </is>
      </c>
      <c r="S84">
        <f>HYPERLINK("https://klasma.github.io/Logging_2361/artfynd/A 67126-2020 artfynd.xlsx", "A 67126-2020")</f>
        <v/>
      </c>
      <c r="T84">
        <f>HYPERLINK("https://klasma.github.io/Logging_2361/kartor/A 67126-2020 karta.png", "A 67126-2020")</f>
        <v/>
      </c>
      <c r="V84">
        <f>HYPERLINK("https://klasma.github.io/Logging_2361/klagomål/A 67126-2020 FSC-klagomål.docx", "A 67126-2020")</f>
        <v/>
      </c>
      <c r="W84">
        <f>HYPERLINK("https://klasma.github.io/Logging_2361/klagomålsmail/A 67126-2020 FSC-klagomål mail.docx", "A 67126-2020")</f>
        <v/>
      </c>
      <c r="X84">
        <f>HYPERLINK("https://klasma.github.io/Logging_2361/tillsyn/A 67126-2020 tillsynsbegäran.docx", "A 67126-2020")</f>
        <v/>
      </c>
      <c r="Y84">
        <f>HYPERLINK("https://klasma.github.io/Logging_2361/tillsynsmail/A 67126-2020 tillsynsbegäran mail.docx", "A 67126-2020")</f>
        <v/>
      </c>
    </row>
    <row r="85" ht="15" customHeight="1">
      <c r="A85" t="inlineStr">
        <is>
          <t>A 55244-2021</t>
        </is>
      </c>
      <c r="B85" s="1" t="n">
        <v>44475</v>
      </c>
      <c r="C85" s="1" t="n">
        <v>45294</v>
      </c>
      <c r="D85" t="inlineStr">
        <is>
          <t>JÄMTLANDS LÄN</t>
        </is>
      </c>
      <c r="E85" t="inlineStr">
        <is>
          <t>HÄRJEDALEN</t>
        </is>
      </c>
      <c r="G85" t="n">
        <v>1.6</v>
      </c>
      <c r="H85" t="n">
        <v>1</v>
      </c>
      <c r="I85" t="n">
        <v>0</v>
      </c>
      <c r="J85" t="n">
        <v>3</v>
      </c>
      <c r="K85" t="n">
        <v>0</v>
      </c>
      <c r="L85" t="n">
        <v>0</v>
      </c>
      <c r="M85" t="n">
        <v>0</v>
      </c>
      <c r="N85" t="n">
        <v>0</v>
      </c>
      <c r="O85" t="n">
        <v>3</v>
      </c>
      <c r="P85" t="n">
        <v>0</v>
      </c>
      <c r="Q85" t="n">
        <v>3</v>
      </c>
      <c r="R85" s="2" t="inlineStr">
        <is>
          <t>Tallticka
Varglav
Vedflamlav</t>
        </is>
      </c>
      <c r="S85">
        <f>HYPERLINK("https://klasma.github.io/Logging_2361/artfynd/A 55244-2021 artfynd.xlsx", "A 55244-2021")</f>
        <v/>
      </c>
      <c r="T85">
        <f>HYPERLINK("https://klasma.github.io/Logging_2361/kartor/A 55244-2021 karta.png", "A 55244-2021")</f>
        <v/>
      </c>
      <c r="V85">
        <f>HYPERLINK("https://klasma.github.io/Logging_2361/klagomål/A 55244-2021 FSC-klagomål.docx", "A 55244-2021")</f>
        <v/>
      </c>
      <c r="W85">
        <f>HYPERLINK("https://klasma.github.io/Logging_2361/klagomålsmail/A 55244-2021 FSC-klagomål mail.docx", "A 55244-2021")</f>
        <v/>
      </c>
      <c r="X85">
        <f>HYPERLINK("https://klasma.github.io/Logging_2361/tillsyn/A 55244-2021 tillsynsbegäran.docx", "A 55244-2021")</f>
        <v/>
      </c>
      <c r="Y85">
        <f>HYPERLINK("https://klasma.github.io/Logging_2361/tillsynsmail/A 55244-2021 tillsynsbegäran mail.docx", "A 55244-2021")</f>
        <v/>
      </c>
    </row>
    <row r="86" ht="15" customHeight="1">
      <c r="A86" t="inlineStr">
        <is>
          <t>A 55233-2021</t>
        </is>
      </c>
      <c r="B86" s="1" t="n">
        <v>44475</v>
      </c>
      <c r="C86" s="1" t="n">
        <v>45294</v>
      </c>
      <c r="D86" t="inlineStr">
        <is>
          <t>JÄMTLANDS LÄN</t>
        </is>
      </c>
      <c r="E86" t="inlineStr">
        <is>
          <t>HÄRJEDALEN</t>
        </is>
      </c>
      <c r="G86" t="n">
        <v>15.3</v>
      </c>
      <c r="H86" t="n">
        <v>1</v>
      </c>
      <c r="I86" t="n">
        <v>0</v>
      </c>
      <c r="J86" t="n">
        <v>3</v>
      </c>
      <c r="K86" t="n">
        <v>0</v>
      </c>
      <c r="L86" t="n">
        <v>0</v>
      </c>
      <c r="M86" t="n">
        <v>0</v>
      </c>
      <c r="N86" t="n">
        <v>0</v>
      </c>
      <c r="O86" t="n">
        <v>3</v>
      </c>
      <c r="P86" t="n">
        <v>0</v>
      </c>
      <c r="Q86" t="n">
        <v>3</v>
      </c>
      <c r="R86" s="2" t="inlineStr">
        <is>
          <t>Reliktbock
Varglav
Vedflamlav</t>
        </is>
      </c>
      <c r="S86">
        <f>HYPERLINK("https://klasma.github.io/Logging_2361/artfynd/A 55233-2021 artfynd.xlsx", "A 55233-2021")</f>
        <v/>
      </c>
      <c r="T86">
        <f>HYPERLINK("https://klasma.github.io/Logging_2361/kartor/A 55233-2021 karta.png", "A 55233-2021")</f>
        <v/>
      </c>
      <c r="V86">
        <f>HYPERLINK("https://klasma.github.io/Logging_2361/klagomål/A 55233-2021 FSC-klagomål.docx", "A 55233-2021")</f>
        <v/>
      </c>
      <c r="W86">
        <f>HYPERLINK("https://klasma.github.io/Logging_2361/klagomålsmail/A 55233-2021 FSC-klagomål mail.docx", "A 55233-2021")</f>
        <v/>
      </c>
      <c r="X86">
        <f>HYPERLINK("https://klasma.github.io/Logging_2361/tillsyn/A 55233-2021 tillsynsbegäran.docx", "A 55233-2021")</f>
        <v/>
      </c>
      <c r="Y86">
        <f>HYPERLINK("https://klasma.github.io/Logging_2361/tillsynsmail/A 55233-2021 tillsynsbegäran mail.docx", "A 55233-2021")</f>
        <v/>
      </c>
    </row>
    <row r="87" ht="15" customHeight="1">
      <c r="A87" t="inlineStr">
        <is>
          <t>A 55394-2021</t>
        </is>
      </c>
      <c r="B87" s="1" t="n">
        <v>44475</v>
      </c>
      <c r="C87" s="1" t="n">
        <v>45294</v>
      </c>
      <c r="D87" t="inlineStr">
        <is>
          <t>JÄMTLANDS LÄN</t>
        </is>
      </c>
      <c r="E87" t="inlineStr">
        <is>
          <t>HÄRJEDALEN</t>
        </is>
      </c>
      <c r="G87" t="n">
        <v>2.7</v>
      </c>
      <c r="H87" t="n">
        <v>1</v>
      </c>
      <c r="I87" t="n">
        <v>0</v>
      </c>
      <c r="J87" t="n">
        <v>3</v>
      </c>
      <c r="K87" t="n">
        <v>0</v>
      </c>
      <c r="L87" t="n">
        <v>0</v>
      </c>
      <c r="M87" t="n">
        <v>0</v>
      </c>
      <c r="N87" t="n">
        <v>0</v>
      </c>
      <c r="O87" t="n">
        <v>3</v>
      </c>
      <c r="P87" t="n">
        <v>0</v>
      </c>
      <c r="Q87" t="n">
        <v>3</v>
      </c>
      <c r="R87" s="2" t="inlineStr">
        <is>
          <t>Blanksvart spiklav
Varglav
Vedflamlav</t>
        </is>
      </c>
      <c r="S87">
        <f>HYPERLINK("https://klasma.github.io/Logging_2361/artfynd/A 55394-2021 artfynd.xlsx", "A 55394-2021")</f>
        <v/>
      </c>
      <c r="T87">
        <f>HYPERLINK("https://klasma.github.io/Logging_2361/kartor/A 55394-2021 karta.png", "A 55394-2021")</f>
        <v/>
      </c>
      <c r="V87">
        <f>HYPERLINK("https://klasma.github.io/Logging_2361/klagomål/A 55394-2021 FSC-klagomål.docx", "A 55394-2021")</f>
        <v/>
      </c>
      <c r="W87">
        <f>HYPERLINK("https://klasma.github.io/Logging_2361/klagomålsmail/A 55394-2021 FSC-klagomål mail.docx", "A 55394-2021")</f>
        <v/>
      </c>
      <c r="X87">
        <f>HYPERLINK("https://klasma.github.io/Logging_2361/tillsyn/A 55394-2021 tillsynsbegäran.docx", "A 55394-2021")</f>
        <v/>
      </c>
      <c r="Y87">
        <f>HYPERLINK("https://klasma.github.io/Logging_2361/tillsynsmail/A 55394-2021 tillsynsbegäran mail.docx", "A 55394-2021")</f>
        <v/>
      </c>
    </row>
    <row r="88" ht="15" customHeight="1">
      <c r="A88" t="inlineStr">
        <is>
          <t>A 55641-2021</t>
        </is>
      </c>
      <c r="B88" s="1" t="n">
        <v>44476</v>
      </c>
      <c r="C88" s="1" t="n">
        <v>45294</v>
      </c>
      <c r="D88" t="inlineStr">
        <is>
          <t>JÄMTLANDS LÄN</t>
        </is>
      </c>
      <c r="E88" t="inlineStr">
        <is>
          <t>HÄRJEDALEN</t>
        </is>
      </c>
      <c r="G88" t="n">
        <v>7.6</v>
      </c>
      <c r="H88" t="n">
        <v>1</v>
      </c>
      <c r="I88" t="n">
        <v>0</v>
      </c>
      <c r="J88" t="n">
        <v>3</v>
      </c>
      <c r="K88" t="n">
        <v>0</v>
      </c>
      <c r="L88" t="n">
        <v>0</v>
      </c>
      <c r="M88" t="n">
        <v>0</v>
      </c>
      <c r="N88" t="n">
        <v>0</v>
      </c>
      <c r="O88" t="n">
        <v>3</v>
      </c>
      <c r="P88" t="n">
        <v>0</v>
      </c>
      <c r="Q88" t="n">
        <v>3</v>
      </c>
      <c r="R88" s="2" t="inlineStr">
        <is>
          <t>Brunpudrad nållav
Dvärgbägarlav
Tretåig hackspett</t>
        </is>
      </c>
      <c r="S88">
        <f>HYPERLINK("https://klasma.github.io/Logging_2361/artfynd/A 55641-2021 artfynd.xlsx", "A 55641-2021")</f>
        <v/>
      </c>
      <c r="T88">
        <f>HYPERLINK("https://klasma.github.io/Logging_2361/kartor/A 55641-2021 karta.png", "A 55641-2021")</f>
        <v/>
      </c>
      <c r="V88">
        <f>HYPERLINK("https://klasma.github.io/Logging_2361/klagomål/A 55641-2021 FSC-klagomål.docx", "A 55641-2021")</f>
        <v/>
      </c>
      <c r="W88">
        <f>HYPERLINK("https://klasma.github.io/Logging_2361/klagomålsmail/A 55641-2021 FSC-klagomål mail.docx", "A 55641-2021")</f>
        <v/>
      </c>
      <c r="X88">
        <f>HYPERLINK("https://klasma.github.io/Logging_2361/tillsyn/A 55641-2021 tillsynsbegäran.docx", "A 55641-2021")</f>
        <v/>
      </c>
      <c r="Y88">
        <f>HYPERLINK("https://klasma.github.io/Logging_2361/tillsynsmail/A 55641-2021 tillsynsbegäran mail.docx", "A 55641-2021")</f>
        <v/>
      </c>
    </row>
    <row r="89" ht="15" customHeight="1">
      <c r="A89" t="inlineStr">
        <is>
          <t>A 33914-2022</t>
        </is>
      </c>
      <c r="B89" s="1" t="n">
        <v>44790</v>
      </c>
      <c r="C89" s="1" t="n">
        <v>45294</v>
      </c>
      <c r="D89" t="inlineStr">
        <is>
          <t>JÄMTLANDS LÄN</t>
        </is>
      </c>
      <c r="E89" t="inlineStr">
        <is>
          <t>HÄRJEDALEN</t>
        </is>
      </c>
      <c r="F89" t="inlineStr">
        <is>
          <t>Bergvik skog väst AB</t>
        </is>
      </c>
      <c r="G89" t="n">
        <v>38.1</v>
      </c>
      <c r="H89" t="n">
        <v>3</v>
      </c>
      <c r="I89" t="n">
        <v>0</v>
      </c>
      <c r="J89" t="n">
        <v>2</v>
      </c>
      <c r="K89" t="n">
        <v>0</v>
      </c>
      <c r="L89" t="n">
        <v>0</v>
      </c>
      <c r="M89" t="n">
        <v>0</v>
      </c>
      <c r="N89" t="n">
        <v>0</v>
      </c>
      <c r="O89" t="n">
        <v>2</v>
      </c>
      <c r="P89" t="n">
        <v>0</v>
      </c>
      <c r="Q89" t="n">
        <v>3</v>
      </c>
      <c r="R89" s="2" t="inlineStr">
        <is>
          <t>Spillkråka
Tretåig hackspett
Lavskrika</t>
        </is>
      </c>
      <c r="S89">
        <f>HYPERLINK("https://klasma.github.io/Logging_2361/artfynd/A 33914-2022 artfynd.xlsx", "A 33914-2022")</f>
        <v/>
      </c>
      <c r="T89">
        <f>HYPERLINK("https://klasma.github.io/Logging_2361/kartor/A 33914-2022 karta.png", "A 33914-2022")</f>
        <v/>
      </c>
      <c r="V89">
        <f>HYPERLINK("https://klasma.github.io/Logging_2361/klagomål/A 33914-2022 FSC-klagomål.docx", "A 33914-2022")</f>
        <v/>
      </c>
      <c r="W89">
        <f>HYPERLINK("https://klasma.github.io/Logging_2361/klagomålsmail/A 33914-2022 FSC-klagomål mail.docx", "A 33914-2022")</f>
        <v/>
      </c>
      <c r="X89">
        <f>HYPERLINK("https://klasma.github.io/Logging_2361/tillsyn/A 33914-2022 tillsynsbegäran.docx", "A 33914-2022")</f>
        <v/>
      </c>
      <c r="Y89">
        <f>HYPERLINK("https://klasma.github.io/Logging_2361/tillsynsmail/A 33914-2022 tillsynsbegäran mail.docx", "A 33914-2022")</f>
        <v/>
      </c>
    </row>
    <row r="90" ht="15" customHeight="1">
      <c r="A90" t="inlineStr">
        <is>
          <t>A 34035-2022</t>
        </is>
      </c>
      <c r="B90" s="1" t="n">
        <v>44791</v>
      </c>
      <c r="C90" s="1" t="n">
        <v>45294</v>
      </c>
      <c r="D90" t="inlineStr">
        <is>
          <t>JÄMTLANDS LÄN</t>
        </is>
      </c>
      <c r="E90" t="inlineStr">
        <is>
          <t>HÄRJEDALEN</t>
        </is>
      </c>
      <c r="F90" t="inlineStr">
        <is>
          <t>Naturvårdsverket</t>
        </is>
      </c>
      <c r="G90" t="n">
        <v>27.4</v>
      </c>
      <c r="H90" t="n">
        <v>0</v>
      </c>
      <c r="I90" t="n">
        <v>0</v>
      </c>
      <c r="J90" t="n">
        <v>3</v>
      </c>
      <c r="K90" t="n">
        <v>0</v>
      </c>
      <c r="L90" t="n">
        <v>0</v>
      </c>
      <c r="M90" t="n">
        <v>0</v>
      </c>
      <c r="N90" t="n">
        <v>0</v>
      </c>
      <c r="O90" t="n">
        <v>3</v>
      </c>
      <c r="P90" t="n">
        <v>0</v>
      </c>
      <c r="Q90" t="n">
        <v>3</v>
      </c>
      <c r="R90" s="2" t="inlineStr">
        <is>
          <t>Gammelgransskål
Garnlav
Gränsticka</t>
        </is>
      </c>
      <c r="S90">
        <f>HYPERLINK("https://klasma.github.io/Logging_2361/artfynd/A 34035-2022 artfynd.xlsx", "A 34035-2022")</f>
        <v/>
      </c>
      <c r="T90">
        <f>HYPERLINK("https://klasma.github.io/Logging_2361/kartor/A 34035-2022 karta.png", "A 34035-2022")</f>
        <v/>
      </c>
      <c r="V90">
        <f>HYPERLINK("https://klasma.github.io/Logging_2361/klagomål/A 34035-2022 FSC-klagomål.docx", "A 34035-2022")</f>
        <v/>
      </c>
      <c r="W90">
        <f>HYPERLINK("https://klasma.github.io/Logging_2361/klagomålsmail/A 34035-2022 FSC-klagomål mail.docx", "A 34035-2022")</f>
        <v/>
      </c>
      <c r="X90">
        <f>HYPERLINK("https://klasma.github.io/Logging_2361/tillsyn/A 34035-2022 tillsynsbegäran.docx", "A 34035-2022")</f>
        <v/>
      </c>
      <c r="Y90">
        <f>HYPERLINK("https://klasma.github.io/Logging_2361/tillsynsmail/A 34035-2022 tillsynsbegäran mail.docx", "A 34035-2022")</f>
        <v/>
      </c>
    </row>
    <row r="91" ht="15" customHeight="1">
      <c r="A91" t="inlineStr">
        <is>
          <t>A 55383-2022</t>
        </is>
      </c>
      <c r="B91" s="1" t="n">
        <v>44882</v>
      </c>
      <c r="C91" s="1" t="n">
        <v>45294</v>
      </c>
      <c r="D91" t="inlineStr">
        <is>
          <t>JÄMTLANDS LÄN</t>
        </is>
      </c>
      <c r="E91" t="inlineStr">
        <is>
          <t>HÄRJEDALEN</t>
        </is>
      </c>
      <c r="G91" t="n">
        <v>11</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row>
    <row r="92" ht="15" customHeight="1">
      <c r="A92" t="inlineStr">
        <is>
          <t>A 14060-2023</t>
        </is>
      </c>
      <c r="B92" s="1" t="n">
        <v>45007</v>
      </c>
      <c r="C92" s="1" t="n">
        <v>45294</v>
      </c>
      <c r="D92" t="inlineStr">
        <is>
          <t>JÄMTLANDS LÄN</t>
        </is>
      </c>
      <c r="E92" t="inlineStr">
        <is>
          <t>HÄRJEDALEN</t>
        </is>
      </c>
      <c r="F92" t="inlineStr">
        <is>
          <t>Bergvik skog väst AB</t>
        </is>
      </c>
      <c r="G92" t="n">
        <v>6.7</v>
      </c>
      <c r="H92" t="n">
        <v>0</v>
      </c>
      <c r="I92" t="n">
        <v>0</v>
      </c>
      <c r="J92" t="n">
        <v>0</v>
      </c>
      <c r="K92" t="n">
        <v>2</v>
      </c>
      <c r="L92" t="n">
        <v>1</v>
      </c>
      <c r="M92" t="n">
        <v>0</v>
      </c>
      <c r="N92" t="n">
        <v>0</v>
      </c>
      <c r="O92" t="n">
        <v>3</v>
      </c>
      <c r="P92" t="n">
        <v>3</v>
      </c>
      <c r="Q92" t="n">
        <v>3</v>
      </c>
      <c r="R92" s="2" t="inlineStr">
        <is>
          <t>Urskogsporing
Fläckporing
Gräddporing</t>
        </is>
      </c>
      <c r="S92">
        <f>HYPERLINK("https://klasma.github.io/Logging_2361/artfynd/A 14060-2023 artfynd.xlsx", "A 14060-2023")</f>
        <v/>
      </c>
      <c r="T92">
        <f>HYPERLINK("https://klasma.github.io/Logging_2361/kartor/A 14060-2023 karta.png", "A 14060-2023")</f>
        <v/>
      </c>
      <c r="V92">
        <f>HYPERLINK("https://klasma.github.io/Logging_2361/klagomål/A 14060-2023 FSC-klagomål.docx", "A 14060-2023")</f>
        <v/>
      </c>
      <c r="W92">
        <f>HYPERLINK("https://klasma.github.io/Logging_2361/klagomålsmail/A 14060-2023 FSC-klagomål mail.docx", "A 14060-2023")</f>
        <v/>
      </c>
      <c r="X92">
        <f>HYPERLINK("https://klasma.github.io/Logging_2361/tillsyn/A 14060-2023 tillsynsbegäran.docx", "A 14060-2023")</f>
        <v/>
      </c>
      <c r="Y92">
        <f>HYPERLINK("https://klasma.github.io/Logging_2361/tillsynsmail/A 14060-2023 tillsynsbegäran mail.docx", "A 14060-2023")</f>
        <v/>
      </c>
    </row>
    <row r="93" ht="15" customHeight="1">
      <c r="A93" t="inlineStr">
        <is>
          <t>A 19659-2023</t>
        </is>
      </c>
      <c r="B93" s="1" t="n">
        <v>45050</v>
      </c>
      <c r="C93" s="1" t="n">
        <v>45294</v>
      </c>
      <c r="D93" t="inlineStr">
        <is>
          <t>JÄMTLANDS LÄN</t>
        </is>
      </c>
      <c r="E93" t="inlineStr">
        <is>
          <t>HÄRJEDALEN</t>
        </is>
      </c>
      <c r="F93" t="inlineStr">
        <is>
          <t>Bergvik skog väst AB</t>
        </is>
      </c>
      <c r="G93" t="n">
        <v>2.8</v>
      </c>
      <c r="H93" t="n">
        <v>0</v>
      </c>
      <c r="I93" t="n">
        <v>0</v>
      </c>
      <c r="J93" t="n">
        <v>3</v>
      </c>
      <c r="K93" t="n">
        <v>0</v>
      </c>
      <c r="L93" t="n">
        <v>0</v>
      </c>
      <c r="M93" t="n">
        <v>0</v>
      </c>
      <c r="N93" t="n">
        <v>0</v>
      </c>
      <c r="O93" t="n">
        <v>3</v>
      </c>
      <c r="P93" t="n">
        <v>0</v>
      </c>
      <c r="Q93" t="n">
        <v>3</v>
      </c>
      <c r="R93" s="2" t="inlineStr">
        <is>
          <t>Gäckporing
Nordtagging
Vedskivlav</t>
        </is>
      </c>
      <c r="S93">
        <f>HYPERLINK("https://klasma.github.io/Logging_2361/artfynd/A 19659-2023 artfynd.xlsx", "A 19659-2023")</f>
        <v/>
      </c>
      <c r="T93">
        <f>HYPERLINK("https://klasma.github.io/Logging_2361/kartor/A 19659-2023 karta.png", "A 19659-2023")</f>
        <v/>
      </c>
      <c r="V93">
        <f>HYPERLINK("https://klasma.github.io/Logging_2361/klagomål/A 19659-2023 FSC-klagomål.docx", "A 19659-2023")</f>
        <v/>
      </c>
      <c r="W93">
        <f>HYPERLINK("https://klasma.github.io/Logging_2361/klagomålsmail/A 19659-2023 FSC-klagomål mail.docx", "A 19659-2023")</f>
        <v/>
      </c>
      <c r="X93">
        <f>HYPERLINK("https://klasma.github.io/Logging_2361/tillsyn/A 19659-2023 tillsynsbegäran.docx", "A 19659-2023")</f>
        <v/>
      </c>
      <c r="Y93">
        <f>HYPERLINK("https://klasma.github.io/Logging_2361/tillsynsmail/A 19659-2023 tillsynsbegäran mail.docx", "A 19659-2023")</f>
        <v/>
      </c>
    </row>
    <row r="94" ht="15" customHeight="1">
      <c r="A94" t="inlineStr">
        <is>
          <t>A 24955-2023</t>
        </is>
      </c>
      <c r="B94" s="1" t="n">
        <v>45085</v>
      </c>
      <c r="C94" s="1" t="n">
        <v>45294</v>
      </c>
      <c r="D94" t="inlineStr">
        <is>
          <t>JÄMTLANDS LÄN</t>
        </is>
      </c>
      <c r="E94" t="inlineStr">
        <is>
          <t>HÄRJEDALEN</t>
        </is>
      </c>
      <c r="G94" t="n">
        <v>7.7</v>
      </c>
      <c r="H94" t="n">
        <v>1</v>
      </c>
      <c r="I94" t="n">
        <v>0</v>
      </c>
      <c r="J94" t="n">
        <v>3</v>
      </c>
      <c r="K94" t="n">
        <v>0</v>
      </c>
      <c r="L94" t="n">
        <v>0</v>
      </c>
      <c r="M94" t="n">
        <v>0</v>
      </c>
      <c r="N94" t="n">
        <v>0</v>
      </c>
      <c r="O94" t="n">
        <v>3</v>
      </c>
      <c r="P94" t="n">
        <v>0</v>
      </c>
      <c r="Q94" t="n">
        <v>3</v>
      </c>
      <c r="R94" s="2" t="inlineStr">
        <is>
          <t>Brunpudrad nållav
Dvärgbägarlav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row>
    <row r="95" ht="15" customHeight="1">
      <c r="A95" t="inlineStr">
        <is>
          <t>A 57572-2023</t>
        </is>
      </c>
      <c r="B95" s="1" t="n">
        <v>45246</v>
      </c>
      <c r="C95" s="1" t="n">
        <v>45294</v>
      </c>
      <c r="D95" t="inlineStr">
        <is>
          <t>JÄMTLANDS LÄN</t>
        </is>
      </c>
      <c r="E95" t="inlineStr">
        <is>
          <t>HÄRJEDALEN</t>
        </is>
      </c>
      <c r="G95" t="n">
        <v>40.5</v>
      </c>
      <c r="H95" t="n">
        <v>0</v>
      </c>
      <c r="I95" t="n">
        <v>0</v>
      </c>
      <c r="J95" t="n">
        <v>2</v>
      </c>
      <c r="K95" t="n">
        <v>1</v>
      </c>
      <c r="L95" t="n">
        <v>0</v>
      </c>
      <c r="M95" t="n">
        <v>0</v>
      </c>
      <c r="N95" t="n">
        <v>0</v>
      </c>
      <c r="O95" t="n">
        <v>3</v>
      </c>
      <c r="P95" t="n">
        <v>1</v>
      </c>
      <c r="Q95" t="n">
        <v>3</v>
      </c>
      <c r="R95" s="2" t="inlineStr">
        <is>
          <t>Gräddporing
Nordtagging
Skrovellav</t>
        </is>
      </c>
      <c r="S95">
        <f>HYPERLINK("https://klasma.github.io/Logging_2361/artfynd/A 57572-2023 artfynd.xlsx", "A 57572-2023")</f>
        <v/>
      </c>
      <c r="T95">
        <f>HYPERLINK("https://klasma.github.io/Logging_2361/kartor/A 57572-2023 karta.png", "A 57572-2023")</f>
        <v/>
      </c>
      <c r="V95">
        <f>HYPERLINK("https://klasma.github.io/Logging_2361/klagomål/A 57572-2023 FSC-klagomål.docx", "A 57572-2023")</f>
        <v/>
      </c>
      <c r="W95">
        <f>HYPERLINK("https://klasma.github.io/Logging_2361/klagomålsmail/A 57572-2023 FSC-klagomål mail.docx", "A 57572-2023")</f>
        <v/>
      </c>
      <c r="X95">
        <f>HYPERLINK("https://klasma.github.io/Logging_2361/tillsyn/A 57572-2023 tillsynsbegäran.docx", "A 57572-2023")</f>
        <v/>
      </c>
      <c r="Y95">
        <f>HYPERLINK("https://klasma.github.io/Logging_2361/tillsynsmail/A 57572-2023 tillsynsbegäran mail.docx", "A 57572-2023")</f>
        <v/>
      </c>
    </row>
    <row r="96" ht="15" customHeight="1">
      <c r="A96" t="inlineStr">
        <is>
          <t>A 28321-2019</t>
        </is>
      </c>
      <c r="B96" s="1" t="n">
        <v>43623</v>
      </c>
      <c r="C96" s="1" t="n">
        <v>45294</v>
      </c>
      <c r="D96" t="inlineStr">
        <is>
          <t>JÄMTLANDS LÄN</t>
        </is>
      </c>
      <c r="E96" t="inlineStr">
        <is>
          <t>HÄRJEDALEN</t>
        </is>
      </c>
      <c r="F96" t="inlineStr">
        <is>
          <t>Sveaskog</t>
        </is>
      </c>
      <c r="G96" t="n">
        <v>3.3</v>
      </c>
      <c r="H96" t="n">
        <v>0</v>
      </c>
      <c r="I96" t="n">
        <v>0</v>
      </c>
      <c r="J96" t="n">
        <v>2</v>
      </c>
      <c r="K96" t="n">
        <v>0</v>
      </c>
      <c r="L96" t="n">
        <v>0</v>
      </c>
      <c r="M96" t="n">
        <v>0</v>
      </c>
      <c r="N96" t="n">
        <v>0</v>
      </c>
      <c r="O96" t="n">
        <v>2</v>
      </c>
      <c r="P96" t="n">
        <v>0</v>
      </c>
      <c r="Q96" t="n">
        <v>2</v>
      </c>
      <c r="R96" s="2" t="inlineStr">
        <is>
          <t>Garnlav
Kolflarnlav</t>
        </is>
      </c>
      <c r="S96">
        <f>HYPERLINK("https://klasma.github.io/Logging_2361/artfynd/A 28321-2019 artfynd.xlsx", "A 28321-2019")</f>
        <v/>
      </c>
      <c r="T96">
        <f>HYPERLINK("https://klasma.github.io/Logging_2361/kartor/A 28321-2019 karta.png", "A 28321-2019")</f>
        <v/>
      </c>
      <c r="V96">
        <f>HYPERLINK("https://klasma.github.io/Logging_2361/klagomål/A 28321-2019 FSC-klagomål.docx", "A 28321-2019")</f>
        <v/>
      </c>
      <c r="W96">
        <f>HYPERLINK("https://klasma.github.io/Logging_2361/klagomålsmail/A 28321-2019 FSC-klagomål mail.docx", "A 28321-2019")</f>
        <v/>
      </c>
      <c r="X96">
        <f>HYPERLINK("https://klasma.github.io/Logging_2361/tillsyn/A 28321-2019 tillsynsbegäran.docx", "A 28321-2019")</f>
        <v/>
      </c>
      <c r="Y96">
        <f>HYPERLINK("https://klasma.github.io/Logging_2361/tillsynsmail/A 28321-2019 tillsynsbegäran mail.docx", "A 28321-2019")</f>
        <v/>
      </c>
    </row>
    <row r="97" ht="15" customHeight="1">
      <c r="A97" t="inlineStr">
        <is>
          <t>A 29265-2019</t>
        </is>
      </c>
      <c r="B97" s="1" t="n">
        <v>43629</v>
      </c>
      <c r="C97" s="1" t="n">
        <v>45294</v>
      </c>
      <c r="D97" t="inlineStr">
        <is>
          <t>JÄMTLANDS LÄN</t>
        </is>
      </c>
      <c r="E97" t="inlineStr">
        <is>
          <t>HÄRJEDALEN</t>
        </is>
      </c>
      <c r="F97" t="inlineStr">
        <is>
          <t>Holmen skog AB</t>
        </is>
      </c>
      <c r="G97" t="n">
        <v>2.2</v>
      </c>
      <c r="H97" t="n">
        <v>0</v>
      </c>
      <c r="I97" t="n">
        <v>0</v>
      </c>
      <c r="J97" t="n">
        <v>1</v>
      </c>
      <c r="K97" t="n">
        <v>1</v>
      </c>
      <c r="L97" t="n">
        <v>0</v>
      </c>
      <c r="M97" t="n">
        <v>0</v>
      </c>
      <c r="N97" t="n">
        <v>0</v>
      </c>
      <c r="O97" t="n">
        <v>2</v>
      </c>
      <c r="P97" t="n">
        <v>1</v>
      </c>
      <c r="Q97" t="n">
        <v>2</v>
      </c>
      <c r="R97" s="2" t="inlineStr">
        <is>
          <t>Goliatmusseron
Blå taggsvamp</t>
        </is>
      </c>
      <c r="S97">
        <f>HYPERLINK("https://klasma.github.io/Logging_2361/artfynd/A 29265-2019 artfynd.xlsx", "A 29265-2019")</f>
        <v/>
      </c>
      <c r="T97">
        <f>HYPERLINK("https://klasma.github.io/Logging_2361/kartor/A 29265-2019 karta.png", "A 29265-2019")</f>
        <v/>
      </c>
      <c r="V97">
        <f>HYPERLINK("https://klasma.github.io/Logging_2361/klagomål/A 29265-2019 FSC-klagomål.docx", "A 29265-2019")</f>
        <v/>
      </c>
      <c r="W97">
        <f>HYPERLINK("https://klasma.github.io/Logging_2361/klagomålsmail/A 29265-2019 FSC-klagomål mail.docx", "A 29265-2019")</f>
        <v/>
      </c>
      <c r="X97">
        <f>HYPERLINK("https://klasma.github.io/Logging_2361/tillsyn/A 29265-2019 tillsynsbegäran.docx", "A 29265-2019")</f>
        <v/>
      </c>
      <c r="Y97">
        <f>HYPERLINK("https://klasma.github.io/Logging_2361/tillsynsmail/A 29265-2019 tillsynsbegäran mail.docx", "A 29265-2019")</f>
        <v/>
      </c>
    </row>
    <row r="98" ht="15" customHeight="1">
      <c r="A98" t="inlineStr">
        <is>
          <t>A 32481-2019</t>
        </is>
      </c>
      <c r="B98" s="1" t="n">
        <v>43644</v>
      </c>
      <c r="C98" s="1" t="n">
        <v>45294</v>
      </c>
      <c r="D98" t="inlineStr">
        <is>
          <t>JÄMTLANDS LÄN</t>
        </is>
      </c>
      <c r="E98" t="inlineStr">
        <is>
          <t>HÄRJEDALEN</t>
        </is>
      </c>
      <c r="F98" t="inlineStr">
        <is>
          <t>SCA</t>
        </is>
      </c>
      <c r="G98" t="n">
        <v>2.3</v>
      </c>
      <c r="H98" t="n">
        <v>0</v>
      </c>
      <c r="I98" t="n">
        <v>0</v>
      </c>
      <c r="J98" t="n">
        <v>2</v>
      </c>
      <c r="K98" t="n">
        <v>0</v>
      </c>
      <c r="L98" t="n">
        <v>0</v>
      </c>
      <c r="M98" t="n">
        <v>0</v>
      </c>
      <c r="N98" t="n">
        <v>0</v>
      </c>
      <c r="O98" t="n">
        <v>2</v>
      </c>
      <c r="P98" t="n">
        <v>0</v>
      </c>
      <c r="Q98" t="n">
        <v>2</v>
      </c>
      <c r="R98" s="2" t="inlineStr">
        <is>
          <t>Blågrå svartspik
Mörk kolflarnlav</t>
        </is>
      </c>
      <c r="S98">
        <f>HYPERLINK("https://klasma.github.io/Logging_2361/artfynd/A 32481-2019 artfynd.xlsx", "A 32481-2019")</f>
        <v/>
      </c>
      <c r="T98">
        <f>HYPERLINK("https://klasma.github.io/Logging_2361/kartor/A 32481-2019 karta.png", "A 32481-2019")</f>
        <v/>
      </c>
      <c r="V98">
        <f>HYPERLINK("https://klasma.github.io/Logging_2361/klagomål/A 32481-2019 FSC-klagomål.docx", "A 32481-2019")</f>
        <v/>
      </c>
      <c r="W98">
        <f>HYPERLINK("https://klasma.github.io/Logging_2361/klagomålsmail/A 32481-2019 FSC-klagomål mail.docx", "A 32481-2019")</f>
        <v/>
      </c>
      <c r="X98">
        <f>HYPERLINK("https://klasma.github.io/Logging_2361/tillsyn/A 32481-2019 tillsynsbegäran.docx", "A 32481-2019")</f>
        <v/>
      </c>
      <c r="Y98">
        <f>HYPERLINK("https://klasma.github.io/Logging_2361/tillsynsmail/A 32481-2019 tillsynsbegäran mail.docx", "A 32481-2019")</f>
        <v/>
      </c>
    </row>
    <row r="99" ht="15" customHeight="1">
      <c r="A99" t="inlineStr">
        <is>
          <t>A 4356-2020</t>
        </is>
      </c>
      <c r="B99" s="1" t="n">
        <v>43857</v>
      </c>
      <c r="C99" s="1" t="n">
        <v>45294</v>
      </c>
      <c r="D99" t="inlineStr">
        <is>
          <t>JÄMTLANDS LÄN</t>
        </is>
      </c>
      <c r="E99" t="inlineStr">
        <is>
          <t>HÄRJEDALEN</t>
        </is>
      </c>
      <c r="F99" t="inlineStr">
        <is>
          <t>Bergvik skog väst AB</t>
        </is>
      </c>
      <c r="G99" t="n">
        <v>51.2</v>
      </c>
      <c r="H99" t="n">
        <v>1</v>
      </c>
      <c r="I99" t="n">
        <v>0</v>
      </c>
      <c r="J99" t="n">
        <v>2</v>
      </c>
      <c r="K99" t="n">
        <v>0</v>
      </c>
      <c r="L99" t="n">
        <v>0</v>
      </c>
      <c r="M99" t="n">
        <v>0</v>
      </c>
      <c r="N99" t="n">
        <v>0</v>
      </c>
      <c r="O99" t="n">
        <v>2</v>
      </c>
      <c r="P99" t="n">
        <v>0</v>
      </c>
      <c r="Q99" t="n">
        <v>2</v>
      </c>
      <c r="R99" s="2" t="inlineStr">
        <is>
          <t>Harticka
Tretåig hackspett</t>
        </is>
      </c>
      <c r="S99">
        <f>HYPERLINK("https://klasma.github.io/Logging_2361/artfynd/A 4356-2020 artfynd.xlsx", "A 4356-2020")</f>
        <v/>
      </c>
      <c r="T99">
        <f>HYPERLINK("https://klasma.github.io/Logging_2361/kartor/A 4356-2020 karta.png", "A 4356-2020")</f>
        <v/>
      </c>
      <c r="V99">
        <f>HYPERLINK("https://klasma.github.io/Logging_2361/klagomål/A 4356-2020 FSC-klagomål.docx", "A 4356-2020")</f>
        <v/>
      </c>
      <c r="W99">
        <f>HYPERLINK("https://klasma.github.io/Logging_2361/klagomålsmail/A 4356-2020 FSC-klagomål mail.docx", "A 4356-2020")</f>
        <v/>
      </c>
      <c r="X99">
        <f>HYPERLINK("https://klasma.github.io/Logging_2361/tillsyn/A 4356-2020 tillsynsbegäran.docx", "A 4356-2020")</f>
        <v/>
      </c>
      <c r="Y99">
        <f>HYPERLINK("https://klasma.github.io/Logging_2361/tillsynsmail/A 4356-2020 tillsynsbegäran mail.docx", "A 4356-2020")</f>
        <v/>
      </c>
    </row>
    <row r="100" ht="15" customHeight="1">
      <c r="A100" t="inlineStr">
        <is>
          <t>A 9510-2020</t>
        </is>
      </c>
      <c r="B100" s="1" t="n">
        <v>43880</v>
      </c>
      <c r="C100" s="1" t="n">
        <v>45294</v>
      </c>
      <c r="D100" t="inlineStr">
        <is>
          <t>JÄMTLANDS LÄN</t>
        </is>
      </c>
      <c r="E100" t="inlineStr">
        <is>
          <t>HÄRJEDALEN</t>
        </is>
      </c>
      <c r="F100" t="inlineStr">
        <is>
          <t>Bergvik skog väst AB</t>
        </is>
      </c>
      <c r="G100" t="n">
        <v>18.7</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HYPERLINK("https://klasma.github.io/Logging_2361/artfynd/A 9510-2020 artfynd.xlsx", "A 9510-2020")</f>
        <v/>
      </c>
      <c r="T100">
        <f>HYPERLINK("https://klasma.github.io/Logging_2361/kartor/A 9510-2020 karta.png", "A 9510-2020")</f>
        <v/>
      </c>
      <c r="V100">
        <f>HYPERLINK("https://klasma.github.io/Logging_2361/klagomål/A 9510-2020 FSC-klagomål.docx", "A 9510-2020")</f>
        <v/>
      </c>
      <c r="W100">
        <f>HYPERLINK("https://klasma.github.io/Logging_2361/klagomålsmail/A 9510-2020 FSC-klagomål mail.docx", "A 9510-2020")</f>
        <v/>
      </c>
      <c r="X100">
        <f>HYPERLINK("https://klasma.github.io/Logging_2361/tillsyn/A 9510-2020 tillsynsbegäran.docx", "A 9510-2020")</f>
        <v/>
      </c>
      <c r="Y100">
        <f>HYPERLINK("https://klasma.github.io/Logging_2361/tillsynsmail/A 9510-2020 tillsynsbegäran mail.docx", "A 9510-2020")</f>
        <v/>
      </c>
    </row>
    <row r="101" ht="15" customHeight="1">
      <c r="A101" t="inlineStr">
        <is>
          <t>A 12954-2020</t>
        </is>
      </c>
      <c r="B101" s="1" t="n">
        <v>43900</v>
      </c>
      <c r="C101" s="1" t="n">
        <v>45294</v>
      </c>
      <c r="D101" t="inlineStr">
        <is>
          <t>JÄMTLANDS LÄN</t>
        </is>
      </c>
      <c r="E101" t="inlineStr">
        <is>
          <t>HÄRJEDALEN</t>
        </is>
      </c>
      <c r="F101" t="inlineStr">
        <is>
          <t>Bergvik skog väst AB</t>
        </is>
      </c>
      <c r="G101" t="n">
        <v>12.1</v>
      </c>
      <c r="H101" t="n">
        <v>0</v>
      </c>
      <c r="I101" t="n">
        <v>2</v>
      </c>
      <c r="J101" t="n">
        <v>0</v>
      </c>
      <c r="K101" t="n">
        <v>0</v>
      </c>
      <c r="L101" t="n">
        <v>0</v>
      </c>
      <c r="M101" t="n">
        <v>0</v>
      </c>
      <c r="N101" t="n">
        <v>0</v>
      </c>
      <c r="O101" t="n">
        <v>0</v>
      </c>
      <c r="P101" t="n">
        <v>0</v>
      </c>
      <c r="Q101" t="n">
        <v>2</v>
      </c>
      <c r="R101" s="2" t="inlineStr">
        <is>
          <t>Blodticka
Vedticka</t>
        </is>
      </c>
      <c r="S101">
        <f>HYPERLINK("https://klasma.github.io/Logging_2361/artfynd/A 12954-2020 artfynd.xlsx", "A 12954-2020")</f>
        <v/>
      </c>
      <c r="T101">
        <f>HYPERLINK("https://klasma.github.io/Logging_2361/kartor/A 12954-2020 karta.png", "A 12954-2020")</f>
        <v/>
      </c>
      <c r="V101">
        <f>HYPERLINK("https://klasma.github.io/Logging_2361/klagomål/A 12954-2020 FSC-klagomål.docx", "A 12954-2020")</f>
        <v/>
      </c>
      <c r="W101">
        <f>HYPERLINK("https://klasma.github.io/Logging_2361/klagomålsmail/A 12954-2020 FSC-klagomål mail.docx", "A 12954-2020")</f>
        <v/>
      </c>
      <c r="X101">
        <f>HYPERLINK("https://klasma.github.io/Logging_2361/tillsyn/A 12954-2020 tillsynsbegäran.docx", "A 12954-2020")</f>
        <v/>
      </c>
      <c r="Y101">
        <f>HYPERLINK("https://klasma.github.io/Logging_2361/tillsynsmail/A 12954-2020 tillsynsbegäran mail.docx", "A 12954-2020")</f>
        <v/>
      </c>
    </row>
    <row r="102" ht="15" customHeight="1">
      <c r="A102" t="inlineStr">
        <is>
          <t>A 68856-2020</t>
        </is>
      </c>
      <c r="B102" s="1" t="n">
        <v>44186</v>
      </c>
      <c r="C102" s="1" t="n">
        <v>45294</v>
      </c>
      <c r="D102" t="inlineStr">
        <is>
          <t>JÄMTLANDS LÄN</t>
        </is>
      </c>
      <c r="E102" t="inlineStr">
        <is>
          <t>HÄRJEDALEN</t>
        </is>
      </c>
      <c r="F102" t="inlineStr">
        <is>
          <t>Holmen skog AB</t>
        </is>
      </c>
      <c r="G102" t="n">
        <v>4.3</v>
      </c>
      <c r="H102" t="n">
        <v>1</v>
      </c>
      <c r="I102" t="n">
        <v>1</v>
      </c>
      <c r="J102" t="n">
        <v>0</v>
      </c>
      <c r="K102" t="n">
        <v>0</v>
      </c>
      <c r="L102" t="n">
        <v>0</v>
      </c>
      <c r="M102" t="n">
        <v>0</v>
      </c>
      <c r="N102" t="n">
        <v>0</v>
      </c>
      <c r="O102" t="n">
        <v>0</v>
      </c>
      <c r="P102" t="n">
        <v>0</v>
      </c>
      <c r="Q102" t="n">
        <v>2</v>
      </c>
      <c r="R102" s="2" t="inlineStr">
        <is>
          <t>Dvärgtufs
Nattviol</t>
        </is>
      </c>
      <c r="S102">
        <f>HYPERLINK("https://klasma.github.io/Logging_2361/artfynd/A 68856-2020 artfynd.xlsx", "A 68856-2020")</f>
        <v/>
      </c>
      <c r="T102">
        <f>HYPERLINK("https://klasma.github.io/Logging_2361/kartor/A 68856-2020 karta.png", "A 68856-2020")</f>
        <v/>
      </c>
      <c r="V102">
        <f>HYPERLINK("https://klasma.github.io/Logging_2361/klagomål/A 68856-2020 FSC-klagomål.docx", "A 68856-2020")</f>
        <v/>
      </c>
      <c r="W102">
        <f>HYPERLINK("https://klasma.github.io/Logging_2361/klagomålsmail/A 68856-2020 FSC-klagomål mail.docx", "A 68856-2020")</f>
        <v/>
      </c>
      <c r="X102">
        <f>HYPERLINK("https://klasma.github.io/Logging_2361/tillsyn/A 68856-2020 tillsynsbegäran.docx", "A 68856-2020")</f>
        <v/>
      </c>
      <c r="Y102">
        <f>HYPERLINK("https://klasma.github.io/Logging_2361/tillsynsmail/A 68856-2020 tillsynsbegäran mail.docx", "A 68856-2020")</f>
        <v/>
      </c>
    </row>
    <row r="103" ht="15" customHeight="1">
      <c r="A103" t="inlineStr">
        <is>
          <t>A 3699-2021</t>
        </is>
      </c>
      <c r="B103" s="1" t="n">
        <v>44221</v>
      </c>
      <c r="C103" s="1" t="n">
        <v>45294</v>
      </c>
      <c r="D103" t="inlineStr">
        <is>
          <t>JÄMTLANDS LÄN</t>
        </is>
      </c>
      <c r="E103" t="inlineStr">
        <is>
          <t>HÄRJEDALEN</t>
        </is>
      </c>
      <c r="G103" t="n">
        <v>10.1</v>
      </c>
      <c r="H103" t="n">
        <v>0</v>
      </c>
      <c r="I103" t="n">
        <v>0</v>
      </c>
      <c r="J103" t="n">
        <v>0</v>
      </c>
      <c r="K103" t="n">
        <v>2</v>
      </c>
      <c r="L103" t="n">
        <v>0</v>
      </c>
      <c r="M103" t="n">
        <v>0</v>
      </c>
      <c r="N103" t="n">
        <v>0</v>
      </c>
      <c r="O103" t="n">
        <v>2</v>
      </c>
      <c r="P103" t="n">
        <v>2</v>
      </c>
      <c r="Q103" t="n">
        <v>2</v>
      </c>
      <c r="R103" s="2" t="inlineStr">
        <is>
          <t>Fläckporing
Gräddporing</t>
        </is>
      </c>
      <c r="S103">
        <f>HYPERLINK("https://klasma.github.io/Logging_2361/artfynd/A 3699-2021 artfynd.xlsx", "A 3699-2021")</f>
        <v/>
      </c>
      <c r="T103">
        <f>HYPERLINK("https://klasma.github.io/Logging_2361/kartor/A 3699-2021 karta.png", "A 3699-2021")</f>
        <v/>
      </c>
      <c r="V103">
        <f>HYPERLINK("https://klasma.github.io/Logging_2361/klagomål/A 3699-2021 FSC-klagomål.docx", "A 3699-2021")</f>
        <v/>
      </c>
      <c r="W103">
        <f>HYPERLINK("https://klasma.github.io/Logging_2361/klagomålsmail/A 3699-2021 FSC-klagomål mail.docx", "A 3699-2021")</f>
        <v/>
      </c>
      <c r="X103">
        <f>HYPERLINK("https://klasma.github.io/Logging_2361/tillsyn/A 3699-2021 tillsynsbegäran.docx", "A 3699-2021")</f>
        <v/>
      </c>
      <c r="Y103">
        <f>HYPERLINK("https://klasma.github.io/Logging_2361/tillsynsmail/A 3699-2021 tillsynsbegäran mail.docx", "A 3699-2021")</f>
        <v/>
      </c>
    </row>
    <row r="104" ht="15" customHeight="1">
      <c r="A104" t="inlineStr">
        <is>
          <t>A 15679-2021</t>
        </is>
      </c>
      <c r="B104" s="1" t="n">
        <v>44286</v>
      </c>
      <c r="C104" s="1" t="n">
        <v>45294</v>
      </c>
      <c r="D104" t="inlineStr">
        <is>
          <t>JÄMTLANDS LÄN</t>
        </is>
      </c>
      <c r="E104" t="inlineStr">
        <is>
          <t>HÄRJEDALEN</t>
        </is>
      </c>
      <c r="G104" t="n">
        <v>20.9</v>
      </c>
      <c r="H104" t="n">
        <v>0</v>
      </c>
      <c r="I104" t="n">
        <v>0</v>
      </c>
      <c r="J104" t="n">
        <v>2</v>
      </c>
      <c r="K104" t="n">
        <v>0</v>
      </c>
      <c r="L104" t="n">
        <v>0</v>
      </c>
      <c r="M104" t="n">
        <v>0</v>
      </c>
      <c r="N104" t="n">
        <v>0</v>
      </c>
      <c r="O104" t="n">
        <v>2</v>
      </c>
      <c r="P104" t="n">
        <v>0</v>
      </c>
      <c r="Q104" t="n">
        <v>2</v>
      </c>
      <c r="R104" s="2" t="inlineStr">
        <is>
          <t>Gränsticka
Hornvaxskinn</t>
        </is>
      </c>
      <c r="S104">
        <f>HYPERLINK("https://klasma.github.io/Logging_2361/artfynd/A 15679-2021 artfynd.xlsx", "A 15679-2021")</f>
        <v/>
      </c>
      <c r="T104">
        <f>HYPERLINK("https://klasma.github.io/Logging_2361/kartor/A 15679-2021 karta.png", "A 15679-2021")</f>
        <v/>
      </c>
      <c r="V104">
        <f>HYPERLINK("https://klasma.github.io/Logging_2361/klagomål/A 15679-2021 FSC-klagomål.docx", "A 15679-2021")</f>
        <v/>
      </c>
      <c r="W104">
        <f>HYPERLINK("https://klasma.github.io/Logging_2361/klagomålsmail/A 15679-2021 FSC-klagomål mail.docx", "A 15679-2021")</f>
        <v/>
      </c>
      <c r="X104">
        <f>HYPERLINK("https://klasma.github.io/Logging_2361/tillsyn/A 15679-2021 tillsynsbegäran.docx", "A 15679-2021")</f>
        <v/>
      </c>
      <c r="Y104">
        <f>HYPERLINK("https://klasma.github.io/Logging_2361/tillsynsmail/A 15679-2021 tillsynsbegäran mail.docx", "A 15679-2021")</f>
        <v/>
      </c>
    </row>
    <row r="105" ht="15" customHeight="1">
      <c r="A105" t="inlineStr">
        <is>
          <t>A 33421-2021</t>
        </is>
      </c>
      <c r="B105" s="1" t="n">
        <v>44377</v>
      </c>
      <c r="C105" s="1" t="n">
        <v>45294</v>
      </c>
      <c r="D105" t="inlineStr">
        <is>
          <t>JÄMTLANDS LÄN</t>
        </is>
      </c>
      <c r="E105" t="inlineStr">
        <is>
          <t>HÄRJEDALEN</t>
        </is>
      </c>
      <c r="G105" t="n">
        <v>47.1</v>
      </c>
      <c r="H105" t="n">
        <v>1</v>
      </c>
      <c r="I105" t="n">
        <v>0</v>
      </c>
      <c r="J105" t="n">
        <v>2</v>
      </c>
      <c r="K105" t="n">
        <v>0</v>
      </c>
      <c r="L105" t="n">
        <v>0</v>
      </c>
      <c r="M105" t="n">
        <v>0</v>
      </c>
      <c r="N105" t="n">
        <v>0</v>
      </c>
      <c r="O105" t="n">
        <v>2</v>
      </c>
      <c r="P105" t="n">
        <v>0</v>
      </c>
      <c r="Q105" t="n">
        <v>2</v>
      </c>
      <c r="R105" s="2" t="inlineStr">
        <is>
          <t>Gultoppig fingersvamp
Talltita</t>
        </is>
      </c>
      <c r="S105">
        <f>HYPERLINK("https://klasma.github.io/Logging_2361/artfynd/A 33421-2021 artfynd.xlsx", "A 33421-2021")</f>
        <v/>
      </c>
      <c r="T105">
        <f>HYPERLINK("https://klasma.github.io/Logging_2361/kartor/A 33421-2021 karta.png", "A 33421-2021")</f>
        <v/>
      </c>
      <c r="V105">
        <f>HYPERLINK("https://klasma.github.io/Logging_2361/klagomål/A 33421-2021 FSC-klagomål.docx", "A 33421-2021")</f>
        <v/>
      </c>
      <c r="W105">
        <f>HYPERLINK("https://klasma.github.io/Logging_2361/klagomålsmail/A 33421-2021 FSC-klagomål mail.docx", "A 33421-2021")</f>
        <v/>
      </c>
      <c r="X105">
        <f>HYPERLINK("https://klasma.github.io/Logging_2361/tillsyn/A 33421-2021 tillsynsbegäran.docx", "A 33421-2021")</f>
        <v/>
      </c>
      <c r="Y105">
        <f>HYPERLINK("https://klasma.github.io/Logging_2361/tillsynsmail/A 33421-2021 tillsynsbegäran mail.docx", "A 33421-2021")</f>
        <v/>
      </c>
    </row>
    <row r="106" ht="15" customHeight="1">
      <c r="A106" t="inlineStr">
        <is>
          <t>A 42826-2021</t>
        </is>
      </c>
      <c r="B106" s="1" t="n">
        <v>44430</v>
      </c>
      <c r="C106" s="1" t="n">
        <v>45294</v>
      </c>
      <c r="D106" t="inlineStr">
        <is>
          <t>JÄMTLANDS LÄN</t>
        </is>
      </c>
      <c r="E106" t="inlineStr">
        <is>
          <t>HÄRJEDALEN</t>
        </is>
      </c>
      <c r="F106" t="inlineStr">
        <is>
          <t>Sveaskog</t>
        </is>
      </c>
      <c r="G106" t="n">
        <v>8.1</v>
      </c>
      <c r="H106" t="n">
        <v>1</v>
      </c>
      <c r="I106" t="n">
        <v>0</v>
      </c>
      <c r="J106" t="n">
        <v>1</v>
      </c>
      <c r="K106" t="n">
        <v>1</v>
      </c>
      <c r="L106" t="n">
        <v>0</v>
      </c>
      <c r="M106" t="n">
        <v>0</v>
      </c>
      <c r="N106" t="n">
        <v>0</v>
      </c>
      <c r="O106" t="n">
        <v>2</v>
      </c>
      <c r="P106" t="n">
        <v>1</v>
      </c>
      <c r="Q106" t="n">
        <v>2</v>
      </c>
      <c r="R106" s="2" t="inlineStr">
        <is>
          <t>Knärot
Garnlav</t>
        </is>
      </c>
      <c r="S106">
        <f>HYPERLINK("https://klasma.github.io/Logging_2361/artfynd/A 42826-2021 artfynd.xlsx", "A 42826-2021")</f>
        <v/>
      </c>
      <c r="T106">
        <f>HYPERLINK("https://klasma.github.io/Logging_2361/kartor/A 42826-2021 karta.png", "A 42826-2021")</f>
        <v/>
      </c>
      <c r="U106">
        <f>HYPERLINK("https://klasma.github.io/Logging_2361/knärot/A 42826-2021 karta knärot.png", "A 42826-2021")</f>
        <v/>
      </c>
      <c r="V106">
        <f>HYPERLINK("https://klasma.github.io/Logging_2361/klagomål/A 42826-2021 FSC-klagomål.docx", "A 42826-2021")</f>
        <v/>
      </c>
      <c r="W106">
        <f>HYPERLINK("https://klasma.github.io/Logging_2361/klagomålsmail/A 42826-2021 FSC-klagomål mail.docx", "A 42826-2021")</f>
        <v/>
      </c>
      <c r="X106">
        <f>HYPERLINK("https://klasma.github.io/Logging_2361/tillsyn/A 42826-2021 tillsynsbegäran.docx", "A 42826-2021")</f>
        <v/>
      </c>
      <c r="Y106">
        <f>HYPERLINK("https://klasma.github.io/Logging_2361/tillsynsmail/A 42826-2021 tillsynsbegäran mail.docx", "A 42826-2021")</f>
        <v/>
      </c>
    </row>
    <row r="107" ht="15" customHeight="1">
      <c r="A107" t="inlineStr">
        <is>
          <t>A 55240-2021</t>
        </is>
      </c>
      <c r="B107" s="1" t="n">
        <v>44475</v>
      </c>
      <c r="C107" s="1" t="n">
        <v>45294</v>
      </c>
      <c r="D107" t="inlineStr">
        <is>
          <t>JÄMTLANDS LÄN</t>
        </is>
      </c>
      <c r="E107" t="inlineStr">
        <is>
          <t>HÄRJEDALEN</t>
        </is>
      </c>
      <c r="G107" t="n">
        <v>3.5</v>
      </c>
      <c r="H107" t="n">
        <v>1</v>
      </c>
      <c r="I107" t="n">
        <v>0</v>
      </c>
      <c r="J107" t="n">
        <v>1</v>
      </c>
      <c r="K107" t="n">
        <v>1</v>
      </c>
      <c r="L107" t="n">
        <v>0</v>
      </c>
      <c r="M107" t="n">
        <v>0</v>
      </c>
      <c r="N107" t="n">
        <v>0</v>
      </c>
      <c r="O107" t="n">
        <v>2</v>
      </c>
      <c r="P107" t="n">
        <v>1</v>
      </c>
      <c r="Q107" t="n">
        <v>2</v>
      </c>
      <c r="R107" s="2" t="inlineStr">
        <is>
          <t>Varglavsknöl
Varglav</t>
        </is>
      </c>
      <c r="S107">
        <f>HYPERLINK("https://klasma.github.io/Logging_2361/artfynd/A 55240-2021 artfynd.xlsx", "A 55240-2021")</f>
        <v/>
      </c>
      <c r="T107">
        <f>HYPERLINK("https://klasma.github.io/Logging_2361/kartor/A 55240-2021 karta.png", "A 55240-2021")</f>
        <v/>
      </c>
      <c r="V107">
        <f>HYPERLINK("https://klasma.github.io/Logging_2361/klagomål/A 55240-2021 FSC-klagomål.docx", "A 55240-2021")</f>
        <v/>
      </c>
      <c r="W107">
        <f>HYPERLINK("https://klasma.github.io/Logging_2361/klagomålsmail/A 55240-2021 FSC-klagomål mail.docx", "A 55240-2021")</f>
        <v/>
      </c>
      <c r="X107">
        <f>HYPERLINK("https://klasma.github.io/Logging_2361/tillsyn/A 55240-2021 tillsynsbegäran.docx", "A 55240-2021")</f>
        <v/>
      </c>
      <c r="Y107">
        <f>HYPERLINK("https://klasma.github.io/Logging_2361/tillsynsmail/A 55240-2021 tillsynsbegäran mail.docx", "A 55240-2021")</f>
        <v/>
      </c>
    </row>
    <row r="108" ht="15" customHeight="1">
      <c r="A108" t="inlineStr">
        <is>
          <t>A 55228-2021</t>
        </is>
      </c>
      <c r="B108" s="1" t="n">
        <v>44475</v>
      </c>
      <c r="C108" s="1" t="n">
        <v>45294</v>
      </c>
      <c r="D108" t="inlineStr">
        <is>
          <t>JÄMTLANDS LÄN</t>
        </is>
      </c>
      <c r="E108" t="inlineStr">
        <is>
          <t>HÄRJEDALEN</t>
        </is>
      </c>
      <c r="G108" t="n">
        <v>1.7</v>
      </c>
      <c r="H108" t="n">
        <v>1</v>
      </c>
      <c r="I108" t="n">
        <v>0</v>
      </c>
      <c r="J108" t="n">
        <v>2</v>
      </c>
      <c r="K108" t="n">
        <v>0</v>
      </c>
      <c r="L108" t="n">
        <v>0</v>
      </c>
      <c r="M108" t="n">
        <v>0</v>
      </c>
      <c r="N108" t="n">
        <v>0</v>
      </c>
      <c r="O108" t="n">
        <v>2</v>
      </c>
      <c r="P108" t="n">
        <v>0</v>
      </c>
      <c r="Q108" t="n">
        <v>2</v>
      </c>
      <c r="R108" s="2" t="inlineStr">
        <is>
          <t>Varglav
Vedflamlav</t>
        </is>
      </c>
      <c r="S108">
        <f>HYPERLINK("https://klasma.github.io/Logging_2361/artfynd/A 55228-2021 artfynd.xlsx", "A 55228-2021")</f>
        <v/>
      </c>
      <c r="T108">
        <f>HYPERLINK("https://klasma.github.io/Logging_2361/kartor/A 55228-2021 karta.png", "A 55228-2021")</f>
        <v/>
      </c>
      <c r="V108">
        <f>HYPERLINK("https://klasma.github.io/Logging_2361/klagomål/A 55228-2021 FSC-klagomål.docx", "A 55228-2021")</f>
        <v/>
      </c>
      <c r="W108">
        <f>HYPERLINK("https://klasma.github.io/Logging_2361/klagomålsmail/A 55228-2021 FSC-klagomål mail.docx", "A 55228-2021")</f>
        <v/>
      </c>
      <c r="X108">
        <f>HYPERLINK("https://klasma.github.io/Logging_2361/tillsyn/A 55228-2021 tillsynsbegäran.docx", "A 55228-2021")</f>
        <v/>
      </c>
      <c r="Y108">
        <f>HYPERLINK("https://klasma.github.io/Logging_2361/tillsynsmail/A 55228-2021 tillsynsbegäran mail.docx", "A 55228-2021")</f>
        <v/>
      </c>
    </row>
    <row r="109" ht="15" customHeight="1">
      <c r="A109" t="inlineStr">
        <is>
          <t>A 55392-2021</t>
        </is>
      </c>
      <c r="B109" s="1" t="n">
        <v>44475</v>
      </c>
      <c r="C109" s="1" t="n">
        <v>45294</v>
      </c>
      <c r="D109" t="inlineStr">
        <is>
          <t>JÄMTLANDS LÄN</t>
        </is>
      </c>
      <c r="E109" t="inlineStr">
        <is>
          <t>HÄRJEDALEN</t>
        </is>
      </c>
      <c r="G109" t="n">
        <v>0.8</v>
      </c>
      <c r="H109" t="n">
        <v>0</v>
      </c>
      <c r="I109" t="n">
        <v>0</v>
      </c>
      <c r="J109" t="n">
        <v>2</v>
      </c>
      <c r="K109" t="n">
        <v>0</v>
      </c>
      <c r="L109" t="n">
        <v>0</v>
      </c>
      <c r="M109" t="n">
        <v>0</v>
      </c>
      <c r="N109" t="n">
        <v>0</v>
      </c>
      <c r="O109" t="n">
        <v>2</v>
      </c>
      <c r="P109" t="n">
        <v>0</v>
      </c>
      <c r="Q109" t="n">
        <v>2</v>
      </c>
      <c r="R109" s="2" t="inlineStr">
        <is>
          <t>Ladlav
Vedflamlav</t>
        </is>
      </c>
      <c r="S109">
        <f>HYPERLINK("https://klasma.github.io/Logging_2361/artfynd/A 55392-2021 artfynd.xlsx", "A 55392-2021")</f>
        <v/>
      </c>
      <c r="T109">
        <f>HYPERLINK("https://klasma.github.io/Logging_2361/kartor/A 55392-2021 karta.png", "A 55392-2021")</f>
        <v/>
      </c>
      <c r="V109">
        <f>HYPERLINK("https://klasma.github.io/Logging_2361/klagomål/A 55392-2021 FSC-klagomål.docx", "A 55392-2021")</f>
        <v/>
      </c>
      <c r="W109">
        <f>HYPERLINK("https://klasma.github.io/Logging_2361/klagomålsmail/A 55392-2021 FSC-klagomål mail.docx", "A 55392-2021")</f>
        <v/>
      </c>
      <c r="X109">
        <f>HYPERLINK("https://klasma.github.io/Logging_2361/tillsyn/A 55392-2021 tillsynsbegäran.docx", "A 55392-2021")</f>
        <v/>
      </c>
      <c r="Y109">
        <f>HYPERLINK("https://klasma.github.io/Logging_2361/tillsynsmail/A 55392-2021 tillsynsbegäran mail.docx", "A 55392-2021")</f>
        <v/>
      </c>
    </row>
    <row r="110" ht="15" customHeight="1">
      <c r="A110" t="inlineStr">
        <is>
          <t>A 17082-2022</t>
        </is>
      </c>
      <c r="B110" s="1" t="n">
        <v>44677</v>
      </c>
      <c r="C110" s="1" t="n">
        <v>45294</v>
      </c>
      <c r="D110" t="inlineStr">
        <is>
          <t>JÄMTLANDS LÄN</t>
        </is>
      </c>
      <c r="E110" t="inlineStr">
        <is>
          <t>HÄRJEDALEN</t>
        </is>
      </c>
      <c r="F110" t="inlineStr">
        <is>
          <t>Holmen skog AB</t>
        </is>
      </c>
      <c r="G110" t="n">
        <v>18.1</v>
      </c>
      <c r="H110" t="n">
        <v>0</v>
      </c>
      <c r="I110" t="n">
        <v>0</v>
      </c>
      <c r="J110" t="n">
        <v>2</v>
      </c>
      <c r="K110" t="n">
        <v>0</v>
      </c>
      <c r="L110" t="n">
        <v>0</v>
      </c>
      <c r="M110" t="n">
        <v>0</v>
      </c>
      <c r="N110" t="n">
        <v>0</v>
      </c>
      <c r="O110" t="n">
        <v>2</v>
      </c>
      <c r="P110" t="n">
        <v>0</v>
      </c>
      <c r="Q110" t="n">
        <v>2</v>
      </c>
      <c r="R110" s="2" t="inlineStr">
        <is>
          <t>Motaggsvamp
Orange taggsvamp</t>
        </is>
      </c>
      <c r="S110">
        <f>HYPERLINK("https://klasma.github.io/Logging_2361/artfynd/A 17082-2022 artfynd.xlsx", "A 17082-2022")</f>
        <v/>
      </c>
      <c r="T110">
        <f>HYPERLINK("https://klasma.github.io/Logging_2361/kartor/A 17082-2022 karta.png", "A 17082-2022")</f>
        <v/>
      </c>
      <c r="V110">
        <f>HYPERLINK("https://klasma.github.io/Logging_2361/klagomål/A 17082-2022 FSC-klagomål.docx", "A 17082-2022")</f>
        <v/>
      </c>
      <c r="W110">
        <f>HYPERLINK("https://klasma.github.io/Logging_2361/klagomålsmail/A 17082-2022 FSC-klagomål mail.docx", "A 17082-2022")</f>
        <v/>
      </c>
      <c r="X110">
        <f>HYPERLINK("https://klasma.github.io/Logging_2361/tillsyn/A 17082-2022 tillsynsbegäran.docx", "A 17082-2022")</f>
        <v/>
      </c>
      <c r="Y110">
        <f>HYPERLINK("https://klasma.github.io/Logging_2361/tillsynsmail/A 17082-2022 tillsynsbegäran mail.docx", "A 17082-2022")</f>
        <v/>
      </c>
    </row>
    <row r="111" ht="15" customHeight="1">
      <c r="A111" t="inlineStr">
        <is>
          <t>A 22464-2022</t>
        </is>
      </c>
      <c r="B111" s="1" t="n">
        <v>44713</v>
      </c>
      <c r="C111" s="1" t="n">
        <v>45294</v>
      </c>
      <c r="D111" t="inlineStr">
        <is>
          <t>JÄMTLANDS LÄN</t>
        </is>
      </c>
      <c r="E111" t="inlineStr">
        <is>
          <t>HÄRJEDALEN</t>
        </is>
      </c>
      <c r="F111" t="inlineStr">
        <is>
          <t>Sveaskog</t>
        </is>
      </c>
      <c r="G111" t="n">
        <v>4.3</v>
      </c>
      <c r="H111" t="n">
        <v>0</v>
      </c>
      <c r="I111" t="n">
        <v>1</v>
      </c>
      <c r="J111" t="n">
        <v>1</v>
      </c>
      <c r="K111" t="n">
        <v>0</v>
      </c>
      <c r="L111" t="n">
        <v>0</v>
      </c>
      <c r="M111" t="n">
        <v>0</v>
      </c>
      <c r="N111" t="n">
        <v>0</v>
      </c>
      <c r="O111" t="n">
        <v>1</v>
      </c>
      <c r="P111" t="n">
        <v>0</v>
      </c>
      <c r="Q111" t="n">
        <v>2</v>
      </c>
      <c r="R111" s="2" t="inlineStr">
        <is>
          <t>Lunglav
Dropptaggsvamp</t>
        </is>
      </c>
      <c r="S111">
        <f>HYPERLINK("https://klasma.github.io/Logging_2361/artfynd/A 22464-2022 artfynd.xlsx", "A 22464-2022")</f>
        <v/>
      </c>
      <c r="T111">
        <f>HYPERLINK("https://klasma.github.io/Logging_2361/kartor/A 22464-2022 karta.png", "A 22464-2022")</f>
        <v/>
      </c>
      <c r="U111">
        <f>HYPERLINK("https://klasma.github.io/Logging_2361/knärot/A 22464-2022 karta knärot.png", "A 22464-2022")</f>
        <v/>
      </c>
      <c r="V111">
        <f>HYPERLINK("https://klasma.github.io/Logging_2361/klagomål/A 22464-2022 FSC-klagomål.docx", "A 22464-2022")</f>
        <v/>
      </c>
      <c r="W111">
        <f>HYPERLINK("https://klasma.github.io/Logging_2361/klagomålsmail/A 22464-2022 FSC-klagomål mail.docx", "A 22464-2022")</f>
        <v/>
      </c>
      <c r="X111">
        <f>HYPERLINK("https://klasma.github.io/Logging_2361/tillsyn/A 22464-2022 tillsynsbegäran.docx", "A 22464-2022")</f>
        <v/>
      </c>
      <c r="Y111">
        <f>HYPERLINK("https://klasma.github.io/Logging_2361/tillsynsmail/A 22464-2022 tillsynsbegäran mail.docx", "A 22464-2022")</f>
        <v/>
      </c>
    </row>
    <row r="112" ht="15" customHeight="1">
      <c r="A112" t="inlineStr">
        <is>
          <t>A 47348-2022</t>
        </is>
      </c>
      <c r="B112" s="1" t="n">
        <v>44853</v>
      </c>
      <c r="C112" s="1" t="n">
        <v>45294</v>
      </c>
      <c r="D112" t="inlineStr">
        <is>
          <t>JÄMTLANDS LÄN</t>
        </is>
      </c>
      <c r="E112" t="inlineStr">
        <is>
          <t>HÄRJEDALEN</t>
        </is>
      </c>
      <c r="G112" t="n">
        <v>2</v>
      </c>
      <c r="H112" t="n">
        <v>1</v>
      </c>
      <c r="I112" t="n">
        <v>0</v>
      </c>
      <c r="J112" t="n">
        <v>1</v>
      </c>
      <c r="K112" t="n">
        <v>1</v>
      </c>
      <c r="L112" t="n">
        <v>0</v>
      </c>
      <c r="M112" t="n">
        <v>0</v>
      </c>
      <c r="N112" t="n">
        <v>0</v>
      </c>
      <c r="O112" t="n">
        <v>2</v>
      </c>
      <c r="P112" t="n">
        <v>1</v>
      </c>
      <c r="Q112" t="n">
        <v>2</v>
      </c>
      <c r="R112" s="2" t="inlineStr">
        <is>
          <t>Knärot
Lunglav</t>
        </is>
      </c>
      <c r="S112">
        <f>HYPERLINK("https://klasma.github.io/Logging_2361/artfynd/A 47348-2022 artfynd.xlsx", "A 47348-2022")</f>
        <v/>
      </c>
      <c r="T112">
        <f>HYPERLINK("https://klasma.github.io/Logging_2361/kartor/A 47348-2022 karta.png", "A 47348-2022")</f>
        <v/>
      </c>
      <c r="U112">
        <f>HYPERLINK("https://klasma.github.io/Logging_2361/knärot/A 47348-2022 karta knärot.png", "A 47348-2022")</f>
        <v/>
      </c>
      <c r="V112">
        <f>HYPERLINK("https://klasma.github.io/Logging_2361/klagomål/A 47348-2022 FSC-klagomål.docx", "A 47348-2022")</f>
        <v/>
      </c>
      <c r="W112">
        <f>HYPERLINK("https://klasma.github.io/Logging_2361/klagomålsmail/A 47348-2022 FSC-klagomål mail.docx", "A 47348-2022")</f>
        <v/>
      </c>
      <c r="X112">
        <f>HYPERLINK("https://klasma.github.io/Logging_2361/tillsyn/A 47348-2022 tillsynsbegäran.docx", "A 47348-2022")</f>
        <v/>
      </c>
      <c r="Y112">
        <f>HYPERLINK("https://klasma.github.io/Logging_2361/tillsynsmail/A 47348-2022 tillsynsbegäran mail.docx", "A 47348-2022")</f>
        <v/>
      </c>
    </row>
    <row r="113" ht="15" customHeight="1">
      <c r="A113" t="inlineStr">
        <is>
          <t>A 50438-2022</t>
        </is>
      </c>
      <c r="B113" s="1" t="n">
        <v>44866</v>
      </c>
      <c r="C113" s="1" t="n">
        <v>45294</v>
      </c>
      <c r="D113" t="inlineStr">
        <is>
          <t>JÄMTLANDS LÄN</t>
        </is>
      </c>
      <c r="E113" t="inlineStr">
        <is>
          <t>HÄRJEDALEN</t>
        </is>
      </c>
      <c r="F113" t="inlineStr">
        <is>
          <t>Bergvik skog väst AB</t>
        </is>
      </c>
      <c r="G113" t="n">
        <v>4.6</v>
      </c>
      <c r="H113" t="n">
        <v>1</v>
      </c>
      <c r="I113" t="n">
        <v>0</v>
      </c>
      <c r="J113" t="n">
        <v>1</v>
      </c>
      <c r="K113" t="n">
        <v>1</v>
      </c>
      <c r="L113" t="n">
        <v>0</v>
      </c>
      <c r="M113" t="n">
        <v>0</v>
      </c>
      <c r="N113" t="n">
        <v>0</v>
      </c>
      <c r="O113" t="n">
        <v>2</v>
      </c>
      <c r="P113" t="n">
        <v>1</v>
      </c>
      <c r="Q113" t="n">
        <v>2</v>
      </c>
      <c r="R113" s="2" t="inlineStr">
        <is>
          <t>Knärot
Skrovellav</t>
        </is>
      </c>
      <c r="S113">
        <f>HYPERLINK("https://klasma.github.io/Logging_2361/artfynd/A 50438-2022 artfynd.xlsx", "A 50438-2022")</f>
        <v/>
      </c>
      <c r="T113">
        <f>HYPERLINK("https://klasma.github.io/Logging_2361/kartor/A 50438-2022 karta.png", "A 50438-2022")</f>
        <v/>
      </c>
      <c r="U113">
        <f>HYPERLINK("https://klasma.github.io/Logging_2361/knärot/A 50438-2022 karta knärot.png", "A 50438-2022")</f>
        <v/>
      </c>
      <c r="V113">
        <f>HYPERLINK("https://klasma.github.io/Logging_2361/klagomål/A 50438-2022 FSC-klagomål.docx", "A 50438-2022")</f>
        <v/>
      </c>
      <c r="W113">
        <f>HYPERLINK("https://klasma.github.io/Logging_2361/klagomålsmail/A 50438-2022 FSC-klagomål mail.docx", "A 50438-2022")</f>
        <v/>
      </c>
      <c r="X113">
        <f>HYPERLINK("https://klasma.github.io/Logging_2361/tillsyn/A 50438-2022 tillsynsbegäran.docx", "A 50438-2022")</f>
        <v/>
      </c>
      <c r="Y113">
        <f>HYPERLINK("https://klasma.github.io/Logging_2361/tillsynsmail/A 50438-2022 tillsynsbegäran mail.docx", "A 50438-2022")</f>
        <v/>
      </c>
    </row>
    <row r="114" ht="15" customHeight="1">
      <c r="A114" t="inlineStr">
        <is>
          <t>A 52453-2022</t>
        </is>
      </c>
      <c r="B114" s="1" t="n">
        <v>44874</v>
      </c>
      <c r="C114" s="1" t="n">
        <v>45294</v>
      </c>
      <c r="D114" t="inlineStr">
        <is>
          <t>JÄMTLANDS LÄN</t>
        </is>
      </c>
      <c r="E114" t="inlineStr">
        <is>
          <t>HÄRJEDALEN</t>
        </is>
      </c>
      <c r="F114" t="inlineStr">
        <is>
          <t>Bergvik skog väst AB</t>
        </is>
      </c>
      <c r="G114" t="n">
        <v>14.9</v>
      </c>
      <c r="H114" t="n">
        <v>0</v>
      </c>
      <c r="I114" t="n">
        <v>0</v>
      </c>
      <c r="J114" t="n">
        <v>2</v>
      </c>
      <c r="K114" t="n">
        <v>0</v>
      </c>
      <c r="L114" t="n">
        <v>0</v>
      </c>
      <c r="M114" t="n">
        <v>0</v>
      </c>
      <c r="N114" t="n">
        <v>0</v>
      </c>
      <c r="O114" t="n">
        <v>2</v>
      </c>
      <c r="P114" t="n">
        <v>0</v>
      </c>
      <c r="Q114" t="n">
        <v>2</v>
      </c>
      <c r="R114" s="2" t="inlineStr">
        <is>
          <t>Knottrig blåslav
Mörk kolflarnlav</t>
        </is>
      </c>
      <c r="S114">
        <f>HYPERLINK("https://klasma.github.io/Logging_2361/artfynd/A 52453-2022 artfynd.xlsx", "A 52453-2022")</f>
        <v/>
      </c>
      <c r="T114">
        <f>HYPERLINK("https://klasma.github.io/Logging_2361/kartor/A 52453-2022 karta.png", "A 52453-2022")</f>
        <v/>
      </c>
      <c r="V114">
        <f>HYPERLINK("https://klasma.github.io/Logging_2361/klagomål/A 52453-2022 FSC-klagomål.docx", "A 52453-2022")</f>
        <v/>
      </c>
      <c r="W114">
        <f>HYPERLINK("https://klasma.github.io/Logging_2361/klagomålsmail/A 52453-2022 FSC-klagomål mail.docx", "A 52453-2022")</f>
        <v/>
      </c>
      <c r="X114">
        <f>HYPERLINK("https://klasma.github.io/Logging_2361/tillsyn/A 52453-2022 tillsynsbegäran.docx", "A 52453-2022")</f>
        <v/>
      </c>
      <c r="Y114">
        <f>HYPERLINK("https://klasma.github.io/Logging_2361/tillsynsmail/A 52453-2022 tillsynsbegäran mail.docx", "A 52453-2022")</f>
        <v/>
      </c>
    </row>
    <row r="115" ht="15" customHeight="1">
      <c r="A115" t="inlineStr">
        <is>
          <t>A 4372-2023</t>
        </is>
      </c>
      <c r="B115" s="1" t="n">
        <v>44955</v>
      </c>
      <c r="C115" s="1" t="n">
        <v>45294</v>
      </c>
      <c r="D115" t="inlineStr">
        <is>
          <t>JÄMTLANDS LÄN</t>
        </is>
      </c>
      <c r="E115" t="inlineStr">
        <is>
          <t>HÄRJEDALEN</t>
        </is>
      </c>
      <c r="G115" t="n">
        <v>10.1</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HYPERLINK("https://klasma.github.io/Logging_2361/artfynd/A 4372-2023 artfynd.xlsx", "A 4372-2023")</f>
        <v/>
      </c>
      <c r="T115">
        <f>HYPERLINK("https://klasma.github.io/Logging_2361/kartor/A 4372-2023 karta.png", "A 4372-2023")</f>
        <v/>
      </c>
      <c r="V115">
        <f>HYPERLINK("https://klasma.github.io/Logging_2361/klagomål/A 4372-2023 FSC-klagomål.docx", "A 4372-2023")</f>
        <v/>
      </c>
      <c r="W115">
        <f>HYPERLINK("https://klasma.github.io/Logging_2361/klagomålsmail/A 4372-2023 FSC-klagomål mail.docx", "A 4372-2023")</f>
        <v/>
      </c>
      <c r="X115">
        <f>HYPERLINK("https://klasma.github.io/Logging_2361/tillsyn/A 4372-2023 tillsynsbegäran.docx", "A 4372-2023")</f>
        <v/>
      </c>
      <c r="Y115">
        <f>HYPERLINK("https://klasma.github.io/Logging_2361/tillsynsmail/A 4372-2023 tillsynsbegäran mail.docx", "A 4372-2023")</f>
        <v/>
      </c>
    </row>
    <row r="116" ht="15" customHeight="1">
      <c r="A116" t="inlineStr">
        <is>
          <t>A 10344-2023</t>
        </is>
      </c>
      <c r="B116" s="1" t="n">
        <v>44987</v>
      </c>
      <c r="C116" s="1" t="n">
        <v>45294</v>
      </c>
      <c r="D116" t="inlineStr">
        <is>
          <t>JÄMTLANDS LÄN</t>
        </is>
      </c>
      <c r="E116" t="inlineStr">
        <is>
          <t>HÄRJEDALEN</t>
        </is>
      </c>
      <c r="F116" t="inlineStr">
        <is>
          <t>Holmen skog AB</t>
        </is>
      </c>
      <c r="G116" t="n">
        <v>7.2</v>
      </c>
      <c r="H116" t="n">
        <v>0</v>
      </c>
      <c r="I116" t="n">
        <v>0</v>
      </c>
      <c r="J116" t="n">
        <v>2</v>
      </c>
      <c r="K116" t="n">
        <v>0</v>
      </c>
      <c r="L116" t="n">
        <v>0</v>
      </c>
      <c r="M116" t="n">
        <v>0</v>
      </c>
      <c r="N116" t="n">
        <v>0</v>
      </c>
      <c r="O116" t="n">
        <v>2</v>
      </c>
      <c r="P116" t="n">
        <v>0</v>
      </c>
      <c r="Q116" t="n">
        <v>2</v>
      </c>
      <c r="R116" s="2" t="inlineStr">
        <is>
          <t>Lunglav
Skrovellav</t>
        </is>
      </c>
      <c r="S116">
        <f>HYPERLINK("https://klasma.github.io/Logging_2361/artfynd/A 10344-2023 artfynd.xlsx", "A 10344-2023")</f>
        <v/>
      </c>
      <c r="T116">
        <f>HYPERLINK("https://klasma.github.io/Logging_2361/kartor/A 10344-2023 karta.png", "A 10344-2023")</f>
        <v/>
      </c>
      <c r="U116">
        <f>HYPERLINK("https://klasma.github.io/Logging_2361/knärot/A 10344-2023 karta knärot.png", "A 10344-2023")</f>
        <v/>
      </c>
      <c r="V116">
        <f>HYPERLINK("https://klasma.github.io/Logging_2361/klagomål/A 10344-2023 FSC-klagomål.docx", "A 10344-2023")</f>
        <v/>
      </c>
      <c r="W116">
        <f>HYPERLINK("https://klasma.github.io/Logging_2361/klagomålsmail/A 10344-2023 FSC-klagomål mail.docx", "A 10344-2023")</f>
        <v/>
      </c>
      <c r="X116">
        <f>HYPERLINK("https://klasma.github.io/Logging_2361/tillsyn/A 10344-2023 tillsynsbegäran.docx", "A 10344-2023")</f>
        <v/>
      </c>
      <c r="Y116">
        <f>HYPERLINK("https://klasma.github.io/Logging_2361/tillsynsmail/A 10344-2023 tillsynsbegäran mail.docx", "A 10344-2023")</f>
        <v/>
      </c>
    </row>
    <row r="117" ht="15" customHeight="1">
      <c r="A117" t="inlineStr">
        <is>
          <t>A 25742-2023</t>
        </is>
      </c>
      <c r="B117" s="1" t="n">
        <v>45090</v>
      </c>
      <c r="C117" s="1" t="n">
        <v>45294</v>
      </c>
      <c r="D117" t="inlineStr">
        <is>
          <t>JÄMTLANDS LÄN</t>
        </is>
      </c>
      <c r="E117" t="inlineStr">
        <is>
          <t>HÄRJEDALEN</t>
        </is>
      </c>
      <c r="F117" t="inlineStr">
        <is>
          <t>Bergvik skog väst AB</t>
        </is>
      </c>
      <c r="G117" t="n">
        <v>55</v>
      </c>
      <c r="H117" t="n">
        <v>0</v>
      </c>
      <c r="I117" t="n">
        <v>0</v>
      </c>
      <c r="J117" t="n">
        <v>2</v>
      </c>
      <c r="K117" t="n">
        <v>0</v>
      </c>
      <c r="L117" t="n">
        <v>0</v>
      </c>
      <c r="M117" t="n">
        <v>0</v>
      </c>
      <c r="N117" t="n">
        <v>0</v>
      </c>
      <c r="O117" t="n">
        <v>2</v>
      </c>
      <c r="P117" t="n">
        <v>0</v>
      </c>
      <c r="Q117" t="n">
        <v>2</v>
      </c>
      <c r="R117" s="2" t="inlineStr">
        <is>
          <t>Dvärgbägarlav
Mörk kolflarnlav</t>
        </is>
      </c>
      <c r="S117">
        <f>HYPERLINK("https://klasma.github.io/Logging_2361/artfynd/A 25742-2023 artfynd.xlsx", "A 25742-2023")</f>
        <v/>
      </c>
      <c r="T117">
        <f>HYPERLINK("https://klasma.github.io/Logging_2361/kartor/A 25742-2023 karta.png", "A 25742-2023")</f>
        <v/>
      </c>
      <c r="V117">
        <f>HYPERLINK("https://klasma.github.io/Logging_2361/klagomål/A 25742-2023 FSC-klagomål.docx", "A 25742-2023")</f>
        <v/>
      </c>
      <c r="W117">
        <f>HYPERLINK("https://klasma.github.io/Logging_2361/klagomålsmail/A 25742-2023 FSC-klagomål mail.docx", "A 25742-2023")</f>
        <v/>
      </c>
      <c r="X117">
        <f>HYPERLINK("https://klasma.github.io/Logging_2361/tillsyn/A 25742-2023 tillsynsbegäran.docx", "A 25742-2023")</f>
        <v/>
      </c>
      <c r="Y117">
        <f>HYPERLINK("https://klasma.github.io/Logging_2361/tillsynsmail/A 25742-2023 tillsynsbegäran mail.docx", "A 25742-2023")</f>
        <v/>
      </c>
    </row>
    <row r="118" ht="15" customHeight="1">
      <c r="A118" t="inlineStr">
        <is>
          <t>A 36750-2023</t>
        </is>
      </c>
      <c r="B118" s="1" t="n">
        <v>45153</v>
      </c>
      <c r="C118" s="1" t="n">
        <v>45294</v>
      </c>
      <c r="D118" t="inlineStr">
        <is>
          <t>JÄMTLANDS LÄN</t>
        </is>
      </c>
      <c r="E118" t="inlineStr">
        <is>
          <t>HÄRJEDALEN</t>
        </is>
      </c>
      <c r="G118" t="n">
        <v>8.199999999999999</v>
      </c>
      <c r="H118" t="n">
        <v>1</v>
      </c>
      <c r="I118" t="n">
        <v>0</v>
      </c>
      <c r="J118" t="n">
        <v>2</v>
      </c>
      <c r="K118" t="n">
        <v>0</v>
      </c>
      <c r="L118" t="n">
        <v>0</v>
      </c>
      <c r="M118" t="n">
        <v>0</v>
      </c>
      <c r="N118" t="n">
        <v>0</v>
      </c>
      <c r="O118" t="n">
        <v>2</v>
      </c>
      <c r="P118" t="n">
        <v>0</v>
      </c>
      <c r="Q118" t="n">
        <v>2</v>
      </c>
      <c r="R118" s="2" t="inlineStr">
        <is>
          <t>Järpe
Lunglav</t>
        </is>
      </c>
      <c r="S118">
        <f>HYPERLINK("https://klasma.github.io/Logging_2361/artfynd/A 36750-2023 artfynd.xlsx", "A 36750-2023")</f>
        <v/>
      </c>
      <c r="T118">
        <f>HYPERLINK("https://klasma.github.io/Logging_2361/kartor/A 36750-2023 karta.png", "A 36750-2023")</f>
        <v/>
      </c>
      <c r="V118">
        <f>HYPERLINK("https://klasma.github.io/Logging_2361/klagomål/A 36750-2023 FSC-klagomål.docx", "A 36750-2023")</f>
        <v/>
      </c>
      <c r="W118">
        <f>HYPERLINK("https://klasma.github.io/Logging_2361/klagomålsmail/A 36750-2023 FSC-klagomål mail.docx", "A 36750-2023")</f>
        <v/>
      </c>
      <c r="X118">
        <f>HYPERLINK("https://klasma.github.io/Logging_2361/tillsyn/A 36750-2023 tillsynsbegäran.docx", "A 36750-2023")</f>
        <v/>
      </c>
      <c r="Y118">
        <f>HYPERLINK("https://klasma.github.io/Logging_2361/tillsynsmail/A 36750-2023 tillsynsbegäran mail.docx", "A 36750-2023")</f>
        <v/>
      </c>
    </row>
    <row r="119" ht="15" customHeight="1">
      <c r="A119" t="inlineStr">
        <is>
          <t>A 40015-2023</t>
        </is>
      </c>
      <c r="B119" s="1" t="n">
        <v>45168</v>
      </c>
      <c r="C119" s="1" t="n">
        <v>45294</v>
      </c>
      <c r="D119" t="inlineStr">
        <is>
          <t>JÄMTLANDS LÄN</t>
        </is>
      </c>
      <c r="E119" t="inlineStr">
        <is>
          <t>HÄRJEDALEN</t>
        </is>
      </c>
      <c r="G119" t="n">
        <v>21.9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HYPERLINK("https://klasma.github.io/Logging_2361/artfynd/A 40015-2023 artfynd.xlsx", "A 40015-2023")</f>
        <v/>
      </c>
      <c r="T119">
        <f>HYPERLINK("https://klasma.github.io/Logging_2361/kartor/A 40015-2023 karta.png", "A 40015-2023")</f>
        <v/>
      </c>
      <c r="V119">
        <f>HYPERLINK("https://klasma.github.io/Logging_2361/klagomål/A 40015-2023 FSC-klagomål.docx", "A 40015-2023")</f>
        <v/>
      </c>
      <c r="W119">
        <f>HYPERLINK("https://klasma.github.io/Logging_2361/klagomålsmail/A 40015-2023 FSC-klagomål mail.docx", "A 40015-2023")</f>
        <v/>
      </c>
      <c r="X119">
        <f>HYPERLINK("https://klasma.github.io/Logging_2361/tillsyn/A 40015-2023 tillsynsbegäran.docx", "A 40015-2023")</f>
        <v/>
      </c>
      <c r="Y119">
        <f>HYPERLINK("https://klasma.github.io/Logging_2361/tillsynsmail/A 40015-2023 tillsynsbegäran mail.docx", "A 40015-2023")</f>
        <v/>
      </c>
    </row>
    <row r="120" ht="15" customHeight="1">
      <c r="A120" t="inlineStr">
        <is>
          <t>A 1417-2019</t>
        </is>
      </c>
      <c r="B120" s="1" t="n">
        <v>43461</v>
      </c>
      <c r="C120" s="1" t="n">
        <v>45294</v>
      </c>
      <c r="D120" t="inlineStr">
        <is>
          <t>JÄMTLANDS LÄN</t>
        </is>
      </c>
      <c r="E120" t="inlineStr">
        <is>
          <t>HÄRJEDALEN</t>
        </is>
      </c>
      <c r="G120" t="n">
        <v>46.2</v>
      </c>
      <c r="H120" t="n">
        <v>0</v>
      </c>
      <c r="I120" t="n">
        <v>0</v>
      </c>
      <c r="J120" t="n">
        <v>1</v>
      </c>
      <c r="K120" t="n">
        <v>0</v>
      </c>
      <c r="L120" t="n">
        <v>0</v>
      </c>
      <c r="M120" t="n">
        <v>0</v>
      </c>
      <c r="N120" t="n">
        <v>0</v>
      </c>
      <c r="O120" t="n">
        <v>1</v>
      </c>
      <c r="P120" t="n">
        <v>0</v>
      </c>
      <c r="Q120" t="n">
        <v>1</v>
      </c>
      <c r="R120" s="2" t="inlineStr">
        <is>
          <t>Garnlav</t>
        </is>
      </c>
      <c r="S120">
        <f>HYPERLINK("https://klasma.github.io/Logging_2361/artfynd/A 1417-2019 artfynd.xlsx", "A 1417-2019")</f>
        <v/>
      </c>
      <c r="T120">
        <f>HYPERLINK("https://klasma.github.io/Logging_2361/kartor/A 1417-2019 karta.png", "A 1417-2019")</f>
        <v/>
      </c>
      <c r="V120">
        <f>HYPERLINK("https://klasma.github.io/Logging_2361/klagomål/A 1417-2019 FSC-klagomål.docx", "A 1417-2019")</f>
        <v/>
      </c>
      <c r="W120">
        <f>HYPERLINK("https://klasma.github.io/Logging_2361/klagomålsmail/A 1417-2019 FSC-klagomål mail.docx", "A 1417-2019")</f>
        <v/>
      </c>
      <c r="X120">
        <f>HYPERLINK("https://klasma.github.io/Logging_2361/tillsyn/A 1417-2019 tillsynsbegäran.docx", "A 1417-2019")</f>
        <v/>
      </c>
      <c r="Y120">
        <f>HYPERLINK("https://klasma.github.io/Logging_2361/tillsynsmail/A 1417-2019 tillsynsbegäran mail.docx", "A 1417-2019")</f>
        <v/>
      </c>
    </row>
    <row r="121" ht="15" customHeight="1">
      <c r="A121" t="inlineStr">
        <is>
          <t>A 18156-2019</t>
        </is>
      </c>
      <c r="B121" s="1" t="n">
        <v>43558</v>
      </c>
      <c r="C121" s="1" t="n">
        <v>45294</v>
      </c>
      <c r="D121" t="inlineStr">
        <is>
          <t>JÄMTLANDS LÄN</t>
        </is>
      </c>
      <c r="E121" t="inlineStr">
        <is>
          <t>HÄRJEDALEN</t>
        </is>
      </c>
      <c r="F121" t="inlineStr">
        <is>
          <t>Bergvik skog väst AB</t>
        </is>
      </c>
      <c r="G121" t="n">
        <v>102.9</v>
      </c>
      <c r="H121" t="n">
        <v>0</v>
      </c>
      <c r="I121" t="n">
        <v>0</v>
      </c>
      <c r="J121" t="n">
        <v>1</v>
      </c>
      <c r="K121" t="n">
        <v>0</v>
      </c>
      <c r="L121" t="n">
        <v>0</v>
      </c>
      <c r="M121" t="n">
        <v>0</v>
      </c>
      <c r="N121" t="n">
        <v>0</v>
      </c>
      <c r="O121" t="n">
        <v>1</v>
      </c>
      <c r="P121" t="n">
        <v>0</v>
      </c>
      <c r="Q121" t="n">
        <v>1</v>
      </c>
      <c r="R121" s="2" t="inlineStr">
        <is>
          <t>Stiftgelélav</t>
        </is>
      </c>
      <c r="S121">
        <f>HYPERLINK("https://klasma.github.io/Logging_2361/artfynd/A 18156-2019 artfynd.xlsx", "A 18156-2019")</f>
        <v/>
      </c>
      <c r="T121">
        <f>HYPERLINK("https://klasma.github.io/Logging_2361/kartor/A 18156-2019 karta.png", "A 18156-2019")</f>
        <v/>
      </c>
      <c r="V121">
        <f>HYPERLINK("https://klasma.github.io/Logging_2361/klagomål/A 18156-2019 FSC-klagomål.docx", "A 18156-2019")</f>
        <v/>
      </c>
      <c r="W121">
        <f>HYPERLINK("https://klasma.github.io/Logging_2361/klagomålsmail/A 18156-2019 FSC-klagomål mail.docx", "A 18156-2019")</f>
        <v/>
      </c>
      <c r="X121">
        <f>HYPERLINK("https://klasma.github.io/Logging_2361/tillsyn/A 18156-2019 tillsynsbegäran.docx", "A 18156-2019")</f>
        <v/>
      </c>
      <c r="Y121">
        <f>HYPERLINK("https://klasma.github.io/Logging_2361/tillsynsmail/A 18156-2019 tillsynsbegäran mail.docx", "A 18156-2019")</f>
        <v/>
      </c>
    </row>
    <row r="122" ht="15" customHeight="1">
      <c r="A122" t="inlineStr">
        <is>
          <t>A 34268-2019</t>
        </is>
      </c>
      <c r="B122" s="1" t="n">
        <v>43655</v>
      </c>
      <c r="C122" s="1" t="n">
        <v>45294</v>
      </c>
      <c r="D122" t="inlineStr">
        <is>
          <t>JÄMTLANDS LÄN</t>
        </is>
      </c>
      <c r="E122" t="inlineStr">
        <is>
          <t>HÄRJEDALEN</t>
        </is>
      </c>
      <c r="F122" t="inlineStr">
        <is>
          <t>Bergvik skog väst AB</t>
        </is>
      </c>
      <c r="G122" t="n">
        <v>43.7</v>
      </c>
      <c r="H122" t="n">
        <v>0</v>
      </c>
      <c r="I122" t="n">
        <v>0</v>
      </c>
      <c r="J122" t="n">
        <v>1</v>
      </c>
      <c r="K122" t="n">
        <v>0</v>
      </c>
      <c r="L122" t="n">
        <v>0</v>
      </c>
      <c r="M122" t="n">
        <v>0</v>
      </c>
      <c r="N122" t="n">
        <v>0</v>
      </c>
      <c r="O122" t="n">
        <v>1</v>
      </c>
      <c r="P122" t="n">
        <v>0</v>
      </c>
      <c r="Q122" t="n">
        <v>1</v>
      </c>
      <c r="R122" s="2" t="inlineStr">
        <is>
          <t>Lunglav</t>
        </is>
      </c>
      <c r="S122">
        <f>HYPERLINK("https://klasma.github.io/Logging_2361/artfynd/A 34268-2019 artfynd.xlsx", "A 34268-2019")</f>
        <v/>
      </c>
      <c r="T122">
        <f>HYPERLINK("https://klasma.github.io/Logging_2361/kartor/A 34268-2019 karta.png", "A 34268-2019")</f>
        <v/>
      </c>
      <c r="V122">
        <f>HYPERLINK("https://klasma.github.io/Logging_2361/klagomål/A 34268-2019 FSC-klagomål.docx", "A 34268-2019")</f>
        <v/>
      </c>
      <c r="W122">
        <f>HYPERLINK("https://klasma.github.io/Logging_2361/klagomålsmail/A 34268-2019 FSC-klagomål mail.docx", "A 34268-2019")</f>
        <v/>
      </c>
      <c r="X122">
        <f>HYPERLINK("https://klasma.github.io/Logging_2361/tillsyn/A 34268-2019 tillsynsbegäran.docx", "A 34268-2019")</f>
        <v/>
      </c>
      <c r="Y122">
        <f>HYPERLINK("https://klasma.github.io/Logging_2361/tillsynsmail/A 34268-2019 tillsynsbegäran mail.docx", "A 34268-2019")</f>
        <v/>
      </c>
    </row>
    <row r="123" ht="15" customHeight="1">
      <c r="A123" t="inlineStr">
        <is>
          <t>A 24898-2020</t>
        </is>
      </c>
      <c r="B123" s="1" t="n">
        <v>43979</v>
      </c>
      <c r="C123" s="1" t="n">
        <v>45294</v>
      </c>
      <c r="D123" t="inlineStr">
        <is>
          <t>JÄMTLANDS LÄN</t>
        </is>
      </c>
      <c r="E123" t="inlineStr">
        <is>
          <t>HÄRJEDALEN</t>
        </is>
      </c>
      <c r="F123" t="inlineStr">
        <is>
          <t>Sveaskog</t>
        </is>
      </c>
      <c r="G123" t="n">
        <v>2.9</v>
      </c>
      <c r="H123" t="n">
        <v>0</v>
      </c>
      <c r="I123" t="n">
        <v>0</v>
      </c>
      <c r="J123" t="n">
        <v>1</v>
      </c>
      <c r="K123" t="n">
        <v>0</v>
      </c>
      <c r="L123" t="n">
        <v>0</v>
      </c>
      <c r="M123" t="n">
        <v>0</v>
      </c>
      <c r="N123" t="n">
        <v>0</v>
      </c>
      <c r="O123" t="n">
        <v>1</v>
      </c>
      <c r="P123" t="n">
        <v>0</v>
      </c>
      <c r="Q123" t="n">
        <v>1</v>
      </c>
      <c r="R123" s="2" t="inlineStr">
        <is>
          <t>Brunklöver</t>
        </is>
      </c>
      <c r="S123">
        <f>HYPERLINK("https://klasma.github.io/Logging_2361/artfynd/A 24898-2020 artfynd.xlsx", "A 24898-2020")</f>
        <v/>
      </c>
      <c r="T123">
        <f>HYPERLINK("https://klasma.github.io/Logging_2361/kartor/A 24898-2020 karta.png", "A 24898-2020")</f>
        <v/>
      </c>
      <c r="V123">
        <f>HYPERLINK("https://klasma.github.io/Logging_2361/klagomål/A 24898-2020 FSC-klagomål.docx", "A 24898-2020")</f>
        <v/>
      </c>
      <c r="W123">
        <f>HYPERLINK("https://klasma.github.io/Logging_2361/klagomålsmail/A 24898-2020 FSC-klagomål mail.docx", "A 24898-2020")</f>
        <v/>
      </c>
      <c r="X123">
        <f>HYPERLINK("https://klasma.github.io/Logging_2361/tillsyn/A 24898-2020 tillsynsbegäran.docx", "A 24898-2020")</f>
        <v/>
      </c>
      <c r="Y123">
        <f>HYPERLINK("https://klasma.github.io/Logging_2361/tillsynsmail/A 24898-2020 tillsynsbegäran mail.docx", "A 24898-2020")</f>
        <v/>
      </c>
    </row>
    <row r="124" ht="15" customHeight="1">
      <c r="A124" t="inlineStr">
        <is>
          <t>A 36954-2020</t>
        </is>
      </c>
      <c r="B124" s="1" t="n">
        <v>44053</v>
      </c>
      <c r="C124" s="1" t="n">
        <v>45294</v>
      </c>
      <c r="D124" t="inlineStr">
        <is>
          <t>JÄMTLANDS LÄN</t>
        </is>
      </c>
      <c r="E124" t="inlineStr">
        <is>
          <t>HÄRJEDALEN</t>
        </is>
      </c>
      <c r="F124" t="inlineStr">
        <is>
          <t>SCA</t>
        </is>
      </c>
      <c r="G124" t="n">
        <v>38.7</v>
      </c>
      <c r="H124" t="n">
        <v>0</v>
      </c>
      <c r="I124" t="n">
        <v>0</v>
      </c>
      <c r="J124" t="n">
        <v>1</v>
      </c>
      <c r="K124" t="n">
        <v>0</v>
      </c>
      <c r="L124" t="n">
        <v>0</v>
      </c>
      <c r="M124" t="n">
        <v>0</v>
      </c>
      <c r="N124" t="n">
        <v>0</v>
      </c>
      <c r="O124" t="n">
        <v>1</v>
      </c>
      <c r="P124" t="n">
        <v>0</v>
      </c>
      <c r="Q124" t="n">
        <v>1</v>
      </c>
      <c r="R124" s="2" t="inlineStr">
        <is>
          <t>Reliktbock</t>
        </is>
      </c>
      <c r="S124">
        <f>HYPERLINK("https://klasma.github.io/Logging_2361/artfynd/A 36954-2020 artfynd.xlsx", "A 36954-2020")</f>
        <v/>
      </c>
      <c r="T124">
        <f>HYPERLINK("https://klasma.github.io/Logging_2361/kartor/A 36954-2020 karta.png", "A 36954-2020")</f>
        <v/>
      </c>
      <c r="V124">
        <f>HYPERLINK("https://klasma.github.io/Logging_2361/klagomål/A 36954-2020 FSC-klagomål.docx", "A 36954-2020")</f>
        <v/>
      </c>
      <c r="W124">
        <f>HYPERLINK("https://klasma.github.io/Logging_2361/klagomålsmail/A 36954-2020 FSC-klagomål mail.docx", "A 36954-2020")</f>
        <v/>
      </c>
      <c r="X124">
        <f>HYPERLINK("https://klasma.github.io/Logging_2361/tillsyn/A 36954-2020 tillsynsbegäran.docx", "A 36954-2020")</f>
        <v/>
      </c>
      <c r="Y124">
        <f>HYPERLINK("https://klasma.github.io/Logging_2361/tillsynsmail/A 36954-2020 tillsynsbegäran mail.docx", "A 36954-2020")</f>
        <v/>
      </c>
    </row>
    <row r="125" ht="15" customHeight="1">
      <c r="A125" t="inlineStr">
        <is>
          <t>A 51387-2020</t>
        </is>
      </c>
      <c r="B125" s="1" t="n">
        <v>44113</v>
      </c>
      <c r="C125" s="1" t="n">
        <v>45294</v>
      </c>
      <c r="D125" t="inlineStr">
        <is>
          <t>JÄMTLANDS LÄN</t>
        </is>
      </c>
      <c r="E125" t="inlineStr">
        <is>
          <t>HÄRJEDALEN</t>
        </is>
      </c>
      <c r="G125" t="n">
        <v>1</v>
      </c>
      <c r="H125" t="n">
        <v>0</v>
      </c>
      <c r="I125" t="n">
        <v>0</v>
      </c>
      <c r="J125" t="n">
        <v>0</v>
      </c>
      <c r="K125" t="n">
        <v>1</v>
      </c>
      <c r="L125" t="n">
        <v>0</v>
      </c>
      <c r="M125" t="n">
        <v>0</v>
      </c>
      <c r="N125" t="n">
        <v>0</v>
      </c>
      <c r="O125" t="n">
        <v>1</v>
      </c>
      <c r="P125" t="n">
        <v>1</v>
      </c>
      <c r="Q125" t="n">
        <v>1</v>
      </c>
      <c r="R125" s="2" t="inlineStr">
        <is>
          <t>Goliatmusseron</t>
        </is>
      </c>
      <c r="S125">
        <f>HYPERLINK("https://klasma.github.io/Logging_2361/artfynd/A 51387-2020 artfynd.xlsx", "A 51387-2020")</f>
        <v/>
      </c>
      <c r="T125">
        <f>HYPERLINK("https://klasma.github.io/Logging_2361/kartor/A 51387-2020 karta.png", "A 51387-2020")</f>
        <v/>
      </c>
      <c r="V125">
        <f>HYPERLINK("https://klasma.github.io/Logging_2361/klagomål/A 51387-2020 FSC-klagomål.docx", "A 51387-2020")</f>
        <v/>
      </c>
      <c r="W125">
        <f>HYPERLINK("https://klasma.github.io/Logging_2361/klagomålsmail/A 51387-2020 FSC-klagomål mail.docx", "A 51387-2020")</f>
        <v/>
      </c>
      <c r="X125">
        <f>HYPERLINK("https://klasma.github.io/Logging_2361/tillsyn/A 51387-2020 tillsynsbegäran.docx", "A 51387-2020")</f>
        <v/>
      </c>
      <c r="Y125">
        <f>HYPERLINK("https://klasma.github.io/Logging_2361/tillsynsmail/A 51387-2020 tillsynsbegäran mail.docx", "A 51387-2020")</f>
        <v/>
      </c>
    </row>
    <row r="126" ht="15" customHeight="1">
      <c r="A126" t="inlineStr">
        <is>
          <t>A 21572-2021</t>
        </is>
      </c>
      <c r="B126" s="1" t="n">
        <v>44321</v>
      </c>
      <c r="C126" s="1" t="n">
        <v>45294</v>
      </c>
      <c r="D126" t="inlineStr">
        <is>
          <t>JÄMTLANDS LÄN</t>
        </is>
      </c>
      <c r="E126" t="inlineStr">
        <is>
          <t>HÄRJEDALEN</t>
        </is>
      </c>
      <c r="F126" t="inlineStr">
        <is>
          <t>Holmen skog AB</t>
        </is>
      </c>
      <c r="G126" t="n">
        <v>29</v>
      </c>
      <c r="H126" t="n">
        <v>0</v>
      </c>
      <c r="I126" t="n">
        <v>0</v>
      </c>
      <c r="J126" t="n">
        <v>1</v>
      </c>
      <c r="K126" t="n">
        <v>0</v>
      </c>
      <c r="L126" t="n">
        <v>0</v>
      </c>
      <c r="M126" t="n">
        <v>0</v>
      </c>
      <c r="N126" t="n">
        <v>0</v>
      </c>
      <c r="O126" t="n">
        <v>1</v>
      </c>
      <c r="P126" t="n">
        <v>0</v>
      </c>
      <c r="Q126" t="n">
        <v>1</v>
      </c>
      <c r="R126" s="2" t="inlineStr">
        <is>
          <t>Skrovlig taggsvamp</t>
        </is>
      </c>
      <c r="S126">
        <f>HYPERLINK("https://klasma.github.io/Logging_2361/artfynd/A 21572-2021 artfynd.xlsx", "A 21572-2021")</f>
        <v/>
      </c>
      <c r="T126">
        <f>HYPERLINK("https://klasma.github.io/Logging_2361/kartor/A 21572-2021 karta.png", "A 21572-2021")</f>
        <v/>
      </c>
      <c r="V126">
        <f>HYPERLINK("https://klasma.github.io/Logging_2361/klagomål/A 21572-2021 FSC-klagomål.docx", "A 21572-2021")</f>
        <v/>
      </c>
      <c r="W126">
        <f>HYPERLINK("https://klasma.github.io/Logging_2361/klagomålsmail/A 21572-2021 FSC-klagomål mail.docx", "A 21572-2021")</f>
        <v/>
      </c>
      <c r="X126">
        <f>HYPERLINK("https://klasma.github.io/Logging_2361/tillsyn/A 21572-2021 tillsynsbegäran.docx", "A 21572-2021")</f>
        <v/>
      </c>
      <c r="Y126">
        <f>HYPERLINK("https://klasma.github.io/Logging_2361/tillsynsmail/A 21572-2021 tillsynsbegäran mail.docx", "A 21572-2021")</f>
        <v/>
      </c>
    </row>
    <row r="127" ht="15" customHeight="1">
      <c r="A127" t="inlineStr">
        <is>
          <t>A 38359-2021</t>
        </is>
      </c>
      <c r="B127" s="1" t="n">
        <v>44406</v>
      </c>
      <c r="C127" s="1" t="n">
        <v>45294</v>
      </c>
      <c r="D127" t="inlineStr">
        <is>
          <t>JÄMTLANDS LÄN</t>
        </is>
      </c>
      <c r="E127" t="inlineStr">
        <is>
          <t>HÄRJEDALEN</t>
        </is>
      </c>
      <c r="G127" t="n">
        <v>17.3</v>
      </c>
      <c r="H127" t="n">
        <v>1</v>
      </c>
      <c r="I127" t="n">
        <v>0</v>
      </c>
      <c r="J127" t="n">
        <v>0</v>
      </c>
      <c r="K127" t="n">
        <v>1</v>
      </c>
      <c r="L127" t="n">
        <v>0</v>
      </c>
      <c r="M127" t="n">
        <v>0</v>
      </c>
      <c r="N127" t="n">
        <v>0</v>
      </c>
      <c r="O127" t="n">
        <v>1</v>
      </c>
      <c r="P127" t="n">
        <v>1</v>
      </c>
      <c r="Q127" t="n">
        <v>1</v>
      </c>
      <c r="R127" s="2" t="inlineStr">
        <is>
          <t>Knärot</t>
        </is>
      </c>
      <c r="S127">
        <f>HYPERLINK("https://klasma.github.io/Logging_2361/artfynd/A 38359-2021 artfynd.xlsx", "A 38359-2021")</f>
        <v/>
      </c>
      <c r="T127">
        <f>HYPERLINK("https://klasma.github.io/Logging_2361/kartor/A 38359-2021 karta.png", "A 38359-2021")</f>
        <v/>
      </c>
      <c r="U127">
        <f>HYPERLINK("https://klasma.github.io/Logging_2361/knärot/A 38359-2021 karta knärot.png", "A 38359-2021")</f>
        <v/>
      </c>
      <c r="V127">
        <f>HYPERLINK("https://klasma.github.io/Logging_2361/klagomål/A 38359-2021 FSC-klagomål.docx", "A 38359-2021")</f>
        <v/>
      </c>
      <c r="W127">
        <f>HYPERLINK("https://klasma.github.io/Logging_2361/klagomålsmail/A 38359-2021 FSC-klagomål mail.docx", "A 38359-2021")</f>
        <v/>
      </c>
      <c r="X127">
        <f>HYPERLINK("https://klasma.github.io/Logging_2361/tillsyn/A 38359-2021 tillsynsbegäran.docx", "A 38359-2021")</f>
        <v/>
      </c>
      <c r="Y127">
        <f>HYPERLINK("https://klasma.github.io/Logging_2361/tillsynsmail/A 38359-2021 tillsynsbegäran mail.docx", "A 38359-2021")</f>
        <v/>
      </c>
    </row>
    <row r="128" ht="15" customHeight="1">
      <c r="A128" t="inlineStr">
        <is>
          <t>A 55223-2021</t>
        </is>
      </c>
      <c r="B128" s="1" t="n">
        <v>44475</v>
      </c>
      <c r="C128" s="1" t="n">
        <v>45294</v>
      </c>
      <c r="D128" t="inlineStr">
        <is>
          <t>JÄMTLANDS LÄN</t>
        </is>
      </c>
      <c r="E128" t="inlineStr">
        <is>
          <t>HÄRJEDALEN</t>
        </is>
      </c>
      <c r="G128" t="n">
        <v>18.2</v>
      </c>
      <c r="H128" t="n">
        <v>1</v>
      </c>
      <c r="I128" t="n">
        <v>0</v>
      </c>
      <c r="J128" t="n">
        <v>1</v>
      </c>
      <c r="K128" t="n">
        <v>0</v>
      </c>
      <c r="L128" t="n">
        <v>0</v>
      </c>
      <c r="M128" t="n">
        <v>0</v>
      </c>
      <c r="N128" t="n">
        <v>0</v>
      </c>
      <c r="O128" t="n">
        <v>1</v>
      </c>
      <c r="P128" t="n">
        <v>0</v>
      </c>
      <c r="Q128" t="n">
        <v>1</v>
      </c>
      <c r="R128" s="2" t="inlineStr">
        <is>
          <t>Varglav</t>
        </is>
      </c>
      <c r="S128">
        <f>HYPERLINK("https://klasma.github.io/Logging_2361/artfynd/A 55223-2021 artfynd.xlsx", "A 55223-2021")</f>
        <v/>
      </c>
      <c r="T128">
        <f>HYPERLINK("https://klasma.github.io/Logging_2361/kartor/A 55223-2021 karta.png", "A 55223-2021")</f>
        <v/>
      </c>
      <c r="V128">
        <f>HYPERLINK("https://klasma.github.io/Logging_2361/klagomål/A 55223-2021 FSC-klagomål.docx", "A 55223-2021")</f>
        <v/>
      </c>
      <c r="W128">
        <f>HYPERLINK("https://klasma.github.io/Logging_2361/klagomålsmail/A 55223-2021 FSC-klagomål mail.docx", "A 55223-2021")</f>
        <v/>
      </c>
      <c r="X128">
        <f>HYPERLINK("https://klasma.github.io/Logging_2361/tillsyn/A 55223-2021 tillsynsbegäran.docx", "A 55223-2021")</f>
        <v/>
      </c>
      <c r="Y128">
        <f>HYPERLINK("https://klasma.github.io/Logging_2361/tillsynsmail/A 55223-2021 tillsynsbegäran mail.docx", "A 55223-2021")</f>
        <v/>
      </c>
    </row>
    <row r="129" ht="15" customHeight="1">
      <c r="A129" t="inlineStr">
        <is>
          <t>A 55222-2021</t>
        </is>
      </c>
      <c r="B129" s="1" t="n">
        <v>44475</v>
      </c>
      <c r="C129" s="1" t="n">
        <v>45294</v>
      </c>
      <c r="D129" t="inlineStr">
        <is>
          <t>JÄMTLANDS LÄN</t>
        </is>
      </c>
      <c r="E129" t="inlineStr">
        <is>
          <t>HÄRJEDALEN</t>
        </is>
      </c>
      <c r="G129" t="n">
        <v>1.1</v>
      </c>
      <c r="H129" t="n">
        <v>1</v>
      </c>
      <c r="I129" t="n">
        <v>0</v>
      </c>
      <c r="J129" t="n">
        <v>1</v>
      </c>
      <c r="K129" t="n">
        <v>0</v>
      </c>
      <c r="L129" t="n">
        <v>0</v>
      </c>
      <c r="M129" t="n">
        <v>0</v>
      </c>
      <c r="N129" t="n">
        <v>0</v>
      </c>
      <c r="O129" t="n">
        <v>1</v>
      </c>
      <c r="P129" t="n">
        <v>0</v>
      </c>
      <c r="Q129" t="n">
        <v>1</v>
      </c>
      <c r="R129" s="2" t="inlineStr">
        <is>
          <t>Varglav</t>
        </is>
      </c>
      <c r="S129">
        <f>HYPERLINK("https://klasma.github.io/Logging_2361/artfynd/A 55222-2021 artfynd.xlsx", "A 55222-2021")</f>
        <v/>
      </c>
      <c r="T129">
        <f>HYPERLINK("https://klasma.github.io/Logging_2361/kartor/A 55222-2021 karta.png", "A 55222-2021")</f>
        <v/>
      </c>
      <c r="V129">
        <f>HYPERLINK("https://klasma.github.io/Logging_2361/klagomål/A 55222-2021 FSC-klagomål.docx", "A 55222-2021")</f>
        <v/>
      </c>
      <c r="W129">
        <f>HYPERLINK("https://klasma.github.io/Logging_2361/klagomålsmail/A 55222-2021 FSC-klagomål mail.docx", "A 55222-2021")</f>
        <v/>
      </c>
      <c r="X129">
        <f>HYPERLINK("https://klasma.github.io/Logging_2361/tillsyn/A 55222-2021 tillsynsbegäran.docx", "A 55222-2021")</f>
        <v/>
      </c>
      <c r="Y129">
        <f>HYPERLINK("https://klasma.github.io/Logging_2361/tillsynsmail/A 55222-2021 tillsynsbegäran mail.docx", "A 55222-2021")</f>
        <v/>
      </c>
    </row>
    <row r="130" ht="15" customHeight="1">
      <c r="A130" t="inlineStr">
        <is>
          <t>A 55221-2021</t>
        </is>
      </c>
      <c r="B130" s="1" t="n">
        <v>44475</v>
      </c>
      <c r="C130" s="1" t="n">
        <v>45294</v>
      </c>
      <c r="D130" t="inlineStr">
        <is>
          <t>JÄMTLANDS LÄN</t>
        </is>
      </c>
      <c r="E130" t="inlineStr">
        <is>
          <t>HÄRJEDALEN</t>
        </is>
      </c>
      <c r="G130" t="n">
        <v>0.2</v>
      </c>
      <c r="H130" t="n">
        <v>1</v>
      </c>
      <c r="I130" t="n">
        <v>0</v>
      </c>
      <c r="J130" t="n">
        <v>1</v>
      </c>
      <c r="K130" t="n">
        <v>0</v>
      </c>
      <c r="L130" t="n">
        <v>0</v>
      </c>
      <c r="M130" t="n">
        <v>0</v>
      </c>
      <c r="N130" t="n">
        <v>0</v>
      </c>
      <c r="O130" t="n">
        <v>1</v>
      </c>
      <c r="P130" t="n">
        <v>0</v>
      </c>
      <c r="Q130" t="n">
        <v>1</v>
      </c>
      <c r="R130" s="2" t="inlineStr">
        <is>
          <t>Varglav</t>
        </is>
      </c>
      <c r="S130">
        <f>HYPERLINK("https://klasma.github.io/Logging_2361/artfynd/A 55221-2021 artfynd.xlsx", "A 55221-2021")</f>
        <v/>
      </c>
      <c r="T130">
        <f>HYPERLINK("https://klasma.github.io/Logging_2361/kartor/A 55221-2021 karta.png", "A 55221-2021")</f>
        <v/>
      </c>
      <c r="V130">
        <f>HYPERLINK("https://klasma.github.io/Logging_2361/klagomål/A 55221-2021 FSC-klagomål.docx", "A 55221-2021")</f>
        <v/>
      </c>
      <c r="W130">
        <f>HYPERLINK("https://klasma.github.io/Logging_2361/klagomålsmail/A 55221-2021 FSC-klagomål mail.docx", "A 55221-2021")</f>
        <v/>
      </c>
      <c r="X130">
        <f>HYPERLINK("https://klasma.github.io/Logging_2361/tillsyn/A 55221-2021 tillsynsbegäran.docx", "A 55221-2021")</f>
        <v/>
      </c>
      <c r="Y130">
        <f>HYPERLINK("https://klasma.github.io/Logging_2361/tillsynsmail/A 55221-2021 tillsynsbegäran mail.docx", "A 55221-2021")</f>
        <v/>
      </c>
    </row>
    <row r="131" ht="15" customHeight="1">
      <c r="A131" t="inlineStr">
        <is>
          <t>A 55245-2021</t>
        </is>
      </c>
      <c r="B131" s="1" t="n">
        <v>44475</v>
      </c>
      <c r="C131" s="1" t="n">
        <v>45294</v>
      </c>
      <c r="D131" t="inlineStr">
        <is>
          <t>JÄMTLANDS LÄN</t>
        </is>
      </c>
      <c r="E131" t="inlineStr">
        <is>
          <t>HÄRJEDALEN</t>
        </is>
      </c>
      <c r="G131" t="n">
        <v>5.1</v>
      </c>
      <c r="H131" t="n">
        <v>0</v>
      </c>
      <c r="I131" t="n">
        <v>0</v>
      </c>
      <c r="J131" t="n">
        <v>1</v>
      </c>
      <c r="K131" t="n">
        <v>0</v>
      </c>
      <c r="L131" t="n">
        <v>0</v>
      </c>
      <c r="M131" t="n">
        <v>0</v>
      </c>
      <c r="N131" t="n">
        <v>0</v>
      </c>
      <c r="O131" t="n">
        <v>1</v>
      </c>
      <c r="P131" t="n">
        <v>0</v>
      </c>
      <c r="Q131" t="n">
        <v>1</v>
      </c>
      <c r="R131" s="2" t="inlineStr">
        <is>
          <t>Blanksvart spiklav</t>
        </is>
      </c>
      <c r="S131">
        <f>HYPERLINK("https://klasma.github.io/Logging_2361/artfynd/A 55245-2021 artfynd.xlsx", "A 55245-2021")</f>
        <v/>
      </c>
      <c r="T131">
        <f>HYPERLINK("https://klasma.github.io/Logging_2361/kartor/A 55245-2021 karta.png", "A 55245-2021")</f>
        <v/>
      </c>
      <c r="V131">
        <f>HYPERLINK("https://klasma.github.io/Logging_2361/klagomål/A 55245-2021 FSC-klagomål.docx", "A 55245-2021")</f>
        <v/>
      </c>
      <c r="W131">
        <f>HYPERLINK("https://klasma.github.io/Logging_2361/klagomålsmail/A 55245-2021 FSC-klagomål mail.docx", "A 55245-2021")</f>
        <v/>
      </c>
      <c r="X131">
        <f>HYPERLINK("https://klasma.github.io/Logging_2361/tillsyn/A 55245-2021 tillsynsbegäran.docx", "A 55245-2021")</f>
        <v/>
      </c>
      <c r="Y131">
        <f>HYPERLINK("https://klasma.github.io/Logging_2361/tillsynsmail/A 55245-2021 tillsynsbegäran mail.docx", "A 55245-2021")</f>
        <v/>
      </c>
    </row>
    <row r="132" ht="15" customHeight="1">
      <c r="A132" t="inlineStr">
        <is>
          <t>A 13982-2022</t>
        </is>
      </c>
      <c r="B132" s="1" t="n">
        <v>44650</v>
      </c>
      <c r="C132" s="1" t="n">
        <v>45294</v>
      </c>
      <c r="D132" t="inlineStr">
        <is>
          <t>JÄMTLANDS LÄN</t>
        </is>
      </c>
      <c r="E132" t="inlineStr">
        <is>
          <t>HÄRJEDALEN</t>
        </is>
      </c>
      <c r="F132" t="inlineStr">
        <is>
          <t>Holmen skog AB</t>
        </is>
      </c>
      <c r="G132" t="n">
        <v>4.4</v>
      </c>
      <c r="H132" t="n">
        <v>0</v>
      </c>
      <c r="I132" t="n">
        <v>0</v>
      </c>
      <c r="J132" t="n">
        <v>1</v>
      </c>
      <c r="K132" t="n">
        <v>0</v>
      </c>
      <c r="L132" t="n">
        <v>0</v>
      </c>
      <c r="M132" t="n">
        <v>0</v>
      </c>
      <c r="N132" t="n">
        <v>0</v>
      </c>
      <c r="O132" t="n">
        <v>1</v>
      </c>
      <c r="P132" t="n">
        <v>0</v>
      </c>
      <c r="Q132" t="n">
        <v>1</v>
      </c>
      <c r="R132" s="2" t="inlineStr">
        <is>
          <t>Garnlav</t>
        </is>
      </c>
      <c r="S132">
        <f>HYPERLINK("https://klasma.github.io/Logging_2361/artfynd/A 13982-2022 artfynd.xlsx", "A 13982-2022")</f>
        <v/>
      </c>
      <c r="T132">
        <f>HYPERLINK("https://klasma.github.io/Logging_2361/kartor/A 13982-2022 karta.png", "A 13982-2022")</f>
        <v/>
      </c>
      <c r="V132">
        <f>HYPERLINK("https://klasma.github.io/Logging_2361/klagomål/A 13982-2022 FSC-klagomål.docx", "A 13982-2022")</f>
        <v/>
      </c>
      <c r="W132">
        <f>HYPERLINK("https://klasma.github.io/Logging_2361/klagomålsmail/A 13982-2022 FSC-klagomål mail.docx", "A 13982-2022")</f>
        <v/>
      </c>
      <c r="X132">
        <f>HYPERLINK("https://klasma.github.io/Logging_2361/tillsyn/A 13982-2022 tillsynsbegäran.docx", "A 13982-2022")</f>
        <v/>
      </c>
      <c r="Y132">
        <f>HYPERLINK("https://klasma.github.io/Logging_2361/tillsynsmail/A 13982-2022 tillsynsbegäran mail.docx", "A 13982-2022")</f>
        <v/>
      </c>
    </row>
    <row r="133" ht="15" customHeight="1">
      <c r="A133" t="inlineStr">
        <is>
          <t>A 15360-2022</t>
        </is>
      </c>
      <c r="B133" s="1" t="n">
        <v>44659</v>
      </c>
      <c r="C133" s="1" t="n">
        <v>45294</v>
      </c>
      <c r="D133" t="inlineStr">
        <is>
          <t>JÄMTLANDS LÄN</t>
        </is>
      </c>
      <c r="E133" t="inlineStr">
        <is>
          <t>HÄRJEDALEN</t>
        </is>
      </c>
      <c r="G133" t="n">
        <v>7.7</v>
      </c>
      <c r="H133" t="n">
        <v>1</v>
      </c>
      <c r="I133" t="n">
        <v>0</v>
      </c>
      <c r="J133" t="n">
        <v>0</v>
      </c>
      <c r="K133" t="n">
        <v>0</v>
      </c>
      <c r="L133" t="n">
        <v>1</v>
      </c>
      <c r="M133" t="n">
        <v>0</v>
      </c>
      <c r="N133" t="n">
        <v>0</v>
      </c>
      <c r="O133" t="n">
        <v>1</v>
      </c>
      <c r="P133" t="n">
        <v>1</v>
      </c>
      <c r="Q133" t="n">
        <v>1</v>
      </c>
      <c r="R133" s="2" t="inlineStr">
        <is>
          <t>Mosippa</t>
        </is>
      </c>
      <c r="S133">
        <f>HYPERLINK("https://klasma.github.io/Logging_2361/artfynd/A 15360-2022 artfynd.xlsx", "A 15360-2022")</f>
        <v/>
      </c>
      <c r="T133">
        <f>HYPERLINK("https://klasma.github.io/Logging_2361/kartor/A 15360-2022 karta.png", "A 15360-2022")</f>
        <v/>
      </c>
      <c r="V133">
        <f>HYPERLINK("https://klasma.github.io/Logging_2361/klagomål/A 15360-2022 FSC-klagomål.docx", "A 15360-2022")</f>
        <v/>
      </c>
      <c r="W133">
        <f>HYPERLINK("https://klasma.github.io/Logging_2361/klagomålsmail/A 15360-2022 FSC-klagomål mail.docx", "A 15360-2022")</f>
        <v/>
      </c>
      <c r="X133">
        <f>HYPERLINK("https://klasma.github.io/Logging_2361/tillsyn/A 15360-2022 tillsynsbegäran.docx", "A 15360-2022")</f>
        <v/>
      </c>
      <c r="Y133">
        <f>HYPERLINK("https://klasma.github.io/Logging_2361/tillsynsmail/A 15360-2022 tillsynsbegäran mail.docx", "A 15360-2022")</f>
        <v/>
      </c>
    </row>
    <row r="134" ht="15" customHeight="1">
      <c r="A134" t="inlineStr">
        <is>
          <t>A 42214-2022</t>
        </is>
      </c>
      <c r="B134" s="1" t="n">
        <v>44830</v>
      </c>
      <c r="C134" s="1" t="n">
        <v>45294</v>
      </c>
      <c r="D134" t="inlineStr">
        <is>
          <t>JÄMTLANDS LÄN</t>
        </is>
      </c>
      <c r="E134" t="inlineStr">
        <is>
          <t>HÄRJEDALEN</t>
        </is>
      </c>
      <c r="F134" t="inlineStr">
        <is>
          <t>Sveaskog</t>
        </is>
      </c>
      <c r="G134" t="n">
        <v>8.800000000000001</v>
      </c>
      <c r="H134" t="n">
        <v>0</v>
      </c>
      <c r="I134" t="n">
        <v>0</v>
      </c>
      <c r="J134" t="n">
        <v>0</v>
      </c>
      <c r="K134" t="n">
        <v>1</v>
      </c>
      <c r="L134" t="n">
        <v>0</v>
      </c>
      <c r="M134" t="n">
        <v>0</v>
      </c>
      <c r="N134" t="n">
        <v>0</v>
      </c>
      <c r="O134" t="n">
        <v>1</v>
      </c>
      <c r="P134" t="n">
        <v>1</v>
      </c>
      <c r="Q134" t="n">
        <v>1</v>
      </c>
      <c r="R134" s="2" t="inlineStr">
        <is>
          <t>Rynkskinn</t>
        </is>
      </c>
      <c r="S134">
        <f>HYPERLINK("https://klasma.github.io/Logging_2361/artfynd/A 42214-2022 artfynd.xlsx", "A 42214-2022")</f>
        <v/>
      </c>
      <c r="T134">
        <f>HYPERLINK("https://klasma.github.io/Logging_2361/kartor/A 42214-2022 karta.png", "A 42214-2022")</f>
        <v/>
      </c>
      <c r="V134">
        <f>HYPERLINK("https://klasma.github.io/Logging_2361/klagomål/A 42214-2022 FSC-klagomål.docx", "A 42214-2022")</f>
        <v/>
      </c>
      <c r="W134">
        <f>HYPERLINK("https://klasma.github.io/Logging_2361/klagomålsmail/A 42214-2022 FSC-klagomål mail.docx", "A 42214-2022")</f>
        <v/>
      </c>
      <c r="X134">
        <f>HYPERLINK("https://klasma.github.io/Logging_2361/tillsyn/A 42214-2022 tillsynsbegäran.docx", "A 42214-2022")</f>
        <v/>
      </c>
      <c r="Y134">
        <f>HYPERLINK("https://klasma.github.io/Logging_2361/tillsynsmail/A 42214-2022 tillsynsbegäran mail.docx", "A 42214-2022")</f>
        <v/>
      </c>
    </row>
    <row r="135" ht="15" customHeight="1">
      <c r="A135" t="inlineStr">
        <is>
          <t>A 52328-2022</t>
        </is>
      </c>
      <c r="B135" s="1" t="n">
        <v>44873</v>
      </c>
      <c r="C135" s="1" t="n">
        <v>45294</v>
      </c>
      <c r="D135" t="inlineStr">
        <is>
          <t>JÄMTLANDS LÄN</t>
        </is>
      </c>
      <c r="E135" t="inlineStr">
        <is>
          <t>HÄRJEDALEN</t>
        </is>
      </c>
      <c r="G135" t="n">
        <v>30.5</v>
      </c>
      <c r="H135" t="n">
        <v>0</v>
      </c>
      <c r="I135" t="n">
        <v>0</v>
      </c>
      <c r="J135" t="n">
        <v>1</v>
      </c>
      <c r="K135" t="n">
        <v>0</v>
      </c>
      <c r="L135" t="n">
        <v>0</v>
      </c>
      <c r="M135" t="n">
        <v>0</v>
      </c>
      <c r="N135" t="n">
        <v>0</v>
      </c>
      <c r="O135" t="n">
        <v>1</v>
      </c>
      <c r="P135" t="n">
        <v>0</v>
      </c>
      <c r="Q135" t="n">
        <v>1</v>
      </c>
      <c r="R135" s="2" t="inlineStr">
        <is>
          <t>Stjärntagging</t>
        </is>
      </c>
      <c r="S135">
        <f>HYPERLINK("https://klasma.github.io/Logging_2361/artfynd/A 52328-2022 artfynd.xlsx", "A 52328-2022")</f>
        <v/>
      </c>
      <c r="T135">
        <f>HYPERLINK("https://klasma.github.io/Logging_2361/kartor/A 52328-2022 karta.png", "A 52328-2022")</f>
        <v/>
      </c>
      <c r="V135">
        <f>HYPERLINK("https://klasma.github.io/Logging_2361/klagomål/A 52328-2022 FSC-klagomål.docx", "A 52328-2022")</f>
        <v/>
      </c>
      <c r="W135">
        <f>HYPERLINK("https://klasma.github.io/Logging_2361/klagomålsmail/A 52328-2022 FSC-klagomål mail.docx", "A 52328-2022")</f>
        <v/>
      </c>
      <c r="X135">
        <f>HYPERLINK("https://klasma.github.io/Logging_2361/tillsyn/A 52328-2022 tillsynsbegäran.docx", "A 52328-2022")</f>
        <v/>
      </c>
      <c r="Y135">
        <f>HYPERLINK("https://klasma.github.io/Logging_2361/tillsynsmail/A 52328-2022 tillsynsbegäran mail.docx", "A 52328-2022")</f>
        <v/>
      </c>
    </row>
    <row r="136" ht="15" customHeight="1">
      <c r="A136" t="inlineStr">
        <is>
          <t>A 56084-2022</t>
        </is>
      </c>
      <c r="B136" s="1" t="n">
        <v>44886</v>
      </c>
      <c r="C136" s="1" t="n">
        <v>45294</v>
      </c>
      <c r="D136" t="inlineStr">
        <is>
          <t>JÄMTLANDS LÄN</t>
        </is>
      </c>
      <c r="E136" t="inlineStr">
        <is>
          <t>HÄRJEDALEN</t>
        </is>
      </c>
      <c r="F136" t="inlineStr">
        <is>
          <t>Övriga statliga verk och myndigheter</t>
        </is>
      </c>
      <c r="G136" t="n">
        <v>18.6</v>
      </c>
      <c r="H136" t="n">
        <v>0</v>
      </c>
      <c r="I136" t="n">
        <v>0</v>
      </c>
      <c r="J136" t="n">
        <v>1</v>
      </c>
      <c r="K136" t="n">
        <v>0</v>
      </c>
      <c r="L136" t="n">
        <v>0</v>
      </c>
      <c r="M136" t="n">
        <v>0</v>
      </c>
      <c r="N136" t="n">
        <v>0</v>
      </c>
      <c r="O136" t="n">
        <v>1</v>
      </c>
      <c r="P136" t="n">
        <v>0</v>
      </c>
      <c r="Q136" t="n">
        <v>1</v>
      </c>
      <c r="R136" s="2" t="inlineStr">
        <is>
          <t>Dvärgbägarlav</t>
        </is>
      </c>
      <c r="S136">
        <f>HYPERLINK("https://klasma.github.io/Logging_2361/artfynd/A 56084-2022 artfynd.xlsx", "A 56084-2022")</f>
        <v/>
      </c>
      <c r="T136">
        <f>HYPERLINK("https://klasma.github.io/Logging_2361/kartor/A 56084-2022 karta.png", "A 56084-2022")</f>
        <v/>
      </c>
      <c r="V136">
        <f>HYPERLINK("https://klasma.github.io/Logging_2361/klagomål/A 56084-2022 FSC-klagomål.docx", "A 56084-2022")</f>
        <v/>
      </c>
      <c r="W136">
        <f>HYPERLINK("https://klasma.github.io/Logging_2361/klagomålsmail/A 56084-2022 FSC-klagomål mail.docx", "A 56084-2022")</f>
        <v/>
      </c>
      <c r="X136">
        <f>HYPERLINK("https://klasma.github.io/Logging_2361/tillsyn/A 56084-2022 tillsynsbegäran.docx", "A 56084-2022")</f>
        <v/>
      </c>
      <c r="Y136">
        <f>HYPERLINK("https://klasma.github.io/Logging_2361/tillsynsmail/A 56084-2022 tillsynsbegäran mail.docx", "A 56084-2022")</f>
        <v/>
      </c>
    </row>
    <row r="137" ht="15" customHeight="1">
      <c r="A137" t="inlineStr">
        <is>
          <t>A 184-2023</t>
        </is>
      </c>
      <c r="B137" s="1" t="n">
        <v>44928</v>
      </c>
      <c r="C137" s="1" t="n">
        <v>45294</v>
      </c>
      <c r="D137" t="inlineStr">
        <is>
          <t>JÄMTLANDS LÄN</t>
        </is>
      </c>
      <c r="E137" t="inlineStr">
        <is>
          <t>HÄRJEDALEN</t>
        </is>
      </c>
      <c r="F137" t="inlineStr">
        <is>
          <t>Holmen skog AB</t>
        </is>
      </c>
      <c r="G137" t="n">
        <v>7.8</v>
      </c>
      <c r="H137" t="n">
        <v>1</v>
      </c>
      <c r="I137" t="n">
        <v>1</v>
      </c>
      <c r="J137" t="n">
        <v>0</v>
      </c>
      <c r="K137" t="n">
        <v>0</v>
      </c>
      <c r="L137" t="n">
        <v>0</v>
      </c>
      <c r="M137" t="n">
        <v>0</v>
      </c>
      <c r="N137" t="n">
        <v>0</v>
      </c>
      <c r="O137" t="n">
        <v>0</v>
      </c>
      <c r="P137" t="n">
        <v>0</v>
      </c>
      <c r="Q137" t="n">
        <v>1</v>
      </c>
      <c r="R137" s="2" t="inlineStr">
        <is>
          <t>Spindelblomster</t>
        </is>
      </c>
      <c r="S137">
        <f>HYPERLINK("https://klasma.github.io/Logging_2361/artfynd/A 184-2023 artfynd.xlsx", "A 184-2023")</f>
        <v/>
      </c>
      <c r="T137">
        <f>HYPERLINK("https://klasma.github.io/Logging_2361/kartor/A 184-2023 karta.png", "A 184-2023")</f>
        <v/>
      </c>
      <c r="V137">
        <f>HYPERLINK("https://klasma.github.io/Logging_2361/klagomål/A 184-2023 FSC-klagomål.docx", "A 184-2023")</f>
        <v/>
      </c>
      <c r="W137">
        <f>HYPERLINK("https://klasma.github.io/Logging_2361/klagomålsmail/A 184-2023 FSC-klagomål mail.docx", "A 184-2023")</f>
        <v/>
      </c>
      <c r="X137">
        <f>HYPERLINK("https://klasma.github.io/Logging_2361/tillsyn/A 184-2023 tillsynsbegäran.docx", "A 184-2023")</f>
        <v/>
      </c>
      <c r="Y137">
        <f>HYPERLINK("https://klasma.github.io/Logging_2361/tillsynsmail/A 184-2023 tillsynsbegäran mail.docx", "A 184-2023")</f>
        <v/>
      </c>
    </row>
    <row r="138" ht="15" customHeight="1">
      <c r="A138" t="inlineStr">
        <is>
          <t>A 30330-2023</t>
        </is>
      </c>
      <c r="B138" s="1" t="n">
        <v>45111</v>
      </c>
      <c r="C138" s="1" t="n">
        <v>45294</v>
      </c>
      <c r="D138" t="inlineStr">
        <is>
          <t>JÄMTLANDS LÄN</t>
        </is>
      </c>
      <c r="E138" t="inlineStr">
        <is>
          <t>HÄRJEDALEN</t>
        </is>
      </c>
      <c r="F138" t="inlineStr">
        <is>
          <t>Bergvik skog väst AB</t>
        </is>
      </c>
      <c r="G138" t="n">
        <v>7.7</v>
      </c>
      <c r="H138" t="n">
        <v>1</v>
      </c>
      <c r="I138" t="n">
        <v>0</v>
      </c>
      <c r="J138" t="n">
        <v>0</v>
      </c>
      <c r="K138" t="n">
        <v>0</v>
      </c>
      <c r="L138" t="n">
        <v>1</v>
      </c>
      <c r="M138" t="n">
        <v>0</v>
      </c>
      <c r="N138" t="n">
        <v>0</v>
      </c>
      <c r="O138" t="n">
        <v>1</v>
      </c>
      <c r="P138" t="n">
        <v>1</v>
      </c>
      <c r="Q138" t="n">
        <v>1</v>
      </c>
      <c r="R138" s="2" t="inlineStr">
        <is>
          <t>Mosippa</t>
        </is>
      </c>
      <c r="S138">
        <f>HYPERLINK("https://klasma.github.io/Logging_2361/artfynd/A 30330-2023 artfynd.xlsx", "A 30330-2023")</f>
        <v/>
      </c>
      <c r="T138">
        <f>HYPERLINK("https://klasma.github.io/Logging_2361/kartor/A 30330-2023 karta.png", "A 30330-2023")</f>
        <v/>
      </c>
      <c r="V138">
        <f>HYPERLINK("https://klasma.github.io/Logging_2361/klagomål/A 30330-2023 FSC-klagomål.docx", "A 30330-2023")</f>
        <v/>
      </c>
      <c r="W138">
        <f>HYPERLINK("https://klasma.github.io/Logging_2361/klagomålsmail/A 30330-2023 FSC-klagomål mail.docx", "A 30330-2023")</f>
        <v/>
      </c>
      <c r="X138">
        <f>HYPERLINK("https://klasma.github.io/Logging_2361/tillsyn/A 30330-2023 tillsynsbegäran.docx", "A 30330-2023")</f>
        <v/>
      </c>
      <c r="Y138">
        <f>HYPERLINK("https://klasma.github.io/Logging_2361/tillsynsmail/A 30330-2023 tillsynsbegäran mail.docx", "A 30330-2023")</f>
        <v/>
      </c>
    </row>
    <row r="139" ht="15" customHeight="1">
      <c r="A139" t="inlineStr">
        <is>
          <t>A 39524-2023</t>
        </is>
      </c>
      <c r="B139" s="1" t="n">
        <v>45167</v>
      </c>
      <c r="C139" s="1" t="n">
        <v>45294</v>
      </c>
      <c r="D139" t="inlineStr">
        <is>
          <t>JÄMTLANDS LÄN</t>
        </is>
      </c>
      <c r="E139" t="inlineStr">
        <is>
          <t>HÄRJEDALEN</t>
        </is>
      </c>
      <c r="F139" t="inlineStr">
        <is>
          <t>Bergvik skog väst AB</t>
        </is>
      </c>
      <c r="G139" t="n">
        <v>4.1</v>
      </c>
      <c r="H139" t="n">
        <v>1</v>
      </c>
      <c r="I139" t="n">
        <v>0</v>
      </c>
      <c r="J139" t="n">
        <v>1</v>
      </c>
      <c r="K139" t="n">
        <v>0</v>
      </c>
      <c r="L139" t="n">
        <v>0</v>
      </c>
      <c r="M139" t="n">
        <v>0</v>
      </c>
      <c r="N139" t="n">
        <v>0</v>
      </c>
      <c r="O139" t="n">
        <v>1</v>
      </c>
      <c r="P139" t="n">
        <v>0</v>
      </c>
      <c r="Q139" t="n">
        <v>1</v>
      </c>
      <c r="R139" s="2" t="inlineStr">
        <is>
          <t>Tretåig hackspett</t>
        </is>
      </c>
      <c r="S139">
        <f>HYPERLINK("https://klasma.github.io/Logging_2361/artfynd/A 39524-2023 artfynd.xlsx", "A 39524-2023")</f>
        <v/>
      </c>
      <c r="T139">
        <f>HYPERLINK("https://klasma.github.io/Logging_2361/kartor/A 39524-2023 karta.png", "A 39524-2023")</f>
        <v/>
      </c>
      <c r="V139">
        <f>HYPERLINK("https://klasma.github.io/Logging_2361/klagomål/A 39524-2023 FSC-klagomål.docx", "A 39524-2023")</f>
        <v/>
      </c>
      <c r="W139">
        <f>HYPERLINK("https://klasma.github.io/Logging_2361/klagomålsmail/A 39524-2023 FSC-klagomål mail.docx", "A 39524-2023")</f>
        <v/>
      </c>
      <c r="X139">
        <f>HYPERLINK("https://klasma.github.io/Logging_2361/tillsyn/A 39524-2023 tillsynsbegäran.docx", "A 39524-2023")</f>
        <v/>
      </c>
      <c r="Y139">
        <f>HYPERLINK("https://klasma.github.io/Logging_2361/tillsynsmail/A 39524-2023 tillsynsbegäran mail.docx", "A 39524-2023")</f>
        <v/>
      </c>
    </row>
    <row r="140" ht="15" customHeight="1">
      <c r="A140" t="inlineStr">
        <is>
          <t>A 46228-2023</t>
        </is>
      </c>
      <c r="B140" s="1" t="n">
        <v>45196</v>
      </c>
      <c r="C140" s="1" t="n">
        <v>45294</v>
      </c>
      <c r="D140" t="inlineStr">
        <is>
          <t>JÄMTLANDS LÄN</t>
        </is>
      </c>
      <c r="E140" t="inlineStr">
        <is>
          <t>HÄRJEDALEN</t>
        </is>
      </c>
      <c r="F140" t="inlineStr">
        <is>
          <t>Sveaskog</t>
        </is>
      </c>
      <c r="G140" t="n">
        <v>9.4</v>
      </c>
      <c r="H140" t="n">
        <v>0</v>
      </c>
      <c r="I140" t="n">
        <v>1</v>
      </c>
      <c r="J140" t="n">
        <v>0</v>
      </c>
      <c r="K140" t="n">
        <v>0</v>
      </c>
      <c r="L140" t="n">
        <v>0</v>
      </c>
      <c r="M140" t="n">
        <v>0</v>
      </c>
      <c r="N140" t="n">
        <v>0</v>
      </c>
      <c r="O140" t="n">
        <v>0</v>
      </c>
      <c r="P140" t="n">
        <v>0</v>
      </c>
      <c r="Q140" t="n">
        <v>1</v>
      </c>
      <c r="R140" s="2" t="inlineStr">
        <is>
          <t>Dropptaggsvamp</t>
        </is>
      </c>
      <c r="S140">
        <f>HYPERLINK("https://klasma.github.io/Logging_2361/artfynd/A 46228-2023 artfynd.xlsx", "A 46228-2023")</f>
        <v/>
      </c>
      <c r="T140">
        <f>HYPERLINK("https://klasma.github.io/Logging_2361/kartor/A 46228-2023 karta.png", "A 46228-2023")</f>
        <v/>
      </c>
      <c r="V140">
        <f>HYPERLINK("https://klasma.github.io/Logging_2361/klagomål/A 46228-2023 FSC-klagomål.docx", "A 46228-2023")</f>
        <v/>
      </c>
      <c r="W140">
        <f>HYPERLINK("https://klasma.github.io/Logging_2361/klagomålsmail/A 46228-2023 FSC-klagomål mail.docx", "A 46228-2023")</f>
        <v/>
      </c>
      <c r="X140">
        <f>HYPERLINK("https://klasma.github.io/Logging_2361/tillsyn/A 46228-2023 tillsynsbegäran.docx", "A 46228-2023")</f>
        <v/>
      </c>
      <c r="Y140">
        <f>HYPERLINK("https://klasma.github.io/Logging_2361/tillsynsmail/A 46228-2023 tillsynsbegäran mail.docx", "A 46228-2023")</f>
        <v/>
      </c>
    </row>
    <row r="141" ht="15" customHeight="1">
      <c r="A141" t="inlineStr">
        <is>
          <t>A 63659-2023</t>
        </is>
      </c>
      <c r="B141" s="1" t="n">
        <v>45275</v>
      </c>
      <c r="C141" s="1" t="n">
        <v>45294</v>
      </c>
      <c r="D141" t="inlineStr">
        <is>
          <t>JÄMTLANDS LÄN</t>
        </is>
      </c>
      <c r="E141" t="inlineStr">
        <is>
          <t>HÄRJEDALEN</t>
        </is>
      </c>
      <c r="G141" t="n">
        <v>11.7</v>
      </c>
      <c r="H141" t="n">
        <v>0</v>
      </c>
      <c r="I141" t="n">
        <v>0</v>
      </c>
      <c r="J141" t="n">
        <v>1</v>
      </c>
      <c r="K141" t="n">
        <v>0</v>
      </c>
      <c r="L141" t="n">
        <v>0</v>
      </c>
      <c r="M141" t="n">
        <v>0</v>
      </c>
      <c r="N141" t="n">
        <v>0</v>
      </c>
      <c r="O141" t="n">
        <v>1</v>
      </c>
      <c r="P141" t="n">
        <v>0</v>
      </c>
      <c r="Q141" t="n">
        <v>1</v>
      </c>
      <c r="R141" s="2" t="inlineStr">
        <is>
          <t>Lunglav</t>
        </is>
      </c>
      <c r="S141">
        <f>HYPERLINK("https://klasma.github.io/Logging_2361/artfynd/A 63659-2023 artfynd.xlsx", "A 63659-2023")</f>
        <v/>
      </c>
      <c r="T141">
        <f>HYPERLINK("https://klasma.github.io/Logging_2361/kartor/A 63659-2023 karta.png", "A 63659-2023")</f>
        <v/>
      </c>
      <c r="V141">
        <f>HYPERLINK("https://klasma.github.io/Logging_2361/klagomål/A 63659-2023 FSC-klagomål.docx", "A 63659-2023")</f>
        <v/>
      </c>
      <c r="W141">
        <f>HYPERLINK("https://klasma.github.io/Logging_2361/klagomålsmail/A 63659-2023 FSC-klagomål mail.docx", "A 63659-2023")</f>
        <v/>
      </c>
      <c r="X141">
        <f>HYPERLINK("https://klasma.github.io/Logging_2361/tillsyn/A 63659-2023 tillsynsbegäran.docx", "A 63659-2023")</f>
        <v/>
      </c>
      <c r="Y141">
        <f>HYPERLINK("https://klasma.github.io/Logging_2361/tillsynsmail/A 63659-2023 tillsynsbegäran mail.docx", "A 63659-2023")</f>
        <v/>
      </c>
    </row>
    <row r="142" ht="15" customHeight="1">
      <c r="A142" t="inlineStr">
        <is>
          <t>A 38754-2018</t>
        </is>
      </c>
      <c r="B142" s="1" t="n">
        <v>43340</v>
      </c>
      <c r="C142" s="1" t="n">
        <v>45294</v>
      </c>
      <c r="D142" t="inlineStr">
        <is>
          <t>JÄMTLANDS LÄN</t>
        </is>
      </c>
      <c r="E142" t="inlineStr">
        <is>
          <t>HÄRJEDALEN</t>
        </is>
      </c>
      <c r="G142" t="n">
        <v>4.2</v>
      </c>
      <c r="H142" t="n">
        <v>0</v>
      </c>
      <c r="I142" t="n">
        <v>0</v>
      </c>
      <c r="J142" t="n">
        <v>0</v>
      </c>
      <c r="K142" t="n">
        <v>0</v>
      </c>
      <c r="L142" t="n">
        <v>0</v>
      </c>
      <c r="M142" t="n">
        <v>0</v>
      </c>
      <c r="N142" t="n">
        <v>0</v>
      </c>
      <c r="O142" t="n">
        <v>0</v>
      </c>
      <c r="P142" t="n">
        <v>0</v>
      </c>
      <c r="Q142" t="n">
        <v>0</v>
      </c>
      <c r="R142" s="2" t="inlineStr"/>
    </row>
    <row r="143" ht="15" customHeight="1">
      <c r="A143" t="inlineStr">
        <is>
          <t>A 38753-2018</t>
        </is>
      </c>
      <c r="B143" s="1" t="n">
        <v>43340</v>
      </c>
      <c r="C143" s="1" t="n">
        <v>45294</v>
      </c>
      <c r="D143" t="inlineStr">
        <is>
          <t>JÄMTLANDS LÄN</t>
        </is>
      </c>
      <c r="E143" t="inlineStr">
        <is>
          <t>HÄRJEDALEN</t>
        </is>
      </c>
      <c r="G143" t="n">
        <v>3.6</v>
      </c>
      <c r="H143" t="n">
        <v>0</v>
      </c>
      <c r="I143" t="n">
        <v>0</v>
      </c>
      <c r="J143" t="n">
        <v>0</v>
      </c>
      <c r="K143" t="n">
        <v>0</v>
      </c>
      <c r="L143" t="n">
        <v>0</v>
      </c>
      <c r="M143" t="n">
        <v>0</v>
      </c>
      <c r="N143" t="n">
        <v>0</v>
      </c>
      <c r="O143" t="n">
        <v>0</v>
      </c>
      <c r="P143" t="n">
        <v>0</v>
      </c>
      <c r="Q143" t="n">
        <v>0</v>
      </c>
      <c r="R143" s="2" t="inlineStr"/>
    </row>
    <row r="144" ht="15" customHeight="1">
      <c r="A144" t="inlineStr">
        <is>
          <t>A 41979-2018</t>
        </is>
      </c>
      <c r="B144" s="1" t="n">
        <v>43350</v>
      </c>
      <c r="C144" s="1" t="n">
        <v>45294</v>
      </c>
      <c r="D144" t="inlineStr">
        <is>
          <t>JÄMTLANDS LÄN</t>
        </is>
      </c>
      <c r="E144" t="inlineStr">
        <is>
          <t>HÄRJEDALEN</t>
        </is>
      </c>
      <c r="G144" t="n">
        <v>50</v>
      </c>
      <c r="H144" t="n">
        <v>0</v>
      </c>
      <c r="I144" t="n">
        <v>0</v>
      </c>
      <c r="J144" t="n">
        <v>0</v>
      </c>
      <c r="K144" t="n">
        <v>0</v>
      </c>
      <c r="L144" t="n">
        <v>0</v>
      </c>
      <c r="M144" t="n">
        <v>0</v>
      </c>
      <c r="N144" t="n">
        <v>0</v>
      </c>
      <c r="O144" t="n">
        <v>0</v>
      </c>
      <c r="P144" t="n">
        <v>0</v>
      </c>
      <c r="Q144" t="n">
        <v>0</v>
      </c>
      <c r="R144" s="2" t="inlineStr"/>
    </row>
    <row r="145" ht="15" customHeight="1">
      <c r="A145" t="inlineStr">
        <is>
          <t>A 44222-2018</t>
        </is>
      </c>
      <c r="B145" s="1" t="n">
        <v>43360</v>
      </c>
      <c r="C145" s="1" t="n">
        <v>45294</v>
      </c>
      <c r="D145" t="inlineStr">
        <is>
          <t>JÄMTLANDS LÄN</t>
        </is>
      </c>
      <c r="E145" t="inlineStr">
        <is>
          <t>HÄRJEDALEN</t>
        </is>
      </c>
      <c r="G145" t="n">
        <v>0.7</v>
      </c>
      <c r="H145" t="n">
        <v>0</v>
      </c>
      <c r="I145" t="n">
        <v>0</v>
      </c>
      <c r="J145" t="n">
        <v>0</v>
      </c>
      <c r="K145" t="n">
        <v>0</v>
      </c>
      <c r="L145" t="n">
        <v>0</v>
      </c>
      <c r="M145" t="n">
        <v>0</v>
      </c>
      <c r="N145" t="n">
        <v>0</v>
      </c>
      <c r="O145" t="n">
        <v>0</v>
      </c>
      <c r="P145" t="n">
        <v>0</v>
      </c>
      <c r="Q145" t="n">
        <v>0</v>
      </c>
      <c r="R145" s="2" t="inlineStr"/>
    </row>
    <row r="146" ht="15" customHeight="1">
      <c r="A146" t="inlineStr">
        <is>
          <t>A 46202-2018</t>
        </is>
      </c>
      <c r="B146" s="1" t="n">
        <v>43364</v>
      </c>
      <c r="C146" s="1" t="n">
        <v>45294</v>
      </c>
      <c r="D146" t="inlineStr">
        <is>
          <t>JÄMTLANDS LÄN</t>
        </is>
      </c>
      <c r="E146" t="inlineStr">
        <is>
          <t>HÄRJEDALEN</t>
        </is>
      </c>
      <c r="G146" t="n">
        <v>2.4</v>
      </c>
      <c r="H146" t="n">
        <v>0</v>
      </c>
      <c r="I146" t="n">
        <v>0</v>
      </c>
      <c r="J146" t="n">
        <v>0</v>
      </c>
      <c r="K146" t="n">
        <v>0</v>
      </c>
      <c r="L146" t="n">
        <v>0</v>
      </c>
      <c r="M146" t="n">
        <v>0</v>
      </c>
      <c r="N146" t="n">
        <v>0</v>
      </c>
      <c r="O146" t="n">
        <v>0</v>
      </c>
      <c r="P146" t="n">
        <v>0</v>
      </c>
      <c r="Q146" t="n">
        <v>0</v>
      </c>
      <c r="R146" s="2" t="inlineStr"/>
    </row>
    <row r="147" ht="15" customHeight="1">
      <c r="A147" t="inlineStr">
        <is>
          <t>A 47412-2018</t>
        </is>
      </c>
      <c r="B147" s="1" t="n">
        <v>43369</v>
      </c>
      <c r="C147" s="1" t="n">
        <v>45294</v>
      </c>
      <c r="D147" t="inlineStr">
        <is>
          <t>JÄMTLANDS LÄN</t>
        </is>
      </c>
      <c r="E147" t="inlineStr">
        <is>
          <t>HÄRJEDALEN</t>
        </is>
      </c>
      <c r="G147" t="n">
        <v>20.4</v>
      </c>
      <c r="H147" t="n">
        <v>0</v>
      </c>
      <c r="I147" t="n">
        <v>0</v>
      </c>
      <c r="J147" t="n">
        <v>0</v>
      </c>
      <c r="K147" t="n">
        <v>0</v>
      </c>
      <c r="L147" t="n">
        <v>0</v>
      </c>
      <c r="M147" t="n">
        <v>0</v>
      </c>
      <c r="N147" t="n">
        <v>0</v>
      </c>
      <c r="O147" t="n">
        <v>0</v>
      </c>
      <c r="P147" t="n">
        <v>0</v>
      </c>
      <c r="Q147" t="n">
        <v>0</v>
      </c>
      <c r="R147" s="2" t="inlineStr"/>
    </row>
    <row r="148" ht="15" customHeight="1">
      <c r="A148" t="inlineStr">
        <is>
          <t>A 48245-2018</t>
        </is>
      </c>
      <c r="B148" s="1" t="n">
        <v>43371</v>
      </c>
      <c r="C148" s="1" t="n">
        <v>45294</v>
      </c>
      <c r="D148" t="inlineStr">
        <is>
          <t>JÄMTLANDS LÄN</t>
        </is>
      </c>
      <c r="E148" t="inlineStr">
        <is>
          <t>HÄRJEDALEN</t>
        </is>
      </c>
      <c r="G148" t="n">
        <v>0.4</v>
      </c>
      <c r="H148" t="n">
        <v>0</v>
      </c>
      <c r="I148" t="n">
        <v>0</v>
      </c>
      <c r="J148" t="n">
        <v>0</v>
      </c>
      <c r="K148" t="n">
        <v>0</v>
      </c>
      <c r="L148" t="n">
        <v>0</v>
      </c>
      <c r="M148" t="n">
        <v>0</v>
      </c>
      <c r="N148" t="n">
        <v>0</v>
      </c>
      <c r="O148" t="n">
        <v>0</v>
      </c>
      <c r="P148" t="n">
        <v>0</v>
      </c>
      <c r="Q148" t="n">
        <v>0</v>
      </c>
      <c r="R148" s="2" t="inlineStr"/>
    </row>
    <row r="149" ht="15" customHeight="1">
      <c r="A149" t="inlineStr">
        <is>
          <t>A 49130-2018</t>
        </is>
      </c>
      <c r="B149" s="1" t="n">
        <v>43375</v>
      </c>
      <c r="C149" s="1" t="n">
        <v>45294</v>
      </c>
      <c r="D149" t="inlineStr">
        <is>
          <t>JÄMTLANDS LÄN</t>
        </is>
      </c>
      <c r="E149" t="inlineStr">
        <is>
          <t>HÄRJEDALEN</t>
        </is>
      </c>
      <c r="G149" t="n">
        <v>6.6</v>
      </c>
      <c r="H149" t="n">
        <v>0</v>
      </c>
      <c r="I149" t="n">
        <v>0</v>
      </c>
      <c r="J149" t="n">
        <v>0</v>
      </c>
      <c r="K149" t="n">
        <v>0</v>
      </c>
      <c r="L149" t="n">
        <v>0</v>
      </c>
      <c r="M149" t="n">
        <v>0</v>
      </c>
      <c r="N149" t="n">
        <v>0</v>
      </c>
      <c r="O149" t="n">
        <v>0</v>
      </c>
      <c r="P149" t="n">
        <v>0</v>
      </c>
      <c r="Q149" t="n">
        <v>0</v>
      </c>
      <c r="R149" s="2" t="inlineStr"/>
    </row>
    <row r="150" ht="15" customHeight="1">
      <c r="A150" t="inlineStr">
        <is>
          <t>A 51450-2018</t>
        </is>
      </c>
      <c r="B150" s="1" t="n">
        <v>43383</v>
      </c>
      <c r="C150" s="1" t="n">
        <v>45294</v>
      </c>
      <c r="D150" t="inlineStr">
        <is>
          <t>JÄMTLANDS LÄN</t>
        </is>
      </c>
      <c r="E150" t="inlineStr">
        <is>
          <t>HÄRJEDALEN</t>
        </is>
      </c>
      <c r="G150" t="n">
        <v>16.3</v>
      </c>
      <c r="H150" t="n">
        <v>0</v>
      </c>
      <c r="I150" t="n">
        <v>0</v>
      </c>
      <c r="J150" t="n">
        <v>0</v>
      </c>
      <c r="K150" t="n">
        <v>0</v>
      </c>
      <c r="L150" t="n">
        <v>0</v>
      </c>
      <c r="M150" t="n">
        <v>0</v>
      </c>
      <c r="N150" t="n">
        <v>0</v>
      </c>
      <c r="O150" t="n">
        <v>0</v>
      </c>
      <c r="P150" t="n">
        <v>0</v>
      </c>
      <c r="Q150" t="n">
        <v>0</v>
      </c>
      <c r="R150" s="2" t="inlineStr"/>
    </row>
    <row r="151" ht="15" customHeight="1">
      <c r="A151" t="inlineStr">
        <is>
          <t>A 54581-2018</t>
        </is>
      </c>
      <c r="B151" s="1" t="n">
        <v>43389</v>
      </c>
      <c r="C151" s="1" t="n">
        <v>45294</v>
      </c>
      <c r="D151" t="inlineStr">
        <is>
          <t>JÄMTLANDS LÄN</t>
        </is>
      </c>
      <c r="E151" t="inlineStr">
        <is>
          <t>HÄRJEDALEN</t>
        </is>
      </c>
      <c r="F151" t="inlineStr">
        <is>
          <t>Övriga statliga verk och myndigheter</t>
        </is>
      </c>
      <c r="G151" t="n">
        <v>58.9</v>
      </c>
      <c r="H151" t="n">
        <v>0</v>
      </c>
      <c r="I151" t="n">
        <v>0</v>
      </c>
      <c r="J151" t="n">
        <v>0</v>
      </c>
      <c r="K151" t="n">
        <v>0</v>
      </c>
      <c r="L151" t="n">
        <v>0</v>
      </c>
      <c r="M151" t="n">
        <v>0</v>
      </c>
      <c r="N151" t="n">
        <v>0</v>
      </c>
      <c r="O151" t="n">
        <v>0</v>
      </c>
      <c r="P151" t="n">
        <v>0</v>
      </c>
      <c r="Q151" t="n">
        <v>0</v>
      </c>
      <c r="R151" s="2" t="inlineStr"/>
    </row>
    <row r="152" ht="15" customHeight="1">
      <c r="A152" t="inlineStr">
        <is>
          <t>A 54538-2018</t>
        </is>
      </c>
      <c r="B152" s="1" t="n">
        <v>43390</v>
      </c>
      <c r="C152" s="1" t="n">
        <v>45294</v>
      </c>
      <c r="D152" t="inlineStr">
        <is>
          <t>JÄMTLANDS LÄN</t>
        </is>
      </c>
      <c r="E152" t="inlineStr">
        <is>
          <t>HÄRJEDALEN</t>
        </is>
      </c>
      <c r="G152" t="n">
        <v>1</v>
      </c>
      <c r="H152" t="n">
        <v>0</v>
      </c>
      <c r="I152" t="n">
        <v>0</v>
      </c>
      <c r="J152" t="n">
        <v>0</v>
      </c>
      <c r="K152" t="n">
        <v>0</v>
      </c>
      <c r="L152" t="n">
        <v>0</v>
      </c>
      <c r="M152" t="n">
        <v>0</v>
      </c>
      <c r="N152" t="n">
        <v>0</v>
      </c>
      <c r="O152" t="n">
        <v>0</v>
      </c>
      <c r="P152" t="n">
        <v>0</v>
      </c>
      <c r="Q152" t="n">
        <v>0</v>
      </c>
      <c r="R152" s="2" t="inlineStr"/>
    </row>
    <row r="153" ht="15" customHeight="1">
      <c r="A153" t="inlineStr">
        <is>
          <t>A 54602-2018</t>
        </is>
      </c>
      <c r="B153" s="1" t="n">
        <v>43390</v>
      </c>
      <c r="C153" s="1" t="n">
        <v>45294</v>
      </c>
      <c r="D153" t="inlineStr">
        <is>
          <t>JÄMTLANDS LÄN</t>
        </is>
      </c>
      <c r="E153" t="inlineStr">
        <is>
          <t>HÄRJEDALEN</t>
        </is>
      </c>
      <c r="G153" t="n">
        <v>2.3</v>
      </c>
      <c r="H153" t="n">
        <v>0</v>
      </c>
      <c r="I153" t="n">
        <v>0</v>
      </c>
      <c r="J153" t="n">
        <v>0</v>
      </c>
      <c r="K153" t="n">
        <v>0</v>
      </c>
      <c r="L153" t="n">
        <v>0</v>
      </c>
      <c r="M153" t="n">
        <v>0</v>
      </c>
      <c r="N153" t="n">
        <v>0</v>
      </c>
      <c r="O153" t="n">
        <v>0</v>
      </c>
      <c r="P153" t="n">
        <v>0</v>
      </c>
      <c r="Q153" t="n">
        <v>0</v>
      </c>
      <c r="R153" s="2" t="inlineStr"/>
    </row>
    <row r="154" ht="15" customHeight="1">
      <c r="A154" t="inlineStr">
        <is>
          <t>A 54050-2018</t>
        </is>
      </c>
      <c r="B154" s="1" t="n">
        <v>43392</v>
      </c>
      <c r="C154" s="1" t="n">
        <v>45294</v>
      </c>
      <c r="D154" t="inlineStr">
        <is>
          <t>JÄMTLANDS LÄN</t>
        </is>
      </c>
      <c r="E154" t="inlineStr">
        <is>
          <t>HÄRJEDALEN</t>
        </is>
      </c>
      <c r="F154" t="inlineStr">
        <is>
          <t>Bergvik skog väst AB</t>
        </is>
      </c>
      <c r="G154" t="n">
        <v>8.1</v>
      </c>
      <c r="H154" t="n">
        <v>0</v>
      </c>
      <c r="I154" t="n">
        <v>0</v>
      </c>
      <c r="J154" t="n">
        <v>0</v>
      </c>
      <c r="K154" t="n">
        <v>0</v>
      </c>
      <c r="L154" t="n">
        <v>0</v>
      </c>
      <c r="M154" t="n">
        <v>0</v>
      </c>
      <c r="N154" t="n">
        <v>0</v>
      </c>
      <c r="O154" t="n">
        <v>0</v>
      </c>
      <c r="P154" t="n">
        <v>0</v>
      </c>
      <c r="Q154" t="n">
        <v>0</v>
      </c>
      <c r="R154" s="2" t="inlineStr"/>
    </row>
    <row r="155" ht="15" customHeight="1">
      <c r="A155" t="inlineStr">
        <is>
          <t>A 55215-2018</t>
        </is>
      </c>
      <c r="B155" s="1" t="n">
        <v>43396</v>
      </c>
      <c r="C155" s="1" t="n">
        <v>45294</v>
      </c>
      <c r="D155" t="inlineStr">
        <is>
          <t>JÄMTLANDS LÄN</t>
        </is>
      </c>
      <c r="E155" t="inlineStr">
        <is>
          <t>HÄRJEDALEN</t>
        </is>
      </c>
      <c r="F155" t="inlineStr">
        <is>
          <t>SCA</t>
        </is>
      </c>
      <c r="G155" t="n">
        <v>13.1</v>
      </c>
      <c r="H155" t="n">
        <v>0</v>
      </c>
      <c r="I155" t="n">
        <v>0</v>
      </c>
      <c r="J155" t="n">
        <v>0</v>
      </c>
      <c r="K155" t="n">
        <v>0</v>
      </c>
      <c r="L155" t="n">
        <v>0</v>
      </c>
      <c r="M155" t="n">
        <v>0</v>
      </c>
      <c r="N155" t="n">
        <v>0</v>
      </c>
      <c r="O155" t="n">
        <v>0</v>
      </c>
      <c r="P155" t="n">
        <v>0</v>
      </c>
      <c r="Q155" t="n">
        <v>0</v>
      </c>
      <c r="R155" s="2" t="inlineStr"/>
    </row>
    <row r="156" ht="15" customHeight="1">
      <c r="A156" t="inlineStr">
        <is>
          <t>A 56473-2018</t>
        </is>
      </c>
      <c r="B156" s="1" t="n">
        <v>43399</v>
      </c>
      <c r="C156" s="1" t="n">
        <v>45294</v>
      </c>
      <c r="D156" t="inlineStr">
        <is>
          <t>JÄMTLANDS LÄN</t>
        </is>
      </c>
      <c r="E156" t="inlineStr">
        <is>
          <t>HÄRJEDALEN</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56693-2018</t>
        </is>
      </c>
      <c r="B157" s="1" t="n">
        <v>43402</v>
      </c>
      <c r="C157" s="1" t="n">
        <v>45294</v>
      </c>
      <c r="D157" t="inlineStr">
        <is>
          <t>JÄMTLANDS LÄN</t>
        </is>
      </c>
      <c r="E157" t="inlineStr">
        <is>
          <t>HÄRJEDALEN</t>
        </is>
      </c>
      <c r="G157" t="n">
        <v>2.6</v>
      </c>
      <c r="H157" t="n">
        <v>0</v>
      </c>
      <c r="I157" t="n">
        <v>0</v>
      </c>
      <c r="J157" t="n">
        <v>0</v>
      </c>
      <c r="K157" t="n">
        <v>0</v>
      </c>
      <c r="L157" t="n">
        <v>0</v>
      </c>
      <c r="M157" t="n">
        <v>0</v>
      </c>
      <c r="N157" t="n">
        <v>0</v>
      </c>
      <c r="O157" t="n">
        <v>0</v>
      </c>
      <c r="P157" t="n">
        <v>0</v>
      </c>
      <c r="Q157" t="n">
        <v>0</v>
      </c>
      <c r="R157" s="2" t="inlineStr"/>
    </row>
    <row r="158" ht="15" customHeight="1">
      <c r="A158" t="inlineStr">
        <is>
          <t>A 57667-2018</t>
        </is>
      </c>
      <c r="B158" s="1" t="n">
        <v>43404</v>
      </c>
      <c r="C158" s="1" t="n">
        <v>45294</v>
      </c>
      <c r="D158" t="inlineStr">
        <is>
          <t>JÄMTLANDS LÄN</t>
        </is>
      </c>
      <c r="E158" t="inlineStr">
        <is>
          <t>HÄRJEDALEN</t>
        </is>
      </c>
      <c r="G158" t="n">
        <v>46.5</v>
      </c>
      <c r="H158" t="n">
        <v>0</v>
      </c>
      <c r="I158" t="n">
        <v>0</v>
      </c>
      <c r="J158" t="n">
        <v>0</v>
      </c>
      <c r="K158" t="n">
        <v>0</v>
      </c>
      <c r="L158" t="n">
        <v>0</v>
      </c>
      <c r="M158" t="n">
        <v>0</v>
      </c>
      <c r="N158" t="n">
        <v>0</v>
      </c>
      <c r="O158" t="n">
        <v>0</v>
      </c>
      <c r="P158" t="n">
        <v>0</v>
      </c>
      <c r="Q158" t="n">
        <v>0</v>
      </c>
      <c r="R158" s="2" t="inlineStr"/>
    </row>
    <row r="159" ht="15" customHeight="1">
      <c r="A159" t="inlineStr">
        <is>
          <t>A 58088-2018</t>
        </is>
      </c>
      <c r="B159" s="1" t="n">
        <v>43406</v>
      </c>
      <c r="C159" s="1" t="n">
        <v>45294</v>
      </c>
      <c r="D159" t="inlineStr">
        <is>
          <t>JÄMTLANDS LÄN</t>
        </is>
      </c>
      <c r="E159" t="inlineStr">
        <is>
          <t>HÄRJEDALEN</t>
        </is>
      </c>
      <c r="G159" t="n">
        <v>6.6</v>
      </c>
      <c r="H159" t="n">
        <v>0</v>
      </c>
      <c r="I159" t="n">
        <v>0</v>
      </c>
      <c r="J159" t="n">
        <v>0</v>
      </c>
      <c r="K159" t="n">
        <v>0</v>
      </c>
      <c r="L159" t="n">
        <v>0</v>
      </c>
      <c r="M159" t="n">
        <v>0</v>
      </c>
      <c r="N159" t="n">
        <v>0</v>
      </c>
      <c r="O159" t="n">
        <v>0</v>
      </c>
      <c r="P159" t="n">
        <v>0</v>
      </c>
      <c r="Q159" t="n">
        <v>0</v>
      </c>
      <c r="R159" s="2" t="inlineStr"/>
    </row>
    <row r="160" ht="15" customHeight="1">
      <c r="A160" t="inlineStr">
        <is>
          <t>A 62016-2018</t>
        </is>
      </c>
      <c r="B160" s="1" t="n">
        <v>43416</v>
      </c>
      <c r="C160" s="1" t="n">
        <v>45294</v>
      </c>
      <c r="D160" t="inlineStr">
        <is>
          <t>JÄMTLANDS LÄN</t>
        </is>
      </c>
      <c r="E160" t="inlineStr">
        <is>
          <t>HÄRJEDALEN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59398-2018</t>
        </is>
      </c>
      <c r="B161" s="1" t="n">
        <v>43418</v>
      </c>
      <c r="C161" s="1" t="n">
        <v>45294</v>
      </c>
      <c r="D161" t="inlineStr">
        <is>
          <t>JÄMTLANDS LÄN</t>
        </is>
      </c>
      <c r="E161" t="inlineStr">
        <is>
          <t>HÄRJEDALEN</t>
        </is>
      </c>
      <c r="G161" t="n">
        <v>1.9</v>
      </c>
      <c r="H161" t="n">
        <v>0</v>
      </c>
      <c r="I161" t="n">
        <v>0</v>
      </c>
      <c r="J161" t="n">
        <v>0</v>
      </c>
      <c r="K161" t="n">
        <v>0</v>
      </c>
      <c r="L161" t="n">
        <v>0</v>
      </c>
      <c r="M161" t="n">
        <v>0</v>
      </c>
      <c r="N161" t="n">
        <v>0</v>
      </c>
      <c r="O161" t="n">
        <v>0</v>
      </c>
      <c r="P161" t="n">
        <v>0</v>
      </c>
      <c r="Q161" t="n">
        <v>0</v>
      </c>
      <c r="R161" s="2" t="inlineStr"/>
    </row>
    <row r="162" ht="15" customHeight="1">
      <c r="A162" t="inlineStr">
        <is>
          <t>A 59396-2018</t>
        </is>
      </c>
      <c r="B162" s="1" t="n">
        <v>43418</v>
      </c>
      <c r="C162" s="1" t="n">
        <v>45294</v>
      </c>
      <c r="D162" t="inlineStr">
        <is>
          <t>JÄMTLANDS LÄN</t>
        </is>
      </c>
      <c r="E162" t="inlineStr">
        <is>
          <t>HÄRJEDALEN</t>
        </is>
      </c>
      <c r="G162" t="n">
        <v>2.2</v>
      </c>
      <c r="H162" t="n">
        <v>0</v>
      </c>
      <c r="I162" t="n">
        <v>0</v>
      </c>
      <c r="J162" t="n">
        <v>0</v>
      </c>
      <c r="K162" t="n">
        <v>0</v>
      </c>
      <c r="L162" t="n">
        <v>0</v>
      </c>
      <c r="M162" t="n">
        <v>0</v>
      </c>
      <c r="N162" t="n">
        <v>0</v>
      </c>
      <c r="O162" t="n">
        <v>0</v>
      </c>
      <c r="P162" t="n">
        <v>0</v>
      </c>
      <c r="Q162" t="n">
        <v>0</v>
      </c>
      <c r="R162" s="2" t="inlineStr"/>
    </row>
    <row r="163" ht="15" customHeight="1">
      <c r="A163" t="inlineStr">
        <is>
          <t>A 63160-2018</t>
        </is>
      </c>
      <c r="B163" s="1" t="n">
        <v>43418</v>
      </c>
      <c r="C163" s="1" t="n">
        <v>45294</v>
      </c>
      <c r="D163" t="inlineStr">
        <is>
          <t>JÄMTLANDS LÄN</t>
        </is>
      </c>
      <c r="E163" t="inlineStr">
        <is>
          <t>HÄRJEDALEN</t>
        </is>
      </c>
      <c r="G163" t="n">
        <v>22.6</v>
      </c>
      <c r="H163" t="n">
        <v>0</v>
      </c>
      <c r="I163" t="n">
        <v>0</v>
      </c>
      <c r="J163" t="n">
        <v>0</v>
      </c>
      <c r="K163" t="n">
        <v>0</v>
      </c>
      <c r="L163" t="n">
        <v>0</v>
      </c>
      <c r="M163" t="n">
        <v>0</v>
      </c>
      <c r="N163" t="n">
        <v>0</v>
      </c>
      <c r="O163" t="n">
        <v>0</v>
      </c>
      <c r="P163" t="n">
        <v>0</v>
      </c>
      <c r="Q163" t="n">
        <v>0</v>
      </c>
      <c r="R163" s="2" t="inlineStr"/>
    </row>
    <row r="164" ht="15" customHeight="1">
      <c r="A164" t="inlineStr">
        <is>
          <t>A 59358-2018</t>
        </is>
      </c>
      <c r="B164" s="1" t="n">
        <v>43418</v>
      </c>
      <c r="C164" s="1" t="n">
        <v>45294</v>
      </c>
      <c r="D164" t="inlineStr">
        <is>
          <t>JÄMTLANDS LÄN</t>
        </is>
      </c>
      <c r="E164" t="inlineStr">
        <is>
          <t>HÄRJEDALEN</t>
        </is>
      </c>
      <c r="G164" t="n">
        <v>6.2</v>
      </c>
      <c r="H164" t="n">
        <v>0</v>
      </c>
      <c r="I164" t="n">
        <v>0</v>
      </c>
      <c r="J164" t="n">
        <v>0</v>
      </c>
      <c r="K164" t="n">
        <v>0</v>
      </c>
      <c r="L164" t="n">
        <v>0</v>
      </c>
      <c r="M164" t="n">
        <v>0</v>
      </c>
      <c r="N164" t="n">
        <v>0</v>
      </c>
      <c r="O164" t="n">
        <v>0</v>
      </c>
      <c r="P164" t="n">
        <v>0</v>
      </c>
      <c r="Q164" t="n">
        <v>0</v>
      </c>
      <c r="R164" s="2" t="inlineStr"/>
    </row>
    <row r="165" ht="15" customHeight="1">
      <c r="A165" t="inlineStr">
        <is>
          <t>A 59751-2018</t>
        </is>
      </c>
      <c r="B165" s="1" t="n">
        <v>43419</v>
      </c>
      <c r="C165" s="1" t="n">
        <v>45294</v>
      </c>
      <c r="D165" t="inlineStr">
        <is>
          <t>JÄMTLANDS LÄN</t>
        </is>
      </c>
      <c r="E165" t="inlineStr">
        <is>
          <t>HÄRJEDALEN</t>
        </is>
      </c>
      <c r="F165" t="inlineStr">
        <is>
          <t>Bergvik skog väst AB</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59683-2018</t>
        </is>
      </c>
      <c r="B166" s="1" t="n">
        <v>43419</v>
      </c>
      <c r="C166" s="1" t="n">
        <v>45294</v>
      </c>
      <c r="D166" t="inlineStr">
        <is>
          <t>JÄMTLANDS LÄN</t>
        </is>
      </c>
      <c r="E166" t="inlineStr">
        <is>
          <t>HÄRJEDALEN</t>
        </is>
      </c>
      <c r="F166" t="inlineStr">
        <is>
          <t>Bergvik skog väst AB</t>
        </is>
      </c>
      <c r="G166" t="n">
        <v>6.2</v>
      </c>
      <c r="H166" t="n">
        <v>0</v>
      </c>
      <c r="I166" t="n">
        <v>0</v>
      </c>
      <c r="J166" t="n">
        <v>0</v>
      </c>
      <c r="K166" t="n">
        <v>0</v>
      </c>
      <c r="L166" t="n">
        <v>0</v>
      </c>
      <c r="M166" t="n">
        <v>0</v>
      </c>
      <c r="N166" t="n">
        <v>0</v>
      </c>
      <c r="O166" t="n">
        <v>0</v>
      </c>
      <c r="P166" t="n">
        <v>0</v>
      </c>
      <c r="Q166" t="n">
        <v>0</v>
      </c>
      <c r="R166" s="2" t="inlineStr"/>
    </row>
    <row r="167" ht="15" customHeight="1">
      <c r="A167" t="inlineStr">
        <is>
          <t>A 60348-2018</t>
        </is>
      </c>
      <c r="B167" s="1" t="n">
        <v>43420</v>
      </c>
      <c r="C167" s="1" t="n">
        <v>45294</v>
      </c>
      <c r="D167" t="inlineStr">
        <is>
          <t>JÄMTLANDS LÄN</t>
        </is>
      </c>
      <c r="E167" t="inlineStr">
        <is>
          <t>HÄRJEDALEN</t>
        </is>
      </c>
      <c r="F167" t="inlineStr">
        <is>
          <t>Övriga Aktiebolag</t>
        </is>
      </c>
      <c r="G167" t="n">
        <v>2.8</v>
      </c>
      <c r="H167" t="n">
        <v>0</v>
      </c>
      <c r="I167" t="n">
        <v>0</v>
      </c>
      <c r="J167" t="n">
        <v>0</v>
      </c>
      <c r="K167" t="n">
        <v>0</v>
      </c>
      <c r="L167" t="n">
        <v>0</v>
      </c>
      <c r="M167" t="n">
        <v>0</v>
      </c>
      <c r="N167" t="n">
        <v>0</v>
      </c>
      <c r="O167" t="n">
        <v>0</v>
      </c>
      <c r="P167" t="n">
        <v>0</v>
      </c>
      <c r="Q167" t="n">
        <v>0</v>
      </c>
      <c r="R167" s="2" t="inlineStr"/>
    </row>
    <row r="168" ht="15" customHeight="1">
      <c r="A168" t="inlineStr">
        <is>
          <t>A 60086-2018</t>
        </is>
      </c>
      <c r="B168" s="1" t="n">
        <v>43420</v>
      </c>
      <c r="C168" s="1" t="n">
        <v>45294</v>
      </c>
      <c r="D168" t="inlineStr">
        <is>
          <t>JÄMTLANDS LÄN</t>
        </is>
      </c>
      <c r="E168" t="inlineStr">
        <is>
          <t>HÄRJEDALEN</t>
        </is>
      </c>
      <c r="F168" t="inlineStr">
        <is>
          <t>Bergvik skog väst AB</t>
        </is>
      </c>
      <c r="G168" t="n">
        <v>25.8</v>
      </c>
      <c r="H168" t="n">
        <v>0</v>
      </c>
      <c r="I168" t="n">
        <v>0</v>
      </c>
      <c r="J168" t="n">
        <v>0</v>
      </c>
      <c r="K168" t="n">
        <v>0</v>
      </c>
      <c r="L168" t="n">
        <v>0</v>
      </c>
      <c r="M168" t="n">
        <v>0</v>
      </c>
      <c r="N168" t="n">
        <v>0</v>
      </c>
      <c r="O168" t="n">
        <v>0</v>
      </c>
      <c r="P168" t="n">
        <v>0</v>
      </c>
      <c r="Q168" t="n">
        <v>0</v>
      </c>
      <c r="R168" s="2" t="inlineStr"/>
    </row>
    <row r="169" ht="15" customHeight="1">
      <c r="A169" t="inlineStr">
        <is>
          <t>A 61016-2018</t>
        </is>
      </c>
      <c r="B169" s="1" t="n">
        <v>43423</v>
      </c>
      <c r="C169" s="1" t="n">
        <v>45294</v>
      </c>
      <c r="D169" t="inlineStr">
        <is>
          <t>JÄMTLANDS LÄN</t>
        </is>
      </c>
      <c r="E169" t="inlineStr">
        <is>
          <t>HÄRJEDALEN</t>
        </is>
      </c>
      <c r="G169" t="n">
        <v>4.2</v>
      </c>
      <c r="H169" t="n">
        <v>0</v>
      </c>
      <c r="I169" t="n">
        <v>0</v>
      </c>
      <c r="J169" t="n">
        <v>0</v>
      </c>
      <c r="K169" t="n">
        <v>0</v>
      </c>
      <c r="L169" t="n">
        <v>0</v>
      </c>
      <c r="M169" t="n">
        <v>0</v>
      </c>
      <c r="N169" t="n">
        <v>0</v>
      </c>
      <c r="O169" t="n">
        <v>0</v>
      </c>
      <c r="P169" t="n">
        <v>0</v>
      </c>
      <c r="Q169" t="n">
        <v>0</v>
      </c>
      <c r="R169" s="2" t="inlineStr"/>
    </row>
    <row r="170" ht="15" customHeight="1">
      <c r="A170" t="inlineStr">
        <is>
          <t>A 63207-2018</t>
        </is>
      </c>
      <c r="B170" s="1" t="n">
        <v>43426</v>
      </c>
      <c r="C170" s="1" t="n">
        <v>45294</v>
      </c>
      <c r="D170" t="inlineStr">
        <is>
          <t>JÄMTLANDS LÄN</t>
        </is>
      </c>
      <c r="E170" t="inlineStr">
        <is>
          <t>HÄRJEDALEN</t>
        </is>
      </c>
      <c r="G170" t="n">
        <v>0.9</v>
      </c>
      <c r="H170" t="n">
        <v>0</v>
      </c>
      <c r="I170" t="n">
        <v>0</v>
      </c>
      <c r="J170" t="n">
        <v>0</v>
      </c>
      <c r="K170" t="n">
        <v>0</v>
      </c>
      <c r="L170" t="n">
        <v>0</v>
      </c>
      <c r="M170" t="n">
        <v>0</v>
      </c>
      <c r="N170" t="n">
        <v>0</v>
      </c>
      <c r="O170" t="n">
        <v>0</v>
      </c>
      <c r="P170" t="n">
        <v>0</v>
      </c>
      <c r="Q170" t="n">
        <v>0</v>
      </c>
      <c r="R170" s="2" t="inlineStr"/>
    </row>
    <row r="171" ht="15" customHeight="1">
      <c r="A171" t="inlineStr">
        <is>
          <t>A 62889-2018</t>
        </is>
      </c>
      <c r="B171" s="1" t="n">
        <v>43426</v>
      </c>
      <c r="C171" s="1" t="n">
        <v>45294</v>
      </c>
      <c r="D171" t="inlineStr">
        <is>
          <t>JÄMTLANDS LÄN</t>
        </is>
      </c>
      <c r="E171" t="inlineStr">
        <is>
          <t>HÄRJEDALEN</t>
        </is>
      </c>
      <c r="G171" t="n">
        <v>4.6</v>
      </c>
      <c r="H171" t="n">
        <v>0</v>
      </c>
      <c r="I171" t="n">
        <v>0</v>
      </c>
      <c r="J171" t="n">
        <v>0</v>
      </c>
      <c r="K171" t="n">
        <v>0</v>
      </c>
      <c r="L171" t="n">
        <v>0</v>
      </c>
      <c r="M171" t="n">
        <v>0</v>
      </c>
      <c r="N171" t="n">
        <v>0</v>
      </c>
      <c r="O171" t="n">
        <v>0</v>
      </c>
      <c r="P171" t="n">
        <v>0</v>
      </c>
      <c r="Q171" t="n">
        <v>0</v>
      </c>
      <c r="R171" s="2" t="inlineStr"/>
    </row>
    <row r="172" ht="15" customHeight="1">
      <c r="A172" t="inlineStr">
        <is>
          <t>A 63265-2018</t>
        </is>
      </c>
      <c r="B172" s="1" t="n">
        <v>43426</v>
      </c>
      <c r="C172" s="1" t="n">
        <v>45294</v>
      </c>
      <c r="D172" t="inlineStr">
        <is>
          <t>JÄMTLANDS LÄN</t>
        </is>
      </c>
      <c r="E172" t="inlineStr">
        <is>
          <t>HÄRJEDALEN</t>
        </is>
      </c>
      <c r="G172" t="n">
        <v>45</v>
      </c>
      <c r="H172" t="n">
        <v>0</v>
      </c>
      <c r="I172" t="n">
        <v>0</v>
      </c>
      <c r="J172" t="n">
        <v>0</v>
      </c>
      <c r="K172" t="n">
        <v>0</v>
      </c>
      <c r="L172" t="n">
        <v>0</v>
      </c>
      <c r="M172" t="n">
        <v>0</v>
      </c>
      <c r="N172" t="n">
        <v>0</v>
      </c>
      <c r="O172" t="n">
        <v>0</v>
      </c>
      <c r="P172" t="n">
        <v>0</v>
      </c>
      <c r="Q172" t="n">
        <v>0</v>
      </c>
      <c r="R172" s="2" t="inlineStr"/>
    </row>
    <row r="173" ht="15" customHeight="1">
      <c r="A173" t="inlineStr">
        <is>
          <t>A 63355-2018</t>
        </is>
      </c>
      <c r="B173" s="1" t="n">
        <v>43427</v>
      </c>
      <c r="C173" s="1" t="n">
        <v>45294</v>
      </c>
      <c r="D173" t="inlineStr">
        <is>
          <t>JÄMTLANDS LÄN</t>
        </is>
      </c>
      <c r="E173" t="inlineStr">
        <is>
          <t>HÄRJEDALEN</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64493-2018</t>
        </is>
      </c>
      <c r="B174" s="1" t="n">
        <v>43431</v>
      </c>
      <c r="C174" s="1" t="n">
        <v>45294</v>
      </c>
      <c r="D174" t="inlineStr">
        <is>
          <t>JÄMTLANDS LÄN</t>
        </is>
      </c>
      <c r="E174" t="inlineStr">
        <is>
          <t>HÄRJEDALEN</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65832-2018</t>
        </is>
      </c>
      <c r="B175" s="1" t="n">
        <v>43433</v>
      </c>
      <c r="C175" s="1" t="n">
        <v>45294</v>
      </c>
      <c r="D175" t="inlineStr">
        <is>
          <t>JÄMTLANDS LÄN</t>
        </is>
      </c>
      <c r="E175" t="inlineStr">
        <is>
          <t>HÄRJEDALEN</t>
        </is>
      </c>
      <c r="F175" t="inlineStr">
        <is>
          <t>Sveaskog</t>
        </is>
      </c>
      <c r="G175" t="n">
        <v>30.2</v>
      </c>
      <c r="H175" t="n">
        <v>0</v>
      </c>
      <c r="I175" t="n">
        <v>0</v>
      </c>
      <c r="J175" t="n">
        <v>0</v>
      </c>
      <c r="K175" t="n">
        <v>0</v>
      </c>
      <c r="L175" t="n">
        <v>0</v>
      </c>
      <c r="M175" t="n">
        <v>0</v>
      </c>
      <c r="N175" t="n">
        <v>0</v>
      </c>
      <c r="O175" t="n">
        <v>0</v>
      </c>
      <c r="P175" t="n">
        <v>0</v>
      </c>
      <c r="Q175" t="n">
        <v>0</v>
      </c>
      <c r="R175" s="2" t="inlineStr"/>
    </row>
    <row r="176" ht="15" customHeight="1">
      <c r="A176" t="inlineStr">
        <is>
          <t>A 66771-2018</t>
        </is>
      </c>
      <c r="B176" s="1" t="n">
        <v>43437</v>
      </c>
      <c r="C176" s="1" t="n">
        <v>45294</v>
      </c>
      <c r="D176" t="inlineStr">
        <is>
          <t>JÄMTLANDS LÄN</t>
        </is>
      </c>
      <c r="E176" t="inlineStr">
        <is>
          <t>HÄRJEDALEN</t>
        </is>
      </c>
      <c r="G176" t="n">
        <v>2</v>
      </c>
      <c r="H176" t="n">
        <v>0</v>
      </c>
      <c r="I176" t="n">
        <v>0</v>
      </c>
      <c r="J176" t="n">
        <v>0</v>
      </c>
      <c r="K176" t="n">
        <v>0</v>
      </c>
      <c r="L176" t="n">
        <v>0</v>
      </c>
      <c r="M176" t="n">
        <v>0</v>
      </c>
      <c r="N176" t="n">
        <v>0</v>
      </c>
      <c r="O176" t="n">
        <v>0</v>
      </c>
      <c r="P176" t="n">
        <v>0</v>
      </c>
      <c r="Q176" t="n">
        <v>0</v>
      </c>
      <c r="R176" s="2" t="inlineStr"/>
    </row>
    <row r="177" ht="15" customHeight="1">
      <c r="A177" t="inlineStr">
        <is>
          <t>A 66753-2018</t>
        </is>
      </c>
      <c r="B177" s="1" t="n">
        <v>43438</v>
      </c>
      <c r="C177" s="1" t="n">
        <v>45294</v>
      </c>
      <c r="D177" t="inlineStr">
        <is>
          <t>JÄMTLANDS LÄN</t>
        </is>
      </c>
      <c r="E177" t="inlineStr">
        <is>
          <t>HÄRJEDALEN</t>
        </is>
      </c>
      <c r="G177" t="n">
        <v>0.2</v>
      </c>
      <c r="H177" t="n">
        <v>0</v>
      </c>
      <c r="I177" t="n">
        <v>0</v>
      </c>
      <c r="J177" t="n">
        <v>0</v>
      </c>
      <c r="K177" t="n">
        <v>0</v>
      </c>
      <c r="L177" t="n">
        <v>0</v>
      </c>
      <c r="M177" t="n">
        <v>0</v>
      </c>
      <c r="N177" t="n">
        <v>0</v>
      </c>
      <c r="O177" t="n">
        <v>0</v>
      </c>
      <c r="P177" t="n">
        <v>0</v>
      </c>
      <c r="Q177" t="n">
        <v>0</v>
      </c>
      <c r="R177" s="2" t="inlineStr"/>
    </row>
    <row r="178" ht="15" customHeight="1">
      <c r="A178" t="inlineStr">
        <is>
          <t>A 67377-2018</t>
        </is>
      </c>
      <c r="B178" s="1" t="n">
        <v>43439</v>
      </c>
      <c r="C178" s="1" t="n">
        <v>45294</v>
      </c>
      <c r="D178" t="inlineStr">
        <is>
          <t>JÄMTLANDS LÄN</t>
        </is>
      </c>
      <c r="E178" t="inlineStr">
        <is>
          <t>HÄRJEDALEN</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67690-2018</t>
        </is>
      </c>
      <c r="B179" s="1" t="n">
        <v>43440</v>
      </c>
      <c r="C179" s="1" t="n">
        <v>45294</v>
      </c>
      <c r="D179" t="inlineStr">
        <is>
          <t>JÄMTLANDS LÄN</t>
        </is>
      </c>
      <c r="E179" t="inlineStr">
        <is>
          <t>HÄRJEDALEN</t>
        </is>
      </c>
      <c r="G179" t="n">
        <v>5.2</v>
      </c>
      <c r="H179" t="n">
        <v>0</v>
      </c>
      <c r="I179" t="n">
        <v>0</v>
      </c>
      <c r="J179" t="n">
        <v>0</v>
      </c>
      <c r="K179" t="n">
        <v>0</v>
      </c>
      <c r="L179" t="n">
        <v>0</v>
      </c>
      <c r="M179" t="n">
        <v>0</v>
      </c>
      <c r="N179" t="n">
        <v>0</v>
      </c>
      <c r="O179" t="n">
        <v>0</v>
      </c>
      <c r="P179" t="n">
        <v>0</v>
      </c>
      <c r="Q179" t="n">
        <v>0</v>
      </c>
      <c r="R179" s="2" t="inlineStr"/>
    </row>
    <row r="180" ht="15" customHeight="1">
      <c r="A180" t="inlineStr">
        <is>
          <t>A 69217-2018</t>
        </is>
      </c>
      <c r="B180" s="1" t="n">
        <v>43445</v>
      </c>
      <c r="C180" s="1" t="n">
        <v>45294</v>
      </c>
      <c r="D180" t="inlineStr">
        <is>
          <t>JÄMTLANDS LÄN</t>
        </is>
      </c>
      <c r="E180" t="inlineStr">
        <is>
          <t>HÄRJEDALEN</t>
        </is>
      </c>
      <c r="G180" t="n">
        <v>0.5</v>
      </c>
      <c r="H180" t="n">
        <v>0</v>
      </c>
      <c r="I180" t="n">
        <v>0</v>
      </c>
      <c r="J180" t="n">
        <v>0</v>
      </c>
      <c r="K180" t="n">
        <v>0</v>
      </c>
      <c r="L180" t="n">
        <v>0</v>
      </c>
      <c r="M180" t="n">
        <v>0</v>
      </c>
      <c r="N180" t="n">
        <v>0</v>
      </c>
      <c r="O180" t="n">
        <v>0</v>
      </c>
      <c r="P180" t="n">
        <v>0</v>
      </c>
      <c r="Q180" t="n">
        <v>0</v>
      </c>
      <c r="R180" s="2" t="inlineStr"/>
    </row>
    <row r="181" ht="15" customHeight="1">
      <c r="A181" t="inlineStr">
        <is>
          <t>A 69220-2018</t>
        </is>
      </c>
      <c r="B181" s="1" t="n">
        <v>43445</v>
      </c>
      <c r="C181" s="1" t="n">
        <v>45294</v>
      </c>
      <c r="D181" t="inlineStr">
        <is>
          <t>JÄMTLANDS LÄN</t>
        </is>
      </c>
      <c r="E181" t="inlineStr">
        <is>
          <t>HÄRJEDALEN</t>
        </is>
      </c>
      <c r="G181" t="n">
        <v>0.1</v>
      </c>
      <c r="H181" t="n">
        <v>0</v>
      </c>
      <c r="I181" t="n">
        <v>0</v>
      </c>
      <c r="J181" t="n">
        <v>0</v>
      </c>
      <c r="K181" t="n">
        <v>0</v>
      </c>
      <c r="L181" t="n">
        <v>0</v>
      </c>
      <c r="M181" t="n">
        <v>0</v>
      </c>
      <c r="N181" t="n">
        <v>0</v>
      </c>
      <c r="O181" t="n">
        <v>0</v>
      </c>
      <c r="P181" t="n">
        <v>0</v>
      </c>
      <c r="Q181" t="n">
        <v>0</v>
      </c>
      <c r="R181" s="2" t="inlineStr"/>
    </row>
    <row r="182" ht="15" customHeight="1">
      <c r="A182" t="inlineStr">
        <is>
          <t>A 69218-2018</t>
        </is>
      </c>
      <c r="B182" s="1" t="n">
        <v>43445</v>
      </c>
      <c r="C182" s="1" t="n">
        <v>45294</v>
      </c>
      <c r="D182" t="inlineStr">
        <is>
          <t>JÄMTLANDS LÄN</t>
        </is>
      </c>
      <c r="E182" t="inlineStr">
        <is>
          <t>HÄRJEDALEN</t>
        </is>
      </c>
      <c r="G182" t="n">
        <v>0.2</v>
      </c>
      <c r="H182" t="n">
        <v>0</v>
      </c>
      <c r="I182" t="n">
        <v>0</v>
      </c>
      <c r="J182" t="n">
        <v>0</v>
      </c>
      <c r="K182" t="n">
        <v>0</v>
      </c>
      <c r="L182" t="n">
        <v>0</v>
      </c>
      <c r="M182" t="n">
        <v>0</v>
      </c>
      <c r="N182" t="n">
        <v>0</v>
      </c>
      <c r="O182" t="n">
        <v>0</v>
      </c>
      <c r="P182" t="n">
        <v>0</v>
      </c>
      <c r="Q182" t="n">
        <v>0</v>
      </c>
      <c r="R182" s="2" t="inlineStr"/>
    </row>
    <row r="183" ht="15" customHeight="1">
      <c r="A183" t="inlineStr">
        <is>
          <t>A 69219-2018</t>
        </is>
      </c>
      <c r="B183" s="1" t="n">
        <v>43445</v>
      </c>
      <c r="C183" s="1" t="n">
        <v>45294</v>
      </c>
      <c r="D183" t="inlineStr">
        <is>
          <t>JÄMTLANDS LÄN</t>
        </is>
      </c>
      <c r="E183" t="inlineStr">
        <is>
          <t>HÄRJEDALEN</t>
        </is>
      </c>
      <c r="G183" t="n">
        <v>0.1</v>
      </c>
      <c r="H183" t="n">
        <v>0</v>
      </c>
      <c r="I183" t="n">
        <v>0</v>
      </c>
      <c r="J183" t="n">
        <v>0</v>
      </c>
      <c r="K183" t="n">
        <v>0</v>
      </c>
      <c r="L183" t="n">
        <v>0</v>
      </c>
      <c r="M183" t="n">
        <v>0</v>
      </c>
      <c r="N183" t="n">
        <v>0</v>
      </c>
      <c r="O183" t="n">
        <v>0</v>
      </c>
      <c r="P183" t="n">
        <v>0</v>
      </c>
      <c r="Q183" t="n">
        <v>0</v>
      </c>
      <c r="R183" s="2" t="inlineStr"/>
    </row>
    <row r="184" ht="15" customHeight="1">
      <c r="A184" t="inlineStr">
        <is>
          <t>A 69190-2018</t>
        </is>
      </c>
      <c r="B184" s="1" t="n">
        <v>43445</v>
      </c>
      <c r="C184" s="1" t="n">
        <v>45294</v>
      </c>
      <c r="D184" t="inlineStr">
        <is>
          <t>JÄMTLANDS LÄN</t>
        </is>
      </c>
      <c r="E184" t="inlineStr">
        <is>
          <t>HÄRJEDALEN</t>
        </is>
      </c>
      <c r="G184" t="n">
        <v>0.8</v>
      </c>
      <c r="H184" t="n">
        <v>0</v>
      </c>
      <c r="I184" t="n">
        <v>0</v>
      </c>
      <c r="J184" t="n">
        <v>0</v>
      </c>
      <c r="K184" t="n">
        <v>0</v>
      </c>
      <c r="L184" t="n">
        <v>0</v>
      </c>
      <c r="M184" t="n">
        <v>0</v>
      </c>
      <c r="N184" t="n">
        <v>0</v>
      </c>
      <c r="O184" t="n">
        <v>0</v>
      </c>
      <c r="P184" t="n">
        <v>0</v>
      </c>
      <c r="Q184" t="n">
        <v>0</v>
      </c>
      <c r="R184" s="2" t="inlineStr"/>
    </row>
    <row r="185" ht="15" customHeight="1">
      <c r="A185" t="inlineStr">
        <is>
          <t>A 70674-2018</t>
        </is>
      </c>
      <c r="B185" s="1" t="n">
        <v>43451</v>
      </c>
      <c r="C185" s="1" t="n">
        <v>45294</v>
      </c>
      <c r="D185" t="inlineStr">
        <is>
          <t>JÄMTLANDS LÄN</t>
        </is>
      </c>
      <c r="E185" t="inlineStr">
        <is>
          <t>HÄRJEDALEN</t>
        </is>
      </c>
      <c r="G185" t="n">
        <v>11.9</v>
      </c>
      <c r="H185" t="n">
        <v>0</v>
      </c>
      <c r="I185" t="n">
        <v>0</v>
      </c>
      <c r="J185" t="n">
        <v>0</v>
      </c>
      <c r="K185" t="n">
        <v>0</v>
      </c>
      <c r="L185" t="n">
        <v>0</v>
      </c>
      <c r="M185" t="n">
        <v>0</v>
      </c>
      <c r="N185" t="n">
        <v>0</v>
      </c>
      <c r="O185" t="n">
        <v>0</v>
      </c>
      <c r="P185" t="n">
        <v>0</v>
      </c>
      <c r="Q185" t="n">
        <v>0</v>
      </c>
      <c r="R185" s="2" t="inlineStr"/>
    </row>
    <row r="186" ht="15" customHeight="1">
      <c r="A186" t="inlineStr">
        <is>
          <t>A 71199-2018</t>
        </is>
      </c>
      <c r="B186" s="1" t="n">
        <v>43453</v>
      </c>
      <c r="C186" s="1" t="n">
        <v>45294</v>
      </c>
      <c r="D186" t="inlineStr">
        <is>
          <t>JÄMTLANDS LÄN</t>
        </is>
      </c>
      <c r="E186" t="inlineStr">
        <is>
          <t>HÄRJEDALEN</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71185-2018</t>
        </is>
      </c>
      <c r="B187" s="1" t="n">
        <v>43453</v>
      </c>
      <c r="C187" s="1" t="n">
        <v>45294</v>
      </c>
      <c r="D187" t="inlineStr">
        <is>
          <t>JÄMTLANDS LÄN</t>
        </is>
      </c>
      <c r="E187" t="inlineStr">
        <is>
          <t>HÄRJEDALEN</t>
        </is>
      </c>
      <c r="F187" t="inlineStr">
        <is>
          <t>Sveaskog</t>
        </is>
      </c>
      <c r="G187" t="n">
        <v>24.8</v>
      </c>
      <c r="H187" t="n">
        <v>0</v>
      </c>
      <c r="I187" t="n">
        <v>0</v>
      </c>
      <c r="J187" t="n">
        <v>0</v>
      </c>
      <c r="K187" t="n">
        <v>0</v>
      </c>
      <c r="L187" t="n">
        <v>0</v>
      </c>
      <c r="M187" t="n">
        <v>0</v>
      </c>
      <c r="N187" t="n">
        <v>0</v>
      </c>
      <c r="O187" t="n">
        <v>0</v>
      </c>
      <c r="P187" t="n">
        <v>0</v>
      </c>
      <c r="Q187" t="n">
        <v>0</v>
      </c>
      <c r="R187" s="2" t="inlineStr"/>
    </row>
    <row r="188" ht="15" customHeight="1">
      <c r="A188" t="inlineStr">
        <is>
          <t>A 71624-2018</t>
        </is>
      </c>
      <c r="B188" s="1" t="n">
        <v>43454</v>
      </c>
      <c r="C188" s="1" t="n">
        <v>45294</v>
      </c>
      <c r="D188" t="inlineStr">
        <is>
          <t>JÄMTLANDS LÄN</t>
        </is>
      </c>
      <c r="E188" t="inlineStr">
        <is>
          <t>HÄRJEDALEN</t>
        </is>
      </c>
      <c r="F188" t="inlineStr">
        <is>
          <t>Bergvik skog väst AB</t>
        </is>
      </c>
      <c r="G188" t="n">
        <v>13.1</v>
      </c>
      <c r="H188" t="n">
        <v>0</v>
      </c>
      <c r="I188" t="n">
        <v>0</v>
      </c>
      <c r="J188" t="n">
        <v>0</v>
      </c>
      <c r="K188" t="n">
        <v>0</v>
      </c>
      <c r="L188" t="n">
        <v>0</v>
      </c>
      <c r="M188" t="n">
        <v>0</v>
      </c>
      <c r="N188" t="n">
        <v>0</v>
      </c>
      <c r="O188" t="n">
        <v>0</v>
      </c>
      <c r="P188" t="n">
        <v>0</v>
      </c>
      <c r="Q188" t="n">
        <v>0</v>
      </c>
      <c r="R188" s="2" t="inlineStr"/>
    </row>
    <row r="189" ht="15" customHeight="1">
      <c r="A189" t="inlineStr">
        <is>
          <t>A 71676-2018</t>
        </is>
      </c>
      <c r="B189" s="1" t="n">
        <v>43454</v>
      </c>
      <c r="C189" s="1" t="n">
        <v>45294</v>
      </c>
      <c r="D189" t="inlineStr">
        <is>
          <t>JÄMTLANDS LÄN</t>
        </is>
      </c>
      <c r="E189" t="inlineStr">
        <is>
          <t>HÄRJEDALEN</t>
        </is>
      </c>
      <c r="G189" t="n">
        <v>11.9</v>
      </c>
      <c r="H189" t="n">
        <v>0</v>
      </c>
      <c r="I189" t="n">
        <v>0</v>
      </c>
      <c r="J189" t="n">
        <v>0</v>
      </c>
      <c r="K189" t="n">
        <v>0</v>
      </c>
      <c r="L189" t="n">
        <v>0</v>
      </c>
      <c r="M189" t="n">
        <v>0</v>
      </c>
      <c r="N189" t="n">
        <v>0</v>
      </c>
      <c r="O189" t="n">
        <v>0</v>
      </c>
      <c r="P189" t="n">
        <v>0</v>
      </c>
      <c r="Q189" t="n">
        <v>0</v>
      </c>
      <c r="R189" s="2" t="inlineStr"/>
    </row>
    <row r="190" ht="15" customHeight="1">
      <c r="A190" t="inlineStr">
        <is>
          <t>A 71680-2018</t>
        </is>
      </c>
      <c r="B190" s="1" t="n">
        <v>43454</v>
      </c>
      <c r="C190" s="1" t="n">
        <v>45294</v>
      </c>
      <c r="D190" t="inlineStr">
        <is>
          <t>JÄMTLANDS LÄN</t>
        </is>
      </c>
      <c r="E190" t="inlineStr">
        <is>
          <t>HÄRJEDALEN</t>
        </is>
      </c>
      <c r="G190" t="n">
        <v>19.7</v>
      </c>
      <c r="H190" t="n">
        <v>0</v>
      </c>
      <c r="I190" t="n">
        <v>0</v>
      </c>
      <c r="J190" t="n">
        <v>0</v>
      </c>
      <c r="K190" t="n">
        <v>0</v>
      </c>
      <c r="L190" t="n">
        <v>0</v>
      </c>
      <c r="M190" t="n">
        <v>0</v>
      </c>
      <c r="N190" t="n">
        <v>0</v>
      </c>
      <c r="O190" t="n">
        <v>0</v>
      </c>
      <c r="P190" t="n">
        <v>0</v>
      </c>
      <c r="Q190" t="n">
        <v>0</v>
      </c>
      <c r="R190" s="2" t="inlineStr"/>
    </row>
    <row r="191" ht="15" customHeight="1">
      <c r="A191" t="inlineStr">
        <is>
          <t>A 1409-2019</t>
        </is>
      </c>
      <c r="B191" s="1" t="n">
        <v>43461</v>
      </c>
      <c r="C191" s="1" t="n">
        <v>45294</v>
      </c>
      <c r="D191" t="inlineStr">
        <is>
          <t>JÄMTLANDS LÄN</t>
        </is>
      </c>
      <c r="E191" t="inlineStr">
        <is>
          <t>HÄRJEDALEN</t>
        </is>
      </c>
      <c r="G191" t="n">
        <v>43.3</v>
      </c>
      <c r="H191" t="n">
        <v>0</v>
      </c>
      <c r="I191" t="n">
        <v>0</v>
      </c>
      <c r="J191" t="n">
        <v>0</v>
      </c>
      <c r="K191" t="n">
        <v>0</v>
      </c>
      <c r="L191" t="n">
        <v>0</v>
      </c>
      <c r="M191" t="n">
        <v>0</v>
      </c>
      <c r="N191" t="n">
        <v>0</v>
      </c>
      <c r="O191" t="n">
        <v>0</v>
      </c>
      <c r="P191" t="n">
        <v>0</v>
      </c>
      <c r="Q191" t="n">
        <v>0</v>
      </c>
      <c r="R191" s="2" t="inlineStr"/>
    </row>
    <row r="192" ht="15" customHeight="1">
      <c r="A192" t="inlineStr">
        <is>
          <t>A 556-2019</t>
        </is>
      </c>
      <c r="B192" s="1" t="n">
        <v>43469</v>
      </c>
      <c r="C192" s="1" t="n">
        <v>45294</v>
      </c>
      <c r="D192" t="inlineStr">
        <is>
          <t>JÄMTLANDS LÄN</t>
        </is>
      </c>
      <c r="E192" t="inlineStr">
        <is>
          <t>HÄRJEDALEN</t>
        </is>
      </c>
      <c r="G192" t="n">
        <v>3.4</v>
      </c>
      <c r="H192" t="n">
        <v>0</v>
      </c>
      <c r="I192" t="n">
        <v>0</v>
      </c>
      <c r="J192" t="n">
        <v>0</v>
      </c>
      <c r="K192" t="n">
        <v>0</v>
      </c>
      <c r="L192" t="n">
        <v>0</v>
      </c>
      <c r="M192" t="n">
        <v>0</v>
      </c>
      <c r="N192" t="n">
        <v>0</v>
      </c>
      <c r="O192" t="n">
        <v>0</v>
      </c>
      <c r="P192" t="n">
        <v>0</v>
      </c>
      <c r="Q192" t="n">
        <v>0</v>
      </c>
      <c r="R192" s="2" t="inlineStr"/>
    </row>
    <row r="193" ht="15" customHeight="1">
      <c r="A193" t="inlineStr">
        <is>
          <t>A 1750-2019</t>
        </is>
      </c>
      <c r="B193" s="1" t="n">
        <v>43474</v>
      </c>
      <c r="C193" s="1" t="n">
        <v>45294</v>
      </c>
      <c r="D193" t="inlineStr">
        <is>
          <t>JÄMTLANDS LÄN</t>
        </is>
      </c>
      <c r="E193" t="inlineStr">
        <is>
          <t>HÄRJEDALEN</t>
        </is>
      </c>
      <c r="G193" t="n">
        <v>6.4</v>
      </c>
      <c r="H193" t="n">
        <v>0</v>
      </c>
      <c r="I193" t="n">
        <v>0</v>
      </c>
      <c r="J193" t="n">
        <v>0</v>
      </c>
      <c r="K193" t="n">
        <v>0</v>
      </c>
      <c r="L193" t="n">
        <v>0</v>
      </c>
      <c r="M193" t="n">
        <v>0</v>
      </c>
      <c r="N193" t="n">
        <v>0</v>
      </c>
      <c r="O193" t="n">
        <v>0</v>
      </c>
      <c r="P193" t="n">
        <v>0</v>
      </c>
      <c r="Q193" t="n">
        <v>0</v>
      </c>
      <c r="R193" s="2" t="inlineStr"/>
    </row>
    <row r="194" ht="15" customHeight="1">
      <c r="A194" t="inlineStr">
        <is>
          <t>A 6025-2019</t>
        </is>
      </c>
      <c r="B194" s="1" t="n">
        <v>43474</v>
      </c>
      <c r="C194" s="1" t="n">
        <v>45294</v>
      </c>
      <c r="D194" t="inlineStr">
        <is>
          <t>JÄMTLANDS LÄN</t>
        </is>
      </c>
      <c r="E194" t="inlineStr">
        <is>
          <t>HÄRJEDALEN</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3328-2019</t>
        </is>
      </c>
      <c r="B195" s="1" t="n">
        <v>43474</v>
      </c>
      <c r="C195" s="1" t="n">
        <v>45294</v>
      </c>
      <c r="D195" t="inlineStr">
        <is>
          <t>JÄMTLANDS LÄN</t>
        </is>
      </c>
      <c r="E195" t="inlineStr">
        <is>
          <t>HÄRJEDALEN</t>
        </is>
      </c>
      <c r="F195" t="inlineStr">
        <is>
          <t>Bergvik skog väst AB</t>
        </is>
      </c>
      <c r="G195" t="n">
        <v>0.7</v>
      </c>
      <c r="H195" t="n">
        <v>0</v>
      </c>
      <c r="I195" t="n">
        <v>0</v>
      </c>
      <c r="J195" t="n">
        <v>0</v>
      </c>
      <c r="K195" t="n">
        <v>0</v>
      </c>
      <c r="L195" t="n">
        <v>0</v>
      </c>
      <c r="M195" t="n">
        <v>0</v>
      </c>
      <c r="N195" t="n">
        <v>0</v>
      </c>
      <c r="O195" t="n">
        <v>0</v>
      </c>
      <c r="P195" t="n">
        <v>0</v>
      </c>
      <c r="Q195" t="n">
        <v>0</v>
      </c>
      <c r="R195" s="2" t="inlineStr"/>
    </row>
    <row r="196" ht="15" customHeight="1">
      <c r="A196" t="inlineStr">
        <is>
          <t>A 1835-2019</t>
        </is>
      </c>
      <c r="B196" s="1" t="n">
        <v>43474</v>
      </c>
      <c r="C196" s="1" t="n">
        <v>45294</v>
      </c>
      <c r="D196" t="inlineStr">
        <is>
          <t>JÄMTLANDS LÄN</t>
        </is>
      </c>
      <c r="E196" t="inlineStr">
        <is>
          <t>HÄRJEDALEN</t>
        </is>
      </c>
      <c r="G196" t="n">
        <v>4.9</v>
      </c>
      <c r="H196" t="n">
        <v>0</v>
      </c>
      <c r="I196" t="n">
        <v>0</v>
      </c>
      <c r="J196" t="n">
        <v>0</v>
      </c>
      <c r="K196" t="n">
        <v>0</v>
      </c>
      <c r="L196" t="n">
        <v>0</v>
      </c>
      <c r="M196" t="n">
        <v>0</v>
      </c>
      <c r="N196" t="n">
        <v>0</v>
      </c>
      <c r="O196" t="n">
        <v>0</v>
      </c>
      <c r="P196" t="n">
        <v>0</v>
      </c>
      <c r="Q196" t="n">
        <v>0</v>
      </c>
      <c r="R196" s="2" t="inlineStr"/>
    </row>
    <row r="197" ht="15" customHeight="1">
      <c r="A197" t="inlineStr">
        <is>
          <t>A 6127-2019</t>
        </is>
      </c>
      <c r="B197" s="1" t="n">
        <v>43474</v>
      </c>
      <c r="C197" s="1" t="n">
        <v>45294</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2135-2019</t>
        </is>
      </c>
      <c r="B198" s="1" t="n">
        <v>43475</v>
      </c>
      <c r="C198" s="1" t="n">
        <v>45294</v>
      </c>
      <c r="D198" t="inlineStr">
        <is>
          <t>JÄMTLANDS LÄN</t>
        </is>
      </c>
      <c r="E198" t="inlineStr">
        <is>
          <t>HÄRJEDALEN</t>
        </is>
      </c>
      <c r="G198" t="n">
        <v>0.1</v>
      </c>
      <c r="H198" t="n">
        <v>0</v>
      </c>
      <c r="I198" t="n">
        <v>0</v>
      </c>
      <c r="J198" t="n">
        <v>0</v>
      </c>
      <c r="K198" t="n">
        <v>0</v>
      </c>
      <c r="L198" t="n">
        <v>0</v>
      </c>
      <c r="M198" t="n">
        <v>0</v>
      </c>
      <c r="N198" t="n">
        <v>0</v>
      </c>
      <c r="O198" t="n">
        <v>0</v>
      </c>
      <c r="P198" t="n">
        <v>0</v>
      </c>
      <c r="Q198" t="n">
        <v>0</v>
      </c>
      <c r="R198" s="2" t="inlineStr"/>
    </row>
    <row r="199" ht="15" customHeight="1">
      <c r="A199" t="inlineStr">
        <is>
          <t>A 3014-2019</t>
        </is>
      </c>
      <c r="B199" s="1" t="n">
        <v>43479</v>
      </c>
      <c r="C199" s="1" t="n">
        <v>45294</v>
      </c>
      <c r="D199" t="inlineStr">
        <is>
          <t>JÄMTLANDS LÄN</t>
        </is>
      </c>
      <c r="E199" t="inlineStr">
        <is>
          <t>HÄRJEDALEN</t>
        </is>
      </c>
      <c r="G199" t="n">
        <v>1.8</v>
      </c>
      <c r="H199" t="n">
        <v>0</v>
      </c>
      <c r="I199" t="n">
        <v>0</v>
      </c>
      <c r="J199" t="n">
        <v>0</v>
      </c>
      <c r="K199" t="n">
        <v>0</v>
      </c>
      <c r="L199" t="n">
        <v>0</v>
      </c>
      <c r="M199" t="n">
        <v>0</v>
      </c>
      <c r="N199" t="n">
        <v>0</v>
      </c>
      <c r="O199" t="n">
        <v>0</v>
      </c>
      <c r="P199" t="n">
        <v>0</v>
      </c>
      <c r="Q199" t="n">
        <v>0</v>
      </c>
      <c r="R199" s="2" t="inlineStr"/>
    </row>
    <row r="200" ht="15" customHeight="1">
      <c r="A200" t="inlineStr">
        <is>
          <t>A 3531-2019</t>
        </is>
      </c>
      <c r="B200" s="1" t="n">
        <v>43481</v>
      </c>
      <c r="C200" s="1" t="n">
        <v>45294</v>
      </c>
      <c r="D200" t="inlineStr">
        <is>
          <t>JÄMTLANDS LÄN</t>
        </is>
      </c>
      <c r="E200" t="inlineStr">
        <is>
          <t>HÄRJEDALEN</t>
        </is>
      </c>
      <c r="F200" t="inlineStr">
        <is>
          <t>Holmen skog AB</t>
        </is>
      </c>
      <c r="G200" t="n">
        <v>23.2</v>
      </c>
      <c r="H200" t="n">
        <v>0</v>
      </c>
      <c r="I200" t="n">
        <v>0</v>
      </c>
      <c r="J200" t="n">
        <v>0</v>
      </c>
      <c r="K200" t="n">
        <v>0</v>
      </c>
      <c r="L200" t="n">
        <v>0</v>
      </c>
      <c r="M200" t="n">
        <v>0</v>
      </c>
      <c r="N200" t="n">
        <v>0</v>
      </c>
      <c r="O200" t="n">
        <v>0</v>
      </c>
      <c r="P200" t="n">
        <v>0</v>
      </c>
      <c r="Q200" t="n">
        <v>0</v>
      </c>
      <c r="R200" s="2" t="inlineStr"/>
    </row>
    <row r="201" ht="15" customHeight="1">
      <c r="A201" t="inlineStr">
        <is>
          <t>A 3571-2019</t>
        </is>
      </c>
      <c r="B201" s="1" t="n">
        <v>43481</v>
      </c>
      <c r="C201" s="1" t="n">
        <v>45294</v>
      </c>
      <c r="D201" t="inlineStr">
        <is>
          <t>JÄMTLANDS LÄN</t>
        </is>
      </c>
      <c r="E201" t="inlineStr">
        <is>
          <t>HÄRJEDALEN</t>
        </is>
      </c>
      <c r="G201" t="n">
        <v>1.4</v>
      </c>
      <c r="H201" t="n">
        <v>0</v>
      </c>
      <c r="I201" t="n">
        <v>0</v>
      </c>
      <c r="J201" t="n">
        <v>0</v>
      </c>
      <c r="K201" t="n">
        <v>0</v>
      </c>
      <c r="L201" t="n">
        <v>0</v>
      </c>
      <c r="M201" t="n">
        <v>0</v>
      </c>
      <c r="N201" t="n">
        <v>0</v>
      </c>
      <c r="O201" t="n">
        <v>0</v>
      </c>
      <c r="P201" t="n">
        <v>0</v>
      </c>
      <c r="Q201" t="n">
        <v>0</v>
      </c>
      <c r="R201" s="2" t="inlineStr"/>
    </row>
    <row r="202" ht="15" customHeight="1">
      <c r="A202" t="inlineStr">
        <is>
          <t>A 3624-2019</t>
        </is>
      </c>
      <c r="B202" s="1" t="n">
        <v>43481</v>
      </c>
      <c r="C202" s="1" t="n">
        <v>45294</v>
      </c>
      <c r="D202" t="inlineStr">
        <is>
          <t>JÄMTLANDS LÄN</t>
        </is>
      </c>
      <c r="E202" t="inlineStr">
        <is>
          <t>HÄRJEDALEN</t>
        </is>
      </c>
      <c r="F202" t="inlineStr">
        <is>
          <t>Holmen skog AB</t>
        </is>
      </c>
      <c r="G202" t="n">
        <v>6.5</v>
      </c>
      <c r="H202" t="n">
        <v>0</v>
      </c>
      <c r="I202" t="n">
        <v>0</v>
      </c>
      <c r="J202" t="n">
        <v>0</v>
      </c>
      <c r="K202" t="n">
        <v>0</v>
      </c>
      <c r="L202" t="n">
        <v>0</v>
      </c>
      <c r="M202" t="n">
        <v>0</v>
      </c>
      <c r="N202" t="n">
        <v>0</v>
      </c>
      <c r="O202" t="n">
        <v>0</v>
      </c>
      <c r="P202" t="n">
        <v>0</v>
      </c>
      <c r="Q202" t="n">
        <v>0</v>
      </c>
      <c r="R202" s="2" t="inlineStr"/>
    </row>
    <row r="203" ht="15" customHeight="1">
      <c r="A203" t="inlineStr">
        <is>
          <t>A 3785-2019</t>
        </is>
      </c>
      <c r="B203" s="1" t="n">
        <v>43482</v>
      </c>
      <c r="C203" s="1" t="n">
        <v>45294</v>
      </c>
      <c r="D203" t="inlineStr">
        <is>
          <t>JÄMTLANDS LÄN</t>
        </is>
      </c>
      <c r="E203" t="inlineStr">
        <is>
          <t>HÄRJEDALEN</t>
        </is>
      </c>
      <c r="G203" t="n">
        <v>8.1</v>
      </c>
      <c r="H203" t="n">
        <v>0</v>
      </c>
      <c r="I203" t="n">
        <v>0</v>
      </c>
      <c r="J203" t="n">
        <v>0</v>
      </c>
      <c r="K203" t="n">
        <v>0</v>
      </c>
      <c r="L203" t="n">
        <v>0</v>
      </c>
      <c r="M203" t="n">
        <v>0</v>
      </c>
      <c r="N203" t="n">
        <v>0</v>
      </c>
      <c r="O203" t="n">
        <v>0</v>
      </c>
      <c r="P203" t="n">
        <v>0</v>
      </c>
      <c r="Q203" t="n">
        <v>0</v>
      </c>
      <c r="R203" s="2" t="inlineStr"/>
    </row>
    <row r="204" ht="15" customHeight="1">
      <c r="A204" t="inlineStr">
        <is>
          <t>A 3788-2019</t>
        </is>
      </c>
      <c r="B204" s="1" t="n">
        <v>43482</v>
      </c>
      <c r="C204" s="1" t="n">
        <v>45294</v>
      </c>
      <c r="D204" t="inlineStr">
        <is>
          <t>JÄMTLANDS LÄN</t>
        </is>
      </c>
      <c r="E204" t="inlineStr">
        <is>
          <t>HÄRJEDALEN</t>
        </is>
      </c>
      <c r="G204" t="n">
        <v>5.2</v>
      </c>
      <c r="H204" t="n">
        <v>0</v>
      </c>
      <c r="I204" t="n">
        <v>0</v>
      </c>
      <c r="J204" t="n">
        <v>0</v>
      </c>
      <c r="K204" t="n">
        <v>0</v>
      </c>
      <c r="L204" t="n">
        <v>0</v>
      </c>
      <c r="M204" t="n">
        <v>0</v>
      </c>
      <c r="N204" t="n">
        <v>0</v>
      </c>
      <c r="O204" t="n">
        <v>0</v>
      </c>
      <c r="P204" t="n">
        <v>0</v>
      </c>
      <c r="Q204" t="n">
        <v>0</v>
      </c>
      <c r="R204" s="2" t="inlineStr"/>
    </row>
    <row r="205" ht="15" customHeight="1">
      <c r="A205" t="inlineStr">
        <is>
          <t>A 3787-2019</t>
        </is>
      </c>
      <c r="B205" s="1" t="n">
        <v>43482</v>
      </c>
      <c r="C205" s="1" t="n">
        <v>45294</v>
      </c>
      <c r="D205" t="inlineStr">
        <is>
          <t>JÄMTLANDS LÄN</t>
        </is>
      </c>
      <c r="E205" t="inlineStr">
        <is>
          <t>HÄRJEDALEN</t>
        </is>
      </c>
      <c r="G205" t="n">
        <v>7.1</v>
      </c>
      <c r="H205" t="n">
        <v>0</v>
      </c>
      <c r="I205" t="n">
        <v>0</v>
      </c>
      <c r="J205" t="n">
        <v>0</v>
      </c>
      <c r="K205" t="n">
        <v>0</v>
      </c>
      <c r="L205" t="n">
        <v>0</v>
      </c>
      <c r="M205" t="n">
        <v>0</v>
      </c>
      <c r="N205" t="n">
        <v>0</v>
      </c>
      <c r="O205" t="n">
        <v>0</v>
      </c>
      <c r="P205" t="n">
        <v>0</v>
      </c>
      <c r="Q205" t="n">
        <v>0</v>
      </c>
      <c r="R205" s="2" t="inlineStr"/>
    </row>
    <row r="206" ht="15" customHeight="1">
      <c r="A206" t="inlineStr">
        <is>
          <t>A 4359-2019</t>
        </is>
      </c>
      <c r="B206" s="1" t="n">
        <v>43483</v>
      </c>
      <c r="C206" s="1" t="n">
        <v>45294</v>
      </c>
      <c r="D206" t="inlineStr">
        <is>
          <t>JÄMTLANDS LÄN</t>
        </is>
      </c>
      <c r="E206" t="inlineStr">
        <is>
          <t>HÄRJEDALEN</t>
        </is>
      </c>
      <c r="G206" t="n">
        <v>1.9</v>
      </c>
      <c r="H206" t="n">
        <v>0</v>
      </c>
      <c r="I206" t="n">
        <v>0</v>
      </c>
      <c r="J206" t="n">
        <v>0</v>
      </c>
      <c r="K206" t="n">
        <v>0</v>
      </c>
      <c r="L206" t="n">
        <v>0</v>
      </c>
      <c r="M206" t="n">
        <v>0</v>
      </c>
      <c r="N206" t="n">
        <v>0</v>
      </c>
      <c r="O206" t="n">
        <v>0</v>
      </c>
      <c r="P206" t="n">
        <v>0</v>
      </c>
      <c r="Q206" t="n">
        <v>0</v>
      </c>
      <c r="R206" s="2" t="inlineStr"/>
    </row>
    <row r="207" ht="15" customHeight="1">
      <c r="A207" t="inlineStr">
        <is>
          <t>A 4617-2019</t>
        </is>
      </c>
      <c r="B207" s="1" t="n">
        <v>43486</v>
      </c>
      <c r="C207" s="1" t="n">
        <v>45294</v>
      </c>
      <c r="D207" t="inlineStr">
        <is>
          <t>JÄMTLANDS LÄN</t>
        </is>
      </c>
      <c r="E207" t="inlineStr">
        <is>
          <t>HÄRJEDALEN</t>
        </is>
      </c>
      <c r="G207" t="n">
        <v>2.1</v>
      </c>
      <c r="H207" t="n">
        <v>0</v>
      </c>
      <c r="I207" t="n">
        <v>0</v>
      </c>
      <c r="J207" t="n">
        <v>0</v>
      </c>
      <c r="K207" t="n">
        <v>0</v>
      </c>
      <c r="L207" t="n">
        <v>0</v>
      </c>
      <c r="M207" t="n">
        <v>0</v>
      </c>
      <c r="N207" t="n">
        <v>0</v>
      </c>
      <c r="O207" t="n">
        <v>0</v>
      </c>
      <c r="P207" t="n">
        <v>0</v>
      </c>
      <c r="Q207" t="n">
        <v>0</v>
      </c>
      <c r="R207" s="2" t="inlineStr"/>
    </row>
    <row r="208" ht="15" customHeight="1">
      <c r="A208" t="inlineStr">
        <is>
          <t>A 6418-2019</t>
        </is>
      </c>
      <c r="B208" s="1" t="n">
        <v>43486</v>
      </c>
      <c r="C208" s="1" t="n">
        <v>45294</v>
      </c>
      <c r="D208" t="inlineStr">
        <is>
          <t>JÄMTLANDS LÄN</t>
        </is>
      </c>
      <c r="E208" t="inlineStr">
        <is>
          <t>HÄRJEDALEN</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5327-2019</t>
        </is>
      </c>
      <c r="B209" s="1" t="n">
        <v>43488</v>
      </c>
      <c r="C209" s="1" t="n">
        <v>45294</v>
      </c>
      <c r="D209" t="inlineStr">
        <is>
          <t>JÄMTLANDS LÄN</t>
        </is>
      </c>
      <c r="E209" t="inlineStr">
        <is>
          <t>HÄRJEDALEN</t>
        </is>
      </c>
      <c r="F209" t="inlineStr">
        <is>
          <t>Bergvik skog väst AB</t>
        </is>
      </c>
      <c r="G209" t="n">
        <v>5.1</v>
      </c>
      <c r="H209" t="n">
        <v>0</v>
      </c>
      <c r="I209" t="n">
        <v>0</v>
      </c>
      <c r="J209" t="n">
        <v>0</v>
      </c>
      <c r="K209" t="n">
        <v>0</v>
      </c>
      <c r="L209" t="n">
        <v>0</v>
      </c>
      <c r="M209" t="n">
        <v>0</v>
      </c>
      <c r="N209" t="n">
        <v>0</v>
      </c>
      <c r="O209" t="n">
        <v>0</v>
      </c>
      <c r="P209" t="n">
        <v>0</v>
      </c>
      <c r="Q209" t="n">
        <v>0</v>
      </c>
      <c r="R209" s="2" t="inlineStr"/>
    </row>
    <row r="210" ht="15" customHeight="1">
      <c r="A210" t="inlineStr">
        <is>
          <t>A 5663-2019</t>
        </is>
      </c>
      <c r="B210" s="1" t="n">
        <v>43489</v>
      </c>
      <c r="C210" s="1" t="n">
        <v>45294</v>
      </c>
      <c r="D210" t="inlineStr">
        <is>
          <t>JÄMTLANDS LÄN</t>
        </is>
      </c>
      <c r="E210" t="inlineStr">
        <is>
          <t>HÄRJEDALEN</t>
        </is>
      </c>
      <c r="G210" t="n">
        <v>3.2</v>
      </c>
      <c r="H210" t="n">
        <v>0</v>
      </c>
      <c r="I210" t="n">
        <v>0</v>
      </c>
      <c r="J210" t="n">
        <v>0</v>
      </c>
      <c r="K210" t="n">
        <v>0</v>
      </c>
      <c r="L210" t="n">
        <v>0</v>
      </c>
      <c r="M210" t="n">
        <v>0</v>
      </c>
      <c r="N210" t="n">
        <v>0</v>
      </c>
      <c r="O210" t="n">
        <v>0</v>
      </c>
      <c r="P210" t="n">
        <v>0</v>
      </c>
      <c r="Q210" t="n">
        <v>0</v>
      </c>
      <c r="R210" s="2" t="inlineStr"/>
    </row>
    <row r="211" ht="15" customHeight="1">
      <c r="A211" t="inlineStr">
        <is>
          <t>A 5805-2019</t>
        </is>
      </c>
      <c r="B211" s="1" t="n">
        <v>43490</v>
      </c>
      <c r="C211" s="1" t="n">
        <v>45294</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5790-2019</t>
        </is>
      </c>
      <c r="B212" s="1" t="n">
        <v>43490</v>
      </c>
      <c r="C212" s="1" t="n">
        <v>45294</v>
      </c>
      <c r="D212" t="inlineStr">
        <is>
          <t>JÄMTLANDS LÄN</t>
        </is>
      </c>
      <c r="E212" t="inlineStr">
        <is>
          <t>HÄRJEDALEN</t>
        </is>
      </c>
      <c r="G212" t="n">
        <v>1</v>
      </c>
      <c r="H212" t="n">
        <v>0</v>
      </c>
      <c r="I212" t="n">
        <v>0</v>
      </c>
      <c r="J212" t="n">
        <v>0</v>
      </c>
      <c r="K212" t="n">
        <v>0</v>
      </c>
      <c r="L212" t="n">
        <v>0</v>
      </c>
      <c r="M212" t="n">
        <v>0</v>
      </c>
      <c r="N212" t="n">
        <v>0</v>
      </c>
      <c r="O212" t="n">
        <v>0</v>
      </c>
      <c r="P212" t="n">
        <v>0</v>
      </c>
      <c r="Q212" t="n">
        <v>0</v>
      </c>
      <c r="R212" s="2" t="inlineStr"/>
    </row>
    <row r="213" ht="15" customHeight="1">
      <c r="A213" t="inlineStr">
        <is>
          <t>A 5779-2019</t>
        </is>
      </c>
      <c r="B213" s="1" t="n">
        <v>43490</v>
      </c>
      <c r="C213" s="1" t="n">
        <v>45294</v>
      </c>
      <c r="D213" t="inlineStr">
        <is>
          <t>JÄMTLANDS LÄN</t>
        </is>
      </c>
      <c r="E213" t="inlineStr">
        <is>
          <t>HÄRJEDALEN</t>
        </is>
      </c>
      <c r="G213" t="n">
        <v>0.7</v>
      </c>
      <c r="H213" t="n">
        <v>0</v>
      </c>
      <c r="I213" t="n">
        <v>0</v>
      </c>
      <c r="J213" t="n">
        <v>0</v>
      </c>
      <c r="K213" t="n">
        <v>0</v>
      </c>
      <c r="L213" t="n">
        <v>0</v>
      </c>
      <c r="M213" t="n">
        <v>0</v>
      </c>
      <c r="N213" t="n">
        <v>0</v>
      </c>
      <c r="O213" t="n">
        <v>0</v>
      </c>
      <c r="P213" t="n">
        <v>0</v>
      </c>
      <c r="Q213" t="n">
        <v>0</v>
      </c>
      <c r="R213" s="2" t="inlineStr"/>
    </row>
    <row r="214" ht="15" customHeight="1">
      <c r="A214" t="inlineStr">
        <is>
          <t>A 8155-2019</t>
        </is>
      </c>
      <c r="B214" s="1" t="n">
        <v>43495</v>
      </c>
      <c r="C214" s="1" t="n">
        <v>45294</v>
      </c>
      <c r="D214" t="inlineStr">
        <is>
          <t>JÄMTLANDS LÄN</t>
        </is>
      </c>
      <c r="E214" t="inlineStr">
        <is>
          <t>HÄRJEDALEN</t>
        </is>
      </c>
      <c r="G214" t="n">
        <v>16.9</v>
      </c>
      <c r="H214" t="n">
        <v>0</v>
      </c>
      <c r="I214" t="n">
        <v>0</v>
      </c>
      <c r="J214" t="n">
        <v>0</v>
      </c>
      <c r="K214" t="n">
        <v>0</v>
      </c>
      <c r="L214" t="n">
        <v>0</v>
      </c>
      <c r="M214" t="n">
        <v>0</v>
      </c>
      <c r="N214" t="n">
        <v>0</v>
      </c>
      <c r="O214" t="n">
        <v>0</v>
      </c>
      <c r="P214" t="n">
        <v>0</v>
      </c>
      <c r="Q214" t="n">
        <v>0</v>
      </c>
      <c r="R214" s="2" t="inlineStr"/>
    </row>
    <row r="215" ht="15" customHeight="1">
      <c r="A215" t="inlineStr">
        <is>
          <t>A 6886-2019</t>
        </is>
      </c>
      <c r="B215" s="1" t="n">
        <v>43495</v>
      </c>
      <c r="C215" s="1" t="n">
        <v>45294</v>
      </c>
      <c r="D215" t="inlineStr">
        <is>
          <t>JÄMTLANDS LÄN</t>
        </is>
      </c>
      <c r="E215" t="inlineStr">
        <is>
          <t>HÄRJEDALEN</t>
        </is>
      </c>
      <c r="G215" t="n">
        <v>10.4</v>
      </c>
      <c r="H215" t="n">
        <v>0</v>
      </c>
      <c r="I215" t="n">
        <v>0</v>
      </c>
      <c r="J215" t="n">
        <v>0</v>
      </c>
      <c r="K215" t="n">
        <v>0</v>
      </c>
      <c r="L215" t="n">
        <v>0</v>
      </c>
      <c r="M215" t="n">
        <v>0</v>
      </c>
      <c r="N215" t="n">
        <v>0</v>
      </c>
      <c r="O215" t="n">
        <v>0</v>
      </c>
      <c r="P215" t="n">
        <v>0</v>
      </c>
      <c r="Q215" t="n">
        <v>0</v>
      </c>
      <c r="R215" s="2" t="inlineStr"/>
    </row>
    <row r="216" ht="15" customHeight="1">
      <c r="A216" t="inlineStr">
        <is>
          <t>A 7478-2019</t>
        </is>
      </c>
      <c r="B216" s="1" t="n">
        <v>43497</v>
      </c>
      <c r="C216" s="1" t="n">
        <v>45294</v>
      </c>
      <c r="D216" t="inlineStr">
        <is>
          <t>JÄMTLANDS LÄN</t>
        </is>
      </c>
      <c r="E216" t="inlineStr">
        <is>
          <t>HÄRJEDALEN</t>
        </is>
      </c>
      <c r="G216" t="n">
        <v>2.1</v>
      </c>
      <c r="H216" t="n">
        <v>0</v>
      </c>
      <c r="I216" t="n">
        <v>0</v>
      </c>
      <c r="J216" t="n">
        <v>0</v>
      </c>
      <c r="K216" t="n">
        <v>0</v>
      </c>
      <c r="L216" t="n">
        <v>0</v>
      </c>
      <c r="M216" t="n">
        <v>0</v>
      </c>
      <c r="N216" t="n">
        <v>0</v>
      </c>
      <c r="O216" t="n">
        <v>0</v>
      </c>
      <c r="P216" t="n">
        <v>0</v>
      </c>
      <c r="Q216" t="n">
        <v>0</v>
      </c>
      <c r="R216" s="2" t="inlineStr"/>
    </row>
    <row r="217" ht="15" customHeight="1">
      <c r="A217" t="inlineStr">
        <is>
          <t>A 7793-2019</t>
        </is>
      </c>
      <c r="B217" s="1" t="n">
        <v>43500</v>
      </c>
      <c r="C217" s="1" t="n">
        <v>45294</v>
      </c>
      <c r="D217" t="inlineStr">
        <is>
          <t>JÄMTLANDS LÄN</t>
        </is>
      </c>
      <c r="E217" t="inlineStr">
        <is>
          <t>HÄRJEDALEN</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7839-2019</t>
        </is>
      </c>
      <c r="B218" s="1" t="n">
        <v>43500</v>
      </c>
      <c r="C218" s="1" t="n">
        <v>45294</v>
      </c>
      <c r="D218" t="inlineStr">
        <is>
          <t>JÄMTLANDS LÄN</t>
        </is>
      </c>
      <c r="E218" t="inlineStr">
        <is>
          <t>HÄRJEDALEN</t>
        </is>
      </c>
      <c r="F218" t="inlineStr">
        <is>
          <t>Holmen skog AB</t>
        </is>
      </c>
      <c r="G218" t="n">
        <v>43</v>
      </c>
      <c r="H218" t="n">
        <v>0</v>
      </c>
      <c r="I218" t="n">
        <v>0</v>
      </c>
      <c r="J218" t="n">
        <v>0</v>
      </c>
      <c r="K218" t="n">
        <v>0</v>
      </c>
      <c r="L218" t="n">
        <v>0</v>
      </c>
      <c r="M218" t="n">
        <v>0</v>
      </c>
      <c r="N218" t="n">
        <v>0</v>
      </c>
      <c r="O218" t="n">
        <v>0</v>
      </c>
      <c r="P218" t="n">
        <v>0</v>
      </c>
      <c r="Q218" t="n">
        <v>0</v>
      </c>
      <c r="R218" s="2" t="inlineStr"/>
    </row>
    <row r="219" ht="15" customHeight="1">
      <c r="A219" t="inlineStr">
        <is>
          <t>A 7791-2019</t>
        </is>
      </c>
      <c r="B219" s="1" t="n">
        <v>43500</v>
      </c>
      <c r="C219" s="1" t="n">
        <v>45294</v>
      </c>
      <c r="D219" t="inlineStr">
        <is>
          <t>JÄMTLANDS LÄN</t>
        </is>
      </c>
      <c r="E219" t="inlineStr">
        <is>
          <t>HÄRJEDALEN</t>
        </is>
      </c>
      <c r="F219" t="inlineStr">
        <is>
          <t>Holmen skog AB</t>
        </is>
      </c>
      <c r="G219" t="n">
        <v>18.3</v>
      </c>
      <c r="H219" t="n">
        <v>0</v>
      </c>
      <c r="I219" t="n">
        <v>0</v>
      </c>
      <c r="J219" t="n">
        <v>0</v>
      </c>
      <c r="K219" t="n">
        <v>0</v>
      </c>
      <c r="L219" t="n">
        <v>0</v>
      </c>
      <c r="M219" t="n">
        <v>0</v>
      </c>
      <c r="N219" t="n">
        <v>0</v>
      </c>
      <c r="O219" t="n">
        <v>0</v>
      </c>
      <c r="P219" t="n">
        <v>0</v>
      </c>
      <c r="Q219" t="n">
        <v>0</v>
      </c>
      <c r="R219" s="2" t="inlineStr"/>
    </row>
    <row r="220" ht="15" customHeight="1">
      <c r="A220" t="inlineStr">
        <is>
          <t>A 7840-2019</t>
        </is>
      </c>
      <c r="B220" s="1" t="n">
        <v>43500</v>
      </c>
      <c r="C220" s="1" t="n">
        <v>45294</v>
      </c>
      <c r="D220" t="inlineStr">
        <is>
          <t>JÄMTLANDS LÄN</t>
        </is>
      </c>
      <c r="E220" t="inlineStr">
        <is>
          <t>HÄRJEDALEN</t>
        </is>
      </c>
      <c r="F220" t="inlineStr">
        <is>
          <t>Holmen skog AB</t>
        </is>
      </c>
      <c r="G220" t="n">
        <v>0.5</v>
      </c>
      <c r="H220" t="n">
        <v>0</v>
      </c>
      <c r="I220" t="n">
        <v>0</v>
      </c>
      <c r="J220" t="n">
        <v>0</v>
      </c>
      <c r="K220" t="n">
        <v>0</v>
      </c>
      <c r="L220" t="n">
        <v>0</v>
      </c>
      <c r="M220" t="n">
        <v>0</v>
      </c>
      <c r="N220" t="n">
        <v>0</v>
      </c>
      <c r="O220" t="n">
        <v>0</v>
      </c>
      <c r="P220" t="n">
        <v>0</v>
      </c>
      <c r="Q220" t="n">
        <v>0</v>
      </c>
      <c r="R220" s="2" t="inlineStr"/>
    </row>
    <row r="221" ht="15" customHeight="1">
      <c r="A221" t="inlineStr">
        <is>
          <t>A 7790-2019</t>
        </is>
      </c>
      <c r="B221" s="1" t="n">
        <v>43500</v>
      </c>
      <c r="C221" s="1" t="n">
        <v>45294</v>
      </c>
      <c r="D221" t="inlineStr">
        <is>
          <t>JÄMTLANDS LÄN</t>
        </is>
      </c>
      <c r="E221" t="inlineStr">
        <is>
          <t>HÄRJEDALEN</t>
        </is>
      </c>
      <c r="F221" t="inlineStr">
        <is>
          <t>Holmen skog AB</t>
        </is>
      </c>
      <c r="G221" t="n">
        <v>7.9</v>
      </c>
      <c r="H221" t="n">
        <v>0</v>
      </c>
      <c r="I221" t="n">
        <v>0</v>
      </c>
      <c r="J221" t="n">
        <v>0</v>
      </c>
      <c r="K221" t="n">
        <v>0</v>
      </c>
      <c r="L221" t="n">
        <v>0</v>
      </c>
      <c r="M221" t="n">
        <v>0</v>
      </c>
      <c r="N221" t="n">
        <v>0</v>
      </c>
      <c r="O221" t="n">
        <v>0</v>
      </c>
      <c r="P221" t="n">
        <v>0</v>
      </c>
      <c r="Q221" t="n">
        <v>0</v>
      </c>
      <c r="R221" s="2" t="inlineStr"/>
    </row>
    <row r="222" ht="15" customHeight="1">
      <c r="A222" t="inlineStr">
        <is>
          <t>A 7853-2019</t>
        </is>
      </c>
      <c r="B222" s="1" t="n">
        <v>43500</v>
      </c>
      <c r="C222" s="1" t="n">
        <v>45294</v>
      </c>
      <c r="D222" t="inlineStr">
        <is>
          <t>JÄMTLANDS LÄN</t>
        </is>
      </c>
      <c r="E222" t="inlineStr">
        <is>
          <t>HÄRJEDALEN</t>
        </is>
      </c>
      <c r="F222" t="inlineStr">
        <is>
          <t>Holmen skog AB</t>
        </is>
      </c>
      <c r="G222" t="n">
        <v>6.6</v>
      </c>
      <c r="H222" t="n">
        <v>0</v>
      </c>
      <c r="I222" t="n">
        <v>0</v>
      </c>
      <c r="J222" t="n">
        <v>0</v>
      </c>
      <c r="K222" t="n">
        <v>0</v>
      </c>
      <c r="L222" t="n">
        <v>0</v>
      </c>
      <c r="M222" t="n">
        <v>0</v>
      </c>
      <c r="N222" t="n">
        <v>0</v>
      </c>
      <c r="O222" t="n">
        <v>0</v>
      </c>
      <c r="P222" t="n">
        <v>0</v>
      </c>
      <c r="Q222" t="n">
        <v>0</v>
      </c>
      <c r="R222" s="2" t="inlineStr"/>
    </row>
    <row r="223" ht="15" customHeight="1">
      <c r="A223" t="inlineStr">
        <is>
          <t>A 9236-2019</t>
        </is>
      </c>
      <c r="B223" s="1" t="n">
        <v>43507</v>
      </c>
      <c r="C223" s="1" t="n">
        <v>45294</v>
      </c>
      <c r="D223" t="inlineStr">
        <is>
          <t>JÄMTLANDS LÄN</t>
        </is>
      </c>
      <c r="E223" t="inlineStr">
        <is>
          <t>HÄRJEDALEN</t>
        </is>
      </c>
      <c r="F223" t="inlineStr">
        <is>
          <t>Bergvik skog väst AB</t>
        </is>
      </c>
      <c r="G223" t="n">
        <v>23.2</v>
      </c>
      <c r="H223" t="n">
        <v>0</v>
      </c>
      <c r="I223" t="n">
        <v>0</v>
      </c>
      <c r="J223" t="n">
        <v>0</v>
      </c>
      <c r="K223" t="n">
        <v>0</v>
      </c>
      <c r="L223" t="n">
        <v>0</v>
      </c>
      <c r="M223" t="n">
        <v>0</v>
      </c>
      <c r="N223" t="n">
        <v>0</v>
      </c>
      <c r="O223" t="n">
        <v>0</v>
      </c>
      <c r="P223" t="n">
        <v>0</v>
      </c>
      <c r="Q223" t="n">
        <v>0</v>
      </c>
      <c r="R223" s="2" t="inlineStr"/>
    </row>
    <row r="224" ht="15" customHeight="1">
      <c r="A224" t="inlineStr">
        <is>
          <t>A 9670-2019</t>
        </is>
      </c>
      <c r="B224" s="1" t="n">
        <v>43508</v>
      </c>
      <c r="C224" s="1" t="n">
        <v>45294</v>
      </c>
      <c r="D224" t="inlineStr">
        <is>
          <t>JÄMTLANDS LÄN</t>
        </is>
      </c>
      <c r="E224" t="inlineStr">
        <is>
          <t>HÄRJEDALEN</t>
        </is>
      </c>
      <c r="G224" t="n">
        <v>34.2</v>
      </c>
      <c r="H224" t="n">
        <v>0</v>
      </c>
      <c r="I224" t="n">
        <v>0</v>
      </c>
      <c r="J224" t="n">
        <v>0</v>
      </c>
      <c r="K224" t="n">
        <v>0</v>
      </c>
      <c r="L224" t="n">
        <v>0</v>
      </c>
      <c r="M224" t="n">
        <v>0</v>
      </c>
      <c r="N224" t="n">
        <v>0</v>
      </c>
      <c r="O224" t="n">
        <v>0</v>
      </c>
      <c r="P224" t="n">
        <v>0</v>
      </c>
      <c r="Q224" t="n">
        <v>0</v>
      </c>
      <c r="R224" s="2" t="inlineStr"/>
    </row>
    <row r="225" ht="15" customHeight="1">
      <c r="A225" t="inlineStr">
        <is>
          <t>A 10139-2019</t>
        </is>
      </c>
      <c r="B225" s="1" t="n">
        <v>43510</v>
      </c>
      <c r="C225" s="1" t="n">
        <v>45294</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12151-2019</t>
        </is>
      </c>
      <c r="B226" s="1" t="n">
        <v>43522</v>
      </c>
      <c r="C226" s="1" t="n">
        <v>45294</v>
      </c>
      <c r="D226" t="inlineStr">
        <is>
          <t>JÄMTLANDS LÄN</t>
        </is>
      </c>
      <c r="E226" t="inlineStr">
        <is>
          <t>HÄRJEDALEN</t>
        </is>
      </c>
      <c r="G226" t="n">
        <v>5.6</v>
      </c>
      <c r="H226" t="n">
        <v>0</v>
      </c>
      <c r="I226" t="n">
        <v>0</v>
      </c>
      <c r="J226" t="n">
        <v>0</v>
      </c>
      <c r="K226" t="n">
        <v>0</v>
      </c>
      <c r="L226" t="n">
        <v>0</v>
      </c>
      <c r="M226" t="n">
        <v>0</v>
      </c>
      <c r="N226" t="n">
        <v>0</v>
      </c>
      <c r="O226" t="n">
        <v>0</v>
      </c>
      <c r="P226" t="n">
        <v>0</v>
      </c>
      <c r="Q226" t="n">
        <v>0</v>
      </c>
      <c r="R226" s="2" t="inlineStr"/>
    </row>
    <row r="227" ht="15" customHeight="1">
      <c r="A227" t="inlineStr">
        <is>
          <t>A 12149-2019</t>
        </is>
      </c>
      <c r="B227" s="1" t="n">
        <v>43522</v>
      </c>
      <c r="C227" s="1" t="n">
        <v>45294</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12822-2019</t>
        </is>
      </c>
      <c r="B228" s="1" t="n">
        <v>43525</v>
      </c>
      <c r="C228" s="1" t="n">
        <v>45294</v>
      </c>
      <c r="D228" t="inlineStr">
        <is>
          <t>JÄMTLANDS LÄN</t>
        </is>
      </c>
      <c r="E228" t="inlineStr">
        <is>
          <t>HÄRJEDALEN</t>
        </is>
      </c>
      <c r="G228" t="n">
        <v>17.1</v>
      </c>
      <c r="H228" t="n">
        <v>0</v>
      </c>
      <c r="I228" t="n">
        <v>0</v>
      </c>
      <c r="J228" t="n">
        <v>0</v>
      </c>
      <c r="K228" t="n">
        <v>0</v>
      </c>
      <c r="L228" t="n">
        <v>0</v>
      </c>
      <c r="M228" t="n">
        <v>0</v>
      </c>
      <c r="N228" t="n">
        <v>0</v>
      </c>
      <c r="O228" t="n">
        <v>0</v>
      </c>
      <c r="P228" t="n">
        <v>0</v>
      </c>
      <c r="Q228" t="n">
        <v>0</v>
      </c>
      <c r="R228" s="2" t="inlineStr"/>
    </row>
    <row r="229" ht="15" customHeight="1">
      <c r="A229" t="inlineStr">
        <is>
          <t>A 12829-2019</t>
        </is>
      </c>
      <c r="B229" s="1" t="n">
        <v>43525</v>
      </c>
      <c r="C229" s="1" t="n">
        <v>45294</v>
      </c>
      <c r="D229" t="inlineStr">
        <is>
          <t>JÄMTLANDS LÄN</t>
        </is>
      </c>
      <c r="E229" t="inlineStr">
        <is>
          <t>HÄRJEDALEN</t>
        </is>
      </c>
      <c r="G229" t="n">
        <v>20.6</v>
      </c>
      <c r="H229" t="n">
        <v>0</v>
      </c>
      <c r="I229" t="n">
        <v>0</v>
      </c>
      <c r="J229" t="n">
        <v>0</v>
      </c>
      <c r="K229" t="n">
        <v>0</v>
      </c>
      <c r="L229" t="n">
        <v>0</v>
      </c>
      <c r="M229" t="n">
        <v>0</v>
      </c>
      <c r="N229" t="n">
        <v>0</v>
      </c>
      <c r="O229" t="n">
        <v>0</v>
      </c>
      <c r="P229" t="n">
        <v>0</v>
      </c>
      <c r="Q229" t="n">
        <v>0</v>
      </c>
      <c r="R229" s="2" t="inlineStr"/>
    </row>
    <row r="230" ht="15" customHeight="1">
      <c r="A230" t="inlineStr">
        <is>
          <t>A 12825-2019</t>
        </is>
      </c>
      <c r="B230" s="1" t="n">
        <v>43525</v>
      </c>
      <c r="C230" s="1" t="n">
        <v>45294</v>
      </c>
      <c r="D230" t="inlineStr">
        <is>
          <t>JÄMTLANDS LÄN</t>
        </is>
      </c>
      <c r="E230" t="inlineStr">
        <is>
          <t>HÄRJEDALEN</t>
        </is>
      </c>
      <c r="G230" t="n">
        <v>19.6</v>
      </c>
      <c r="H230" t="n">
        <v>0</v>
      </c>
      <c r="I230" t="n">
        <v>0</v>
      </c>
      <c r="J230" t="n">
        <v>0</v>
      </c>
      <c r="K230" t="n">
        <v>0</v>
      </c>
      <c r="L230" t="n">
        <v>0</v>
      </c>
      <c r="M230" t="n">
        <v>0</v>
      </c>
      <c r="N230" t="n">
        <v>0</v>
      </c>
      <c r="O230" t="n">
        <v>0</v>
      </c>
      <c r="P230" t="n">
        <v>0</v>
      </c>
      <c r="Q230" t="n">
        <v>0</v>
      </c>
      <c r="R230" s="2" t="inlineStr"/>
    </row>
    <row r="231" ht="15" customHeight="1">
      <c r="A231" t="inlineStr">
        <is>
          <t>A 12764-2019</t>
        </is>
      </c>
      <c r="B231" s="1" t="n">
        <v>43525</v>
      </c>
      <c r="C231" s="1" t="n">
        <v>45294</v>
      </c>
      <c r="D231" t="inlineStr">
        <is>
          <t>JÄMTLANDS LÄN</t>
        </is>
      </c>
      <c r="E231" t="inlineStr">
        <is>
          <t>HÄRJEDALEN</t>
        </is>
      </c>
      <c r="F231" t="inlineStr">
        <is>
          <t>Kyrkan</t>
        </is>
      </c>
      <c r="G231" t="n">
        <v>19.2</v>
      </c>
      <c r="H231" t="n">
        <v>0</v>
      </c>
      <c r="I231" t="n">
        <v>0</v>
      </c>
      <c r="J231" t="n">
        <v>0</v>
      </c>
      <c r="K231" t="n">
        <v>0</v>
      </c>
      <c r="L231" t="n">
        <v>0</v>
      </c>
      <c r="M231" t="n">
        <v>0</v>
      </c>
      <c r="N231" t="n">
        <v>0</v>
      </c>
      <c r="O231" t="n">
        <v>0</v>
      </c>
      <c r="P231" t="n">
        <v>0</v>
      </c>
      <c r="Q231" t="n">
        <v>0</v>
      </c>
      <c r="R231" s="2" t="inlineStr"/>
    </row>
    <row r="232" ht="15" customHeight="1">
      <c r="A232" t="inlineStr">
        <is>
          <t>A 13202-2019</t>
        </is>
      </c>
      <c r="B232" s="1" t="n">
        <v>43528</v>
      </c>
      <c r="C232" s="1" t="n">
        <v>45294</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13182-2019</t>
        </is>
      </c>
      <c r="B233" s="1" t="n">
        <v>43528</v>
      </c>
      <c r="C233" s="1" t="n">
        <v>45294</v>
      </c>
      <c r="D233" t="inlineStr">
        <is>
          <t>JÄMTLANDS LÄN</t>
        </is>
      </c>
      <c r="E233" t="inlineStr">
        <is>
          <t>HÄRJEDALEN</t>
        </is>
      </c>
      <c r="G233" t="n">
        <v>1.3</v>
      </c>
      <c r="H233" t="n">
        <v>0</v>
      </c>
      <c r="I233" t="n">
        <v>0</v>
      </c>
      <c r="J233" t="n">
        <v>0</v>
      </c>
      <c r="K233" t="n">
        <v>0</v>
      </c>
      <c r="L233" t="n">
        <v>0</v>
      </c>
      <c r="M233" t="n">
        <v>0</v>
      </c>
      <c r="N233" t="n">
        <v>0</v>
      </c>
      <c r="O233" t="n">
        <v>0</v>
      </c>
      <c r="P233" t="n">
        <v>0</v>
      </c>
      <c r="Q233" t="n">
        <v>0</v>
      </c>
      <c r="R233" s="2" t="inlineStr"/>
    </row>
    <row r="234" ht="15" customHeight="1">
      <c r="A234" t="inlineStr">
        <is>
          <t>A 14268-2019</t>
        </is>
      </c>
      <c r="B234" s="1" t="n">
        <v>43535</v>
      </c>
      <c r="C234" s="1" t="n">
        <v>45294</v>
      </c>
      <c r="D234" t="inlineStr">
        <is>
          <t>JÄMTLANDS LÄN</t>
        </is>
      </c>
      <c r="E234" t="inlineStr">
        <is>
          <t>HÄRJEDALEN</t>
        </is>
      </c>
      <c r="G234" t="n">
        <v>20.2</v>
      </c>
      <c r="H234" t="n">
        <v>0</v>
      </c>
      <c r="I234" t="n">
        <v>0</v>
      </c>
      <c r="J234" t="n">
        <v>0</v>
      </c>
      <c r="K234" t="n">
        <v>0</v>
      </c>
      <c r="L234" t="n">
        <v>0</v>
      </c>
      <c r="M234" t="n">
        <v>0</v>
      </c>
      <c r="N234" t="n">
        <v>0</v>
      </c>
      <c r="O234" t="n">
        <v>0</v>
      </c>
      <c r="P234" t="n">
        <v>0</v>
      </c>
      <c r="Q234" t="n">
        <v>0</v>
      </c>
      <c r="R234" s="2" t="inlineStr"/>
    </row>
    <row r="235" ht="15" customHeight="1">
      <c r="A235" t="inlineStr">
        <is>
          <t>A 15617-2019</t>
        </is>
      </c>
      <c r="B235" s="1" t="n">
        <v>43539</v>
      </c>
      <c r="C235" s="1" t="n">
        <v>45294</v>
      </c>
      <c r="D235" t="inlineStr">
        <is>
          <t>JÄMTLANDS LÄN</t>
        </is>
      </c>
      <c r="E235" t="inlineStr">
        <is>
          <t>HÄRJEDALEN</t>
        </is>
      </c>
      <c r="G235" t="n">
        <v>1.7</v>
      </c>
      <c r="H235" t="n">
        <v>0</v>
      </c>
      <c r="I235" t="n">
        <v>0</v>
      </c>
      <c r="J235" t="n">
        <v>0</v>
      </c>
      <c r="K235" t="n">
        <v>0</v>
      </c>
      <c r="L235" t="n">
        <v>0</v>
      </c>
      <c r="M235" t="n">
        <v>0</v>
      </c>
      <c r="N235" t="n">
        <v>0</v>
      </c>
      <c r="O235" t="n">
        <v>0</v>
      </c>
      <c r="P235" t="n">
        <v>0</v>
      </c>
      <c r="Q235" t="n">
        <v>0</v>
      </c>
      <c r="R235" s="2" t="inlineStr"/>
    </row>
    <row r="236" ht="15" customHeight="1">
      <c r="A236" t="inlineStr">
        <is>
          <t>A 15557-2019</t>
        </is>
      </c>
      <c r="B236" s="1" t="n">
        <v>43542</v>
      </c>
      <c r="C236" s="1" t="n">
        <v>45294</v>
      </c>
      <c r="D236" t="inlineStr">
        <is>
          <t>JÄMTLANDS LÄN</t>
        </is>
      </c>
      <c r="E236" t="inlineStr">
        <is>
          <t>HÄRJEDALEN</t>
        </is>
      </c>
      <c r="G236" t="n">
        <v>5.9</v>
      </c>
      <c r="H236" t="n">
        <v>0</v>
      </c>
      <c r="I236" t="n">
        <v>0</v>
      </c>
      <c r="J236" t="n">
        <v>0</v>
      </c>
      <c r="K236" t="n">
        <v>0</v>
      </c>
      <c r="L236" t="n">
        <v>0</v>
      </c>
      <c r="M236" t="n">
        <v>0</v>
      </c>
      <c r="N236" t="n">
        <v>0</v>
      </c>
      <c r="O236" t="n">
        <v>0</v>
      </c>
      <c r="P236" t="n">
        <v>0</v>
      </c>
      <c r="Q236" t="n">
        <v>0</v>
      </c>
      <c r="R236" s="2" t="inlineStr"/>
    </row>
    <row r="237" ht="15" customHeight="1">
      <c r="A237" t="inlineStr">
        <is>
          <t>A 16004-2019</t>
        </is>
      </c>
      <c r="B237" s="1" t="n">
        <v>43543</v>
      </c>
      <c r="C237" s="1" t="n">
        <v>45294</v>
      </c>
      <c r="D237" t="inlineStr">
        <is>
          <t>JÄMTLANDS LÄN</t>
        </is>
      </c>
      <c r="E237" t="inlineStr">
        <is>
          <t>HÄRJEDALEN</t>
        </is>
      </c>
      <c r="G237" t="n">
        <v>19.7</v>
      </c>
      <c r="H237" t="n">
        <v>0</v>
      </c>
      <c r="I237" t="n">
        <v>0</v>
      </c>
      <c r="J237" t="n">
        <v>0</v>
      </c>
      <c r="K237" t="n">
        <v>0</v>
      </c>
      <c r="L237" t="n">
        <v>0</v>
      </c>
      <c r="M237" t="n">
        <v>0</v>
      </c>
      <c r="N237" t="n">
        <v>0</v>
      </c>
      <c r="O237" t="n">
        <v>0</v>
      </c>
      <c r="P237" t="n">
        <v>0</v>
      </c>
      <c r="Q237" t="n">
        <v>0</v>
      </c>
      <c r="R237" s="2" t="inlineStr"/>
    </row>
    <row r="238" ht="15" customHeight="1">
      <c r="A238" t="inlineStr">
        <is>
          <t>A 16062-2019</t>
        </is>
      </c>
      <c r="B238" s="1" t="n">
        <v>43544</v>
      </c>
      <c r="C238" s="1" t="n">
        <v>45294</v>
      </c>
      <c r="D238" t="inlineStr">
        <is>
          <t>JÄMTLANDS LÄN</t>
        </is>
      </c>
      <c r="E238" t="inlineStr">
        <is>
          <t>HÄRJEDALEN</t>
        </is>
      </c>
      <c r="G238" t="n">
        <v>18.4</v>
      </c>
      <c r="H238" t="n">
        <v>0</v>
      </c>
      <c r="I238" t="n">
        <v>0</v>
      </c>
      <c r="J238" t="n">
        <v>0</v>
      </c>
      <c r="K238" t="n">
        <v>0</v>
      </c>
      <c r="L238" t="n">
        <v>0</v>
      </c>
      <c r="M238" t="n">
        <v>0</v>
      </c>
      <c r="N238" t="n">
        <v>0</v>
      </c>
      <c r="O238" t="n">
        <v>0</v>
      </c>
      <c r="P238" t="n">
        <v>0</v>
      </c>
      <c r="Q238" t="n">
        <v>0</v>
      </c>
      <c r="R238" s="2" t="inlineStr"/>
    </row>
    <row r="239" ht="15" customHeight="1">
      <c r="A239" t="inlineStr">
        <is>
          <t>A 17528-2019</t>
        </is>
      </c>
      <c r="B239" s="1" t="n">
        <v>43553</v>
      </c>
      <c r="C239" s="1" t="n">
        <v>45294</v>
      </c>
      <c r="D239" t="inlineStr">
        <is>
          <t>JÄMTLANDS LÄN</t>
        </is>
      </c>
      <c r="E239" t="inlineStr">
        <is>
          <t>HÄRJEDALEN</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17811-2019</t>
        </is>
      </c>
      <c r="B240" s="1" t="n">
        <v>43556</v>
      </c>
      <c r="C240" s="1" t="n">
        <v>45294</v>
      </c>
      <c r="D240" t="inlineStr">
        <is>
          <t>JÄMTLANDS LÄN</t>
        </is>
      </c>
      <c r="E240" t="inlineStr">
        <is>
          <t>HÄRJEDALEN</t>
        </is>
      </c>
      <c r="G240" t="n">
        <v>10.3</v>
      </c>
      <c r="H240" t="n">
        <v>0</v>
      </c>
      <c r="I240" t="n">
        <v>0</v>
      </c>
      <c r="J240" t="n">
        <v>0</v>
      </c>
      <c r="K240" t="n">
        <v>0</v>
      </c>
      <c r="L240" t="n">
        <v>0</v>
      </c>
      <c r="M240" t="n">
        <v>0</v>
      </c>
      <c r="N240" t="n">
        <v>0</v>
      </c>
      <c r="O240" t="n">
        <v>0</v>
      </c>
      <c r="P240" t="n">
        <v>0</v>
      </c>
      <c r="Q240" t="n">
        <v>0</v>
      </c>
      <c r="R240" s="2" t="inlineStr"/>
    </row>
    <row r="241" ht="15" customHeight="1">
      <c r="A241" t="inlineStr">
        <is>
          <t>A 17986-2019</t>
        </is>
      </c>
      <c r="B241" s="1" t="n">
        <v>43557</v>
      </c>
      <c r="C241" s="1" t="n">
        <v>45294</v>
      </c>
      <c r="D241" t="inlineStr">
        <is>
          <t>JÄMTLANDS LÄN</t>
        </is>
      </c>
      <c r="E241" t="inlineStr">
        <is>
          <t>HÄRJEDALEN</t>
        </is>
      </c>
      <c r="F241" t="inlineStr">
        <is>
          <t>Kyrkan</t>
        </is>
      </c>
      <c r="G241" t="n">
        <v>17.5</v>
      </c>
      <c r="H241" t="n">
        <v>0</v>
      </c>
      <c r="I241" t="n">
        <v>0</v>
      </c>
      <c r="J241" t="n">
        <v>0</v>
      </c>
      <c r="K241" t="n">
        <v>0</v>
      </c>
      <c r="L241" t="n">
        <v>0</v>
      </c>
      <c r="M241" t="n">
        <v>0</v>
      </c>
      <c r="N241" t="n">
        <v>0</v>
      </c>
      <c r="O241" t="n">
        <v>0</v>
      </c>
      <c r="P241" t="n">
        <v>0</v>
      </c>
      <c r="Q241" t="n">
        <v>0</v>
      </c>
      <c r="R241" s="2" t="inlineStr"/>
    </row>
    <row r="242" ht="15" customHeight="1">
      <c r="A242" t="inlineStr">
        <is>
          <t>A 17917-2019</t>
        </is>
      </c>
      <c r="B242" s="1" t="n">
        <v>43557</v>
      </c>
      <c r="C242" s="1" t="n">
        <v>45294</v>
      </c>
      <c r="D242" t="inlineStr">
        <is>
          <t>JÄMTLANDS LÄN</t>
        </is>
      </c>
      <c r="E242" t="inlineStr">
        <is>
          <t>HÄRJEDALEN</t>
        </is>
      </c>
      <c r="F242" t="inlineStr">
        <is>
          <t>Bergvik skog väst AB</t>
        </is>
      </c>
      <c r="G242" t="n">
        <v>166.3</v>
      </c>
      <c r="H242" t="n">
        <v>0</v>
      </c>
      <c r="I242" t="n">
        <v>0</v>
      </c>
      <c r="J242" t="n">
        <v>0</v>
      </c>
      <c r="K242" t="n">
        <v>0</v>
      </c>
      <c r="L242" t="n">
        <v>0</v>
      </c>
      <c r="M242" t="n">
        <v>0</v>
      </c>
      <c r="N242" t="n">
        <v>0</v>
      </c>
      <c r="O242" t="n">
        <v>0</v>
      </c>
      <c r="P242" t="n">
        <v>0</v>
      </c>
      <c r="Q242" t="n">
        <v>0</v>
      </c>
      <c r="R242" s="2" t="inlineStr"/>
    </row>
    <row r="243" ht="15" customHeight="1">
      <c r="A243" t="inlineStr">
        <is>
          <t>A 18539-2019</t>
        </is>
      </c>
      <c r="B243" s="1" t="n">
        <v>43559</v>
      </c>
      <c r="C243" s="1" t="n">
        <v>45294</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18648-2019</t>
        </is>
      </c>
      <c r="B244" s="1" t="n">
        <v>43560</v>
      </c>
      <c r="C244" s="1" t="n">
        <v>45294</v>
      </c>
      <c r="D244" t="inlineStr">
        <is>
          <t>JÄMTLANDS LÄN</t>
        </is>
      </c>
      <c r="E244" t="inlineStr">
        <is>
          <t>HÄRJEDALEN</t>
        </is>
      </c>
      <c r="G244" t="n">
        <v>5.5</v>
      </c>
      <c r="H244" t="n">
        <v>0</v>
      </c>
      <c r="I244" t="n">
        <v>0</v>
      </c>
      <c r="J244" t="n">
        <v>0</v>
      </c>
      <c r="K244" t="n">
        <v>0</v>
      </c>
      <c r="L244" t="n">
        <v>0</v>
      </c>
      <c r="M244" t="n">
        <v>0</v>
      </c>
      <c r="N244" t="n">
        <v>0</v>
      </c>
      <c r="O244" t="n">
        <v>0</v>
      </c>
      <c r="P244" t="n">
        <v>0</v>
      </c>
      <c r="Q244" t="n">
        <v>0</v>
      </c>
      <c r="R244" s="2" t="inlineStr"/>
    </row>
    <row r="245" ht="15" customHeight="1">
      <c r="A245" t="inlineStr">
        <is>
          <t>A 19114-2019</t>
        </is>
      </c>
      <c r="B245" s="1" t="n">
        <v>43563</v>
      </c>
      <c r="C245" s="1" t="n">
        <v>45294</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20063-2019</t>
        </is>
      </c>
      <c r="B246" s="1" t="n">
        <v>43567</v>
      </c>
      <c r="C246" s="1" t="n">
        <v>45294</v>
      </c>
      <c r="D246" t="inlineStr">
        <is>
          <t>JÄMTLANDS LÄN</t>
        </is>
      </c>
      <c r="E246" t="inlineStr">
        <is>
          <t>HÄRJEDALEN</t>
        </is>
      </c>
      <c r="F246" t="inlineStr">
        <is>
          <t>Bergvik skog väst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19864-2019</t>
        </is>
      </c>
      <c r="B247" s="1" t="n">
        <v>43567</v>
      </c>
      <c r="C247" s="1" t="n">
        <v>45294</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20403-2019</t>
        </is>
      </c>
      <c r="B248" s="1" t="n">
        <v>43571</v>
      </c>
      <c r="C248" s="1" t="n">
        <v>45294</v>
      </c>
      <c r="D248" t="inlineStr">
        <is>
          <t>JÄMTLANDS LÄN</t>
        </is>
      </c>
      <c r="E248" t="inlineStr">
        <is>
          <t>HÄRJEDALEN</t>
        </is>
      </c>
      <c r="F248" t="inlineStr">
        <is>
          <t>Bergvik skog väst AB</t>
        </is>
      </c>
      <c r="G248" t="n">
        <v>7.8</v>
      </c>
      <c r="H248" t="n">
        <v>0</v>
      </c>
      <c r="I248" t="n">
        <v>0</v>
      </c>
      <c r="J248" t="n">
        <v>0</v>
      </c>
      <c r="K248" t="n">
        <v>0</v>
      </c>
      <c r="L248" t="n">
        <v>0</v>
      </c>
      <c r="M248" t="n">
        <v>0</v>
      </c>
      <c r="N248" t="n">
        <v>0</v>
      </c>
      <c r="O248" t="n">
        <v>0</v>
      </c>
      <c r="P248" t="n">
        <v>0</v>
      </c>
      <c r="Q248" t="n">
        <v>0</v>
      </c>
      <c r="R248" s="2" t="inlineStr"/>
    </row>
    <row r="249" ht="15" customHeight="1">
      <c r="A249" t="inlineStr">
        <is>
          <t>A 20373-2019</t>
        </is>
      </c>
      <c r="B249" s="1" t="n">
        <v>43571</v>
      </c>
      <c r="C249" s="1" t="n">
        <v>45294</v>
      </c>
      <c r="D249" t="inlineStr">
        <is>
          <t>JÄMTLANDS LÄN</t>
        </is>
      </c>
      <c r="E249" t="inlineStr">
        <is>
          <t>HÄRJEDALEN</t>
        </is>
      </c>
      <c r="G249" t="n">
        <v>0.8</v>
      </c>
      <c r="H249" t="n">
        <v>0</v>
      </c>
      <c r="I249" t="n">
        <v>0</v>
      </c>
      <c r="J249" t="n">
        <v>0</v>
      </c>
      <c r="K249" t="n">
        <v>0</v>
      </c>
      <c r="L249" t="n">
        <v>0</v>
      </c>
      <c r="M249" t="n">
        <v>0</v>
      </c>
      <c r="N249" t="n">
        <v>0</v>
      </c>
      <c r="O249" t="n">
        <v>0</v>
      </c>
      <c r="P249" t="n">
        <v>0</v>
      </c>
      <c r="Q249" t="n">
        <v>0</v>
      </c>
      <c r="R249" s="2" t="inlineStr"/>
    </row>
    <row r="250" ht="15" customHeight="1">
      <c r="A250" t="inlineStr">
        <is>
          <t>A 20851-2019</t>
        </is>
      </c>
      <c r="B250" s="1" t="n">
        <v>43577</v>
      </c>
      <c r="C250" s="1" t="n">
        <v>45294</v>
      </c>
      <c r="D250" t="inlineStr">
        <is>
          <t>JÄMTLANDS LÄN</t>
        </is>
      </c>
      <c r="E250" t="inlineStr">
        <is>
          <t>HÄRJEDALEN</t>
        </is>
      </c>
      <c r="F250" t="inlineStr">
        <is>
          <t>Övriga Aktiebolag</t>
        </is>
      </c>
      <c r="G250" t="n">
        <v>7.5</v>
      </c>
      <c r="H250" t="n">
        <v>0</v>
      </c>
      <c r="I250" t="n">
        <v>0</v>
      </c>
      <c r="J250" t="n">
        <v>0</v>
      </c>
      <c r="K250" t="n">
        <v>0</v>
      </c>
      <c r="L250" t="n">
        <v>0</v>
      </c>
      <c r="M250" t="n">
        <v>0</v>
      </c>
      <c r="N250" t="n">
        <v>0</v>
      </c>
      <c r="O250" t="n">
        <v>0</v>
      </c>
      <c r="P250" t="n">
        <v>0</v>
      </c>
      <c r="Q250" t="n">
        <v>0</v>
      </c>
      <c r="R250" s="2" t="inlineStr"/>
    </row>
    <row r="251" ht="15" customHeight="1">
      <c r="A251" t="inlineStr">
        <is>
          <t>A 21040-2019</t>
        </is>
      </c>
      <c r="B251" s="1" t="n">
        <v>43578</v>
      </c>
      <c r="C251" s="1" t="n">
        <v>45294</v>
      </c>
      <c r="D251" t="inlineStr">
        <is>
          <t>JÄMTLANDS LÄN</t>
        </is>
      </c>
      <c r="E251" t="inlineStr">
        <is>
          <t>HÄRJEDALEN</t>
        </is>
      </c>
      <c r="G251" t="n">
        <v>0.8</v>
      </c>
      <c r="H251" t="n">
        <v>0</v>
      </c>
      <c r="I251" t="n">
        <v>0</v>
      </c>
      <c r="J251" t="n">
        <v>0</v>
      </c>
      <c r="K251" t="n">
        <v>0</v>
      </c>
      <c r="L251" t="n">
        <v>0</v>
      </c>
      <c r="M251" t="n">
        <v>0</v>
      </c>
      <c r="N251" t="n">
        <v>0</v>
      </c>
      <c r="O251" t="n">
        <v>0</v>
      </c>
      <c r="P251" t="n">
        <v>0</v>
      </c>
      <c r="Q251" t="n">
        <v>0</v>
      </c>
      <c r="R251" s="2" t="inlineStr"/>
    </row>
    <row r="252" ht="15" customHeight="1">
      <c r="A252" t="inlineStr">
        <is>
          <t>A 21189-2019</t>
        </is>
      </c>
      <c r="B252" s="1" t="n">
        <v>43579</v>
      </c>
      <c r="C252" s="1" t="n">
        <v>45294</v>
      </c>
      <c r="D252" t="inlineStr">
        <is>
          <t>JÄMTLANDS LÄN</t>
        </is>
      </c>
      <c r="E252" t="inlineStr">
        <is>
          <t>HÄRJEDALEN</t>
        </is>
      </c>
      <c r="G252" t="n">
        <v>2.3</v>
      </c>
      <c r="H252" t="n">
        <v>0</v>
      </c>
      <c r="I252" t="n">
        <v>0</v>
      </c>
      <c r="J252" t="n">
        <v>0</v>
      </c>
      <c r="K252" t="n">
        <v>0</v>
      </c>
      <c r="L252" t="n">
        <v>0</v>
      </c>
      <c r="M252" t="n">
        <v>0</v>
      </c>
      <c r="N252" t="n">
        <v>0</v>
      </c>
      <c r="O252" t="n">
        <v>0</v>
      </c>
      <c r="P252" t="n">
        <v>0</v>
      </c>
      <c r="Q252" t="n">
        <v>0</v>
      </c>
      <c r="R252" s="2" t="inlineStr"/>
    </row>
    <row r="253" ht="15" customHeight="1">
      <c r="A253" t="inlineStr">
        <is>
          <t>A 22622-2019</t>
        </is>
      </c>
      <c r="B253" s="1" t="n">
        <v>43588</v>
      </c>
      <c r="C253" s="1" t="n">
        <v>45294</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24030-2019</t>
        </is>
      </c>
      <c r="B254" s="1" t="n">
        <v>43598</v>
      </c>
      <c r="C254" s="1" t="n">
        <v>45294</v>
      </c>
      <c r="D254" t="inlineStr">
        <is>
          <t>JÄMTLANDS LÄN</t>
        </is>
      </c>
      <c r="E254" t="inlineStr">
        <is>
          <t>HÄRJEDALEN</t>
        </is>
      </c>
      <c r="F254" t="inlineStr">
        <is>
          <t>Sveaskog</t>
        </is>
      </c>
      <c r="G254" t="n">
        <v>39.9</v>
      </c>
      <c r="H254" t="n">
        <v>0</v>
      </c>
      <c r="I254" t="n">
        <v>0</v>
      </c>
      <c r="J254" t="n">
        <v>0</v>
      </c>
      <c r="K254" t="n">
        <v>0</v>
      </c>
      <c r="L254" t="n">
        <v>0</v>
      </c>
      <c r="M254" t="n">
        <v>0</v>
      </c>
      <c r="N254" t="n">
        <v>0</v>
      </c>
      <c r="O254" t="n">
        <v>0</v>
      </c>
      <c r="P254" t="n">
        <v>0</v>
      </c>
      <c r="Q254" t="n">
        <v>0</v>
      </c>
      <c r="R254" s="2" t="inlineStr"/>
    </row>
    <row r="255" ht="15" customHeight="1">
      <c r="A255" t="inlineStr">
        <is>
          <t>A 24760-2019</t>
        </is>
      </c>
      <c r="B255" s="1" t="n">
        <v>43601</v>
      </c>
      <c r="C255" s="1" t="n">
        <v>45294</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25309-2019</t>
        </is>
      </c>
      <c r="B256" s="1" t="n">
        <v>43605</v>
      </c>
      <c r="C256" s="1" t="n">
        <v>45294</v>
      </c>
      <c r="D256" t="inlineStr">
        <is>
          <t>JÄMTLANDS LÄN</t>
        </is>
      </c>
      <c r="E256" t="inlineStr">
        <is>
          <t>HÄRJEDALEN</t>
        </is>
      </c>
      <c r="G256" t="n">
        <v>0.1</v>
      </c>
      <c r="H256" t="n">
        <v>0</v>
      </c>
      <c r="I256" t="n">
        <v>0</v>
      </c>
      <c r="J256" t="n">
        <v>0</v>
      </c>
      <c r="K256" t="n">
        <v>0</v>
      </c>
      <c r="L256" t="n">
        <v>0</v>
      </c>
      <c r="M256" t="n">
        <v>0</v>
      </c>
      <c r="N256" t="n">
        <v>0</v>
      </c>
      <c r="O256" t="n">
        <v>0</v>
      </c>
      <c r="P256" t="n">
        <v>0</v>
      </c>
      <c r="Q256" t="n">
        <v>0</v>
      </c>
      <c r="R256" s="2" t="inlineStr"/>
    </row>
    <row r="257" ht="15" customHeight="1">
      <c r="A257" t="inlineStr">
        <is>
          <t>A 25470-2019</t>
        </is>
      </c>
      <c r="B257" s="1" t="n">
        <v>43606</v>
      </c>
      <c r="C257" s="1" t="n">
        <v>45294</v>
      </c>
      <c r="D257" t="inlineStr">
        <is>
          <t>JÄMTLANDS LÄN</t>
        </is>
      </c>
      <c r="E257" t="inlineStr">
        <is>
          <t>HÄRJEDALEN</t>
        </is>
      </c>
      <c r="G257" t="n">
        <v>36.8</v>
      </c>
      <c r="H257" t="n">
        <v>0</v>
      </c>
      <c r="I257" t="n">
        <v>0</v>
      </c>
      <c r="J257" t="n">
        <v>0</v>
      </c>
      <c r="K257" t="n">
        <v>0</v>
      </c>
      <c r="L257" t="n">
        <v>0</v>
      </c>
      <c r="M257" t="n">
        <v>0</v>
      </c>
      <c r="N257" t="n">
        <v>0</v>
      </c>
      <c r="O257" t="n">
        <v>0</v>
      </c>
      <c r="P257" t="n">
        <v>0</v>
      </c>
      <c r="Q257" t="n">
        <v>0</v>
      </c>
      <c r="R257" s="2" t="inlineStr"/>
    </row>
    <row r="258" ht="15" customHeight="1">
      <c r="A258" t="inlineStr">
        <is>
          <t>A 26166-2019</t>
        </is>
      </c>
      <c r="B258" s="1" t="n">
        <v>43609</v>
      </c>
      <c r="C258" s="1" t="n">
        <v>45294</v>
      </c>
      <c r="D258" t="inlineStr">
        <is>
          <t>JÄMTLANDS LÄN</t>
        </is>
      </c>
      <c r="E258" t="inlineStr">
        <is>
          <t>HÄRJEDALEN</t>
        </is>
      </c>
      <c r="G258" t="n">
        <v>85.2</v>
      </c>
      <c r="H258" t="n">
        <v>0</v>
      </c>
      <c r="I258" t="n">
        <v>0</v>
      </c>
      <c r="J258" t="n">
        <v>0</v>
      </c>
      <c r="K258" t="n">
        <v>0</v>
      </c>
      <c r="L258" t="n">
        <v>0</v>
      </c>
      <c r="M258" t="n">
        <v>0</v>
      </c>
      <c r="N258" t="n">
        <v>0</v>
      </c>
      <c r="O258" t="n">
        <v>0</v>
      </c>
      <c r="P258" t="n">
        <v>0</v>
      </c>
      <c r="Q258" t="n">
        <v>0</v>
      </c>
      <c r="R258" s="2" t="inlineStr"/>
    </row>
    <row r="259" ht="15" customHeight="1">
      <c r="A259" t="inlineStr">
        <is>
          <t>A 26310-2019</t>
        </is>
      </c>
      <c r="B259" s="1" t="n">
        <v>43612</v>
      </c>
      <c r="C259" s="1" t="n">
        <v>45294</v>
      </c>
      <c r="D259" t="inlineStr">
        <is>
          <t>JÄMTLANDS LÄN</t>
        </is>
      </c>
      <c r="E259" t="inlineStr">
        <is>
          <t>HÄRJEDALEN</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26423-2019</t>
        </is>
      </c>
      <c r="B260" s="1" t="n">
        <v>43612</v>
      </c>
      <c r="C260" s="1" t="n">
        <v>45294</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27683-2019</t>
        </is>
      </c>
      <c r="B261" s="1" t="n">
        <v>43619</v>
      </c>
      <c r="C261" s="1" t="n">
        <v>45294</v>
      </c>
      <c r="D261" t="inlineStr">
        <is>
          <t>JÄMTLANDS LÄN</t>
        </is>
      </c>
      <c r="E261" t="inlineStr">
        <is>
          <t>HÄRJEDALEN</t>
        </is>
      </c>
      <c r="G261" t="n">
        <v>5.4</v>
      </c>
      <c r="H261" t="n">
        <v>0</v>
      </c>
      <c r="I261" t="n">
        <v>0</v>
      </c>
      <c r="J261" t="n">
        <v>0</v>
      </c>
      <c r="K261" t="n">
        <v>0</v>
      </c>
      <c r="L261" t="n">
        <v>0</v>
      </c>
      <c r="M261" t="n">
        <v>0</v>
      </c>
      <c r="N261" t="n">
        <v>0</v>
      </c>
      <c r="O261" t="n">
        <v>0</v>
      </c>
      <c r="P261" t="n">
        <v>0</v>
      </c>
      <c r="Q261" t="n">
        <v>0</v>
      </c>
      <c r="R261" s="2" t="inlineStr"/>
    </row>
    <row r="262" ht="15" customHeight="1">
      <c r="A262" t="inlineStr">
        <is>
          <t>A 27903-2019</t>
        </is>
      </c>
      <c r="B262" s="1" t="n">
        <v>43620</v>
      </c>
      <c r="C262" s="1" t="n">
        <v>45294</v>
      </c>
      <c r="D262" t="inlineStr">
        <is>
          <t>JÄMTLANDS LÄN</t>
        </is>
      </c>
      <c r="E262" t="inlineStr">
        <is>
          <t>HÄRJEDALEN</t>
        </is>
      </c>
      <c r="G262" t="n">
        <v>22</v>
      </c>
      <c r="H262" t="n">
        <v>0</v>
      </c>
      <c r="I262" t="n">
        <v>0</v>
      </c>
      <c r="J262" t="n">
        <v>0</v>
      </c>
      <c r="K262" t="n">
        <v>0</v>
      </c>
      <c r="L262" t="n">
        <v>0</v>
      </c>
      <c r="M262" t="n">
        <v>0</v>
      </c>
      <c r="N262" t="n">
        <v>0</v>
      </c>
      <c r="O262" t="n">
        <v>0</v>
      </c>
      <c r="P262" t="n">
        <v>0</v>
      </c>
      <c r="Q262" t="n">
        <v>0</v>
      </c>
      <c r="R262" s="2" t="inlineStr"/>
    </row>
    <row r="263" ht="15" customHeight="1">
      <c r="A263" t="inlineStr">
        <is>
          <t>A 28312-2019</t>
        </is>
      </c>
      <c r="B263" s="1" t="n">
        <v>43623</v>
      </c>
      <c r="C263" s="1" t="n">
        <v>45294</v>
      </c>
      <c r="D263" t="inlineStr">
        <is>
          <t>JÄMTLANDS LÄN</t>
        </is>
      </c>
      <c r="E263" t="inlineStr">
        <is>
          <t>HÄRJEDALEN</t>
        </is>
      </c>
      <c r="G263" t="n">
        <v>6.5</v>
      </c>
      <c r="H263" t="n">
        <v>0</v>
      </c>
      <c r="I263" t="n">
        <v>0</v>
      </c>
      <c r="J263" t="n">
        <v>0</v>
      </c>
      <c r="K263" t="n">
        <v>0</v>
      </c>
      <c r="L263" t="n">
        <v>0</v>
      </c>
      <c r="M263" t="n">
        <v>0</v>
      </c>
      <c r="N263" t="n">
        <v>0</v>
      </c>
      <c r="O263" t="n">
        <v>0</v>
      </c>
      <c r="P263" t="n">
        <v>0</v>
      </c>
      <c r="Q263" t="n">
        <v>0</v>
      </c>
      <c r="R263" s="2" t="inlineStr"/>
    </row>
    <row r="264" ht="15" customHeight="1">
      <c r="A264" t="inlineStr">
        <is>
          <t>A 28326-2019</t>
        </is>
      </c>
      <c r="B264" s="1" t="n">
        <v>43623</v>
      </c>
      <c r="C264" s="1" t="n">
        <v>45294</v>
      </c>
      <c r="D264" t="inlineStr">
        <is>
          <t>JÄMTLANDS LÄN</t>
        </is>
      </c>
      <c r="E264" t="inlineStr">
        <is>
          <t>HÄRJEDALEN</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28513-2019</t>
        </is>
      </c>
      <c r="B265" s="1" t="n">
        <v>43626</v>
      </c>
      <c r="C265" s="1" t="n">
        <v>45294</v>
      </c>
      <c r="D265" t="inlineStr">
        <is>
          <t>JÄMTLANDS LÄN</t>
        </is>
      </c>
      <c r="E265" t="inlineStr">
        <is>
          <t>HÄRJEDALEN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29263-2019</t>
        </is>
      </c>
      <c r="B266" s="1" t="n">
        <v>43629</v>
      </c>
      <c r="C266" s="1" t="n">
        <v>45294</v>
      </c>
      <c r="D266" t="inlineStr">
        <is>
          <t>JÄMTLANDS LÄN</t>
        </is>
      </c>
      <c r="E266" t="inlineStr">
        <is>
          <t>HÄRJEDALEN</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29822-2019</t>
        </is>
      </c>
      <c r="B267" s="1" t="n">
        <v>43633</v>
      </c>
      <c r="C267" s="1" t="n">
        <v>45294</v>
      </c>
      <c r="D267" t="inlineStr">
        <is>
          <t>JÄMTLANDS LÄN</t>
        </is>
      </c>
      <c r="E267" t="inlineStr">
        <is>
          <t>HÄRJEDALEN</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34618-2019</t>
        </is>
      </c>
      <c r="B268" s="1" t="n">
        <v>43647</v>
      </c>
      <c r="C268" s="1" t="n">
        <v>45294</v>
      </c>
      <c r="D268" t="inlineStr">
        <is>
          <t>JÄMTLANDS LÄN</t>
        </is>
      </c>
      <c r="E268" t="inlineStr">
        <is>
          <t>HÄRJEDALEN</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32878-2019</t>
        </is>
      </c>
      <c r="B269" s="1" t="n">
        <v>43648</v>
      </c>
      <c r="C269" s="1" t="n">
        <v>45294</v>
      </c>
      <c r="D269" t="inlineStr">
        <is>
          <t>JÄMTLANDS LÄN</t>
        </is>
      </c>
      <c r="E269" t="inlineStr">
        <is>
          <t>HÄRJEDALEN</t>
        </is>
      </c>
      <c r="F269" t="inlineStr">
        <is>
          <t>Övriga Aktiebolag</t>
        </is>
      </c>
      <c r="G269" t="n">
        <v>91.8</v>
      </c>
      <c r="H269" t="n">
        <v>0</v>
      </c>
      <c r="I269" t="n">
        <v>0</v>
      </c>
      <c r="J269" t="n">
        <v>0</v>
      </c>
      <c r="K269" t="n">
        <v>0</v>
      </c>
      <c r="L269" t="n">
        <v>0</v>
      </c>
      <c r="M269" t="n">
        <v>0</v>
      </c>
      <c r="N269" t="n">
        <v>0</v>
      </c>
      <c r="O269" t="n">
        <v>0</v>
      </c>
      <c r="P269" t="n">
        <v>0</v>
      </c>
      <c r="Q269" t="n">
        <v>0</v>
      </c>
      <c r="R269" s="2" t="inlineStr"/>
    </row>
    <row r="270" ht="15" customHeight="1">
      <c r="A270" t="inlineStr">
        <is>
          <t>A 33496-2019</t>
        </is>
      </c>
      <c r="B270" s="1" t="n">
        <v>43651</v>
      </c>
      <c r="C270" s="1" t="n">
        <v>45294</v>
      </c>
      <c r="D270" t="inlineStr">
        <is>
          <t>JÄMTLANDS LÄN</t>
        </is>
      </c>
      <c r="E270" t="inlineStr">
        <is>
          <t>HÄRJEDALEN</t>
        </is>
      </c>
      <c r="G270" t="n">
        <v>3.6</v>
      </c>
      <c r="H270" t="n">
        <v>0</v>
      </c>
      <c r="I270" t="n">
        <v>0</v>
      </c>
      <c r="J270" t="n">
        <v>0</v>
      </c>
      <c r="K270" t="n">
        <v>0</v>
      </c>
      <c r="L270" t="n">
        <v>0</v>
      </c>
      <c r="M270" t="n">
        <v>0</v>
      </c>
      <c r="N270" t="n">
        <v>0</v>
      </c>
      <c r="O270" t="n">
        <v>0</v>
      </c>
      <c r="P270" t="n">
        <v>0</v>
      </c>
      <c r="Q270" t="n">
        <v>0</v>
      </c>
      <c r="R270" s="2" t="inlineStr"/>
    </row>
    <row r="271" ht="15" customHeight="1">
      <c r="A271" t="inlineStr">
        <is>
          <t>A 33497-2019</t>
        </is>
      </c>
      <c r="B271" s="1" t="n">
        <v>43651</v>
      </c>
      <c r="C271" s="1" t="n">
        <v>45294</v>
      </c>
      <c r="D271" t="inlineStr">
        <is>
          <t>JÄMTLANDS LÄN</t>
        </is>
      </c>
      <c r="E271" t="inlineStr">
        <is>
          <t>HÄRJEDALEN</t>
        </is>
      </c>
      <c r="G271" t="n">
        <v>1.9</v>
      </c>
      <c r="H271" t="n">
        <v>0</v>
      </c>
      <c r="I271" t="n">
        <v>0</v>
      </c>
      <c r="J271" t="n">
        <v>0</v>
      </c>
      <c r="K271" t="n">
        <v>0</v>
      </c>
      <c r="L271" t="n">
        <v>0</v>
      </c>
      <c r="M271" t="n">
        <v>0</v>
      </c>
      <c r="N271" t="n">
        <v>0</v>
      </c>
      <c r="O271" t="n">
        <v>0</v>
      </c>
      <c r="P271" t="n">
        <v>0</v>
      </c>
      <c r="Q271" t="n">
        <v>0</v>
      </c>
      <c r="R271" s="2" t="inlineStr"/>
    </row>
    <row r="272" ht="15" customHeight="1">
      <c r="A272" t="inlineStr">
        <is>
          <t>A 34688-2019</t>
        </is>
      </c>
      <c r="B272" s="1" t="n">
        <v>43657</v>
      </c>
      <c r="C272" s="1" t="n">
        <v>45294</v>
      </c>
      <c r="D272" t="inlineStr">
        <is>
          <t>JÄMTLANDS LÄN</t>
        </is>
      </c>
      <c r="E272" t="inlineStr">
        <is>
          <t>HÄRJEDALEN</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34805-2019</t>
        </is>
      </c>
      <c r="B273" s="1" t="n">
        <v>43658</v>
      </c>
      <c r="C273" s="1" t="n">
        <v>45294</v>
      </c>
      <c r="D273" t="inlineStr">
        <is>
          <t>JÄMTLANDS LÄN</t>
        </is>
      </c>
      <c r="E273" t="inlineStr">
        <is>
          <t>HÄRJEDALEN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35160-2019</t>
        </is>
      </c>
      <c r="B274" s="1" t="n">
        <v>43661</v>
      </c>
      <c r="C274" s="1" t="n">
        <v>45294</v>
      </c>
      <c r="D274" t="inlineStr">
        <is>
          <t>JÄMTLANDS LÄN</t>
        </is>
      </c>
      <c r="E274" t="inlineStr">
        <is>
          <t>HÄRJEDALEN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36343-2019</t>
        </is>
      </c>
      <c r="B275" s="1" t="n">
        <v>43662</v>
      </c>
      <c r="C275" s="1" t="n">
        <v>45294</v>
      </c>
      <c r="D275" t="inlineStr">
        <is>
          <t>JÄMTLANDS LÄN</t>
        </is>
      </c>
      <c r="E275" t="inlineStr">
        <is>
          <t>HÄRJEDALEN</t>
        </is>
      </c>
      <c r="G275" t="n">
        <v>8</v>
      </c>
      <c r="H275" t="n">
        <v>0</v>
      </c>
      <c r="I275" t="n">
        <v>0</v>
      </c>
      <c r="J275" t="n">
        <v>0</v>
      </c>
      <c r="K275" t="n">
        <v>0</v>
      </c>
      <c r="L275" t="n">
        <v>0</v>
      </c>
      <c r="M275" t="n">
        <v>0</v>
      </c>
      <c r="N275" t="n">
        <v>0</v>
      </c>
      <c r="O275" t="n">
        <v>0</v>
      </c>
      <c r="P275" t="n">
        <v>0</v>
      </c>
      <c r="Q275" t="n">
        <v>0</v>
      </c>
      <c r="R275" s="2" t="inlineStr"/>
    </row>
    <row r="276" ht="15" customHeight="1">
      <c r="A276" t="inlineStr">
        <is>
          <t>A 38283-2019</t>
        </is>
      </c>
      <c r="B276" s="1" t="n">
        <v>43684</v>
      </c>
      <c r="C276" s="1" t="n">
        <v>45294</v>
      </c>
      <c r="D276" t="inlineStr">
        <is>
          <t>JÄMTLANDS LÄN</t>
        </is>
      </c>
      <c r="E276" t="inlineStr">
        <is>
          <t>HÄRJEDALEN</t>
        </is>
      </c>
      <c r="F276" t="inlineStr">
        <is>
          <t>Bergvik skog väst AB</t>
        </is>
      </c>
      <c r="G276" t="n">
        <v>29.5</v>
      </c>
      <c r="H276" t="n">
        <v>0</v>
      </c>
      <c r="I276" t="n">
        <v>0</v>
      </c>
      <c r="J276" t="n">
        <v>0</v>
      </c>
      <c r="K276" t="n">
        <v>0</v>
      </c>
      <c r="L276" t="n">
        <v>0</v>
      </c>
      <c r="M276" t="n">
        <v>0</v>
      </c>
      <c r="N276" t="n">
        <v>0</v>
      </c>
      <c r="O276" t="n">
        <v>0</v>
      </c>
      <c r="P276" t="n">
        <v>0</v>
      </c>
      <c r="Q276" t="n">
        <v>0</v>
      </c>
      <c r="R276" s="2" t="inlineStr"/>
    </row>
    <row r="277" ht="15" customHeight="1">
      <c r="A277" t="inlineStr">
        <is>
          <t>A 38859-2019</t>
        </is>
      </c>
      <c r="B277" s="1" t="n">
        <v>43689</v>
      </c>
      <c r="C277" s="1" t="n">
        <v>45294</v>
      </c>
      <c r="D277" t="inlineStr">
        <is>
          <t>JÄMTLANDS LÄN</t>
        </is>
      </c>
      <c r="E277" t="inlineStr">
        <is>
          <t>HÄRJEDALEN</t>
        </is>
      </c>
      <c r="G277" t="n">
        <v>0.9</v>
      </c>
      <c r="H277" t="n">
        <v>0</v>
      </c>
      <c r="I277" t="n">
        <v>0</v>
      </c>
      <c r="J277" t="n">
        <v>0</v>
      </c>
      <c r="K277" t="n">
        <v>0</v>
      </c>
      <c r="L277" t="n">
        <v>0</v>
      </c>
      <c r="M277" t="n">
        <v>0</v>
      </c>
      <c r="N277" t="n">
        <v>0</v>
      </c>
      <c r="O277" t="n">
        <v>0</v>
      </c>
      <c r="P277" t="n">
        <v>0</v>
      </c>
      <c r="Q277" t="n">
        <v>0</v>
      </c>
      <c r="R277" s="2" t="inlineStr"/>
    </row>
    <row r="278" ht="15" customHeight="1">
      <c r="A278" t="inlineStr">
        <is>
          <t>A 38884-2019</t>
        </is>
      </c>
      <c r="B278" s="1" t="n">
        <v>43689</v>
      </c>
      <c r="C278" s="1" t="n">
        <v>45294</v>
      </c>
      <c r="D278" t="inlineStr">
        <is>
          <t>JÄMTLANDS LÄN</t>
        </is>
      </c>
      <c r="E278" t="inlineStr">
        <is>
          <t>HÄRJEDALEN</t>
        </is>
      </c>
      <c r="G278" t="n">
        <v>2.5</v>
      </c>
      <c r="H278" t="n">
        <v>0</v>
      </c>
      <c r="I278" t="n">
        <v>0</v>
      </c>
      <c r="J278" t="n">
        <v>0</v>
      </c>
      <c r="K278" t="n">
        <v>0</v>
      </c>
      <c r="L278" t="n">
        <v>0</v>
      </c>
      <c r="M278" t="n">
        <v>0</v>
      </c>
      <c r="N278" t="n">
        <v>0</v>
      </c>
      <c r="O278" t="n">
        <v>0</v>
      </c>
      <c r="P278" t="n">
        <v>0</v>
      </c>
      <c r="Q278" t="n">
        <v>0</v>
      </c>
      <c r="R278" s="2" t="inlineStr"/>
    </row>
    <row r="279" ht="15" customHeight="1">
      <c r="A279" t="inlineStr">
        <is>
          <t>A 40244-2019</t>
        </is>
      </c>
      <c r="B279" s="1" t="n">
        <v>43694</v>
      </c>
      <c r="C279" s="1" t="n">
        <v>45294</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42123-2019</t>
        </is>
      </c>
      <c r="B280" s="1" t="n">
        <v>43703</v>
      </c>
      <c r="C280" s="1" t="n">
        <v>45294</v>
      </c>
      <c r="D280" t="inlineStr">
        <is>
          <t>JÄMTLANDS LÄN</t>
        </is>
      </c>
      <c r="E280" t="inlineStr">
        <is>
          <t>HÄRJEDALEN</t>
        </is>
      </c>
      <c r="G280" t="n">
        <v>1.8</v>
      </c>
      <c r="H280" t="n">
        <v>0</v>
      </c>
      <c r="I280" t="n">
        <v>0</v>
      </c>
      <c r="J280" t="n">
        <v>0</v>
      </c>
      <c r="K280" t="n">
        <v>0</v>
      </c>
      <c r="L280" t="n">
        <v>0</v>
      </c>
      <c r="M280" t="n">
        <v>0</v>
      </c>
      <c r="N280" t="n">
        <v>0</v>
      </c>
      <c r="O280" t="n">
        <v>0</v>
      </c>
      <c r="P280" t="n">
        <v>0</v>
      </c>
      <c r="Q280" t="n">
        <v>0</v>
      </c>
      <c r="R280" s="2" t="inlineStr"/>
    </row>
    <row r="281" ht="15" customHeight="1">
      <c r="A281" t="inlineStr">
        <is>
          <t>A 43103-2019</t>
        </is>
      </c>
      <c r="B281" s="1" t="n">
        <v>43705</v>
      </c>
      <c r="C281" s="1" t="n">
        <v>45294</v>
      </c>
      <c r="D281" t="inlineStr">
        <is>
          <t>JÄMTLANDS LÄN</t>
        </is>
      </c>
      <c r="E281" t="inlineStr">
        <is>
          <t>HÄRJEDALEN</t>
        </is>
      </c>
      <c r="G281" t="n">
        <v>38.6</v>
      </c>
      <c r="H281" t="n">
        <v>0</v>
      </c>
      <c r="I281" t="n">
        <v>0</v>
      </c>
      <c r="J281" t="n">
        <v>0</v>
      </c>
      <c r="K281" t="n">
        <v>0</v>
      </c>
      <c r="L281" t="n">
        <v>0</v>
      </c>
      <c r="M281" t="n">
        <v>0</v>
      </c>
      <c r="N281" t="n">
        <v>0</v>
      </c>
      <c r="O281" t="n">
        <v>0</v>
      </c>
      <c r="P281" t="n">
        <v>0</v>
      </c>
      <c r="Q281" t="n">
        <v>0</v>
      </c>
      <c r="R281" s="2" t="inlineStr"/>
    </row>
    <row r="282" ht="15" customHeight="1">
      <c r="A282" t="inlineStr">
        <is>
          <t>A 43142-2019</t>
        </is>
      </c>
      <c r="B282" s="1" t="n">
        <v>43705</v>
      </c>
      <c r="C282" s="1" t="n">
        <v>45294</v>
      </c>
      <c r="D282" t="inlineStr">
        <is>
          <t>JÄMTLANDS LÄN</t>
        </is>
      </c>
      <c r="E282" t="inlineStr">
        <is>
          <t>HÄRJEDALEN</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43649-2019</t>
        </is>
      </c>
      <c r="B283" s="1" t="n">
        <v>43707</v>
      </c>
      <c r="C283" s="1" t="n">
        <v>45294</v>
      </c>
      <c r="D283" t="inlineStr">
        <is>
          <t>JÄMTLANDS LÄN</t>
        </is>
      </c>
      <c r="E283" t="inlineStr">
        <is>
          <t>HÄRJEDALEN</t>
        </is>
      </c>
      <c r="F283" t="inlineStr">
        <is>
          <t>Sveaskog</t>
        </is>
      </c>
      <c r="G283" t="n">
        <v>6.7</v>
      </c>
      <c r="H283" t="n">
        <v>0</v>
      </c>
      <c r="I283" t="n">
        <v>0</v>
      </c>
      <c r="J283" t="n">
        <v>0</v>
      </c>
      <c r="K283" t="n">
        <v>0</v>
      </c>
      <c r="L283" t="n">
        <v>0</v>
      </c>
      <c r="M283" t="n">
        <v>0</v>
      </c>
      <c r="N283" t="n">
        <v>0</v>
      </c>
      <c r="O283" t="n">
        <v>0</v>
      </c>
      <c r="P283" t="n">
        <v>0</v>
      </c>
      <c r="Q283" t="n">
        <v>0</v>
      </c>
      <c r="R283" s="2" t="inlineStr"/>
    </row>
    <row r="284" ht="15" customHeight="1">
      <c r="A284" t="inlineStr">
        <is>
          <t>A 43896-2019</t>
        </is>
      </c>
      <c r="B284" s="1" t="n">
        <v>43707</v>
      </c>
      <c r="C284" s="1" t="n">
        <v>45294</v>
      </c>
      <c r="D284" t="inlineStr">
        <is>
          <t>JÄMTLANDS LÄN</t>
        </is>
      </c>
      <c r="E284" t="inlineStr">
        <is>
          <t>HÄRJEDALEN</t>
        </is>
      </c>
      <c r="F284" t="inlineStr">
        <is>
          <t>Sveaskog</t>
        </is>
      </c>
      <c r="G284" t="n">
        <v>4.2</v>
      </c>
      <c r="H284" t="n">
        <v>0</v>
      </c>
      <c r="I284" t="n">
        <v>0</v>
      </c>
      <c r="J284" t="n">
        <v>0</v>
      </c>
      <c r="K284" t="n">
        <v>0</v>
      </c>
      <c r="L284" t="n">
        <v>0</v>
      </c>
      <c r="M284" t="n">
        <v>0</v>
      </c>
      <c r="N284" t="n">
        <v>0</v>
      </c>
      <c r="O284" t="n">
        <v>0</v>
      </c>
      <c r="P284" t="n">
        <v>0</v>
      </c>
      <c r="Q284" t="n">
        <v>0</v>
      </c>
      <c r="R284" s="2" t="inlineStr"/>
    </row>
    <row r="285" ht="15" customHeight="1">
      <c r="A285" t="inlineStr">
        <is>
          <t>A 45167-2019</t>
        </is>
      </c>
      <c r="B285" s="1" t="n">
        <v>43713</v>
      </c>
      <c r="C285" s="1" t="n">
        <v>45294</v>
      </c>
      <c r="D285" t="inlineStr">
        <is>
          <t>JÄMTLANDS LÄN</t>
        </is>
      </c>
      <c r="E285" t="inlineStr">
        <is>
          <t>HÄRJEDALEN</t>
        </is>
      </c>
      <c r="F285" t="inlineStr">
        <is>
          <t>Holmen skog AB</t>
        </is>
      </c>
      <c r="G285" t="n">
        <v>15.9</v>
      </c>
      <c r="H285" t="n">
        <v>0</v>
      </c>
      <c r="I285" t="n">
        <v>0</v>
      </c>
      <c r="J285" t="n">
        <v>0</v>
      </c>
      <c r="K285" t="n">
        <v>0</v>
      </c>
      <c r="L285" t="n">
        <v>0</v>
      </c>
      <c r="M285" t="n">
        <v>0</v>
      </c>
      <c r="N285" t="n">
        <v>0</v>
      </c>
      <c r="O285" t="n">
        <v>0</v>
      </c>
      <c r="P285" t="n">
        <v>0</v>
      </c>
      <c r="Q285" t="n">
        <v>0</v>
      </c>
      <c r="R285" s="2" t="inlineStr"/>
    </row>
    <row r="286" ht="15" customHeight="1">
      <c r="A286" t="inlineStr">
        <is>
          <t>A 44939-2019</t>
        </is>
      </c>
      <c r="B286" s="1" t="n">
        <v>43713</v>
      </c>
      <c r="C286" s="1" t="n">
        <v>45294</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45858-2019</t>
        </is>
      </c>
      <c r="B287" s="1" t="n">
        <v>43717</v>
      </c>
      <c r="C287" s="1" t="n">
        <v>45294</v>
      </c>
      <c r="D287" t="inlineStr">
        <is>
          <t>JÄMTLANDS LÄN</t>
        </is>
      </c>
      <c r="E287" t="inlineStr">
        <is>
          <t>HÄRJEDALEN</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45781-2019</t>
        </is>
      </c>
      <c r="B288" s="1" t="n">
        <v>43717</v>
      </c>
      <c r="C288" s="1" t="n">
        <v>45294</v>
      </c>
      <c r="D288" t="inlineStr">
        <is>
          <t>JÄMTLANDS LÄN</t>
        </is>
      </c>
      <c r="E288" t="inlineStr">
        <is>
          <t>HÄRJEDALEN</t>
        </is>
      </c>
      <c r="F288" t="inlineStr">
        <is>
          <t>Holmen skog AB</t>
        </is>
      </c>
      <c r="G288" t="n">
        <v>13.8</v>
      </c>
      <c r="H288" t="n">
        <v>0</v>
      </c>
      <c r="I288" t="n">
        <v>0</v>
      </c>
      <c r="J288" t="n">
        <v>0</v>
      </c>
      <c r="K288" t="n">
        <v>0</v>
      </c>
      <c r="L288" t="n">
        <v>0</v>
      </c>
      <c r="M288" t="n">
        <v>0</v>
      </c>
      <c r="N288" t="n">
        <v>0</v>
      </c>
      <c r="O288" t="n">
        <v>0</v>
      </c>
      <c r="P288" t="n">
        <v>0</v>
      </c>
      <c r="Q288" t="n">
        <v>0</v>
      </c>
      <c r="R288" s="2" t="inlineStr"/>
    </row>
    <row r="289" ht="15" customHeight="1">
      <c r="A289" t="inlineStr">
        <is>
          <t>A 46156-2019</t>
        </is>
      </c>
      <c r="B289" s="1" t="n">
        <v>43718</v>
      </c>
      <c r="C289" s="1" t="n">
        <v>45294</v>
      </c>
      <c r="D289" t="inlineStr">
        <is>
          <t>JÄMTLANDS LÄN</t>
        </is>
      </c>
      <c r="E289" t="inlineStr">
        <is>
          <t>HÄRJEDALEN</t>
        </is>
      </c>
      <c r="G289" t="n">
        <v>3.9</v>
      </c>
      <c r="H289" t="n">
        <v>0</v>
      </c>
      <c r="I289" t="n">
        <v>0</v>
      </c>
      <c r="J289" t="n">
        <v>0</v>
      </c>
      <c r="K289" t="n">
        <v>0</v>
      </c>
      <c r="L289" t="n">
        <v>0</v>
      </c>
      <c r="M289" t="n">
        <v>0</v>
      </c>
      <c r="N289" t="n">
        <v>0</v>
      </c>
      <c r="O289" t="n">
        <v>0</v>
      </c>
      <c r="P289" t="n">
        <v>0</v>
      </c>
      <c r="Q289" t="n">
        <v>0</v>
      </c>
      <c r="R289" s="2" t="inlineStr"/>
    </row>
    <row r="290" ht="15" customHeight="1">
      <c r="A290" t="inlineStr">
        <is>
          <t>A 46133-2019</t>
        </is>
      </c>
      <c r="B290" s="1" t="n">
        <v>43718</v>
      </c>
      <c r="C290" s="1" t="n">
        <v>45294</v>
      </c>
      <c r="D290" t="inlineStr">
        <is>
          <t>JÄMTLANDS LÄN</t>
        </is>
      </c>
      <c r="E290" t="inlineStr">
        <is>
          <t>HÄRJEDALEN</t>
        </is>
      </c>
      <c r="G290" t="n">
        <v>17.6</v>
      </c>
      <c r="H290" t="n">
        <v>0</v>
      </c>
      <c r="I290" t="n">
        <v>0</v>
      </c>
      <c r="J290" t="n">
        <v>0</v>
      </c>
      <c r="K290" t="n">
        <v>0</v>
      </c>
      <c r="L290" t="n">
        <v>0</v>
      </c>
      <c r="M290" t="n">
        <v>0</v>
      </c>
      <c r="N290" t="n">
        <v>0</v>
      </c>
      <c r="O290" t="n">
        <v>0</v>
      </c>
      <c r="P290" t="n">
        <v>0</v>
      </c>
      <c r="Q290" t="n">
        <v>0</v>
      </c>
      <c r="R290" s="2" t="inlineStr"/>
    </row>
    <row r="291" ht="15" customHeight="1">
      <c r="A291" t="inlineStr">
        <is>
          <t>A 46163-2019</t>
        </is>
      </c>
      <c r="B291" s="1" t="n">
        <v>43718</v>
      </c>
      <c r="C291" s="1" t="n">
        <v>45294</v>
      </c>
      <c r="D291" t="inlineStr">
        <is>
          <t>JÄMTLANDS LÄN</t>
        </is>
      </c>
      <c r="E291" t="inlineStr">
        <is>
          <t>HÄRJEDALEN</t>
        </is>
      </c>
      <c r="G291" t="n">
        <v>28.9</v>
      </c>
      <c r="H291" t="n">
        <v>0</v>
      </c>
      <c r="I291" t="n">
        <v>0</v>
      </c>
      <c r="J291" t="n">
        <v>0</v>
      </c>
      <c r="K291" t="n">
        <v>0</v>
      </c>
      <c r="L291" t="n">
        <v>0</v>
      </c>
      <c r="M291" t="n">
        <v>0</v>
      </c>
      <c r="N291" t="n">
        <v>0</v>
      </c>
      <c r="O291" t="n">
        <v>0</v>
      </c>
      <c r="P291" t="n">
        <v>0</v>
      </c>
      <c r="Q291" t="n">
        <v>0</v>
      </c>
      <c r="R291" s="2" t="inlineStr"/>
    </row>
    <row r="292" ht="15" customHeight="1">
      <c r="A292" t="inlineStr">
        <is>
          <t>A 47004-2019</t>
        </is>
      </c>
      <c r="B292" s="1" t="n">
        <v>43720</v>
      </c>
      <c r="C292" s="1" t="n">
        <v>45294</v>
      </c>
      <c r="D292" t="inlineStr">
        <is>
          <t>JÄMTLANDS LÄN</t>
        </is>
      </c>
      <c r="E292" t="inlineStr">
        <is>
          <t>HÄRJEDALEN</t>
        </is>
      </c>
      <c r="F292" t="inlineStr">
        <is>
          <t>Bergvik skog väst AB</t>
        </is>
      </c>
      <c r="G292" t="n">
        <v>13.7</v>
      </c>
      <c r="H292" t="n">
        <v>0</v>
      </c>
      <c r="I292" t="n">
        <v>0</v>
      </c>
      <c r="J292" t="n">
        <v>0</v>
      </c>
      <c r="K292" t="n">
        <v>0</v>
      </c>
      <c r="L292" t="n">
        <v>0</v>
      </c>
      <c r="M292" t="n">
        <v>0</v>
      </c>
      <c r="N292" t="n">
        <v>0</v>
      </c>
      <c r="O292" t="n">
        <v>0</v>
      </c>
      <c r="P292" t="n">
        <v>0</v>
      </c>
      <c r="Q292" t="n">
        <v>0</v>
      </c>
      <c r="R292" s="2" t="inlineStr"/>
    </row>
    <row r="293" ht="15" customHeight="1">
      <c r="A293" t="inlineStr">
        <is>
          <t>A 49328-2019</t>
        </is>
      </c>
      <c r="B293" s="1" t="n">
        <v>43731</v>
      </c>
      <c r="C293" s="1" t="n">
        <v>45294</v>
      </c>
      <c r="D293" t="inlineStr">
        <is>
          <t>JÄMTLANDS LÄN</t>
        </is>
      </c>
      <c r="E293" t="inlineStr">
        <is>
          <t>HÄRJEDALEN</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49336-2019</t>
        </is>
      </c>
      <c r="B294" s="1" t="n">
        <v>43731</v>
      </c>
      <c r="C294" s="1" t="n">
        <v>45294</v>
      </c>
      <c r="D294" t="inlineStr">
        <is>
          <t>JÄMTLANDS LÄN</t>
        </is>
      </c>
      <c r="E294" t="inlineStr">
        <is>
          <t>HÄRJEDALEN</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50310-2019</t>
        </is>
      </c>
      <c r="B295" s="1" t="n">
        <v>43735</v>
      </c>
      <c r="C295" s="1" t="n">
        <v>45294</v>
      </c>
      <c r="D295" t="inlineStr">
        <is>
          <t>JÄMTLANDS LÄN</t>
        </is>
      </c>
      <c r="E295" t="inlineStr">
        <is>
          <t>HÄRJEDALEN</t>
        </is>
      </c>
      <c r="G295" t="n">
        <v>9.1</v>
      </c>
      <c r="H295" t="n">
        <v>0</v>
      </c>
      <c r="I295" t="n">
        <v>0</v>
      </c>
      <c r="J295" t="n">
        <v>0</v>
      </c>
      <c r="K295" t="n">
        <v>0</v>
      </c>
      <c r="L295" t="n">
        <v>0</v>
      </c>
      <c r="M295" t="n">
        <v>0</v>
      </c>
      <c r="N295" t="n">
        <v>0</v>
      </c>
      <c r="O295" t="n">
        <v>0</v>
      </c>
      <c r="P295" t="n">
        <v>0</v>
      </c>
      <c r="Q295" t="n">
        <v>0</v>
      </c>
      <c r="R295" s="2" t="inlineStr"/>
    </row>
    <row r="296" ht="15" customHeight="1">
      <c r="A296" t="inlineStr">
        <is>
          <t>A 50411-2019</t>
        </is>
      </c>
      <c r="B296" s="1" t="n">
        <v>43735</v>
      </c>
      <c r="C296" s="1" t="n">
        <v>45294</v>
      </c>
      <c r="D296" t="inlineStr">
        <is>
          <t>JÄMTLANDS LÄN</t>
        </is>
      </c>
      <c r="E296" t="inlineStr">
        <is>
          <t>HÄRJEDALEN</t>
        </is>
      </c>
      <c r="F296" t="inlineStr">
        <is>
          <t>Sveaskog</t>
        </is>
      </c>
      <c r="G296" t="n">
        <v>7</v>
      </c>
      <c r="H296" t="n">
        <v>0</v>
      </c>
      <c r="I296" t="n">
        <v>0</v>
      </c>
      <c r="J296" t="n">
        <v>0</v>
      </c>
      <c r="K296" t="n">
        <v>0</v>
      </c>
      <c r="L296" t="n">
        <v>0</v>
      </c>
      <c r="M296" t="n">
        <v>0</v>
      </c>
      <c r="N296" t="n">
        <v>0</v>
      </c>
      <c r="O296" t="n">
        <v>0</v>
      </c>
      <c r="P296" t="n">
        <v>0</v>
      </c>
      <c r="Q296" t="n">
        <v>0</v>
      </c>
      <c r="R296" s="2" t="inlineStr"/>
    </row>
    <row r="297" ht="15" customHeight="1">
      <c r="A297" t="inlineStr">
        <is>
          <t>A 50519-2019</t>
        </is>
      </c>
      <c r="B297" s="1" t="n">
        <v>43735</v>
      </c>
      <c r="C297" s="1" t="n">
        <v>45294</v>
      </c>
      <c r="D297" t="inlineStr">
        <is>
          <t>JÄMTLANDS LÄN</t>
        </is>
      </c>
      <c r="E297" t="inlineStr">
        <is>
          <t>HÄRJEDALEN</t>
        </is>
      </c>
      <c r="G297" t="n">
        <v>4.2</v>
      </c>
      <c r="H297" t="n">
        <v>0</v>
      </c>
      <c r="I297" t="n">
        <v>0</v>
      </c>
      <c r="J297" t="n">
        <v>0</v>
      </c>
      <c r="K297" t="n">
        <v>0</v>
      </c>
      <c r="L297" t="n">
        <v>0</v>
      </c>
      <c r="M297" t="n">
        <v>0</v>
      </c>
      <c r="N297" t="n">
        <v>0</v>
      </c>
      <c r="O297" t="n">
        <v>0</v>
      </c>
      <c r="P297" t="n">
        <v>0</v>
      </c>
      <c r="Q297" t="n">
        <v>0</v>
      </c>
      <c r="R297" s="2" t="inlineStr"/>
    </row>
    <row r="298" ht="15" customHeight="1">
      <c r="A298" t="inlineStr">
        <is>
          <t>A 50624-2019</t>
        </is>
      </c>
      <c r="B298" s="1" t="n">
        <v>43736</v>
      </c>
      <c r="C298" s="1" t="n">
        <v>45294</v>
      </c>
      <c r="D298" t="inlineStr">
        <is>
          <t>JÄMTLANDS LÄN</t>
        </is>
      </c>
      <c r="E298" t="inlineStr">
        <is>
          <t>HÄRJEDALEN</t>
        </is>
      </c>
      <c r="G298" t="n">
        <v>2.4</v>
      </c>
      <c r="H298" t="n">
        <v>0</v>
      </c>
      <c r="I298" t="n">
        <v>0</v>
      </c>
      <c r="J298" t="n">
        <v>0</v>
      </c>
      <c r="K298" t="n">
        <v>0</v>
      </c>
      <c r="L298" t="n">
        <v>0</v>
      </c>
      <c r="M298" t="n">
        <v>0</v>
      </c>
      <c r="N298" t="n">
        <v>0</v>
      </c>
      <c r="O298" t="n">
        <v>0</v>
      </c>
      <c r="P298" t="n">
        <v>0</v>
      </c>
      <c r="Q298" t="n">
        <v>0</v>
      </c>
      <c r="R298" s="2" t="inlineStr"/>
    </row>
    <row r="299" ht="15" customHeight="1">
      <c r="A299" t="inlineStr">
        <is>
          <t>A 51108-2019</t>
        </is>
      </c>
      <c r="B299" s="1" t="n">
        <v>43739</v>
      </c>
      <c r="C299" s="1" t="n">
        <v>45294</v>
      </c>
      <c r="D299" t="inlineStr">
        <is>
          <t>JÄMTLANDS LÄN</t>
        </is>
      </c>
      <c r="E299" t="inlineStr">
        <is>
          <t>HÄRJEDALEN</t>
        </is>
      </c>
      <c r="G299" t="n">
        <v>4.2</v>
      </c>
      <c r="H299" t="n">
        <v>0</v>
      </c>
      <c r="I299" t="n">
        <v>0</v>
      </c>
      <c r="J299" t="n">
        <v>0</v>
      </c>
      <c r="K299" t="n">
        <v>0</v>
      </c>
      <c r="L299" t="n">
        <v>0</v>
      </c>
      <c r="M299" t="n">
        <v>0</v>
      </c>
      <c r="N299" t="n">
        <v>0</v>
      </c>
      <c r="O299" t="n">
        <v>0</v>
      </c>
      <c r="P299" t="n">
        <v>0</v>
      </c>
      <c r="Q299" t="n">
        <v>0</v>
      </c>
      <c r="R299" s="2" t="inlineStr"/>
    </row>
    <row r="300" ht="15" customHeight="1">
      <c r="A300" t="inlineStr">
        <is>
          <t>A 51118-2019</t>
        </is>
      </c>
      <c r="B300" s="1" t="n">
        <v>43739</v>
      </c>
      <c r="C300" s="1" t="n">
        <v>45294</v>
      </c>
      <c r="D300" t="inlineStr">
        <is>
          <t>JÄMTLANDS LÄN</t>
        </is>
      </c>
      <c r="E300" t="inlineStr">
        <is>
          <t>HÄRJEDALEN</t>
        </is>
      </c>
      <c r="G300" t="n">
        <v>12.5</v>
      </c>
      <c r="H300" t="n">
        <v>0</v>
      </c>
      <c r="I300" t="n">
        <v>0</v>
      </c>
      <c r="J300" t="n">
        <v>0</v>
      </c>
      <c r="K300" t="n">
        <v>0</v>
      </c>
      <c r="L300" t="n">
        <v>0</v>
      </c>
      <c r="M300" t="n">
        <v>0</v>
      </c>
      <c r="N300" t="n">
        <v>0</v>
      </c>
      <c r="O300" t="n">
        <v>0</v>
      </c>
      <c r="P300" t="n">
        <v>0</v>
      </c>
      <c r="Q300" t="n">
        <v>0</v>
      </c>
      <c r="R300" s="2" t="inlineStr"/>
    </row>
    <row r="301" ht="15" customHeight="1">
      <c r="A301" t="inlineStr">
        <is>
          <t>A 51123-2019</t>
        </is>
      </c>
      <c r="B301" s="1" t="n">
        <v>43739</v>
      </c>
      <c r="C301" s="1" t="n">
        <v>45294</v>
      </c>
      <c r="D301" t="inlineStr">
        <is>
          <t>JÄMTLANDS LÄN</t>
        </is>
      </c>
      <c r="E301" t="inlineStr">
        <is>
          <t>HÄRJEDALEN</t>
        </is>
      </c>
      <c r="G301" t="n">
        <v>1.6</v>
      </c>
      <c r="H301" t="n">
        <v>0</v>
      </c>
      <c r="I301" t="n">
        <v>0</v>
      </c>
      <c r="J301" t="n">
        <v>0</v>
      </c>
      <c r="K301" t="n">
        <v>0</v>
      </c>
      <c r="L301" t="n">
        <v>0</v>
      </c>
      <c r="M301" t="n">
        <v>0</v>
      </c>
      <c r="N301" t="n">
        <v>0</v>
      </c>
      <c r="O301" t="n">
        <v>0</v>
      </c>
      <c r="P301" t="n">
        <v>0</v>
      </c>
      <c r="Q301" t="n">
        <v>0</v>
      </c>
      <c r="R301" s="2" t="inlineStr"/>
    </row>
    <row r="302" ht="15" customHeight="1">
      <c r="A302" t="inlineStr">
        <is>
          <t>A 51105-2019</t>
        </is>
      </c>
      <c r="B302" s="1" t="n">
        <v>43739</v>
      </c>
      <c r="C302" s="1" t="n">
        <v>45294</v>
      </c>
      <c r="D302" t="inlineStr">
        <is>
          <t>JÄMTLANDS LÄN</t>
        </is>
      </c>
      <c r="E302" t="inlineStr">
        <is>
          <t>HÄRJEDALEN</t>
        </is>
      </c>
      <c r="G302" t="n">
        <v>2</v>
      </c>
      <c r="H302" t="n">
        <v>0</v>
      </c>
      <c r="I302" t="n">
        <v>0</v>
      </c>
      <c r="J302" t="n">
        <v>0</v>
      </c>
      <c r="K302" t="n">
        <v>0</v>
      </c>
      <c r="L302" t="n">
        <v>0</v>
      </c>
      <c r="M302" t="n">
        <v>0</v>
      </c>
      <c r="N302" t="n">
        <v>0</v>
      </c>
      <c r="O302" t="n">
        <v>0</v>
      </c>
      <c r="P302" t="n">
        <v>0</v>
      </c>
      <c r="Q302" t="n">
        <v>0</v>
      </c>
      <c r="R302" s="2" t="inlineStr"/>
    </row>
    <row r="303" ht="15" customHeight="1">
      <c r="A303" t="inlineStr">
        <is>
          <t>A 51111-2019</t>
        </is>
      </c>
      <c r="B303" s="1" t="n">
        <v>43739</v>
      </c>
      <c r="C303" s="1" t="n">
        <v>45294</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52304-2019</t>
        </is>
      </c>
      <c r="B304" s="1" t="n">
        <v>43745</v>
      </c>
      <c r="C304" s="1" t="n">
        <v>45294</v>
      </c>
      <c r="D304" t="inlineStr">
        <is>
          <t>JÄMTLANDS LÄN</t>
        </is>
      </c>
      <c r="E304" t="inlineStr">
        <is>
          <t>HÄRJEDALEN</t>
        </is>
      </c>
      <c r="G304" t="n">
        <v>4.8</v>
      </c>
      <c r="H304" t="n">
        <v>0</v>
      </c>
      <c r="I304" t="n">
        <v>0</v>
      </c>
      <c r="J304" t="n">
        <v>0</v>
      </c>
      <c r="K304" t="n">
        <v>0</v>
      </c>
      <c r="L304" t="n">
        <v>0</v>
      </c>
      <c r="M304" t="n">
        <v>0</v>
      </c>
      <c r="N304" t="n">
        <v>0</v>
      </c>
      <c r="O304" t="n">
        <v>0</v>
      </c>
      <c r="P304" t="n">
        <v>0</v>
      </c>
      <c r="Q304" t="n">
        <v>0</v>
      </c>
      <c r="R304" s="2" t="inlineStr"/>
    </row>
    <row r="305" ht="15" customHeight="1">
      <c r="A305" t="inlineStr">
        <is>
          <t>A 52709-2019</t>
        </is>
      </c>
      <c r="B305" s="1" t="n">
        <v>43746</v>
      </c>
      <c r="C305" s="1" t="n">
        <v>45294</v>
      </c>
      <c r="D305" t="inlineStr">
        <is>
          <t>JÄMTLANDS LÄN</t>
        </is>
      </c>
      <c r="E305" t="inlineStr">
        <is>
          <t>HÄRJEDALEN</t>
        </is>
      </c>
      <c r="G305" t="n">
        <v>10.6</v>
      </c>
      <c r="H305" t="n">
        <v>0</v>
      </c>
      <c r="I305" t="n">
        <v>0</v>
      </c>
      <c r="J305" t="n">
        <v>0</v>
      </c>
      <c r="K305" t="n">
        <v>0</v>
      </c>
      <c r="L305" t="n">
        <v>0</v>
      </c>
      <c r="M305" t="n">
        <v>0</v>
      </c>
      <c r="N305" t="n">
        <v>0</v>
      </c>
      <c r="O305" t="n">
        <v>0</v>
      </c>
      <c r="P305" t="n">
        <v>0</v>
      </c>
      <c r="Q305" t="n">
        <v>0</v>
      </c>
      <c r="R305" s="2" t="inlineStr"/>
    </row>
    <row r="306" ht="15" customHeight="1">
      <c r="A306" t="inlineStr">
        <is>
          <t>A 52992-2019</t>
        </is>
      </c>
      <c r="B306" s="1" t="n">
        <v>43747</v>
      </c>
      <c r="C306" s="1" t="n">
        <v>45294</v>
      </c>
      <c r="D306" t="inlineStr">
        <is>
          <t>JÄMTLANDS LÄN</t>
        </is>
      </c>
      <c r="E306" t="inlineStr">
        <is>
          <t>HÄRJEDALEN</t>
        </is>
      </c>
      <c r="F306" t="inlineStr">
        <is>
          <t>Sveaskog</t>
        </is>
      </c>
      <c r="G306" t="n">
        <v>3.5</v>
      </c>
      <c r="H306" t="n">
        <v>0</v>
      </c>
      <c r="I306" t="n">
        <v>0</v>
      </c>
      <c r="J306" t="n">
        <v>0</v>
      </c>
      <c r="K306" t="n">
        <v>0</v>
      </c>
      <c r="L306" t="n">
        <v>0</v>
      </c>
      <c r="M306" t="n">
        <v>0</v>
      </c>
      <c r="N306" t="n">
        <v>0</v>
      </c>
      <c r="O306" t="n">
        <v>0</v>
      </c>
      <c r="P306" t="n">
        <v>0</v>
      </c>
      <c r="Q306" t="n">
        <v>0</v>
      </c>
      <c r="R306" s="2" t="inlineStr"/>
    </row>
    <row r="307" ht="15" customHeight="1">
      <c r="A307" t="inlineStr">
        <is>
          <t>A 52991-2019</t>
        </is>
      </c>
      <c r="B307" s="1" t="n">
        <v>43747</v>
      </c>
      <c r="C307" s="1" t="n">
        <v>45294</v>
      </c>
      <c r="D307" t="inlineStr">
        <is>
          <t>JÄMTLANDS LÄN</t>
        </is>
      </c>
      <c r="E307" t="inlineStr">
        <is>
          <t>HÄRJEDALEN</t>
        </is>
      </c>
      <c r="F307" t="inlineStr">
        <is>
          <t>Sveaskog</t>
        </is>
      </c>
      <c r="G307" t="n">
        <v>13.6</v>
      </c>
      <c r="H307" t="n">
        <v>0</v>
      </c>
      <c r="I307" t="n">
        <v>0</v>
      </c>
      <c r="J307" t="n">
        <v>0</v>
      </c>
      <c r="K307" t="n">
        <v>0</v>
      </c>
      <c r="L307" t="n">
        <v>0</v>
      </c>
      <c r="M307" t="n">
        <v>0</v>
      </c>
      <c r="N307" t="n">
        <v>0</v>
      </c>
      <c r="O307" t="n">
        <v>0</v>
      </c>
      <c r="P307" t="n">
        <v>0</v>
      </c>
      <c r="Q307" t="n">
        <v>0</v>
      </c>
      <c r="R307" s="2" t="inlineStr"/>
    </row>
    <row r="308" ht="15" customHeight="1">
      <c r="A308" t="inlineStr">
        <is>
          <t>A 53418-2019</t>
        </is>
      </c>
      <c r="B308" s="1" t="n">
        <v>43748</v>
      </c>
      <c r="C308" s="1" t="n">
        <v>45294</v>
      </c>
      <c r="D308" t="inlineStr">
        <is>
          <t>JÄMTLANDS LÄN</t>
        </is>
      </c>
      <c r="E308" t="inlineStr">
        <is>
          <t>HÄRJEDALEN</t>
        </is>
      </c>
      <c r="G308" t="n">
        <v>0.4</v>
      </c>
      <c r="H308" t="n">
        <v>0</v>
      </c>
      <c r="I308" t="n">
        <v>0</v>
      </c>
      <c r="J308" t="n">
        <v>0</v>
      </c>
      <c r="K308" t="n">
        <v>0</v>
      </c>
      <c r="L308" t="n">
        <v>0</v>
      </c>
      <c r="M308" t="n">
        <v>0</v>
      </c>
      <c r="N308" t="n">
        <v>0</v>
      </c>
      <c r="O308" t="n">
        <v>0</v>
      </c>
      <c r="P308" t="n">
        <v>0</v>
      </c>
      <c r="Q308" t="n">
        <v>0</v>
      </c>
      <c r="R308" s="2" t="inlineStr"/>
    </row>
    <row r="309" ht="15" customHeight="1">
      <c r="A309" t="inlineStr">
        <is>
          <t>A 53952-2019</t>
        </is>
      </c>
      <c r="B309" s="1" t="n">
        <v>43752</v>
      </c>
      <c r="C309" s="1" t="n">
        <v>45294</v>
      </c>
      <c r="D309" t="inlineStr">
        <is>
          <t>JÄMTLANDS LÄN</t>
        </is>
      </c>
      <c r="E309" t="inlineStr">
        <is>
          <t>HÄRJEDALEN</t>
        </is>
      </c>
      <c r="G309" t="n">
        <v>8.6</v>
      </c>
      <c r="H309" t="n">
        <v>0</v>
      </c>
      <c r="I309" t="n">
        <v>0</v>
      </c>
      <c r="J309" t="n">
        <v>0</v>
      </c>
      <c r="K309" t="n">
        <v>0</v>
      </c>
      <c r="L309" t="n">
        <v>0</v>
      </c>
      <c r="M309" t="n">
        <v>0</v>
      </c>
      <c r="N309" t="n">
        <v>0</v>
      </c>
      <c r="O309" t="n">
        <v>0</v>
      </c>
      <c r="P309" t="n">
        <v>0</v>
      </c>
      <c r="Q309" t="n">
        <v>0</v>
      </c>
      <c r="R309" s="2" t="inlineStr"/>
    </row>
    <row r="310" ht="15" customHeight="1">
      <c r="A310" t="inlineStr">
        <is>
          <t>A 53962-2019</t>
        </is>
      </c>
      <c r="B310" s="1" t="n">
        <v>43752</v>
      </c>
      <c r="C310" s="1" t="n">
        <v>45294</v>
      </c>
      <c r="D310" t="inlineStr">
        <is>
          <t>JÄMTLANDS LÄN</t>
        </is>
      </c>
      <c r="E310" t="inlineStr">
        <is>
          <t>HÄRJEDALEN</t>
        </is>
      </c>
      <c r="G310" t="n">
        <v>19.4</v>
      </c>
      <c r="H310" t="n">
        <v>0</v>
      </c>
      <c r="I310" t="n">
        <v>0</v>
      </c>
      <c r="J310" t="n">
        <v>0</v>
      </c>
      <c r="K310" t="n">
        <v>0</v>
      </c>
      <c r="L310" t="n">
        <v>0</v>
      </c>
      <c r="M310" t="n">
        <v>0</v>
      </c>
      <c r="N310" t="n">
        <v>0</v>
      </c>
      <c r="O310" t="n">
        <v>0</v>
      </c>
      <c r="P310" t="n">
        <v>0</v>
      </c>
      <c r="Q310" t="n">
        <v>0</v>
      </c>
      <c r="R310" s="2" t="inlineStr"/>
    </row>
    <row r="311" ht="15" customHeight="1">
      <c r="A311" t="inlineStr">
        <is>
          <t>A 54905-2019</t>
        </is>
      </c>
      <c r="B311" s="1" t="n">
        <v>43755</v>
      </c>
      <c r="C311" s="1" t="n">
        <v>45294</v>
      </c>
      <c r="D311" t="inlineStr">
        <is>
          <t>JÄMTLANDS LÄN</t>
        </is>
      </c>
      <c r="E311" t="inlineStr">
        <is>
          <t>HÄRJEDALEN</t>
        </is>
      </c>
      <c r="G311" t="n">
        <v>2</v>
      </c>
      <c r="H311" t="n">
        <v>0</v>
      </c>
      <c r="I311" t="n">
        <v>0</v>
      </c>
      <c r="J311" t="n">
        <v>0</v>
      </c>
      <c r="K311" t="n">
        <v>0</v>
      </c>
      <c r="L311" t="n">
        <v>0</v>
      </c>
      <c r="M311" t="n">
        <v>0</v>
      </c>
      <c r="N311" t="n">
        <v>0</v>
      </c>
      <c r="O311" t="n">
        <v>0</v>
      </c>
      <c r="P311" t="n">
        <v>0</v>
      </c>
      <c r="Q311" t="n">
        <v>0</v>
      </c>
      <c r="R311" s="2" t="inlineStr"/>
    </row>
    <row r="312" ht="15" customHeight="1">
      <c r="A312" t="inlineStr">
        <is>
          <t>A 55197-2019</t>
        </is>
      </c>
      <c r="B312" s="1" t="n">
        <v>43756</v>
      </c>
      <c r="C312" s="1" t="n">
        <v>45294</v>
      </c>
      <c r="D312" t="inlineStr">
        <is>
          <t>JÄMTLANDS LÄN</t>
        </is>
      </c>
      <c r="E312" t="inlineStr">
        <is>
          <t>HÄRJEDALEN</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55241-2019</t>
        </is>
      </c>
      <c r="B313" s="1" t="n">
        <v>43756</v>
      </c>
      <c r="C313" s="1" t="n">
        <v>45294</v>
      </c>
      <c r="D313" t="inlineStr">
        <is>
          <t>JÄMTLANDS LÄN</t>
        </is>
      </c>
      <c r="E313" t="inlineStr">
        <is>
          <t>HÄRJEDALEN</t>
        </is>
      </c>
      <c r="G313" t="n">
        <v>0.9</v>
      </c>
      <c r="H313" t="n">
        <v>0</v>
      </c>
      <c r="I313" t="n">
        <v>0</v>
      </c>
      <c r="J313" t="n">
        <v>0</v>
      </c>
      <c r="K313" t="n">
        <v>0</v>
      </c>
      <c r="L313" t="n">
        <v>0</v>
      </c>
      <c r="M313" t="n">
        <v>0</v>
      </c>
      <c r="N313" t="n">
        <v>0</v>
      </c>
      <c r="O313" t="n">
        <v>0</v>
      </c>
      <c r="P313" t="n">
        <v>0</v>
      </c>
      <c r="Q313" t="n">
        <v>0</v>
      </c>
      <c r="R313" s="2" t="inlineStr"/>
    </row>
    <row r="314" ht="15" customHeight="1">
      <c r="A314" t="inlineStr">
        <is>
          <t>A 55193-2019</t>
        </is>
      </c>
      <c r="B314" s="1" t="n">
        <v>43756</v>
      </c>
      <c r="C314" s="1" t="n">
        <v>45294</v>
      </c>
      <c r="D314" t="inlineStr">
        <is>
          <t>JÄMTLANDS LÄN</t>
        </is>
      </c>
      <c r="E314" t="inlineStr">
        <is>
          <t>HÄRJEDALEN</t>
        </is>
      </c>
      <c r="F314" t="inlineStr">
        <is>
          <t>Sveaskog</t>
        </is>
      </c>
      <c r="G314" t="n">
        <v>5.8</v>
      </c>
      <c r="H314" t="n">
        <v>0</v>
      </c>
      <c r="I314" t="n">
        <v>0</v>
      </c>
      <c r="J314" t="n">
        <v>0</v>
      </c>
      <c r="K314" t="n">
        <v>0</v>
      </c>
      <c r="L314" t="n">
        <v>0</v>
      </c>
      <c r="M314" t="n">
        <v>0</v>
      </c>
      <c r="N314" t="n">
        <v>0</v>
      </c>
      <c r="O314" t="n">
        <v>0</v>
      </c>
      <c r="P314" t="n">
        <v>0</v>
      </c>
      <c r="Q314" t="n">
        <v>0</v>
      </c>
      <c r="R314" s="2" t="inlineStr"/>
    </row>
    <row r="315" ht="15" customHeight="1">
      <c r="A315" t="inlineStr">
        <is>
          <t>A 55238-2019</t>
        </is>
      </c>
      <c r="B315" s="1" t="n">
        <v>43756</v>
      </c>
      <c r="C315" s="1" t="n">
        <v>45294</v>
      </c>
      <c r="D315" t="inlineStr">
        <is>
          <t>JÄMTLANDS LÄN</t>
        </is>
      </c>
      <c r="E315" t="inlineStr">
        <is>
          <t>HÄRJEDALEN</t>
        </is>
      </c>
      <c r="F315" t="inlineStr">
        <is>
          <t>Sveaskog</t>
        </is>
      </c>
      <c r="G315" t="n">
        <v>5.8</v>
      </c>
      <c r="H315" t="n">
        <v>0</v>
      </c>
      <c r="I315" t="n">
        <v>0</v>
      </c>
      <c r="J315" t="n">
        <v>0</v>
      </c>
      <c r="K315" t="n">
        <v>0</v>
      </c>
      <c r="L315" t="n">
        <v>0</v>
      </c>
      <c r="M315" t="n">
        <v>0</v>
      </c>
      <c r="N315" t="n">
        <v>0</v>
      </c>
      <c r="O315" t="n">
        <v>0</v>
      </c>
      <c r="P315" t="n">
        <v>0</v>
      </c>
      <c r="Q315" t="n">
        <v>0</v>
      </c>
      <c r="R315" s="2" t="inlineStr"/>
    </row>
    <row r="316" ht="15" customHeight="1">
      <c r="A316" t="inlineStr">
        <is>
          <t>A 55801-2019</t>
        </is>
      </c>
      <c r="B316" s="1" t="n">
        <v>43759</v>
      </c>
      <c r="C316" s="1" t="n">
        <v>45294</v>
      </c>
      <c r="D316" t="inlineStr">
        <is>
          <t>JÄMTLANDS LÄN</t>
        </is>
      </c>
      <c r="E316" t="inlineStr">
        <is>
          <t>HÄRJEDALEN</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55554-2019</t>
        </is>
      </c>
      <c r="B317" s="1" t="n">
        <v>43759</v>
      </c>
      <c r="C317" s="1" t="n">
        <v>45294</v>
      </c>
      <c r="D317" t="inlineStr">
        <is>
          <t>JÄMTLANDS LÄN</t>
        </is>
      </c>
      <c r="E317" t="inlineStr">
        <is>
          <t>HÄRJEDALEN</t>
        </is>
      </c>
      <c r="G317" t="n">
        <v>1</v>
      </c>
      <c r="H317" t="n">
        <v>0</v>
      </c>
      <c r="I317" t="n">
        <v>0</v>
      </c>
      <c r="J317" t="n">
        <v>0</v>
      </c>
      <c r="K317" t="n">
        <v>0</v>
      </c>
      <c r="L317" t="n">
        <v>0</v>
      </c>
      <c r="M317" t="n">
        <v>0</v>
      </c>
      <c r="N317" t="n">
        <v>0</v>
      </c>
      <c r="O317" t="n">
        <v>0</v>
      </c>
      <c r="P317" t="n">
        <v>0</v>
      </c>
      <c r="Q317" t="n">
        <v>0</v>
      </c>
      <c r="R317" s="2" t="inlineStr"/>
    </row>
    <row r="318" ht="15" customHeight="1">
      <c r="A318" t="inlineStr">
        <is>
          <t>A 57281-2019</t>
        </is>
      </c>
      <c r="B318" s="1" t="n">
        <v>43759</v>
      </c>
      <c r="C318" s="1" t="n">
        <v>45294</v>
      </c>
      <c r="D318" t="inlineStr">
        <is>
          <t>JÄMTLANDS LÄN</t>
        </is>
      </c>
      <c r="E318" t="inlineStr">
        <is>
          <t>HÄRJEDALEN</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55578-2019</t>
        </is>
      </c>
      <c r="B319" s="1" t="n">
        <v>43760</v>
      </c>
      <c r="C319" s="1" t="n">
        <v>45294</v>
      </c>
      <c r="D319" t="inlineStr">
        <is>
          <t>JÄMTLANDS LÄN</t>
        </is>
      </c>
      <c r="E319" t="inlineStr">
        <is>
          <t>HÄRJEDALEN</t>
        </is>
      </c>
      <c r="G319" t="n">
        <v>3.6</v>
      </c>
      <c r="H319" t="n">
        <v>0</v>
      </c>
      <c r="I319" t="n">
        <v>0</v>
      </c>
      <c r="J319" t="n">
        <v>0</v>
      </c>
      <c r="K319" t="n">
        <v>0</v>
      </c>
      <c r="L319" t="n">
        <v>0</v>
      </c>
      <c r="M319" t="n">
        <v>0</v>
      </c>
      <c r="N319" t="n">
        <v>0</v>
      </c>
      <c r="O319" t="n">
        <v>0</v>
      </c>
      <c r="P319" t="n">
        <v>0</v>
      </c>
      <c r="Q319" t="n">
        <v>0</v>
      </c>
      <c r="R319" s="2" t="inlineStr"/>
    </row>
    <row r="320" ht="15" customHeight="1">
      <c r="A320" t="inlineStr">
        <is>
          <t>A 55607-2019</t>
        </is>
      </c>
      <c r="B320" s="1" t="n">
        <v>43760</v>
      </c>
      <c r="C320" s="1" t="n">
        <v>45294</v>
      </c>
      <c r="D320" t="inlineStr">
        <is>
          <t>JÄMTLANDS LÄN</t>
        </is>
      </c>
      <c r="E320" t="inlineStr">
        <is>
          <t>HÄRJEDALEN</t>
        </is>
      </c>
      <c r="G320" t="n">
        <v>3.7</v>
      </c>
      <c r="H320" t="n">
        <v>0</v>
      </c>
      <c r="I320" t="n">
        <v>0</v>
      </c>
      <c r="J320" t="n">
        <v>0</v>
      </c>
      <c r="K320" t="n">
        <v>0</v>
      </c>
      <c r="L320" t="n">
        <v>0</v>
      </c>
      <c r="M320" t="n">
        <v>0</v>
      </c>
      <c r="N320" t="n">
        <v>0</v>
      </c>
      <c r="O320" t="n">
        <v>0</v>
      </c>
      <c r="P320" t="n">
        <v>0</v>
      </c>
      <c r="Q320" t="n">
        <v>0</v>
      </c>
      <c r="R320" s="2" t="inlineStr"/>
    </row>
    <row r="321" ht="15" customHeight="1">
      <c r="A321" t="inlineStr">
        <is>
          <t>A 56217-2019</t>
        </is>
      </c>
      <c r="B321" s="1" t="n">
        <v>43762</v>
      </c>
      <c r="C321" s="1" t="n">
        <v>45294</v>
      </c>
      <c r="D321" t="inlineStr">
        <is>
          <t>JÄMTLANDS LÄN</t>
        </is>
      </c>
      <c r="E321" t="inlineStr">
        <is>
          <t>HÄRJEDALEN</t>
        </is>
      </c>
      <c r="G321" t="n">
        <v>43.2</v>
      </c>
      <c r="H321" t="n">
        <v>0</v>
      </c>
      <c r="I321" t="n">
        <v>0</v>
      </c>
      <c r="J321" t="n">
        <v>0</v>
      </c>
      <c r="K321" t="n">
        <v>0</v>
      </c>
      <c r="L321" t="n">
        <v>0</v>
      </c>
      <c r="M321" t="n">
        <v>0</v>
      </c>
      <c r="N321" t="n">
        <v>0</v>
      </c>
      <c r="O321" t="n">
        <v>0</v>
      </c>
      <c r="P321" t="n">
        <v>0</v>
      </c>
      <c r="Q321" t="n">
        <v>0</v>
      </c>
      <c r="R321" s="2" t="inlineStr"/>
    </row>
    <row r="322" ht="15" customHeight="1">
      <c r="A322" t="inlineStr">
        <is>
          <t>A 58175-2019</t>
        </is>
      </c>
      <c r="B322" s="1" t="n">
        <v>43769</v>
      </c>
      <c r="C322" s="1" t="n">
        <v>45294</v>
      </c>
      <c r="D322" t="inlineStr">
        <is>
          <t>JÄMTLANDS LÄN</t>
        </is>
      </c>
      <c r="E322" t="inlineStr">
        <is>
          <t>HÄRJEDALEN</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59347-2019</t>
        </is>
      </c>
      <c r="B323" s="1" t="n">
        <v>43770</v>
      </c>
      <c r="C323" s="1" t="n">
        <v>45294</v>
      </c>
      <c r="D323" t="inlineStr">
        <is>
          <t>JÄMTLANDS LÄN</t>
        </is>
      </c>
      <c r="E323" t="inlineStr">
        <is>
          <t>HÄRJEDALEN</t>
        </is>
      </c>
      <c r="G323" t="n">
        <v>2.3</v>
      </c>
      <c r="H323" t="n">
        <v>0</v>
      </c>
      <c r="I323" t="n">
        <v>0</v>
      </c>
      <c r="J323" t="n">
        <v>0</v>
      </c>
      <c r="K323" t="n">
        <v>0</v>
      </c>
      <c r="L323" t="n">
        <v>0</v>
      </c>
      <c r="M323" t="n">
        <v>0</v>
      </c>
      <c r="N323" t="n">
        <v>0</v>
      </c>
      <c r="O323" t="n">
        <v>0</v>
      </c>
      <c r="P323" t="n">
        <v>0</v>
      </c>
      <c r="Q323" t="n">
        <v>0</v>
      </c>
      <c r="R323" s="2" t="inlineStr"/>
    </row>
    <row r="324" ht="15" customHeight="1">
      <c r="A324" t="inlineStr">
        <is>
          <t>A 58742-2019</t>
        </is>
      </c>
      <c r="B324" s="1" t="n">
        <v>43773</v>
      </c>
      <c r="C324" s="1" t="n">
        <v>45294</v>
      </c>
      <c r="D324" t="inlineStr">
        <is>
          <t>JÄMTLANDS LÄN</t>
        </is>
      </c>
      <c r="E324" t="inlineStr">
        <is>
          <t>HÄRJEDALEN</t>
        </is>
      </c>
      <c r="G324" t="n">
        <v>4</v>
      </c>
      <c r="H324" t="n">
        <v>0</v>
      </c>
      <c r="I324" t="n">
        <v>0</v>
      </c>
      <c r="J324" t="n">
        <v>0</v>
      </c>
      <c r="K324" t="n">
        <v>0</v>
      </c>
      <c r="L324" t="n">
        <v>0</v>
      </c>
      <c r="M324" t="n">
        <v>0</v>
      </c>
      <c r="N324" t="n">
        <v>0</v>
      </c>
      <c r="O324" t="n">
        <v>0</v>
      </c>
      <c r="P324" t="n">
        <v>0</v>
      </c>
      <c r="Q324" t="n">
        <v>0</v>
      </c>
      <c r="R324" s="2" t="inlineStr"/>
    </row>
    <row r="325" ht="15" customHeight="1">
      <c r="A325" t="inlineStr">
        <is>
          <t>A 59984-2019</t>
        </is>
      </c>
      <c r="B325" s="1" t="n">
        <v>43775</v>
      </c>
      <c r="C325" s="1" t="n">
        <v>45294</v>
      </c>
      <c r="D325" t="inlineStr">
        <is>
          <t>JÄMTLANDS LÄN</t>
        </is>
      </c>
      <c r="E325" t="inlineStr">
        <is>
          <t>HÄRJEDALEN</t>
        </is>
      </c>
      <c r="G325" t="n">
        <v>20.4</v>
      </c>
      <c r="H325" t="n">
        <v>0</v>
      </c>
      <c r="I325" t="n">
        <v>0</v>
      </c>
      <c r="J325" t="n">
        <v>0</v>
      </c>
      <c r="K325" t="n">
        <v>0</v>
      </c>
      <c r="L325" t="n">
        <v>0</v>
      </c>
      <c r="M325" t="n">
        <v>0</v>
      </c>
      <c r="N325" t="n">
        <v>0</v>
      </c>
      <c r="O325" t="n">
        <v>0</v>
      </c>
      <c r="P325" t="n">
        <v>0</v>
      </c>
      <c r="Q325" t="n">
        <v>0</v>
      </c>
      <c r="R325" s="2" t="inlineStr"/>
    </row>
    <row r="326" ht="15" customHeight="1">
      <c r="A326" t="inlineStr">
        <is>
          <t>A 59733-2019</t>
        </is>
      </c>
      <c r="B326" s="1" t="n">
        <v>43776</v>
      </c>
      <c r="C326" s="1" t="n">
        <v>45294</v>
      </c>
      <c r="D326" t="inlineStr">
        <is>
          <t>JÄMTLANDS LÄN</t>
        </is>
      </c>
      <c r="E326" t="inlineStr">
        <is>
          <t>HÄRJEDALEN</t>
        </is>
      </c>
      <c r="G326" t="n">
        <v>1.9</v>
      </c>
      <c r="H326" t="n">
        <v>0</v>
      </c>
      <c r="I326" t="n">
        <v>0</v>
      </c>
      <c r="J326" t="n">
        <v>0</v>
      </c>
      <c r="K326" t="n">
        <v>0</v>
      </c>
      <c r="L326" t="n">
        <v>0</v>
      </c>
      <c r="M326" t="n">
        <v>0</v>
      </c>
      <c r="N326" t="n">
        <v>0</v>
      </c>
      <c r="O326" t="n">
        <v>0</v>
      </c>
      <c r="P326" t="n">
        <v>0</v>
      </c>
      <c r="Q326" t="n">
        <v>0</v>
      </c>
      <c r="R326" s="2" t="inlineStr"/>
    </row>
    <row r="327" ht="15" customHeight="1">
      <c r="A327" t="inlineStr">
        <is>
          <t>A 60213-2019</t>
        </is>
      </c>
      <c r="B327" s="1" t="n">
        <v>43780</v>
      </c>
      <c r="C327" s="1" t="n">
        <v>45294</v>
      </c>
      <c r="D327" t="inlineStr">
        <is>
          <t>JÄMTLANDS LÄN</t>
        </is>
      </c>
      <c r="E327" t="inlineStr">
        <is>
          <t>HÄRJEDALEN</t>
        </is>
      </c>
      <c r="F327" t="inlineStr">
        <is>
          <t>Holmen skog AB</t>
        </is>
      </c>
      <c r="G327" t="n">
        <v>4.7</v>
      </c>
      <c r="H327" t="n">
        <v>0</v>
      </c>
      <c r="I327" t="n">
        <v>0</v>
      </c>
      <c r="J327" t="n">
        <v>0</v>
      </c>
      <c r="K327" t="n">
        <v>0</v>
      </c>
      <c r="L327" t="n">
        <v>0</v>
      </c>
      <c r="M327" t="n">
        <v>0</v>
      </c>
      <c r="N327" t="n">
        <v>0</v>
      </c>
      <c r="O327" t="n">
        <v>0</v>
      </c>
      <c r="P327" t="n">
        <v>0</v>
      </c>
      <c r="Q327" t="n">
        <v>0</v>
      </c>
      <c r="R327" s="2" t="inlineStr"/>
    </row>
    <row r="328" ht="15" customHeight="1">
      <c r="A328" t="inlineStr">
        <is>
          <t>A 62342-2019</t>
        </is>
      </c>
      <c r="B328" s="1" t="n">
        <v>43782</v>
      </c>
      <c r="C328" s="1" t="n">
        <v>45294</v>
      </c>
      <c r="D328" t="inlineStr">
        <is>
          <t>JÄMTLANDS LÄN</t>
        </is>
      </c>
      <c r="E328" t="inlineStr">
        <is>
          <t>HÄRJEDALEN</t>
        </is>
      </c>
      <c r="G328" t="n">
        <v>1.6</v>
      </c>
      <c r="H328" t="n">
        <v>0</v>
      </c>
      <c r="I328" t="n">
        <v>0</v>
      </c>
      <c r="J328" t="n">
        <v>0</v>
      </c>
      <c r="K328" t="n">
        <v>0</v>
      </c>
      <c r="L328" t="n">
        <v>0</v>
      </c>
      <c r="M328" t="n">
        <v>0</v>
      </c>
      <c r="N328" t="n">
        <v>0</v>
      </c>
      <c r="O328" t="n">
        <v>0</v>
      </c>
      <c r="P328" t="n">
        <v>0</v>
      </c>
      <c r="Q328" t="n">
        <v>0</v>
      </c>
      <c r="R328" s="2" t="inlineStr"/>
    </row>
    <row r="329" ht="15" customHeight="1">
      <c r="A329" t="inlineStr">
        <is>
          <t>A 60919-2019</t>
        </is>
      </c>
      <c r="B329" s="1" t="n">
        <v>43782</v>
      </c>
      <c r="C329" s="1" t="n">
        <v>45294</v>
      </c>
      <c r="D329" t="inlineStr">
        <is>
          <t>JÄMTLANDS LÄN</t>
        </is>
      </c>
      <c r="E329" t="inlineStr">
        <is>
          <t>HÄRJEDALEN</t>
        </is>
      </c>
      <c r="G329" t="n">
        <v>6.4</v>
      </c>
      <c r="H329" t="n">
        <v>0</v>
      </c>
      <c r="I329" t="n">
        <v>0</v>
      </c>
      <c r="J329" t="n">
        <v>0</v>
      </c>
      <c r="K329" t="n">
        <v>0</v>
      </c>
      <c r="L329" t="n">
        <v>0</v>
      </c>
      <c r="M329" t="n">
        <v>0</v>
      </c>
      <c r="N329" t="n">
        <v>0</v>
      </c>
      <c r="O329" t="n">
        <v>0</v>
      </c>
      <c r="P329" t="n">
        <v>0</v>
      </c>
      <c r="Q329" t="n">
        <v>0</v>
      </c>
      <c r="R329" s="2" t="inlineStr"/>
    </row>
    <row r="330" ht="15" customHeight="1">
      <c r="A330" t="inlineStr">
        <is>
          <t>A 62115-2019</t>
        </is>
      </c>
      <c r="B330" s="1" t="n">
        <v>43787</v>
      </c>
      <c r="C330" s="1" t="n">
        <v>45294</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62451-2019</t>
        </is>
      </c>
      <c r="B331" s="1" t="n">
        <v>43788</v>
      </c>
      <c r="C331" s="1" t="n">
        <v>45294</v>
      </c>
      <c r="D331" t="inlineStr">
        <is>
          <t>JÄMTLANDS LÄN</t>
        </is>
      </c>
      <c r="E331" t="inlineStr">
        <is>
          <t>HÄRJEDALEN</t>
        </is>
      </c>
      <c r="F331" t="inlineStr">
        <is>
          <t>Bergvik skog väst AB</t>
        </is>
      </c>
      <c r="G331" t="n">
        <v>22.2</v>
      </c>
      <c r="H331" t="n">
        <v>0</v>
      </c>
      <c r="I331" t="n">
        <v>0</v>
      </c>
      <c r="J331" t="n">
        <v>0</v>
      </c>
      <c r="K331" t="n">
        <v>0</v>
      </c>
      <c r="L331" t="n">
        <v>0</v>
      </c>
      <c r="M331" t="n">
        <v>0</v>
      </c>
      <c r="N331" t="n">
        <v>0</v>
      </c>
      <c r="O331" t="n">
        <v>0</v>
      </c>
      <c r="P331" t="n">
        <v>0</v>
      </c>
      <c r="Q331" t="n">
        <v>0</v>
      </c>
      <c r="R331" s="2" t="inlineStr"/>
    </row>
    <row r="332" ht="15" customHeight="1">
      <c r="A332" t="inlineStr">
        <is>
          <t>A 62971-2019</t>
        </is>
      </c>
      <c r="B332" s="1" t="n">
        <v>43790</v>
      </c>
      <c r="C332" s="1" t="n">
        <v>45294</v>
      </c>
      <c r="D332" t="inlineStr">
        <is>
          <t>JÄMTLANDS LÄN</t>
        </is>
      </c>
      <c r="E332" t="inlineStr">
        <is>
          <t>HÄRJEDALEN</t>
        </is>
      </c>
      <c r="F332" t="inlineStr">
        <is>
          <t>Bergvik skog väst AB</t>
        </is>
      </c>
      <c r="G332" t="n">
        <v>18.2</v>
      </c>
      <c r="H332" t="n">
        <v>0</v>
      </c>
      <c r="I332" t="n">
        <v>0</v>
      </c>
      <c r="J332" t="n">
        <v>0</v>
      </c>
      <c r="K332" t="n">
        <v>0</v>
      </c>
      <c r="L332" t="n">
        <v>0</v>
      </c>
      <c r="M332" t="n">
        <v>0</v>
      </c>
      <c r="N332" t="n">
        <v>0</v>
      </c>
      <c r="O332" t="n">
        <v>0</v>
      </c>
      <c r="P332" t="n">
        <v>0</v>
      </c>
      <c r="Q332" t="n">
        <v>0</v>
      </c>
      <c r="R332" s="2" t="inlineStr"/>
    </row>
    <row r="333" ht="15" customHeight="1">
      <c r="A333" t="inlineStr">
        <is>
          <t>A 64417-2019</t>
        </is>
      </c>
      <c r="B333" s="1" t="n">
        <v>43794</v>
      </c>
      <c r="C333" s="1" t="n">
        <v>45294</v>
      </c>
      <c r="D333" t="inlineStr">
        <is>
          <t>JÄMTLANDS LÄN</t>
        </is>
      </c>
      <c r="E333" t="inlineStr">
        <is>
          <t>HÄRJEDALEN</t>
        </is>
      </c>
      <c r="G333" t="n">
        <v>6.9</v>
      </c>
      <c r="H333" t="n">
        <v>0</v>
      </c>
      <c r="I333" t="n">
        <v>0</v>
      </c>
      <c r="J333" t="n">
        <v>0</v>
      </c>
      <c r="K333" t="n">
        <v>0</v>
      </c>
      <c r="L333" t="n">
        <v>0</v>
      </c>
      <c r="M333" t="n">
        <v>0</v>
      </c>
      <c r="N333" t="n">
        <v>0</v>
      </c>
      <c r="O333" t="n">
        <v>0</v>
      </c>
      <c r="P333" t="n">
        <v>0</v>
      </c>
      <c r="Q333" t="n">
        <v>0</v>
      </c>
      <c r="R333" s="2" t="inlineStr"/>
    </row>
    <row r="334" ht="15" customHeight="1">
      <c r="A334" t="inlineStr">
        <is>
          <t>A 64229-2019</t>
        </is>
      </c>
      <c r="B334" s="1" t="n">
        <v>43797</v>
      </c>
      <c r="C334" s="1" t="n">
        <v>45294</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64689-2019</t>
        </is>
      </c>
      <c r="B335" s="1" t="n">
        <v>43798</v>
      </c>
      <c r="C335" s="1" t="n">
        <v>45294</v>
      </c>
      <c r="D335" t="inlineStr">
        <is>
          <t>JÄMTLANDS LÄN</t>
        </is>
      </c>
      <c r="E335" t="inlineStr">
        <is>
          <t>HÄRJEDALEN</t>
        </is>
      </c>
      <c r="F335" t="inlineStr">
        <is>
          <t>Holmen skog AB</t>
        </is>
      </c>
      <c r="G335" t="n">
        <v>2.6</v>
      </c>
      <c r="H335" t="n">
        <v>0</v>
      </c>
      <c r="I335" t="n">
        <v>0</v>
      </c>
      <c r="J335" t="n">
        <v>0</v>
      </c>
      <c r="K335" t="n">
        <v>0</v>
      </c>
      <c r="L335" t="n">
        <v>0</v>
      </c>
      <c r="M335" t="n">
        <v>0</v>
      </c>
      <c r="N335" t="n">
        <v>0</v>
      </c>
      <c r="O335" t="n">
        <v>0</v>
      </c>
      <c r="P335" t="n">
        <v>0</v>
      </c>
      <c r="Q335" t="n">
        <v>0</v>
      </c>
      <c r="R335" s="2" t="inlineStr"/>
    </row>
    <row r="336" ht="15" customHeight="1">
      <c r="A336" t="inlineStr">
        <is>
          <t>A 65759-2019</t>
        </is>
      </c>
      <c r="B336" s="1" t="n">
        <v>43804</v>
      </c>
      <c r="C336" s="1" t="n">
        <v>45294</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66255-2019</t>
        </is>
      </c>
      <c r="B337" s="1" t="n">
        <v>43808</v>
      </c>
      <c r="C337" s="1" t="n">
        <v>45294</v>
      </c>
      <c r="D337" t="inlineStr">
        <is>
          <t>JÄMTLANDS LÄN</t>
        </is>
      </c>
      <c r="E337" t="inlineStr">
        <is>
          <t>HÄRJEDALEN</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66735-2019</t>
        </is>
      </c>
      <c r="B338" s="1" t="n">
        <v>43810</v>
      </c>
      <c r="C338" s="1" t="n">
        <v>45294</v>
      </c>
      <c r="D338" t="inlineStr">
        <is>
          <t>JÄMTLANDS LÄN</t>
        </is>
      </c>
      <c r="E338" t="inlineStr">
        <is>
          <t>HÄRJEDALEN</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67619-2019</t>
        </is>
      </c>
      <c r="B339" s="1" t="n">
        <v>43815</v>
      </c>
      <c r="C339" s="1" t="n">
        <v>45294</v>
      </c>
      <c r="D339" t="inlineStr">
        <is>
          <t>JÄMTLANDS LÄN</t>
        </is>
      </c>
      <c r="E339" t="inlineStr">
        <is>
          <t>HÄRJEDALEN</t>
        </is>
      </c>
      <c r="F339" t="inlineStr">
        <is>
          <t>Holmen skog AB</t>
        </is>
      </c>
      <c r="G339" t="n">
        <v>6.4</v>
      </c>
      <c r="H339" t="n">
        <v>0</v>
      </c>
      <c r="I339" t="n">
        <v>0</v>
      </c>
      <c r="J339" t="n">
        <v>0</v>
      </c>
      <c r="K339" t="n">
        <v>0</v>
      </c>
      <c r="L339" t="n">
        <v>0</v>
      </c>
      <c r="M339" t="n">
        <v>0</v>
      </c>
      <c r="N339" t="n">
        <v>0</v>
      </c>
      <c r="O339" t="n">
        <v>0</v>
      </c>
      <c r="P339" t="n">
        <v>0</v>
      </c>
      <c r="Q339" t="n">
        <v>0</v>
      </c>
      <c r="R339" s="2" t="inlineStr"/>
    </row>
    <row r="340" ht="15" customHeight="1">
      <c r="A340" t="inlineStr">
        <is>
          <t>A 67693-2019</t>
        </is>
      </c>
      <c r="B340" s="1" t="n">
        <v>43815</v>
      </c>
      <c r="C340" s="1" t="n">
        <v>45294</v>
      </c>
      <c r="D340" t="inlineStr">
        <is>
          <t>JÄMTLANDS LÄN</t>
        </is>
      </c>
      <c r="E340" t="inlineStr">
        <is>
          <t>HÄRJEDALEN</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67500-2019</t>
        </is>
      </c>
      <c r="B341" s="1" t="n">
        <v>43815</v>
      </c>
      <c r="C341" s="1" t="n">
        <v>45294</v>
      </c>
      <c r="D341" t="inlineStr">
        <is>
          <t>JÄMTLANDS LÄN</t>
        </is>
      </c>
      <c r="E341" t="inlineStr">
        <is>
          <t>HÄRJEDALEN</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67695-2019</t>
        </is>
      </c>
      <c r="B342" s="1" t="n">
        <v>43815</v>
      </c>
      <c r="C342" s="1" t="n">
        <v>45294</v>
      </c>
      <c r="D342" t="inlineStr">
        <is>
          <t>JÄMTLANDS LÄN</t>
        </is>
      </c>
      <c r="E342" t="inlineStr">
        <is>
          <t>HÄRJEDALEN</t>
        </is>
      </c>
      <c r="F342" t="inlineStr">
        <is>
          <t>Holmen skog AB</t>
        </is>
      </c>
      <c r="G342" t="n">
        <v>0.9</v>
      </c>
      <c r="H342" t="n">
        <v>0</v>
      </c>
      <c r="I342" t="n">
        <v>0</v>
      </c>
      <c r="J342" t="n">
        <v>0</v>
      </c>
      <c r="K342" t="n">
        <v>0</v>
      </c>
      <c r="L342" t="n">
        <v>0</v>
      </c>
      <c r="M342" t="n">
        <v>0</v>
      </c>
      <c r="N342" t="n">
        <v>0</v>
      </c>
      <c r="O342" t="n">
        <v>0</v>
      </c>
      <c r="P342" t="n">
        <v>0</v>
      </c>
      <c r="Q342" t="n">
        <v>0</v>
      </c>
      <c r="R342" s="2" t="inlineStr"/>
    </row>
    <row r="343" ht="15" customHeight="1">
      <c r="A343" t="inlineStr">
        <is>
          <t>A 67757-2019</t>
        </is>
      </c>
      <c r="B343" s="1" t="n">
        <v>43815</v>
      </c>
      <c r="C343" s="1" t="n">
        <v>45294</v>
      </c>
      <c r="D343" t="inlineStr">
        <is>
          <t>JÄMTLANDS LÄN</t>
        </is>
      </c>
      <c r="E343" t="inlineStr">
        <is>
          <t>HÄRJEDALEN</t>
        </is>
      </c>
      <c r="F343" t="inlineStr">
        <is>
          <t>Holmen skog AB</t>
        </is>
      </c>
      <c r="G343" t="n">
        <v>4</v>
      </c>
      <c r="H343" t="n">
        <v>0</v>
      </c>
      <c r="I343" t="n">
        <v>0</v>
      </c>
      <c r="J343" t="n">
        <v>0</v>
      </c>
      <c r="K343" t="n">
        <v>0</v>
      </c>
      <c r="L343" t="n">
        <v>0</v>
      </c>
      <c r="M343" t="n">
        <v>0</v>
      </c>
      <c r="N343" t="n">
        <v>0</v>
      </c>
      <c r="O343" t="n">
        <v>0</v>
      </c>
      <c r="P343" t="n">
        <v>0</v>
      </c>
      <c r="Q343" t="n">
        <v>0</v>
      </c>
      <c r="R343" s="2" t="inlineStr"/>
    </row>
    <row r="344" ht="15" customHeight="1">
      <c r="A344" t="inlineStr">
        <is>
          <t>A 67688-2019</t>
        </is>
      </c>
      <c r="B344" s="1" t="n">
        <v>43815</v>
      </c>
      <c r="C344" s="1" t="n">
        <v>45294</v>
      </c>
      <c r="D344" t="inlineStr">
        <is>
          <t>JÄMTLANDS LÄN</t>
        </is>
      </c>
      <c r="E344" t="inlineStr">
        <is>
          <t>HÄRJEDALEN</t>
        </is>
      </c>
      <c r="F344" t="inlineStr">
        <is>
          <t>Holmen skog AB</t>
        </is>
      </c>
      <c r="G344" t="n">
        <v>4.2</v>
      </c>
      <c r="H344" t="n">
        <v>0</v>
      </c>
      <c r="I344" t="n">
        <v>0</v>
      </c>
      <c r="J344" t="n">
        <v>0</v>
      </c>
      <c r="K344" t="n">
        <v>0</v>
      </c>
      <c r="L344" t="n">
        <v>0</v>
      </c>
      <c r="M344" t="n">
        <v>0</v>
      </c>
      <c r="N344" t="n">
        <v>0</v>
      </c>
      <c r="O344" t="n">
        <v>0</v>
      </c>
      <c r="P344" t="n">
        <v>0</v>
      </c>
      <c r="Q344" t="n">
        <v>0</v>
      </c>
      <c r="R344" s="2" t="inlineStr"/>
    </row>
    <row r="345" ht="15" customHeight="1">
      <c r="A345" t="inlineStr">
        <is>
          <t>A 67738-2019</t>
        </is>
      </c>
      <c r="B345" s="1" t="n">
        <v>43815</v>
      </c>
      <c r="C345" s="1" t="n">
        <v>45294</v>
      </c>
      <c r="D345" t="inlineStr">
        <is>
          <t>JÄMTLANDS LÄN</t>
        </is>
      </c>
      <c r="E345" t="inlineStr">
        <is>
          <t>HÄRJEDALEN</t>
        </is>
      </c>
      <c r="F345" t="inlineStr">
        <is>
          <t>Holmen skog AB</t>
        </is>
      </c>
      <c r="G345" t="n">
        <v>15.9</v>
      </c>
      <c r="H345" t="n">
        <v>0</v>
      </c>
      <c r="I345" t="n">
        <v>0</v>
      </c>
      <c r="J345" t="n">
        <v>0</v>
      </c>
      <c r="K345" t="n">
        <v>0</v>
      </c>
      <c r="L345" t="n">
        <v>0</v>
      </c>
      <c r="M345" t="n">
        <v>0</v>
      </c>
      <c r="N345" t="n">
        <v>0</v>
      </c>
      <c r="O345" t="n">
        <v>0</v>
      </c>
      <c r="P345" t="n">
        <v>0</v>
      </c>
      <c r="Q345" t="n">
        <v>0</v>
      </c>
      <c r="R345" s="2" t="inlineStr"/>
    </row>
    <row r="346" ht="15" customHeight="1">
      <c r="A346" t="inlineStr">
        <is>
          <t>A 67506-2019</t>
        </is>
      </c>
      <c r="B346" s="1" t="n">
        <v>43815</v>
      </c>
      <c r="C346" s="1" t="n">
        <v>45294</v>
      </c>
      <c r="D346" t="inlineStr">
        <is>
          <t>JÄMTLANDS LÄN</t>
        </is>
      </c>
      <c r="E346" t="inlineStr">
        <is>
          <t>HÄRJEDALEN</t>
        </is>
      </c>
      <c r="F346" t="inlineStr">
        <is>
          <t>Holmen skog AB</t>
        </is>
      </c>
      <c r="G346" t="n">
        <v>27</v>
      </c>
      <c r="H346" t="n">
        <v>0</v>
      </c>
      <c r="I346" t="n">
        <v>0</v>
      </c>
      <c r="J346" t="n">
        <v>0</v>
      </c>
      <c r="K346" t="n">
        <v>0</v>
      </c>
      <c r="L346" t="n">
        <v>0</v>
      </c>
      <c r="M346" t="n">
        <v>0</v>
      </c>
      <c r="N346" t="n">
        <v>0</v>
      </c>
      <c r="O346" t="n">
        <v>0</v>
      </c>
      <c r="P346" t="n">
        <v>0</v>
      </c>
      <c r="Q346" t="n">
        <v>0</v>
      </c>
      <c r="R346" s="2" t="inlineStr"/>
    </row>
    <row r="347" ht="15" customHeight="1">
      <c r="A347" t="inlineStr">
        <is>
          <t>A 67692-2019</t>
        </is>
      </c>
      <c r="B347" s="1" t="n">
        <v>43815</v>
      </c>
      <c r="C347" s="1" t="n">
        <v>45294</v>
      </c>
      <c r="D347" t="inlineStr">
        <is>
          <t>JÄMTLANDS LÄN</t>
        </is>
      </c>
      <c r="E347" t="inlineStr">
        <is>
          <t>HÄRJEDALEN</t>
        </is>
      </c>
      <c r="F347" t="inlineStr">
        <is>
          <t>Holmen skog AB</t>
        </is>
      </c>
      <c r="G347" t="n">
        <v>12.9</v>
      </c>
      <c r="H347" t="n">
        <v>0</v>
      </c>
      <c r="I347" t="n">
        <v>0</v>
      </c>
      <c r="J347" t="n">
        <v>0</v>
      </c>
      <c r="K347" t="n">
        <v>0</v>
      </c>
      <c r="L347" t="n">
        <v>0</v>
      </c>
      <c r="M347" t="n">
        <v>0</v>
      </c>
      <c r="N347" t="n">
        <v>0</v>
      </c>
      <c r="O347" t="n">
        <v>0</v>
      </c>
      <c r="P347" t="n">
        <v>0</v>
      </c>
      <c r="Q347" t="n">
        <v>0</v>
      </c>
      <c r="R347" s="2" t="inlineStr"/>
    </row>
    <row r="348" ht="15" customHeight="1">
      <c r="A348" t="inlineStr">
        <is>
          <t>A 67733-2019</t>
        </is>
      </c>
      <c r="B348" s="1" t="n">
        <v>43815</v>
      </c>
      <c r="C348" s="1" t="n">
        <v>45294</v>
      </c>
      <c r="D348" t="inlineStr">
        <is>
          <t>JÄMTLANDS LÄN</t>
        </is>
      </c>
      <c r="E348" t="inlineStr">
        <is>
          <t>HÄRJEDALEN</t>
        </is>
      </c>
      <c r="F348" t="inlineStr">
        <is>
          <t>Holmen skog AB</t>
        </is>
      </c>
      <c r="G348" t="n">
        <v>15.5</v>
      </c>
      <c r="H348" t="n">
        <v>0</v>
      </c>
      <c r="I348" t="n">
        <v>0</v>
      </c>
      <c r="J348" t="n">
        <v>0</v>
      </c>
      <c r="K348" t="n">
        <v>0</v>
      </c>
      <c r="L348" t="n">
        <v>0</v>
      </c>
      <c r="M348" t="n">
        <v>0</v>
      </c>
      <c r="N348" t="n">
        <v>0</v>
      </c>
      <c r="O348" t="n">
        <v>0</v>
      </c>
      <c r="P348" t="n">
        <v>0</v>
      </c>
      <c r="Q348" t="n">
        <v>0</v>
      </c>
      <c r="R348" s="2" t="inlineStr"/>
    </row>
    <row r="349" ht="15" customHeight="1">
      <c r="A349" t="inlineStr">
        <is>
          <t>A 67593-2019</t>
        </is>
      </c>
      <c r="B349" s="1" t="n">
        <v>43815</v>
      </c>
      <c r="C349" s="1" t="n">
        <v>45294</v>
      </c>
      <c r="D349" t="inlineStr">
        <is>
          <t>JÄMTLANDS LÄN</t>
        </is>
      </c>
      <c r="E349" t="inlineStr">
        <is>
          <t>HÄRJEDALEN</t>
        </is>
      </c>
      <c r="F349" t="inlineStr">
        <is>
          <t>Holmen skog AB</t>
        </is>
      </c>
      <c r="G349" t="n">
        <v>7.9</v>
      </c>
      <c r="H349" t="n">
        <v>0</v>
      </c>
      <c r="I349" t="n">
        <v>0</v>
      </c>
      <c r="J349" t="n">
        <v>0</v>
      </c>
      <c r="K349" t="n">
        <v>0</v>
      </c>
      <c r="L349" t="n">
        <v>0</v>
      </c>
      <c r="M349" t="n">
        <v>0</v>
      </c>
      <c r="N349" t="n">
        <v>0</v>
      </c>
      <c r="O349" t="n">
        <v>0</v>
      </c>
      <c r="P349" t="n">
        <v>0</v>
      </c>
      <c r="Q349" t="n">
        <v>0</v>
      </c>
      <c r="R349" s="2" t="inlineStr"/>
    </row>
    <row r="350" ht="15" customHeight="1">
      <c r="A350" t="inlineStr">
        <is>
          <t>A 67535-2019</t>
        </is>
      </c>
      <c r="B350" s="1" t="n">
        <v>43815</v>
      </c>
      <c r="C350" s="1" t="n">
        <v>45294</v>
      </c>
      <c r="D350" t="inlineStr">
        <is>
          <t>JÄMTLANDS LÄN</t>
        </is>
      </c>
      <c r="E350" t="inlineStr">
        <is>
          <t>HÄRJEDALEN</t>
        </is>
      </c>
      <c r="F350" t="inlineStr">
        <is>
          <t>Holmen skog AB</t>
        </is>
      </c>
      <c r="G350" t="n">
        <v>34.3</v>
      </c>
      <c r="H350" t="n">
        <v>0</v>
      </c>
      <c r="I350" t="n">
        <v>0</v>
      </c>
      <c r="J350" t="n">
        <v>0</v>
      </c>
      <c r="K350" t="n">
        <v>0</v>
      </c>
      <c r="L350" t="n">
        <v>0</v>
      </c>
      <c r="M350" t="n">
        <v>0</v>
      </c>
      <c r="N350" t="n">
        <v>0</v>
      </c>
      <c r="O350" t="n">
        <v>0</v>
      </c>
      <c r="P350" t="n">
        <v>0</v>
      </c>
      <c r="Q350" t="n">
        <v>0</v>
      </c>
      <c r="R350" s="2" t="inlineStr"/>
    </row>
    <row r="351" ht="15" customHeight="1">
      <c r="A351" t="inlineStr">
        <is>
          <t>A 67972-2019</t>
        </is>
      </c>
      <c r="B351" s="1" t="n">
        <v>43816</v>
      </c>
      <c r="C351" s="1" t="n">
        <v>45294</v>
      </c>
      <c r="D351" t="inlineStr">
        <is>
          <t>JÄMTLANDS LÄN</t>
        </is>
      </c>
      <c r="E351" t="inlineStr">
        <is>
          <t>HÄRJEDALEN</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642-2020</t>
        </is>
      </c>
      <c r="B352" s="1" t="n">
        <v>43817</v>
      </c>
      <c r="C352" s="1" t="n">
        <v>45294</v>
      </c>
      <c r="D352" t="inlineStr">
        <is>
          <t>JÄMTLANDS LÄN</t>
        </is>
      </c>
      <c r="E352" t="inlineStr">
        <is>
          <t>HÄRJEDALEN</t>
        </is>
      </c>
      <c r="G352" t="n">
        <v>15.5</v>
      </c>
      <c r="H352" t="n">
        <v>0</v>
      </c>
      <c r="I352" t="n">
        <v>0</v>
      </c>
      <c r="J352" t="n">
        <v>0</v>
      </c>
      <c r="K352" t="n">
        <v>0</v>
      </c>
      <c r="L352" t="n">
        <v>0</v>
      </c>
      <c r="M352" t="n">
        <v>0</v>
      </c>
      <c r="N352" t="n">
        <v>0</v>
      </c>
      <c r="O352" t="n">
        <v>0</v>
      </c>
      <c r="P352" t="n">
        <v>0</v>
      </c>
      <c r="Q352" t="n">
        <v>0</v>
      </c>
      <c r="R352" s="2" t="inlineStr"/>
    </row>
    <row r="353" ht="15" customHeight="1">
      <c r="A353" t="inlineStr">
        <is>
          <t>A 159-2020</t>
        </is>
      </c>
      <c r="B353" s="1" t="n">
        <v>43833</v>
      </c>
      <c r="C353" s="1" t="n">
        <v>45294</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2320-2020</t>
        </is>
      </c>
      <c r="B354" s="1" t="n">
        <v>43846</v>
      </c>
      <c r="C354" s="1" t="n">
        <v>45294</v>
      </c>
      <c r="D354" t="inlineStr">
        <is>
          <t>JÄMTLANDS LÄN</t>
        </is>
      </c>
      <c r="E354" t="inlineStr">
        <is>
          <t>HÄRJEDALEN</t>
        </is>
      </c>
      <c r="F354" t="inlineStr">
        <is>
          <t>Bergvik skog väst AB</t>
        </is>
      </c>
      <c r="G354" t="n">
        <v>3.3</v>
      </c>
      <c r="H354" t="n">
        <v>0</v>
      </c>
      <c r="I354" t="n">
        <v>0</v>
      </c>
      <c r="J354" t="n">
        <v>0</v>
      </c>
      <c r="K354" t="n">
        <v>0</v>
      </c>
      <c r="L354" t="n">
        <v>0</v>
      </c>
      <c r="M354" t="n">
        <v>0</v>
      </c>
      <c r="N354" t="n">
        <v>0</v>
      </c>
      <c r="O354" t="n">
        <v>0</v>
      </c>
      <c r="P354" t="n">
        <v>0</v>
      </c>
      <c r="Q354" t="n">
        <v>0</v>
      </c>
      <c r="R354" s="2" t="inlineStr"/>
    </row>
    <row r="355" ht="15" customHeight="1">
      <c r="A355" t="inlineStr">
        <is>
          <t>A 4663-2020</t>
        </is>
      </c>
      <c r="B355" s="1" t="n">
        <v>43858</v>
      </c>
      <c r="C355" s="1" t="n">
        <v>45294</v>
      </c>
      <c r="D355" t="inlineStr">
        <is>
          <t>JÄMTLANDS LÄN</t>
        </is>
      </c>
      <c r="E355" t="inlineStr">
        <is>
          <t>HÄRJEDALEN</t>
        </is>
      </c>
      <c r="G355" t="n">
        <v>10.2</v>
      </c>
      <c r="H355" t="n">
        <v>0</v>
      </c>
      <c r="I355" t="n">
        <v>0</v>
      </c>
      <c r="J355" t="n">
        <v>0</v>
      </c>
      <c r="K355" t="n">
        <v>0</v>
      </c>
      <c r="L355" t="n">
        <v>0</v>
      </c>
      <c r="M355" t="n">
        <v>0</v>
      </c>
      <c r="N355" t="n">
        <v>0</v>
      </c>
      <c r="O355" t="n">
        <v>0</v>
      </c>
      <c r="P355" t="n">
        <v>0</v>
      </c>
      <c r="Q355" t="n">
        <v>0</v>
      </c>
      <c r="R355" s="2" t="inlineStr"/>
    </row>
    <row r="356" ht="15" customHeight="1">
      <c r="A356" t="inlineStr">
        <is>
          <t>A 6719-2020</t>
        </is>
      </c>
      <c r="B356" s="1" t="n">
        <v>43866</v>
      </c>
      <c r="C356" s="1" t="n">
        <v>45294</v>
      </c>
      <c r="D356" t="inlineStr">
        <is>
          <t>JÄMTLANDS LÄN</t>
        </is>
      </c>
      <c r="E356" t="inlineStr">
        <is>
          <t>HÄRJEDALEN</t>
        </is>
      </c>
      <c r="G356" t="n">
        <v>1.2</v>
      </c>
      <c r="H356" t="n">
        <v>0</v>
      </c>
      <c r="I356" t="n">
        <v>0</v>
      </c>
      <c r="J356" t="n">
        <v>0</v>
      </c>
      <c r="K356" t="n">
        <v>0</v>
      </c>
      <c r="L356" t="n">
        <v>0</v>
      </c>
      <c r="M356" t="n">
        <v>0</v>
      </c>
      <c r="N356" t="n">
        <v>0</v>
      </c>
      <c r="O356" t="n">
        <v>0</v>
      </c>
      <c r="P356" t="n">
        <v>0</v>
      </c>
      <c r="Q356" t="n">
        <v>0</v>
      </c>
      <c r="R356" s="2" t="inlineStr"/>
    </row>
    <row r="357" ht="15" customHeight="1">
      <c r="A357" t="inlineStr">
        <is>
          <t>A 6715-2020</t>
        </is>
      </c>
      <c r="B357" s="1" t="n">
        <v>43866</v>
      </c>
      <c r="C357" s="1" t="n">
        <v>45294</v>
      </c>
      <c r="D357" t="inlineStr">
        <is>
          <t>JÄMTLANDS LÄN</t>
        </is>
      </c>
      <c r="E357" t="inlineStr">
        <is>
          <t>HÄRJEDALEN</t>
        </is>
      </c>
      <c r="G357" t="n">
        <v>7.5</v>
      </c>
      <c r="H357" t="n">
        <v>0</v>
      </c>
      <c r="I357" t="n">
        <v>0</v>
      </c>
      <c r="J357" t="n">
        <v>0</v>
      </c>
      <c r="K357" t="n">
        <v>0</v>
      </c>
      <c r="L357" t="n">
        <v>0</v>
      </c>
      <c r="M357" t="n">
        <v>0</v>
      </c>
      <c r="N357" t="n">
        <v>0</v>
      </c>
      <c r="O357" t="n">
        <v>0</v>
      </c>
      <c r="P357" t="n">
        <v>0</v>
      </c>
      <c r="Q357" t="n">
        <v>0</v>
      </c>
      <c r="R357" s="2" t="inlineStr"/>
    </row>
    <row r="358" ht="15" customHeight="1">
      <c r="A358" t="inlineStr">
        <is>
          <t>A 6675-2020</t>
        </is>
      </c>
      <c r="B358" s="1" t="n">
        <v>43866</v>
      </c>
      <c r="C358" s="1" t="n">
        <v>45294</v>
      </c>
      <c r="D358" t="inlineStr">
        <is>
          <t>JÄMTLANDS LÄN</t>
        </is>
      </c>
      <c r="E358" t="inlineStr">
        <is>
          <t>HÄRJEDALEN</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6584-2020</t>
        </is>
      </c>
      <c r="B359" s="1" t="n">
        <v>43867</v>
      </c>
      <c r="C359" s="1" t="n">
        <v>45294</v>
      </c>
      <c r="D359" t="inlineStr">
        <is>
          <t>JÄMTLANDS LÄN</t>
        </is>
      </c>
      <c r="E359" t="inlineStr">
        <is>
          <t>HÄRJEDALEN</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6903-2020</t>
        </is>
      </c>
      <c r="B360" s="1" t="n">
        <v>43867</v>
      </c>
      <c r="C360" s="1" t="n">
        <v>45294</v>
      </c>
      <c r="D360" t="inlineStr">
        <is>
          <t>JÄMTLANDS LÄN</t>
        </is>
      </c>
      <c r="E360" t="inlineStr">
        <is>
          <t>HÄRJEDALEN</t>
        </is>
      </c>
      <c r="G360" t="n">
        <v>10.5</v>
      </c>
      <c r="H360" t="n">
        <v>0</v>
      </c>
      <c r="I360" t="n">
        <v>0</v>
      </c>
      <c r="J360" t="n">
        <v>0</v>
      </c>
      <c r="K360" t="n">
        <v>0</v>
      </c>
      <c r="L360" t="n">
        <v>0</v>
      </c>
      <c r="M360" t="n">
        <v>0</v>
      </c>
      <c r="N360" t="n">
        <v>0</v>
      </c>
      <c r="O360" t="n">
        <v>0</v>
      </c>
      <c r="P360" t="n">
        <v>0</v>
      </c>
      <c r="Q360" t="n">
        <v>0</v>
      </c>
      <c r="R360" s="2" t="inlineStr"/>
    </row>
    <row r="361" ht="15" customHeight="1">
      <c r="A361" t="inlineStr">
        <is>
          <t>A 7184-2020</t>
        </is>
      </c>
      <c r="B361" s="1" t="n">
        <v>43871</v>
      </c>
      <c r="C361" s="1" t="n">
        <v>45294</v>
      </c>
      <c r="D361" t="inlineStr">
        <is>
          <t>JÄMTLANDS LÄN</t>
        </is>
      </c>
      <c r="E361" t="inlineStr">
        <is>
          <t>HÄRJEDALEN</t>
        </is>
      </c>
      <c r="G361" t="n">
        <v>41.4</v>
      </c>
      <c r="H361" t="n">
        <v>0</v>
      </c>
      <c r="I361" t="n">
        <v>0</v>
      </c>
      <c r="J361" t="n">
        <v>0</v>
      </c>
      <c r="K361" t="n">
        <v>0</v>
      </c>
      <c r="L361" t="n">
        <v>0</v>
      </c>
      <c r="M361" t="n">
        <v>0</v>
      </c>
      <c r="N361" t="n">
        <v>0</v>
      </c>
      <c r="O361" t="n">
        <v>0</v>
      </c>
      <c r="P361" t="n">
        <v>0</v>
      </c>
      <c r="Q361" t="n">
        <v>0</v>
      </c>
      <c r="R361" s="2" t="inlineStr"/>
    </row>
    <row r="362" ht="15" customHeight="1">
      <c r="A362" t="inlineStr">
        <is>
          <t>A 8111-2020</t>
        </is>
      </c>
      <c r="B362" s="1" t="n">
        <v>43874</v>
      </c>
      <c r="C362" s="1" t="n">
        <v>45294</v>
      </c>
      <c r="D362" t="inlineStr">
        <is>
          <t>JÄMTLANDS LÄN</t>
        </is>
      </c>
      <c r="E362" t="inlineStr">
        <is>
          <t>HÄRJEDALEN</t>
        </is>
      </c>
      <c r="G362" t="n">
        <v>15.4</v>
      </c>
      <c r="H362" t="n">
        <v>0</v>
      </c>
      <c r="I362" t="n">
        <v>0</v>
      </c>
      <c r="J362" t="n">
        <v>0</v>
      </c>
      <c r="K362" t="n">
        <v>0</v>
      </c>
      <c r="L362" t="n">
        <v>0</v>
      </c>
      <c r="M362" t="n">
        <v>0</v>
      </c>
      <c r="N362" t="n">
        <v>0</v>
      </c>
      <c r="O362" t="n">
        <v>0</v>
      </c>
      <c r="P362" t="n">
        <v>0</v>
      </c>
      <c r="Q362" t="n">
        <v>0</v>
      </c>
      <c r="R362" s="2" t="inlineStr"/>
    </row>
    <row r="363" ht="15" customHeight="1">
      <c r="A363" t="inlineStr">
        <is>
          <t>A 8762-2020</t>
        </is>
      </c>
      <c r="B363" s="1" t="n">
        <v>43875</v>
      </c>
      <c r="C363" s="1" t="n">
        <v>45294</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8908-2020</t>
        </is>
      </c>
      <c r="B364" s="1" t="n">
        <v>43878</v>
      </c>
      <c r="C364" s="1" t="n">
        <v>45294</v>
      </c>
      <c r="D364" t="inlineStr">
        <is>
          <t>JÄMTLANDS LÄN</t>
        </is>
      </c>
      <c r="E364" t="inlineStr">
        <is>
          <t>HÄRJEDALEN</t>
        </is>
      </c>
      <c r="G364" t="n">
        <v>18.1</v>
      </c>
      <c r="H364" t="n">
        <v>0</v>
      </c>
      <c r="I364" t="n">
        <v>0</v>
      </c>
      <c r="J364" t="n">
        <v>0</v>
      </c>
      <c r="K364" t="n">
        <v>0</v>
      </c>
      <c r="L364" t="n">
        <v>0</v>
      </c>
      <c r="M364" t="n">
        <v>0</v>
      </c>
      <c r="N364" t="n">
        <v>0</v>
      </c>
      <c r="O364" t="n">
        <v>0</v>
      </c>
      <c r="P364" t="n">
        <v>0</v>
      </c>
      <c r="Q364" t="n">
        <v>0</v>
      </c>
      <c r="R364" s="2" t="inlineStr"/>
    </row>
    <row r="365" ht="15" customHeight="1">
      <c r="A365" t="inlineStr">
        <is>
          <t>A 9034-2020</t>
        </is>
      </c>
      <c r="B365" s="1" t="n">
        <v>43879</v>
      </c>
      <c r="C365" s="1" t="n">
        <v>45294</v>
      </c>
      <c r="D365" t="inlineStr">
        <is>
          <t>JÄMTLANDS LÄN</t>
        </is>
      </c>
      <c r="E365" t="inlineStr">
        <is>
          <t>HÄRJEDALEN</t>
        </is>
      </c>
      <c r="G365" t="n">
        <v>0.7</v>
      </c>
      <c r="H365" t="n">
        <v>0</v>
      </c>
      <c r="I365" t="n">
        <v>0</v>
      </c>
      <c r="J365" t="n">
        <v>0</v>
      </c>
      <c r="K365" t="n">
        <v>0</v>
      </c>
      <c r="L365" t="n">
        <v>0</v>
      </c>
      <c r="M365" t="n">
        <v>0</v>
      </c>
      <c r="N365" t="n">
        <v>0</v>
      </c>
      <c r="O365" t="n">
        <v>0</v>
      </c>
      <c r="P365" t="n">
        <v>0</v>
      </c>
      <c r="Q365" t="n">
        <v>0</v>
      </c>
      <c r="R365" s="2" t="inlineStr"/>
    </row>
    <row r="366" ht="15" customHeight="1">
      <c r="A366" t="inlineStr">
        <is>
          <t>A 9591-2020</t>
        </is>
      </c>
      <c r="B366" s="1" t="n">
        <v>43881</v>
      </c>
      <c r="C366" s="1" t="n">
        <v>45294</v>
      </c>
      <c r="D366" t="inlineStr">
        <is>
          <t>JÄMTLANDS LÄN</t>
        </is>
      </c>
      <c r="E366" t="inlineStr">
        <is>
          <t>HÄRJEDALEN</t>
        </is>
      </c>
      <c r="G366" t="n">
        <v>6.4</v>
      </c>
      <c r="H366" t="n">
        <v>0</v>
      </c>
      <c r="I366" t="n">
        <v>0</v>
      </c>
      <c r="J366" t="n">
        <v>0</v>
      </c>
      <c r="K366" t="n">
        <v>0</v>
      </c>
      <c r="L366" t="n">
        <v>0</v>
      </c>
      <c r="M366" t="n">
        <v>0</v>
      </c>
      <c r="N366" t="n">
        <v>0</v>
      </c>
      <c r="O366" t="n">
        <v>0</v>
      </c>
      <c r="P366" t="n">
        <v>0</v>
      </c>
      <c r="Q366" t="n">
        <v>0</v>
      </c>
      <c r="R366" s="2" t="inlineStr"/>
    </row>
    <row r="367" ht="15" customHeight="1">
      <c r="A367" t="inlineStr">
        <is>
          <t>A 11731-2020</t>
        </is>
      </c>
      <c r="B367" s="1" t="n">
        <v>43894</v>
      </c>
      <c r="C367" s="1" t="n">
        <v>45294</v>
      </c>
      <c r="D367" t="inlineStr">
        <is>
          <t>JÄMTLANDS LÄN</t>
        </is>
      </c>
      <c r="E367" t="inlineStr">
        <is>
          <t>HÄRJEDALEN</t>
        </is>
      </c>
      <c r="F367" t="inlineStr">
        <is>
          <t>Holmen skog AB</t>
        </is>
      </c>
      <c r="G367" t="n">
        <v>0.4</v>
      </c>
      <c r="H367" t="n">
        <v>0</v>
      </c>
      <c r="I367" t="n">
        <v>0</v>
      </c>
      <c r="J367" t="n">
        <v>0</v>
      </c>
      <c r="K367" t="n">
        <v>0</v>
      </c>
      <c r="L367" t="n">
        <v>0</v>
      </c>
      <c r="M367" t="n">
        <v>0</v>
      </c>
      <c r="N367" t="n">
        <v>0</v>
      </c>
      <c r="O367" t="n">
        <v>0</v>
      </c>
      <c r="P367" t="n">
        <v>0</v>
      </c>
      <c r="Q367" t="n">
        <v>0</v>
      </c>
      <c r="R367" s="2" t="inlineStr"/>
    </row>
    <row r="368" ht="15" customHeight="1">
      <c r="A368" t="inlineStr">
        <is>
          <t>A 11816-2020</t>
        </is>
      </c>
      <c r="B368" s="1" t="n">
        <v>43894</v>
      </c>
      <c r="C368" s="1" t="n">
        <v>45294</v>
      </c>
      <c r="D368" t="inlineStr">
        <is>
          <t>JÄMTLANDS LÄN</t>
        </is>
      </c>
      <c r="E368" t="inlineStr">
        <is>
          <t>HÄRJEDALEN</t>
        </is>
      </c>
      <c r="F368" t="inlineStr">
        <is>
          <t>Holmen skog AB</t>
        </is>
      </c>
      <c r="G368" t="n">
        <v>20.4</v>
      </c>
      <c r="H368" t="n">
        <v>0</v>
      </c>
      <c r="I368" t="n">
        <v>0</v>
      </c>
      <c r="J368" t="n">
        <v>0</v>
      </c>
      <c r="K368" t="n">
        <v>0</v>
      </c>
      <c r="L368" t="n">
        <v>0</v>
      </c>
      <c r="M368" t="n">
        <v>0</v>
      </c>
      <c r="N368" t="n">
        <v>0</v>
      </c>
      <c r="O368" t="n">
        <v>0</v>
      </c>
      <c r="P368" t="n">
        <v>0</v>
      </c>
      <c r="Q368" t="n">
        <v>0</v>
      </c>
      <c r="R368" s="2" t="inlineStr"/>
    </row>
    <row r="369" ht="15" customHeight="1">
      <c r="A369" t="inlineStr">
        <is>
          <t>A 11818-2020</t>
        </is>
      </c>
      <c r="B369" s="1" t="n">
        <v>43894</v>
      </c>
      <c r="C369" s="1" t="n">
        <v>45294</v>
      </c>
      <c r="D369" t="inlineStr">
        <is>
          <t>JÄMTLANDS LÄN</t>
        </is>
      </c>
      <c r="E369" t="inlineStr">
        <is>
          <t>HÄRJEDALEN</t>
        </is>
      </c>
      <c r="F369" t="inlineStr">
        <is>
          <t>Holmen skog AB</t>
        </is>
      </c>
      <c r="G369" t="n">
        <v>6</v>
      </c>
      <c r="H369" t="n">
        <v>0</v>
      </c>
      <c r="I369" t="n">
        <v>0</v>
      </c>
      <c r="J369" t="n">
        <v>0</v>
      </c>
      <c r="K369" t="n">
        <v>0</v>
      </c>
      <c r="L369" t="n">
        <v>0</v>
      </c>
      <c r="M369" t="n">
        <v>0</v>
      </c>
      <c r="N369" t="n">
        <v>0</v>
      </c>
      <c r="O369" t="n">
        <v>0</v>
      </c>
      <c r="P369" t="n">
        <v>0</v>
      </c>
      <c r="Q369" t="n">
        <v>0</v>
      </c>
      <c r="R369" s="2" t="inlineStr"/>
    </row>
    <row r="370" ht="15" customHeight="1">
      <c r="A370" t="inlineStr">
        <is>
          <t>A 11885-2020</t>
        </is>
      </c>
      <c r="B370" s="1" t="n">
        <v>43894</v>
      </c>
      <c r="C370" s="1" t="n">
        <v>45294</v>
      </c>
      <c r="D370" t="inlineStr">
        <is>
          <t>JÄMTLANDS LÄN</t>
        </is>
      </c>
      <c r="E370" t="inlineStr">
        <is>
          <t>HÄRJEDALEN</t>
        </is>
      </c>
      <c r="F370" t="inlineStr">
        <is>
          <t>Holmen skog AB</t>
        </is>
      </c>
      <c r="G370" t="n">
        <v>3.5</v>
      </c>
      <c r="H370" t="n">
        <v>0</v>
      </c>
      <c r="I370" t="n">
        <v>0</v>
      </c>
      <c r="J370" t="n">
        <v>0</v>
      </c>
      <c r="K370" t="n">
        <v>0</v>
      </c>
      <c r="L370" t="n">
        <v>0</v>
      </c>
      <c r="M370" t="n">
        <v>0</v>
      </c>
      <c r="N370" t="n">
        <v>0</v>
      </c>
      <c r="O370" t="n">
        <v>0</v>
      </c>
      <c r="P370" t="n">
        <v>0</v>
      </c>
      <c r="Q370" t="n">
        <v>0</v>
      </c>
      <c r="R370" s="2" t="inlineStr"/>
    </row>
    <row r="371" ht="15" customHeight="1">
      <c r="A371" t="inlineStr">
        <is>
          <t>A 11828-2020</t>
        </is>
      </c>
      <c r="B371" s="1" t="n">
        <v>43894</v>
      </c>
      <c r="C371" s="1" t="n">
        <v>45294</v>
      </c>
      <c r="D371" t="inlineStr">
        <is>
          <t>JÄMTLANDS LÄN</t>
        </is>
      </c>
      <c r="E371" t="inlineStr">
        <is>
          <t>HÄRJEDALEN</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11905-2020</t>
        </is>
      </c>
      <c r="B372" s="1" t="n">
        <v>43894</v>
      </c>
      <c r="C372" s="1" t="n">
        <v>45294</v>
      </c>
      <c r="D372" t="inlineStr">
        <is>
          <t>JÄMTLANDS LÄN</t>
        </is>
      </c>
      <c r="E372" t="inlineStr">
        <is>
          <t>HÄRJEDALEN</t>
        </is>
      </c>
      <c r="F372" t="inlineStr">
        <is>
          <t>Holmen skog AB</t>
        </is>
      </c>
      <c r="G372" t="n">
        <v>10.3</v>
      </c>
      <c r="H372" t="n">
        <v>0</v>
      </c>
      <c r="I372" t="n">
        <v>0</v>
      </c>
      <c r="J372" t="n">
        <v>0</v>
      </c>
      <c r="K372" t="n">
        <v>0</v>
      </c>
      <c r="L372" t="n">
        <v>0</v>
      </c>
      <c r="M372" t="n">
        <v>0</v>
      </c>
      <c r="N372" t="n">
        <v>0</v>
      </c>
      <c r="O372" t="n">
        <v>0</v>
      </c>
      <c r="P372" t="n">
        <v>0</v>
      </c>
      <c r="Q372" t="n">
        <v>0</v>
      </c>
      <c r="R372" s="2" t="inlineStr"/>
    </row>
    <row r="373" ht="15" customHeight="1">
      <c r="A373" t="inlineStr">
        <is>
          <t>A 13604-2020</t>
        </is>
      </c>
      <c r="B373" s="1" t="n">
        <v>43895</v>
      </c>
      <c r="C373" s="1" t="n">
        <v>45294</v>
      </c>
      <c r="D373" t="inlineStr">
        <is>
          <t>JÄMTLANDS LÄN</t>
        </is>
      </c>
      <c r="E373" t="inlineStr">
        <is>
          <t>HÄRJEDALEN</t>
        </is>
      </c>
      <c r="G373" t="n">
        <v>0.6</v>
      </c>
      <c r="H373" t="n">
        <v>0</v>
      </c>
      <c r="I373" t="n">
        <v>0</v>
      </c>
      <c r="J373" t="n">
        <v>0</v>
      </c>
      <c r="K373" t="n">
        <v>0</v>
      </c>
      <c r="L373" t="n">
        <v>0</v>
      </c>
      <c r="M373" t="n">
        <v>0</v>
      </c>
      <c r="N373" t="n">
        <v>0</v>
      </c>
      <c r="O373" t="n">
        <v>0</v>
      </c>
      <c r="P373" t="n">
        <v>0</v>
      </c>
      <c r="Q373" t="n">
        <v>0</v>
      </c>
      <c r="R373" s="2" t="inlineStr"/>
    </row>
    <row r="374" ht="15" customHeight="1">
      <c r="A374" t="inlineStr">
        <is>
          <t>A 12398-2020</t>
        </is>
      </c>
      <c r="B374" s="1" t="n">
        <v>43896</v>
      </c>
      <c r="C374" s="1" t="n">
        <v>45294</v>
      </c>
      <c r="D374" t="inlineStr">
        <is>
          <t>JÄMTLANDS LÄN</t>
        </is>
      </c>
      <c r="E374" t="inlineStr">
        <is>
          <t>HÄRJEDALEN</t>
        </is>
      </c>
      <c r="G374" t="n">
        <v>12.3</v>
      </c>
      <c r="H374" t="n">
        <v>0</v>
      </c>
      <c r="I374" t="n">
        <v>0</v>
      </c>
      <c r="J374" t="n">
        <v>0</v>
      </c>
      <c r="K374" t="n">
        <v>0</v>
      </c>
      <c r="L374" t="n">
        <v>0</v>
      </c>
      <c r="M374" t="n">
        <v>0</v>
      </c>
      <c r="N374" t="n">
        <v>0</v>
      </c>
      <c r="O374" t="n">
        <v>0</v>
      </c>
      <c r="P374" t="n">
        <v>0</v>
      </c>
      <c r="Q374" t="n">
        <v>0</v>
      </c>
      <c r="R374" s="2" t="inlineStr"/>
    </row>
    <row r="375" ht="15" customHeight="1">
      <c r="A375" t="inlineStr">
        <is>
          <t>A 12410-2020</t>
        </is>
      </c>
      <c r="B375" s="1" t="n">
        <v>43896</v>
      </c>
      <c r="C375" s="1" t="n">
        <v>45294</v>
      </c>
      <c r="D375" t="inlineStr">
        <is>
          <t>JÄMTLANDS LÄN</t>
        </is>
      </c>
      <c r="E375" t="inlineStr">
        <is>
          <t>HÄRJEDALEN</t>
        </is>
      </c>
      <c r="G375" t="n">
        <v>0.7</v>
      </c>
      <c r="H375" t="n">
        <v>0</v>
      </c>
      <c r="I375" t="n">
        <v>0</v>
      </c>
      <c r="J375" t="n">
        <v>0</v>
      </c>
      <c r="K375" t="n">
        <v>0</v>
      </c>
      <c r="L375" t="n">
        <v>0</v>
      </c>
      <c r="M375" t="n">
        <v>0</v>
      </c>
      <c r="N375" t="n">
        <v>0</v>
      </c>
      <c r="O375" t="n">
        <v>0</v>
      </c>
      <c r="P375" t="n">
        <v>0</v>
      </c>
      <c r="Q375" t="n">
        <v>0</v>
      </c>
      <c r="R375" s="2" t="inlineStr"/>
    </row>
    <row r="376" ht="15" customHeight="1">
      <c r="A376" t="inlineStr">
        <is>
          <t>A 13588-2020</t>
        </is>
      </c>
      <c r="B376" s="1" t="n">
        <v>43896</v>
      </c>
      <c r="C376" s="1" t="n">
        <v>45294</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12898-2020</t>
        </is>
      </c>
      <c r="B377" s="1" t="n">
        <v>43900</v>
      </c>
      <c r="C377" s="1" t="n">
        <v>45294</v>
      </c>
      <c r="D377" t="inlineStr">
        <is>
          <t>JÄMTLANDS LÄN</t>
        </is>
      </c>
      <c r="E377" t="inlineStr">
        <is>
          <t>HÄRJEDALEN</t>
        </is>
      </c>
      <c r="G377" t="n">
        <v>2.6</v>
      </c>
      <c r="H377" t="n">
        <v>0</v>
      </c>
      <c r="I377" t="n">
        <v>0</v>
      </c>
      <c r="J377" t="n">
        <v>0</v>
      </c>
      <c r="K377" t="n">
        <v>0</v>
      </c>
      <c r="L377" t="n">
        <v>0</v>
      </c>
      <c r="M377" t="n">
        <v>0</v>
      </c>
      <c r="N377" t="n">
        <v>0</v>
      </c>
      <c r="O377" t="n">
        <v>0</v>
      </c>
      <c r="P377" t="n">
        <v>0</v>
      </c>
      <c r="Q377" t="n">
        <v>0</v>
      </c>
      <c r="R377" s="2" t="inlineStr"/>
    </row>
    <row r="378" ht="15" customHeight="1">
      <c r="A378" t="inlineStr">
        <is>
          <t>A 15020-2020</t>
        </is>
      </c>
      <c r="B378" s="1" t="n">
        <v>43907</v>
      </c>
      <c r="C378" s="1" t="n">
        <v>45294</v>
      </c>
      <c r="D378" t="inlineStr">
        <is>
          <t>JÄMTLANDS LÄN</t>
        </is>
      </c>
      <c r="E378" t="inlineStr">
        <is>
          <t>HÄRJEDALEN</t>
        </is>
      </c>
      <c r="F378" t="inlineStr">
        <is>
          <t>Sveaskog</t>
        </is>
      </c>
      <c r="G378" t="n">
        <v>7.7</v>
      </c>
      <c r="H378" t="n">
        <v>0</v>
      </c>
      <c r="I378" t="n">
        <v>0</v>
      </c>
      <c r="J378" t="n">
        <v>0</v>
      </c>
      <c r="K378" t="n">
        <v>0</v>
      </c>
      <c r="L378" t="n">
        <v>0</v>
      </c>
      <c r="M378" t="n">
        <v>0</v>
      </c>
      <c r="N378" t="n">
        <v>0</v>
      </c>
      <c r="O378" t="n">
        <v>0</v>
      </c>
      <c r="P378" t="n">
        <v>0</v>
      </c>
      <c r="Q378" t="n">
        <v>0</v>
      </c>
      <c r="R378" s="2" t="inlineStr"/>
    </row>
    <row r="379" ht="15" customHeight="1">
      <c r="A379" t="inlineStr">
        <is>
          <t>A 15576-2020</t>
        </is>
      </c>
      <c r="B379" s="1" t="n">
        <v>43914</v>
      </c>
      <c r="C379" s="1" t="n">
        <v>45294</v>
      </c>
      <c r="D379" t="inlineStr">
        <is>
          <t>JÄMTLANDS LÄN</t>
        </is>
      </c>
      <c r="E379" t="inlineStr">
        <is>
          <t>HÄRJEDALEN</t>
        </is>
      </c>
      <c r="F379" t="inlineStr">
        <is>
          <t>Kyrkan</t>
        </is>
      </c>
      <c r="G379" t="n">
        <v>8.1</v>
      </c>
      <c r="H379" t="n">
        <v>0</v>
      </c>
      <c r="I379" t="n">
        <v>0</v>
      </c>
      <c r="J379" t="n">
        <v>0</v>
      </c>
      <c r="K379" t="n">
        <v>0</v>
      </c>
      <c r="L379" t="n">
        <v>0</v>
      </c>
      <c r="M379" t="n">
        <v>0</v>
      </c>
      <c r="N379" t="n">
        <v>0</v>
      </c>
      <c r="O379" t="n">
        <v>0</v>
      </c>
      <c r="P379" t="n">
        <v>0</v>
      </c>
      <c r="Q379" t="n">
        <v>0</v>
      </c>
      <c r="R379" s="2" t="inlineStr"/>
    </row>
    <row r="380" ht="15" customHeight="1">
      <c r="A380" t="inlineStr">
        <is>
          <t>A 17515-2020</t>
        </is>
      </c>
      <c r="B380" s="1" t="n">
        <v>43920</v>
      </c>
      <c r="C380" s="1" t="n">
        <v>45294</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17024-2020</t>
        </is>
      </c>
      <c r="B381" s="1" t="n">
        <v>43921</v>
      </c>
      <c r="C381" s="1" t="n">
        <v>45294</v>
      </c>
      <c r="D381" t="inlineStr">
        <is>
          <t>JÄMTLANDS LÄN</t>
        </is>
      </c>
      <c r="E381" t="inlineStr">
        <is>
          <t>HÄRJEDALEN</t>
        </is>
      </c>
      <c r="G381" t="n">
        <v>0.8</v>
      </c>
      <c r="H381" t="n">
        <v>0</v>
      </c>
      <c r="I381" t="n">
        <v>0</v>
      </c>
      <c r="J381" t="n">
        <v>0</v>
      </c>
      <c r="K381" t="n">
        <v>0</v>
      </c>
      <c r="L381" t="n">
        <v>0</v>
      </c>
      <c r="M381" t="n">
        <v>0</v>
      </c>
      <c r="N381" t="n">
        <v>0</v>
      </c>
      <c r="O381" t="n">
        <v>0</v>
      </c>
      <c r="P381" t="n">
        <v>0</v>
      </c>
      <c r="Q381" t="n">
        <v>0</v>
      </c>
      <c r="R381" s="2" t="inlineStr"/>
    </row>
    <row r="382" ht="15" customHeight="1">
      <c r="A382" t="inlineStr">
        <is>
          <t>A 17676-2020</t>
        </is>
      </c>
      <c r="B382" s="1" t="n">
        <v>43924</v>
      </c>
      <c r="C382" s="1" t="n">
        <v>45294</v>
      </c>
      <c r="D382" t="inlineStr">
        <is>
          <t>JÄMTLANDS LÄN</t>
        </is>
      </c>
      <c r="E382" t="inlineStr">
        <is>
          <t>HÄRJEDALEN</t>
        </is>
      </c>
      <c r="G382" t="n">
        <v>1</v>
      </c>
      <c r="H382" t="n">
        <v>0</v>
      </c>
      <c r="I382" t="n">
        <v>0</v>
      </c>
      <c r="J382" t="n">
        <v>0</v>
      </c>
      <c r="K382" t="n">
        <v>0</v>
      </c>
      <c r="L382" t="n">
        <v>0</v>
      </c>
      <c r="M382" t="n">
        <v>0</v>
      </c>
      <c r="N382" t="n">
        <v>0</v>
      </c>
      <c r="O382" t="n">
        <v>0</v>
      </c>
      <c r="P382" t="n">
        <v>0</v>
      </c>
      <c r="Q382" t="n">
        <v>0</v>
      </c>
      <c r="R382" s="2" t="inlineStr"/>
    </row>
    <row r="383" ht="15" customHeight="1">
      <c r="A383" t="inlineStr">
        <is>
          <t>A 18038-2020</t>
        </is>
      </c>
      <c r="B383" s="1" t="n">
        <v>43927</v>
      </c>
      <c r="C383" s="1" t="n">
        <v>45294</v>
      </c>
      <c r="D383" t="inlineStr">
        <is>
          <t>JÄMTLANDS LÄN</t>
        </is>
      </c>
      <c r="E383" t="inlineStr">
        <is>
          <t>HÄRJEDALEN</t>
        </is>
      </c>
      <c r="G383" t="n">
        <v>13.5</v>
      </c>
      <c r="H383" t="n">
        <v>0</v>
      </c>
      <c r="I383" t="n">
        <v>0</v>
      </c>
      <c r="J383" t="n">
        <v>0</v>
      </c>
      <c r="K383" t="n">
        <v>0</v>
      </c>
      <c r="L383" t="n">
        <v>0</v>
      </c>
      <c r="M383" t="n">
        <v>0</v>
      </c>
      <c r="N383" t="n">
        <v>0</v>
      </c>
      <c r="O383" t="n">
        <v>0</v>
      </c>
      <c r="P383" t="n">
        <v>0</v>
      </c>
      <c r="Q383" t="n">
        <v>0</v>
      </c>
      <c r="R383" s="2" t="inlineStr"/>
    </row>
    <row r="384" ht="15" customHeight="1">
      <c r="A384" t="inlineStr">
        <is>
          <t>A 18761-2020</t>
        </is>
      </c>
      <c r="B384" s="1" t="n">
        <v>43930</v>
      </c>
      <c r="C384" s="1" t="n">
        <v>45294</v>
      </c>
      <c r="D384" t="inlineStr">
        <is>
          <t>JÄMTLANDS LÄN</t>
        </is>
      </c>
      <c r="E384" t="inlineStr">
        <is>
          <t>HÄRJEDALEN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18760-2020</t>
        </is>
      </c>
      <c r="B385" s="1" t="n">
        <v>43930</v>
      </c>
      <c r="C385" s="1" t="n">
        <v>45294</v>
      </c>
      <c r="D385" t="inlineStr">
        <is>
          <t>JÄMTLANDS LÄN</t>
        </is>
      </c>
      <c r="E385" t="inlineStr">
        <is>
          <t>HÄRJEDALEN</t>
        </is>
      </c>
      <c r="F385" t="inlineStr">
        <is>
          <t>Sveaskog</t>
        </is>
      </c>
      <c r="G385" t="n">
        <v>16.1</v>
      </c>
      <c r="H385" t="n">
        <v>0</v>
      </c>
      <c r="I385" t="n">
        <v>0</v>
      </c>
      <c r="J385" t="n">
        <v>0</v>
      </c>
      <c r="K385" t="n">
        <v>0</v>
      </c>
      <c r="L385" t="n">
        <v>0</v>
      </c>
      <c r="M385" t="n">
        <v>0</v>
      </c>
      <c r="N385" t="n">
        <v>0</v>
      </c>
      <c r="O385" t="n">
        <v>0</v>
      </c>
      <c r="P385" t="n">
        <v>0</v>
      </c>
      <c r="Q385" t="n">
        <v>0</v>
      </c>
      <c r="R385" s="2" t="inlineStr"/>
    </row>
    <row r="386" ht="15" customHeight="1">
      <c r="A386" t="inlineStr">
        <is>
          <t>A 18759-2020</t>
        </is>
      </c>
      <c r="B386" s="1" t="n">
        <v>43930</v>
      </c>
      <c r="C386" s="1" t="n">
        <v>45294</v>
      </c>
      <c r="D386" t="inlineStr">
        <is>
          <t>JÄMTLANDS LÄN</t>
        </is>
      </c>
      <c r="E386" t="inlineStr">
        <is>
          <t>HÄRJEDALEN</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18877-2020</t>
        </is>
      </c>
      <c r="B387" s="1" t="n">
        <v>43935</v>
      </c>
      <c r="C387" s="1" t="n">
        <v>45294</v>
      </c>
      <c r="D387" t="inlineStr">
        <is>
          <t>JÄMTLANDS LÄN</t>
        </is>
      </c>
      <c r="E387" t="inlineStr">
        <is>
          <t>HÄRJEDALEN</t>
        </is>
      </c>
      <c r="G387" t="n">
        <v>7</v>
      </c>
      <c r="H387" t="n">
        <v>0</v>
      </c>
      <c r="I387" t="n">
        <v>0</v>
      </c>
      <c r="J387" t="n">
        <v>0</v>
      </c>
      <c r="K387" t="n">
        <v>0</v>
      </c>
      <c r="L387" t="n">
        <v>0</v>
      </c>
      <c r="M387" t="n">
        <v>0</v>
      </c>
      <c r="N387" t="n">
        <v>0</v>
      </c>
      <c r="O387" t="n">
        <v>0</v>
      </c>
      <c r="P387" t="n">
        <v>0</v>
      </c>
      <c r="Q387" t="n">
        <v>0</v>
      </c>
      <c r="R387" s="2" t="inlineStr"/>
    </row>
    <row r="388" ht="15" customHeight="1">
      <c r="A388" t="inlineStr">
        <is>
          <t>A 18879-2020</t>
        </is>
      </c>
      <c r="B388" s="1" t="n">
        <v>43935</v>
      </c>
      <c r="C388" s="1" t="n">
        <v>45294</v>
      </c>
      <c r="D388" t="inlineStr">
        <is>
          <t>JÄMTLANDS LÄN</t>
        </is>
      </c>
      <c r="E388" t="inlineStr">
        <is>
          <t>HÄRJEDALEN</t>
        </is>
      </c>
      <c r="G388" t="n">
        <v>5.5</v>
      </c>
      <c r="H388" t="n">
        <v>0</v>
      </c>
      <c r="I388" t="n">
        <v>0</v>
      </c>
      <c r="J388" t="n">
        <v>0</v>
      </c>
      <c r="K388" t="n">
        <v>0</v>
      </c>
      <c r="L388" t="n">
        <v>0</v>
      </c>
      <c r="M388" t="n">
        <v>0</v>
      </c>
      <c r="N388" t="n">
        <v>0</v>
      </c>
      <c r="O388" t="n">
        <v>0</v>
      </c>
      <c r="P388" t="n">
        <v>0</v>
      </c>
      <c r="Q388" t="n">
        <v>0</v>
      </c>
      <c r="R388" s="2" t="inlineStr"/>
    </row>
    <row r="389" ht="15" customHeight="1">
      <c r="A389" t="inlineStr">
        <is>
          <t>A 19304-2020</t>
        </is>
      </c>
      <c r="B389" s="1" t="n">
        <v>43937</v>
      </c>
      <c r="C389" s="1" t="n">
        <v>45294</v>
      </c>
      <c r="D389" t="inlineStr">
        <is>
          <t>JÄMTLANDS LÄN</t>
        </is>
      </c>
      <c r="E389" t="inlineStr">
        <is>
          <t>HÄRJEDALEN</t>
        </is>
      </c>
      <c r="F389" t="inlineStr">
        <is>
          <t>Bergvik skog väst AB</t>
        </is>
      </c>
      <c r="G389" t="n">
        <v>4</v>
      </c>
      <c r="H389" t="n">
        <v>0</v>
      </c>
      <c r="I389" t="n">
        <v>0</v>
      </c>
      <c r="J389" t="n">
        <v>0</v>
      </c>
      <c r="K389" t="n">
        <v>0</v>
      </c>
      <c r="L389" t="n">
        <v>0</v>
      </c>
      <c r="M389" t="n">
        <v>0</v>
      </c>
      <c r="N389" t="n">
        <v>0</v>
      </c>
      <c r="O389" t="n">
        <v>0</v>
      </c>
      <c r="P389" t="n">
        <v>0</v>
      </c>
      <c r="Q389" t="n">
        <v>0</v>
      </c>
      <c r="R389" s="2" t="inlineStr"/>
    </row>
    <row r="390" ht="15" customHeight="1">
      <c r="A390" t="inlineStr">
        <is>
          <t>A 19506-2020</t>
        </is>
      </c>
      <c r="B390" s="1" t="n">
        <v>43938</v>
      </c>
      <c r="C390" s="1" t="n">
        <v>45294</v>
      </c>
      <c r="D390" t="inlineStr">
        <is>
          <t>JÄMTLANDS LÄN</t>
        </is>
      </c>
      <c r="E390" t="inlineStr">
        <is>
          <t>HÄRJEDALEN</t>
        </is>
      </c>
      <c r="F390" t="inlineStr">
        <is>
          <t>Sveaskog</t>
        </is>
      </c>
      <c r="G390" t="n">
        <v>6.8</v>
      </c>
      <c r="H390" t="n">
        <v>0</v>
      </c>
      <c r="I390" t="n">
        <v>0</v>
      </c>
      <c r="J390" t="n">
        <v>0</v>
      </c>
      <c r="K390" t="n">
        <v>0</v>
      </c>
      <c r="L390" t="n">
        <v>0</v>
      </c>
      <c r="M390" t="n">
        <v>0</v>
      </c>
      <c r="N390" t="n">
        <v>0</v>
      </c>
      <c r="O390" t="n">
        <v>0</v>
      </c>
      <c r="P390" t="n">
        <v>0</v>
      </c>
      <c r="Q390" t="n">
        <v>0</v>
      </c>
      <c r="R390" s="2" t="inlineStr"/>
    </row>
    <row r="391" ht="15" customHeight="1">
      <c r="A391" t="inlineStr">
        <is>
          <t>A 20781-2020</t>
        </is>
      </c>
      <c r="B391" s="1" t="n">
        <v>43949</v>
      </c>
      <c r="C391" s="1" t="n">
        <v>45294</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21537-2020</t>
        </is>
      </c>
      <c r="B392" s="1" t="n">
        <v>43956</v>
      </c>
      <c r="C392" s="1" t="n">
        <v>45294</v>
      </c>
      <c r="D392" t="inlineStr">
        <is>
          <t>JÄMTLANDS LÄN</t>
        </is>
      </c>
      <c r="E392" t="inlineStr">
        <is>
          <t>HÄRJEDALEN</t>
        </is>
      </c>
      <c r="G392" t="n">
        <v>4.3</v>
      </c>
      <c r="H392" t="n">
        <v>0</v>
      </c>
      <c r="I392" t="n">
        <v>0</v>
      </c>
      <c r="J392" t="n">
        <v>0</v>
      </c>
      <c r="K392" t="n">
        <v>0</v>
      </c>
      <c r="L392" t="n">
        <v>0</v>
      </c>
      <c r="M392" t="n">
        <v>0</v>
      </c>
      <c r="N392" t="n">
        <v>0</v>
      </c>
      <c r="O392" t="n">
        <v>0</v>
      </c>
      <c r="P392" t="n">
        <v>0</v>
      </c>
      <c r="Q392" t="n">
        <v>0</v>
      </c>
      <c r="R392" s="2" t="inlineStr"/>
    </row>
    <row r="393" ht="15" customHeight="1">
      <c r="A393" t="inlineStr">
        <is>
          <t>A 23082-2020</t>
        </is>
      </c>
      <c r="B393" s="1" t="n">
        <v>43964</v>
      </c>
      <c r="C393" s="1" t="n">
        <v>45294</v>
      </c>
      <c r="D393" t="inlineStr">
        <is>
          <t>JÄMTLANDS LÄN</t>
        </is>
      </c>
      <c r="E393" t="inlineStr">
        <is>
          <t>HÄRJEDALEN</t>
        </is>
      </c>
      <c r="G393" t="n">
        <v>2.1</v>
      </c>
      <c r="H393" t="n">
        <v>0</v>
      </c>
      <c r="I393" t="n">
        <v>0</v>
      </c>
      <c r="J393" t="n">
        <v>0</v>
      </c>
      <c r="K393" t="n">
        <v>0</v>
      </c>
      <c r="L393" t="n">
        <v>0</v>
      </c>
      <c r="M393" t="n">
        <v>0</v>
      </c>
      <c r="N393" t="n">
        <v>0</v>
      </c>
      <c r="O393" t="n">
        <v>0</v>
      </c>
      <c r="P393" t="n">
        <v>0</v>
      </c>
      <c r="Q393" t="n">
        <v>0</v>
      </c>
      <c r="R393" s="2" t="inlineStr"/>
    </row>
    <row r="394" ht="15" customHeight="1">
      <c r="A394" t="inlineStr">
        <is>
          <t>A 23310-2020</t>
        </is>
      </c>
      <c r="B394" s="1" t="n">
        <v>43966</v>
      </c>
      <c r="C394" s="1" t="n">
        <v>45294</v>
      </c>
      <c r="D394" t="inlineStr">
        <is>
          <t>JÄMTLANDS LÄN</t>
        </is>
      </c>
      <c r="E394" t="inlineStr">
        <is>
          <t>HÄRJEDALEN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23174-2020</t>
        </is>
      </c>
      <c r="B395" s="1" t="n">
        <v>43966</v>
      </c>
      <c r="C395" s="1" t="n">
        <v>45294</v>
      </c>
      <c r="D395" t="inlineStr">
        <is>
          <t>JÄMTLANDS LÄN</t>
        </is>
      </c>
      <c r="E395" t="inlineStr">
        <is>
          <t>HÄRJEDALEN</t>
        </is>
      </c>
      <c r="G395" t="n">
        <v>2.9</v>
      </c>
      <c r="H395" t="n">
        <v>0</v>
      </c>
      <c r="I395" t="n">
        <v>0</v>
      </c>
      <c r="J395" t="n">
        <v>0</v>
      </c>
      <c r="K395" t="n">
        <v>0</v>
      </c>
      <c r="L395" t="n">
        <v>0</v>
      </c>
      <c r="M395" t="n">
        <v>0</v>
      </c>
      <c r="N395" t="n">
        <v>0</v>
      </c>
      <c r="O395" t="n">
        <v>0</v>
      </c>
      <c r="P395" t="n">
        <v>0</v>
      </c>
      <c r="Q395" t="n">
        <v>0</v>
      </c>
      <c r="R395" s="2" t="inlineStr"/>
    </row>
    <row r="396" ht="15" customHeight="1">
      <c r="A396" t="inlineStr">
        <is>
          <t>A 23560-2020</t>
        </is>
      </c>
      <c r="B396" s="1" t="n">
        <v>43969</v>
      </c>
      <c r="C396" s="1" t="n">
        <v>45294</v>
      </c>
      <c r="D396" t="inlineStr">
        <is>
          <t>JÄMTLANDS LÄN</t>
        </is>
      </c>
      <c r="E396" t="inlineStr">
        <is>
          <t>HÄRJEDALEN</t>
        </is>
      </c>
      <c r="G396" t="n">
        <v>1.7</v>
      </c>
      <c r="H396" t="n">
        <v>0</v>
      </c>
      <c r="I396" t="n">
        <v>0</v>
      </c>
      <c r="J396" t="n">
        <v>0</v>
      </c>
      <c r="K396" t="n">
        <v>0</v>
      </c>
      <c r="L396" t="n">
        <v>0</v>
      </c>
      <c r="M396" t="n">
        <v>0</v>
      </c>
      <c r="N396" t="n">
        <v>0</v>
      </c>
      <c r="O396" t="n">
        <v>0</v>
      </c>
      <c r="P396" t="n">
        <v>0</v>
      </c>
      <c r="Q396" t="n">
        <v>0</v>
      </c>
      <c r="R396" s="2" t="inlineStr"/>
    </row>
    <row r="397" ht="15" customHeight="1">
      <c r="A397" t="inlineStr">
        <is>
          <t>A 24077-2020</t>
        </is>
      </c>
      <c r="B397" s="1" t="n">
        <v>43972</v>
      </c>
      <c r="C397" s="1" t="n">
        <v>45294</v>
      </c>
      <c r="D397" t="inlineStr">
        <is>
          <t>JÄMTLANDS LÄN</t>
        </is>
      </c>
      <c r="E397" t="inlineStr">
        <is>
          <t>HÄRJEDALEN</t>
        </is>
      </c>
      <c r="F397" t="inlineStr">
        <is>
          <t>Sveaskog</t>
        </is>
      </c>
      <c r="G397" t="n">
        <v>9.6</v>
      </c>
      <c r="H397" t="n">
        <v>0</v>
      </c>
      <c r="I397" t="n">
        <v>0</v>
      </c>
      <c r="J397" t="n">
        <v>0</v>
      </c>
      <c r="K397" t="n">
        <v>0</v>
      </c>
      <c r="L397" t="n">
        <v>0</v>
      </c>
      <c r="M397" t="n">
        <v>0</v>
      </c>
      <c r="N397" t="n">
        <v>0</v>
      </c>
      <c r="O397" t="n">
        <v>0</v>
      </c>
      <c r="P397" t="n">
        <v>0</v>
      </c>
      <c r="Q397" t="n">
        <v>0</v>
      </c>
      <c r="R397" s="2" t="inlineStr"/>
    </row>
    <row r="398" ht="15" customHeight="1">
      <c r="A398" t="inlineStr">
        <is>
          <t>A 24127-2020</t>
        </is>
      </c>
      <c r="B398" s="1" t="n">
        <v>43973</v>
      </c>
      <c r="C398" s="1" t="n">
        <v>45294</v>
      </c>
      <c r="D398" t="inlineStr">
        <is>
          <t>JÄMTLANDS LÄN</t>
        </is>
      </c>
      <c r="E398" t="inlineStr">
        <is>
          <t>HÄRJEDALEN</t>
        </is>
      </c>
      <c r="G398" t="n">
        <v>4.6</v>
      </c>
      <c r="H398" t="n">
        <v>0</v>
      </c>
      <c r="I398" t="n">
        <v>0</v>
      </c>
      <c r="J398" t="n">
        <v>0</v>
      </c>
      <c r="K398" t="n">
        <v>0</v>
      </c>
      <c r="L398" t="n">
        <v>0</v>
      </c>
      <c r="M398" t="n">
        <v>0</v>
      </c>
      <c r="N398" t="n">
        <v>0</v>
      </c>
      <c r="O398" t="n">
        <v>0</v>
      </c>
      <c r="P398" t="n">
        <v>0</v>
      </c>
      <c r="Q398" t="n">
        <v>0</v>
      </c>
      <c r="R398" s="2" t="inlineStr"/>
    </row>
    <row r="399" ht="15" customHeight="1">
      <c r="A399" t="inlineStr">
        <is>
          <t>A 25240-2020</t>
        </is>
      </c>
      <c r="B399" s="1" t="n">
        <v>43980</v>
      </c>
      <c r="C399" s="1" t="n">
        <v>45294</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25341-2020</t>
        </is>
      </c>
      <c r="B400" s="1" t="n">
        <v>43980</v>
      </c>
      <c r="C400" s="1" t="n">
        <v>45294</v>
      </c>
      <c r="D400" t="inlineStr">
        <is>
          <t>JÄMTLANDS LÄN</t>
        </is>
      </c>
      <c r="E400" t="inlineStr">
        <is>
          <t>HÄRJEDALEN</t>
        </is>
      </c>
      <c r="G400" t="n">
        <v>2</v>
      </c>
      <c r="H400" t="n">
        <v>0</v>
      </c>
      <c r="I400" t="n">
        <v>0</v>
      </c>
      <c r="J400" t="n">
        <v>0</v>
      </c>
      <c r="K400" t="n">
        <v>0</v>
      </c>
      <c r="L400" t="n">
        <v>0</v>
      </c>
      <c r="M400" t="n">
        <v>0</v>
      </c>
      <c r="N400" t="n">
        <v>0</v>
      </c>
      <c r="O400" t="n">
        <v>0</v>
      </c>
      <c r="P400" t="n">
        <v>0</v>
      </c>
      <c r="Q400" t="n">
        <v>0</v>
      </c>
      <c r="R400" s="2" t="inlineStr"/>
    </row>
    <row r="401" ht="15" customHeight="1">
      <c r="A401" t="inlineStr">
        <is>
          <t>A 25232-2020</t>
        </is>
      </c>
      <c r="B401" s="1" t="n">
        <v>43980</v>
      </c>
      <c r="C401" s="1" t="n">
        <v>45294</v>
      </c>
      <c r="D401" t="inlineStr">
        <is>
          <t>JÄMTLANDS LÄN</t>
        </is>
      </c>
      <c r="E401" t="inlineStr">
        <is>
          <t>HÄRJEDALEN</t>
        </is>
      </c>
      <c r="G401" t="n">
        <v>14.9</v>
      </c>
      <c r="H401" t="n">
        <v>0</v>
      </c>
      <c r="I401" t="n">
        <v>0</v>
      </c>
      <c r="J401" t="n">
        <v>0</v>
      </c>
      <c r="K401" t="n">
        <v>0</v>
      </c>
      <c r="L401" t="n">
        <v>0</v>
      </c>
      <c r="M401" t="n">
        <v>0</v>
      </c>
      <c r="N401" t="n">
        <v>0</v>
      </c>
      <c r="O401" t="n">
        <v>0</v>
      </c>
      <c r="P401" t="n">
        <v>0</v>
      </c>
      <c r="Q401" t="n">
        <v>0</v>
      </c>
      <c r="R401" s="2" t="inlineStr"/>
    </row>
    <row r="402" ht="15" customHeight="1">
      <c r="A402" t="inlineStr">
        <is>
          <t>A 25238-2020</t>
        </is>
      </c>
      <c r="B402" s="1" t="n">
        <v>43980</v>
      </c>
      <c r="C402" s="1" t="n">
        <v>45294</v>
      </c>
      <c r="D402" t="inlineStr">
        <is>
          <t>JÄMTLANDS LÄN</t>
        </is>
      </c>
      <c r="E402" t="inlineStr">
        <is>
          <t>HÄRJEDALEN</t>
        </is>
      </c>
      <c r="G402" t="n">
        <v>2.6</v>
      </c>
      <c r="H402" t="n">
        <v>0</v>
      </c>
      <c r="I402" t="n">
        <v>0</v>
      </c>
      <c r="J402" t="n">
        <v>0</v>
      </c>
      <c r="K402" t="n">
        <v>0</v>
      </c>
      <c r="L402" t="n">
        <v>0</v>
      </c>
      <c r="M402" t="n">
        <v>0</v>
      </c>
      <c r="N402" t="n">
        <v>0</v>
      </c>
      <c r="O402" t="n">
        <v>0</v>
      </c>
      <c r="P402" t="n">
        <v>0</v>
      </c>
      <c r="Q402" t="n">
        <v>0</v>
      </c>
      <c r="R402" s="2" t="inlineStr"/>
    </row>
    <row r="403" ht="15" customHeight="1">
      <c r="A403" t="inlineStr">
        <is>
          <t>A 25236-2020</t>
        </is>
      </c>
      <c r="B403" s="1" t="n">
        <v>43980</v>
      </c>
      <c r="C403" s="1" t="n">
        <v>45294</v>
      </c>
      <c r="D403" t="inlineStr">
        <is>
          <t>JÄMTLANDS LÄN</t>
        </is>
      </c>
      <c r="E403" t="inlineStr">
        <is>
          <t>HÄRJEDALEN</t>
        </is>
      </c>
      <c r="G403" t="n">
        <v>2.2</v>
      </c>
      <c r="H403" t="n">
        <v>0</v>
      </c>
      <c r="I403" t="n">
        <v>0</v>
      </c>
      <c r="J403" t="n">
        <v>0</v>
      </c>
      <c r="K403" t="n">
        <v>0</v>
      </c>
      <c r="L403" t="n">
        <v>0</v>
      </c>
      <c r="M403" t="n">
        <v>0</v>
      </c>
      <c r="N403" t="n">
        <v>0</v>
      </c>
      <c r="O403" t="n">
        <v>0</v>
      </c>
      <c r="P403" t="n">
        <v>0</v>
      </c>
      <c r="Q403" t="n">
        <v>0</v>
      </c>
      <c r="R403" s="2" t="inlineStr"/>
    </row>
    <row r="404" ht="15" customHeight="1">
      <c r="A404" t="inlineStr">
        <is>
          <t>A 25779-2020</t>
        </is>
      </c>
      <c r="B404" s="1" t="n">
        <v>43984</v>
      </c>
      <c r="C404" s="1" t="n">
        <v>45294</v>
      </c>
      <c r="D404" t="inlineStr">
        <is>
          <t>JÄMTLANDS LÄN</t>
        </is>
      </c>
      <c r="E404" t="inlineStr">
        <is>
          <t>HÄRJEDALEN</t>
        </is>
      </c>
      <c r="G404" t="n">
        <v>22.2</v>
      </c>
      <c r="H404" t="n">
        <v>0</v>
      </c>
      <c r="I404" t="n">
        <v>0</v>
      </c>
      <c r="J404" t="n">
        <v>0</v>
      </c>
      <c r="K404" t="n">
        <v>0</v>
      </c>
      <c r="L404" t="n">
        <v>0</v>
      </c>
      <c r="M404" t="n">
        <v>0</v>
      </c>
      <c r="N404" t="n">
        <v>0</v>
      </c>
      <c r="O404" t="n">
        <v>0</v>
      </c>
      <c r="P404" t="n">
        <v>0</v>
      </c>
      <c r="Q404" t="n">
        <v>0</v>
      </c>
      <c r="R404" s="2" t="inlineStr"/>
    </row>
    <row r="405" ht="15" customHeight="1">
      <c r="A405" t="inlineStr">
        <is>
          <t>A 26056-2020</t>
        </is>
      </c>
      <c r="B405" s="1" t="n">
        <v>43984</v>
      </c>
      <c r="C405" s="1" t="n">
        <v>45294</v>
      </c>
      <c r="D405" t="inlineStr">
        <is>
          <t>JÄMTLANDS LÄN</t>
        </is>
      </c>
      <c r="E405" t="inlineStr">
        <is>
          <t>HÄRJEDALEN</t>
        </is>
      </c>
      <c r="G405" t="n">
        <v>53.1</v>
      </c>
      <c r="H405" t="n">
        <v>0</v>
      </c>
      <c r="I405" t="n">
        <v>0</v>
      </c>
      <c r="J405" t="n">
        <v>0</v>
      </c>
      <c r="K405" t="n">
        <v>0</v>
      </c>
      <c r="L405" t="n">
        <v>0</v>
      </c>
      <c r="M405" t="n">
        <v>0</v>
      </c>
      <c r="N405" t="n">
        <v>0</v>
      </c>
      <c r="O405" t="n">
        <v>0</v>
      </c>
      <c r="P405" t="n">
        <v>0</v>
      </c>
      <c r="Q405" t="n">
        <v>0</v>
      </c>
      <c r="R405" s="2" t="inlineStr"/>
    </row>
    <row r="406" ht="15" customHeight="1">
      <c r="A406" t="inlineStr">
        <is>
          <t>A 27854-2020</t>
        </is>
      </c>
      <c r="B406" s="1" t="n">
        <v>43994</v>
      </c>
      <c r="C406" s="1" t="n">
        <v>45294</v>
      </c>
      <c r="D406" t="inlineStr">
        <is>
          <t>JÄMTLANDS LÄN</t>
        </is>
      </c>
      <c r="E406" t="inlineStr">
        <is>
          <t>HÄRJEDALEN</t>
        </is>
      </c>
      <c r="F406" t="inlineStr">
        <is>
          <t>Sveaskog</t>
        </is>
      </c>
      <c r="G406" t="n">
        <v>7.1</v>
      </c>
      <c r="H406" t="n">
        <v>0</v>
      </c>
      <c r="I406" t="n">
        <v>0</v>
      </c>
      <c r="J406" t="n">
        <v>0</v>
      </c>
      <c r="K406" t="n">
        <v>0</v>
      </c>
      <c r="L406" t="n">
        <v>0</v>
      </c>
      <c r="M406" t="n">
        <v>0</v>
      </c>
      <c r="N406" t="n">
        <v>0</v>
      </c>
      <c r="O406" t="n">
        <v>0</v>
      </c>
      <c r="P406" t="n">
        <v>0</v>
      </c>
      <c r="Q406" t="n">
        <v>0</v>
      </c>
      <c r="R406" s="2" t="inlineStr"/>
    </row>
    <row r="407" ht="15" customHeight="1">
      <c r="A407" t="inlineStr">
        <is>
          <t>A 28543-2020</t>
        </is>
      </c>
      <c r="B407" s="1" t="n">
        <v>43999</v>
      </c>
      <c r="C407" s="1" t="n">
        <v>45294</v>
      </c>
      <c r="D407" t="inlineStr">
        <is>
          <t>JÄMTLANDS LÄN</t>
        </is>
      </c>
      <c r="E407" t="inlineStr">
        <is>
          <t>HÄRJEDALEN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29158-2020</t>
        </is>
      </c>
      <c r="B408" s="1" t="n">
        <v>44004</v>
      </c>
      <c r="C408" s="1" t="n">
        <v>45294</v>
      </c>
      <c r="D408" t="inlineStr">
        <is>
          <t>JÄMTLANDS LÄN</t>
        </is>
      </c>
      <c r="E408" t="inlineStr">
        <is>
          <t>HÄRJEDALEN</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29154-2020</t>
        </is>
      </c>
      <c r="B409" s="1" t="n">
        <v>44004</v>
      </c>
      <c r="C409" s="1" t="n">
        <v>45294</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30963-2020</t>
        </is>
      </c>
      <c r="B410" s="1" t="n">
        <v>44011</v>
      </c>
      <c r="C410" s="1" t="n">
        <v>45294</v>
      </c>
      <c r="D410" t="inlineStr">
        <is>
          <t>JÄMTLANDS LÄN</t>
        </is>
      </c>
      <c r="E410" t="inlineStr">
        <is>
          <t>HÄRJEDALEN</t>
        </is>
      </c>
      <c r="F410" t="inlineStr">
        <is>
          <t>Sveaskog</t>
        </is>
      </c>
      <c r="G410" t="n">
        <v>11.6</v>
      </c>
      <c r="H410" t="n">
        <v>0</v>
      </c>
      <c r="I410" t="n">
        <v>0</v>
      </c>
      <c r="J410" t="n">
        <v>0</v>
      </c>
      <c r="K410" t="n">
        <v>0</v>
      </c>
      <c r="L410" t="n">
        <v>0</v>
      </c>
      <c r="M410" t="n">
        <v>0</v>
      </c>
      <c r="N410" t="n">
        <v>0</v>
      </c>
      <c r="O410" t="n">
        <v>0</v>
      </c>
      <c r="P410" t="n">
        <v>0</v>
      </c>
      <c r="Q410" t="n">
        <v>0</v>
      </c>
      <c r="R410" s="2" t="inlineStr"/>
    </row>
    <row r="411" ht="15" customHeight="1">
      <c r="A411" t="inlineStr">
        <is>
          <t>A 30936-2020</t>
        </is>
      </c>
      <c r="B411" s="1" t="n">
        <v>44011</v>
      </c>
      <c r="C411" s="1" t="n">
        <v>45294</v>
      </c>
      <c r="D411" t="inlineStr">
        <is>
          <t>JÄMTLANDS LÄN</t>
        </is>
      </c>
      <c r="E411" t="inlineStr">
        <is>
          <t>HÄRJEDALEN</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30940-2020</t>
        </is>
      </c>
      <c r="B412" s="1" t="n">
        <v>44011</v>
      </c>
      <c r="C412" s="1" t="n">
        <v>45294</v>
      </c>
      <c r="D412" t="inlineStr">
        <is>
          <t>JÄMTLANDS LÄN</t>
        </is>
      </c>
      <c r="E412" t="inlineStr">
        <is>
          <t>HÄRJEDALEN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31264-2020</t>
        </is>
      </c>
      <c r="B413" s="1" t="n">
        <v>44012</v>
      </c>
      <c r="C413" s="1" t="n">
        <v>45294</v>
      </c>
      <c r="D413" t="inlineStr">
        <is>
          <t>JÄMTLANDS LÄN</t>
        </is>
      </c>
      <c r="E413" t="inlineStr">
        <is>
          <t>HÄRJEDALEN</t>
        </is>
      </c>
      <c r="F413" t="inlineStr">
        <is>
          <t>Bergvik skog väst AB</t>
        </is>
      </c>
      <c r="G413" t="n">
        <v>2.6</v>
      </c>
      <c r="H413" t="n">
        <v>0</v>
      </c>
      <c r="I413" t="n">
        <v>0</v>
      </c>
      <c r="J413" t="n">
        <v>0</v>
      </c>
      <c r="K413" t="n">
        <v>0</v>
      </c>
      <c r="L413" t="n">
        <v>0</v>
      </c>
      <c r="M413" t="n">
        <v>0</v>
      </c>
      <c r="N413" t="n">
        <v>0</v>
      </c>
      <c r="O413" t="n">
        <v>0</v>
      </c>
      <c r="P413" t="n">
        <v>0</v>
      </c>
      <c r="Q413" t="n">
        <v>0</v>
      </c>
      <c r="R413" s="2" t="inlineStr"/>
    </row>
    <row r="414" ht="15" customHeight="1">
      <c r="A414" t="inlineStr">
        <is>
          <t>A 31872-2020</t>
        </is>
      </c>
      <c r="B414" s="1" t="n">
        <v>44014</v>
      </c>
      <c r="C414" s="1" t="n">
        <v>45294</v>
      </c>
      <c r="D414" t="inlineStr">
        <is>
          <t>JÄMTLANDS LÄN</t>
        </is>
      </c>
      <c r="E414" t="inlineStr">
        <is>
          <t>HÄRJEDALEN</t>
        </is>
      </c>
      <c r="G414" t="n">
        <v>21.4</v>
      </c>
      <c r="H414" t="n">
        <v>0</v>
      </c>
      <c r="I414" t="n">
        <v>0</v>
      </c>
      <c r="J414" t="n">
        <v>0</v>
      </c>
      <c r="K414" t="n">
        <v>0</v>
      </c>
      <c r="L414" t="n">
        <v>0</v>
      </c>
      <c r="M414" t="n">
        <v>0</v>
      </c>
      <c r="N414" t="n">
        <v>0</v>
      </c>
      <c r="O414" t="n">
        <v>0</v>
      </c>
      <c r="P414" t="n">
        <v>0</v>
      </c>
      <c r="Q414" t="n">
        <v>0</v>
      </c>
      <c r="R414" s="2" t="inlineStr"/>
    </row>
    <row r="415" ht="15" customHeight="1">
      <c r="A415" t="inlineStr">
        <is>
          <t>A 31920-2020</t>
        </is>
      </c>
      <c r="B415" s="1" t="n">
        <v>44014</v>
      </c>
      <c r="C415" s="1" t="n">
        <v>45294</v>
      </c>
      <c r="D415" t="inlineStr">
        <is>
          <t>JÄMTLANDS LÄN</t>
        </is>
      </c>
      <c r="E415" t="inlineStr">
        <is>
          <t>HÄRJEDALEN</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33020-2020</t>
        </is>
      </c>
      <c r="B416" s="1" t="n">
        <v>44021</v>
      </c>
      <c r="C416" s="1" t="n">
        <v>45294</v>
      </c>
      <c r="D416" t="inlineStr">
        <is>
          <t>JÄMTLANDS LÄN</t>
        </is>
      </c>
      <c r="E416" t="inlineStr">
        <is>
          <t>HÄRJEDALEN</t>
        </is>
      </c>
      <c r="G416" t="n">
        <v>1.7</v>
      </c>
      <c r="H416" t="n">
        <v>0</v>
      </c>
      <c r="I416" t="n">
        <v>0</v>
      </c>
      <c r="J416" t="n">
        <v>0</v>
      </c>
      <c r="K416" t="n">
        <v>0</v>
      </c>
      <c r="L416" t="n">
        <v>0</v>
      </c>
      <c r="M416" t="n">
        <v>0</v>
      </c>
      <c r="N416" t="n">
        <v>0</v>
      </c>
      <c r="O416" t="n">
        <v>0</v>
      </c>
      <c r="P416" t="n">
        <v>0</v>
      </c>
      <c r="Q416" t="n">
        <v>0</v>
      </c>
      <c r="R416" s="2" t="inlineStr"/>
    </row>
    <row r="417" ht="15" customHeight="1">
      <c r="A417" t="inlineStr">
        <is>
          <t>A 33812-2020</t>
        </is>
      </c>
      <c r="B417" s="1" t="n">
        <v>44025</v>
      </c>
      <c r="C417" s="1" t="n">
        <v>45294</v>
      </c>
      <c r="D417" t="inlineStr">
        <is>
          <t>JÄMTLANDS LÄN</t>
        </is>
      </c>
      <c r="E417" t="inlineStr">
        <is>
          <t>HÄRJEDALEN</t>
        </is>
      </c>
      <c r="G417" t="n">
        <v>3.2</v>
      </c>
      <c r="H417" t="n">
        <v>0</v>
      </c>
      <c r="I417" t="n">
        <v>0</v>
      </c>
      <c r="J417" t="n">
        <v>0</v>
      </c>
      <c r="K417" t="n">
        <v>0</v>
      </c>
      <c r="L417" t="n">
        <v>0</v>
      </c>
      <c r="M417" t="n">
        <v>0</v>
      </c>
      <c r="N417" t="n">
        <v>0</v>
      </c>
      <c r="O417" t="n">
        <v>0</v>
      </c>
      <c r="P417" t="n">
        <v>0</v>
      </c>
      <c r="Q417" t="n">
        <v>0</v>
      </c>
      <c r="R417" s="2" t="inlineStr"/>
    </row>
    <row r="418" ht="15" customHeight="1">
      <c r="A418" t="inlineStr">
        <is>
          <t>A 33513-2020</t>
        </is>
      </c>
      <c r="B418" s="1" t="n">
        <v>44025</v>
      </c>
      <c r="C418" s="1" t="n">
        <v>45294</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33701-2020</t>
        </is>
      </c>
      <c r="B419" s="1" t="n">
        <v>44026</v>
      </c>
      <c r="C419" s="1" t="n">
        <v>45294</v>
      </c>
      <c r="D419" t="inlineStr">
        <is>
          <t>JÄMTLANDS LÄN</t>
        </is>
      </c>
      <c r="E419" t="inlineStr">
        <is>
          <t>HÄRJEDALEN</t>
        </is>
      </c>
      <c r="F419" t="inlineStr">
        <is>
          <t>Bergvik skog väst AB</t>
        </is>
      </c>
      <c r="G419" t="n">
        <v>7.2</v>
      </c>
      <c r="H419" t="n">
        <v>0</v>
      </c>
      <c r="I419" t="n">
        <v>0</v>
      </c>
      <c r="J419" t="n">
        <v>0</v>
      </c>
      <c r="K419" t="n">
        <v>0</v>
      </c>
      <c r="L419" t="n">
        <v>0</v>
      </c>
      <c r="M419" t="n">
        <v>0</v>
      </c>
      <c r="N419" t="n">
        <v>0</v>
      </c>
      <c r="O419" t="n">
        <v>0</v>
      </c>
      <c r="P419" t="n">
        <v>0</v>
      </c>
      <c r="Q419" t="n">
        <v>0</v>
      </c>
      <c r="R419" s="2" t="inlineStr"/>
    </row>
    <row r="420" ht="15" customHeight="1">
      <c r="A420" t="inlineStr">
        <is>
          <t>A 33942-2020</t>
        </is>
      </c>
      <c r="B420" s="1" t="n">
        <v>44028</v>
      </c>
      <c r="C420" s="1" t="n">
        <v>45294</v>
      </c>
      <c r="D420" t="inlineStr">
        <is>
          <t>JÄMTLANDS LÄN</t>
        </is>
      </c>
      <c r="E420" t="inlineStr">
        <is>
          <t>HÄRJEDALEN</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34191-2020</t>
        </is>
      </c>
      <c r="B421" s="1" t="n">
        <v>44029</v>
      </c>
      <c r="C421" s="1" t="n">
        <v>45294</v>
      </c>
      <c r="D421" t="inlineStr">
        <is>
          <t>JÄMTLANDS LÄN</t>
        </is>
      </c>
      <c r="E421" t="inlineStr">
        <is>
          <t>HÄRJEDALEN</t>
        </is>
      </c>
      <c r="F421" t="inlineStr">
        <is>
          <t>Holmen skog AB</t>
        </is>
      </c>
      <c r="G421" t="n">
        <v>2.2</v>
      </c>
      <c r="H421" t="n">
        <v>0</v>
      </c>
      <c r="I421" t="n">
        <v>0</v>
      </c>
      <c r="J421" t="n">
        <v>0</v>
      </c>
      <c r="K421" t="n">
        <v>0</v>
      </c>
      <c r="L421" t="n">
        <v>0</v>
      </c>
      <c r="M421" t="n">
        <v>0</v>
      </c>
      <c r="N421" t="n">
        <v>0</v>
      </c>
      <c r="O421" t="n">
        <v>0</v>
      </c>
      <c r="P421" t="n">
        <v>0</v>
      </c>
      <c r="Q421" t="n">
        <v>0</v>
      </c>
      <c r="R421" s="2" t="inlineStr"/>
    </row>
    <row r="422" ht="15" customHeight="1">
      <c r="A422" t="inlineStr">
        <is>
          <t>A 34894-2020</t>
        </is>
      </c>
      <c r="B422" s="1" t="n">
        <v>44036</v>
      </c>
      <c r="C422" s="1" t="n">
        <v>45294</v>
      </c>
      <c r="D422" t="inlineStr">
        <is>
          <t>JÄMTLANDS LÄN</t>
        </is>
      </c>
      <c r="E422" t="inlineStr">
        <is>
          <t>HÄRJEDALEN</t>
        </is>
      </c>
      <c r="G422" t="n">
        <v>4</v>
      </c>
      <c r="H422" t="n">
        <v>0</v>
      </c>
      <c r="I422" t="n">
        <v>0</v>
      </c>
      <c r="J422" t="n">
        <v>0</v>
      </c>
      <c r="K422" t="n">
        <v>0</v>
      </c>
      <c r="L422" t="n">
        <v>0</v>
      </c>
      <c r="M422" t="n">
        <v>0</v>
      </c>
      <c r="N422" t="n">
        <v>0</v>
      </c>
      <c r="O422" t="n">
        <v>0</v>
      </c>
      <c r="P422" t="n">
        <v>0</v>
      </c>
      <c r="Q422" t="n">
        <v>0</v>
      </c>
      <c r="R422" s="2" t="inlineStr"/>
    </row>
    <row r="423" ht="15" customHeight="1">
      <c r="A423" t="inlineStr">
        <is>
          <t>A 34900-2020</t>
        </is>
      </c>
      <c r="B423" s="1" t="n">
        <v>44036</v>
      </c>
      <c r="C423" s="1" t="n">
        <v>45294</v>
      </c>
      <c r="D423" t="inlineStr">
        <is>
          <t>JÄMTLANDS LÄN</t>
        </is>
      </c>
      <c r="E423" t="inlineStr">
        <is>
          <t>HÄRJEDALEN</t>
        </is>
      </c>
      <c r="G423" t="n">
        <v>13.1</v>
      </c>
      <c r="H423" t="n">
        <v>0</v>
      </c>
      <c r="I423" t="n">
        <v>0</v>
      </c>
      <c r="J423" t="n">
        <v>0</v>
      </c>
      <c r="K423" t="n">
        <v>0</v>
      </c>
      <c r="L423" t="n">
        <v>0</v>
      </c>
      <c r="M423" t="n">
        <v>0</v>
      </c>
      <c r="N423" t="n">
        <v>0</v>
      </c>
      <c r="O423" t="n">
        <v>0</v>
      </c>
      <c r="P423" t="n">
        <v>0</v>
      </c>
      <c r="Q423" t="n">
        <v>0</v>
      </c>
      <c r="R423" s="2" t="inlineStr"/>
    </row>
    <row r="424" ht="15" customHeight="1">
      <c r="A424" t="inlineStr">
        <is>
          <t>A 34975-2020</t>
        </is>
      </c>
      <c r="B424" s="1" t="n">
        <v>44039</v>
      </c>
      <c r="C424" s="1" t="n">
        <v>45294</v>
      </c>
      <c r="D424" t="inlineStr">
        <is>
          <t>JÄMTLANDS LÄN</t>
        </is>
      </c>
      <c r="E424" t="inlineStr">
        <is>
          <t>HÄRJEDALEN</t>
        </is>
      </c>
      <c r="G424" t="n">
        <v>1.8</v>
      </c>
      <c r="H424" t="n">
        <v>0</v>
      </c>
      <c r="I424" t="n">
        <v>0</v>
      </c>
      <c r="J424" t="n">
        <v>0</v>
      </c>
      <c r="K424" t="n">
        <v>0</v>
      </c>
      <c r="L424" t="n">
        <v>0</v>
      </c>
      <c r="M424" t="n">
        <v>0</v>
      </c>
      <c r="N424" t="n">
        <v>0</v>
      </c>
      <c r="O424" t="n">
        <v>0</v>
      </c>
      <c r="P424" t="n">
        <v>0</v>
      </c>
      <c r="Q424" t="n">
        <v>0</v>
      </c>
      <c r="R424" s="2" t="inlineStr"/>
    </row>
    <row r="425" ht="15" customHeight="1">
      <c r="A425" t="inlineStr">
        <is>
          <t>A 34963-2020</t>
        </is>
      </c>
      <c r="B425" s="1" t="n">
        <v>44039</v>
      </c>
      <c r="C425" s="1" t="n">
        <v>45294</v>
      </c>
      <c r="D425" t="inlineStr">
        <is>
          <t>JÄMTLANDS LÄN</t>
        </is>
      </c>
      <c r="E425" t="inlineStr">
        <is>
          <t>HÄRJEDALEN</t>
        </is>
      </c>
      <c r="G425" t="n">
        <v>1.2</v>
      </c>
      <c r="H425" t="n">
        <v>0</v>
      </c>
      <c r="I425" t="n">
        <v>0</v>
      </c>
      <c r="J425" t="n">
        <v>0</v>
      </c>
      <c r="K425" t="n">
        <v>0</v>
      </c>
      <c r="L425" t="n">
        <v>0</v>
      </c>
      <c r="M425" t="n">
        <v>0</v>
      </c>
      <c r="N425" t="n">
        <v>0</v>
      </c>
      <c r="O425" t="n">
        <v>0</v>
      </c>
      <c r="P425" t="n">
        <v>0</v>
      </c>
      <c r="Q425" t="n">
        <v>0</v>
      </c>
      <c r="R425" s="2" t="inlineStr"/>
    </row>
    <row r="426" ht="15" customHeight="1">
      <c r="A426" t="inlineStr">
        <is>
          <t>A 35160-2020</t>
        </is>
      </c>
      <c r="B426" s="1" t="n">
        <v>44040</v>
      </c>
      <c r="C426" s="1" t="n">
        <v>45294</v>
      </c>
      <c r="D426" t="inlineStr">
        <is>
          <t>JÄMTLANDS LÄN</t>
        </is>
      </c>
      <c r="E426" t="inlineStr">
        <is>
          <t>HÄRJEDALEN</t>
        </is>
      </c>
      <c r="F426" t="inlineStr">
        <is>
          <t>Bergvik skog väst AB</t>
        </is>
      </c>
      <c r="G426" t="n">
        <v>2.2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45294</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45294</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45294</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45294</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45294</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45294</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45294</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45294</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row>
    <row r="435" ht="15" customHeight="1">
      <c r="A435" t="inlineStr">
        <is>
          <t>A 42078-2020</t>
        </is>
      </c>
      <c r="B435" s="1" t="n">
        <v>44075</v>
      </c>
      <c r="C435" s="1" t="n">
        <v>45294</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45294</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45294</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45294</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45294</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45294</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45294</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45294</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45294</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47685-2020</t>
        </is>
      </c>
      <c r="B444" s="1" t="n">
        <v>44096</v>
      </c>
      <c r="C444" s="1" t="n">
        <v>45294</v>
      </c>
      <c r="D444" t="inlineStr">
        <is>
          <t>JÄMTLANDS LÄN</t>
        </is>
      </c>
      <c r="E444" t="inlineStr">
        <is>
          <t>HÄRJEDALEN</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49430-2020</t>
        </is>
      </c>
      <c r="B445" s="1" t="n">
        <v>44102</v>
      </c>
      <c r="C445" s="1" t="n">
        <v>45294</v>
      </c>
      <c r="D445" t="inlineStr">
        <is>
          <t>JÄMTLANDS LÄN</t>
        </is>
      </c>
      <c r="E445" t="inlineStr">
        <is>
          <t>HÄRJEDALEN</t>
        </is>
      </c>
      <c r="G445" t="n">
        <v>8</v>
      </c>
      <c r="H445" t="n">
        <v>0</v>
      </c>
      <c r="I445" t="n">
        <v>0</v>
      </c>
      <c r="J445" t="n">
        <v>0</v>
      </c>
      <c r="K445" t="n">
        <v>0</v>
      </c>
      <c r="L445" t="n">
        <v>0</v>
      </c>
      <c r="M445" t="n">
        <v>0</v>
      </c>
      <c r="N445" t="n">
        <v>0</v>
      </c>
      <c r="O445" t="n">
        <v>0</v>
      </c>
      <c r="P445" t="n">
        <v>0</v>
      </c>
      <c r="Q445" t="n">
        <v>0</v>
      </c>
      <c r="R445" s="2" t="inlineStr"/>
    </row>
    <row r="446" ht="15" customHeight="1">
      <c r="A446" t="inlineStr">
        <is>
          <t>A 49447-2020</t>
        </is>
      </c>
      <c r="B446" s="1" t="n">
        <v>44102</v>
      </c>
      <c r="C446" s="1" t="n">
        <v>45294</v>
      </c>
      <c r="D446" t="inlineStr">
        <is>
          <t>JÄMTLANDS LÄN</t>
        </is>
      </c>
      <c r="E446" t="inlineStr">
        <is>
          <t>HÄRJEDALEN</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49248-2020</t>
        </is>
      </c>
      <c r="B447" s="1" t="n">
        <v>44105</v>
      </c>
      <c r="C447" s="1" t="n">
        <v>45294</v>
      </c>
      <c r="D447" t="inlineStr">
        <is>
          <t>JÄMTLANDS LÄN</t>
        </is>
      </c>
      <c r="E447" t="inlineStr">
        <is>
          <t>HÄRJEDALEN</t>
        </is>
      </c>
      <c r="G447" t="n">
        <v>3.5</v>
      </c>
      <c r="H447" t="n">
        <v>0</v>
      </c>
      <c r="I447" t="n">
        <v>0</v>
      </c>
      <c r="J447" t="n">
        <v>0</v>
      </c>
      <c r="K447" t="n">
        <v>0</v>
      </c>
      <c r="L447" t="n">
        <v>0</v>
      </c>
      <c r="M447" t="n">
        <v>0</v>
      </c>
      <c r="N447" t="n">
        <v>0</v>
      </c>
      <c r="O447" t="n">
        <v>0</v>
      </c>
      <c r="P447" t="n">
        <v>0</v>
      </c>
      <c r="Q447" t="n">
        <v>0</v>
      </c>
      <c r="R447" s="2" t="inlineStr"/>
    </row>
    <row r="448" ht="15" customHeight="1">
      <c r="A448" t="inlineStr">
        <is>
          <t>A 49246-2020</t>
        </is>
      </c>
      <c r="B448" s="1" t="n">
        <v>44105</v>
      </c>
      <c r="C448" s="1" t="n">
        <v>45294</v>
      </c>
      <c r="D448" t="inlineStr">
        <is>
          <t>JÄMTLANDS LÄN</t>
        </is>
      </c>
      <c r="E448" t="inlineStr">
        <is>
          <t>HÄRJEDALEN</t>
        </is>
      </c>
      <c r="G448" t="n">
        <v>3.7</v>
      </c>
      <c r="H448" t="n">
        <v>0</v>
      </c>
      <c r="I448" t="n">
        <v>0</v>
      </c>
      <c r="J448" t="n">
        <v>0</v>
      </c>
      <c r="K448" t="n">
        <v>0</v>
      </c>
      <c r="L448" t="n">
        <v>0</v>
      </c>
      <c r="M448" t="n">
        <v>0</v>
      </c>
      <c r="N448" t="n">
        <v>0</v>
      </c>
      <c r="O448" t="n">
        <v>0</v>
      </c>
      <c r="P448" t="n">
        <v>0</v>
      </c>
      <c r="Q448" t="n">
        <v>0</v>
      </c>
      <c r="R448" s="2" t="inlineStr"/>
    </row>
    <row r="449" ht="15" customHeight="1">
      <c r="A449" t="inlineStr">
        <is>
          <t>A 49903-2020</t>
        </is>
      </c>
      <c r="B449" s="1" t="n">
        <v>44108</v>
      </c>
      <c r="C449" s="1" t="n">
        <v>45294</v>
      </c>
      <c r="D449" t="inlineStr">
        <is>
          <t>JÄMTLANDS LÄN</t>
        </is>
      </c>
      <c r="E449" t="inlineStr">
        <is>
          <t>HÄRJEDALEN</t>
        </is>
      </c>
      <c r="G449" t="n">
        <v>1.9</v>
      </c>
      <c r="H449" t="n">
        <v>0</v>
      </c>
      <c r="I449" t="n">
        <v>0</v>
      </c>
      <c r="J449" t="n">
        <v>0</v>
      </c>
      <c r="K449" t="n">
        <v>0</v>
      </c>
      <c r="L449" t="n">
        <v>0</v>
      </c>
      <c r="M449" t="n">
        <v>0</v>
      </c>
      <c r="N449" t="n">
        <v>0</v>
      </c>
      <c r="O449" t="n">
        <v>0</v>
      </c>
      <c r="P449" t="n">
        <v>0</v>
      </c>
      <c r="Q449" t="n">
        <v>0</v>
      </c>
      <c r="R449" s="2" t="inlineStr"/>
    </row>
    <row r="450" ht="15" customHeight="1">
      <c r="A450" t="inlineStr">
        <is>
          <t>A 50018-2020</t>
        </is>
      </c>
      <c r="B450" s="1" t="n">
        <v>44109</v>
      </c>
      <c r="C450" s="1" t="n">
        <v>45294</v>
      </c>
      <c r="D450" t="inlineStr">
        <is>
          <t>JÄMTLANDS LÄN</t>
        </is>
      </c>
      <c r="E450" t="inlineStr">
        <is>
          <t>HÄRJEDALEN</t>
        </is>
      </c>
      <c r="F450" t="inlineStr">
        <is>
          <t>Bergvik skog väst AB</t>
        </is>
      </c>
      <c r="G450" t="n">
        <v>7.1</v>
      </c>
      <c r="H450" t="n">
        <v>0</v>
      </c>
      <c r="I450" t="n">
        <v>0</v>
      </c>
      <c r="J450" t="n">
        <v>0</v>
      </c>
      <c r="K450" t="n">
        <v>0</v>
      </c>
      <c r="L450" t="n">
        <v>0</v>
      </c>
      <c r="M450" t="n">
        <v>0</v>
      </c>
      <c r="N450" t="n">
        <v>0</v>
      </c>
      <c r="O450" t="n">
        <v>0</v>
      </c>
      <c r="P450" t="n">
        <v>0</v>
      </c>
      <c r="Q450" t="n">
        <v>0</v>
      </c>
      <c r="R450" s="2" t="inlineStr"/>
    </row>
    <row r="451" ht="15" customHeight="1">
      <c r="A451" t="inlineStr">
        <is>
          <t>A 54481-2020</t>
        </is>
      </c>
      <c r="B451" s="1" t="n">
        <v>44126</v>
      </c>
      <c r="C451" s="1" t="n">
        <v>45294</v>
      </c>
      <c r="D451" t="inlineStr">
        <is>
          <t>JÄMTLANDS LÄN</t>
        </is>
      </c>
      <c r="E451" t="inlineStr">
        <is>
          <t>HÄRJEDALEN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54537-2020</t>
        </is>
      </c>
      <c r="B452" s="1" t="n">
        <v>44126</v>
      </c>
      <c r="C452" s="1" t="n">
        <v>45294</v>
      </c>
      <c r="D452" t="inlineStr">
        <is>
          <t>JÄMTLANDS LÄN</t>
        </is>
      </c>
      <c r="E452" t="inlineStr">
        <is>
          <t>HÄRJEDALEN</t>
        </is>
      </c>
      <c r="G452" t="n">
        <v>1.1</v>
      </c>
      <c r="H452" t="n">
        <v>0</v>
      </c>
      <c r="I452" t="n">
        <v>0</v>
      </c>
      <c r="J452" t="n">
        <v>0</v>
      </c>
      <c r="K452" t="n">
        <v>0</v>
      </c>
      <c r="L452" t="n">
        <v>0</v>
      </c>
      <c r="M452" t="n">
        <v>0</v>
      </c>
      <c r="N452" t="n">
        <v>0</v>
      </c>
      <c r="O452" t="n">
        <v>0</v>
      </c>
      <c r="P452" t="n">
        <v>0</v>
      </c>
      <c r="Q452" t="n">
        <v>0</v>
      </c>
      <c r="R452" s="2" t="inlineStr"/>
    </row>
    <row r="453" ht="15" customHeight="1">
      <c r="A453" t="inlineStr">
        <is>
          <t>A 54593-2020</t>
        </is>
      </c>
      <c r="B453" s="1" t="n">
        <v>44126</v>
      </c>
      <c r="C453" s="1" t="n">
        <v>45294</v>
      </c>
      <c r="D453" t="inlineStr">
        <is>
          <t>JÄMTLANDS LÄN</t>
        </is>
      </c>
      <c r="E453" t="inlineStr">
        <is>
          <t>HÄRJEDALEN</t>
        </is>
      </c>
      <c r="G453" t="n">
        <v>6.5</v>
      </c>
      <c r="H453" t="n">
        <v>0</v>
      </c>
      <c r="I453" t="n">
        <v>0</v>
      </c>
      <c r="J453" t="n">
        <v>0</v>
      </c>
      <c r="K453" t="n">
        <v>0</v>
      </c>
      <c r="L453" t="n">
        <v>0</v>
      </c>
      <c r="M453" t="n">
        <v>0</v>
      </c>
      <c r="N453" t="n">
        <v>0</v>
      </c>
      <c r="O453" t="n">
        <v>0</v>
      </c>
      <c r="P453" t="n">
        <v>0</v>
      </c>
      <c r="Q453" t="n">
        <v>0</v>
      </c>
      <c r="R453" s="2" t="inlineStr"/>
    </row>
    <row r="454" ht="15" customHeight="1">
      <c r="A454" t="inlineStr">
        <is>
          <t>A 54716-2020</t>
        </is>
      </c>
      <c r="B454" s="1" t="n">
        <v>44127</v>
      </c>
      <c r="C454" s="1" t="n">
        <v>45294</v>
      </c>
      <c r="D454" t="inlineStr">
        <is>
          <t>JÄMTLANDS LÄN</t>
        </is>
      </c>
      <c r="E454" t="inlineStr">
        <is>
          <t>HÄRJEDALEN</t>
        </is>
      </c>
      <c r="F454" t="inlineStr">
        <is>
          <t>Kyrkan</t>
        </is>
      </c>
      <c r="G454" t="n">
        <v>21.3</v>
      </c>
      <c r="H454" t="n">
        <v>0</v>
      </c>
      <c r="I454" t="n">
        <v>0</v>
      </c>
      <c r="J454" t="n">
        <v>0</v>
      </c>
      <c r="K454" t="n">
        <v>0</v>
      </c>
      <c r="L454" t="n">
        <v>0</v>
      </c>
      <c r="M454" t="n">
        <v>0</v>
      </c>
      <c r="N454" t="n">
        <v>0</v>
      </c>
      <c r="O454" t="n">
        <v>0</v>
      </c>
      <c r="P454" t="n">
        <v>0</v>
      </c>
      <c r="Q454" t="n">
        <v>0</v>
      </c>
      <c r="R454" s="2" t="inlineStr"/>
    </row>
    <row r="455" ht="15" customHeight="1">
      <c r="A455" t="inlineStr">
        <is>
          <t>A 55834-2020</t>
        </is>
      </c>
      <c r="B455" s="1" t="n">
        <v>44132</v>
      </c>
      <c r="C455" s="1" t="n">
        <v>45294</v>
      </c>
      <c r="D455" t="inlineStr">
        <is>
          <t>JÄMTLANDS LÄN</t>
        </is>
      </c>
      <c r="E455" t="inlineStr">
        <is>
          <t>HÄRJEDALEN</t>
        </is>
      </c>
      <c r="G455" t="n">
        <v>2.8</v>
      </c>
      <c r="H455" t="n">
        <v>0</v>
      </c>
      <c r="I455" t="n">
        <v>0</v>
      </c>
      <c r="J455" t="n">
        <v>0</v>
      </c>
      <c r="K455" t="n">
        <v>0</v>
      </c>
      <c r="L455" t="n">
        <v>0</v>
      </c>
      <c r="M455" t="n">
        <v>0</v>
      </c>
      <c r="N455" t="n">
        <v>0</v>
      </c>
      <c r="O455" t="n">
        <v>0</v>
      </c>
      <c r="P455" t="n">
        <v>0</v>
      </c>
      <c r="Q455" t="n">
        <v>0</v>
      </c>
      <c r="R455" s="2" t="inlineStr"/>
    </row>
    <row r="456" ht="15" customHeight="1">
      <c r="A456" t="inlineStr">
        <is>
          <t>A 56001-2020</t>
        </is>
      </c>
      <c r="B456" s="1" t="n">
        <v>44133</v>
      </c>
      <c r="C456" s="1" t="n">
        <v>45294</v>
      </c>
      <c r="D456" t="inlineStr">
        <is>
          <t>JÄMTLANDS LÄN</t>
        </is>
      </c>
      <c r="E456" t="inlineStr">
        <is>
          <t>HÄRJEDALEN</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57196-2020</t>
        </is>
      </c>
      <c r="B457" s="1" t="n">
        <v>44139</v>
      </c>
      <c r="C457" s="1" t="n">
        <v>45294</v>
      </c>
      <c r="D457" t="inlineStr">
        <is>
          <t>JÄMTLANDS LÄN</t>
        </is>
      </c>
      <c r="E457" t="inlineStr">
        <is>
          <t>HÄRJEDALEN</t>
        </is>
      </c>
      <c r="G457" t="n">
        <v>15.1</v>
      </c>
      <c r="H457" t="n">
        <v>0</v>
      </c>
      <c r="I457" t="n">
        <v>0</v>
      </c>
      <c r="J457" t="n">
        <v>0</v>
      </c>
      <c r="K457" t="n">
        <v>0</v>
      </c>
      <c r="L457" t="n">
        <v>0</v>
      </c>
      <c r="M457" t="n">
        <v>0</v>
      </c>
      <c r="N457" t="n">
        <v>0</v>
      </c>
      <c r="O457" t="n">
        <v>0</v>
      </c>
      <c r="P457" t="n">
        <v>0</v>
      </c>
      <c r="Q457" t="n">
        <v>0</v>
      </c>
      <c r="R457" s="2" t="inlineStr"/>
    </row>
    <row r="458" ht="15" customHeight="1">
      <c r="A458" t="inlineStr">
        <is>
          <t>A 59533-2020</t>
        </is>
      </c>
      <c r="B458" s="1" t="n">
        <v>44148</v>
      </c>
      <c r="C458" s="1" t="n">
        <v>45294</v>
      </c>
      <c r="D458" t="inlineStr">
        <is>
          <t>JÄMTLANDS LÄN</t>
        </is>
      </c>
      <c r="E458" t="inlineStr">
        <is>
          <t>HÄRJEDALEN</t>
        </is>
      </c>
      <c r="F458" t="inlineStr">
        <is>
          <t>Holmen skog AB</t>
        </is>
      </c>
      <c r="G458" t="n">
        <v>38.3</v>
      </c>
      <c r="H458" t="n">
        <v>0</v>
      </c>
      <c r="I458" t="n">
        <v>0</v>
      </c>
      <c r="J458" t="n">
        <v>0</v>
      </c>
      <c r="K458" t="n">
        <v>0</v>
      </c>
      <c r="L458" t="n">
        <v>0</v>
      </c>
      <c r="M458" t="n">
        <v>0</v>
      </c>
      <c r="N458" t="n">
        <v>0</v>
      </c>
      <c r="O458" t="n">
        <v>0</v>
      </c>
      <c r="P458" t="n">
        <v>0</v>
      </c>
      <c r="Q458" t="n">
        <v>0</v>
      </c>
      <c r="R458" s="2" t="inlineStr"/>
    </row>
    <row r="459" ht="15" customHeight="1">
      <c r="A459" t="inlineStr">
        <is>
          <t>A 60087-2020</t>
        </is>
      </c>
      <c r="B459" s="1" t="n">
        <v>44151</v>
      </c>
      <c r="C459" s="1" t="n">
        <v>45294</v>
      </c>
      <c r="D459" t="inlineStr">
        <is>
          <t>JÄMTLANDS LÄN</t>
        </is>
      </c>
      <c r="E459" t="inlineStr">
        <is>
          <t>HÄRJEDALEN</t>
        </is>
      </c>
      <c r="G459" t="n">
        <v>9.4</v>
      </c>
      <c r="H459" t="n">
        <v>0</v>
      </c>
      <c r="I459" t="n">
        <v>0</v>
      </c>
      <c r="J459" t="n">
        <v>0</v>
      </c>
      <c r="K459" t="n">
        <v>0</v>
      </c>
      <c r="L459" t="n">
        <v>0</v>
      </c>
      <c r="M459" t="n">
        <v>0</v>
      </c>
      <c r="N459" t="n">
        <v>0</v>
      </c>
      <c r="O459" t="n">
        <v>0</v>
      </c>
      <c r="P459" t="n">
        <v>0</v>
      </c>
      <c r="Q459" t="n">
        <v>0</v>
      </c>
      <c r="R459" s="2" t="inlineStr"/>
    </row>
    <row r="460" ht="15" customHeight="1">
      <c r="A460" t="inlineStr">
        <is>
          <t>A 60424-2020</t>
        </is>
      </c>
      <c r="B460" s="1" t="n">
        <v>44153</v>
      </c>
      <c r="C460" s="1" t="n">
        <v>45294</v>
      </c>
      <c r="D460" t="inlineStr">
        <is>
          <t>JÄMTLANDS LÄN</t>
        </is>
      </c>
      <c r="E460" t="inlineStr">
        <is>
          <t>HÄRJEDALEN</t>
        </is>
      </c>
      <c r="F460" t="inlineStr">
        <is>
          <t>Holmen skog AB</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60429-2020</t>
        </is>
      </c>
      <c r="B461" s="1" t="n">
        <v>44153</v>
      </c>
      <c r="C461" s="1" t="n">
        <v>45294</v>
      </c>
      <c r="D461" t="inlineStr">
        <is>
          <t>JÄMTLANDS LÄN</t>
        </is>
      </c>
      <c r="E461" t="inlineStr">
        <is>
          <t>HÄRJEDALEN</t>
        </is>
      </c>
      <c r="G461" t="n">
        <v>1.1</v>
      </c>
      <c r="H461" t="n">
        <v>0</v>
      </c>
      <c r="I461" t="n">
        <v>0</v>
      </c>
      <c r="J461" t="n">
        <v>0</v>
      </c>
      <c r="K461" t="n">
        <v>0</v>
      </c>
      <c r="L461" t="n">
        <v>0</v>
      </c>
      <c r="M461" t="n">
        <v>0</v>
      </c>
      <c r="N461" t="n">
        <v>0</v>
      </c>
      <c r="O461" t="n">
        <v>0</v>
      </c>
      <c r="P461" t="n">
        <v>0</v>
      </c>
      <c r="Q461" t="n">
        <v>0</v>
      </c>
      <c r="R461" s="2" t="inlineStr"/>
    </row>
    <row r="462" ht="15" customHeight="1">
      <c r="A462" t="inlineStr">
        <is>
          <t>A 60606-2020</t>
        </is>
      </c>
      <c r="B462" s="1" t="n">
        <v>44153</v>
      </c>
      <c r="C462" s="1" t="n">
        <v>45294</v>
      </c>
      <c r="D462" t="inlineStr">
        <is>
          <t>JÄMTLANDS LÄN</t>
        </is>
      </c>
      <c r="E462" t="inlineStr">
        <is>
          <t>HÄRJEDALEN</t>
        </is>
      </c>
      <c r="F462" t="inlineStr">
        <is>
          <t>Holmen skog AB</t>
        </is>
      </c>
      <c r="G462" t="n">
        <v>3.2</v>
      </c>
      <c r="H462" t="n">
        <v>0</v>
      </c>
      <c r="I462" t="n">
        <v>0</v>
      </c>
      <c r="J462" t="n">
        <v>0</v>
      </c>
      <c r="K462" t="n">
        <v>0</v>
      </c>
      <c r="L462" t="n">
        <v>0</v>
      </c>
      <c r="M462" t="n">
        <v>0</v>
      </c>
      <c r="N462" t="n">
        <v>0</v>
      </c>
      <c r="O462" t="n">
        <v>0</v>
      </c>
      <c r="P462" t="n">
        <v>0</v>
      </c>
      <c r="Q462" t="n">
        <v>0</v>
      </c>
      <c r="R462" s="2" t="inlineStr"/>
    </row>
    <row r="463" ht="15" customHeight="1">
      <c r="A463" t="inlineStr">
        <is>
          <t>A 60422-2020</t>
        </is>
      </c>
      <c r="B463" s="1" t="n">
        <v>44153</v>
      </c>
      <c r="C463" s="1" t="n">
        <v>45294</v>
      </c>
      <c r="D463" t="inlineStr">
        <is>
          <t>JÄMTLANDS LÄN</t>
        </is>
      </c>
      <c r="E463" t="inlineStr">
        <is>
          <t>HÄRJEDALEN</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60836-2020</t>
        </is>
      </c>
      <c r="B464" s="1" t="n">
        <v>44154</v>
      </c>
      <c r="C464" s="1" t="n">
        <v>45294</v>
      </c>
      <c r="D464" t="inlineStr">
        <is>
          <t>JÄMTLANDS LÄN</t>
        </is>
      </c>
      <c r="E464" t="inlineStr">
        <is>
          <t>HÄRJEDALEN</t>
        </is>
      </c>
      <c r="G464" t="n">
        <v>2.5</v>
      </c>
      <c r="H464" t="n">
        <v>0</v>
      </c>
      <c r="I464" t="n">
        <v>0</v>
      </c>
      <c r="J464" t="n">
        <v>0</v>
      </c>
      <c r="K464" t="n">
        <v>0</v>
      </c>
      <c r="L464" t="n">
        <v>0</v>
      </c>
      <c r="M464" t="n">
        <v>0</v>
      </c>
      <c r="N464" t="n">
        <v>0</v>
      </c>
      <c r="O464" t="n">
        <v>0</v>
      </c>
      <c r="P464" t="n">
        <v>0</v>
      </c>
      <c r="Q464" t="n">
        <v>0</v>
      </c>
      <c r="R464" s="2" t="inlineStr"/>
    </row>
    <row r="465" ht="15" customHeight="1">
      <c r="A465" t="inlineStr">
        <is>
          <t>A 60794-2020</t>
        </is>
      </c>
      <c r="B465" s="1" t="n">
        <v>44154</v>
      </c>
      <c r="C465" s="1" t="n">
        <v>45294</v>
      </c>
      <c r="D465" t="inlineStr">
        <is>
          <t>JÄMTLANDS LÄN</t>
        </is>
      </c>
      <c r="E465" t="inlineStr">
        <is>
          <t>HÄRJEDALEN</t>
        </is>
      </c>
      <c r="F465" t="inlineStr">
        <is>
          <t>Holmen skog AB</t>
        </is>
      </c>
      <c r="G465" t="n">
        <v>5.5</v>
      </c>
      <c r="H465" t="n">
        <v>0</v>
      </c>
      <c r="I465" t="n">
        <v>0</v>
      </c>
      <c r="J465" t="n">
        <v>0</v>
      </c>
      <c r="K465" t="n">
        <v>0</v>
      </c>
      <c r="L465" t="n">
        <v>0</v>
      </c>
      <c r="M465" t="n">
        <v>0</v>
      </c>
      <c r="N465" t="n">
        <v>0</v>
      </c>
      <c r="O465" t="n">
        <v>0</v>
      </c>
      <c r="P465" t="n">
        <v>0</v>
      </c>
      <c r="Q465" t="n">
        <v>0</v>
      </c>
      <c r="R465" s="2" t="inlineStr"/>
    </row>
    <row r="466" ht="15" customHeight="1">
      <c r="A466" t="inlineStr">
        <is>
          <t>A 61232-2020</t>
        </is>
      </c>
      <c r="B466" s="1" t="n">
        <v>44155</v>
      </c>
      <c r="C466" s="1" t="n">
        <v>45294</v>
      </c>
      <c r="D466" t="inlineStr">
        <is>
          <t>JÄMTLANDS LÄN</t>
        </is>
      </c>
      <c r="E466" t="inlineStr">
        <is>
          <t>HÄRJEDALEN</t>
        </is>
      </c>
      <c r="G466" t="n">
        <v>8.5</v>
      </c>
      <c r="H466" t="n">
        <v>0</v>
      </c>
      <c r="I466" t="n">
        <v>0</v>
      </c>
      <c r="J466" t="n">
        <v>0</v>
      </c>
      <c r="K466" t="n">
        <v>0</v>
      </c>
      <c r="L466" t="n">
        <v>0</v>
      </c>
      <c r="M466" t="n">
        <v>0</v>
      </c>
      <c r="N466" t="n">
        <v>0</v>
      </c>
      <c r="O466" t="n">
        <v>0</v>
      </c>
      <c r="P466" t="n">
        <v>0</v>
      </c>
      <c r="Q466" t="n">
        <v>0</v>
      </c>
      <c r="R466" s="2" t="inlineStr"/>
    </row>
    <row r="467" ht="15" customHeight="1">
      <c r="A467" t="inlineStr">
        <is>
          <t>A 63133-2020</t>
        </is>
      </c>
      <c r="B467" s="1" t="n">
        <v>44162</v>
      </c>
      <c r="C467" s="1" t="n">
        <v>45294</v>
      </c>
      <c r="D467" t="inlineStr">
        <is>
          <t>JÄMTLANDS LÄN</t>
        </is>
      </c>
      <c r="E467" t="inlineStr">
        <is>
          <t>HÄRJEDALEN</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64281-2020</t>
        </is>
      </c>
      <c r="B468" s="1" t="n">
        <v>44166</v>
      </c>
      <c r="C468" s="1" t="n">
        <v>45294</v>
      </c>
      <c r="D468" t="inlineStr">
        <is>
          <t>JÄMTLANDS LÄN</t>
        </is>
      </c>
      <c r="E468" t="inlineStr">
        <is>
          <t>HÄRJEDALEN</t>
        </is>
      </c>
      <c r="F468" t="inlineStr">
        <is>
          <t>Övriga statliga verk och myndigheter</t>
        </is>
      </c>
      <c r="G468" t="n">
        <v>4.1</v>
      </c>
      <c r="H468" t="n">
        <v>0</v>
      </c>
      <c r="I468" t="n">
        <v>0</v>
      </c>
      <c r="J468" t="n">
        <v>0</v>
      </c>
      <c r="K468" t="n">
        <v>0</v>
      </c>
      <c r="L468" t="n">
        <v>0</v>
      </c>
      <c r="M468" t="n">
        <v>0</v>
      </c>
      <c r="N468" t="n">
        <v>0</v>
      </c>
      <c r="O468" t="n">
        <v>0</v>
      </c>
      <c r="P468" t="n">
        <v>0</v>
      </c>
      <c r="Q468" t="n">
        <v>0</v>
      </c>
      <c r="R468" s="2" t="inlineStr"/>
    </row>
    <row r="469" ht="15" customHeight="1">
      <c r="A469" t="inlineStr">
        <is>
          <t>A 64300-2020</t>
        </is>
      </c>
      <c r="B469" s="1" t="n">
        <v>44166</v>
      </c>
      <c r="C469" s="1" t="n">
        <v>45294</v>
      </c>
      <c r="D469" t="inlineStr">
        <is>
          <t>JÄMTLANDS LÄN</t>
        </is>
      </c>
      <c r="E469" t="inlineStr">
        <is>
          <t>HÄRJEDALEN</t>
        </is>
      </c>
      <c r="F469" t="inlineStr">
        <is>
          <t>Övriga statliga verk och myndigheter</t>
        </is>
      </c>
      <c r="G469" t="n">
        <v>58</v>
      </c>
      <c r="H469" t="n">
        <v>0</v>
      </c>
      <c r="I469" t="n">
        <v>0</v>
      </c>
      <c r="J469" t="n">
        <v>0</v>
      </c>
      <c r="K469" t="n">
        <v>0</v>
      </c>
      <c r="L469" t="n">
        <v>0</v>
      </c>
      <c r="M469" t="n">
        <v>0</v>
      </c>
      <c r="N469" t="n">
        <v>0</v>
      </c>
      <c r="O469" t="n">
        <v>0</v>
      </c>
      <c r="P469" t="n">
        <v>0</v>
      </c>
      <c r="Q469" t="n">
        <v>0</v>
      </c>
      <c r="R469" s="2" t="inlineStr"/>
    </row>
    <row r="470" ht="15" customHeight="1">
      <c r="A470" t="inlineStr">
        <is>
          <t>A 63949-2020</t>
        </is>
      </c>
      <c r="B470" s="1" t="n">
        <v>44167</v>
      </c>
      <c r="C470" s="1" t="n">
        <v>45294</v>
      </c>
      <c r="D470" t="inlineStr">
        <is>
          <t>JÄMTLANDS LÄN</t>
        </is>
      </c>
      <c r="E470" t="inlineStr">
        <is>
          <t>HÄRJEDALEN</t>
        </is>
      </c>
      <c r="F470" t="inlineStr">
        <is>
          <t>Bergvik skog väst AB</t>
        </is>
      </c>
      <c r="G470" t="n">
        <v>10.8</v>
      </c>
      <c r="H470" t="n">
        <v>0</v>
      </c>
      <c r="I470" t="n">
        <v>0</v>
      </c>
      <c r="J470" t="n">
        <v>0</v>
      </c>
      <c r="K470" t="n">
        <v>0</v>
      </c>
      <c r="L470" t="n">
        <v>0</v>
      </c>
      <c r="M470" t="n">
        <v>0</v>
      </c>
      <c r="N470" t="n">
        <v>0</v>
      </c>
      <c r="O470" t="n">
        <v>0</v>
      </c>
      <c r="P470" t="n">
        <v>0</v>
      </c>
      <c r="Q470" t="n">
        <v>0</v>
      </c>
      <c r="R470" s="2" t="inlineStr"/>
    </row>
    <row r="471" ht="15" customHeight="1">
      <c r="A471" t="inlineStr">
        <is>
          <t>A 63979-2020</t>
        </is>
      </c>
      <c r="B471" s="1" t="n">
        <v>44167</v>
      </c>
      <c r="C471" s="1" t="n">
        <v>45294</v>
      </c>
      <c r="D471" t="inlineStr">
        <is>
          <t>JÄMTLANDS LÄN</t>
        </is>
      </c>
      <c r="E471" t="inlineStr">
        <is>
          <t>HÄRJEDALEN</t>
        </is>
      </c>
      <c r="G471" t="n">
        <v>10</v>
      </c>
      <c r="H471" t="n">
        <v>0</v>
      </c>
      <c r="I471" t="n">
        <v>0</v>
      </c>
      <c r="J471" t="n">
        <v>0</v>
      </c>
      <c r="K471" t="n">
        <v>0</v>
      </c>
      <c r="L471" t="n">
        <v>0</v>
      </c>
      <c r="M471" t="n">
        <v>0</v>
      </c>
      <c r="N471" t="n">
        <v>0</v>
      </c>
      <c r="O471" t="n">
        <v>0</v>
      </c>
      <c r="P471" t="n">
        <v>0</v>
      </c>
      <c r="Q471" t="n">
        <v>0</v>
      </c>
      <c r="R471" s="2" t="inlineStr"/>
    </row>
    <row r="472" ht="15" customHeight="1">
      <c r="A472" t="inlineStr">
        <is>
          <t>A 64539-2020</t>
        </is>
      </c>
      <c r="B472" s="1" t="n">
        <v>44169</v>
      </c>
      <c r="C472" s="1" t="n">
        <v>45294</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64579-2020</t>
        </is>
      </c>
      <c r="B473" s="1" t="n">
        <v>44169</v>
      </c>
      <c r="C473" s="1" t="n">
        <v>45294</v>
      </c>
      <c r="D473" t="inlineStr">
        <is>
          <t>JÄMTLANDS LÄN</t>
        </is>
      </c>
      <c r="E473" t="inlineStr">
        <is>
          <t>HÄRJEDALEN</t>
        </is>
      </c>
      <c r="G473" t="n">
        <v>12.4</v>
      </c>
      <c r="H473" t="n">
        <v>0</v>
      </c>
      <c r="I473" t="n">
        <v>0</v>
      </c>
      <c r="J473" t="n">
        <v>0</v>
      </c>
      <c r="K473" t="n">
        <v>0</v>
      </c>
      <c r="L473" t="n">
        <v>0</v>
      </c>
      <c r="M473" t="n">
        <v>0</v>
      </c>
      <c r="N473" t="n">
        <v>0</v>
      </c>
      <c r="O473" t="n">
        <v>0</v>
      </c>
      <c r="P473" t="n">
        <v>0</v>
      </c>
      <c r="Q473" t="n">
        <v>0</v>
      </c>
      <c r="R473" s="2" t="inlineStr"/>
    </row>
    <row r="474" ht="15" customHeight="1">
      <c r="A474" t="inlineStr">
        <is>
          <t>A 65817-2020</t>
        </is>
      </c>
      <c r="B474" s="1" t="n">
        <v>44174</v>
      </c>
      <c r="C474" s="1" t="n">
        <v>45294</v>
      </c>
      <c r="D474" t="inlineStr">
        <is>
          <t>JÄMTLANDS LÄN</t>
        </is>
      </c>
      <c r="E474" t="inlineStr">
        <is>
          <t>HÄRJEDALEN</t>
        </is>
      </c>
      <c r="G474" t="n">
        <v>1.8</v>
      </c>
      <c r="H474" t="n">
        <v>0</v>
      </c>
      <c r="I474" t="n">
        <v>0</v>
      </c>
      <c r="J474" t="n">
        <v>0</v>
      </c>
      <c r="K474" t="n">
        <v>0</v>
      </c>
      <c r="L474" t="n">
        <v>0</v>
      </c>
      <c r="M474" t="n">
        <v>0</v>
      </c>
      <c r="N474" t="n">
        <v>0</v>
      </c>
      <c r="O474" t="n">
        <v>0</v>
      </c>
      <c r="P474" t="n">
        <v>0</v>
      </c>
      <c r="Q474" t="n">
        <v>0</v>
      </c>
      <c r="R474" s="2" t="inlineStr"/>
    </row>
    <row r="475" ht="15" customHeight="1">
      <c r="A475" t="inlineStr">
        <is>
          <t>A 66276-2020</t>
        </is>
      </c>
      <c r="B475" s="1" t="n">
        <v>44174</v>
      </c>
      <c r="C475" s="1" t="n">
        <v>45294</v>
      </c>
      <c r="D475" t="inlineStr">
        <is>
          <t>JÄMTLANDS LÄN</t>
        </is>
      </c>
      <c r="E475" t="inlineStr">
        <is>
          <t>HÄRJEDALEN</t>
        </is>
      </c>
      <c r="G475" t="n">
        <v>4</v>
      </c>
      <c r="H475" t="n">
        <v>0</v>
      </c>
      <c r="I475" t="n">
        <v>0</v>
      </c>
      <c r="J475" t="n">
        <v>0</v>
      </c>
      <c r="K475" t="n">
        <v>0</v>
      </c>
      <c r="L475" t="n">
        <v>0</v>
      </c>
      <c r="M475" t="n">
        <v>0</v>
      </c>
      <c r="N475" t="n">
        <v>0</v>
      </c>
      <c r="O475" t="n">
        <v>0</v>
      </c>
      <c r="P475" t="n">
        <v>0</v>
      </c>
      <c r="Q475" t="n">
        <v>0</v>
      </c>
      <c r="R475" s="2" t="inlineStr"/>
    </row>
    <row r="476" ht="15" customHeight="1">
      <c r="A476" t="inlineStr">
        <is>
          <t>A 66720-2020</t>
        </is>
      </c>
      <c r="B476" s="1" t="n">
        <v>44179</v>
      </c>
      <c r="C476" s="1" t="n">
        <v>45294</v>
      </c>
      <c r="D476" t="inlineStr">
        <is>
          <t>JÄMTLANDS LÄN</t>
        </is>
      </c>
      <c r="E476" t="inlineStr">
        <is>
          <t>HÄRJEDALEN</t>
        </is>
      </c>
      <c r="G476" t="n">
        <v>2.2</v>
      </c>
      <c r="H476" t="n">
        <v>0</v>
      </c>
      <c r="I476" t="n">
        <v>0</v>
      </c>
      <c r="J476" t="n">
        <v>0</v>
      </c>
      <c r="K476" t="n">
        <v>0</v>
      </c>
      <c r="L476" t="n">
        <v>0</v>
      </c>
      <c r="M476" t="n">
        <v>0</v>
      </c>
      <c r="N476" t="n">
        <v>0</v>
      </c>
      <c r="O476" t="n">
        <v>0</v>
      </c>
      <c r="P476" t="n">
        <v>0</v>
      </c>
      <c r="Q476" t="n">
        <v>0</v>
      </c>
      <c r="R476" s="2" t="inlineStr"/>
    </row>
    <row r="477" ht="15" customHeight="1">
      <c r="A477" t="inlineStr">
        <is>
          <t>A 67099-2020</t>
        </is>
      </c>
      <c r="B477" s="1" t="n">
        <v>44180</v>
      </c>
      <c r="C477" s="1" t="n">
        <v>45294</v>
      </c>
      <c r="D477" t="inlineStr">
        <is>
          <t>JÄMTLANDS LÄN</t>
        </is>
      </c>
      <c r="E477" t="inlineStr">
        <is>
          <t>HÄRJEDALEN</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67156-2020</t>
        </is>
      </c>
      <c r="B478" s="1" t="n">
        <v>44180</v>
      </c>
      <c r="C478" s="1" t="n">
        <v>45294</v>
      </c>
      <c r="D478" t="inlineStr">
        <is>
          <t>JÄMTLANDS LÄN</t>
        </is>
      </c>
      <c r="E478" t="inlineStr">
        <is>
          <t>HÄRJEDALEN</t>
        </is>
      </c>
      <c r="F478" t="inlineStr">
        <is>
          <t>Holmen skog AB</t>
        </is>
      </c>
      <c r="G478" t="n">
        <v>7.3</v>
      </c>
      <c r="H478" t="n">
        <v>0</v>
      </c>
      <c r="I478" t="n">
        <v>0</v>
      </c>
      <c r="J478" t="n">
        <v>0</v>
      </c>
      <c r="K478" t="n">
        <v>0</v>
      </c>
      <c r="L478" t="n">
        <v>0</v>
      </c>
      <c r="M478" t="n">
        <v>0</v>
      </c>
      <c r="N478" t="n">
        <v>0</v>
      </c>
      <c r="O478" t="n">
        <v>0</v>
      </c>
      <c r="P478" t="n">
        <v>0</v>
      </c>
      <c r="Q478" t="n">
        <v>0</v>
      </c>
      <c r="R478" s="2" t="inlineStr"/>
    </row>
    <row r="479" ht="15" customHeight="1">
      <c r="A479" t="inlineStr">
        <is>
          <t>A 67110-2020</t>
        </is>
      </c>
      <c r="B479" s="1" t="n">
        <v>44180</v>
      </c>
      <c r="C479" s="1" t="n">
        <v>45294</v>
      </c>
      <c r="D479" t="inlineStr">
        <is>
          <t>JÄMTLANDS LÄN</t>
        </is>
      </c>
      <c r="E479" t="inlineStr">
        <is>
          <t>HÄRJEDALEN</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67182-2020</t>
        </is>
      </c>
      <c r="B480" s="1" t="n">
        <v>44180</v>
      </c>
      <c r="C480" s="1" t="n">
        <v>45294</v>
      </c>
      <c r="D480" t="inlineStr">
        <is>
          <t>JÄMTLANDS LÄN</t>
        </is>
      </c>
      <c r="E480" t="inlineStr">
        <is>
          <t>HÄRJEDALEN</t>
        </is>
      </c>
      <c r="G480" t="n">
        <v>1</v>
      </c>
      <c r="H480" t="n">
        <v>0</v>
      </c>
      <c r="I480" t="n">
        <v>0</v>
      </c>
      <c r="J480" t="n">
        <v>0</v>
      </c>
      <c r="K480" t="n">
        <v>0</v>
      </c>
      <c r="L480" t="n">
        <v>0</v>
      </c>
      <c r="M480" t="n">
        <v>0</v>
      </c>
      <c r="N480" t="n">
        <v>0</v>
      </c>
      <c r="O480" t="n">
        <v>0</v>
      </c>
      <c r="P480" t="n">
        <v>0</v>
      </c>
      <c r="Q480" t="n">
        <v>0</v>
      </c>
      <c r="R480" s="2" t="inlineStr"/>
    </row>
    <row r="481" ht="15" customHeight="1">
      <c r="A481" t="inlineStr">
        <is>
          <t>A 67194-2020</t>
        </is>
      </c>
      <c r="B481" s="1" t="n">
        <v>44180</v>
      </c>
      <c r="C481" s="1" t="n">
        <v>45294</v>
      </c>
      <c r="D481" t="inlineStr">
        <is>
          <t>JÄMTLANDS LÄN</t>
        </is>
      </c>
      <c r="E481" t="inlineStr">
        <is>
          <t>HÄRJEDALEN</t>
        </is>
      </c>
      <c r="F481" t="inlineStr">
        <is>
          <t>Holmen skog AB</t>
        </is>
      </c>
      <c r="G481" t="n">
        <v>8.5</v>
      </c>
      <c r="H481" t="n">
        <v>0</v>
      </c>
      <c r="I481" t="n">
        <v>0</v>
      </c>
      <c r="J481" t="n">
        <v>0</v>
      </c>
      <c r="K481" t="n">
        <v>0</v>
      </c>
      <c r="L481" t="n">
        <v>0</v>
      </c>
      <c r="M481" t="n">
        <v>0</v>
      </c>
      <c r="N481" t="n">
        <v>0</v>
      </c>
      <c r="O481" t="n">
        <v>0</v>
      </c>
      <c r="P481" t="n">
        <v>0</v>
      </c>
      <c r="Q481" t="n">
        <v>0</v>
      </c>
      <c r="R481" s="2" t="inlineStr"/>
    </row>
    <row r="482" ht="15" customHeight="1">
      <c r="A482" t="inlineStr">
        <is>
          <t>A 67180-2020</t>
        </is>
      </c>
      <c r="B482" s="1" t="n">
        <v>44180</v>
      </c>
      <c r="C482" s="1" t="n">
        <v>45294</v>
      </c>
      <c r="D482" t="inlineStr">
        <is>
          <t>JÄMTLANDS LÄN</t>
        </is>
      </c>
      <c r="E482" t="inlineStr">
        <is>
          <t>HÄRJEDALEN</t>
        </is>
      </c>
      <c r="G482" t="n">
        <v>0</v>
      </c>
      <c r="H482" t="n">
        <v>0</v>
      </c>
      <c r="I482" t="n">
        <v>0</v>
      </c>
      <c r="J482" t="n">
        <v>0</v>
      </c>
      <c r="K482" t="n">
        <v>0</v>
      </c>
      <c r="L482" t="n">
        <v>0</v>
      </c>
      <c r="M482" t="n">
        <v>0</v>
      </c>
      <c r="N482" t="n">
        <v>0</v>
      </c>
      <c r="O482" t="n">
        <v>0</v>
      </c>
      <c r="P482" t="n">
        <v>0</v>
      </c>
      <c r="Q482" t="n">
        <v>0</v>
      </c>
      <c r="R482" s="2" t="inlineStr"/>
    </row>
    <row r="483" ht="15" customHeight="1">
      <c r="A483" t="inlineStr">
        <is>
          <t>A 67106-2020</t>
        </is>
      </c>
      <c r="B483" s="1" t="n">
        <v>44180</v>
      </c>
      <c r="C483" s="1" t="n">
        <v>45294</v>
      </c>
      <c r="D483" t="inlineStr">
        <is>
          <t>JÄMTLANDS LÄN</t>
        </is>
      </c>
      <c r="E483" t="inlineStr">
        <is>
          <t>HÄRJEDALEN</t>
        </is>
      </c>
      <c r="F483" t="inlineStr">
        <is>
          <t>Holmen skog AB</t>
        </is>
      </c>
      <c r="G483" t="n">
        <v>0.5</v>
      </c>
      <c r="H483" t="n">
        <v>0</v>
      </c>
      <c r="I483" t="n">
        <v>0</v>
      </c>
      <c r="J483" t="n">
        <v>0</v>
      </c>
      <c r="K483" t="n">
        <v>0</v>
      </c>
      <c r="L483" t="n">
        <v>0</v>
      </c>
      <c r="M483" t="n">
        <v>0</v>
      </c>
      <c r="N483" t="n">
        <v>0</v>
      </c>
      <c r="O483" t="n">
        <v>0</v>
      </c>
      <c r="P483" t="n">
        <v>0</v>
      </c>
      <c r="Q483" t="n">
        <v>0</v>
      </c>
      <c r="R483" s="2" t="inlineStr"/>
    </row>
    <row r="484" ht="15" customHeight="1">
      <c r="A484" t="inlineStr">
        <is>
          <t>A 67457-2020</t>
        </is>
      </c>
      <c r="B484" s="1" t="n">
        <v>44181</v>
      </c>
      <c r="C484" s="1" t="n">
        <v>45294</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67522-2020</t>
        </is>
      </c>
      <c r="B485" s="1" t="n">
        <v>44181</v>
      </c>
      <c r="C485" s="1" t="n">
        <v>45294</v>
      </c>
      <c r="D485" t="inlineStr">
        <is>
          <t>JÄMTLANDS LÄN</t>
        </is>
      </c>
      <c r="E485" t="inlineStr">
        <is>
          <t>HÄRJEDALEN</t>
        </is>
      </c>
      <c r="F485" t="inlineStr">
        <is>
          <t>Holmen skog AB</t>
        </is>
      </c>
      <c r="G485" t="n">
        <v>7.7</v>
      </c>
      <c r="H485" t="n">
        <v>0</v>
      </c>
      <c r="I485" t="n">
        <v>0</v>
      </c>
      <c r="J485" t="n">
        <v>0</v>
      </c>
      <c r="K485" t="n">
        <v>0</v>
      </c>
      <c r="L485" t="n">
        <v>0</v>
      </c>
      <c r="M485" t="n">
        <v>0</v>
      </c>
      <c r="N485" t="n">
        <v>0</v>
      </c>
      <c r="O485" t="n">
        <v>0</v>
      </c>
      <c r="P485" t="n">
        <v>0</v>
      </c>
      <c r="Q485" t="n">
        <v>0</v>
      </c>
      <c r="R485" s="2" t="inlineStr"/>
    </row>
    <row r="486" ht="15" customHeight="1">
      <c r="A486" t="inlineStr">
        <is>
          <t>A 67416-2020</t>
        </is>
      </c>
      <c r="B486" s="1" t="n">
        <v>44181</v>
      </c>
      <c r="C486" s="1" t="n">
        <v>45294</v>
      </c>
      <c r="D486" t="inlineStr">
        <is>
          <t>JÄMTLANDS LÄN</t>
        </is>
      </c>
      <c r="E486" t="inlineStr">
        <is>
          <t>HÄRJEDALEN</t>
        </is>
      </c>
      <c r="F486" t="inlineStr">
        <is>
          <t>Holmen skog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67445-2020</t>
        </is>
      </c>
      <c r="B487" s="1" t="n">
        <v>44181</v>
      </c>
      <c r="C487" s="1" t="n">
        <v>45294</v>
      </c>
      <c r="D487" t="inlineStr">
        <is>
          <t>JÄMTLANDS LÄN</t>
        </is>
      </c>
      <c r="E487" t="inlineStr">
        <is>
          <t>HÄRJEDALEN</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67459-2020</t>
        </is>
      </c>
      <c r="B488" s="1" t="n">
        <v>44181</v>
      </c>
      <c r="C488" s="1" t="n">
        <v>45294</v>
      </c>
      <c r="D488" t="inlineStr">
        <is>
          <t>JÄMTLANDS LÄN</t>
        </is>
      </c>
      <c r="E488" t="inlineStr">
        <is>
          <t>HÄRJEDALEN</t>
        </is>
      </c>
      <c r="F488" t="inlineStr">
        <is>
          <t>Holmen skog AB</t>
        </is>
      </c>
      <c r="G488" t="n">
        <v>17.7</v>
      </c>
      <c r="H488" t="n">
        <v>0</v>
      </c>
      <c r="I488" t="n">
        <v>0</v>
      </c>
      <c r="J488" t="n">
        <v>0</v>
      </c>
      <c r="K488" t="n">
        <v>0</v>
      </c>
      <c r="L488" t="n">
        <v>0</v>
      </c>
      <c r="M488" t="n">
        <v>0</v>
      </c>
      <c r="N488" t="n">
        <v>0</v>
      </c>
      <c r="O488" t="n">
        <v>0</v>
      </c>
      <c r="P488" t="n">
        <v>0</v>
      </c>
      <c r="Q488" t="n">
        <v>0</v>
      </c>
      <c r="R488" s="2" t="inlineStr"/>
    </row>
    <row r="489" ht="15" customHeight="1">
      <c r="A489" t="inlineStr">
        <is>
          <t>A 67529-2020</t>
        </is>
      </c>
      <c r="B489" s="1" t="n">
        <v>44181</v>
      </c>
      <c r="C489" s="1" t="n">
        <v>45294</v>
      </c>
      <c r="D489" t="inlineStr">
        <is>
          <t>JÄMTLANDS LÄN</t>
        </is>
      </c>
      <c r="E489" t="inlineStr">
        <is>
          <t>HÄRJEDALEN</t>
        </is>
      </c>
      <c r="F489" t="inlineStr">
        <is>
          <t>Holmen skog AB</t>
        </is>
      </c>
      <c r="G489" t="n">
        <v>5.4</v>
      </c>
      <c r="H489" t="n">
        <v>0</v>
      </c>
      <c r="I489" t="n">
        <v>0</v>
      </c>
      <c r="J489" t="n">
        <v>0</v>
      </c>
      <c r="K489" t="n">
        <v>0</v>
      </c>
      <c r="L489" t="n">
        <v>0</v>
      </c>
      <c r="M489" t="n">
        <v>0</v>
      </c>
      <c r="N489" t="n">
        <v>0</v>
      </c>
      <c r="O489" t="n">
        <v>0</v>
      </c>
      <c r="P489" t="n">
        <v>0</v>
      </c>
      <c r="Q489" t="n">
        <v>0</v>
      </c>
      <c r="R489" s="2" t="inlineStr"/>
    </row>
    <row r="490" ht="15" customHeight="1">
      <c r="A490" t="inlineStr">
        <is>
          <t>A 67411-2020</t>
        </is>
      </c>
      <c r="B490" s="1" t="n">
        <v>44181</v>
      </c>
      <c r="C490" s="1" t="n">
        <v>45294</v>
      </c>
      <c r="D490" t="inlineStr">
        <is>
          <t>JÄMTLANDS LÄN</t>
        </is>
      </c>
      <c r="E490" t="inlineStr">
        <is>
          <t>HÄRJEDALEN</t>
        </is>
      </c>
      <c r="F490" t="inlineStr">
        <is>
          <t>Holmen skog AB</t>
        </is>
      </c>
      <c r="G490" t="n">
        <v>5.9</v>
      </c>
      <c r="H490" t="n">
        <v>0</v>
      </c>
      <c r="I490" t="n">
        <v>0</v>
      </c>
      <c r="J490" t="n">
        <v>0</v>
      </c>
      <c r="K490" t="n">
        <v>0</v>
      </c>
      <c r="L490" t="n">
        <v>0</v>
      </c>
      <c r="M490" t="n">
        <v>0</v>
      </c>
      <c r="N490" t="n">
        <v>0</v>
      </c>
      <c r="O490" t="n">
        <v>0</v>
      </c>
      <c r="P490" t="n">
        <v>0</v>
      </c>
      <c r="Q490" t="n">
        <v>0</v>
      </c>
      <c r="R490" s="2" t="inlineStr"/>
    </row>
    <row r="491" ht="15" customHeight="1">
      <c r="A491" t="inlineStr">
        <is>
          <t>A 67438-2020</t>
        </is>
      </c>
      <c r="B491" s="1" t="n">
        <v>44181</v>
      </c>
      <c r="C491" s="1" t="n">
        <v>45294</v>
      </c>
      <c r="D491" t="inlineStr">
        <is>
          <t>JÄMTLANDS LÄN</t>
        </is>
      </c>
      <c r="E491" t="inlineStr">
        <is>
          <t>HÄRJEDALEN</t>
        </is>
      </c>
      <c r="F491" t="inlineStr">
        <is>
          <t>Holmen skog AB</t>
        </is>
      </c>
      <c r="G491" t="n">
        <v>5.6</v>
      </c>
      <c r="H491" t="n">
        <v>0</v>
      </c>
      <c r="I491" t="n">
        <v>0</v>
      </c>
      <c r="J491" t="n">
        <v>0</v>
      </c>
      <c r="K491" t="n">
        <v>0</v>
      </c>
      <c r="L491" t="n">
        <v>0</v>
      </c>
      <c r="M491" t="n">
        <v>0</v>
      </c>
      <c r="N491" t="n">
        <v>0</v>
      </c>
      <c r="O491" t="n">
        <v>0</v>
      </c>
      <c r="P491" t="n">
        <v>0</v>
      </c>
      <c r="Q491" t="n">
        <v>0</v>
      </c>
      <c r="R491" s="2" t="inlineStr"/>
    </row>
    <row r="492" ht="15" customHeight="1">
      <c r="A492" t="inlineStr">
        <is>
          <t>A 67447-2020</t>
        </is>
      </c>
      <c r="B492" s="1" t="n">
        <v>44181</v>
      </c>
      <c r="C492" s="1" t="n">
        <v>45294</v>
      </c>
      <c r="D492" t="inlineStr">
        <is>
          <t>JÄMTLANDS LÄN</t>
        </is>
      </c>
      <c r="E492" t="inlineStr">
        <is>
          <t>HÄRJEDALEN</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67454-2020</t>
        </is>
      </c>
      <c r="B493" s="1" t="n">
        <v>44181</v>
      </c>
      <c r="C493" s="1" t="n">
        <v>45294</v>
      </c>
      <c r="D493" t="inlineStr">
        <is>
          <t>JÄMTLANDS LÄN</t>
        </is>
      </c>
      <c r="E493" t="inlineStr">
        <is>
          <t>HÄRJEDALEN</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67498-2020</t>
        </is>
      </c>
      <c r="B494" s="1" t="n">
        <v>44181</v>
      </c>
      <c r="C494" s="1" t="n">
        <v>45294</v>
      </c>
      <c r="D494" t="inlineStr">
        <is>
          <t>JÄMTLANDS LÄN</t>
        </is>
      </c>
      <c r="E494" t="inlineStr">
        <is>
          <t>HÄRJEDALEN</t>
        </is>
      </c>
      <c r="F494" t="inlineStr">
        <is>
          <t>Holmen skog AB</t>
        </is>
      </c>
      <c r="G494" t="n">
        <v>15.9</v>
      </c>
      <c r="H494" t="n">
        <v>0</v>
      </c>
      <c r="I494" t="n">
        <v>0</v>
      </c>
      <c r="J494" t="n">
        <v>0</v>
      </c>
      <c r="K494" t="n">
        <v>0</v>
      </c>
      <c r="L494" t="n">
        <v>0</v>
      </c>
      <c r="M494" t="n">
        <v>0</v>
      </c>
      <c r="N494" t="n">
        <v>0</v>
      </c>
      <c r="O494" t="n">
        <v>0</v>
      </c>
      <c r="P494" t="n">
        <v>0</v>
      </c>
      <c r="Q494" t="n">
        <v>0</v>
      </c>
      <c r="R494" s="2" t="inlineStr"/>
    </row>
    <row r="495" ht="15" customHeight="1">
      <c r="A495" t="inlineStr">
        <is>
          <t>A 67507-2020</t>
        </is>
      </c>
      <c r="B495" s="1" t="n">
        <v>44181</v>
      </c>
      <c r="C495" s="1" t="n">
        <v>45294</v>
      </c>
      <c r="D495" t="inlineStr">
        <is>
          <t>JÄMTLANDS LÄN</t>
        </is>
      </c>
      <c r="E495" t="inlineStr">
        <is>
          <t>HÄRJEDALEN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67526-2020</t>
        </is>
      </c>
      <c r="B496" s="1" t="n">
        <v>44181</v>
      </c>
      <c r="C496" s="1" t="n">
        <v>45294</v>
      </c>
      <c r="D496" t="inlineStr">
        <is>
          <t>JÄMTLANDS LÄN</t>
        </is>
      </c>
      <c r="E496" t="inlineStr">
        <is>
          <t>HÄRJEDALEN</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67409-2020</t>
        </is>
      </c>
      <c r="B497" s="1" t="n">
        <v>44181</v>
      </c>
      <c r="C497" s="1" t="n">
        <v>45294</v>
      </c>
      <c r="D497" t="inlineStr">
        <is>
          <t>JÄMTLANDS LÄN</t>
        </is>
      </c>
      <c r="E497" t="inlineStr">
        <is>
          <t>HÄRJEDALEN</t>
        </is>
      </c>
      <c r="F497" t="inlineStr">
        <is>
          <t>Holmen skog AB</t>
        </is>
      </c>
      <c r="G497" t="n">
        <v>3.1</v>
      </c>
      <c r="H497" t="n">
        <v>0</v>
      </c>
      <c r="I497" t="n">
        <v>0</v>
      </c>
      <c r="J497" t="n">
        <v>0</v>
      </c>
      <c r="K497" t="n">
        <v>0</v>
      </c>
      <c r="L497" t="n">
        <v>0</v>
      </c>
      <c r="M497" t="n">
        <v>0</v>
      </c>
      <c r="N497" t="n">
        <v>0</v>
      </c>
      <c r="O497" t="n">
        <v>0</v>
      </c>
      <c r="P497" t="n">
        <v>0</v>
      </c>
      <c r="Q497" t="n">
        <v>0</v>
      </c>
      <c r="R497" s="2" t="inlineStr"/>
    </row>
    <row r="498" ht="15" customHeight="1">
      <c r="A498" t="inlineStr">
        <is>
          <t>A 67720-2020</t>
        </is>
      </c>
      <c r="B498" s="1" t="n">
        <v>44182</v>
      </c>
      <c r="C498" s="1" t="n">
        <v>45294</v>
      </c>
      <c r="D498" t="inlineStr">
        <is>
          <t>JÄMTLANDS LÄN</t>
        </is>
      </c>
      <c r="E498" t="inlineStr">
        <is>
          <t>HÄRJEDALEN</t>
        </is>
      </c>
      <c r="F498" t="inlineStr">
        <is>
          <t>Holmen skog AB</t>
        </is>
      </c>
      <c r="G498" t="n">
        <v>6</v>
      </c>
      <c r="H498" t="n">
        <v>0</v>
      </c>
      <c r="I498" t="n">
        <v>0</v>
      </c>
      <c r="J498" t="n">
        <v>0</v>
      </c>
      <c r="K498" t="n">
        <v>0</v>
      </c>
      <c r="L498" t="n">
        <v>0</v>
      </c>
      <c r="M498" t="n">
        <v>0</v>
      </c>
      <c r="N498" t="n">
        <v>0</v>
      </c>
      <c r="O498" t="n">
        <v>0</v>
      </c>
      <c r="P498" t="n">
        <v>0</v>
      </c>
      <c r="Q498" t="n">
        <v>0</v>
      </c>
      <c r="R498" s="2" t="inlineStr"/>
    </row>
    <row r="499" ht="15" customHeight="1">
      <c r="A499" t="inlineStr">
        <is>
          <t>A 67697-2020</t>
        </is>
      </c>
      <c r="B499" s="1" t="n">
        <v>44182</v>
      </c>
      <c r="C499" s="1" t="n">
        <v>45294</v>
      </c>
      <c r="D499" t="inlineStr">
        <is>
          <t>JÄMTLANDS LÄN</t>
        </is>
      </c>
      <c r="E499" t="inlineStr">
        <is>
          <t>HÄRJEDALEN</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67714-2020</t>
        </is>
      </c>
      <c r="B500" s="1" t="n">
        <v>44182</v>
      </c>
      <c r="C500" s="1" t="n">
        <v>45294</v>
      </c>
      <c r="D500" t="inlineStr">
        <is>
          <t>JÄMTLANDS LÄN</t>
        </is>
      </c>
      <c r="E500" t="inlineStr">
        <is>
          <t>HÄRJEDALEN</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67821-2020</t>
        </is>
      </c>
      <c r="B501" s="1" t="n">
        <v>44182</v>
      </c>
      <c r="C501" s="1" t="n">
        <v>45294</v>
      </c>
      <c r="D501" t="inlineStr">
        <is>
          <t>JÄMTLANDS LÄN</t>
        </is>
      </c>
      <c r="E501" t="inlineStr">
        <is>
          <t>HÄRJEDALEN</t>
        </is>
      </c>
      <c r="G501" t="n">
        <v>0.6</v>
      </c>
      <c r="H501" t="n">
        <v>0</v>
      </c>
      <c r="I501" t="n">
        <v>0</v>
      </c>
      <c r="J501" t="n">
        <v>0</v>
      </c>
      <c r="K501" t="n">
        <v>0</v>
      </c>
      <c r="L501" t="n">
        <v>0</v>
      </c>
      <c r="M501" t="n">
        <v>0</v>
      </c>
      <c r="N501" t="n">
        <v>0</v>
      </c>
      <c r="O501" t="n">
        <v>0</v>
      </c>
      <c r="P501" t="n">
        <v>0</v>
      </c>
      <c r="Q501" t="n">
        <v>0</v>
      </c>
      <c r="R501" s="2" t="inlineStr"/>
    </row>
    <row r="502" ht="15" customHeight="1">
      <c r="A502" t="inlineStr">
        <is>
          <t>A 68141-2020</t>
        </is>
      </c>
      <c r="B502" s="1" t="n">
        <v>44183</v>
      </c>
      <c r="C502" s="1" t="n">
        <v>45294</v>
      </c>
      <c r="D502" t="inlineStr">
        <is>
          <t>JÄMTLANDS LÄN</t>
        </is>
      </c>
      <c r="E502" t="inlineStr">
        <is>
          <t>HÄRJEDALEN</t>
        </is>
      </c>
      <c r="G502" t="n">
        <v>3.1</v>
      </c>
      <c r="H502" t="n">
        <v>0</v>
      </c>
      <c r="I502" t="n">
        <v>0</v>
      </c>
      <c r="J502" t="n">
        <v>0</v>
      </c>
      <c r="K502" t="n">
        <v>0</v>
      </c>
      <c r="L502" t="n">
        <v>0</v>
      </c>
      <c r="M502" t="n">
        <v>0</v>
      </c>
      <c r="N502" t="n">
        <v>0</v>
      </c>
      <c r="O502" t="n">
        <v>0</v>
      </c>
      <c r="P502" t="n">
        <v>0</v>
      </c>
      <c r="Q502" t="n">
        <v>0</v>
      </c>
      <c r="R502" s="2" t="inlineStr"/>
    </row>
    <row r="503" ht="15" customHeight="1">
      <c r="A503" t="inlineStr">
        <is>
          <t>A 69108-2020</t>
        </is>
      </c>
      <c r="B503" s="1" t="n">
        <v>44188</v>
      </c>
      <c r="C503" s="1" t="n">
        <v>45294</v>
      </c>
      <c r="D503" t="inlineStr">
        <is>
          <t>JÄMTLANDS LÄN</t>
        </is>
      </c>
      <c r="E503" t="inlineStr">
        <is>
          <t>HÄRJEDALEN</t>
        </is>
      </c>
      <c r="G503" t="n">
        <v>0.9</v>
      </c>
      <c r="H503" t="n">
        <v>0</v>
      </c>
      <c r="I503" t="n">
        <v>0</v>
      </c>
      <c r="J503" t="n">
        <v>0</v>
      </c>
      <c r="K503" t="n">
        <v>0</v>
      </c>
      <c r="L503" t="n">
        <v>0</v>
      </c>
      <c r="M503" t="n">
        <v>0</v>
      </c>
      <c r="N503" t="n">
        <v>0</v>
      </c>
      <c r="O503" t="n">
        <v>0</v>
      </c>
      <c r="P503" t="n">
        <v>0</v>
      </c>
      <c r="Q503" t="n">
        <v>0</v>
      </c>
      <c r="R503" s="2" t="inlineStr"/>
    </row>
    <row r="504" ht="15" customHeight="1">
      <c r="A504" t="inlineStr">
        <is>
          <t>A 69168-2020</t>
        </is>
      </c>
      <c r="B504" s="1" t="n">
        <v>44188</v>
      </c>
      <c r="C504" s="1" t="n">
        <v>45294</v>
      </c>
      <c r="D504" t="inlineStr">
        <is>
          <t>JÄMTLANDS LÄN</t>
        </is>
      </c>
      <c r="E504" t="inlineStr">
        <is>
          <t>HÄRJEDALEN</t>
        </is>
      </c>
      <c r="F504" t="inlineStr">
        <is>
          <t>Sveaskog</t>
        </is>
      </c>
      <c r="G504" t="n">
        <v>20</v>
      </c>
      <c r="H504" t="n">
        <v>0</v>
      </c>
      <c r="I504" t="n">
        <v>0</v>
      </c>
      <c r="J504" t="n">
        <v>0</v>
      </c>
      <c r="K504" t="n">
        <v>0</v>
      </c>
      <c r="L504" t="n">
        <v>0</v>
      </c>
      <c r="M504" t="n">
        <v>0</v>
      </c>
      <c r="N504" t="n">
        <v>0</v>
      </c>
      <c r="O504" t="n">
        <v>0</v>
      </c>
      <c r="P504" t="n">
        <v>0</v>
      </c>
      <c r="Q504" t="n">
        <v>0</v>
      </c>
      <c r="R504" s="2" t="inlineStr"/>
    </row>
    <row r="505" ht="15" customHeight="1">
      <c r="A505" t="inlineStr">
        <is>
          <t>A 69101-2020</t>
        </is>
      </c>
      <c r="B505" s="1" t="n">
        <v>44188</v>
      </c>
      <c r="C505" s="1" t="n">
        <v>45294</v>
      </c>
      <c r="D505" t="inlineStr">
        <is>
          <t>JÄMTLANDS LÄN</t>
        </is>
      </c>
      <c r="E505" t="inlineStr">
        <is>
          <t>HÄRJEDALEN</t>
        </is>
      </c>
      <c r="G505" t="n">
        <v>3.1</v>
      </c>
      <c r="H505" t="n">
        <v>0</v>
      </c>
      <c r="I505" t="n">
        <v>0</v>
      </c>
      <c r="J505" t="n">
        <v>0</v>
      </c>
      <c r="K505" t="n">
        <v>0</v>
      </c>
      <c r="L505" t="n">
        <v>0</v>
      </c>
      <c r="M505" t="n">
        <v>0</v>
      </c>
      <c r="N505" t="n">
        <v>0</v>
      </c>
      <c r="O505" t="n">
        <v>0</v>
      </c>
      <c r="P505" t="n">
        <v>0</v>
      </c>
      <c r="Q505" t="n">
        <v>0</v>
      </c>
      <c r="R505" s="2" t="inlineStr"/>
    </row>
    <row r="506" ht="15" customHeight="1">
      <c r="A506" t="inlineStr">
        <is>
          <t>A 1088-2021</t>
        </is>
      </c>
      <c r="B506" s="1" t="n">
        <v>44207</v>
      </c>
      <c r="C506" s="1" t="n">
        <v>45294</v>
      </c>
      <c r="D506" t="inlineStr">
        <is>
          <t>JÄMTLANDS LÄN</t>
        </is>
      </c>
      <c r="E506" t="inlineStr">
        <is>
          <t>HÄRJEDALEN</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1478-2021</t>
        </is>
      </c>
      <c r="B507" s="1" t="n">
        <v>44208</v>
      </c>
      <c r="C507" s="1" t="n">
        <v>45294</v>
      </c>
      <c r="D507" t="inlineStr">
        <is>
          <t>JÄMTLANDS LÄN</t>
        </is>
      </c>
      <c r="E507" t="inlineStr">
        <is>
          <t>HÄRJEDALEN</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1545-2021</t>
        </is>
      </c>
      <c r="B508" s="1" t="n">
        <v>44209</v>
      </c>
      <c r="C508" s="1" t="n">
        <v>45294</v>
      </c>
      <c r="D508" t="inlineStr">
        <is>
          <t>JÄMTLANDS LÄN</t>
        </is>
      </c>
      <c r="E508" t="inlineStr">
        <is>
          <t>HÄRJEDALEN</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1558-2021</t>
        </is>
      </c>
      <c r="B509" s="1" t="n">
        <v>44209</v>
      </c>
      <c r="C509" s="1" t="n">
        <v>45294</v>
      </c>
      <c r="D509" t="inlineStr">
        <is>
          <t>JÄMTLANDS LÄN</t>
        </is>
      </c>
      <c r="E509" t="inlineStr">
        <is>
          <t>HÄRJEDALEN</t>
        </is>
      </c>
      <c r="F509" t="inlineStr">
        <is>
          <t>Bergvik skog väst AB</t>
        </is>
      </c>
      <c r="G509" t="n">
        <v>7.2</v>
      </c>
      <c r="H509" t="n">
        <v>0</v>
      </c>
      <c r="I509" t="n">
        <v>0</v>
      </c>
      <c r="J509" t="n">
        <v>0</v>
      </c>
      <c r="K509" t="n">
        <v>0</v>
      </c>
      <c r="L509" t="n">
        <v>0</v>
      </c>
      <c r="M509" t="n">
        <v>0</v>
      </c>
      <c r="N509" t="n">
        <v>0</v>
      </c>
      <c r="O509" t="n">
        <v>0</v>
      </c>
      <c r="P509" t="n">
        <v>0</v>
      </c>
      <c r="Q509" t="n">
        <v>0</v>
      </c>
      <c r="R509" s="2" t="inlineStr"/>
    </row>
    <row r="510" ht="15" customHeight="1">
      <c r="A510" t="inlineStr">
        <is>
          <t>A 1602-2021</t>
        </is>
      </c>
      <c r="B510" s="1" t="n">
        <v>44209</v>
      </c>
      <c r="C510" s="1" t="n">
        <v>45294</v>
      </c>
      <c r="D510" t="inlineStr">
        <is>
          <t>JÄMTLANDS LÄN</t>
        </is>
      </c>
      <c r="E510" t="inlineStr">
        <is>
          <t>HÄRJEDALEN</t>
        </is>
      </c>
      <c r="F510" t="inlineStr">
        <is>
          <t>Holmen skog AB</t>
        </is>
      </c>
      <c r="G510" t="n">
        <v>1.8</v>
      </c>
      <c r="H510" t="n">
        <v>0</v>
      </c>
      <c r="I510" t="n">
        <v>0</v>
      </c>
      <c r="J510" t="n">
        <v>0</v>
      </c>
      <c r="K510" t="n">
        <v>0</v>
      </c>
      <c r="L510" t="n">
        <v>0</v>
      </c>
      <c r="M510" t="n">
        <v>0</v>
      </c>
      <c r="N510" t="n">
        <v>0</v>
      </c>
      <c r="O510" t="n">
        <v>0</v>
      </c>
      <c r="P510" t="n">
        <v>0</v>
      </c>
      <c r="Q510" t="n">
        <v>0</v>
      </c>
      <c r="R510" s="2" t="inlineStr"/>
    </row>
    <row r="511" ht="15" customHeight="1">
      <c r="A511" t="inlineStr">
        <is>
          <t>A 2531-2021</t>
        </is>
      </c>
      <c r="B511" s="1" t="n">
        <v>44214</v>
      </c>
      <c r="C511" s="1" t="n">
        <v>45294</v>
      </c>
      <c r="D511" t="inlineStr">
        <is>
          <t>JÄMTLANDS LÄN</t>
        </is>
      </c>
      <c r="E511" t="inlineStr">
        <is>
          <t>HÄRJEDALEN</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2855-2021</t>
        </is>
      </c>
      <c r="B512" s="1" t="n">
        <v>44216</v>
      </c>
      <c r="C512" s="1" t="n">
        <v>45294</v>
      </c>
      <c r="D512" t="inlineStr">
        <is>
          <t>JÄMTLANDS LÄN</t>
        </is>
      </c>
      <c r="E512" t="inlineStr">
        <is>
          <t>HÄRJEDALEN</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2862-2021</t>
        </is>
      </c>
      <c r="B513" s="1" t="n">
        <v>44216</v>
      </c>
      <c r="C513" s="1" t="n">
        <v>45294</v>
      </c>
      <c r="D513" t="inlineStr">
        <is>
          <t>JÄMTLANDS LÄN</t>
        </is>
      </c>
      <c r="E513" t="inlineStr">
        <is>
          <t>HÄRJEDALEN</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3536-2021</t>
        </is>
      </c>
      <c r="B514" s="1" t="n">
        <v>44218</v>
      </c>
      <c r="C514" s="1" t="n">
        <v>45294</v>
      </c>
      <c r="D514" t="inlineStr">
        <is>
          <t>JÄMTLANDS LÄN</t>
        </is>
      </c>
      <c r="E514" t="inlineStr">
        <is>
          <t>HÄRJEDALEN</t>
        </is>
      </c>
      <c r="G514" t="n">
        <v>14</v>
      </c>
      <c r="H514" t="n">
        <v>0</v>
      </c>
      <c r="I514" t="n">
        <v>0</v>
      </c>
      <c r="J514" t="n">
        <v>0</v>
      </c>
      <c r="K514" t="n">
        <v>0</v>
      </c>
      <c r="L514" t="n">
        <v>0</v>
      </c>
      <c r="M514" t="n">
        <v>0</v>
      </c>
      <c r="N514" t="n">
        <v>0</v>
      </c>
      <c r="O514" t="n">
        <v>0</v>
      </c>
      <c r="P514" t="n">
        <v>0</v>
      </c>
      <c r="Q514" t="n">
        <v>0</v>
      </c>
      <c r="R514" s="2" t="inlineStr"/>
    </row>
    <row r="515" ht="15" customHeight="1">
      <c r="A515" t="inlineStr">
        <is>
          <t>A 5277-2021</t>
        </is>
      </c>
      <c r="B515" s="1" t="n">
        <v>44225</v>
      </c>
      <c r="C515" s="1" t="n">
        <v>45294</v>
      </c>
      <c r="D515" t="inlineStr">
        <is>
          <t>JÄMTLANDS LÄN</t>
        </is>
      </c>
      <c r="E515" t="inlineStr">
        <is>
          <t>HÄRJEDALEN</t>
        </is>
      </c>
      <c r="G515" t="n">
        <v>20</v>
      </c>
      <c r="H515" t="n">
        <v>0</v>
      </c>
      <c r="I515" t="n">
        <v>0</v>
      </c>
      <c r="J515" t="n">
        <v>0</v>
      </c>
      <c r="K515" t="n">
        <v>0</v>
      </c>
      <c r="L515" t="n">
        <v>0</v>
      </c>
      <c r="M515" t="n">
        <v>0</v>
      </c>
      <c r="N515" t="n">
        <v>0</v>
      </c>
      <c r="O515" t="n">
        <v>0</v>
      </c>
      <c r="P515" t="n">
        <v>0</v>
      </c>
      <c r="Q515" t="n">
        <v>0</v>
      </c>
      <c r="R515" s="2" t="inlineStr"/>
    </row>
    <row r="516" ht="15" customHeight="1">
      <c r="A516" t="inlineStr">
        <is>
          <t>A 5283-2021</t>
        </is>
      </c>
      <c r="B516" s="1" t="n">
        <v>44225</v>
      </c>
      <c r="C516" s="1" t="n">
        <v>45294</v>
      </c>
      <c r="D516" t="inlineStr">
        <is>
          <t>JÄMTLANDS LÄN</t>
        </is>
      </c>
      <c r="E516" t="inlineStr">
        <is>
          <t>HÄRJEDALEN</t>
        </is>
      </c>
      <c r="G516" t="n">
        <v>20</v>
      </c>
      <c r="H516" t="n">
        <v>0</v>
      </c>
      <c r="I516" t="n">
        <v>0</v>
      </c>
      <c r="J516" t="n">
        <v>0</v>
      </c>
      <c r="K516" t="n">
        <v>0</v>
      </c>
      <c r="L516" t="n">
        <v>0</v>
      </c>
      <c r="M516" t="n">
        <v>0</v>
      </c>
      <c r="N516" t="n">
        <v>0</v>
      </c>
      <c r="O516" t="n">
        <v>0</v>
      </c>
      <c r="P516" t="n">
        <v>0</v>
      </c>
      <c r="Q516" t="n">
        <v>0</v>
      </c>
      <c r="R516" s="2" t="inlineStr"/>
    </row>
    <row r="517" ht="15" customHeight="1">
      <c r="A517" t="inlineStr">
        <is>
          <t>A 5343-2021</t>
        </is>
      </c>
      <c r="B517" s="1" t="n">
        <v>44228</v>
      </c>
      <c r="C517" s="1" t="n">
        <v>45294</v>
      </c>
      <c r="D517" t="inlineStr">
        <is>
          <t>JÄMTLANDS LÄN</t>
        </is>
      </c>
      <c r="E517" t="inlineStr">
        <is>
          <t>HÄRJEDALEN</t>
        </is>
      </c>
      <c r="G517" t="n">
        <v>1</v>
      </c>
      <c r="H517" t="n">
        <v>0</v>
      </c>
      <c r="I517" t="n">
        <v>0</v>
      </c>
      <c r="J517" t="n">
        <v>0</v>
      </c>
      <c r="K517" t="n">
        <v>0</v>
      </c>
      <c r="L517" t="n">
        <v>0</v>
      </c>
      <c r="M517" t="n">
        <v>0</v>
      </c>
      <c r="N517" t="n">
        <v>0</v>
      </c>
      <c r="O517" t="n">
        <v>0</v>
      </c>
      <c r="P517" t="n">
        <v>0</v>
      </c>
      <c r="Q517" t="n">
        <v>0</v>
      </c>
      <c r="R517" s="2" t="inlineStr"/>
    </row>
    <row r="518" ht="15" customHeight="1">
      <c r="A518" t="inlineStr">
        <is>
          <t>A 5353-2021</t>
        </is>
      </c>
      <c r="B518" s="1" t="n">
        <v>44228</v>
      </c>
      <c r="C518" s="1" t="n">
        <v>45294</v>
      </c>
      <c r="D518" t="inlineStr">
        <is>
          <t>JÄMTLANDS LÄN</t>
        </is>
      </c>
      <c r="E518" t="inlineStr">
        <is>
          <t>HÄRJEDALEN</t>
        </is>
      </c>
      <c r="G518" t="n">
        <v>0.5</v>
      </c>
      <c r="H518" t="n">
        <v>0</v>
      </c>
      <c r="I518" t="n">
        <v>0</v>
      </c>
      <c r="J518" t="n">
        <v>0</v>
      </c>
      <c r="K518" t="n">
        <v>0</v>
      </c>
      <c r="L518" t="n">
        <v>0</v>
      </c>
      <c r="M518" t="n">
        <v>0</v>
      </c>
      <c r="N518" t="n">
        <v>0</v>
      </c>
      <c r="O518" t="n">
        <v>0</v>
      </c>
      <c r="P518" t="n">
        <v>0</v>
      </c>
      <c r="Q518" t="n">
        <v>0</v>
      </c>
      <c r="R518" s="2" t="inlineStr"/>
    </row>
    <row r="519" ht="15" customHeight="1">
      <c r="A519" t="inlineStr">
        <is>
          <t>A 5273-2021</t>
        </is>
      </c>
      <c r="B519" s="1" t="n">
        <v>44229</v>
      </c>
      <c r="C519" s="1" t="n">
        <v>45294</v>
      </c>
      <c r="D519" t="inlineStr">
        <is>
          <t>JÄMTLANDS LÄN</t>
        </is>
      </c>
      <c r="E519" t="inlineStr">
        <is>
          <t>HÄRJEDALEN</t>
        </is>
      </c>
      <c r="F519" t="inlineStr">
        <is>
          <t>Holmen skog AB</t>
        </is>
      </c>
      <c r="G519" t="n">
        <v>6.6</v>
      </c>
      <c r="H519" t="n">
        <v>0</v>
      </c>
      <c r="I519" t="n">
        <v>0</v>
      </c>
      <c r="J519" t="n">
        <v>0</v>
      </c>
      <c r="K519" t="n">
        <v>0</v>
      </c>
      <c r="L519" t="n">
        <v>0</v>
      </c>
      <c r="M519" t="n">
        <v>0</v>
      </c>
      <c r="N519" t="n">
        <v>0</v>
      </c>
      <c r="O519" t="n">
        <v>0</v>
      </c>
      <c r="P519" t="n">
        <v>0</v>
      </c>
      <c r="Q519" t="n">
        <v>0</v>
      </c>
      <c r="R519" s="2" t="inlineStr"/>
    </row>
    <row r="520" ht="15" customHeight="1">
      <c r="A520" t="inlineStr">
        <is>
          <t>A 5237-2021</t>
        </is>
      </c>
      <c r="B520" s="1" t="n">
        <v>44229</v>
      </c>
      <c r="C520" s="1" t="n">
        <v>45294</v>
      </c>
      <c r="D520" t="inlineStr">
        <is>
          <t>JÄMTLANDS LÄN</t>
        </is>
      </c>
      <c r="E520" t="inlineStr">
        <is>
          <t>HÄRJEDALEN</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5519-2021</t>
        </is>
      </c>
      <c r="B521" s="1" t="n">
        <v>44230</v>
      </c>
      <c r="C521" s="1" t="n">
        <v>45294</v>
      </c>
      <c r="D521" t="inlineStr">
        <is>
          <t>JÄMTLANDS LÄN</t>
        </is>
      </c>
      <c r="E521" t="inlineStr">
        <is>
          <t>HÄRJEDALEN</t>
        </is>
      </c>
      <c r="G521" t="n">
        <v>10.8</v>
      </c>
      <c r="H521" t="n">
        <v>0</v>
      </c>
      <c r="I521" t="n">
        <v>0</v>
      </c>
      <c r="J521" t="n">
        <v>0</v>
      </c>
      <c r="K521" t="n">
        <v>0</v>
      </c>
      <c r="L521" t="n">
        <v>0</v>
      </c>
      <c r="M521" t="n">
        <v>0</v>
      </c>
      <c r="N521" t="n">
        <v>0</v>
      </c>
      <c r="O521" t="n">
        <v>0</v>
      </c>
      <c r="P521" t="n">
        <v>0</v>
      </c>
      <c r="Q521" t="n">
        <v>0</v>
      </c>
      <c r="R521" s="2" t="inlineStr"/>
    </row>
    <row r="522" ht="15" customHeight="1">
      <c r="A522" t="inlineStr">
        <is>
          <t>A 5993-2021</t>
        </is>
      </c>
      <c r="B522" s="1" t="n">
        <v>44231</v>
      </c>
      <c r="C522" s="1" t="n">
        <v>45294</v>
      </c>
      <c r="D522" t="inlineStr">
        <is>
          <t>JÄMTLANDS LÄN</t>
        </is>
      </c>
      <c r="E522" t="inlineStr">
        <is>
          <t>HÄRJEDALEN</t>
        </is>
      </c>
      <c r="F522" t="inlineStr">
        <is>
          <t>Kyrkan</t>
        </is>
      </c>
      <c r="G522" t="n">
        <v>2.6</v>
      </c>
      <c r="H522" t="n">
        <v>0</v>
      </c>
      <c r="I522" t="n">
        <v>0</v>
      </c>
      <c r="J522" t="n">
        <v>0</v>
      </c>
      <c r="K522" t="n">
        <v>0</v>
      </c>
      <c r="L522" t="n">
        <v>0</v>
      </c>
      <c r="M522" t="n">
        <v>0</v>
      </c>
      <c r="N522" t="n">
        <v>0</v>
      </c>
      <c r="O522" t="n">
        <v>0</v>
      </c>
      <c r="P522" t="n">
        <v>0</v>
      </c>
      <c r="Q522" t="n">
        <v>0</v>
      </c>
      <c r="R522" s="2" t="inlineStr"/>
    </row>
    <row r="523" ht="15" customHeight="1">
      <c r="A523" t="inlineStr">
        <is>
          <t>A 7087-2021</t>
        </is>
      </c>
      <c r="B523" s="1" t="n">
        <v>44238</v>
      </c>
      <c r="C523" s="1" t="n">
        <v>45294</v>
      </c>
      <c r="D523" t="inlineStr">
        <is>
          <t>JÄMTLANDS LÄN</t>
        </is>
      </c>
      <c r="E523" t="inlineStr">
        <is>
          <t>HÄRJEDALEN</t>
        </is>
      </c>
      <c r="F523" t="inlineStr">
        <is>
          <t>Holmen skog AB</t>
        </is>
      </c>
      <c r="G523" t="n">
        <v>14.9</v>
      </c>
      <c r="H523" t="n">
        <v>0</v>
      </c>
      <c r="I523" t="n">
        <v>0</v>
      </c>
      <c r="J523" t="n">
        <v>0</v>
      </c>
      <c r="K523" t="n">
        <v>0</v>
      </c>
      <c r="L523" t="n">
        <v>0</v>
      </c>
      <c r="M523" t="n">
        <v>0</v>
      </c>
      <c r="N523" t="n">
        <v>0</v>
      </c>
      <c r="O523" t="n">
        <v>0</v>
      </c>
      <c r="P523" t="n">
        <v>0</v>
      </c>
      <c r="Q523" t="n">
        <v>0</v>
      </c>
      <c r="R523" s="2" t="inlineStr"/>
    </row>
    <row r="524" ht="15" customHeight="1">
      <c r="A524" t="inlineStr">
        <is>
          <t>A 7112-2021</t>
        </is>
      </c>
      <c r="B524" s="1" t="n">
        <v>44238</v>
      </c>
      <c r="C524" s="1" t="n">
        <v>45294</v>
      </c>
      <c r="D524" t="inlineStr">
        <is>
          <t>JÄMTLANDS LÄN</t>
        </is>
      </c>
      <c r="E524" t="inlineStr">
        <is>
          <t>HÄRJEDALEN</t>
        </is>
      </c>
      <c r="F524" t="inlineStr">
        <is>
          <t>Holmen skog AB</t>
        </is>
      </c>
      <c r="G524" t="n">
        <v>4.7</v>
      </c>
      <c r="H524" t="n">
        <v>0</v>
      </c>
      <c r="I524" t="n">
        <v>0</v>
      </c>
      <c r="J524" t="n">
        <v>0</v>
      </c>
      <c r="K524" t="n">
        <v>0</v>
      </c>
      <c r="L524" t="n">
        <v>0</v>
      </c>
      <c r="M524" t="n">
        <v>0</v>
      </c>
      <c r="N524" t="n">
        <v>0</v>
      </c>
      <c r="O524" t="n">
        <v>0</v>
      </c>
      <c r="P524" t="n">
        <v>0</v>
      </c>
      <c r="Q524" t="n">
        <v>0</v>
      </c>
      <c r="R524" s="2" t="inlineStr"/>
    </row>
    <row r="525" ht="15" customHeight="1">
      <c r="A525" t="inlineStr">
        <is>
          <t>A 7097-2021</t>
        </is>
      </c>
      <c r="B525" s="1" t="n">
        <v>44238</v>
      </c>
      <c r="C525" s="1" t="n">
        <v>45294</v>
      </c>
      <c r="D525" t="inlineStr">
        <is>
          <t>JÄMTLANDS LÄN</t>
        </is>
      </c>
      <c r="E525" t="inlineStr">
        <is>
          <t>HÄRJEDALEN</t>
        </is>
      </c>
      <c r="F525" t="inlineStr">
        <is>
          <t>Holmen skog AB</t>
        </is>
      </c>
      <c r="G525" t="n">
        <v>3.9</v>
      </c>
      <c r="H525" t="n">
        <v>0</v>
      </c>
      <c r="I525" t="n">
        <v>0</v>
      </c>
      <c r="J525" t="n">
        <v>0</v>
      </c>
      <c r="K525" t="n">
        <v>0</v>
      </c>
      <c r="L525" t="n">
        <v>0</v>
      </c>
      <c r="M525" t="n">
        <v>0</v>
      </c>
      <c r="N525" t="n">
        <v>0</v>
      </c>
      <c r="O525" t="n">
        <v>0</v>
      </c>
      <c r="P525" t="n">
        <v>0</v>
      </c>
      <c r="Q525" t="n">
        <v>0</v>
      </c>
      <c r="R525" s="2" t="inlineStr"/>
    </row>
    <row r="526" ht="15" customHeight="1">
      <c r="A526" t="inlineStr">
        <is>
          <t>A 7086-2021</t>
        </is>
      </c>
      <c r="B526" s="1" t="n">
        <v>44238</v>
      </c>
      <c r="C526" s="1" t="n">
        <v>45294</v>
      </c>
      <c r="D526" t="inlineStr">
        <is>
          <t>JÄMTLANDS LÄN</t>
        </is>
      </c>
      <c r="E526" t="inlineStr">
        <is>
          <t>HÄRJEDALEN</t>
        </is>
      </c>
      <c r="F526" t="inlineStr">
        <is>
          <t>Holmen skog AB</t>
        </is>
      </c>
      <c r="G526" t="n">
        <v>8.6</v>
      </c>
      <c r="H526" t="n">
        <v>0</v>
      </c>
      <c r="I526" t="n">
        <v>0</v>
      </c>
      <c r="J526" t="n">
        <v>0</v>
      </c>
      <c r="K526" t="n">
        <v>0</v>
      </c>
      <c r="L526" t="n">
        <v>0</v>
      </c>
      <c r="M526" t="n">
        <v>0</v>
      </c>
      <c r="N526" t="n">
        <v>0</v>
      </c>
      <c r="O526" t="n">
        <v>0</v>
      </c>
      <c r="P526" t="n">
        <v>0</v>
      </c>
      <c r="Q526" t="n">
        <v>0</v>
      </c>
      <c r="R526" s="2" t="inlineStr"/>
    </row>
    <row r="527" ht="15" customHeight="1">
      <c r="A527" t="inlineStr">
        <is>
          <t>A 7110-2021</t>
        </is>
      </c>
      <c r="B527" s="1" t="n">
        <v>44238</v>
      </c>
      <c r="C527" s="1" t="n">
        <v>45294</v>
      </c>
      <c r="D527" t="inlineStr">
        <is>
          <t>JÄMTLANDS LÄN</t>
        </is>
      </c>
      <c r="E527" t="inlineStr">
        <is>
          <t>HÄRJEDALEN</t>
        </is>
      </c>
      <c r="F527" t="inlineStr">
        <is>
          <t>Holmen skog AB</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7427-2021</t>
        </is>
      </c>
      <c r="B528" s="1" t="n">
        <v>44239</v>
      </c>
      <c r="C528" s="1" t="n">
        <v>45294</v>
      </c>
      <c r="D528" t="inlineStr">
        <is>
          <t>JÄMTLANDS LÄN</t>
        </is>
      </c>
      <c r="E528" t="inlineStr">
        <is>
          <t>HÄRJEDALEN</t>
        </is>
      </c>
      <c r="F528" t="inlineStr">
        <is>
          <t>Holmen skog AB</t>
        </is>
      </c>
      <c r="G528" t="n">
        <v>6.1</v>
      </c>
      <c r="H528" t="n">
        <v>0</v>
      </c>
      <c r="I528" t="n">
        <v>0</v>
      </c>
      <c r="J528" t="n">
        <v>0</v>
      </c>
      <c r="K528" t="n">
        <v>0</v>
      </c>
      <c r="L528" t="n">
        <v>0</v>
      </c>
      <c r="M528" t="n">
        <v>0</v>
      </c>
      <c r="N528" t="n">
        <v>0</v>
      </c>
      <c r="O528" t="n">
        <v>0</v>
      </c>
      <c r="P528" t="n">
        <v>0</v>
      </c>
      <c r="Q528" t="n">
        <v>0</v>
      </c>
      <c r="R528" s="2" t="inlineStr"/>
    </row>
    <row r="529" ht="15" customHeight="1">
      <c r="A529" t="inlineStr">
        <is>
          <t>A 7570-2021</t>
        </is>
      </c>
      <c r="B529" s="1" t="n">
        <v>44239</v>
      </c>
      <c r="C529" s="1" t="n">
        <v>45294</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7731-2021</t>
        </is>
      </c>
      <c r="B530" s="1" t="n">
        <v>44242</v>
      </c>
      <c r="C530" s="1" t="n">
        <v>45294</v>
      </c>
      <c r="D530" t="inlineStr">
        <is>
          <t>JÄMTLANDS LÄN</t>
        </is>
      </c>
      <c r="E530" t="inlineStr">
        <is>
          <t>HÄRJEDALEN</t>
        </is>
      </c>
      <c r="G530" t="n">
        <v>13.6</v>
      </c>
      <c r="H530" t="n">
        <v>0</v>
      </c>
      <c r="I530" t="n">
        <v>0</v>
      </c>
      <c r="J530" t="n">
        <v>0</v>
      </c>
      <c r="K530" t="n">
        <v>0</v>
      </c>
      <c r="L530" t="n">
        <v>0</v>
      </c>
      <c r="M530" t="n">
        <v>0</v>
      </c>
      <c r="N530" t="n">
        <v>0</v>
      </c>
      <c r="O530" t="n">
        <v>0</v>
      </c>
      <c r="P530" t="n">
        <v>0</v>
      </c>
      <c r="Q530" t="n">
        <v>0</v>
      </c>
      <c r="R530" s="2" t="inlineStr"/>
    </row>
    <row r="531" ht="15" customHeight="1">
      <c r="A531" t="inlineStr">
        <is>
          <t>A 8055-2021</t>
        </is>
      </c>
      <c r="B531" s="1" t="n">
        <v>44243</v>
      </c>
      <c r="C531" s="1" t="n">
        <v>45294</v>
      </c>
      <c r="D531" t="inlineStr">
        <is>
          <t>JÄMTLANDS LÄN</t>
        </is>
      </c>
      <c r="E531" t="inlineStr">
        <is>
          <t>HÄRJEDALEN</t>
        </is>
      </c>
      <c r="G531" t="n">
        <v>1.6</v>
      </c>
      <c r="H531" t="n">
        <v>0</v>
      </c>
      <c r="I531" t="n">
        <v>0</v>
      </c>
      <c r="J531" t="n">
        <v>0</v>
      </c>
      <c r="K531" t="n">
        <v>0</v>
      </c>
      <c r="L531" t="n">
        <v>0</v>
      </c>
      <c r="M531" t="n">
        <v>0</v>
      </c>
      <c r="N531" t="n">
        <v>0</v>
      </c>
      <c r="O531" t="n">
        <v>0</v>
      </c>
      <c r="P531" t="n">
        <v>0</v>
      </c>
      <c r="Q531" t="n">
        <v>0</v>
      </c>
      <c r="R531" s="2" t="inlineStr"/>
    </row>
    <row r="532" ht="15" customHeight="1">
      <c r="A532" t="inlineStr">
        <is>
          <t>A 9470-2021</t>
        </is>
      </c>
      <c r="B532" s="1" t="n">
        <v>44251</v>
      </c>
      <c r="C532" s="1" t="n">
        <v>45294</v>
      </c>
      <c r="D532" t="inlineStr">
        <is>
          <t>JÄMTLANDS LÄN</t>
        </is>
      </c>
      <c r="E532" t="inlineStr">
        <is>
          <t>HÄRJEDALEN</t>
        </is>
      </c>
      <c r="G532" t="n">
        <v>12.4</v>
      </c>
      <c r="H532" t="n">
        <v>0</v>
      </c>
      <c r="I532" t="n">
        <v>0</v>
      </c>
      <c r="J532" t="n">
        <v>0</v>
      </c>
      <c r="K532" t="n">
        <v>0</v>
      </c>
      <c r="L532" t="n">
        <v>0</v>
      </c>
      <c r="M532" t="n">
        <v>0</v>
      </c>
      <c r="N532" t="n">
        <v>0</v>
      </c>
      <c r="O532" t="n">
        <v>0</v>
      </c>
      <c r="P532" t="n">
        <v>0</v>
      </c>
      <c r="Q532" t="n">
        <v>0</v>
      </c>
      <c r="R532" s="2" t="inlineStr"/>
    </row>
    <row r="533" ht="15" customHeight="1">
      <c r="A533" t="inlineStr">
        <is>
          <t>A 10530-2021</t>
        </is>
      </c>
      <c r="B533" s="1" t="n">
        <v>44258</v>
      </c>
      <c r="C533" s="1" t="n">
        <v>45294</v>
      </c>
      <c r="D533" t="inlineStr">
        <is>
          <t>JÄMTLANDS LÄN</t>
        </is>
      </c>
      <c r="E533" t="inlineStr">
        <is>
          <t>HÄRJEDALEN</t>
        </is>
      </c>
      <c r="G533" t="n">
        <v>19.5</v>
      </c>
      <c r="H533" t="n">
        <v>0</v>
      </c>
      <c r="I533" t="n">
        <v>0</v>
      </c>
      <c r="J533" t="n">
        <v>0</v>
      </c>
      <c r="K533" t="n">
        <v>0</v>
      </c>
      <c r="L533" t="n">
        <v>0</v>
      </c>
      <c r="M533" t="n">
        <v>0</v>
      </c>
      <c r="N533" t="n">
        <v>0</v>
      </c>
      <c r="O533" t="n">
        <v>0</v>
      </c>
      <c r="P533" t="n">
        <v>0</v>
      </c>
      <c r="Q533" t="n">
        <v>0</v>
      </c>
      <c r="R533" s="2" t="inlineStr"/>
    </row>
    <row r="534" ht="15" customHeight="1">
      <c r="A534" t="inlineStr">
        <is>
          <t>A 10536-2021</t>
        </is>
      </c>
      <c r="B534" s="1" t="n">
        <v>44258</v>
      </c>
      <c r="C534" s="1" t="n">
        <v>45294</v>
      </c>
      <c r="D534" t="inlineStr">
        <is>
          <t>JÄMTLANDS LÄN</t>
        </is>
      </c>
      <c r="E534" t="inlineStr">
        <is>
          <t>HÄRJEDALEN</t>
        </is>
      </c>
      <c r="G534" t="n">
        <v>18.7</v>
      </c>
      <c r="H534" t="n">
        <v>0</v>
      </c>
      <c r="I534" t="n">
        <v>0</v>
      </c>
      <c r="J534" t="n">
        <v>0</v>
      </c>
      <c r="K534" t="n">
        <v>0</v>
      </c>
      <c r="L534" t="n">
        <v>0</v>
      </c>
      <c r="M534" t="n">
        <v>0</v>
      </c>
      <c r="N534" t="n">
        <v>0</v>
      </c>
      <c r="O534" t="n">
        <v>0</v>
      </c>
      <c r="P534" t="n">
        <v>0</v>
      </c>
      <c r="Q534" t="n">
        <v>0</v>
      </c>
      <c r="R534" s="2" t="inlineStr"/>
    </row>
    <row r="535" ht="15" customHeight="1">
      <c r="A535" t="inlineStr">
        <is>
          <t>A 12629-2021</t>
        </is>
      </c>
      <c r="B535" s="1" t="n">
        <v>44270</v>
      </c>
      <c r="C535" s="1" t="n">
        <v>45294</v>
      </c>
      <c r="D535" t="inlineStr">
        <is>
          <t>JÄMTLANDS LÄN</t>
        </is>
      </c>
      <c r="E535" t="inlineStr">
        <is>
          <t>HÄRJEDALEN</t>
        </is>
      </c>
      <c r="G535" t="n">
        <v>20.7</v>
      </c>
      <c r="H535" t="n">
        <v>0</v>
      </c>
      <c r="I535" t="n">
        <v>0</v>
      </c>
      <c r="J535" t="n">
        <v>0</v>
      </c>
      <c r="K535" t="n">
        <v>0</v>
      </c>
      <c r="L535" t="n">
        <v>0</v>
      </c>
      <c r="M535" t="n">
        <v>0</v>
      </c>
      <c r="N535" t="n">
        <v>0</v>
      </c>
      <c r="O535" t="n">
        <v>0</v>
      </c>
      <c r="P535" t="n">
        <v>0</v>
      </c>
      <c r="Q535" t="n">
        <v>0</v>
      </c>
      <c r="R535" s="2" t="inlineStr"/>
    </row>
    <row r="536" ht="15" customHeight="1">
      <c r="A536" t="inlineStr">
        <is>
          <t>A 14798-2021</t>
        </is>
      </c>
      <c r="B536" s="1" t="n">
        <v>44280</v>
      </c>
      <c r="C536" s="1" t="n">
        <v>45294</v>
      </c>
      <c r="D536" t="inlineStr">
        <is>
          <t>JÄMTLANDS LÄN</t>
        </is>
      </c>
      <c r="E536" t="inlineStr">
        <is>
          <t>HÄRJEDALEN</t>
        </is>
      </c>
      <c r="G536" t="n">
        <v>2.6</v>
      </c>
      <c r="H536" t="n">
        <v>0</v>
      </c>
      <c r="I536" t="n">
        <v>0</v>
      </c>
      <c r="J536" t="n">
        <v>0</v>
      </c>
      <c r="K536" t="n">
        <v>0</v>
      </c>
      <c r="L536" t="n">
        <v>0</v>
      </c>
      <c r="M536" t="n">
        <v>0</v>
      </c>
      <c r="N536" t="n">
        <v>0</v>
      </c>
      <c r="O536" t="n">
        <v>0</v>
      </c>
      <c r="P536" t="n">
        <v>0</v>
      </c>
      <c r="Q536" t="n">
        <v>0</v>
      </c>
      <c r="R536" s="2" t="inlineStr"/>
    </row>
    <row r="537" ht="15" customHeight="1">
      <c r="A537" t="inlineStr">
        <is>
          <t>A 15580-2021</t>
        </is>
      </c>
      <c r="B537" s="1" t="n">
        <v>44285</v>
      </c>
      <c r="C537" s="1" t="n">
        <v>45294</v>
      </c>
      <c r="D537" t="inlineStr">
        <is>
          <t>JÄMTLANDS LÄN</t>
        </is>
      </c>
      <c r="E537" t="inlineStr">
        <is>
          <t>HÄRJEDALEN</t>
        </is>
      </c>
      <c r="G537" t="n">
        <v>22.1</v>
      </c>
      <c r="H537" t="n">
        <v>0</v>
      </c>
      <c r="I537" t="n">
        <v>0</v>
      </c>
      <c r="J537" t="n">
        <v>0</v>
      </c>
      <c r="K537" t="n">
        <v>0</v>
      </c>
      <c r="L537" t="n">
        <v>0</v>
      </c>
      <c r="M537" t="n">
        <v>0</v>
      </c>
      <c r="N537" t="n">
        <v>0</v>
      </c>
      <c r="O537" t="n">
        <v>0</v>
      </c>
      <c r="P537" t="n">
        <v>0</v>
      </c>
      <c r="Q537" t="n">
        <v>0</v>
      </c>
      <c r="R537" s="2" t="inlineStr"/>
    </row>
    <row r="538" ht="15" customHeight="1">
      <c r="A538" t="inlineStr">
        <is>
          <t>A 15585-2021</t>
        </is>
      </c>
      <c r="B538" s="1" t="n">
        <v>44285</v>
      </c>
      <c r="C538" s="1" t="n">
        <v>45294</v>
      </c>
      <c r="D538" t="inlineStr">
        <is>
          <t>JÄMTLANDS LÄN</t>
        </is>
      </c>
      <c r="E538" t="inlineStr">
        <is>
          <t>HÄRJEDALEN</t>
        </is>
      </c>
      <c r="G538" t="n">
        <v>21.2</v>
      </c>
      <c r="H538" t="n">
        <v>0</v>
      </c>
      <c r="I538" t="n">
        <v>0</v>
      </c>
      <c r="J538" t="n">
        <v>0</v>
      </c>
      <c r="K538" t="n">
        <v>0</v>
      </c>
      <c r="L538" t="n">
        <v>0</v>
      </c>
      <c r="M538" t="n">
        <v>0</v>
      </c>
      <c r="N538" t="n">
        <v>0</v>
      </c>
      <c r="O538" t="n">
        <v>0</v>
      </c>
      <c r="P538" t="n">
        <v>0</v>
      </c>
      <c r="Q538" t="n">
        <v>0</v>
      </c>
      <c r="R538" s="2" t="inlineStr"/>
    </row>
    <row r="539" ht="15" customHeight="1">
      <c r="A539" t="inlineStr">
        <is>
          <t>A 15594-2021</t>
        </is>
      </c>
      <c r="B539" s="1" t="n">
        <v>44285</v>
      </c>
      <c r="C539" s="1" t="n">
        <v>45294</v>
      </c>
      <c r="D539" t="inlineStr">
        <is>
          <t>JÄMTLANDS LÄN</t>
        </is>
      </c>
      <c r="E539" t="inlineStr">
        <is>
          <t>HÄRJEDALEN</t>
        </is>
      </c>
      <c r="G539" t="n">
        <v>28.5</v>
      </c>
      <c r="H539" t="n">
        <v>0</v>
      </c>
      <c r="I539" t="n">
        <v>0</v>
      </c>
      <c r="J539" t="n">
        <v>0</v>
      </c>
      <c r="K539" t="n">
        <v>0</v>
      </c>
      <c r="L539" t="n">
        <v>0</v>
      </c>
      <c r="M539" t="n">
        <v>0</v>
      </c>
      <c r="N539" t="n">
        <v>0</v>
      </c>
      <c r="O539" t="n">
        <v>0</v>
      </c>
      <c r="P539" t="n">
        <v>0</v>
      </c>
      <c r="Q539" t="n">
        <v>0</v>
      </c>
      <c r="R539" s="2" t="inlineStr"/>
    </row>
    <row r="540" ht="15" customHeight="1">
      <c r="A540" t="inlineStr">
        <is>
          <t>A 15681-2021</t>
        </is>
      </c>
      <c r="B540" s="1" t="n">
        <v>44286</v>
      </c>
      <c r="C540" s="1" t="n">
        <v>45294</v>
      </c>
      <c r="D540" t="inlineStr">
        <is>
          <t>JÄMTLANDS LÄN</t>
        </is>
      </c>
      <c r="E540" t="inlineStr">
        <is>
          <t>HÄRJEDALEN</t>
        </is>
      </c>
      <c r="G540" t="n">
        <v>9.6</v>
      </c>
      <c r="H540" t="n">
        <v>0</v>
      </c>
      <c r="I540" t="n">
        <v>0</v>
      </c>
      <c r="J540" t="n">
        <v>0</v>
      </c>
      <c r="K540" t="n">
        <v>0</v>
      </c>
      <c r="L540" t="n">
        <v>0</v>
      </c>
      <c r="M540" t="n">
        <v>0</v>
      </c>
      <c r="N540" t="n">
        <v>0</v>
      </c>
      <c r="O540" t="n">
        <v>0</v>
      </c>
      <c r="P540" t="n">
        <v>0</v>
      </c>
      <c r="Q540" t="n">
        <v>0</v>
      </c>
      <c r="R540" s="2" t="inlineStr"/>
    </row>
    <row r="541" ht="15" customHeight="1">
      <c r="A541" t="inlineStr">
        <is>
          <t>A 15685-2021</t>
        </is>
      </c>
      <c r="B541" s="1" t="n">
        <v>44286</v>
      </c>
      <c r="C541" s="1" t="n">
        <v>45294</v>
      </c>
      <c r="D541" t="inlineStr">
        <is>
          <t>JÄMTLANDS LÄN</t>
        </is>
      </c>
      <c r="E541" t="inlineStr">
        <is>
          <t>HÄRJEDALEN</t>
        </is>
      </c>
      <c r="G541" t="n">
        <v>3.6</v>
      </c>
      <c r="H541" t="n">
        <v>0</v>
      </c>
      <c r="I541" t="n">
        <v>0</v>
      </c>
      <c r="J541" t="n">
        <v>0</v>
      </c>
      <c r="K541" t="n">
        <v>0</v>
      </c>
      <c r="L541" t="n">
        <v>0</v>
      </c>
      <c r="M541" t="n">
        <v>0</v>
      </c>
      <c r="N541" t="n">
        <v>0</v>
      </c>
      <c r="O541" t="n">
        <v>0</v>
      </c>
      <c r="P541" t="n">
        <v>0</v>
      </c>
      <c r="Q541" t="n">
        <v>0</v>
      </c>
      <c r="R541" s="2" t="inlineStr"/>
    </row>
    <row r="542" ht="15" customHeight="1">
      <c r="A542" t="inlineStr">
        <is>
          <t>A 17187-2021</t>
        </is>
      </c>
      <c r="B542" s="1" t="n">
        <v>44298</v>
      </c>
      <c r="C542" s="1" t="n">
        <v>45294</v>
      </c>
      <c r="D542" t="inlineStr">
        <is>
          <t>JÄMTLANDS LÄN</t>
        </is>
      </c>
      <c r="E542" t="inlineStr">
        <is>
          <t>HÄRJEDALEN</t>
        </is>
      </c>
      <c r="G542" t="n">
        <v>20.1</v>
      </c>
      <c r="H542" t="n">
        <v>0</v>
      </c>
      <c r="I542" t="n">
        <v>0</v>
      </c>
      <c r="J542" t="n">
        <v>0</v>
      </c>
      <c r="K542" t="n">
        <v>0</v>
      </c>
      <c r="L542" t="n">
        <v>0</v>
      </c>
      <c r="M542" t="n">
        <v>0</v>
      </c>
      <c r="N542" t="n">
        <v>0</v>
      </c>
      <c r="O542" t="n">
        <v>0</v>
      </c>
      <c r="P542" t="n">
        <v>0</v>
      </c>
      <c r="Q542" t="n">
        <v>0</v>
      </c>
      <c r="R542" s="2" t="inlineStr"/>
    </row>
    <row r="543" ht="15" customHeight="1">
      <c r="A543" t="inlineStr">
        <is>
          <t>A 17705-2021</t>
        </is>
      </c>
      <c r="B543" s="1" t="n">
        <v>44300</v>
      </c>
      <c r="C543" s="1" t="n">
        <v>45294</v>
      </c>
      <c r="D543" t="inlineStr">
        <is>
          <t>JÄMTLANDS LÄN</t>
        </is>
      </c>
      <c r="E543" t="inlineStr">
        <is>
          <t>HÄRJEDALEN</t>
        </is>
      </c>
      <c r="G543" t="n">
        <v>5.2</v>
      </c>
      <c r="H543" t="n">
        <v>0</v>
      </c>
      <c r="I543" t="n">
        <v>0</v>
      </c>
      <c r="J543" t="n">
        <v>0</v>
      </c>
      <c r="K543" t="n">
        <v>0</v>
      </c>
      <c r="L543" t="n">
        <v>0</v>
      </c>
      <c r="M543" t="n">
        <v>0</v>
      </c>
      <c r="N543" t="n">
        <v>0</v>
      </c>
      <c r="O543" t="n">
        <v>0</v>
      </c>
      <c r="P543" t="n">
        <v>0</v>
      </c>
      <c r="Q543" t="n">
        <v>0</v>
      </c>
      <c r="R543" s="2" t="inlineStr"/>
    </row>
    <row r="544" ht="15" customHeight="1">
      <c r="A544" t="inlineStr">
        <is>
          <t>A 18389-2021</t>
        </is>
      </c>
      <c r="B544" s="1" t="n">
        <v>44305</v>
      </c>
      <c r="C544" s="1" t="n">
        <v>45294</v>
      </c>
      <c r="D544" t="inlineStr">
        <is>
          <t>JÄMTLANDS LÄN</t>
        </is>
      </c>
      <c r="E544" t="inlineStr">
        <is>
          <t>HÄRJEDALEN</t>
        </is>
      </c>
      <c r="G544" t="n">
        <v>1.3</v>
      </c>
      <c r="H544" t="n">
        <v>0</v>
      </c>
      <c r="I544" t="n">
        <v>0</v>
      </c>
      <c r="J544" t="n">
        <v>0</v>
      </c>
      <c r="K544" t="n">
        <v>0</v>
      </c>
      <c r="L544" t="n">
        <v>0</v>
      </c>
      <c r="M544" t="n">
        <v>0</v>
      </c>
      <c r="N544" t="n">
        <v>0</v>
      </c>
      <c r="O544" t="n">
        <v>0</v>
      </c>
      <c r="P544" t="n">
        <v>0</v>
      </c>
      <c r="Q544" t="n">
        <v>0</v>
      </c>
      <c r="R544" s="2" t="inlineStr"/>
    </row>
    <row r="545" ht="15" customHeight="1">
      <c r="A545" t="inlineStr">
        <is>
          <t>A 19958-2021</t>
        </is>
      </c>
      <c r="B545" s="1" t="n">
        <v>44312</v>
      </c>
      <c r="C545" s="1" t="n">
        <v>45294</v>
      </c>
      <c r="D545" t="inlineStr">
        <is>
          <t>JÄMTLANDS LÄN</t>
        </is>
      </c>
      <c r="E545" t="inlineStr">
        <is>
          <t>HÄRJEDALEN</t>
        </is>
      </c>
      <c r="G545" t="n">
        <v>10.7</v>
      </c>
      <c r="H545" t="n">
        <v>0</v>
      </c>
      <c r="I545" t="n">
        <v>0</v>
      </c>
      <c r="J545" t="n">
        <v>0</v>
      </c>
      <c r="K545" t="n">
        <v>0</v>
      </c>
      <c r="L545" t="n">
        <v>0</v>
      </c>
      <c r="M545" t="n">
        <v>0</v>
      </c>
      <c r="N545" t="n">
        <v>0</v>
      </c>
      <c r="O545" t="n">
        <v>0</v>
      </c>
      <c r="P545" t="n">
        <v>0</v>
      </c>
      <c r="Q545" t="n">
        <v>0</v>
      </c>
      <c r="R545" s="2" t="inlineStr"/>
    </row>
    <row r="546" ht="15" customHeight="1">
      <c r="A546" t="inlineStr">
        <is>
          <t>A 19955-2021</t>
        </is>
      </c>
      <c r="B546" s="1" t="n">
        <v>44312</v>
      </c>
      <c r="C546" s="1" t="n">
        <v>45294</v>
      </c>
      <c r="D546" t="inlineStr">
        <is>
          <t>JÄMTLANDS LÄN</t>
        </is>
      </c>
      <c r="E546" t="inlineStr">
        <is>
          <t>HÄRJEDALEN</t>
        </is>
      </c>
      <c r="G546" t="n">
        <v>4.6</v>
      </c>
      <c r="H546" t="n">
        <v>0</v>
      </c>
      <c r="I546" t="n">
        <v>0</v>
      </c>
      <c r="J546" t="n">
        <v>0</v>
      </c>
      <c r="K546" t="n">
        <v>0</v>
      </c>
      <c r="L546" t="n">
        <v>0</v>
      </c>
      <c r="M546" t="n">
        <v>0</v>
      </c>
      <c r="N546" t="n">
        <v>0</v>
      </c>
      <c r="O546" t="n">
        <v>0</v>
      </c>
      <c r="P546" t="n">
        <v>0</v>
      </c>
      <c r="Q546" t="n">
        <v>0</v>
      </c>
      <c r="R546" s="2" t="inlineStr"/>
    </row>
    <row r="547" ht="15" customHeight="1">
      <c r="A547" t="inlineStr">
        <is>
          <t>A 19962-2021</t>
        </is>
      </c>
      <c r="B547" s="1" t="n">
        <v>44312</v>
      </c>
      <c r="C547" s="1" t="n">
        <v>45294</v>
      </c>
      <c r="D547" t="inlineStr">
        <is>
          <t>JÄMTLANDS LÄN</t>
        </is>
      </c>
      <c r="E547" t="inlineStr">
        <is>
          <t>HÄRJEDALEN</t>
        </is>
      </c>
      <c r="G547" t="n">
        <v>3.7</v>
      </c>
      <c r="H547" t="n">
        <v>0</v>
      </c>
      <c r="I547" t="n">
        <v>0</v>
      </c>
      <c r="J547" t="n">
        <v>0</v>
      </c>
      <c r="K547" t="n">
        <v>0</v>
      </c>
      <c r="L547" t="n">
        <v>0</v>
      </c>
      <c r="M547" t="n">
        <v>0</v>
      </c>
      <c r="N547" t="n">
        <v>0</v>
      </c>
      <c r="O547" t="n">
        <v>0</v>
      </c>
      <c r="P547" t="n">
        <v>0</v>
      </c>
      <c r="Q547" t="n">
        <v>0</v>
      </c>
      <c r="R547" s="2" t="inlineStr"/>
    </row>
    <row r="548" ht="15" customHeight="1">
      <c r="A548" t="inlineStr">
        <is>
          <t>A 21593-2021</t>
        </is>
      </c>
      <c r="B548" s="1" t="n">
        <v>44314</v>
      </c>
      <c r="C548" s="1" t="n">
        <v>45294</v>
      </c>
      <c r="D548" t="inlineStr">
        <is>
          <t>JÄMTLANDS LÄN</t>
        </is>
      </c>
      <c r="E548" t="inlineStr">
        <is>
          <t>HÄRJEDALEN</t>
        </is>
      </c>
      <c r="G548" t="n">
        <v>7.7</v>
      </c>
      <c r="H548" t="n">
        <v>0</v>
      </c>
      <c r="I548" t="n">
        <v>0</v>
      </c>
      <c r="J548" t="n">
        <v>0</v>
      </c>
      <c r="K548" t="n">
        <v>0</v>
      </c>
      <c r="L548" t="n">
        <v>0</v>
      </c>
      <c r="M548" t="n">
        <v>0</v>
      </c>
      <c r="N548" t="n">
        <v>0</v>
      </c>
      <c r="O548" t="n">
        <v>0</v>
      </c>
      <c r="P548" t="n">
        <v>0</v>
      </c>
      <c r="Q548" t="n">
        <v>0</v>
      </c>
      <c r="R548" s="2" t="inlineStr"/>
    </row>
    <row r="549" ht="15" customHeight="1">
      <c r="A549" t="inlineStr">
        <is>
          <t>A 21596-2021</t>
        </is>
      </c>
      <c r="B549" s="1" t="n">
        <v>44314</v>
      </c>
      <c r="C549" s="1" t="n">
        <v>45294</v>
      </c>
      <c r="D549" t="inlineStr">
        <is>
          <t>JÄMTLANDS LÄN</t>
        </is>
      </c>
      <c r="E549" t="inlineStr">
        <is>
          <t>HÄRJEDALEN</t>
        </is>
      </c>
      <c r="G549" t="n">
        <v>18.2</v>
      </c>
      <c r="H549" t="n">
        <v>0</v>
      </c>
      <c r="I549" t="n">
        <v>0</v>
      </c>
      <c r="J549" t="n">
        <v>0</v>
      </c>
      <c r="K549" t="n">
        <v>0</v>
      </c>
      <c r="L549" t="n">
        <v>0</v>
      </c>
      <c r="M549" t="n">
        <v>0</v>
      </c>
      <c r="N549" t="n">
        <v>0</v>
      </c>
      <c r="O549" t="n">
        <v>0</v>
      </c>
      <c r="P549" t="n">
        <v>0</v>
      </c>
      <c r="Q549" t="n">
        <v>0</v>
      </c>
      <c r="R549" s="2" t="inlineStr"/>
    </row>
    <row r="550" ht="15" customHeight="1">
      <c r="A550" t="inlineStr">
        <is>
          <t>A 21837-2021</t>
        </is>
      </c>
      <c r="B550" s="1" t="n">
        <v>44316</v>
      </c>
      <c r="C550" s="1" t="n">
        <v>45294</v>
      </c>
      <c r="D550" t="inlineStr">
        <is>
          <t>JÄMTLANDS LÄN</t>
        </is>
      </c>
      <c r="E550" t="inlineStr">
        <is>
          <t>HÄRJEDALEN</t>
        </is>
      </c>
      <c r="G550" t="n">
        <v>20</v>
      </c>
      <c r="H550" t="n">
        <v>0</v>
      </c>
      <c r="I550" t="n">
        <v>0</v>
      </c>
      <c r="J550" t="n">
        <v>0</v>
      </c>
      <c r="K550" t="n">
        <v>0</v>
      </c>
      <c r="L550" t="n">
        <v>0</v>
      </c>
      <c r="M550" t="n">
        <v>0</v>
      </c>
      <c r="N550" t="n">
        <v>0</v>
      </c>
      <c r="O550" t="n">
        <v>0</v>
      </c>
      <c r="P550" t="n">
        <v>0</v>
      </c>
      <c r="Q550" t="n">
        <v>0</v>
      </c>
      <c r="R550" s="2" t="inlineStr"/>
    </row>
    <row r="551" ht="15" customHeight="1">
      <c r="A551" t="inlineStr">
        <is>
          <t>A 21702-2021</t>
        </is>
      </c>
      <c r="B551" s="1" t="n">
        <v>44316</v>
      </c>
      <c r="C551" s="1" t="n">
        <v>45294</v>
      </c>
      <c r="D551" t="inlineStr">
        <is>
          <t>JÄMTLANDS LÄN</t>
        </is>
      </c>
      <c r="E551" t="inlineStr">
        <is>
          <t>HÄRJEDALEN</t>
        </is>
      </c>
      <c r="G551" t="n">
        <v>2.9</v>
      </c>
      <c r="H551" t="n">
        <v>0</v>
      </c>
      <c r="I551" t="n">
        <v>0</v>
      </c>
      <c r="J551" t="n">
        <v>0</v>
      </c>
      <c r="K551" t="n">
        <v>0</v>
      </c>
      <c r="L551" t="n">
        <v>0</v>
      </c>
      <c r="M551" t="n">
        <v>0</v>
      </c>
      <c r="N551" t="n">
        <v>0</v>
      </c>
      <c r="O551" t="n">
        <v>0</v>
      </c>
      <c r="P551" t="n">
        <v>0</v>
      </c>
      <c r="Q551" t="n">
        <v>0</v>
      </c>
      <c r="R551" s="2" t="inlineStr"/>
    </row>
    <row r="552" ht="15" customHeight="1">
      <c r="A552" t="inlineStr">
        <is>
          <t>A 21833-2021</t>
        </is>
      </c>
      <c r="B552" s="1" t="n">
        <v>44316</v>
      </c>
      <c r="C552" s="1" t="n">
        <v>45294</v>
      </c>
      <c r="D552" t="inlineStr">
        <is>
          <t>JÄMTLANDS LÄN</t>
        </is>
      </c>
      <c r="E552" t="inlineStr">
        <is>
          <t>HÄRJEDALEN</t>
        </is>
      </c>
      <c r="G552" t="n">
        <v>20.2</v>
      </c>
      <c r="H552" t="n">
        <v>0</v>
      </c>
      <c r="I552" t="n">
        <v>0</v>
      </c>
      <c r="J552" t="n">
        <v>0</v>
      </c>
      <c r="K552" t="n">
        <v>0</v>
      </c>
      <c r="L552" t="n">
        <v>0</v>
      </c>
      <c r="M552" t="n">
        <v>0</v>
      </c>
      <c r="N552" t="n">
        <v>0</v>
      </c>
      <c r="O552" t="n">
        <v>0</v>
      </c>
      <c r="P552" t="n">
        <v>0</v>
      </c>
      <c r="Q552" t="n">
        <v>0</v>
      </c>
      <c r="R552" s="2" t="inlineStr"/>
    </row>
    <row r="553" ht="15" customHeight="1">
      <c r="A553" t="inlineStr">
        <is>
          <t>A 21854-2021</t>
        </is>
      </c>
      <c r="B553" s="1" t="n">
        <v>44316</v>
      </c>
      <c r="C553" s="1" t="n">
        <v>45294</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21848-2021</t>
        </is>
      </c>
      <c r="B554" s="1" t="n">
        <v>44316</v>
      </c>
      <c r="C554" s="1" t="n">
        <v>45294</v>
      </c>
      <c r="D554" t="inlineStr">
        <is>
          <t>JÄMTLANDS LÄN</t>
        </is>
      </c>
      <c r="E554" t="inlineStr">
        <is>
          <t>HÄRJEDALEN</t>
        </is>
      </c>
      <c r="G554" t="n">
        <v>19.4</v>
      </c>
      <c r="H554" t="n">
        <v>0</v>
      </c>
      <c r="I554" t="n">
        <v>0</v>
      </c>
      <c r="J554" t="n">
        <v>0</v>
      </c>
      <c r="K554" t="n">
        <v>0</v>
      </c>
      <c r="L554" t="n">
        <v>0</v>
      </c>
      <c r="M554" t="n">
        <v>0</v>
      </c>
      <c r="N554" t="n">
        <v>0</v>
      </c>
      <c r="O554" t="n">
        <v>0</v>
      </c>
      <c r="P554" t="n">
        <v>0</v>
      </c>
      <c r="Q554" t="n">
        <v>0</v>
      </c>
      <c r="R554" s="2" t="inlineStr"/>
    </row>
    <row r="555" ht="15" customHeight="1">
      <c r="A555" t="inlineStr">
        <is>
          <t>A 21699-2021</t>
        </is>
      </c>
      <c r="B555" s="1" t="n">
        <v>44316</v>
      </c>
      <c r="C555" s="1" t="n">
        <v>45294</v>
      </c>
      <c r="D555" t="inlineStr">
        <is>
          <t>JÄMTLANDS LÄN</t>
        </is>
      </c>
      <c r="E555" t="inlineStr">
        <is>
          <t>HÄRJEDALEN</t>
        </is>
      </c>
      <c r="G555" t="n">
        <v>6.8</v>
      </c>
      <c r="H555" t="n">
        <v>0</v>
      </c>
      <c r="I555" t="n">
        <v>0</v>
      </c>
      <c r="J555" t="n">
        <v>0</v>
      </c>
      <c r="K555" t="n">
        <v>0</v>
      </c>
      <c r="L555" t="n">
        <v>0</v>
      </c>
      <c r="M555" t="n">
        <v>0</v>
      </c>
      <c r="N555" t="n">
        <v>0</v>
      </c>
      <c r="O555" t="n">
        <v>0</v>
      </c>
      <c r="P555" t="n">
        <v>0</v>
      </c>
      <c r="Q555" t="n">
        <v>0</v>
      </c>
      <c r="R555" s="2" t="inlineStr"/>
    </row>
    <row r="556" ht="15" customHeight="1">
      <c r="A556" t="inlineStr">
        <is>
          <t>A 21703-2021</t>
        </is>
      </c>
      <c r="B556" s="1" t="n">
        <v>44316</v>
      </c>
      <c r="C556" s="1" t="n">
        <v>45294</v>
      </c>
      <c r="D556" t="inlineStr">
        <is>
          <t>JÄMTLANDS LÄN</t>
        </is>
      </c>
      <c r="E556" t="inlineStr">
        <is>
          <t>HÄRJEDALEN</t>
        </is>
      </c>
      <c r="G556" t="n">
        <v>11.9</v>
      </c>
      <c r="H556" t="n">
        <v>0</v>
      </c>
      <c r="I556" t="n">
        <v>0</v>
      </c>
      <c r="J556" t="n">
        <v>0</v>
      </c>
      <c r="K556" t="n">
        <v>0</v>
      </c>
      <c r="L556" t="n">
        <v>0</v>
      </c>
      <c r="M556" t="n">
        <v>0</v>
      </c>
      <c r="N556" t="n">
        <v>0</v>
      </c>
      <c r="O556" t="n">
        <v>0</v>
      </c>
      <c r="P556" t="n">
        <v>0</v>
      </c>
      <c r="Q556" t="n">
        <v>0</v>
      </c>
      <c r="R556" s="2" t="inlineStr"/>
    </row>
    <row r="557" ht="15" customHeight="1">
      <c r="A557" t="inlineStr">
        <is>
          <t>A 21843-2021</t>
        </is>
      </c>
      <c r="B557" s="1" t="n">
        <v>44316</v>
      </c>
      <c r="C557" s="1" t="n">
        <v>45294</v>
      </c>
      <c r="D557" t="inlineStr">
        <is>
          <t>JÄMTLANDS LÄN</t>
        </is>
      </c>
      <c r="E557" t="inlineStr">
        <is>
          <t>HÄRJEDALEN</t>
        </is>
      </c>
      <c r="G557" t="n">
        <v>15.1</v>
      </c>
      <c r="H557" t="n">
        <v>0</v>
      </c>
      <c r="I557" t="n">
        <v>0</v>
      </c>
      <c r="J557" t="n">
        <v>0</v>
      </c>
      <c r="K557" t="n">
        <v>0</v>
      </c>
      <c r="L557" t="n">
        <v>0</v>
      </c>
      <c r="M557" t="n">
        <v>0</v>
      </c>
      <c r="N557" t="n">
        <v>0</v>
      </c>
      <c r="O557" t="n">
        <v>0</v>
      </c>
      <c r="P557" t="n">
        <v>0</v>
      </c>
      <c r="Q557" t="n">
        <v>0</v>
      </c>
      <c r="R557" s="2" t="inlineStr"/>
    </row>
    <row r="558" ht="15" customHeight="1">
      <c r="A558" t="inlineStr">
        <is>
          <t>A 21705-2021</t>
        </is>
      </c>
      <c r="B558" s="1" t="n">
        <v>44316</v>
      </c>
      <c r="C558" s="1" t="n">
        <v>45294</v>
      </c>
      <c r="D558" t="inlineStr">
        <is>
          <t>JÄMTLANDS LÄN</t>
        </is>
      </c>
      <c r="E558" t="inlineStr">
        <is>
          <t>HÄRJEDALEN</t>
        </is>
      </c>
      <c r="G558" t="n">
        <v>6.1</v>
      </c>
      <c r="H558" t="n">
        <v>0</v>
      </c>
      <c r="I558" t="n">
        <v>0</v>
      </c>
      <c r="J558" t="n">
        <v>0</v>
      </c>
      <c r="K558" t="n">
        <v>0</v>
      </c>
      <c r="L558" t="n">
        <v>0</v>
      </c>
      <c r="M558" t="n">
        <v>0</v>
      </c>
      <c r="N558" t="n">
        <v>0</v>
      </c>
      <c r="O558" t="n">
        <v>0</v>
      </c>
      <c r="P558" t="n">
        <v>0</v>
      </c>
      <c r="Q558" t="n">
        <v>0</v>
      </c>
      <c r="R558" s="2" t="inlineStr"/>
    </row>
    <row r="559" ht="15" customHeight="1">
      <c r="A559" t="inlineStr">
        <is>
          <t>A 20804-2021</t>
        </is>
      </c>
      <c r="B559" s="1" t="n">
        <v>44316</v>
      </c>
      <c r="C559" s="1" t="n">
        <v>45294</v>
      </c>
      <c r="D559" t="inlineStr">
        <is>
          <t>JÄMTLANDS LÄN</t>
        </is>
      </c>
      <c r="E559" t="inlineStr">
        <is>
          <t>HÄRJEDALEN</t>
        </is>
      </c>
      <c r="F559" t="inlineStr">
        <is>
          <t>SCA</t>
        </is>
      </c>
      <c r="G559" t="n">
        <v>11.2</v>
      </c>
      <c r="H559" t="n">
        <v>0</v>
      </c>
      <c r="I559" t="n">
        <v>0</v>
      </c>
      <c r="J559" t="n">
        <v>0</v>
      </c>
      <c r="K559" t="n">
        <v>0</v>
      </c>
      <c r="L559" t="n">
        <v>0</v>
      </c>
      <c r="M559" t="n">
        <v>0</v>
      </c>
      <c r="N559" t="n">
        <v>0</v>
      </c>
      <c r="O559" t="n">
        <v>0</v>
      </c>
      <c r="P559" t="n">
        <v>0</v>
      </c>
      <c r="Q559" t="n">
        <v>0</v>
      </c>
      <c r="R559" s="2" t="inlineStr"/>
    </row>
    <row r="560" ht="15" customHeight="1">
      <c r="A560" t="inlineStr">
        <is>
          <t>A 21753-2021</t>
        </is>
      </c>
      <c r="B560" s="1" t="n">
        <v>44319</v>
      </c>
      <c r="C560" s="1" t="n">
        <v>45294</v>
      </c>
      <c r="D560" t="inlineStr">
        <is>
          <t>JÄMTLANDS LÄN</t>
        </is>
      </c>
      <c r="E560" t="inlineStr">
        <is>
          <t>HÄRJEDALEN</t>
        </is>
      </c>
      <c r="G560" t="n">
        <v>6.2</v>
      </c>
      <c r="H560" t="n">
        <v>0</v>
      </c>
      <c r="I560" t="n">
        <v>0</v>
      </c>
      <c r="J560" t="n">
        <v>0</v>
      </c>
      <c r="K560" t="n">
        <v>0</v>
      </c>
      <c r="L560" t="n">
        <v>0</v>
      </c>
      <c r="M560" t="n">
        <v>0</v>
      </c>
      <c r="N560" t="n">
        <v>0</v>
      </c>
      <c r="O560" t="n">
        <v>0</v>
      </c>
      <c r="P560" t="n">
        <v>0</v>
      </c>
      <c r="Q560" t="n">
        <v>0</v>
      </c>
      <c r="R560" s="2" t="inlineStr"/>
    </row>
    <row r="561" ht="15" customHeight="1">
      <c r="A561" t="inlineStr">
        <is>
          <t>A 21298-2021</t>
        </is>
      </c>
      <c r="B561" s="1" t="n">
        <v>44320</v>
      </c>
      <c r="C561" s="1" t="n">
        <v>45294</v>
      </c>
      <c r="D561" t="inlineStr">
        <is>
          <t>JÄMTLANDS LÄN</t>
        </is>
      </c>
      <c r="E561" t="inlineStr">
        <is>
          <t>HÄRJEDALEN</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21334-2021</t>
        </is>
      </c>
      <c r="B562" s="1" t="n">
        <v>44320</v>
      </c>
      <c r="C562" s="1" t="n">
        <v>45294</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21346-2021</t>
        </is>
      </c>
      <c r="B563" s="1" t="n">
        <v>44321</v>
      </c>
      <c r="C563" s="1" t="n">
        <v>45294</v>
      </c>
      <c r="D563" t="inlineStr">
        <is>
          <t>JÄMTLANDS LÄN</t>
        </is>
      </c>
      <c r="E563" t="inlineStr">
        <is>
          <t>HÄRJEDALEN</t>
        </is>
      </c>
      <c r="G563" t="n">
        <v>9.9</v>
      </c>
      <c r="H563" t="n">
        <v>0</v>
      </c>
      <c r="I563" t="n">
        <v>0</v>
      </c>
      <c r="J563" t="n">
        <v>0</v>
      </c>
      <c r="K563" t="n">
        <v>0</v>
      </c>
      <c r="L563" t="n">
        <v>0</v>
      </c>
      <c r="M563" t="n">
        <v>0</v>
      </c>
      <c r="N563" t="n">
        <v>0</v>
      </c>
      <c r="O563" t="n">
        <v>0</v>
      </c>
      <c r="P563" t="n">
        <v>0</v>
      </c>
      <c r="Q563" t="n">
        <v>0</v>
      </c>
      <c r="R563" s="2" t="inlineStr"/>
    </row>
    <row r="564" ht="15" customHeight="1">
      <c r="A564" t="inlineStr">
        <is>
          <t>A 21661-2021</t>
        </is>
      </c>
      <c r="B564" s="1" t="n">
        <v>44322</v>
      </c>
      <c r="C564" s="1" t="n">
        <v>45294</v>
      </c>
      <c r="D564" t="inlineStr">
        <is>
          <t>JÄMTLANDS LÄN</t>
        </is>
      </c>
      <c r="E564" t="inlineStr">
        <is>
          <t>HÄRJEDALEN</t>
        </is>
      </c>
      <c r="F564" t="inlineStr">
        <is>
          <t>Holmen skog AB</t>
        </is>
      </c>
      <c r="G564" t="n">
        <v>3</v>
      </c>
      <c r="H564" t="n">
        <v>0</v>
      </c>
      <c r="I564" t="n">
        <v>0</v>
      </c>
      <c r="J564" t="n">
        <v>0</v>
      </c>
      <c r="K564" t="n">
        <v>0</v>
      </c>
      <c r="L564" t="n">
        <v>0</v>
      </c>
      <c r="M564" t="n">
        <v>0</v>
      </c>
      <c r="N564" t="n">
        <v>0</v>
      </c>
      <c r="O564" t="n">
        <v>0</v>
      </c>
      <c r="P564" t="n">
        <v>0</v>
      </c>
      <c r="Q564" t="n">
        <v>0</v>
      </c>
      <c r="R564" s="2" t="inlineStr"/>
    </row>
    <row r="565" ht="15" customHeight="1">
      <c r="A565" t="inlineStr">
        <is>
          <t>A 22160-2021</t>
        </is>
      </c>
      <c r="B565" s="1" t="n">
        <v>44325</v>
      </c>
      <c r="C565" s="1" t="n">
        <v>45294</v>
      </c>
      <c r="D565" t="inlineStr">
        <is>
          <t>JÄMTLANDS LÄN</t>
        </is>
      </c>
      <c r="E565" t="inlineStr">
        <is>
          <t>HÄRJEDALEN</t>
        </is>
      </c>
      <c r="G565" t="n">
        <v>0.9</v>
      </c>
      <c r="H565" t="n">
        <v>0</v>
      </c>
      <c r="I565" t="n">
        <v>0</v>
      </c>
      <c r="J565" t="n">
        <v>0</v>
      </c>
      <c r="K565" t="n">
        <v>0</v>
      </c>
      <c r="L565" t="n">
        <v>0</v>
      </c>
      <c r="M565" t="n">
        <v>0</v>
      </c>
      <c r="N565" t="n">
        <v>0</v>
      </c>
      <c r="O565" t="n">
        <v>0</v>
      </c>
      <c r="P565" t="n">
        <v>0</v>
      </c>
      <c r="Q565" t="n">
        <v>0</v>
      </c>
      <c r="R565" s="2" t="inlineStr"/>
    </row>
    <row r="566" ht="15" customHeight="1">
      <c r="A566" t="inlineStr">
        <is>
          <t>A 23869-2021</t>
        </is>
      </c>
      <c r="B566" s="1" t="n">
        <v>44335</v>
      </c>
      <c r="C566" s="1" t="n">
        <v>45294</v>
      </c>
      <c r="D566" t="inlineStr">
        <is>
          <t>JÄMTLANDS LÄN</t>
        </is>
      </c>
      <c r="E566" t="inlineStr">
        <is>
          <t>HÄRJEDALEN</t>
        </is>
      </c>
      <c r="G566" t="n">
        <v>15.3</v>
      </c>
      <c r="H566" t="n">
        <v>0</v>
      </c>
      <c r="I566" t="n">
        <v>0</v>
      </c>
      <c r="J566" t="n">
        <v>0</v>
      </c>
      <c r="K566" t="n">
        <v>0</v>
      </c>
      <c r="L566" t="n">
        <v>0</v>
      </c>
      <c r="M566" t="n">
        <v>0</v>
      </c>
      <c r="N566" t="n">
        <v>0</v>
      </c>
      <c r="O566" t="n">
        <v>0</v>
      </c>
      <c r="P566" t="n">
        <v>0</v>
      </c>
      <c r="Q566" t="n">
        <v>0</v>
      </c>
      <c r="R566" s="2" t="inlineStr"/>
    </row>
    <row r="567" ht="15" customHeight="1">
      <c r="A567" t="inlineStr">
        <is>
          <t>A 25444-2021</t>
        </is>
      </c>
      <c r="B567" s="1" t="n">
        <v>44342</v>
      </c>
      <c r="C567" s="1" t="n">
        <v>45294</v>
      </c>
      <c r="D567" t="inlineStr">
        <is>
          <t>JÄMTLANDS LÄN</t>
        </is>
      </c>
      <c r="E567" t="inlineStr">
        <is>
          <t>HÄRJEDALEN</t>
        </is>
      </c>
      <c r="G567" t="n">
        <v>0.8</v>
      </c>
      <c r="H567" t="n">
        <v>0</v>
      </c>
      <c r="I567" t="n">
        <v>0</v>
      </c>
      <c r="J567" t="n">
        <v>0</v>
      </c>
      <c r="K567" t="n">
        <v>0</v>
      </c>
      <c r="L567" t="n">
        <v>0</v>
      </c>
      <c r="M567" t="n">
        <v>0</v>
      </c>
      <c r="N567" t="n">
        <v>0</v>
      </c>
      <c r="O567" t="n">
        <v>0</v>
      </c>
      <c r="P567" t="n">
        <v>0</v>
      </c>
      <c r="Q567" t="n">
        <v>0</v>
      </c>
      <c r="R567" s="2" t="inlineStr"/>
    </row>
    <row r="568" ht="15" customHeight="1">
      <c r="A568" t="inlineStr">
        <is>
          <t>A 26167-2021</t>
        </is>
      </c>
      <c r="B568" s="1" t="n">
        <v>44344</v>
      </c>
      <c r="C568" s="1" t="n">
        <v>45294</v>
      </c>
      <c r="D568" t="inlineStr">
        <is>
          <t>JÄMTLANDS LÄN</t>
        </is>
      </c>
      <c r="E568" t="inlineStr">
        <is>
          <t>HÄRJEDALEN</t>
        </is>
      </c>
      <c r="G568" t="n">
        <v>2.6</v>
      </c>
      <c r="H568" t="n">
        <v>0</v>
      </c>
      <c r="I568" t="n">
        <v>0</v>
      </c>
      <c r="J568" t="n">
        <v>0</v>
      </c>
      <c r="K568" t="n">
        <v>0</v>
      </c>
      <c r="L568" t="n">
        <v>0</v>
      </c>
      <c r="M568" t="n">
        <v>0</v>
      </c>
      <c r="N568" t="n">
        <v>0</v>
      </c>
      <c r="O568" t="n">
        <v>0</v>
      </c>
      <c r="P568" t="n">
        <v>0</v>
      </c>
      <c r="Q568" t="n">
        <v>0</v>
      </c>
      <c r="R568" s="2" t="inlineStr"/>
    </row>
    <row r="569" ht="15" customHeight="1">
      <c r="A569" t="inlineStr">
        <is>
          <t>A 26656-2021</t>
        </is>
      </c>
      <c r="B569" s="1" t="n">
        <v>44348</v>
      </c>
      <c r="C569" s="1" t="n">
        <v>45294</v>
      </c>
      <c r="D569" t="inlineStr">
        <is>
          <t>JÄMTLANDS LÄN</t>
        </is>
      </c>
      <c r="E569" t="inlineStr">
        <is>
          <t>HÄRJEDALEN</t>
        </is>
      </c>
      <c r="G569" t="n">
        <v>1.6</v>
      </c>
      <c r="H569" t="n">
        <v>0</v>
      </c>
      <c r="I569" t="n">
        <v>0</v>
      </c>
      <c r="J569" t="n">
        <v>0</v>
      </c>
      <c r="K569" t="n">
        <v>0</v>
      </c>
      <c r="L569" t="n">
        <v>0</v>
      </c>
      <c r="M569" t="n">
        <v>0</v>
      </c>
      <c r="N569" t="n">
        <v>0</v>
      </c>
      <c r="O569" t="n">
        <v>0</v>
      </c>
      <c r="P569" t="n">
        <v>0</v>
      </c>
      <c r="Q569" t="n">
        <v>0</v>
      </c>
      <c r="R569" s="2" t="inlineStr"/>
    </row>
    <row r="570" ht="15" customHeight="1">
      <c r="A570" t="inlineStr">
        <is>
          <t>A 28446-2021</t>
        </is>
      </c>
      <c r="B570" s="1" t="n">
        <v>44356</v>
      </c>
      <c r="C570" s="1" t="n">
        <v>45294</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28693-2021</t>
        </is>
      </c>
      <c r="B571" s="1" t="n">
        <v>44357</v>
      </c>
      <c r="C571" s="1" t="n">
        <v>45294</v>
      </c>
      <c r="D571" t="inlineStr">
        <is>
          <t>JÄMTLANDS LÄN</t>
        </is>
      </c>
      <c r="E571" t="inlineStr">
        <is>
          <t>HÄRJEDALEN</t>
        </is>
      </c>
      <c r="G571" t="n">
        <v>20</v>
      </c>
      <c r="H571" t="n">
        <v>0</v>
      </c>
      <c r="I571" t="n">
        <v>0</v>
      </c>
      <c r="J571" t="n">
        <v>0</v>
      </c>
      <c r="K571" t="n">
        <v>0</v>
      </c>
      <c r="L571" t="n">
        <v>0</v>
      </c>
      <c r="M571" t="n">
        <v>0</v>
      </c>
      <c r="N571" t="n">
        <v>0</v>
      </c>
      <c r="O571" t="n">
        <v>0</v>
      </c>
      <c r="P571" t="n">
        <v>0</v>
      </c>
      <c r="Q571" t="n">
        <v>0</v>
      </c>
      <c r="R571" s="2" t="inlineStr"/>
    </row>
    <row r="572" ht="15" customHeight="1">
      <c r="A572" t="inlineStr">
        <is>
          <t>A 29284-2021</t>
        </is>
      </c>
      <c r="B572" s="1" t="n">
        <v>44361</v>
      </c>
      <c r="C572" s="1" t="n">
        <v>45294</v>
      </c>
      <c r="D572" t="inlineStr">
        <is>
          <t>JÄMTLANDS LÄN</t>
        </is>
      </c>
      <c r="E572" t="inlineStr">
        <is>
          <t>HÄRJEDALEN</t>
        </is>
      </c>
      <c r="F572" t="inlineStr">
        <is>
          <t>Holmen skog AB</t>
        </is>
      </c>
      <c r="G572" t="n">
        <v>10.5</v>
      </c>
      <c r="H572" t="n">
        <v>0</v>
      </c>
      <c r="I572" t="n">
        <v>0</v>
      </c>
      <c r="J572" t="n">
        <v>0</v>
      </c>
      <c r="K572" t="n">
        <v>0</v>
      </c>
      <c r="L572" t="n">
        <v>0</v>
      </c>
      <c r="M572" t="n">
        <v>0</v>
      </c>
      <c r="N572" t="n">
        <v>0</v>
      </c>
      <c r="O572" t="n">
        <v>0</v>
      </c>
      <c r="P572" t="n">
        <v>0</v>
      </c>
      <c r="Q572" t="n">
        <v>0</v>
      </c>
      <c r="R572" s="2" t="inlineStr"/>
    </row>
    <row r="573" ht="15" customHeight="1">
      <c r="A573" t="inlineStr">
        <is>
          <t>A 29372-2021</t>
        </is>
      </c>
      <c r="B573" s="1" t="n">
        <v>44361</v>
      </c>
      <c r="C573" s="1" t="n">
        <v>45294</v>
      </c>
      <c r="D573" t="inlineStr">
        <is>
          <t>JÄMTLANDS LÄN</t>
        </is>
      </c>
      <c r="E573" t="inlineStr">
        <is>
          <t>HÄRJEDALEN</t>
        </is>
      </c>
      <c r="F573" t="inlineStr">
        <is>
          <t>Holmen skog AB</t>
        </is>
      </c>
      <c r="G573" t="n">
        <v>5.9</v>
      </c>
      <c r="H573" t="n">
        <v>0</v>
      </c>
      <c r="I573" t="n">
        <v>0</v>
      </c>
      <c r="J573" t="n">
        <v>0</v>
      </c>
      <c r="K573" t="n">
        <v>0</v>
      </c>
      <c r="L573" t="n">
        <v>0</v>
      </c>
      <c r="M573" t="n">
        <v>0</v>
      </c>
      <c r="N573" t="n">
        <v>0</v>
      </c>
      <c r="O573" t="n">
        <v>0</v>
      </c>
      <c r="P573" t="n">
        <v>0</v>
      </c>
      <c r="Q573" t="n">
        <v>0</v>
      </c>
      <c r="R573" s="2" t="inlineStr"/>
    </row>
    <row r="574" ht="15" customHeight="1">
      <c r="A574" t="inlineStr">
        <is>
          <t>A 29452-2021</t>
        </is>
      </c>
      <c r="B574" s="1" t="n">
        <v>44361</v>
      </c>
      <c r="C574" s="1" t="n">
        <v>45294</v>
      </c>
      <c r="D574" t="inlineStr">
        <is>
          <t>JÄMTLANDS LÄN</t>
        </is>
      </c>
      <c r="E574" t="inlineStr">
        <is>
          <t>HÄRJEDALEN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29581-2021</t>
        </is>
      </c>
      <c r="B575" s="1" t="n">
        <v>44361</v>
      </c>
      <c r="C575" s="1" t="n">
        <v>45294</v>
      </c>
      <c r="D575" t="inlineStr">
        <is>
          <t>JÄMTLANDS LÄN</t>
        </is>
      </c>
      <c r="E575" t="inlineStr">
        <is>
          <t>HÄRJEDALEN</t>
        </is>
      </c>
      <c r="G575" t="n">
        <v>50.9</v>
      </c>
      <c r="H575" t="n">
        <v>0</v>
      </c>
      <c r="I575" t="n">
        <v>0</v>
      </c>
      <c r="J575" t="n">
        <v>0</v>
      </c>
      <c r="K575" t="n">
        <v>0</v>
      </c>
      <c r="L575" t="n">
        <v>0</v>
      </c>
      <c r="M575" t="n">
        <v>0</v>
      </c>
      <c r="N575" t="n">
        <v>0</v>
      </c>
      <c r="O575" t="n">
        <v>0</v>
      </c>
      <c r="P575" t="n">
        <v>0</v>
      </c>
      <c r="Q575" t="n">
        <v>0</v>
      </c>
      <c r="R575" s="2" t="inlineStr"/>
    </row>
    <row r="576" ht="15" customHeight="1">
      <c r="A576" t="inlineStr">
        <is>
          <t>A 29585-2021</t>
        </is>
      </c>
      <c r="B576" s="1" t="n">
        <v>44361</v>
      </c>
      <c r="C576" s="1" t="n">
        <v>45294</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30302-2021</t>
        </is>
      </c>
      <c r="B577" s="1" t="n">
        <v>44364</v>
      </c>
      <c r="C577" s="1" t="n">
        <v>45294</v>
      </c>
      <c r="D577" t="inlineStr">
        <is>
          <t>JÄMTLANDS LÄN</t>
        </is>
      </c>
      <c r="E577" t="inlineStr">
        <is>
          <t>HÄRJEDALEN</t>
        </is>
      </c>
      <c r="F577" t="inlineStr">
        <is>
          <t>Holmen skog AB</t>
        </is>
      </c>
      <c r="G577" t="n">
        <v>6</v>
      </c>
      <c r="H577" t="n">
        <v>0</v>
      </c>
      <c r="I577" t="n">
        <v>0</v>
      </c>
      <c r="J577" t="n">
        <v>0</v>
      </c>
      <c r="K577" t="n">
        <v>0</v>
      </c>
      <c r="L577" t="n">
        <v>0</v>
      </c>
      <c r="M577" t="n">
        <v>0</v>
      </c>
      <c r="N577" t="n">
        <v>0</v>
      </c>
      <c r="O577" t="n">
        <v>0</v>
      </c>
      <c r="P577" t="n">
        <v>0</v>
      </c>
      <c r="Q577" t="n">
        <v>0</v>
      </c>
      <c r="R577" s="2" t="inlineStr"/>
    </row>
    <row r="578" ht="15" customHeight="1">
      <c r="A578" t="inlineStr">
        <is>
          <t>A 30323-2021</t>
        </is>
      </c>
      <c r="B578" s="1" t="n">
        <v>44364</v>
      </c>
      <c r="C578" s="1" t="n">
        <v>45294</v>
      </c>
      <c r="D578" t="inlineStr">
        <is>
          <t>JÄMTLANDS LÄN</t>
        </is>
      </c>
      <c r="E578" t="inlineStr">
        <is>
          <t>HÄRJEDALEN</t>
        </is>
      </c>
      <c r="F578" t="inlineStr">
        <is>
          <t>Holmen skog AB</t>
        </is>
      </c>
      <c r="G578" t="n">
        <v>11.2</v>
      </c>
      <c r="H578" t="n">
        <v>0</v>
      </c>
      <c r="I578" t="n">
        <v>0</v>
      </c>
      <c r="J578" t="n">
        <v>0</v>
      </c>
      <c r="K578" t="n">
        <v>0</v>
      </c>
      <c r="L578" t="n">
        <v>0</v>
      </c>
      <c r="M578" t="n">
        <v>0</v>
      </c>
      <c r="N578" t="n">
        <v>0</v>
      </c>
      <c r="O578" t="n">
        <v>0</v>
      </c>
      <c r="P578" t="n">
        <v>0</v>
      </c>
      <c r="Q578" t="n">
        <v>0</v>
      </c>
      <c r="R578" s="2" t="inlineStr"/>
    </row>
    <row r="579" ht="15" customHeight="1">
      <c r="A579" t="inlineStr">
        <is>
          <t>A 30315-2021</t>
        </is>
      </c>
      <c r="B579" s="1" t="n">
        <v>44364</v>
      </c>
      <c r="C579" s="1" t="n">
        <v>45294</v>
      </c>
      <c r="D579" t="inlineStr">
        <is>
          <t>JÄMTLANDS LÄN</t>
        </is>
      </c>
      <c r="E579" t="inlineStr">
        <is>
          <t>HÄRJEDALEN</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30311-2021</t>
        </is>
      </c>
      <c r="B580" s="1" t="n">
        <v>44364</v>
      </c>
      <c r="C580" s="1" t="n">
        <v>45294</v>
      </c>
      <c r="D580" t="inlineStr">
        <is>
          <t>JÄMTLANDS LÄN</t>
        </is>
      </c>
      <c r="E580" t="inlineStr">
        <is>
          <t>HÄRJEDALEN</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30321-2021</t>
        </is>
      </c>
      <c r="B581" s="1" t="n">
        <v>44364</v>
      </c>
      <c r="C581" s="1" t="n">
        <v>45294</v>
      </c>
      <c r="D581" t="inlineStr">
        <is>
          <t>JÄMTLANDS LÄN</t>
        </is>
      </c>
      <c r="E581" t="inlineStr">
        <is>
          <t>HÄRJEDALEN</t>
        </is>
      </c>
      <c r="F581" t="inlineStr">
        <is>
          <t>Holmen skog AB</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30317-2021</t>
        </is>
      </c>
      <c r="B582" s="1" t="n">
        <v>44364</v>
      </c>
      <c r="C582" s="1" t="n">
        <v>45294</v>
      </c>
      <c r="D582" t="inlineStr">
        <is>
          <t>JÄMTLANDS LÄN</t>
        </is>
      </c>
      <c r="E582" t="inlineStr">
        <is>
          <t>HÄRJEDALEN</t>
        </is>
      </c>
      <c r="F582" t="inlineStr">
        <is>
          <t>Holmen skog AB</t>
        </is>
      </c>
      <c r="G582" t="n">
        <v>8.4</v>
      </c>
      <c r="H582" t="n">
        <v>0</v>
      </c>
      <c r="I582" t="n">
        <v>0</v>
      </c>
      <c r="J582" t="n">
        <v>0</v>
      </c>
      <c r="K582" t="n">
        <v>0</v>
      </c>
      <c r="L582" t="n">
        <v>0</v>
      </c>
      <c r="M582" t="n">
        <v>0</v>
      </c>
      <c r="N582" t="n">
        <v>0</v>
      </c>
      <c r="O582" t="n">
        <v>0</v>
      </c>
      <c r="P582" t="n">
        <v>0</v>
      </c>
      <c r="Q582" t="n">
        <v>0</v>
      </c>
      <c r="R582" s="2" t="inlineStr"/>
    </row>
    <row r="583" ht="15" customHeight="1">
      <c r="A583" t="inlineStr">
        <is>
          <t>A 30684-2021</t>
        </is>
      </c>
      <c r="B583" s="1" t="n">
        <v>44365</v>
      </c>
      <c r="C583" s="1" t="n">
        <v>45294</v>
      </c>
      <c r="D583" t="inlineStr">
        <is>
          <t>JÄMTLANDS LÄN</t>
        </is>
      </c>
      <c r="E583" t="inlineStr">
        <is>
          <t>HÄRJEDALEN</t>
        </is>
      </c>
      <c r="G583" t="n">
        <v>4</v>
      </c>
      <c r="H583" t="n">
        <v>0</v>
      </c>
      <c r="I583" t="n">
        <v>0</v>
      </c>
      <c r="J583" t="n">
        <v>0</v>
      </c>
      <c r="K583" t="n">
        <v>0</v>
      </c>
      <c r="L583" t="n">
        <v>0</v>
      </c>
      <c r="M583" t="n">
        <v>0</v>
      </c>
      <c r="N583" t="n">
        <v>0</v>
      </c>
      <c r="O583" t="n">
        <v>0</v>
      </c>
      <c r="P583" t="n">
        <v>0</v>
      </c>
      <c r="Q583" t="n">
        <v>0</v>
      </c>
      <c r="R583" s="2" t="inlineStr"/>
    </row>
    <row r="584" ht="15" customHeight="1">
      <c r="A584" t="inlineStr">
        <is>
          <t>A 31212-2021</t>
        </is>
      </c>
      <c r="B584" s="1" t="n">
        <v>44368</v>
      </c>
      <c r="C584" s="1" t="n">
        <v>45294</v>
      </c>
      <c r="D584" t="inlineStr">
        <is>
          <t>JÄMTLANDS LÄN</t>
        </is>
      </c>
      <c r="E584" t="inlineStr">
        <is>
          <t>HÄRJEDALEN</t>
        </is>
      </c>
      <c r="G584" t="n">
        <v>5.5</v>
      </c>
      <c r="H584" t="n">
        <v>0</v>
      </c>
      <c r="I584" t="n">
        <v>0</v>
      </c>
      <c r="J584" t="n">
        <v>0</v>
      </c>
      <c r="K584" t="n">
        <v>0</v>
      </c>
      <c r="L584" t="n">
        <v>0</v>
      </c>
      <c r="M584" t="n">
        <v>0</v>
      </c>
      <c r="N584" t="n">
        <v>0</v>
      </c>
      <c r="O584" t="n">
        <v>0</v>
      </c>
      <c r="P584" t="n">
        <v>0</v>
      </c>
      <c r="Q584" t="n">
        <v>0</v>
      </c>
      <c r="R584" s="2" t="inlineStr"/>
    </row>
    <row r="585" ht="15" customHeight="1">
      <c r="A585" t="inlineStr">
        <is>
          <t>A 33424-2021</t>
        </is>
      </c>
      <c r="B585" s="1" t="n">
        <v>44377</v>
      </c>
      <c r="C585" s="1" t="n">
        <v>45294</v>
      </c>
      <c r="D585" t="inlineStr">
        <is>
          <t>JÄMTLANDS LÄN</t>
        </is>
      </c>
      <c r="E585" t="inlineStr">
        <is>
          <t>HÄRJEDALEN</t>
        </is>
      </c>
      <c r="G585" t="n">
        <v>2.5</v>
      </c>
      <c r="H585" t="n">
        <v>0</v>
      </c>
      <c r="I585" t="n">
        <v>0</v>
      </c>
      <c r="J585" t="n">
        <v>0</v>
      </c>
      <c r="K585" t="n">
        <v>0</v>
      </c>
      <c r="L585" t="n">
        <v>0</v>
      </c>
      <c r="M585" t="n">
        <v>0</v>
      </c>
      <c r="N585" t="n">
        <v>0</v>
      </c>
      <c r="O585" t="n">
        <v>0</v>
      </c>
      <c r="P585" t="n">
        <v>0</v>
      </c>
      <c r="Q585" t="n">
        <v>0</v>
      </c>
      <c r="R585" s="2" t="inlineStr"/>
    </row>
    <row r="586" ht="15" customHeight="1">
      <c r="A586" t="inlineStr">
        <is>
          <t>A 34453-2021</t>
        </is>
      </c>
      <c r="B586" s="1" t="n">
        <v>44381</v>
      </c>
      <c r="C586" s="1" t="n">
        <v>45294</v>
      </c>
      <c r="D586" t="inlineStr">
        <is>
          <t>JÄMTLANDS LÄN</t>
        </is>
      </c>
      <c r="E586" t="inlineStr">
        <is>
          <t>HÄRJEDALEN</t>
        </is>
      </c>
      <c r="G586" t="n">
        <v>12.7</v>
      </c>
      <c r="H586" t="n">
        <v>0</v>
      </c>
      <c r="I586" t="n">
        <v>0</v>
      </c>
      <c r="J586" t="n">
        <v>0</v>
      </c>
      <c r="K586" t="n">
        <v>0</v>
      </c>
      <c r="L586" t="n">
        <v>0</v>
      </c>
      <c r="M586" t="n">
        <v>0</v>
      </c>
      <c r="N586" t="n">
        <v>0</v>
      </c>
      <c r="O586" t="n">
        <v>0</v>
      </c>
      <c r="P586" t="n">
        <v>0</v>
      </c>
      <c r="Q586" t="n">
        <v>0</v>
      </c>
      <c r="R586" s="2" t="inlineStr"/>
    </row>
    <row r="587" ht="15" customHeight="1">
      <c r="A587" t="inlineStr">
        <is>
          <t>A 35194-2021</t>
        </is>
      </c>
      <c r="B587" s="1" t="n">
        <v>44384</v>
      </c>
      <c r="C587" s="1" t="n">
        <v>45294</v>
      </c>
      <c r="D587" t="inlineStr">
        <is>
          <t>JÄMTLANDS LÄN</t>
        </is>
      </c>
      <c r="E587" t="inlineStr">
        <is>
          <t>HÄRJEDALEN</t>
        </is>
      </c>
      <c r="G587" t="n">
        <v>46.4</v>
      </c>
      <c r="H587" t="n">
        <v>0</v>
      </c>
      <c r="I587" t="n">
        <v>0</v>
      </c>
      <c r="J587" t="n">
        <v>0</v>
      </c>
      <c r="K587" t="n">
        <v>0</v>
      </c>
      <c r="L587" t="n">
        <v>0</v>
      </c>
      <c r="M587" t="n">
        <v>0</v>
      </c>
      <c r="N587" t="n">
        <v>0</v>
      </c>
      <c r="O587" t="n">
        <v>0</v>
      </c>
      <c r="P587" t="n">
        <v>0</v>
      </c>
      <c r="Q587" t="n">
        <v>0</v>
      </c>
      <c r="R587" s="2" t="inlineStr"/>
    </row>
    <row r="588" ht="15" customHeight="1">
      <c r="A588" t="inlineStr">
        <is>
          <t>A 35532-2021</t>
        </is>
      </c>
      <c r="B588" s="1" t="n">
        <v>44385</v>
      </c>
      <c r="C588" s="1" t="n">
        <v>45294</v>
      </c>
      <c r="D588" t="inlineStr">
        <is>
          <t>JÄMTLANDS LÄN</t>
        </is>
      </c>
      <c r="E588" t="inlineStr">
        <is>
          <t>HÄRJEDALEN</t>
        </is>
      </c>
      <c r="G588" t="n">
        <v>4.3</v>
      </c>
      <c r="H588" t="n">
        <v>0</v>
      </c>
      <c r="I588" t="n">
        <v>0</v>
      </c>
      <c r="J588" t="n">
        <v>0</v>
      </c>
      <c r="K588" t="n">
        <v>0</v>
      </c>
      <c r="L588" t="n">
        <v>0</v>
      </c>
      <c r="M588" t="n">
        <v>0</v>
      </c>
      <c r="N588" t="n">
        <v>0</v>
      </c>
      <c r="O588" t="n">
        <v>0</v>
      </c>
      <c r="P588" t="n">
        <v>0</v>
      </c>
      <c r="Q588" t="n">
        <v>0</v>
      </c>
      <c r="R588" s="2" t="inlineStr"/>
    </row>
    <row r="589" ht="15" customHeight="1">
      <c r="A589" t="inlineStr">
        <is>
          <t>A 35572-2021</t>
        </is>
      </c>
      <c r="B589" s="1" t="n">
        <v>44386</v>
      </c>
      <c r="C589" s="1" t="n">
        <v>45294</v>
      </c>
      <c r="D589" t="inlineStr">
        <is>
          <t>JÄMTLANDS LÄN</t>
        </is>
      </c>
      <c r="E589" t="inlineStr">
        <is>
          <t>HÄRJEDALEN</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35573-2021</t>
        </is>
      </c>
      <c r="B590" s="1" t="n">
        <v>44386</v>
      </c>
      <c r="C590" s="1" t="n">
        <v>45294</v>
      </c>
      <c r="D590" t="inlineStr">
        <is>
          <t>JÄMTLANDS LÄN</t>
        </is>
      </c>
      <c r="E590" t="inlineStr">
        <is>
          <t>HÄRJEDALEN</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36235-2021</t>
        </is>
      </c>
      <c r="B591" s="1" t="n">
        <v>44389</v>
      </c>
      <c r="C591" s="1" t="n">
        <v>45294</v>
      </c>
      <c r="D591" t="inlineStr">
        <is>
          <t>JÄMTLANDS LÄN</t>
        </is>
      </c>
      <c r="E591" t="inlineStr">
        <is>
          <t>HÄRJEDALEN</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37155-2021</t>
        </is>
      </c>
      <c r="B592" s="1" t="n">
        <v>44396</v>
      </c>
      <c r="C592" s="1" t="n">
        <v>45294</v>
      </c>
      <c r="D592" t="inlineStr">
        <is>
          <t>JÄMTLANDS LÄN</t>
        </is>
      </c>
      <c r="E592" t="inlineStr">
        <is>
          <t>HÄRJEDALEN</t>
        </is>
      </c>
      <c r="G592" t="n">
        <v>2.3</v>
      </c>
      <c r="H592" t="n">
        <v>0</v>
      </c>
      <c r="I592" t="n">
        <v>0</v>
      </c>
      <c r="J592" t="n">
        <v>0</v>
      </c>
      <c r="K592" t="n">
        <v>0</v>
      </c>
      <c r="L592" t="n">
        <v>0</v>
      </c>
      <c r="M592" t="n">
        <v>0</v>
      </c>
      <c r="N592" t="n">
        <v>0</v>
      </c>
      <c r="O592" t="n">
        <v>0</v>
      </c>
      <c r="P592" t="n">
        <v>0</v>
      </c>
      <c r="Q592" t="n">
        <v>0</v>
      </c>
      <c r="R592" s="2" t="inlineStr"/>
    </row>
    <row r="593" ht="15" customHeight="1">
      <c r="A593" t="inlineStr">
        <is>
          <t>A 37832-2021</t>
        </is>
      </c>
      <c r="B593" s="1" t="n">
        <v>44403</v>
      </c>
      <c r="C593" s="1" t="n">
        <v>45294</v>
      </c>
      <c r="D593" t="inlineStr">
        <is>
          <t>JÄMTLANDS LÄN</t>
        </is>
      </c>
      <c r="E593" t="inlineStr">
        <is>
          <t>HÄRJEDALEN</t>
        </is>
      </c>
      <c r="G593" t="n">
        <v>0.5</v>
      </c>
      <c r="H593" t="n">
        <v>0</v>
      </c>
      <c r="I593" t="n">
        <v>0</v>
      </c>
      <c r="J593" t="n">
        <v>0</v>
      </c>
      <c r="K593" t="n">
        <v>0</v>
      </c>
      <c r="L593" t="n">
        <v>0</v>
      </c>
      <c r="M593" t="n">
        <v>0</v>
      </c>
      <c r="N593" t="n">
        <v>0</v>
      </c>
      <c r="O593" t="n">
        <v>0</v>
      </c>
      <c r="P593" t="n">
        <v>0</v>
      </c>
      <c r="Q593" t="n">
        <v>0</v>
      </c>
      <c r="R593" s="2" t="inlineStr"/>
    </row>
    <row r="594" ht="15" customHeight="1">
      <c r="A594" t="inlineStr">
        <is>
          <t>A 37825-2021</t>
        </is>
      </c>
      <c r="B594" s="1" t="n">
        <v>44403</v>
      </c>
      <c r="C594" s="1" t="n">
        <v>45294</v>
      </c>
      <c r="D594" t="inlineStr">
        <is>
          <t>JÄMTLANDS LÄN</t>
        </is>
      </c>
      <c r="E594" t="inlineStr">
        <is>
          <t>HÄRJEDALEN</t>
        </is>
      </c>
      <c r="G594" t="n">
        <v>0.1</v>
      </c>
      <c r="H594" t="n">
        <v>0</v>
      </c>
      <c r="I594" t="n">
        <v>0</v>
      </c>
      <c r="J594" t="n">
        <v>0</v>
      </c>
      <c r="K594" t="n">
        <v>0</v>
      </c>
      <c r="L594" t="n">
        <v>0</v>
      </c>
      <c r="M594" t="n">
        <v>0</v>
      </c>
      <c r="N594" t="n">
        <v>0</v>
      </c>
      <c r="O594" t="n">
        <v>0</v>
      </c>
      <c r="P594" t="n">
        <v>0</v>
      </c>
      <c r="Q594" t="n">
        <v>0</v>
      </c>
      <c r="R594" s="2" t="inlineStr"/>
    </row>
    <row r="595" ht="15" customHeight="1">
      <c r="A595" t="inlineStr">
        <is>
          <t>A 38001-2021</t>
        </is>
      </c>
      <c r="B595" s="1" t="n">
        <v>44404</v>
      </c>
      <c r="C595" s="1" t="n">
        <v>45294</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38215-2021</t>
        </is>
      </c>
      <c r="B596" s="1" t="n">
        <v>44405</v>
      </c>
      <c r="C596" s="1" t="n">
        <v>45294</v>
      </c>
      <c r="D596" t="inlineStr">
        <is>
          <t>JÄMTLANDS LÄN</t>
        </is>
      </c>
      <c r="E596" t="inlineStr">
        <is>
          <t>HÄRJEDALEN</t>
        </is>
      </c>
      <c r="F596" t="inlineStr">
        <is>
          <t>Övriga Aktiebolag</t>
        </is>
      </c>
      <c r="G596" t="n">
        <v>6.4</v>
      </c>
      <c r="H596" t="n">
        <v>0</v>
      </c>
      <c r="I596" t="n">
        <v>0</v>
      </c>
      <c r="J596" t="n">
        <v>0</v>
      </c>
      <c r="K596" t="n">
        <v>0</v>
      </c>
      <c r="L596" t="n">
        <v>0</v>
      </c>
      <c r="M596" t="n">
        <v>0</v>
      </c>
      <c r="N596" t="n">
        <v>0</v>
      </c>
      <c r="O596" t="n">
        <v>0</v>
      </c>
      <c r="P596" t="n">
        <v>0</v>
      </c>
      <c r="Q596" t="n">
        <v>0</v>
      </c>
      <c r="R596" s="2" t="inlineStr"/>
    </row>
    <row r="597" ht="15" customHeight="1">
      <c r="A597" t="inlineStr">
        <is>
          <t>A 38356-2021</t>
        </is>
      </c>
      <c r="B597" s="1" t="n">
        <v>44406</v>
      </c>
      <c r="C597" s="1" t="n">
        <v>45294</v>
      </c>
      <c r="D597" t="inlineStr">
        <is>
          <t>JÄMTLANDS LÄN</t>
        </is>
      </c>
      <c r="E597" t="inlineStr">
        <is>
          <t>HÄRJEDALEN</t>
        </is>
      </c>
      <c r="G597" t="n">
        <v>5.4</v>
      </c>
      <c r="H597" t="n">
        <v>0</v>
      </c>
      <c r="I597" t="n">
        <v>0</v>
      </c>
      <c r="J597" t="n">
        <v>0</v>
      </c>
      <c r="K597" t="n">
        <v>0</v>
      </c>
      <c r="L597" t="n">
        <v>0</v>
      </c>
      <c r="M597" t="n">
        <v>0</v>
      </c>
      <c r="N597" t="n">
        <v>0</v>
      </c>
      <c r="O597" t="n">
        <v>0</v>
      </c>
      <c r="P597" t="n">
        <v>0</v>
      </c>
      <c r="Q597" t="n">
        <v>0</v>
      </c>
      <c r="R597" s="2" t="inlineStr"/>
    </row>
    <row r="598" ht="15" customHeight="1">
      <c r="A598" t="inlineStr">
        <is>
          <t>A 38794-2021</t>
        </is>
      </c>
      <c r="B598" s="1" t="n">
        <v>44410</v>
      </c>
      <c r="C598" s="1" t="n">
        <v>45294</v>
      </c>
      <c r="D598" t="inlineStr">
        <is>
          <t>JÄMTLANDS LÄN</t>
        </is>
      </c>
      <c r="E598" t="inlineStr">
        <is>
          <t>HÄRJEDALEN</t>
        </is>
      </c>
      <c r="G598" t="n">
        <v>4.2</v>
      </c>
      <c r="H598" t="n">
        <v>0</v>
      </c>
      <c r="I598" t="n">
        <v>0</v>
      </c>
      <c r="J598" t="n">
        <v>0</v>
      </c>
      <c r="K598" t="n">
        <v>0</v>
      </c>
      <c r="L598" t="n">
        <v>0</v>
      </c>
      <c r="M598" t="n">
        <v>0</v>
      </c>
      <c r="N598" t="n">
        <v>0</v>
      </c>
      <c r="O598" t="n">
        <v>0</v>
      </c>
      <c r="P598" t="n">
        <v>0</v>
      </c>
      <c r="Q598" t="n">
        <v>0</v>
      </c>
      <c r="R598" s="2" t="inlineStr"/>
    </row>
    <row r="599" ht="15" customHeight="1">
      <c r="A599" t="inlineStr">
        <is>
          <t>A 39321-2021</t>
        </is>
      </c>
      <c r="B599" s="1" t="n">
        <v>44413</v>
      </c>
      <c r="C599" s="1" t="n">
        <v>45294</v>
      </c>
      <c r="D599" t="inlineStr">
        <is>
          <t>JÄMTLANDS LÄN</t>
        </is>
      </c>
      <c r="E599" t="inlineStr">
        <is>
          <t>HÄRJEDALEN</t>
        </is>
      </c>
      <c r="G599" t="n">
        <v>3.6</v>
      </c>
      <c r="H599" t="n">
        <v>0</v>
      </c>
      <c r="I599" t="n">
        <v>0</v>
      </c>
      <c r="J599" t="n">
        <v>0</v>
      </c>
      <c r="K599" t="n">
        <v>0</v>
      </c>
      <c r="L599" t="n">
        <v>0</v>
      </c>
      <c r="M599" t="n">
        <v>0</v>
      </c>
      <c r="N599" t="n">
        <v>0</v>
      </c>
      <c r="O599" t="n">
        <v>0</v>
      </c>
      <c r="P599" t="n">
        <v>0</v>
      </c>
      <c r="Q599" t="n">
        <v>0</v>
      </c>
      <c r="R599" s="2" t="inlineStr"/>
    </row>
    <row r="600" ht="15" customHeight="1">
      <c r="A600" t="inlineStr">
        <is>
          <t>A 39493-2021</t>
        </is>
      </c>
      <c r="B600" s="1" t="n">
        <v>44414</v>
      </c>
      <c r="C600" s="1" t="n">
        <v>45294</v>
      </c>
      <c r="D600" t="inlineStr">
        <is>
          <t>JÄMTLANDS LÄN</t>
        </is>
      </c>
      <c r="E600" t="inlineStr">
        <is>
          <t>HÄRJEDALEN</t>
        </is>
      </c>
      <c r="G600" t="n">
        <v>13.5</v>
      </c>
      <c r="H600" t="n">
        <v>0</v>
      </c>
      <c r="I600" t="n">
        <v>0</v>
      </c>
      <c r="J600" t="n">
        <v>0</v>
      </c>
      <c r="K600" t="n">
        <v>0</v>
      </c>
      <c r="L600" t="n">
        <v>0</v>
      </c>
      <c r="M600" t="n">
        <v>0</v>
      </c>
      <c r="N600" t="n">
        <v>0</v>
      </c>
      <c r="O600" t="n">
        <v>0</v>
      </c>
      <c r="P600" t="n">
        <v>0</v>
      </c>
      <c r="Q600" t="n">
        <v>0</v>
      </c>
      <c r="R600" s="2" t="inlineStr"/>
    </row>
    <row r="601" ht="15" customHeight="1">
      <c r="A601" t="inlineStr">
        <is>
          <t>A 39492-2021</t>
        </is>
      </c>
      <c r="B601" s="1" t="n">
        <v>44414</v>
      </c>
      <c r="C601" s="1" t="n">
        <v>45294</v>
      </c>
      <c r="D601" t="inlineStr">
        <is>
          <t>JÄMTLANDS LÄN</t>
        </is>
      </c>
      <c r="E601" t="inlineStr">
        <is>
          <t>HÄRJEDALEN</t>
        </is>
      </c>
      <c r="G601" t="n">
        <v>28.3</v>
      </c>
      <c r="H601" t="n">
        <v>0</v>
      </c>
      <c r="I601" t="n">
        <v>0</v>
      </c>
      <c r="J601" t="n">
        <v>0</v>
      </c>
      <c r="K601" t="n">
        <v>0</v>
      </c>
      <c r="L601" t="n">
        <v>0</v>
      </c>
      <c r="M601" t="n">
        <v>0</v>
      </c>
      <c r="N601" t="n">
        <v>0</v>
      </c>
      <c r="O601" t="n">
        <v>0</v>
      </c>
      <c r="P601" t="n">
        <v>0</v>
      </c>
      <c r="Q601" t="n">
        <v>0</v>
      </c>
      <c r="R601" s="2" t="inlineStr"/>
    </row>
    <row r="602" ht="15" customHeight="1">
      <c r="A602" t="inlineStr">
        <is>
          <t>A 39610-2021</t>
        </is>
      </c>
      <c r="B602" s="1" t="n">
        <v>44417</v>
      </c>
      <c r="C602" s="1" t="n">
        <v>45294</v>
      </c>
      <c r="D602" t="inlineStr">
        <is>
          <t>JÄMTLANDS LÄN</t>
        </is>
      </c>
      <c r="E602" t="inlineStr">
        <is>
          <t>HÄRJEDALEN</t>
        </is>
      </c>
      <c r="G602" t="n">
        <v>5.1</v>
      </c>
      <c r="H602" t="n">
        <v>0</v>
      </c>
      <c r="I602" t="n">
        <v>0</v>
      </c>
      <c r="J602" t="n">
        <v>0</v>
      </c>
      <c r="K602" t="n">
        <v>0</v>
      </c>
      <c r="L602" t="n">
        <v>0</v>
      </c>
      <c r="M602" t="n">
        <v>0</v>
      </c>
      <c r="N602" t="n">
        <v>0</v>
      </c>
      <c r="O602" t="n">
        <v>0</v>
      </c>
      <c r="P602" t="n">
        <v>0</v>
      </c>
      <c r="Q602" t="n">
        <v>0</v>
      </c>
      <c r="R602" s="2" t="inlineStr"/>
    </row>
    <row r="603" ht="15" customHeight="1">
      <c r="A603" t="inlineStr">
        <is>
          <t>A 39616-2021</t>
        </is>
      </c>
      <c r="B603" s="1" t="n">
        <v>44417</v>
      </c>
      <c r="C603" s="1" t="n">
        <v>45294</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39611-2021</t>
        </is>
      </c>
      <c r="B604" s="1" t="n">
        <v>44417</v>
      </c>
      <c r="C604" s="1" t="n">
        <v>45294</v>
      </c>
      <c r="D604" t="inlineStr">
        <is>
          <t>JÄMTLANDS LÄN</t>
        </is>
      </c>
      <c r="E604" t="inlineStr">
        <is>
          <t>HÄRJEDALEN</t>
        </is>
      </c>
      <c r="G604" t="n">
        <v>2</v>
      </c>
      <c r="H604" t="n">
        <v>0</v>
      </c>
      <c r="I604" t="n">
        <v>0</v>
      </c>
      <c r="J604" t="n">
        <v>0</v>
      </c>
      <c r="K604" t="n">
        <v>0</v>
      </c>
      <c r="L604" t="n">
        <v>0</v>
      </c>
      <c r="M604" t="n">
        <v>0</v>
      </c>
      <c r="N604" t="n">
        <v>0</v>
      </c>
      <c r="O604" t="n">
        <v>0</v>
      </c>
      <c r="P604" t="n">
        <v>0</v>
      </c>
      <c r="Q604" t="n">
        <v>0</v>
      </c>
      <c r="R604" s="2" t="inlineStr"/>
    </row>
    <row r="605" ht="15" customHeight="1">
      <c r="A605" t="inlineStr">
        <is>
          <t>A 39631-2021</t>
        </is>
      </c>
      <c r="B605" s="1" t="n">
        <v>44417</v>
      </c>
      <c r="C605" s="1" t="n">
        <v>45294</v>
      </c>
      <c r="D605" t="inlineStr">
        <is>
          <t>JÄMTLANDS LÄN</t>
        </is>
      </c>
      <c r="E605" t="inlineStr">
        <is>
          <t>HÄRJEDALEN</t>
        </is>
      </c>
      <c r="G605" t="n">
        <v>4.3</v>
      </c>
      <c r="H605" t="n">
        <v>0</v>
      </c>
      <c r="I605" t="n">
        <v>0</v>
      </c>
      <c r="J605" t="n">
        <v>0</v>
      </c>
      <c r="K605" t="n">
        <v>0</v>
      </c>
      <c r="L605" t="n">
        <v>0</v>
      </c>
      <c r="M605" t="n">
        <v>0</v>
      </c>
      <c r="N605" t="n">
        <v>0</v>
      </c>
      <c r="O605" t="n">
        <v>0</v>
      </c>
      <c r="P605" t="n">
        <v>0</v>
      </c>
      <c r="Q605" t="n">
        <v>0</v>
      </c>
      <c r="R605" s="2" t="inlineStr"/>
    </row>
    <row r="606" ht="15" customHeight="1">
      <c r="A606" t="inlineStr">
        <is>
          <t>A 39618-2021</t>
        </is>
      </c>
      <c r="B606" s="1" t="n">
        <v>44417</v>
      </c>
      <c r="C606" s="1" t="n">
        <v>45294</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39979-2021</t>
        </is>
      </c>
      <c r="B607" s="1" t="n">
        <v>44418</v>
      </c>
      <c r="C607" s="1" t="n">
        <v>45294</v>
      </c>
      <c r="D607" t="inlineStr">
        <is>
          <t>JÄMTLANDS LÄN</t>
        </is>
      </c>
      <c r="E607" t="inlineStr">
        <is>
          <t>HÄRJEDALEN</t>
        </is>
      </c>
      <c r="G607" t="n">
        <v>9</v>
      </c>
      <c r="H607" t="n">
        <v>0</v>
      </c>
      <c r="I607" t="n">
        <v>0</v>
      </c>
      <c r="J607" t="n">
        <v>0</v>
      </c>
      <c r="K607" t="n">
        <v>0</v>
      </c>
      <c r="L607" t="n">
        <v>0</v>
      </c>
      <c r="M607" t="n">
        <v>0</v>
      </c>
      <c r="N607" t="n">
        <v>0</v>
      </c>
      <c r="O607" t="n">
        <v>0</v>
      </c>
      <c r="P607" t="n">
        <v>0</v>
      </c>
      <c r="Q607" t="n">
        <v>0</v>
      </c>
      <c r="R607" s="2" t="inlineStr"/>
    </row>
    <row r="608" ht="15" customHeight="1">
      <c r="A608" t="inlineStr">
        <is>
          <t>A 39951-2021</t>
        </is>
      </c>
      <c r="B608" s="1" t="n">
        <v>44418</v>
      </c>
      <c r="C608" s="1" t="n">
        <v>45294</v>
      </c>
      <c r="D608" t="inlineStr">
        <is>
          <t>JÄMTLANDS LÄN</t>
        </is>
      </c>
      <c r="E608" t="inlineStr">
        <is>
          <t>HÄRJEDALEN</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39950-2021</t>
        </is>
      </c>
      <c r="B609" s="1" t="n">
        <v>44418</v>
      </c>
      <c r="C609" s="1" t="n">
        <v>45294</v>
      </c>
      <c r="D609" t="inlineStr">
        <is>
          <t>JÄMTLANDS LÄN</t>
        </is>
      </c>
      <c r="E609" t="inlineStr">
        <is>
          <t>HÄRJEDALEN</t>
        </is>
      </c>
      <c r="F609" t="inlineStr">
        <is>
          <t>Sveaskog</t>
        </is>
      </c>
      <c r="G609" t="n">
        <v>6.5</v>
      </c>
      <c r="H609" t="n">
        <v>0</v>
      </c>
      <c r="I609" t="n">
        <v>0</v>
      </c>
      <c r="J609" t="n">
        <v>0</v>
      </c>
      <c r="K609" t="n">
        <v>0</v>
      </c>
      <c r="L609" t="n">
        <v>0</v>
      </c>
      <c r="M609" t="n">
        <v>0</v>
      </c>
      <c r="N609" t="n">
        <v>0</v>
      </c>
      <c r="O609" t="n">
        <v>0</v>
      </c>
      <c r="P609" t="n">
        <v>0</v>
      </c>
      <c r="Q609" t="n">
        <v>0</v>
      </c>
      <c r="R609" s="2" t="inlineStr"/>
    </row>
    <row r="610" ht="15" customHeight="1">
      <c r="A610" t="inlineStr">
        <is>
          <t>A 40412-2021</t>
        </is>
      </c>
      <c r="B610" s="1" t="n">
        <v>44419</v>
      </c>
      <c r="C610" s="1" t="n">
        <v>45294</v>
      </c>
      <c r="D610" t="inlineStr">
        <is>
          <t>JÄMTLANDS LÄN</t>
        </is>
      </c>
      <c r="E610" t="inlineStr">
        <is>
          <t>HÄRJEDALEN</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40497-2021</t>
        </is>
      </c>
      <c r="B611" s="1" t="n">
        <v>44420</v>
      </c>
      <c r="C611" s="1" t="n">
        <v>45294</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40808-2021</t>
        </is>
      </c>
      <c r="B612" s="1" t="n">
        <v>44421</v>
      </c>
      <c r="C612" s="1" t="n">
        <v>45294</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41149-2021</t>
        </is>
      </c>
      <c r="B613" s="1" t="n">
        <v>44423</v>
      </c>
      <c r="C613" s="1" t="n">
        <v>45294</v>
      </c>
      <c r="D613" t="inlineStr">
        <is>
          <t>JÄMTLANDS LÄN</t>
        </is>
      </c>
      <c r="E613" t="inlineStr">
        <is>
          <t>HÄRJEDALEN</t>
        </is>
      </c>
      <c r="G613" t="n">
        <v>1.2</v>
      </c>
      <c r="H613" t="n">
        <v>0</v>
      </c>
      <c r="I613" t="n">
        <v>0</v>
      </c>
      <c r="J613" t="n">
        <v>0</v>
      </c>
      <c r="K613" t="n">
        <v>0</v>
      </c>
      <c r="L613" t="n">
        <v>0</v>
      </c>
      <c r="M613" t="n">
        <v>0</v>
      </c>
      <c r="N613" t="n">
        <v>0</v>
      </c>
      <c r="O613" t="n">
        <v>0</v>
      </c>
      <c r="P613" t="n">
        <v>0</v>
      </c>
      <c r="Q613" t="n">
        <v>0</v>
      </c>
      <c r="R613" s="2" t="inlineStr"/>
    </row>
    <row r="614" ht="15" customHeight="1">
      <c r="A614" t="inlineStr">
        <is>
          <t>A 41147-2021</t>
        </is>
      </c>
      <c r="B614" s="1" t="n">
        <v>44423</v>
      </c>
      <c r="C614" s="1" t="n">
        <v>45294</v>
      </c>
      <c r="D614" t="inlineStr">
        <is>
          <t>JÄMTLANDS LÄN</t>
        </is>
      </c>
      <c r="E614" t="inlineStr">
        <is>
          <t>HÄRJEDALEN</t>
        </is>
      </c>
      <c r="G614" t="n">
        <v>2.2</v>
      </c>
      <c r="H614" t="n">
        <v>0</v>
      </c>
      <c r="I614" t="n">
        <v>0</v>
      </c>
      <c r="J614" t="n">
        <v>0</v>
      </c>
      <c r="K614" t="n">
        <v>0</v>
      </c>
      <c r="L614" t="n">
        <v>0</v>
      </c>
      <c r="M614" t="n">
        <v>0</v>
      </c>
      <c r="N614" t="n">
        <v>0</v>
      </c>
      <c r="O614" t="n">
        <v>0</v>
      </c>
      <c r="P614" t="n">
        <v>0</v>
      </c>
      <c r="Q614" t="n">
        <v>0</v>
      </c>
      <c r="R614" s="2" t="inlineStr"/>
    </row>
    <row r="615" ht="15" customHeight="1">
      <c r="A615" t="inlineStr">
        <is>
          <t>A 41146-2021</t>
        </is>
      </c>
      <c r="B615" s="1" t="n">
        <v>44423</v>
      </c>
      <c r="C615" s="1" t="n">
        <v>45294</v>
      </c>
      <c r="D615" t="inlineStr">
        <is>
          <t>JÄMTLANDS LÄN</t>
        </is>
      </c>
      <c r="E615" t="inlineStr">
        <is>
          <t>HÄRJEDALEN</t>
        </is>
      </c>
      <c r="G615" t="n">
        <v>14.9</v>
      </c>
      <c r="H615" t="n">
        <v>0</v>
      </c>
      <c r="I615" t="n">
        <v>0</v>
      </c>
      <c r="J615" t="n">
        <v>0</v>
      </c>
      <c r="K615" t="n">
        <v>0</v>
      </c>
      <c r="L615" t="n">
        <v>0</v>
      </c>
      <c r="M615" t="n">
        <v>0</v>
      </c>
      <c r="N615" t="n">
        <v>0</v>
      </c>
      <c r="O615" t="n">
        <v>0</v>
      </c>
      <c r="P615" t="n">
        <v>0</v>
      </c>
      <c r="Q615" t="n">
        <v>0</v>
      </c>
      <c r="R615" s="2" t="inlineStr"/>
    </row>
    <row r="616" ht="15" customHeight="1">
      <c r="A616" t="inlineStr">
        <is>
          <t>A 41387-2021</t>
        </is>
      </c>
      <c r="B616" s="1" t="n">
        <v>44424</v>
      </c>
      <c r="C616" s="1" t="n">
        <v>45294</v>
      </c>
      <c r="D616" t="inlineStr">
        <is>
          <t>JÄMTLANDS LÄN</t>
        </is>
      </c>
      <c r="E616" t="inlineStr">
        <is>
          <t>HÄRJEDALEN</t>
        </is>
      </c>
      <c r="G616" t="n">
        <v>9.5</v>
      </c>
      <c r="H616" t="n">
        <v>0</v>
      </c>
      <c r="I616" t="n">
        <v>0</v>
      </c>
      <c r="J616" t="n">
        <v>0</v>
      </c>
      <c r="K616" t="n">
        <v>0</v>
      </c>
      <c r="L616" t="n">
        <v>0</v>
      </c>
      <c r="M616" t="n">
        <v>0</v>
      </c>
      <c r="N616" t="n">
        <v>0</v>
      </c>
      <c r="O616" t="n">
        <v>0</v>
      </c>
      <c r="P616" t="n">
        <v>0</v>
      </c>
      <c r="Q616" t="n">
        <v>0</v>
      </c>
      <c r="R616" s="2" t="inlineStr"/>
    </row>
    <row r="617" ht="15" customHeight="1">
      <c r="A617" t="inlineStr">
        <is>
          <t>A 41395-2021</t>
        </is>
      </c>
      <c r="B617" s="1" t="n">
        <v>44424</v>
      </c>
      <c r="C617" s="1" t="n">
        <v>45294</v>
      </c>
      <c r="D617" t="inlineStr">
        <is>
          <t>JÄMTLANDS LÄN</t>
        </is>
      </c>
      <c r="E617" t="inlineStr">
        <is>
          <t>HÄRJEDALEN</t>
        </is>
      </c>
      <c r="G617" t="n">
        <v>1.9</v>
      </c>
      <c r="H617" t="n">
        <v>0</v>
      </c>
      <c r="I617" t="n">
        <v>0</v>
      </c>
      <c r="J617" t="n">
        <v>0</v>
      </c>
      <c r="K617" t="n">
        <v>0</v>
      </c>
      <c r="L617" t="n">
        <v>0</v>
      </c>
      <c r="M617" t="n">
        <v>0</v>
      </c>
      <c r="N617" t="n">
        <v>0</v>
      </c>
      <c r="O617" t="n">
        <v>0</v>
      </c>
      <c r="P617" t="n">
        <v>0</v>
      </c>
      <c r="Q617" t="n">
        <v>0</v>
      </c>
      <c r="R617" s="2" t="inlineStr"/>
    </row>
    <row r="618" ht="15" customHeight="1">
      <c r="A618" t="inlineStr">
        <is>
          <t>A 41400-2021</t>
        </is>
      </c>
      <c r="B618" s="1" t="n">
        <v>44424</v>
      </c>
      <c r="C618" s="1" t="n">
        <v>45294</v>
      </c>
      <c r="D618" t="inlineStr">
        <is>
          <t>JÄMTLANDS LÄN</t>
        </is>
      </c>
      <c r="E618" t="inlineStr">
        <is>
          <t>HÄRJEDALEN</t>
        </is>
      </c>
      <c r="G618" t="n">
        <v>1.9</v>
      </c>
      <c r="H618" t="n">
        <v>0</v>
      </c>
      <c r="I618" t="n">
        <v>0</v>
      </c>
      <c r="J618" t="n">
        <v>0</v>
      </c>
      <c r="K618" t="n">
        <v>0</v>
      </c>
      <c r="L618" t="n">
        <v>0</v>
      </c>
      <c r="M618" t="n">
        <v>0</v>
      </c>
      <c r="N618" t="n">
        <v>0</v>
      </c>
      <c r="O618" t="n">
        <v>0</v>
      </c>
      <c r="P618" t="n">
        <v>0</v>
      </c>
      <c r="Q618" t="n">
        <v>0</v>
      </c>
      <c r="R618" s="2" t="inlineStr"/>
    </row>
    <row r="619" ht="15" customHeight="1">
      <c r="A619" t="inlineStr">
        <is>
          <t>A 41391-2021</t>
        </is>
      </c>
      <c r="B619" s="1" t="n">
        <v>44424</v>
      </c>
      <c r="C619" s="1" t="n">
        <v>45294</v>
      </c>
      <c r="D619" t="inlineStr">
        <is>
          <t>JÄMTLANDS LÄN</t>
        </is>
      </c>
      <c r="E619" t="inlineStr">
        <is>
          <t>HÄRJEDALEN</t>
        </is>
      </c>
      <c r="G619" t="n">
        <v>1.5</v>
      </c>
      <c r="H619" t="n">
        <v>0</v>
      </c>
      <c r="I619" t="n">
        <v>0</v>
      </c>
      <c r="J619" t="n">
        <v>0</v>
      </c>
      <c r="K619" t="n">
        <v>0</v>
      </c>
      <c r="L619" t="n">
        <v>0</v>
      </c>
      <c r="M619" t="n">
        <v>0</v>
      </c>
      <c r="N619" t="n">
        <v>0</v>
      </c>
      <c r="O619" t="n">
        <v>0</v>
      </c>
      <c r="P619" t="n">
        <v>0</v>
      </c>
      <c r="Q619" t="n">
        <v>0</v>
      </c>
      <c r="R619" s="2" t="inlineStr"/>
    </row>
    <row r="620" ht="15" customHeight="1">
      <c r="A620" t="inlineStr">
        <is>
          <t>A 41978-2021</t>
        </is>
      </c>
      <c r="B620" s="1" t="n">
        <v>44426</v>
      </c>
      <c r="C620" s="1" t="n">
        <v>45294</v>
      </c>
      <c r="D620" t="inlineStr">
        <is>
          <t>JÄMTLANDS LÄN</t>
        </is>
      </c>
      <c r="E620" t="inlineStr">
        <is>
          <t>HÄRJEDALEN</t>
        </is>
      </c>
      <c r="G620" t="n">
        <v>2</v>
      </c>
      <c r="H620" t="n">
        <v>0</v>
      </c>
      <c r="I620" t="n">
        <v>0</v>
      </c>
      <c r="J620" t="n">
        <v>0</v>
      </c>
      <c r="K620" t="n">
        <v>0</v>
      </c>
      <c r="L620" t="n">
        <v>0</v>
      </c>
      <c r="M620" t="n">
        <v>0</v>
      </c>
      <c r="N620" t="n">
        <v>0</v>
      </c>
      <c r="O620" t="n">
        <v>0</v>
      </c>
      <c r="P620" t="n">
        <v>0</v>
      </c>
      <c r="Q620" t="n">
        <v>0</v>
      </c>
      <c r="R620" s="2" t="inlineStr"/>
    </row>
    <row r="621" ht="15" customHeight="1">
      <c r="A621" t="inlineStr">
        <is>
          <t>A 42827-2021</t>
        </is>
      </c>
      <c r="B621" s="1" t="n">
        <v>44430</v>
      </c>
      <c r="C621" s="1" t="n">
        <v>45294</v>
      </c>
      <c r="D621" t="inlineStr">
        <is>
          <t>JÄMTLANDS LÄN</t>
        </is>
      </c>
      <c r="E621" t="inlineStr">
        <is>
          <t>HÄRJEDALEN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44519-2021</t>
        </is>
      </c>
      <c r="B622" s="1" t="n">
        <v>44435</v>
      </c>
      <c r="C622" s="1" t="n">
        <v>45294</v>
      </c>
      <c r="D622" t="inlineStr">
        <is>
          <t>JÄMTLANDS LÄN</t>
        </is>
      </c>
      <c r="E622" t="inlineStr">
        <is>
          <t>HÄRJEDALEN</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45409-2021</t>
        </is>
      </c>
      <c r="B623" s="1" t="n">
        <v>44440</v>
      </c>
      <c r="C623" s="1" t="n">
        <v>45294</v>
      </c>
      <c r="D623" t="inlineStr">
        <is>
          <t>JÄMTLANDS LÄN</t>
        </is>
      </c>
      <c r="E623" t="inlineStr">
        <is>
          <t>HÄRJEDALEN</t>
        </is>
      </c>
      <c r="G623" t="n">
        <v>18.9</v>
      </c>
      <c r="H623" t="n">
        <v>0</v>
      </c>
      <c r="I623" t="n">
        <v>0</v>
      </c>
      <c r="J623" t="n">
        <v>0</v>
      </c>
      <c r="K623" t="n">
        <v>0</v>
      </c>
      <c r="L623" t="n">
        <v>0</v>
      </c>
      <c r="M623" t="n">
        <v>0</v>
      </c>
      <c r="N623" t="n">
        <v>0</v>
      </c>
      <c r="O623" t="n">
        <v>0</v>
      </c>
      <c r="P623" t="n">
        <v>0</v>
      </c>
      <c r="Q623" t="n">
        <v>0</v>
      </c>
      <c r="R623" s="2" t="inlineStr"/>
    </row>
    <row r="624" ht="15" customHeight="1">
      <c r="A624" t="inlineStr">
        <is>
          <t>A 45363-2021</t>
        </is>
      </c>
      <c r="B624" s="1" t="n">
        <v>44440</v>
      </c>
      <c r="C624" s="1" t="n">
        <v>45294</v>
      </c>
      <c r="D624" t="inlineStr">
        <is>
          <t>JÄMTLANDS LÄN</t>
        </is>
      </c>
      <c r="E624" t="inlineStr">
        <is>
          <t>HÄRJEDALEN</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45557-2021</t>
        </is>
      </c>
      <c r="B625" s="1" t="n">
        <v>44440</v>
      </c>
      <c r="C625" s="1" t="n">
        <v>45294</v>
      </c>
      <c r="D625" t="inlineStr">
        <is>
          <t>JÄMTLANDS LÄN</t>
        </is>
      </c>
      <c r="E625" t="inlineStr">
        <is>
          <t>HÄRJEDALEN</t>
        </is>
      </c>
      <c r="G625" t="n">
        <v>11.4</v>
      </c>
      <c r="H625" t="n">
        <v>0</v>
      </c>
      <c r="I625" t="n">
        <v>0</v>
      </c>
      <c r="J625" t="n">
        <v>0</v>
      </c>
      <c r="K625" t="n">
        <v>0</v>
      </c>
      <c r="L625" t="n">
        <v>0</v>
      </c>
      <c r="M625" t="n">
        <v>0</v>
      </c>
      <c r="N625" t="n">
        <v>0</v>
      </c>
      <c r="O625" t="n">
        <v>0</v>
      </c>
      <c r="P625" t="n">
        <v>0</v>
      </c>
      <c r="Q625" t="n">
        <v>0</v>
      </c>
      <c r="R625" s="2" t="inlineStr"/>
    </row>
    <row r="626" ht="15" customHeight="1">
      <c r="A626" t="inlineStr">
        <is>
          <t>A 45365-2021</t>
        </is>
      </c>
      <c r="B626" s="1" t="n">
        <v>44440</v>
      </c>
      <c r="C626" s="1" t="n">
        <v>45294</v>
      </c>
      <c r="D626" t="inlineStr">
        <is>
          <t>JÄMTLANDS LÄN</t>
        </is>
      </c>
      <c r="E626" t="inlineStr">
        <is>
          <t>HÄRJEDALEN</t>
        </is>
      </c>
      <c r="F626" t="inlineStr">
        <is>
          <t>Sveaskog</t>
        </is>
      </c>
      <c r="G626" t="n">
        <v>4.8</v>
      </c>
      <c r="H626" t="n">
        <v>0</v>
      </c>
      <c r="I626" t="n">
        <v>0</v>
      </c>
      <c r="J626" t="n">
        <v>0</v>
      </c>
      <c r="K626" t="n">
        <v>0</v>
      </c>
      <c r="L626" t="n">
        <v>0</v>
      </c>
      <c r="M626" t="n">
        <v>0</v>
      </c>
      <c r="N626" t="n">
        <v>0</v>
      </c>
      <c r="O626" t="n">
        <v>0</v>
      </c>
      <c r="P626" t="n">
        <v>0</v>
      </c>
      <c r="Q626" t="n">
        <v>0</v>
      </c>
      <c r="R626" s="2" t="inlineStr"/>
    </row>
    <row r="627" ht="15" customHeight="1">
      <c r="A627" t="inlineStr">
        <is>
          <t>A 45717-2021</t>
        </is>
      </c>
      <c r="B627" s="1" t="n">
        <v>44441</v>
      </c>
      <c r="C627" s="1" t="n">
        <v>45294</v>
      </c>
      <c r="D627" t="inlineStr">
        <is>
          <t>JÄMTLANDS LÄN</t>
        </is>
      </c>
      <c r="E627" t="inlineStr">
        <is>
          <t>HÄRJEDALEN</t>
        </is>
      </c>
      <c r="G627" t="n">
        <v>1</v>
      </c>
      <c r="H627" t="n">
        <v>0</v>
      </c>
      <c r="I627" t="n">
        <v>0</v>
      </c>
      <c r="J627" t="n">
        <v>0</v>
      </c>
      <c r="K627" t="n">
        <v>0</v>
      </c>
      <c r="L627" t="n">
        <v>0</v>
      </c>
      <c r="M627" t="n">
        <v>0</v>
      </c>
      <c r="N627" t="n">
        <v>0</v>
      </c>
      <c r="O627" t="n">
        <v>0</v>
      </c>
      <c r="P627" t="n">
        <v>0</v>
      </c>
      <c r="Q627" t="n">
        <v>0</v>
      </c>
      <c r="R627" s="2" t="inlineStr"/>
    </row>
    <row r="628" ht="15" customHeight="1">
      <c r="A628" t="inlineStr">
        <is>
          <t>A 45744-2021</t>
        </is>
      </c>
      <c r="B628" s="1" t="n">
        <v>44441</v>
      </c>
      <c r="C628" s="1" t="n">
        <v>45294</v>
      </c>
      <c r="D628" t="inlineStr">
        <is>
          <t>JÄMTLANDS LÄN</t>
        </is>
      </c>
      <c r="E628" t="inlineStr">
        <is>
          <t>HÄRJEDALEN</t>
        </is>
      </c>
      <c r="F628" t="inlineStr">
        <is>
          <t>Holmen skog AB</t>
        </is>
      </c>
      <c r="G628" t="n">
        <v>6.9</v>
      </c>
      <c r="H628" t="n">
        <v>0</v>
      </c>
      <c r="I628" t="n">
        <v>0</v>
      </c>
      <c r="J628" t="n">
        <v>0</v>
      </c>
      <c r="K628" t="n">
        <v>0</v>
      </c>
      <c r="L628" t="n">
        <v>0</v>
      </c>
      <c r="M628" t="n">
        <v>0</v>
      </c>
      <c r="N628" t="n">
        <v>0</v>
      </c>
      <c r="O628" t="n">
        <v>0</v>
      </c>
      <c r="P628" t="n">
        <v>0</v>
      </c>
      <c r="Q628" t="n">
        <v>0</v>
      </c>
      <c r="R628" s="2" t="inlineStr"/>
    </row>
    <row r="629" ht="15" customHeight="1">
      <c r="A629" t="inlineStr">
        <is>
          <t>A 46352-2021</t>
        </is>
      </c>
      <c r="B629" s="1" t="n">
        <v>44442</v>
      </c>
      <c r="C629" s="1" t="n">
        <v>45294</v>
      </c>
      <c r="D629" t="inlineStr">
        <is>
          <t>JÄMTLANDS LÄN</t>
        </is>
      </c>
      <c r="E629" t="inlineStr">
        <is>
          <t>HÄRJEDALEN</t>
        </is>
      </c>
      <c r="G629" t="n">
        <v>4.4</v>
      </c>
      <c r="H629" t="n">
        <v>0</v>
      </c>
      <c r="I629" t="n">
        <v>0</v>
      </c>
      <c r="J629" t="n">
        <v>0</v>
      </c>
      <c r="K629" t="n">
        <v>0</v>
      </c>
      <c r="L629" t="n">
        <v>0</v>
      </c>
      <c r="M629" t="n">
        <v>0</v>
      </c>
      <c r="N629" t="n">
        <v>0</v>
      </c>
      <c r="O629" t="n">
        <v>0</v>
      </c>
      <c r="P629" t="n">
        <v>0</v>
      </c>
      <c r="Q629" t="n">
        <v>0</v>
      </c>
      <c r="R629" s="2" t="inlineStr"/>
    </row>
    <row r="630" ht="15" customHeight="1">
      <c r="A630" t="inlineStr">
        <is>
          <t>A 47289-2021</t>
        </is>
      </c>
      <c r="B630" s="1" t="n">
        <v>44447</v>
      </c>
      <c r="C630" s="1" t="n">
        <v>45294</v>
      </c>
      <c r="D630" t="inlineStr">
        <is>
          <t>JÄMTLANDS LÄN</t>
        </is>
      </c>
      <c r="E630" t="inlineStr">
        <is>
          <t>HÄRJEDALEN</t>
        </is>
      </c>
      <c r="F630" t="inlineStr">
        <is>
          <t>Holmen skog AB</t>
        </is>
      </c>
      <c r="G630" t="n">
        <v>31.7</v>
      </c>
      <c r="H630" t="n">
        <v>0</v>
      </c>
      <c r="I630" t="n">
        <v>0</v>
      </c>
      <c r="J630" t="n">
        <v>0</v>
      </c>
      <c r="K630" t="n">
        <v>0</v>
      </c>
      <c r="L630" t="n">
        <v>0</v>
      </c>
      <c r="M630" t="n">
        <v>0</v>
      </c>
      <c r="N630" t="n">
        <v>0</v>
      </c>
      <c r="O630" t="n">
        <v>0</v>
      </c>
      <c r="P630" t="n">
        <v>0</v>
      </c>
      <c r="Q630" t="n">
        <v>0</v>
      </c>
      <c r="R630" s="2" t="inlineStr"/>
    </row>
    <row r="631" ht="15" customHeight="1">
      <c r="A631" t="inlineStr">
        <is>
          <t>A 48065-2021</t>
        </is>
      </c>
      <c r="B631" s="1" t="n">
        <v>44449</v>
      </c>
      <c r="C631" s="1" t="n">
        <v>45294</v>
      </c>
      <c r="D631" t="inlineStr">
        <is>
          <t>JÄMTLANDS LÄN</t>
        </is>
      </c>
      <c r="E631" t="inlineStr">
        <is>
          <t>HÄRJEDALEN</t>
        </is>
      </c>
      <c r="G631" t="n">
        <v>24.8</v>
      </c>
      <c r="H631" t="n">
        <v>0</v>
      </c>
      <c r="I631" t="n">
        <v>0</v>
      </c>
      <c r="J631" t="n">
        <v>0</v>
      </c>
      <c r="K631" t="n">
        <v>0</v>
      </c>
      <c r="L631" t="n">
        <v>0</v>
      </c>
      <c r="M631" t="n">
        <v>0</v>
      </c>
      <c r="N631" t="n">
        <v>0</v>
      </c>
      <c r="O631" t="n">
        <v>0</v>
      </c>
      <c r="P631" t="n">
        <v>0</v>
      </c>
      <c r="Q631" t="n">
        <v>0</v>
      </c>
      <c r="R631" s="2" t="inlineStr"/>
    </row>
    <row r="632" ht="15" customHeight="1">
      <c r="A632" t="inlineStr">
        <is>
          <t>A 48079-2021</t>
        </is>
      </c>
      <c r="B632" s="1" t="n">
        <v>44449</v>
      </c>
      <c r="C632" s="1" t="n">
        <v>45294</v>
      </c>
      <c r="D632" t="inlineStr">
        <is>
          <t>JÄMTLANDS LÄN</t>
        </is>
      </c>
      <c r="E632" t="inlineStr">
        <is>
          <t>HÄRJEDALEN</t>
        </is>
      </c>
      <c r="G632" t="n">
        <v>12.5</v>
      </c>
      <c r="H632" t="n">
        <v>0</v>
      </c>
      <c r="I632" t="n">
        <v>0</v>
      </c>
      <c r="J632" t="n">
        <v>0</v>
      </c>
      <c r="K632" t="n">
        <v>0</v>
      </c>
      <c r="L632" t="n">
        <v>0</v>
      </c>
      <c r="M632" t="n">
        <v>0</v>
      </c>
      <c r="N632" t="n">
        <v>0</v>
      </c>
      <c r="O632" t="n">
        <v>0</v>
      </c>
      <c r="P632" t="n">
        <v>0</v>
      </c>
      <c r="Q632" t="n">
        <v>0</v>
      </c>
      <c r="R632" s="2" t="inlineStr"/>
    </row>
    <row r="633" ht="15" customHeight="1">
      <c r="A633" t="inlineStr">
        <is>
          <t>A 48132-2021</t>
        </is>
      </c>
      <c r="B633" s="1" t="n">
        <v>44449</v>
      </c>
      <c r="C633" s="1" t="n">
        <v>45294</v>
      </c>
      <c r="D633" t="inlineStr">
        <is>
          <t>JÄMTLANDS LÄN</t>
        </is>
      </c>
      <c r="E633" t="inlineStr">
        <is>
          <t>HÄRJEDALEN</t>
        </is>
      </c>
      <c r="F633" t="inlineStr">
        <is>
          <t>Holmen skog AB</t>
        </is>
      </c>
      <c r="G633" t="n">
        <v>3.8</v>
      </c>
      <c r="H633" t="n">
        <v>0</v>
      </c>
      <c r="I633" t="n">
        <v>0</v>
      </c>
      <c r="J633" t="n">
        <v>0</v>
      </c>
      <c r="K633" t="n">
        <v>0</v>
      </c>
      <c r="L633" t="n">
        <v>0</v>
      </c>
      <c r="M633" t="n">
        <v>0</v>
      </c>
      <c r="N633" t="n">
        <v>0</v>
      </c>
      <c r="O633" t="n">
        <v>0</v>
      </c>
      <c r="P633" t="n">
        <v>0</v>
      </c>
      <c r="Q633" t="n">
        <v>0</v>
      </c>
      <c r="R633" s="2" t="inlineStr"/>
    </row>
    <row r="634" ht="15" customHeight="1">
      <c r="A634" t="inlineStr">
        <is>
          <t>A 48142-2021</t>
        </is>
      </c>
      <c r="B634" s="1" t="n">
        <v>44449</v>
      </c>
      <c r="C634" s="1" t="n">
        <v>45294</v>
      </c>
      <c r="D634" t="inlineStr">
        <is>
          <t>JÄMTLANDS LÄN</t>
        </is>
      </c>
      <c r="E634" t="inlineStr">
        <is>
          <t>HÄRJEDALEN</t>
        </is>
      </c>
      <c r="F634" t="inlineStr">
        <is>
          <t>Holmen skog AB</t>
        </is>
      </c>
      <c r="G634" t="n">
        <v>3.8</v>
      </c>
      <c r="H634" t="n">
        <v>0</v>
      </c>
      <c r="I634" t="n">
        <v>0</v>
      </c>
      <c r="J634" t="n">
        <v>0</v>
      </c>
      <c r="K634" t="n">
        <v>0</v>
      </c>
      <c r="L634" t="n">
        <v>0</v>
      </c>
      <c r="M634" t="n">
        <v>0</v>
      </c>
      <c r="N634" t="n">
        <v>0</v>
      </c>
      <c r="O634" t="n">
        <v>0</v>
      </c>
      <c r="P634" t="n">
        <v>0</v>
      </c>
      <c r="Q634" t="n">
        <v>0</v>
      </c>
      <c r="R634" s="2" t="inlineStr"/>
    </row>
    <row r="635" ht="15" customHeight="1">
      <c r="A635" t="inlineStr">
        <is>
          <t>A 48444-2021</t>
        </is>
      </c>
      <c r="B635" s="1" t="n">
        <v>44452</v>
      </c>
      <c r="C635" s="1" t="n">
        <v>45294</v>
      </c>
      <c r="D635" t="inlineStr">
        <is>
          <t>JÄMTLANDS LÄN</t>
        </is>
      </c>
      <c r="E635" t="inlineStr">
        <is>
          <t>HÄRJEDALEN</t>
        </is>
      </c>
      <c r="F635" t="inlineStr">
        <is>
          <t>Holmen skog AB</t>
        </is>
      </c>
      <c r="G635" t="n">
        <v>7.4</v>
      </c>
      <c r="H635" t="n">
        <v>0</v>
      </c>
      <c r="I635" t="n">
        <v>0</v>
      </c>
      <c r="J635" t="n">
        <v>0</v>
      </c>
      <c r="K635" t="n">
        <v>0</v>
      </c>
      <c r="L635" t="n">
        <v>0</v>
      </c>
      <c r="M635" t="n">
        <v>0</v>
      </c>
      <c r="N635" t="n">
        <v>0</v>
      </c>
      <c r="O635" t="n">
        <v>0</v>
      </c>
      <c r="P635" t="n">
        <v>0</v>
      </c>
      <c r="Q635" t="n">
        <v>0</v>
      </c>
      <c r="R635" s="2" t="inlineStr"/>
    </row>
    <row r="636" ht="15" customHeight="1">
      <c r="A636" t="inlineStr">
        <is>
          <t>A 48586-2021</t>
        </is>
      </c>
      <c r="B636" s="1" t="n">
        <v>44452</v>
      </c>
      <c r="C636" s="1" t="n">
        <v>45294</v>
      </c>
      <c r="D636" t="inlineStr">
        <is>
          <t>JÄMTLANDS LÄN</t>
        </is>
      </c>
      <c r="E636" t="inlineStr">
        <is>
          <t>HÄRJEDALEN</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48769-2021</t>
        </is>
      </c>
      <c r="B637" s="1" t="n">
        <v>44452</v>
      </c>
      <c r="C637" s="1" t="n">
        <v>45294</v>
      </c>
      <c r="D637" t="inlineStr">
        <is>
          <t>JÄMTLANDS LÄN</t>
        </is>
      </c>
      <c r="E637" t="inlineStr">
        <is>
          <t>HÄRJEDALEN</t>
        </is>
      </c>
      <c r="F637" t="inlineStr">
        <is>
          <t>Holmen skog AB</t>
        </is>
      </c>
      <c r="G637" t="n">
        <v>2.3</v>
      </c>
      <c r="H637" t="n">
        <v>0</v>
      </c>
      <c r="I637" t="n">
        <v>0</v>
      </c>
      <c r="J637" t="n">
        <v>0</v>
      </c>
      <c r="K637" t="n">
        <v>0</v>
      </c>
      <c r="L637" t="n">
        <v>0</v>
      </c>
      <c r="M637" t="n">
        <v>0</v>
      </c>
      <c r="N637" t="n">
        <v>0</v>
      </c>
      <c r="O637" t="n">
        <v>0</v>
      </c>
      <c r="P637" t="n">
        <v>0</v>
      </c>
      <c r="Q637" t="n">
        <v>0</v>
      </c>
      <c r="R637" s="2" t="inlineStr"/>
    </row>
    <row r="638" ht="15" customHeight="1">
      <c r="A638" t="inlineStr">
        <is>
          <t>A 48681-2021</t>
        </is>
      </c>
      <c r="B638" s="1" t="n">
        <v>44452</v>
      </c>
      <c r="C638" s="1" t="n">
        <v>45294</v>
      </c>
      <c r="D638" t="inlineStr">
        <is>
          <t>JÄMTLANDS LÄN</t>
        </is>
      </c>
      <c r="E638" t="inlineStr">
        <is>
          <t>HÄRJEDALEN</t>
        </is>
      </c>
      <c r="F638" t="inlineStr">
        <is>
          <t>Holmen skog AB</t>
        </is>
      </c>
      <c r="G638" t="n">
        <v>3.7</v>
      </c>
      <c r="H638" t="n">
        <v>0</v>
      </c>
      <c r="I638" t="n">
        <v>0</v>
      </c>
      <c r="J638" t="n">
        <v>0</v>
      </c>
      <c r="K638" t="n">
        <v>0</v>
      </c>
      <c r="L638" t="n">
        <v>0</v>
      </c>
      <c r="M638" t="n">
        <v>0</v>
      </c>
      <c r="N638" t="n">
        <v>0</v>
      </c>
      <c r="O638" t="n">
        <v>0</v>
      </c>
      <c r="P638" t="n">
        <v>0</v>
      </c>
      <c r="Q638" t="n">
        <v>0</v>
      </c>
      <c r="R638" s="2" t="inlineStr"/>
    </row>
    <row r="639" ht="15" customHeight="1">
      <c r="A639" t="inlineStr">
        <is>
          <t>A 50775-2021</t>
        </is>
      </c>
      <c r="B639" s="1" t="n">
        <v>44460</v>
      </c>
      <c r="C639" s="1" t="n">
        <v>45294</v>
      </c>
      <c r="D639" t="inlineStr">
        <is>
          <t>JÄMTLANDS LÄN</t>
        </is>
      </c>
      <c r="E639" t="inlineStr">
        <is>
          <t>HÄRJEDALEN</t>
        </is>
      </c>
      <c r="F639" t="inlineStr">
        <is>
          <t>Bergvik skog väst AB</t>
        </is>
      </c>
      <c r="G639" t="n">
        <v>4.9</v>
      </c>
      <c r="H639" t="n">
        <v>0</v>
      </c>
      <c r="I639" t="n">
        <v>0</v>
      </c>
      <c r="J639" t="n">
        <v>0</v>
      </c>
      <c r="K639" t="n">
        <v>0</v>
      </c>
      <c r="L639" t="n">
        <v>0</v>
      </c>
      <c r="M639" t="n">
        <v>0</v>
      </c>
      <c r="N639" t="n">
        <v>0</v>
      </c>
      <c r="O639" t="n">
        <v>0</v>
      </c>
      <c r="P639" t="n">
        <v>0</v>
      </c>
      <c r="Q639" t="n">
        <v>0</v>
      </c>
      <c r="R639" s="2" t="inlineStr"/>
    </row>
    <row r="640" ht="15" customHeight="1">
      <c r="A640" t="inlineStr">
        <is>
          <t>A 52685-2021</t>
        </is>
      </c>
      <c r="B640" s="1" t="n">
        <v>44466</v>
      </c>
      <c r="C640" s="1" t="n">
        <v>45294</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54103-2021</t>
        </is>
      </c>
      <c r="B641" s="1" t="n">
        <v>44470</v>
      </c>
      <c r="C641" s="1" t="n">
        <v>45294</v>
      </c>
      <c r="D641" t="inlineStr">
        <is>
          <t>JÄMTLANDS LÄN</t>
        </is>
      </c>
      <c r="E641" t="inlineStr">
        <is>
          <t>HÄRJEDALEN</t>
        </is>
      </c>
      <c r="F641" t="inlineStr">
        <is>
          <t>Holmen skog AB</t>
        </is>
      </c>
      <c r="G641" t="n">
        <v>11.9</v>
      </c>
      <c r="H641" t="n">
        <v>0</v>
      </c>
      <c r="I641" t="n">
        <v>0</v>
      </c>
      <c r="J641" t="n">
        <v>0</v>
      </c>
      <c r="K641" t="n">
        <v>0</v>
      </c>
      <c r="L641" t="n">
        <v>0</v>
      </c>
      <c r="M641" t="n">
        <v>0</v>
      </c>
      <c r="N641" t="n">
        <v>0</v>
      </c>
      <c r="O641" t="n">
        <v>0</v>
      </c>
      <c r="P641" t="n">
        <v>0</v>
      </c>
      <c r="Q641" t="n">
        <v>0</v>
      </c>
      <c r="R641" s="2" t="inlineStr"/>
    </row>
    <row r="642" ht="15" customHeight="1">
      <c r="A642" t="inlineStr">
        <is>
          <t>A 54218-2021</t>
        </is>
      </c>
      <c r="B642" s="1" t="n">
        <v>44470</v>
      </c>
      <c r="C642" s="1" t="n">
        <v>45294</v>
      </c>
      <c r="D642" t="inlineStr">
        <is>
          <t>JÄMTLANDS LÄN</t>
        </is>
      </c>
      <c r="E642" t="inlineStr">
        <is>
          <t>HÄRJEDALEN</t>
        </is>
      </c>
      <c r="F642" t="inlineStr">
        <is>
          <t>Holmen skog AB</t>
        </is>
      </c>
      <c r="G642" t="n">
        <v>4.6</v>
      </c>
      <c r="H642" t="n">
        <v>0</v>
      </c>
      <c r="I642" t="n">
        <v>0</v>
      </c>
      <c r="J642" t="n">
        <v>0</v>
      </c>
      <c r="K642" t="n">
        <v>0</v>
      </c>
      <c r="L642" t="n">
        <v>0</v>
      </c>
      <c r="M642" t="n">
        <v>0</v>
      </c>
      <c r="N642" t="n">
        <v>0</v>
      </c>
      <c r="O642" t="n">
        <v>0</v>
      </c>
      <c r="P642" t="n">
        <v>0</v>
      </c>
      <c r="Q642" t="n">
        <v>0</v>
      </c>
      <c r="R642" s="2" t="inlineStr"/>
    </row>
    <row r="643" ht="15" customHeight="1">
      <c r="A643" t="inlineStr">
        <is>
          <t>A 54331-2021</t>
        </is>
      </c>
      <c r="B643" s="1" t="n">
        <v>44472</v>
      </c>
      <c r="C643" s="1" t="n">
        <v>45294</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54420-2021</t>
        </is>
      </c>
      <c r="B644" s="1" t="n">
        <v>44473</v>
      </c>
      <c r="C644" s="1" t="n">
        <v>45294</v>
      </c>
      <c r="D644" t="inlineStr">
        <is>
          <t>JÄMTLANDS LÄN</t>
        </is>
      </c>
      <c r="E644" t="inlineStr">
        <is>
          <t>HÄRJEDALEN</t>
        </is>
      </c>
      <c r="F644" t="inlineStr">
        <is>
          <t>Bergvik skog väst AB</t>
        </is>
      </c>
      <c r="G644" t="n">
        <v>18.5</v>
      </c>
      <c r="H644" t="n">
        <v>0</v>
      </c>
      <c r="I644" t="n">
        <v>0</v>
      </c>
      <c r="J644" t="n">
        <v>0</v>
      </c>
      <c r="K644" t="n">
        <v>0</v>
      </c>
      <c r="L644" t="n">
        <v>0</v>
      </c>
      <c r="M644" t="n">
        <v>0</v>
      </c>
      <c r="N644" t="n">
        <v>0</v>
      </c>
      <c r="O644" t="n">
        <v>0</v>
      </c>
      <c r="P644" t="n">
        <v>0</v>
      </c>
      <c r="Q644" t="n">
        <v>0</v>
      </c>
      <c r="R644" s="2" t="inlineStr"/>
    </row>
    <row r="645" ht="15" customHeight="1">
      <c r="A645" t="inlineStr">
        <is>
          <t>A 54842-2021</t>
        </is>
      </c>
      <c r="B645" s="1" t="n">
        <v>44473</v>
      </c>
      <c r="C645" s="1" t="n">
        <v>45294</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55029-2021</t>
        </is>
      </c>
      <c r="B646" s="1" t="n">
        <v>44474</v>
      </c>
      <c r="C646" s="1" t="n">
        <v>45294</v>
      </c>
      <c r="D646" t="inlineStr">
        <is>
          <t>JÄMTLANDS LÄN</t>
        </is>
      </c>
      <c r="E646" t="inlineStr">
        <is>
          <t>HÄRJEDALEN</t>
        </is>
      </c>
      <c r="G646" t="n">
        <v>6.2</v>
      </c>
      <c r="H646" t="n">
        <v>0</v>
      </c>
      <c r="I646" t="n">
        <v>0</v>
      </c>
      <c r="J646" t="n">
        <v>0</v>
      </c>
      <c r="K646" t="n">
        <v>0</v>
      </c>
      <c r="L646" t="n">
        <v>0</v>
      </c>
      <c r="M646" t="n">
        <v>0</v>
      </c>
      <c r="N646" t="n">
        <v>0</v>
      </c>
      <c r="O646" t="n">
        <v>0</v>
      </c>
      <c r="P646" t="n">
        <v>0</v>
      </c>
      <c r="Q646" t="n">
        <v>0</v>
      </c>
      <c r="R646" s="2" t="inlineStr"/>
    </row>
    <row r="647" ht="15" customHeight="1">
      <c r="A647" t="inlineStr">
        <is>
          <t>A 55219-2021</t>
        </is>
      </c>
      <c r="B647" s="1" t="n">
        <v>44475</v>
      </c>
      <c r="C647" s="1" t="n">
        <v>45294</v>
      </c>
      <c r="D647" t="inlineStr">
        <is>
          <t>JÄMTLANDS LÄN</t>
        </is>
      </c>
      <c r="E647" t="inlineStr">
        <is>
          <t>HÄRJEDALEN</t>
        </is>
      </c>
      <c r="G647" t="n">
        <v>2.5</v>
      </c>
      <c r="H647" t="n">
        <v>0</v>
      </c>
      <c r="I647" t="n">
        <v>0</v>
      </c>
      <c r="J647" t="n">
        <v>0</v>
      </c>
      <c r="K647" t="n">
        <v>0</v>
      </c>
      <c r="L647" t="n">
        <v>0</v>
      </c>
      <c r="M647" t="n">
        <v>0</v>
      </c>
      <c r="N647" t="n">
        <v>0</v>
      </c>
      <c r="O647" t="n">
        <v>0</v>
      </c>
      <c r="P647" t="n">
        <v>0</v>
      </c>
      <c r="Q647" t="n">
        <v>0</v>
      </c>
      <c r="R647" s="2" t="inlineStr"/>
    </row>
    <row r="648" ht="15" customHeight="1">
      <c r="A648" t="inlineStr">
        <is>
          <t>A 55226-2021</t>
        </is>
      </c>
      <c r="B648" s="1" t="n">
        <v>44475</v>
      </c>
      <c r="C648" s="1" t="n">
        <v>45294</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55232-2021</t>
        </is>
      </c>
      <c r="B649" s="1" t="n">
        <v>44475</v>
      </c>
      <c r="C649" s="1" t="n">
        <v>45294</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55250-2021</t>
        </is>
      </c>
      <c r="B650" s="1" t="n">
        <v>44475</v>
      </c>
      <c r="C650" s="1" t="n">
        <v>45294</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55231-2021</t>
        </is>
      </c>
      <c r="B651" s="1" t="n">
        <v>44475</v>
      </c>
      <c r="C651" s="1" t="n">
        <v>45294</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55238-2021</t>
        </is>
      </c>
      <c r="B652" s="1" t="n">
        <v>44475</v>
      </c>
      <c r="C652" s="1" t="n">
        <v>45294</v>
      </c>
      <c r="D652" t="inlineStr">
        <is>
          <t>JÄMTLANDS LÄN</t>
        </is>
      </c>
      <c r="E652" t="inlineStr">
        <is>
          <t>HÄRJEDALEN</t>
        </is>
      </c>
      <c r="G652" t="n">
        <v>2.2</v>
      </c>
      <c r="H652" t="n">
        <v>0</v>
      </c>
      <c r="I652" t="n">
        <v>0</v>
      </c>
      <c r="J652" t="n">
        <v>0</v>
      </c>
      <c r="K652" t="n">
        <v>0</v>
      </c>
      <c r="L652" t="n">
        <v>0</v>
      </c>
      <c r="M652" t="n">
        <v>0</v>
      </c>
      <c r="N652" t="n">
        <v>0</v>
      </c>
      <c r="O652" t="n">
        <v>0</v>
      </c>
      <c r="P652" t="n">
        <v>0</v>
      </c>
      <c r="Q652" t="n">
        <v>0</v>
      </c>
      <c r="R652" s="2" t="inlineStr"/>
    </row>
    <row r="653" ht="15" customHeight="1">
      <c r="A653" t="inlineStr">
        <is>
          <t>A 55242-2021</t>
        </is>
      </c>
      <c r="B653" s="1" t="n">
        <v>44475</v>
      </c>
      <c r="C653" s="1" t="n">
        <v>45294</v>
      </c>
      <c r="D653" t="inlineStr">
        <is>
          <t>JÄMTLANDS LÄN</t>
        </is>
      </c>
      <c r="E653" t="inlineStr">
        <is>
          <t>HÄRJEDALEN</t>
        </is>
      </c>
      <c r="G653" t="n">
        <v>26</v>
      </c>
      <c r="H653" t="n">
        <v>0</v>
      </c>
      <c r="I653" t="n">
        <v>0</v>
      </c>
      <c r="J653" t="n">
        <v>0</v>
      </c>
      <c r="K653" t="n">
        <v>0</v>
      </c>
      <c r="L653" t="n">
        <v>0</v>
      </c>
      <c r="M653" t="n">
        <v>0</v>
      </c>
      <c r="N653" t="n">
        <v>0</v>
      </c>
      <c r="O653" t="n">
        <v>0</v>
      </c>
      <c r="P653" t="n">
        <v>0</v>
      </c>
      <c r="Q653" t="n">
        <v>0</v>
      </c>
      <c r="R653" s="2" t="inlineStr"/>
    </row>
    <row r="654" ht="15" customHeight="1">
      <c r="A654" t="inlineStr">
        <is>
          <t>A 55252-2021</t>
        </is>
      </c>
      <c r="B654" s="1" t="n">
        <v>44475</v>
      </c>
      <c r="C654" s="1" t="n">
        <v>45294</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55257-2021</t>
        </is>
      </c>
      <c r="B655" s="1" t="n">
        <v>44475</v>
      </c>
      <c r="C655" s="1" t="n">
        <v>45294</v>
      </c>
      <c r="D655" t="inlineStr">
        <is>
          <t>JÄMTLANDS LÄN</t>
        </is>
      </c>
      <c r="E655" t="inlineStr">
        <is>
          <t>HÄRJEDALEN</t>
        </is>
      </c>
      <c r="G655" t="n">
        <v>0</v>
      </c>
      <c r="H655" t="n">
        <v>0</v>
      </c>
      <c r="I655" t="n">
        <v>0</v>
      </c>
      <c r="J655" t="n">
        <v>0</v>
      </c>
      <c r="K655" t="n">
        <v>0</v>
      </c>
      <c r="L655" t="n">
        <v>0</v>
      </c>
      <c r="M655" t="n">
        <v>0</v>
      </c>
      <c r="N655" t="n">
        <v>0</v>
      </c>
      <c r="O655" t="n">
        <v>0</v>
      </c>
      <c r="P655" t="n">
        <v>0</v>
      </c>
      <c r="Q655" t="n">
        <v>0</v>
      </c>
      <c r="R655" s="2" t="inlineStr"/>
    </row>
    <row r="656" ht="15" customHeight="1">
      <c r="A656" t="inlineStr">
        <is>
          <t>A 55255-2021</t>
        </is>
      </c>
      <c r="B656" s="1" t="n">
        <v>44475</v>
      </c>
      <c r="C656" s="1" t="n">
        <v>45294</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55246-2021</t>
        </is>
      </c>
      <c r="B657" s="1" t="n">
        <v>44475</v>
      </c>
      <c r="C657" s="1" t="n">
        <v>45294</v>
      </c>
      <c r="D657" t="inlineStr">
        <is>
          <t>JÄMTLANDS LÄN</t>
        </is>
      </c>
      <c r="E657" t="inlineStr">
        <is>
          <t>HÄRJEDALEN</t>
        </is>
      </c>
      <c r="G657" t="n">
        <v>3.8</v>
      </c>
      <c r="H657" t="n">
        <v>0</v>
      </c>
      <c r="I657" t="n">
        <v>0</v>
      </c>
      <c r="J657" t="n">
        <v>0</v>
      </c>
      <c r="K657" t="n">
        <v>0</v>
      </c>
      <c r="L657" t="n">
        <v>0</v>
      </c>
      <c r="M657" t="n">
        <v>0</v>
      </c>
      <c r="N657" t="n">
        <v>0</v>
      </c>
      <c r="O657" t="n">
        <v>0</v>
      </c>
      <c r="P657" t="n">
        <v>0</v>
      </c>
      <c r="Q657" t="n">
        <v>0</v>
      </c>
      <c r="R657" s="2" t="inlineStr"/>
    </row>
    <row r="658" ht="15" customHeight="1">
      <c r="A658" t="inlineStr">
        <is>
          <t>A 55384-2021</t>
        </is>
      </c>
      <c r="B658" s="1" t="n">
        <v>44475</v>
      </c>
      <c r="C658" s="1" t="n">
        <v>45294</v>
      </c>
      <c r="D658" t="inlineStr">
        <is>
          <t>JÄMTLANDS LÄN</t>
        </is>
      </c>
      <c r="E658" t="inlineStr">
        <is>
          <t>HÄRJEDALEN</t>
        </is>
      </c>
      <c r="G658" t="n">
        <v>0.3</v>
      </c>
      <c r="H658" t="n">
        <v>0</v>
      </c>
      <c r="I658" t="n">
        <v>0</v>
      </c>
      <c r="J658" t="n">
        <v>0</v>
      </c>
      <c r="K658" t="n">
        <v>0</v>
      </c>
      <c r="L658" t="n">
        <v>0</v>
      </c>
      <c r="M658" t="n">
        <v>0</v>
      </c>
      <c r="N658" t="n">
        <v>0</v>
      </c>
      <c r="O658" t="n">
        <v>0</v>
      </c>
      <c r="P658" t="n">
        <v>0</v>
      </c>
      <c r="Q658" t="n">
        <v>0</v>
      </c>
      <c r="R658" s="2" t="inlineStr"/>
    </row>
    <row r="659" ht="15" customHeight="1">
      <c r="A659" t="inlineStr">
        <is>
          <t>A 55379-2021</t>
        </is>
      </c>
      <c r="B659" s="1" t="n">
        <v>44475</v>
      </c>
      <c r="C659" s="1" t="n">
        <v>45294</v>
      </c>
      <c r="D659" t="inlineStr">
        <is>
          <t>JÄMTLANDS LÄN</t>
        </is>
      </c>
      <c r="E659" t="inlineStr">
        <is>
          <t>HÄRJEDALEN</t>
        </is>
      </c>
      <c r="G659" t="n">
        <v>0.2</v>
      </c>
      <c r="H659" t="n">
        <v>0</v>
      </c>
      <c r="I659" t="n">
        <v>0</v>
      </c>
      <c r="J659" t="n">
        <v>0</v>
      </c>
      <c r="K659" t="n">
        <v>0</v>
      </c>
      <c r="L659" t="n">
        <v>0</v>
      </c>
      <c r="M659" t="n">
        <v>0</v>
      </c>
      <c r="N659" t="n">
        <v>0</v>
      </c>
      <c r="O659" t="n">
        <v>0</v>
      </c>
      <c r="P659" t="n">
        <v>0</v>
      </c>
      <c r="Q659" t="n">
        <v>0</v>
      </c>
      <c r="R659" s="2" t="inlineStr"/>
    </row>
    <row r="660" ht="15" customHeight="1">
      <c r="A660" t="inlineStr">
        <is>
          <t>A 55388-2021</t>
        </is>
      </c>
      <c r="B660" s="1" t="n">
        <v>44475</v>
      </c>
      <c r="C660" s="1" t="n">
        <v>45294</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55396-2021</t>
        </is>
      </c>
      <c r="B661" s="1" t="n">
        <v>44475</v>
      </c>
      <c r="C661" s="1" t="n">
        <v>45294</v>
      </c>
      <c r="D661" t="inlineStr">
        <is>
          <t>JÄMTLANDS LÄN</t>
        </is>
      </c>
      <c r="E661" t="inlineStr">
        <is>
          <t>HÄRJEDALEN</t>
        </is>
      </c>
      <c r="G661" t="n">
        <v>0.5</v>
      </c>
      <c r="H661" t="n">
        <v>0</v>
      </c>
      <c r="I661" t="n">
        <v>0</v>
      </c>
      <c r="J661" t="n">
        <v>0</v>
      </c>
      <c r="K661" t="n">
        <v>0</v>
      </c>
      <c r="L661" t="n">
        <v>0</v>
      </c>
      <c r="M661" t="n">
        <v>0</v>
      </c>
      <c r="N661" t="n">
        <v>0</v>
      </c>
      <c r="O661" t="n">
        <v>0</v>
      </c>
      <c r="P661" t="n">
        <v>0</v>
      </c>
      <c r="Q661" t="n">
        <v>0</v>
      </c>
      <c r="R661" s="2" t="inlineStr"/>
    </row>
    <row r="662" ht="15" customHeight="1">
      <c r="A662" t="inlineStr">
        <is>
          <t>A 55385-2021</t>
        </is>
      </c>
      <c r="B662" s="1" t="n">
        <v>44475</v>
      </c>
      <c r="C662" s="1" t="n">
        <v>45294</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55381-2021</t>
        </is>
      </c>
      <c r="B663" s="1" t="n">
        <v>44475</v>
      </c>
      <c r="C663" s="1" t="n">
        <v>45294</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55399-2021</t>
        </is>
      </c>
      <c r="B664" s="1" t="n">
        <v>44475</v>
      </c>
      <c r="C664" s="1" t="n">
        <v>45294</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55517-2021</t>
        </is>
      </c>
      <c r="B665" s="1" t="n">
        <v>44475</v>
      </c>
      <c r="C665" s="1" t="n">
        <v>45294</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55542-2021</t>
        </is>
      </c>
      <c r="B666" s="1" t="n">
        <v>44475</v>
      </c>
      <c r="C666" s="1" t="n">
        <v>45294</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55393-2021</t>
        </is>
      </c>
      <c r="B667" s="1" t="n">
        <v>44475</v>
      </c>
      <c r="C667" s="1" t="n">
        <v>45294</v>
      </c>
      <c r="D667" t="inlineStr">
        <is>
          <t>JÄMTLANDS LÄN</t>
        </is>
      </c>
      <c r="E667" t="inlineStr">
        <is>
          <t>HÄRJEDALEN</t>
        </is>
      </c>
      <c r="G667" t="n">
        <v>3</v>
      </c>
      <c r="H667" t="n">
        <v>0</v>
      </c>
      <c r="I667" t="n">
        <v>0</v>
      </c>
      <c r="J667" t="n">
        <v>0</v>
      </c>
      <c r="K667" t="n">
        <v>0</v>
      </c>
      <c r="L667" t="n">
        <v>0</v>
      </c>
      <c r="M667" t="n">
        <v>0</v>
      </c>
      <c r="N667" t="n">
        <v>0</v>
      </c>
      <c r="O667" t="n">
        <v>0</v>
      </c>
      <c r="P667" t="n">
        <v>0</v>
      </c>
      <c r="Q667" t="n">
        <v>0</v>
      </c>
      <c r="R667" s="2" t="inlineStr"/>
    </row>
    <row r="668" ht="15" customHeight="1">
      <c r="A668" t="inlineStr">
        <is>
          <t>A 55215-2021</t>
        </is>
      </c>
      <c r="B668" s="1" t="n">
        <v>44475</v>
      </c>
      <c r="C668" s="1" t="n">
        <v>45294</v>
      </c>
      <c r="D668" t="inlineStr">
        <is>
          <t>JÄMTLANDS LÄN</t>
        </is>
      </c>
      <c r="E668" t="inlineStr">
        <is>
          <t>HÄRJEDALEN</t>
        </is>
      </c>
      <c r="G668" t="n">
        <v>3.9</v>
      </c>
      <c r="H668" t="n">
        <v>0</v>
      </c>
      <c r="I668" t="n">
        <v>0</v>
      </c>
      <c r="J668" t="n">
        <v>0</v>
      </c>
      <c r="K668" t="n">
        <v>0</v>
      </c>
      <c r="L668" t="n">
        <v>0</v>
      </c>
      <c r="M668" t="n">
        <v>0</v>
      </c>
      <c r="N668" t="n">
        <v>0</v>
      </c>
      <c r="O668" t="n">
        <v>0</v>
      </c>
      <c r="P668" t="n">
        <v>0</v>
      </c>
      <c r="Q668" t="n">
        <v>0</v>
      </c>
      <c r="R668" s="2" t="inlineStr"/>
    </row>
    <row r="669" ht="15" customHeight="1">
      <c r="A669" t="inlineStr">
        <is>
          <t>A 56852-2021</t>
        </is>
      </c>
      <c r="B669" s="1" t="n">
        <v>44481</v>
      </c>
      <c r="C669" s="1" t="n">
        <v>45294</v>
      </c>
      <c r="D669" t="inlineStr">
        <is>
          <t>JÄMTLANDS LÄN</t>
        </is>
      </c>
      <c r="E669" t="inlineStr">
        <is>
          <t>HÄRJEDALEN</t>
        </is>
      </c>
      <c r="G669" t="n">
        <v>2.8</v>
      </c>
      <c r="H669" t="n">
        <v>0</v>
      </c>
      <c r="I669" t="n">
        <v>0</v>
      </c>
      <c r="J669" t="n">
        <v>0</v>
      </c>
      <c r="K669" t="n">
        <v>0</v>
      </c>
      <c r="L669" t="n">
        <v>0</v>
      </c>
      <c r="M669" t="n">
        <v>0</v>
      </c>
      <c r="N669" t="n">
        <v>0</v>
      </c>
      <c r="O669" t="n">
        <v>0</v>
      </c>
      <c r="P669" t="n">
        <v>0</v>
      </c>
      <c r="Q669" t="n">
        <v>0</v>
      </c>
      <c r="R669" s="2" t="inlineStr"/>
    </row>
    <row r="670" ht="15" customHeight="1">
      <c r="A670" t="inlineStr">
        <is>
          <t>A 57381-2021</t>
        </is>
      </c>
      <c r="B670" s="1" t="n">
        <v>44483</v>
      </c>
      <c r="C670" s="1" t="n">
        <v>45294</v>
      </c>
      <c r="D670" t="inlineStr">
        <is>
          <t>JÄMTLANDS LÄN</t>
        </is>
      </c>
      <c r="E670" t="inlineStr">
        <is>
          <t>HÄRJEDALEN</t>
        </is>
      </c>
      <c r="G670" t="n">
        <v>17.9</v>
      </c>
      <c r="H670" t="n">
        <v>0</v>
      </c>
      <c r="I670" t="n">
        <v>0</v>
      </c>
      <c r="J670" t="n">
        <v>0</v>
      </c>
      <c r="K670" t="n">
        <v>0</v>
      </c>
      <c r="L670" t="n">
        <v>0</v>
      </c>
      <c r="M670" t="n">
        <v>0</v>
      </c>
      <c r="N670" t="n">
        <v>0</v>
      </c>
      <c r="O670" t="n">
        <v>0</v>
      </c>
      <c r="P670" t="n">
        <v>0</v>
      </c>
      <c r="Q670" t="n">
        <v>0</v>
      </c>
      <c r="R670" s="2" t="inlineStr"/>
    </row>
    <row r="671" ht="15" customHeight="1">
      <c r="A671" t="inlineStr">
        <is>
          <t>A 57256-2021</t>
        </is>
      </c>
      <c r="B671" s="1" t="n">
        <v>44483</v>
      </c>
      <c r="C671" s="1" t="n">
        <v>45294</v>
      </c>
      <c r="D671" t="inlineStr">
        <is>
          <t>JÄMTLANDS LÄN</t>
        </is>
      </c>
      <c r="E671" t="inlineStr">
        <is>
          <t>HÄRJEDALEN</t>
        </is>
      </c>
      <c r="G671" t="n">
        <v>4.5</v>
      </c>
      <c r="H671" t="n">
        <v>0</v>
      </c>
      <c r="I671" t="n">
        <v>0</v>
      </c>
      <c r="J671" t="n">
        <v>0</v>
      </c>
      <c r="K671" t="n">
        <v>0</v>
      </c>
      <c r="L671" t="n">
        <v>0</v>
      </c>
      <c r="M671" t="n">
        <v>0</v>
      </c>
      <c r="N671" t="n">
        <v>0</v>
      </c>
      <c r="O671" t="n">
        <v>0</v>
      </c>
      <c r="P671" t="n">
        <v>0</v>
      </c>
      <c r="Q671" t="n">
        <v>0</v>
      </c>
      <c r="R671" s="2" t="inlineStr"/>
    </row>
    <row r="672" ht="15" customHeight="1">
      <c r="A672" t="inlineStr">
        <is>
          <t>A 57373-2021</t>
        </is>
      </c>
      <c r="B672" s="1" t="n">
        <v>44483</v>
      </c>
      <c r="C672" s="1" t="n">
        <v>45294</v>
      </c>
      <c r="D672" t="inlineStr">
        <is>
          <t>JÄMTLANDS LÄN</t>
        </is>
      </c>
      <c r="E672" t="inlineStr">
        <is>
          <t>HÄRJEDALEN</t>
        </is>
      </c>
      <c r="G672" t="n">
        <v>10.8</v>
      </c>
      <c r="H672" t="n">
        <v>0</v>
      </c>
      <c r="I672" t="n">
        <v>0</v>
      </c>
      <c r="J672" t="n">
        <v>0</v>
      </c>
      <c r="K672" t="n">
        <v>0</v>
      </c>
      <c r="L672" t="n">
        <v>0</v>
      </c>
      <c r="M672" t="n">
        <v>0</v>
      </c>
      <c r="N672" t="n">
        <v>0</v>
      </c>
      <c r="O672" t="n">
        <v>0</v>
      </c>
      <c r="P672" t="n">
        <v>0</v>
      </c>
      <c r="Q672" t="n">
        <v>0</v>
      </c>
      <c r="R672" s="2" t="inlineStr"/>
    </row>
    <row r="673" ht="15" customHeight="1">
      <c r="A673" t="inlineStr">
        <is>
          <t>A 57755-2021</t>
        </is>
      </c>
      <c r="B673" s="1" t="n">
        <v>44484</v>
      </c>
      <c r="C673" s="1" t="n">
        <v>45294</v>
      </c>
      <c r="D673" t="inlineStr">
        <is>
          <t>JÄMTLANDS LÄN</t>
        </is>
      </c>
      <c r="E673" t="inlineStr">
        <is>
          <t>HÄRJEDALEN</t>
        </is>
      </c>
      <c r="G673" t="n">
        <v>3.9</v>
      </c>
      <c r="H673" t="n">
        <v>0</v>
      </c>
      <c r="I673" t="n">
        <v>0</v>
      </c>
      <c r="J673" t="n">
        <v>0</v>
      </c>
      <c r="K673" t="n">
        <v>0</v>
      </c>
      <c r="L673" t="n">
        <v>0</v>
      </c>
      <c r="M673" t="n">
        <v>0</v>
      </c>
      <c r="N673" t="n">
        <v>0</v>
      </c>
      <c r="O673" t="n">
        <v>0</v>
      </c>
      <c r="P673" t="n">
        <v>0</v>
      </c>
      <c r="Q673" t="n">
        <v>0</v>
      </c>
      <c r="R673" s="2" t="inlineStr"/>
    </row>
    <row r="674" ht="15" customHeight="1">
      <c r="A674" t="inlineStr">
        <is>
          <t>A 57782-2021</t>
        </is>
      </c>
      <c r="B674" s="1" t="n">
        <v>44484</v>
      </c>
      <c r="C674" s="1" t="n">
        <v>45294</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58451-2021</t>
        </is>
      </c>
      <c r="B675" s="1" t="n">
        <v>44488</v>
      </c>
      <c r="C675" s="1" t="n">
        <v>45294</v>
      </c>
      <c r="D675" t="inlineStr">
        <is>
          <t>JÄMTLANDS LÄN</t>
        </is>
      </c>
      <c r="E675" t="inlineStr">
        <is>
          <t>HÄRJEDALEN</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59928-2021</t>
        </is>
      </c>
      <c r="B676" s="1" t="n">
        <v>44494</v>
      </c>
      <c r="C676" s="1" t="n">
        <v>45294</v>
      </c>
      <c r="D676" t="inlineStr">
        <is>
          <t>JÄMTLANDS LÄN</t>
        </is>
      </c>
      <c r="E676" t="inlineStr">
        <is>
          <t>HÄRJEDALEN</t>
        </is>
      </c>
      <c r="G676" t="n">
        <v>28.6</v>
      </c>
      <c r="H676" t="n">
        <v>0</v>
      </c>
      <c r="I676" t="n">
        <v>0</v>
      </c>
      <c r="J676" t="n">
        <v>0</v>
      </c>
      <c r="K676" t="n">
        <v>0</v>
      </c>
      <c r="L676" t="n">
        <v>0</v>
      </c>
      <c r="M676" t="n">
        <v>0</v>
      </c>
      <c r="N676" t="n">
        <v>0</v>
      </c>
      <c r="O676" t="n">
        <v>0</v>
      </c>
      <c r="P676" t="n">
        <v>0</v>
      </c>
      <c r="Q676" t="n">
        <v>0</v>
      </c>
      <c r="R676" s="2" t="inlineStr"/>
    </row>
    <row r="677" ht="15" customHeight="1">
      <c r="A677" t="inlineStr">
        <is>
          <t>A 60841-2021</t>
        </is>
      </c>
      <c r="B677" s="1" t="n">
        <v>44497</v>
      </c>
      <c r="C677" s="1" t="n">
        <v>45294</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61561-2021</t>
        </is>
      </c>
      <c r="B678" s="1" t="n">
        <v>44501</v>
      </c>
      <c r="C678" s="1" t="n">
        <v>45294</v>
      </c>
      <c r="D678" t="inlineStr">
        <is>
          <t>JÄMTLANDS LÄN</t>
        </is>
      </c>
      <c r="E678" t="inlineStr">
        <is>
          <t>HÄRJEDALEN</t>
        </is>
      </c>
      <c r="F678" t="inlineStr">
        <is>
          <t>Bergvik skog väst AB</t>
        </is>
      </c>
      <c r="G678" t="n">
        <v>16.2</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45294</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45294</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45294</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45294</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45294</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45294</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45294</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45294</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45294</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45294</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45294</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45294</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45294</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45294</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45294</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45294</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45294</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45294</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45294</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45294</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45294</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45294</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45294</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45294</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45294</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45294</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45294</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45294</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45294</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45294</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45294</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45294</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45294</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45294</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45294</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45294</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45294</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45294</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45294</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45294</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45294</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45294</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45294</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45294</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45294</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45294</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45294</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45294</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45294</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45294</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45294</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45294</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45294</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45294</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45294</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45294</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45294</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45294</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45294</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45294</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45294</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45294</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45294</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45294</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45294</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45294</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45294</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45294</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14648-2022</t>
        </is>
      </c>
      <c r="B747" s="1" t="n">
        <v>44655</v>
      </c>
      <c r="C747" s="1" t="n">
        <v>45294</v>
      </c>
      <c r="D747" t="inlineStr">
        <is>
          <t>JÄMTLANDS LÄN</t>
        </is>
      </c>
      <c r="E747" t="inlineStr">
        <is>
          <t>HÄRJEDALEN</t>
        </is>
      </c>
      <c r="G747" t="n">
        <v>4.8</v>
      </c>
      <c r="H747" t="n">
        <v>0</v>
      </c>
      <c r="I747" t="n">
        <v>0</v>
      </c>
      <c r="J747" t="n">
        <v>0</v>
      </c>
      <c r="K747" t="n">
        <v>0</v>
      </c>
      <c r="L747" t="n">
        <v>0</v>
      </c>
      <c r="M747" t="n">
        <v>0</v>
      </c>
      <c r="N747" t="n">
        <v>0</v>
      </c>
      <c r="O747" t="n">
        <v>0</v>
      </c>
      <c r="P747" t="n">
        <v>0</v>
      </c>
      <c r="Q747" t="n">
        <v>0</v>
      </c>
      <c r="R747" s="2" t="inlineStr"/>
    </row>
    <row r="748" ht="15" customHeight="1">
      <c r="A748" t="inlineStr">
        <is>
          <t>A 15374-2022</t>
        </is>
      </c>
      <c r="B748" s="1" t="n">
        <v>44659</v>
      </c>
      <c r="C748" s="1" t="n">
        <v>45294</v>
      </c>
      <c r="D748" t="inlineStr">
        <is>
          <t>JÄMTLANDS LÄN</t>
        </is>
      </c>
      <c r="E748" t="inlineStr">
        <is>
          <t>HÄRJEDALEN</t>
        </is>
      </c>
      <c r="G748" t="n">
        <v>1.9</v>
      </c>
      <c r="H748" t="n">
        <v>0</v>
      </c>
      <c r="I748" t="n">
        <v>0</v>
      </c>
      <c r="J748" t="n">
        <v>0</v>
      </c>
      <c r="K748" t="n">
        <v>0</v>
      </c>
      <c r="L748" t="n">
        <v>0</v>
      </c>
      <c r="M748" t="n">
        <v>0</v>
      </c>
      <c r="N748" t="n">
        <v>0</v>
      </c>
      <c r="O748" t="n">
        <v>0</v>
      </c>
      <c r="P748" t="n">
        <v>0</v>
      </c>
      <c r="Q748" t="n">
        <v>0</v>
      </c>
      <c r="R748" s="2" t="inlineStr"/>
    </row>
    <row r="749" ht="15" customHeight="1">
      <c r="A749" t="inlineStr">
        <is>
          <t>A 15611-2022</t>
        </is>
      </c>
      <c r="B749" s="1" t="n">
        <v>44662</v>
      </c>
      <c r="C749" s="1" t="n">
        <v>45294</v>
      </c>
      <c r="D749" t="inlineStr">
        <is>
          <t>JÄMTLANDS LÄN</t>
        </is>
      </c>
      <c r="E749" t="inlineStr">
        <is>
          <t>HÄRJEDALEN</t>
        </is>
      </c>
      <c r="F749" t="inlineStr">
        <is>
          <t>Kyrkan</t>
        </is>
      </c>
      <c r="G749" t="n">
        <v>6.9</v>
      </c>
      <c r="H749" t="n">
        <v>0</v>
      </c>
      <c r="I749" t="n">
        <v>0</v>
      </c>
      <c r="J749" t="n">
        <v>0</v>
      </c>
      <c r="K749" t="n">
        <v>0</v>
      </c>
      <c r="L749" t="n">
        <v>0</v>
      </c>
      <c r="M749" t="n">
        <v>0</v>
      </c>
      <c r="N749" t="n">
        <v>0</v>
      </c>
      <c r="O749" t="n">
        <v>0</v>
      </c>
      <c r="P749" t="n">
        <v>0</v>
      </c>
      <c r="Q749" t="n">
        <v>0</v>
      </c>
      <c r="R749" s="2" t="inlineStr"/>
    </row>
    <row r="750" ht="15" customHeight="1">
      <c r="A750" t="inlineStr">
        <is>
          <t>A 15763-2022</t>
        </is>
      </c>
      <c r="B750" s="1" t="n">
        <v>44663</v>
      </c>
      <c r="C750" s="1" t="n">
        <v>45294</v>
      </c>
      <c r="D750" t="inlineStr">
        <is>
          <t>JÄMTLANDS LÄN</t>
        </is>
      </c>
      <c r="E750" t="inlineStr">
        <is>
          <t>HÄRJEDALEN</t>
        </is>
      </c>
      <c r="G750" t="n">
        <v>4.4</v>
      </c>
      <c r="H750" t="n">
        <v>0</v>
      </c>
      <c r="I750" t="n">
        <v>0</v>
      </c>
      <c r="J750" t="n">
        <v>0</v>
      </c>
      <c r="K750" t="n">
        <v>0</v>
      </c>
      <c r="L750" t="n">
        <v>0</v>
      </c>
      <c r="M750" t="n">
        <v>0</v>
      </c>
      <c r="N750" t="n">
        <v>0</v>
      </c>
      <c r="O750" t="n">
        <v>0</v>
      </c>
      <c r="P750" t="n">
        <v>0</v>
      </c>
      <c r="Q750" t="n">
        <v>0</v>
      </c>
      <c r="R750" s="2" t="inlineStr"/>
    </row>
    <row r="751" ht="15" customHeight="1">
      <c r="A751" t="inlineStr">
        <is>
          <t>A 16014-2022</t>
        </is>
      </c>
      <c r="B751" s="1" t="n">
        <v>44665</v>
      </c>
      <c r="C751" s="1" t="n">
        <v>45294</v>
      </c>
      <c r="D751" t="inlineStr">
        <is>
          <t>JÄMTLANDS LÄN</t>
        </is>
      </c>
      <c r="E751" t="inlineStr">
        <is>
          <t>HÄRJEDALEN</t>
        </is>
      </c>
      <c r="G751" t="n">
        <v>38.7</v>
      </c>
      <c r="H751" t="n">
        <v>0</v>
      </c>
      <c r="I751" t="n">
        <v>0</v>
      </c>
      <c r="J751" t="n">
        <v>0</v>
      </c>
      <c r="K751" t="n">
        <v>0</v>
      </c>
      <c r="L751" t="n">
        <v>0</v>
      </c>
      <c r="M751" t="n">
        <v>0</v>
      </c>
      <c r="N751" t="n">
        <v>0</v>
      </c>
      <c r="O751" t="n">
        <v>0</v>
      </c>
      <c r="P751" t="n">
        <v>0</v>
      </c>
      <c r="Q751" t="n">
        <v>0</v>
      </c>
      <c r="R751" s="2" t="inlineStr"/>
    </row>
    <row r="752" ht="15" customHeight="1">
      <c r="A752" t="inlineStr">
        <is>
          <t>A 17805-2022</t>
        </is>
      </c>
      <c r="B752" s="1" t="n">
        <v>44683</v>
      </c>
      <c r="C752" s="1" t="n">
        <v>45294</v>
      </c>
      <c r="D752" t="inlineStr">
        <is>
          <t>JÄMTLANDS LÄN</t>
        </is>
      </c>
      <c r="E752" t="inlineStr">
        <is>
          <t>HÄRJEDALEN</t>
        </is>
      </c>
      <c r="G752" t="n">
        <v>15.7</v>
      </c>
      <c r="H752" t="n">
        <v>0</v>
      </c>
      <c r="I752" t="n">
        <v>0</v>
      </c>
      <c r="J752" t="n">
        <v>0</v>
      </c>
      <c r="K752" t="n">
        <v>0</v>
      </c>
      <c r="L752" t="n">
        <v>0</v>
      </c>
      <c r="M752" t="n">
        <v>0</v>
      </c>
      <c r="N752" t="n">
        <v>0</v>
      </c>
      <c r="O752" t="n">
        <v>0</v>
      </c>
      <c r="P752" t="n">
        <v>0</v>
      </c>
      <c r="Q752" t="n">
        <v>0</v>
      </c>
      <c r="R752" s="2" t="inlineStr"/>
    </row>
    <row r="753" ht="15" customHeight="1">
      <c r="A753" t="inlineStr">
        <is>
          <t>A 17797-2022</t>
        </is>
      </c>
      <c r="B753" s="1" t="n">
        <v>44683</v>
      </c>
      <c r="C753" s="1" t="n">
        <v>45294</v>
      </c>
      <c r="D753" t="inlineStr">
        <is>
          <t>JÄMTLANDS LÄN</t>
        </is>
      </c>
      <c r="E753" t="inlineStr">
        <is>
          <t>HÄRJEDALEN</t>
        </is>
      </c>
      <c r="G753" t="n">
        <v>15.4</v>
      </c>
      <c r="H753" t="n">
        <v>0</v>
      </c>
      <c r="I753" t="n">
        <v>0</v>
      </c>
      <c r="J753" t="n">
        <v>0</v>
      </c>
      <c r="K753" t="n">
        <v>0</v>
      </c>
      <c r="L753" t="n">
        <v>0</v>
      </c>
      <c r="M753" t="n">
        <v>0</v>
      </c>
      <c r="N753" t="n">
        <v>0</v>
      </c>
      <c r="O753" t="n">
        <v>0</v>
      </c>
      <c r="P753" t="n">
        <v>0</v>
      </c>
      <c r="Q753" t="n">
        <v>0</v>
      </c>
      <c r="R753" s="2" t="inlineStr"/>
    </row>
    <row r="754" ht="15" customHeight="1">
      <c r="A754" t="inlineStr">
        <is>
          <t>A 17935-2022</t>
        </is>
      </c>
      <c r="B754" s="1" t="n">
        <v>44683</v>
      </c>
      <c r="C754" s="1" t="n">
        <v>45294</v>
      </c>
      <c r="D754" t="inlineStr">
        <is>
          <t>JÄMTLANDS LÄN</t>
        </is>
      </c>
      <c r="E754" t="inlineStr">
        <is>
          <t>HÄRJEDALEN</t>
        </is>
      </c>
      <c r="G754" t="n">
        <v>4.2</v>
      </c>
      <c r="H754" t="n">
        <v>0</v>
      </c>
      <c r="I754" t="n">
        <v>0</v>
      </c>
      <c r="J754" t="n">
        <v>0</v>
      </c>
      <c r="K754" t="n">
        <v>0</v>
      </c>
      <c r="L754" t="n">
        <v>0</v>
      </c>
      <c r="M754" t="n">
        <v>0</v>
      </c>
      <c r="N754" t="n">
        <v>0</v>
      </c>
      <c r="O754" t="n">
        <v>0</v>
      </c>
      <c r="P754" t="n">
        <v>0</v>
      </c>
      <c r="Q754" t="n">
        <v>0</v>
      </c>
      <c r="R754" s="2" t="inlineStr"/>
    </row>
    <row r="755" ht="15" customHeight="1">
      <c r="A755" t="inlineStr">
        <is>
          <t>A 18169-2022</t>
        </is>
      </c>
      <c r="B755" s="1" t="n">
        <v>44684</v>
      </c>
      <c r="C755" s="1" t="n">
        <v>45294</v>
      </c>
      <c r="D755" t="inlineStr">
        <is>
          <t>JÄMTLANDS LÄN</t>
        </is>
      </c>
      <c r="E755" t="inlineStr">
        <is>
          <t>HÄRJEDALEN</t>
        </is>
      </c>
      <c r="F755" t="inlineStr">
        <is>
          <t>Kyrkan</t>
        </is>
      </c>
      <c r="G755" t="n">
        <v>2.4</v>
      </c>
      <c r="H755" t="n">
        <v>0</v>
      </c>
      <c r="I755" t="n">
        <v>0</v>
      </c>
      <c r="J755" t="n">
        <v>0</v>
      </c>
      <c r="K755" t="n">
        <v>0</v>
      </c>
      <c r="L755" t="n">
        <v>0</v>
      </c>
      <c r="M755" t="n">
        <v>0</v>
      </c>
      <c r="N755" t="n">
        <v>0</v>
      </c>
      <c r="O755" t="n">
        <v>0</v>
      </c>
      <c r="P755" t="n">
        <v>0</v>
      </c>
      <c r="Q755" t="n">
        <v>0</v>
      </c>
      <c r="R755" s="2" t="inlineStr"/>
    </row>
    <row r="756" ht="15" customHeight="1">
      <c r="A756" t="inlineStr">
        <is>
          <t>A 18778-2022</t>
        </is>
      </c>
      <c r="B756" s="1" t="n">
        <v>44689</v>
      </c>
      <c r="C756" s="1" t="n">
        <v>45294</v>
      </c>
      <c r="D756" t="inlineStr">
        <is>
          <t>JÄMTLANDS LÄN</t>
        </is>
      </c>
      <c r="E756" t="inlineStr">
        <is>
          <t>HÄRJEDALEN</t>
        </is>
      </c>
      <c r="G756" t="n">
        <v>4.1</v>
      </c>
      <c r="H756" t="n">
        <v>0</v>
      </c>
      <c r="I756" t="n">
        <v>0</v>
      </c>
      <c r="J756" t="n">
        <v>0</v>
      </c>
      <c r="K756" t="n">
        <v>0</v>
      </c>
      <c r="L756" t="n">
        <v>0</v>
      </c>
      <c r="M756" t="n">
        <v>0</v>
      </c>
      <c r="N756" t="n">
        <v>0</v>
      </c>
      <c r="O756" t="n">
        <v>0</v>
      </c>
      <c r="P756" t="n">
        <v>0</v>
      </c>
      <c r="Q756" t="n">
        <v>0</v>
      </c>
      <c r="R756" s="2" t="inlineStr"/>
    </row>
    <row r="757" ht="15" customHeight="1">
      <c r="A757" t="inlineStr">
        <is>
          <t>A 18808-2022</t>
        </is>
      </c>
      <c r="B757" s="1" t="n">
        <v>44690</v>
      </c>
      <c r="C757" s="1" t="n">
        <v>45294</v>
      </c>
      <c r="D757" t="inlineStr">
        <is>
          <t>JÄMTLANDS LÄN</t>
        </is>
      </c>
      <c r="E757" t="inlineStr">
        <is>
          <t>HÄRJEDALEN</t>
        </is>
      </c>
      <c r="G757" t="n">
        <v>0.5</v>
      </c>
      <c r="H757" t="n">
        <v>0</v>
      </c>
      <c r="I757" t="n">
        <v>0</v>
      </c>
      <c r="J757" t="n">
        <v>0</v>
      </c>
      <c r="K757" t="n">
        <v>0</v>
      </c>
      <c r="L757" t="n">
        <v>0</v>
      </c>
      <c r="M757" t="n">
        <v>0</v>
      </c>
      <c r="N757" t="n">
        <v>0</v>
      </c>
      <c r="O757" t="n">
        <v>0</v>
      </c>
      <c r="P757" t="n">
        <v>0</v>
      </c>
      <c r="Q757" t="n">
        <v>0</v>
      </c>
      <c r="R757" s="2" t="inlineStr"/>
    </row>
    <row r="758" ht="15" customHeight="1">
      <c r="A758" t="inlineStr">
        <is>
          <t>A 20059-2022</t>
        </is>
      </c>
      <c r="B758" s="1" t="n">
        <v>44698</v>
      </c>
      <c r="C758" s="1" t="n">
        <v>45294</v>
      </c>
      <c r="D758" t="inlineStr">
        <is>
          <t>JÄMTLANDS LÄN</t>
        </is>
      </c>
      <c r="E758" t="inlineStr">
        <is>
          <t>HÄRJEDALEN</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20206-2022</t>
        </is>
      </c>
      <c r="B759" s="1" t="n">
        <v>44698</v>
      </c>
      <c r="C759" s="1" t="n">
        <v>45294</v>
      </c>
      <c r="D759" t="inlineStr">
        <is>
          <t>JÄMTLANDS LÄN</t>
        </is>
      </c>
      <c r="E759" t="inlineStr">
        <is>
          <t>HÄRJEDALEN</t>
        </is>
      </c>
      <c r="F759" t="inlineStr">
        <is>
          <t>Bergvik skog väst AB</t>
        </is>
      </c>
      <c r="G759" t="n">
        <v>5.8</v>
      </c>
      <c r="H759" t="n">
        <v>0</v>
      </c>
      <c r="I759" t="n">
        <v>0</v>
      </c>
      <c r="J759" t="n">
        <v>0</v>
      </c>
      <c r="K759" t="n">
        <v>0</v>
      </c>
      <c r="L759" t="n">
        <v>0</v>
      </c>
      <c r="M759" t="n">
        <v>0</v>
      </c>
      <c r="N759" t="n">
        <v>0</v>
      </c>
      <c r="O759" t="n">
        <v>0</v>
      </c>
      <c r="P759" t="n">
        <v>0</v>
      </c>
      <c r="Q759" t="n">
        <v>0</v>
      </c>
      <c r="R759" s="2" t="inlineStr"/>
    </row>
    <row r="760" ht="15" customHeight="1">
      <c r="A760" t="inlineStr">
        <is>
          <t>A 21610-2022</t>
        </is>
      </c>
      <c r="B760" s="1" t="n">
        <v>44706</v>
      </c>
      <c r="C760" s="1" t="n">
        <v>45294</v>
      </c>
      <c r="D760" t="inlineStr">
        <is>
          <t>JÄMTLANDS LÄN</t>
        </is>
      </c>
      <c r="E760" t="inlineStr">
        <is>
          <t>HÄRJEDALEN</t>
        </is>
      </c>
      <c r="F760" t="inlineStr">
        <is>
          <t>Holmen skog AB</t>
        </is>
      </c>
      <c r="G760" t="n">
        <v>15.3</v>
      </c>
      <c r="H760" t="n">
        <v>0</v>
      </c>
      <c r="I760" t="n">
        <v>0</v>
      </c>
      <c r="J760" t="n">
        <v>0</v>
      </c>
      <c r="K760" t="n">
        <v>0</v>
      </c>
      <c r="L760" t="n">
        <v>0</v>
      </c>
      <c r="M760" t="n">
        <v>0</v>
      </c>
      <c r="N760" t="n">
        <v>0</v>
      </c>
      <c r="O760" t="n">
        <v>0</v>
      </c>
      <c r="P760" t="n">
        <v>0</v>
      </c>
      <c r="Q760" t="n">
        <v>0</v>
      </c>
      <c r="R760" s="2" t="inlineStr"/>
    </row>
    <row r="761" ht="15" customHeight="1">
      <c r="A761" t="inlineStr">
        <is>
          <t>A 21767-2022</t>
        </is>
      </c>
      <c r="B761" s="1" t="n">
        <v>44708</v>
      </c>
      <c r="C761" s="1" t="n">
        <v>45294</v>
      </c>
      <c r="D761" t="inlineStr">
        <is>
          <t>JÄMTLANDS LÄN</t>
        </is>
      </c>
      <c r="E761" t="inlineStr">
        <is>
          <t>HÄRJEDALEN</t>
        </is>
      </c>
      <c r="F761" t="inlineStr">
        <is>
          <t>Holmen skog AB</t>
        </is>
      </c>
      <c r="G761" t="n">
        <v>8.1</v>
      </c>
      <c r="H761" t="n">
        <v>0</v>
      </c>
      <c r="I761" t="n">
        <v>0</v>
      </c>
      <c r="J761" t="n">
        <v>0</v>
      </c>
      <c r="K761" t="n">
        <v>0</v>
      </c>
      <c r="L761" t="n">
        <v>0</v>
      </c>
      <c r="M761" t="n">
        <v>0</v>
      </c>
      <c r="N761" t="n">
        <v>0</v>
      </c>
      <c r="O761" t="n">
        <v>0</v>
      </c>
      <c r="P761" t="n">
        <v>0</v>
      </c>
      <c r="Q761" t="n">
        <v>0</v>
      </c>
      <c r="R761" s="2" t="inlineStr"/>
    </row>
    <row r="762" ht="15" customHeight="1">
      <c r="A762" t="inlineStr">
        <is>
          <t>A 21774-2022</t>
        </is>
      </c>
      <c r="B762" s="1" t="n">
        <v>44708</v>
      </c>
      <c r="C762" s="1" t="n">
        <v>45294</v>
      </c>
      <c r="D762" t="inlineStr">
        <is>
          <t>JÄMTLANDS LÄN</t>
        </is>
      </c>
      <c r="E762" t="inlineStr">
        <is>
          <t>HÄRJEDALEN</t>
        </is>
      </c>
      <c r="F762" t="inlineStr">
        <is>
          <t>Holmen skog AB</t>
        </is>
      </c>
      <c r="G762" t="n">
        <v>17.3</v>
      </c>
      <c r="H762" t="n">
        <v>0</v>
      </c>
      <c r="I762" t="n">
        <v>0</v>
      </c>
      <c r="J762" t="n">
        <v>0</v>
      </c>
      <c r="K762" t="n">
        <v>0</v>
      </c>
      <c r="L762" t="n">
        <v>0</v>
      </c>
      <c r="M762" t="n">
        <v>0</v>
      </c>
      <c r="N762" t="n">
        <v>0</v>
      </c>
      <c r="O762" t="n">
        <v>0</v>
      </c>
      <c r="P762" t="n">
        <v>0</v>
      </c>
      <c r="Q762" t="n">
        <v>0</v>
      </c>
      <c r="R762" s="2" t="inlineStr"/>
    </row>
    <row r="763" ht="15" customHeight="1">
      <c r="A763" t="inlineStr">
        <is>
          <t>A 21778-2022</t>
        </is>
      </c>
      <c r="B763" s="1" t="n">
        <v>44708</v>
      </c>
      <c r="C763" s="1" t="n">
        <v>45294</v>
      </c>
      <c r="D763" t="inlineStr">
        <is>
          <t>JÄMTLANDS LÄN</t>
        </is>
      </c>
      <c r="E763" t="inlineStr">
        <is>
          <t>HÄRJEDALEN</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21770-2022</t>
        </is>
      </c>
      <c r="B764" s="1" t="n">
        <v>44708</v>
      </c>
      <c r="C764" s="1" t="n">
        <v>45294</v>
      </c>
      <c r="D764" t="inlineStr">
        <is>
          <t>JÄMTLANDS LÄN</t>
        </is>
      </c>
      <c r="E764" t="inlineStr">
        <is>
          <t>HÄRJEDALEN</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21781-2022</t>
        </is>
      </c>
      <c r="B765" s="1" t="n">
        <v>44708</v>
      </c>
      <c r="C765" s="1" t="n">
        <v>45294</v>
      </c>
      <c r="D765" t="inlineStr">
        <is>
          <t>JÄMTLANDS LÄN</t>
        </is>
      </c>
      <c r="E765" t="inlineStr">
        <is>
          <t>HÄRJEDALEN</t>
        </is>
      </c>
      <c r="F765" t="inlineStr">
        <is>
          <t>Holmen skog AB</t>
        </is>
      </c>
      <c r="G765" t="n">
        <v>16.3</v>
      </c>
      <c r="H765" t="n">
        <v>0</v>
      </c>
      <c r="I765" t="n">
        <v>0</v>
      </c>
      <c r="J765" t="n">
        <v>0</v>
      </c>
      <c r="K765" t="n">
        <v>0</v>
      </c>
      <c r="L765" t="n">
        <v>0</v>
      </c>
      <c r="M765" t="n">
        <v>0</v>
      </c>
      <c r="N765" t="n">
        <v>0</v>
      </c>
      <c r="O765" t="n">
        <v>0</v>
      </c>
      <c r="P765" t="n">
        <v>0</v>
      </c>
      <c r="Q765" t="n">
        <v>0</v>
      </c>
      <c r="R765" s="2" t="inlineStr"/>
    </row>
    <row r="766" ht="15" customHeight="1">
      <c r="A766" t="inlineStr">
        <is>
          <t>A 21796-2022</t>
        </is>
      </c>
      <c r="B766" s="1" t="n">
        <v>44708</v>
      </c>
      <c r="C766" s="1" t="n">
        <v>45294</v>
      </c>
      <c r="D766" t="inlineStr">
        <is>
          <t>JÄMTLANDS LÄN</t>
        </is>
      </c>
      <c r="E766" t="inlineStr">
        <is>
          <t>HÄRJEDALEN</t>
        </is>
      </c>
      <c r="F766" t="inlineStr">
        <is>
          <t>Holmen skog AB</t>
        </is>
      </c>
      <c r="G766" t="n">
        <v>22.3</v>
      </c>
      <c r="H766" t="n">
        <v>0</v>
      </c>
      <c r="I766" t="n">
        <v>0</v>
      </c>
      <c r="J766" t="n">
        <v>0</v>
      </c>
      <c r="K766" t="n">
        <v>0</v>
      </c>
      <c r="L766" t="n">
        <v>0</v>
      </c>
      <c r="M766" t="n">
        <v>0</v>
      </c>
      <c r="N766" t="n">
        <v>0</v>
      </c>
      <c r="O766" t="n">
        <v>0</v>
      </c>
      <c r="P766" t="n">
        <v>0</v>
      </c>
      <c r="Q766" t="n">
        <v>0</v>
      </c>
      <c r="R766" s="2" t="inlineStr"/>
    </row>
    <row r="767" ht="15" customHeight="1">
      <c r="A767" t="inlineStr">
        <is>
          <t>A 22166-2022</t>
        </is>
      </c>
      <c r="B767" s="1" t="n">
        <v>44712</v>
      </c>
      <c r="C767" s="1" t="n">
        <v>45294</v>
      </c>
      <c r="D767" t="inlineStr">
        <is>
          <t>JÄMTLANDS LÄN</t>
        </is>
      </c>
      <c r="E767" t="inlineStr">
        <is>
          <t>HÄRJEDALEN</t>
        </is>
      </c>
      <c r="F767" t="inlineStr">
        <is>
          <t>Holmen skog AB</t>
        </is>
      </c>
      <c r="G767" t="n">
        <v>5.6</v>
      </c>
      <c r="H767" t="n">
        <v>0</v>
      </c>
      <c r="I767" t="n">
        <v>0</v>
      </c>
      <c r="J767" t="n">
        <v>0</v>
      </c>
      <c r="K767" t="n">
        <v>0</v>
      </c>
      <c r="L767" t="n">
        <v>0</v>
      </c>
      <c r="M767" t="n">
        <v>0</v>
      </c>
      <c r="N767" t="n">
        <v>0</v>
      </c>
      <c r="O767" t="n">
        <v>0</v>
      </c>
      <c r="P767" t="n">
        <v>0</v>
      </c>
      <c r="Q767" t="n">
        <v>0</v>
      </c>
      <c r="R767" s="2" t="inlineStr"/>
    </row>
    <row r="768" ht="15" customHeight="1">
      <c r="A768" t="inlineStr">
        <is>
          <t>A 23074-2022</t>
        </is>
      </c>
      <c r="B768" s="1" t="n">
        <v>44719</v>
      </c>
      <c r="C768" s="1" t="n">
        <v>45294</v>
      </c>
      <c r="D768" t="inlineStr">
        <is>
          <t>JÄMTLANDS LÄN</t>
        </is>
      </c>
      <c r="E768" t="inlineStr">
        <is>
          <t>HÄRJEDALEN</t>
        </is>
      </c>
      <c r="F768" t="inlineStr">
        <is>
          <t>Bergvik skog väst AB</t>
        </is>
      </c>
      <c r="G768" t="n">
        <v>23.2</v>
      </c>
      <c r="H768" t="n">
        <v>0</v>
      </c>
      <c r="I768" t="n">
        <v>0</v>
      </c>
      <c r="J768" t="n">
        <v>0</v>
      </c>
      <c r="K768" t="n">
        <v>0</v>
      </c>
      <c r="L768" t="n">
        <v>0</v>
      </c>
      <c r="M768" t="n">
        <v>0</v>
      </c>
      <c r="N768" t="n">
        <v>0</v>
      </c>
      <c r="O768" t="n">
        <v>0</v>
      </c>
      <c r="P768" t="n">
        <v>0</v>
      </c>
      <c r="Q768" t="n">
        <v>0</v>
      </c>
      <c r="R768" s="2" t="inlineStr"/>
    </row>
    <row r="769" ht="15" customHeight="1">
      <c r="A769" t="inlineStr">
        <is>
          <t>A 23140-2022</t>
        </is>
      </c>
      <c r="B769" s="1" t="n">
        <v>44719</v>
      </c>
      <c r="C769" s="1" t="n">
        <v>45294</v>
      </c>
      <c r="D769" t="inlineStr">
        <is>
          <t>JÄMTLANDS LÄN</t>
        </is>
      </c>
      <c r="E769" t="inlineStr">
        <is>
          <t>HÄRJEDALEN</t>
        </is>
      </c>
      <c r="F769" t="inlineStr">
        <is>
          <t>Bergvik skog väst AB</t>
        </is>
      </c>
      <c r="G769" t="n">
        <v>3.3</v>
      </c>
      <c r="H769" t="n">
        <v>0</v>
      </c>
      <c r="I769" t="n">
        <v>0</v>
      </c>
      <c r="J769" t="n">
        <v>0</v>
      </c>
      <c r="K769" t="n">
        <v>0</v>
      </c>
      <c r="L769" t="n">
        <v>0</v>
      </c>
      <c r="M769" t="n">
        <v>0</v>
      </c>
      <c r="N769" t="n">
        <v>0</v>
      </c>
      <c r="O769" t="n">
        <v>0</v>
      </c>
      <c r="P769" t="n">
        <v>0</v>
      </c>
      <c r="Q769" t="n">
        <v>0</v>
      </c>
      <c r="R769" s="2" t="inlineStr"/>
    </row>
    <row r="770" ht="15" customHeight="1">
      <c r="A770" t="inlineStr">
        <is>
          <t>A 23731-2022</t>
        </is>
      </c>
      <c r="B770" s="1" t="n">
        <v>44722</v>
      </c>
      <c r="C770" s="1" t="n">
        <v>45294</v>
      </c>
      <c r="D770" t="inlineStr">
        <is>
          <t>JÄMTLANDS LÄN</t>
        </is>
      </c>
      <c r="E770" t="inlineStr">
        <is>
          <t>HÄRJEDALEN</t>
        </is>
      </c>
      <c r="G770" t="n">
        <v>15.6</v>
      </c>
      <c r="H770" t="n">
        <v>0</v>
      </c>
      <c r="I770" t="n">
        <v>0</v>
      </c>
      <c r="J770" t="n">
        <v>0</v>
      </c>
      <c r="K770" t="n">
        <v>0</v>
      </c>
      <c r="L770" t="n">
        <v>0</v>
      </c>
      <c r="M770" t="n">
        <v>0</v>
      </c>
      <c r="N770" t="n">
        <v>0</v>
      </c>
      <c r="O770" t="n">
        <v>0</v>
      </c>
      <c r="P770" t="n">
        <v>0</v>
      </c>
      <c r="Q770" t="n">
        <v>0</v>
      </c>
      <c r="R770" s="2" t="inlineStr"/>
    </row>
    <row r="771" ht="15" customHeight="1">
      <c r="A771" t="inlineStr">
        <is>
          <t>A 24214-2022</t>
        </is>
      </c>
      <c r="B771" s="1" t="n">
        <v>44725</v>
      </c>
      <c r="C771" s="1" t="n">
        <v>45294</v>
      </c>
      <c r="D771" t="inlineStr">
        <is>
          <t>JÄMTLANDS LÄN</t>
        </is>
      </c>
      <c r="E771" t="inlineStr">
        <is>
          <t>HÄRJEDALEN</t>
        </is>
      </c>
      <c r="F771" t="inlineStr">
        <is>
          <t>Holmen skog AB</t>
        </is>
      </c>
      <c r="G771" t="n">
        <v>7.8</v>
      </c>
      <c r="H771" t="n">
        <v>0</v>
      </c>
      <c r="I771" t="n">
        <v>0</v>
      </c>
      <c r="J771" t="n">
        <v>0</v>
      </c>
      <c r="K771" t="n">
        <v>0</v>
      </c>
      <c r="L771" t="n">
        <v>0</v>
      </c>
      <c r="M771" t="n">
        <v>0</v>
      </c>
      <c r="N771" t="n">
        <v>0</v>
      </c>
      <c r="O771" t="n">
        <v>0</v>
      </c>
      <c r="P771" t="n">
        <v>0</v>
      </c>
      <c r="Q771" t="n">
        <v>0</v>
      </c>
      <c r="R771" s="2" t="inlineStr"/>
    </row>
    <row r="772" ht="15" customHeight="1">
      <c r="A772" t="inlineStr">
        <is>
          <t>A 24426-2022</t>
        </is>
      </c>
      <c r="B772" s="1" t="n">
        <v>44726</v>
      </c>
      <c r="C772" s="1" t="n">
        <v>45294</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24530-2022</t>
        </is>
      </c>
      <c r="B773" s="1" t="n">
        <v>44726</v>
      </c>
      <c r="C773" s="1" t="n">
        <v>45294</v>
      </c>
      <c r="D773" t="inlineStr">
        <is>
          <t>JÄMTLANDS LÄN</t>
        </is>
      </c>
      <c r="E773" t="inlineStr">
        <is>
          <t>HÄRJEDALEN</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24571-2022</t>
        </is>
      </c>
      <c r="B774" s="1" t="n">
        <v>44727</v>
      </c>
      <c r="C774" s="1" t="n">
        <v>45294</v>
      </c>
      <c r="D774" t="inlineStr">
        <is>
          <t>JÄMTLANDS LÄN</t>
        </is>
      </c>
      <c r="E774" t="inlineStr">
        <is>
          <t>HÄRJEDALEN</t>
        </is>
      </c>
      <c r="G774" t="n">
        <v>2.6</v>
      </c>
      <c r="H774" t="n">
        <v>0</v>
      </c>
      <c r="I774" t="n">
        <v>0</v>
      </c>
      <c r="J774" t="n">
        <v>0</v>
      </c>
      <c r="K774" t="n">
        <v>0</v>
      </c>
      <c r="L774" t="n">
        <v>0</v>
      </c>
      <c r="M774" t="n">
        <v>0</v>
      </c>
      <c r="N774" t="n">
        <v>0</v>
      </c>
      <c r="O774" t="n">
        <v>0</v>
      </c>
      <c r="P774" t="n">
        <v>0</v>
      </c>
      <c r="Q774" t="n">
        <v>0</v>
      </c>
      <c r="R774" s="2" t="inlineStr"/>
    </row>
    <row r="775" ht="15" customHeight="1">
      <c r="A775" t="inlineStr">
        <is>
          <t>A 24690-2022</t>
        </is>
      </c>
      <c r="B775" s="1" t="n">
        <v>44727</v>
      </c>
      <c r="C775" s="1" t="n">
        <v>45294</v>
      </c>
      <c r="D775" t="inlineStr">
        <is>
          <t>JÄMTLANDS LÄN</t>
        </is>
      </c>
      <c r="E775" t="inlineStr">
        <is>
          <t>HÄRJEDALEN</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24693-2022</t>
        </is>
      </c>
      <c r="B776" s="1" t="n">
        <v>44727</v>
      </c>
      <c r="C776" s="1" t="n">
        <v>45294</v>
      </c>
      <c r="D776" t="inlineStr">
        <is>
          <t>JÄMTLANDS LÄN</t>
        </is>
      </c>
      <c r="E776" t="inlineStr">
        <is>
          <t>HÄRJEDALEN</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24824-2022</t>
        </is>
      </c>
      <c r="B777" s="1" t="n">
        <v>44728</v>
      </c>
      <c r="C777" s="1" t="n">
        <v>45294</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24834-2022</t>
        </is>
      </c>
      <c r="B778" s="1" t="n">
        <v>44728</v>
      </c>
      <c r="C778" s="1" t="n">
        <v>45294</v>
      </c>
      <c r="D778" t="inlineStr">
        <is>
          <t>JÄMTLANDS LÄN</t>
        </is>
      </c>
      <c r="E778" t="inlineStr">
        <is>
          <t>HÄRJEDALEN</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24792-2022</t>
        </is>
      </c>
      <c r="B779" s="1" t="n">
        <v>44728</v>
      </c>
      <c r="C779" s="1" t="n">
        <v>45294</v>
      </c>
      <c r="D779" t="inlineStr">
        <is>
          <t>JÄMTLANDS LÄN</t>
        </is>
      </c>
      <c r="E779" t="inlineStr">
        <is>
          <t>HÄRJEDALEN</t>
        </is>
      </c>
      <c r="G779" t="n">
        <v>0.2</v>
      </c>
      <c r="H779" t="n">
        <v>0</v>
      </c>
      <c r="I779" t="n">
        <v>0</v>
      </c>
      <c r="J779" t="n">
        <v>0</v>
      </c>
      <c r="K779" t="n">
        <v>0</v>
      </c>
      <c r="L779" t="n">
        <v>0</v>
      </c>
      <c r="M779" t="n">
        <v>0</v>
      </c>
      <c r="N779" t="n">
        <v>0</v>
      </c>
      <c r="O779" t="n">
        <v>0</v>
      </c>
      <c r="P779" t="n">
        <v>0</v>
      </c>
      <c r="Q779" t="n">
        <v>0</v>
      </c>
      <c r="R779" s="2" t="inlineStr"/>
    </row>
    <row r="780" ht="15" customHeight="1">
      <c r="A780" t="inlineStr">
        <is>
          <t>A 25500-2022</t>
        </is>
      </c>
      <c r="B780" s="1" t="n">
        <v>44732</v>
      </c>
      <c r="C780" s="1" t="n">
        <v>45294</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25583-2022</t>
        </is>
      </c>
      <c r="B781" s="1" t="n">
        <v>44732</v>
      </c>
      <c r="C781" s="1" t="n">
        <v>45294</v>
      </c>
      <c r="D781" t="inlineStr">
        <is>
          <t>JÄMTLANDS LÄN</t>
        </is>
      </c>
      <c r="E781" t="inlineStr">
        <is>
          <t>HÄRJEDALEN</t>
        </is>
      </c>
      <c r="F781" t="inlineStr">
        <is>
          <t>Bergvik skog väst AB</t>
        </is>
      </c>
      <c r="G781" t="n">
        <v>7.5</v>
      </c>
      <c r="H781" t="n">
        <v>0</v>
      </c>
      <c r="I781" t="n">
        <v>0</v>
      </c>
      <c r="J781" t="n">
        <v>0</v>
      </c>
      <c r="K781" t="n">
        <v>0</v>
      </c>
      <c r="L781" t="n">
        <v>0</v>
      </c>
      <c r="M781" t="n">
        <v>0</v>
      </c>
      <c r="N781" t="n">
        <v>0</v>
      </c>
      <c r="O781" t="n">
        <v>0</v>
      </c>
      <c r="P781" t="n">
        <v>0</v>
      </c>
      <c r="Q781" t="n">
        <v>0</v>
      </c>
      <c r="R781" s="2" t="inlineStr"/>
    </row>
    <row r="782" ht="15" customHeight="1">
      <c r="A782" t="inlineStr">
        <is>
          <t>A 25780-2022</t>
        </is>
      </c>
      <c r="B782" s="1" t="n">
        <v>44733</v>
      </c>
      <c r="C782" s="1" t="n">
        <v>45294</v>
      </c>
      <c r="D782" t="inlineStr">
        <is>
          <t>JÄMTLANDS LÄN</t>
        </is>
      </c>
      <c r="E782" t="inlineStr">
        <is>
          <t>HÄRJEDALEN</t>
        </is>
      </c>
      <c r="F782" t="inlineStr">
        <is>
          <t>Kyrkan</t>
        </is>
      </c>
      <c r="G782" t="n">
        <v>7.7</v>
      </c>
      <c r="H782" t="n">
        <v>0</v>
      </c>
      <c r="I782" t="n">
        <v>0</v>
      </c>
      <c r="J782" t="n">
        <v>0</v>
      </c>
      <c r="K782" t="n">
        <v>0</v>
      </c>
      <c r="L782" t="n">
        <v>0</v>
      </c>
      <c r="M782" t="n">
        <v>0</v>
      </c>
      <c r="N782" t="n">
        <v>0</v>
      </c>
      <c r="O782" t="n">
        <v>0</v>
      </c>
      <c r="P782" t="n">
        <v>0</v>
      </c>
      <c r="Q782" t="n">
        <v>0</v>
      </c>
      <c r="R782" s="2" t="inlineStr"/>
    </row>
    <row r="783" ht="15" customHeight="1">
      <c r="A783" t="inlineStr">
        <is>
          <t>A 25725-2022</t>
        </is>
      </c>
      <c r="B783" s="1" t="n">
        <v>44733</v>
      </c>
      <c r="C783" s="1" t="n">
        <v>45294</v>
      </c>
      <c r="D783" t="inlineStr">
        <is>
          <t>JÄMTLANDS LÄN</t>
        </is>
      </c>
      <c r="E783" t="inlineStr">
        <is>
          <t>HÄRJEDALEN</t>
        </is>
      </c>
      <c r="F783" t="inlineStr">
        <is>
          <t>Kyrkan</t>
        </is>
      </c>
      <c r="G783" t="n">
        <v>14</v>
      </c>
      <c r="H783" t="n">
        <v>0</v>
      </c>
      <c r="I783" t="n">
        <v>0</v>
      </c>
      <c r="J783" t="n">
        <v>0</v>
      </c>
      <c r="K783" t="n">
        <v>0</v>
      </c>
      <c r="L783" t="n">
        <v>0</v>
      </c>
      <c r="M783" t="n">
        <v>0</v>
      </c>
      <c r="N783" t="n">
        <v>0</v>
      </c>
      <c r="O783" t="n">
        <v>0</v>
      </c>
      <c r="P783" t="n">
        <v>0</v>
      </c>
      <c r="Q783" t="n">
        <v>0</v>
      </c>
      <c r="R783" s="2" t="inlineStr"/>
    </row>
    <row r="784" ht="15" customHeight="1">
      <c r="A784" t="inlineStr">
        <is>
          <t>A 25912-2022</t>
        </is>
      </c>
      <c r="B784" s="1" t="n">
        <v>44734</v>
      </c>
      <c r="C784" s="1" t="n">
        <v>45294</v>
      </c>
      <c r="D784" t="inlineStr">
        <is>
          <t>JÄMTLANDS LÄN</t>
        </is>
      </c>
      <c r="E784" t="inlineStr">
        <is>
          <t>HÄRJEDALEN</t>
        </is>
      </c>
      <c r="F784" t="inlineStr">
        <is>
          <t>Bergvik skog väst AB</t>
        </is>
      </c>
      <c r="G784" t="n">
        <v>13.7</v>
      </c>
      <c r="H784" t="n">
        <v>0</v>
      </c>
      <c r="I784" t="n">
        <v>0</v>
      </c>
      <c r="J784" t="n">
        <v>0</v>
      </c>
      <c r="K784" t="n">
        <v>0</v>
      </c>
      <c r="L784" t="n">
        <v>0</v>
      </c>
      <c r="M784" t="n">
        <v>0</v>
      </c>
      <c r="N784" t="n">
        <v>0</v>
      </c>
      <c r="O784" t="n">
        <v>0</v>
      </c>
      <c r="P784" t="n">
        <v>0</v>
      </c>
      <c r="Q784" t="n">
        <v>0</v>
      </c>
      <c r="R784" s="2" t="inlineStr"/>
    </row>
    <row r="785" ht="15" customHeight="1">
      <c r="A785" t="inlineStr">
        <is>
          <t>A 26613-2022</t>
        </is>
      </c>
      <c r="B785" s="1" t="n">
        <v>44739</v>
      </c>
      <c r="C785" s="1" t="n">
        <v>45294</v>
      </c>
      <c r="D785" t="inlineStr">
        <is>
          <t>JÄMTLANDS LÄN</t>
        </is>
      </c>
      <c r="E785" t="inlineStr">
        <is>
          <t>HÄRJEDALEN</t>
        </is>
      </c>
      <c r="F785" t="inlineStr">
        <is>
          <t>Bergvik skog väst AB</t>
        </is>
      </c>
      <c r="G785" t="n">
        <v>7.9</v>
      </c>
      <c r="H785" t="n">
        <v>0</v>
      </c>
      <c r="I785" t="n">
        <v>0</v>
      </c>
      <c r="J785" t="n">
        <v>0</v>
      </c>
      <c r="K785" t="n">
        <v>0</v>
      </c>
      <c r="L785" t="n">
        <v>0</v>
      </c>
      <c r="M785" t="n">
        <v>0</v>
      </c>
      <c r="N785" t="n">
        <v>0</v>
      </c>
      <c r="O785" t="n">
        <v>0</v>
      </c>
      <c r="P785" t="n">
        <v>0</v>
      </c>
      <c r="Q785" t="n">
        <v>0</v>
      </c>
      <c r="R785" s="2" t="inlineStr"/>
    </row>
    <row r="786" ht="15" customHeight="1">
      <c r="A786" t="inlineStr">
        <is>
          <t>A 26935-2022</t>
        </is>
      </c>
      <c r="B786" s="1" t="n">
        <v>44740</v>
      </c>
      <c r="C786" s="1" t="n">
        <v>45294</v>
      </c>
      <c r="D786" t="inlineStr">
        <is>
          <t>JÄMTLANDS LÄN</t>
        </is>
      </c>
      <c r="E786" t="inlineStr">
        <is>
          <t>HÄRJEDALEN</t>
        </is>
      </c>
      <c r="G786" t="n">
        <v>10.8</v>
      </c>
      <c r="H786" t="n">
        <v>0</v>
      </c>
      <c r="I786" t="n">
        <v>0</v>
      </c>
      <c r="J786" t="n">
        <v>0</v>
      </c>
      <c r="K786" t="n">
        <v>0</v>
      </c>
      <c r="L786" t="n">
        <v>0</v>
      </c>
      <c r="M786" t="n">
        <v>0</v>
      </c>
      <c r="N786" t="n">
        <v>0</v>
      </c>
      <c r="O786" t="n">
        <v>0</v>
      </c>
      <c r="P786" t="n">
        <v>0</v>
      </c>
      <c r="Q786" t="n">
        <v>0</v>
      </c>
      <c r="R786" s="2" t="inlineStr"/>
    </row>
    <row r="787" ht="15" customHeight="1">
      <c r="A787" t="inlineStr">
        <is>
          <t>A 27483-2022</t>
        </is>
      </c>
      <c r="B787" s="1" t="n">
        <v>44742</v>
      </c>
      <c r="C787" s="1" t="n">
        <v>45294</v>
      </c>
      <c r="D787" t="inlineStr">
        <is>
          <t>JÄMTLANDS LÄN</t>
        </is>
      </c>
      <c r="E787" t="inlineStr">
        <is>
          <t>HÄRJEDALEN</t>
        </is>
      </c>
      <c r="F787" t="inlineStr">
        <is>
          <t>Holmen skog AB</t>
        </is>
      </c>
      <c r="G787" t="n">
        <v>0</v>
      </c>
      <c r="H787" t="n">
        <v>0</v>
      </c>
      <c r="I787" t="n">
        <v>0</v>
      </c>
      <c r="J787" t="n">
        <v>0</v>
      </c>
      <c r="K787" t="n">
        <v>0</v>
      </c>
      <c r="L787" t="n">
        <v>0</v>
      </c>
      <c r="M787" t="n">
        <v>0</v>
      </c>
      <c r="N787" t="n">
        <v>0</v>
      </c>
      <c r="O787" t="n">
        <v>0</v>
      </c>
      <c r="P787" t="n">
        <v>0</v>
      </c>
      <c r="Q787" t="n">
        <v>0</v>
      </c>
      <c r="R787" s="2" t="inlineStr"/>
    </row>
    <row r="788" ht="15" customHeight="1">
      <c r="A788" t="inlineStr">
        <is>
          <t>A 29000-2022</t>
        </is>
      </c>
      <c r="B788" s="1" t="n">
        <v>44749</v>
      </c>
      <c r="C788" s="1" t="n">
        <v>45294</v>
      </c>
      <c r="D788" t="inlineStr">
        <is>
          <t>JÄMTLANDS LÄN</t>
        </is>
      </c>
      <c r="E788" t="inlineStr">
        <is>
          <t>HÄRJEDALEN</t>
        </is>
      </c>
      <c r="F788" t="inlineStr">
        <is>
          <t>Kyrkan</t>
        </is>
      </c>
      <c r="G788" t="n">
        <v>16.7</v>
      </c>
      <c r="H788" t="n">
        <v>0</v>
      </c>
      <c r="I788" t="n">
        <v>0</v>
      </c>
      <c r="J788" t="n">
        <v>0</v>
      </c>
      <c r="K788" t="n">
        <v>0</v>
      </c>
      <c r="L788" t="n">
        <v>0</v>
      </c>
      <c r="M788" t="n">
        <v>0</v>
      </c>
      <c r="N788" t="n">
        <v>0</v>
      </c>
      <c r="O788" t="n">
        <v>0</v>
      </c>
      <c r="P788" t="n">
        <v>0</v>
      </c>
      <c r="Q788" t="n">
        <v>0</v>
      </c>
      <c r="R788" s="2" t="inlineStr"/>
    </row>
    <row r="789" ht="15" customHeight="1">
      <c r="A789" t="inlineStr">
        <is>
          <t>A 29455-2022</t>
        </is>
      </c>
      <c r="B789" s="1" t="n">
        <v>44753</v>
      </c>
      <c r="C789" s="1" t="n">
        <v>45294</v>
      </c>
      <c r="D789" t="inlineStr">
        <is>
          <t>JÄMTLANDS LÄN</t>
        </is>
      </c>
      <c r="E789" t="inlineStr">
        <is>
          <t>HÄRJEDALEN</t>
        </is>
      </c>
      <c r="F789" t="inlineStr">
        <is>
          <t>Bergvik skog väst AB</t>
        </is>
      </c>
      <c r="G789" t="n">
        <v>1.7</v>
      </c>
      <c r="H789" t="n">
        <v>0</v>
      </c>
      <c r="I789" t="n">
        <v>0</v>
      </c>
      <c r="J789" t="n">
        <v>0</v>
      </c>
      <c r="K789" t="n">
        <v>0</v>
      </c>
      <c r="L789" t="n">
        <v>0</v>
      </c>
      <c r="M789" t="n">
        <v>0</v>
      </c>
      <c r="N789" t="n">
        <v>0</v>
      </c>
      <c r="O789" t="n">
        <v>0</v>
      </c>
      <c r="P789" t="n">
        <v>0</v>
      </c>
      <c r="Q789" t="n">
        <v>0</v>
      </c>
      <c r="R789" s="2" t="inlineStr"/>
    </row>
    <row r="790" ht="15" customHeight="1">
      <c r="A790" t="inlineStr">
        <is>
          <t>A 30082-2022</t>
        </is>
      </c>
      <c r="B790" s="1" t="n">
        <v>44757</v>
      </c>
      <c r="C790" s="1" t="n">
        <v>45294</v>
      </c>
      <c r="D790" t="inlineStr">
        <is>
          <t>JÄMTLANDS LÄN</t>
        </is>
      </c>
      <c r="E790" t="inlineStr">
        <is>
          <t>HÄRJEDALEN</t>
        </is>
      </c>
      <c r="G790" t="n">
        <v>3</v>
      </c>
      <c r="H790" t="n">
        <v>0</v>
      </c>
      <c r="I790" t="n">
        <v>0</v>
      </c>
      <c r="J790" t="n">
        <v>0</v>
      </c>
      <c r="K790" t="n">
        <v>0</v>
      </c>
      <c r="L790" t="n">
        <v>0</v>
      </c>
      <c r="M790" t="n">
        <v>0</v>
      </c>
      <c r="N790" t="n">
        <v>0</v>
      </c>
      <c r="O790" t="n">
        <v>0</v>
      </c>
      <c r="P790" t="n">
        <v>0</v>
      </c>
      <c r="Q790" t="n">
        <v>0</v>
      </c>
      <c r="R790" s="2" t="inlineStr"/>
    </row>
    <row r="791" ht="15" customHeight="1">
      <c r="A791" t="inlineStr">
        <is>
          <t>A 30537-2022</t>
        </is>
      </c>
      <c r="B791" s="1" t="n">
        <v>44762</v>
      </c>
      <c r="C791" s="1" t="n">
        <v>45294</v>
      </c>
      <c r="D791" t="inlineStr">
        <is>
          <t>JÄMTLANDS LÄN</t>
        </is>
      </c>
      <c r="E791" t="inlineStr">
        <is>
          <t>HÄRJEDALEN</t>
        </is>
      </c>
      <c r="F791" t="inlineStr">
        <is>
          <t>Bergvik skog väst AB</t>
        </is>
      </c>
      <c r="G791" t="n">
        <v>18.5</v>
      </c>
      <c r="H791" t="n">
        <v>0</v>
      </c>
      <c r="I791" t="n">
        <v>0</v>
      </c>
      <c r="J791" t="n">
        <v>0</v>
      </c>
      <c r="K791" t="n">
        <v>0</v>
      </c>
      <c r="L791" t="n">
        <v>0</v>
      </c>
      <c r="M791" t="n">
        <v>0</v>
      </c>
      <c r="N791" t="n">
        <v>0</v>
      </c>
      <c r="O791" t="n">
        <v>0</v>
      </c>
      <c r="P791" t="n">
        <v>0</v>
      </c>
      <c r="Q791" t="n">
        <v>0</v>
      </c>
      <c r="R791" s="2" t="inlineStr"/>
    </row>
    <row r="792" ht="15" customHeight="1">
      <c r="A792" t="inlineStr">
        <is>
          <t>A 30643-2022</t>
        </is>
      </c>
      <c r="B792" s="1" t="n">
        <v>44763</v>
      </c>
      <c r="C792" s="1" t="n">
        <v>45294</v>
      </c>
      <c r="D792" t="inlineStr">
        <is>
          <t>JÄMTLANDS LÄN</t>
        </is>
      </c>
      <c r="E792" t="inlineStr">
        <is>
          <t>HÄRJEDALEN</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30962-2022</t>
        </is>
      </c>
      <c r="B793" s="1" t="n">
        <v>44768</v>
      </c>
      <c r="C793" s="1" t="n">
        <v>45294</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31061-2022</t>
        </is>
      </c>
      <c r="B794" s="1" t="n">
        <v>44769</v>
      </c>
      <c r="C794" s="1" t="n">
        <v>45294</v>
      </c>
      <c r="D794" t="inlineStr">
        <is>
          <t>JÄMTLANDS LÄN</t>
        </is>
      </c>
      <c r="E794" t="inlineStr">
        <is>
          <t>HÄRJEDALEN</t>
        </is>
      </c>
      <c r="F794" t="inlineStr">
        <is>
          <t>Bergvik skog väst AB</t>
        </is>
      </c>
      <c r="G794" t="n">
        <v>15.8</v>
      </c>
      <c r="H794" t="n">
        <v>0</v>
      </c>
      <c r="I794" t="n">
        <v>0</v>
      </c>
      <c r="J794" t="n">
        <v>0</v>
      </c>
      <c r="K794" t="n">
        <v>0</v>
      </c>
      <c r="L794" t="n">
        <v>0</v>
      </c>
      <c r="M794" t="n">
        <v>0</v>
      </c>
      <c r="N794" t="n">
        <v>0</v>
      </c>
      <c r="O794" t="n">
        <v>0</v>
      </c>
      <c r="P794" t="n">
        <v>0</v>
      </c>
      <c r="Q794" t="n">
        <v>0</v>
      </c>
      <c r="R794" s="2" t="inlineStr"/>
    </row>
    <row r="795" ht="15" customHeight="1">
      <c r="A795" t="inlineStr">
        <is>
          <t>A 31167-2022</t>
        </is>
      </c>
      <c r="B795" s="1" t="n">
        <v>44770</v>
      </c>
      <c r="C795" s="1" t="n">
        <v>45294</v>
      </c>
      <c r="D795" t="inlineStr">
        <is>
          <t>JÄMTLANDS LÄN</t>
        </is>
      </c>
      <c r="E795" t="inlineStr">
        <is>
          <t>HÄRJEDALEN</t>
        </is>
      </c>
      <c r="G795" t="n">
        <v>1.9</v>
      </c>
      <c r="H795" t="n">
        <v>0</v>
      </c>
      <c r="I795" t="n">
        <v>0</v>
      </c>
      <c r="J795" t="n">
        <v>0</v>
      </c>
      <c r="K795" t="n">
        <v>0</v>
      </c>
      <c r="L795" t="n">
        <v>0</v>
      </c>
      <c r="M795" t="n">
        <v>0</v>
      </c>
      <c r="N795" t="n">
        <v>0</v>
      </c>
      <c r="O795" t="n">
        <v>0</v>
      </c>
      <c r="P795" t="n">
        <v>0</v>
      </c>
      <c r="Q795" t="n">
        <v>0</v>
      </c>
      <c r="R795" s="2" t="inlineStr"/>
    </row>
    <row r="796" ht="15" customHeight="1">
      <c r="A796" t="inlineStr">
        <is>
          <t>A 32910-2022</t>
        </is>
      </c>
      <c r="B796" s="1" t="n">
        <v>44784</v>
      </c>
      <c r="C796" s="1" t="n">
        <v>45294</v>
      </c>
      <c r="D796" t="inlineStr">
        <is>
          <t>JÄMTLANDS LÄN</t>
        </is>
      </c>
      <c r="E796" t="inlineStr">
        <is>
          <t>HÄRJEDALEN</t>
        </is>
      </c>
      <c r="F796" t="inlineStr">
        <is>
          <t>Bergvik skog väst AB</t>
        </is>
      </c>
      <c r="G796" t="n">
        <v>14.4</v>
      </c>
      <c r="H796" t="n">
        <v>0</v>
      </c>
      <c r="I796" t="n">
        <v>0</v>
      </c>
      <c r="J796" t="n">
        <v>0</v>
      </c>
      <c r="K796" t="n">
        <v>0</v>
      </c>
      <c r="L796" t="n">
        <v>0</v>
      </c>
      <c r="M796" t="n">
        <v>0</v>
      </c>
      <c r="N796" t="n">
        <v>0</v>
      </c>
      <c r="O796" t="n">
        <v>0</v>
      </c>
      <c r="P796" t="n">
        <v>0</v>
      </c>
      <c r="Q796" t="n">
        <v>0</v>
      </c>
      <c r="R796" s="2" t="inlineStr"/>
    </row>
    <row r="797" ht="15" customHeight="1">
      <c r="A797" t="inlineStr">
        <is>
          <t>A 32974-2022</t>
        </is>
      </c>
      <c r="B797" s="1" t="n">
        <v>44784</v>
      </c>
      <c r="C797" s="1" t="n">
        <v>45294</v>
      </c>
      <c r="D797" t="inlineStr">
        <is>
          <t>JÄMTLANDS LÄN</t>
        </is>
      </c>
      <c r="E797" t="inlineStr">
        <is>
          <t>HÄRJEDALEN</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33465-2022</t>
        </is>
      </c>
      <c r="B798" s="1" t="n">
        <v>44788</v>
      </c>
      <c r="C798" s="1" t="n">
        <v>45294</v>
      </c>
      <c r="D798" t="inlineStr">
        <is>
          <t>JÄMTLANDS LÄN</t>
        </is>
      </c>
      <c r="E798" t="inlineStr">
        <is>
          <t>HÄRJEDALEN</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33900-2022</t>
        </is>
      </c>
      <c r="B799" s="1" t="n">
        <v>44790</v>
      </c>
      <c r="C799" s="1" t="n">
        <v>45294</v>
      </c>
      <c r="D799" t="inlineStr">
        <is>
          <t>JÄMTLANDS LÄN</t>
        </is>
      </c>
      <c r="E799" t="inlineStr">
        <is>
          <t>HÄRJEDALEN</t>
        </is>
      </c>
      <c r="F799" t="inlineStr">
        <is>
          <t>Bergvik skog väst AB</t>
        </is>
      </c>
      <c r="G799" t="n">
        <v>15.2</v>
      </c>
      <c r="H799" t="n">
        <v>0</v>
      </c>
      <c r="I799" t="n">
        <v>0</v>
      </c>
      <c r="J799" t="n">
        <v>0</v>
      </c>
      <c r="K799" t="n">
        <v>0</v>
      </c>
      <c r="L799" t="n">
        <v>0</v>
      </c>
      <c r="M799" t="n">
        <v>0</v>
      </c>
      <c r="N799" t="n">
        <v>0</v>
      </c>
      <c r="O799" t="n">
        <v>0</v>
      </c>
      <c r="P799" t="n">
        <v>0</v>
      </c>
      <c r="Q799" t="n">
        <v>0</v>
      </c>
      <c r="R799" s="2" t="inlineStr"/>
    </row>
    <row r="800" ht="15" customHeight="1">
      <c r="A800" t="inlineStr">
        <is>
          <t>A 33889-2022</t>
        </is>
      </c>
      <c r="B800" s="1" t="n">
        <v>44790</v>
      </c>
      <c r="C800" s="1" t="n">
        <v>45294</v>
      </c>
      <c r="D800" t="inlineStr">
        <is>
          <t>JÄMTLANDS LÄN</t>
        </is>
      </c>
      <c r="E800" t="inlineStr">
        <is>
          <t>HÄRJEDALEN</t>
        </is>
      </c>
      <c r="F800" t="inlineStr">
        <is>
          <t>Bergvik skog väst AB</t>
        </is>
      </c>
      <c r="G800" t="n">
        <v>6.6</v>
      </c>
      <c r="H800" t="n">
        <v>0</v>
      </c>
      <c r="I800" t="n">
        <v>0</v>
      </c>
      <c r="J800" t="n">
        <v>0</v>
      </c>
      <c r="K800" t="n">
        <v>0</v>
      </c>
      <c r="L800" t="n">
        <v>0</v>
      </c>
      <c r="M800" t="n">
        <v>0</v>
      </c>
      <c r="N800" t="n">
        <v>0</v>
      </c>
      <c r="O800" t="n">
        <v>0</v>
      </c>
      <c r="P800" t="n">
        <v>0</v>
      </c>
      <c r="Q800" t="n">
        <v>0</v>
      </c>
      <c r="R800" s="2" t="inlineStr"/>
    </row>
    <row r="801" ht="15" customHeight="1">
      <c r="A801" t="inlineStr">
        <is>
          <t>A 34112-2022</t>
        </is>
      </c>
      <c r="B801" s="1" t="n">
        <v>44791</v>
      </c>
      <c r="C801" s="1" t="n">
        <v>45294</v>
      </c>
      <c r="D801" t="inlineStr">
        <is>
          <t>JÄMTLANDS LÄN</t>
        </is>
      </c>
      <c r="E801" t="inlineStr">
        <is>
          <t>HÄRJEDALEN</t>
        </is>
      </c>
      <c r="F801" t="inlineStr">
        <is>
          <t>Holmen skog AB</t>
        </is>
      </c>
      <c r="G801" t="n">
        <v>0.6</v>
      </c>
      <c r="H801" t="n">
        <v>0</v>
      </c>
      <c r="I801" t="n">
        <v>0</v>
      </c>
      <c r="J801" t="n">
        <v>0</v>
      </c>
      <c r="K801" t="n">
        <v>0</v>
      </c>
      <c r="L801" t="n">
        <v>0</v>
      </c>
      <c r="M801" t="n">
        <v>0</v>
      </c>
      <c r="N801" t="n">
        <v>0</v>
      </c>
      <c r="O801" t="n">
        <v>0</v>
      </c>
      <c r="P801" t="n">
        <v>0</v>
      </c>
      <c r="Q801" t="n">
        <v>0</v>
      </c>
      <c r="R801" s="2" t="inlineStr"/>
    </row>
    <row r="802" ht="15" customHeight="1">
      <c r="A802" t="inlineStr">
        <is>
          <t>A 34359-2022</t>
        </is>
      </c>
      <c r="B802" s="1" t="n">
        <v>44792</v>
      </c>
      <c r="C802" s="1" t="n">
        <v>45294</v>
      </c>
      <c r="D802" t="inlineStr">
        <is>
          <t>JÄMTLANDS LÄN</t>
        </is>
      </c>
      <c r="E802" t="inlineStr">
        <is>
          <t>HÄRJEDALEN</t>
        </is>
      </c>
      <c r="F802" t="inlineStr">
        <is>
          <t>Bergvik skog väst AB</t>
        </is>
      </c>
      <c r="G802" t="n">
        <v>23.1</v>
      </c>
      <c r="H802" t="n">
        <v>0</v>
      </c>
      <c r="I802" t="n">
        <v>0</v>
      </c>
      <c r="J802" t="n">
        <v>0</v>
      </c>
      <c r="K802" t="n">
        <v>0</v>
      </c>
      <c r="L802" t="n">
        <v>0</v>
      </c>
      <c r="M802" t="n">
        <v>0</v>
      </c>
      <c r="N802" t="n">
        <v>0</v>
      </c>
      <c r="O802" t="n">
        <v>0</v>
      </c>
      <c r="P802" t="n">
        <v>0</v>
      </c>
      <c r="Q802" t="n">
        <v>0</v>
      </c>
      <c r="R802" s="2" t="inlineStr"/>
    </row>
    <row r="803" ht="15" customHeight="1">
      <c r="A803" t="inlineStr">
        <is>
          <t>A 34361-2022</t>
        </is>
      </c>
      <c r="B803" s="1" t="n">
        <v>44792</v>
      </c>
      <c r="C803" s="1" t="n">
        <v>45294</v>
      </c>
      <c r="D803" t="inlineStr">
        <is>
          <t>JÄMTLANDS LÄN</t>
        </is>
      </c>
      <c r="E803" t="inlineStr">
        <is>
          <t>HÄRJEDALEN</t>
        </is>
      </c>
      <c r="F803" t="inlineStr">
        <is>
          <t>Bergvik skog väst AB</t>
        </is>
      </c>
      <c r="G803" t="n">
        <v>2.9</v>
      </c>
      <c r="H803" t="n">
        <v>0</v>
      </c>
      <c r="I803" t="n">
        <v>0</v>
      </c>
      <c r="J803" t="n">
        <v>0</v>
      </c>
      <c r="K803" t="n">
        <v>0</v>
      </c>
      <c r="L803" t="n">
        <v>0</v>
      </c>
      <c r="M803" t="n">
        <v>0</v>
      </c>
      <c r="N803" t="n">
        <v>0</v>
      </c>
      <c r="O803" t="n">
        <v>0</v>
      </c>
      <c r="P803" t="n">
        <v>0</v>
      </c>
      <c r="Q803" t="n">
        <v>0</v>
      </c>
      <c r="R803" s="2" t="inlineStr"/>
    </row>
    <row r="804" ht="15" customHeight="1">
      <c r="A804" t="inlineStr">
        <is>
          <t>A 34392-2022</t>
        </is>
      </c>
      <c r="B804" s="1" t="n">
        <v>44792</v>
      </c>
      <c r="C804" s="1" t="n">
        <v>45294</v>
      </c>
      <c r="D804" t="inlineStr">
        <is>
          <t>JÄMTLANDS LÄN</t>
        </is>
      </c>
      <c r="E804" t="inlineStr">
        <is>
          <t>HÄRJEDALEN</t>
        </is>
      </c>
      <c r="G804" t="n">
        <v>23.5</v>
      </c>
      <c r="H804" t="n">
        <v>0</v>
      </c>
      <c r="I804" t="n">
        <v>0</v>
      </c>
      <c r="J804" t="n">
        <v>0</v>
      </c>
      <c r="K804" t="n">
        <v>0</v>
      </c>
      <c r="L804" t="n">
        <v>0</v>
      </c>
      <c r="M804" t="n">
        <v>0</v>
      </c>
      <c r="N804" t="n">
        <v>0</v>
      </c>
      <c r="O804" t="n">
        <v>0</v>
      </c>
      <c r="P804" t="n">
        <v>0</v>
      </c>
      <c r="Q804" t="n">
        <v>0</v>
      </c>
      <c r="R804" s="2" t="inlineStr"/>
    </row>
    <row r="805" ht="15" customHeight="1">
      <c r="A805" t="inlineStr">
        <is>
          <t>A 34492-2022</t>
        </is>
      </c>
      <c r="B805" s="1" t="n">
        <v>44792</v>
      </c>
      <c r="C805" s="1" t="n">
        <v>45294</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34627-2022</t>
        </is>
      </c>
      <c r="B806" s="1" t="n">
        <v>44795</v>
      </c>
      <c r="C806" s="1" t="n">
        <v>45294</v>
      </c>
      <c r="D806" t="inlineStr">
        <is>
          <t>JÄMTLANDS LÄN</t>
        </is>
      </c>
      <c r="E806" t="inlineStr">
        <is>
          <t>HÄRJEDALEN</t>
        </is>
      </c>
      <c r="G806" t="n">
        <v>2.4</v>
      </c>
      <c r="H806" t="n">
        <v>0</v>
      </c>
      <c r="I806" t="n">
        <v>0</v>
      </c>
      <c r="J806" t="n">
        <v>0</v>
      </c>
      <c r="K806" t="n">
        <v>0</v>
      </c>
      <c r="L806" t="n">
        <v>0</v>
      </c>
      <c r="M806" t="n">
        <v>0</v>
      </c>
      <c r="N806" t="n">
        <v>0</v>
      </c>
      <c r="O806" t="n">
        <v>0</v>
      </c>
      <c r="P806" t="n">
        <v>0</v>
      </c>
      <c r="Q806" t="n">
        <v>0</v>
      </c>
      <c r="R806" s="2" t="inlineStr"/>
    </row>
    <row r="807" ht="15" customHeight="1">
      <c r="A807" t="inlineStr">
        <is>
          <t>A 34621-2022</t>
        </is>
      </c>
      <c r="B807" s="1" t="n">
        <v>44795</v>
      </c>
      <c r="C807" s="1" t="n">
        <v>45294</v>
      </c>
      <c r="D807" t="inlineStr">
        <is>
          <t>JÄMTLANDS LÄN</t>
        </is>
      </c>
      <c r="E807" t="inlineStr">
        <is>
          <t>HÄRJEDALEN</t>
        </is>
      </c>
      <c r="G807" t="n">
        <v>3.8</v>
      </c>
      <c r="H807" t="n">
        <v>0</v>
      </c>
      <c r="I807" t="n">
        <v>0</v>
      </c>
      <c r="J807" t="n">
        <v>0</v>
      </c>
      <c r="K807" t="n">
        <v>0</v>
      </c>
      <c r="L807" t="n">
        <v>0</v>
      </c>
      <c r="M807" t="n">
        <v>0</v>
      </c>
      <c r="N807" t="n">
        <v>0</v>
      </c>
      <c r="O807" t="n">
        <v>0</v>
      </c>
      <c r="P807" t="n">
        <v>0</v>
      </c>
      <c r="Q807" t="n">
        <v>0</v>
      </c>
      <c r="R807" s="2" t="inlineStr"/>
    </row>
    <row r="808" ht="15" customHeight="1">
      <c r="A808" t="inlineStr">
        <is>
          <t>A 35614-2022</t>
        </is>
      </c>
      <c r="B808" s="1" t="n">
        <v>44799</v>
      </c>
      <c r="C808" s="1" t="n">
        <v>45294</v>
      </c>
      <c r="D808" t="inlineStr">
        <is>
          <t>JÄMTLANDS LÄN</t>
        </is>
      </c>
      <c r="E808" t="inlineStr">
        <is>
          <t>HÄRJEDALEN</t>
        </is>
      </c>
      <c r="F808" t="inlineStr">
        <is>
          <t>Bergvik skog väst AB</t>
        </is>
      </c>
      <c r="G808" t="n">
        <v>72.09999999999999</v>
      </c>
      <c r="H808" t="n">
        <v>0</v>
      </c>
      <c r="I808" t="n">
        <v>0</v>
      </c>
      <c r="J808" t="n">
        <v>0</v>
      </c>
      <c r="K808" t="n">
        <v>0</v>
      </c>
      <c r="L808" t="n">
        <v>0</v>
      </c>
      <c r="M808" t="n">
        <v>0</v>
      </c>
      <c r="N808" t="n">
        <v>0</v>
      </c>
      <c r="O808" t="n">
        <v>0</v>
      </c>
      <c r="P808" t="n">
        <v>0</v>
      </c>
      <c r="Q808" t="n">
        <v>0</v>
      </c>
      <c r="R808" s="2" t="inlineStr"/>
    </row>
    <row r="809" ht="15" customHeight="1">
      <c r="A809" t="inlineStr">
        <is>
          <t>A 36249-2022</t>
        </is>
      </c>
      <c r="B809" s="1" t="n">
        <v>44803</v>
      </c>
      <c r="C809" s="1" t="n">
        <v>45294</v>
      </c>
      <c r="D809" t="inlineStr">
        <is>
          <t>JÄMTLANDS LÄN</t>
        </is>
      </c>
      <c r="E809" t="inlineStr">
        <is>
          <t>HÄRJEDALEN</t>
        </is>
      </c>
      <c r="G809" t="n">
        <v>7.2</v>
      </c>
      <c r="H809" t="n">
        <v>0</v>
      </c>
      <c r="I809" t="n">
        <v>0</v>
      </c>
      <c r="J809" t="n">
        <v>0</v>
      </c>
      <c r="K809" t="n">
        <v>0</v>
      </c>
      <c r="L809" t="n">
        <v>0</v>
      </c>
      <c r="M809" t="n">
        <v>0</v>
      </c>
      <c r="N809" t="n">
        <v>0</v>
      </c>
      <c r="O809" t="n">
        <v>0</v>
      </c>
      <c r="P809" t="n">
        <v>0</v>
      </c>
      <c r="Q809" t="n">
        <v>0</v>
      </c>
      <c r="R809" s="2" t="inlineStr"/>
    </row>
    <row r="810" ht="15" customHeight="1">
      <c r="A810" t="inlineStr">
        <is>
          <t>A 36170-2022</t>
        </is>
      </c>
      <c r="B810" s="1" t="n">
        <v>44803</v>
      </c>
      <c r="C810" s="1" t="n">
        <v>45294</v>
      </c>
      <c r="D810" t="inlineStr">
        <is>
          <t>JÄMTLANDS LÄN</t>
        </is>
      </c>
      <c r="E810" t="inlineStr">
        <is>
          <t>HÄRJEDALEN</t>
        </is>
      </c>
      <c r="G810" t="n">
        <v>14.7</v>
      </c>
      <c r="H810" t="n">
        <v>0</v>
      </c>
      <c r="I810" t="n">
        <v>0</v>
      </c>
      <c r="J810" t="n">
        <v>0</v>
      </c>
      <c r="K810" t="n">
        <v>0</v>
      </c>
      <c r="L810" t="n">
        <v>0</v>
      </c>
      <c r="M810" t="n">
        <v>0</v>
      </c>
      <c r="N810" t="n">
        <v>0</v>
      </c>
      <c r="O810" t="n">
        <v>0</v>
      </c>
      <c r="P810" t="n">
        <v>0</v>
      </c>
      <c r="Q810" t="n">
        <v>0</v>
      </c>
      <c r="R810" s="2" t="inlineStr"/>
    </row>
    <row r="811" ht="15" customHeight="1">
      <c r="A811" t="inlineStr">
        <is>
          <t>A 36182-2022</t>
        </is>
      </c>
      <c r="B811" s="1" t="n">
        <v>44803</v>
      </c>
      <c r="C811" s="1" t="n">
        <v>45294</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36187-2022</t>
        </is>
      </c>
      <c r="B812" s="1" t="n">
        <v>44803</v>
      </c>
      <c r="C812" s="1" t="n">
        <v>45294</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36448-2022</t>
        </is>
      </c>
      <c r="B813" s="1" t="n">
        <v>44804</v>
      </c>
      <c r="C813" s="1" t="n">
        <v>45294</v>
      </c>
      <c r="D813" t="inlineStr">
        <is>
          <t>JÄMTLANDS LÄN</t>
        </is>
      </c>
      <c r="E813" t="inlineStr">
        <is>
          <t>HÄRJEDALEN</t>
        </is>
      </c>
      <c r="F813" t="inlineStr">
        <is>
          <t>Bergvik skog väst AB</t>
        </is>
      </c>
      <c r="G813" t="n">
        <v>1.4</v>
      </c>
      <c r="H813" t="n">
        <v>0</v>
      </c>
      <c r="I813" t="n">
        <v>0</v>
      </c>
      <c r="J813" t="n">
        <v>0</v>
      </c>
      <c r="K813" t="n">
        <v>0</v>
      </c>
      <c r="L813" t="n">
        <v>0</v>
      </c>
      <c r="M813" t="n">
        <v>0</v>
      </c>
      <c r="N813" t="n">
        <v>0</v>
      </c>
      <c r="O813" t="n">
        <v>0</v>
      </c>
      <c r="P813" t="n">
        <v>0</v>
      </c>
      <c r="Q813" t="n">
        <v>0</v>
      </c>
      <c r="R813" s="2" t="inlineStr"/>
    </row>
    <row r="814" ht="15" customHeight="1">
      <c r="A814" t="inlineStr">
        <is>
          <t>A 37515-2022</t>
        </is>
      </c>
      <c r="B814" s="1" t="n">
        <v>44809</v>
      </c>
      <c r="C814" s="1" t="n">
        <v>45294</v>
      </c>
      <c r="D814" t="inlineStr">
        <is>
          <t>JÄMTLANDS LÄN</t>
        </is>
      </c>
      <c r="E814" t="inlineStr">
        <is>
          <t>HÄRJEDALEN</t>
        </is>
      </c>
      <c r="F814" t="inlineStr">
        <is>
          <t>Bergvik skog väst AB</t>
        </is>
      </c>
      <c r="G814" t="n">
        <v>3.2</v>
      </c>
      <c r="H814" t="n">
        <v>0</v>
      </c>
      <c r="I814" t="n">
        <v>0</v>
      </c>
      <c r="J814" t="n">
        <v>0</v>
      </c>
      <c r="K814" t="n">
        <v>0</v>
      </c>
      <c r="L814" t="n">
        <v>0</v>
      </c>
      <c r="M814" t="n">
        <v>0</v>
      </c>
      <c r="N814" t="n">
        <v>0</v>
      </c>
      <c r="O814" t="n">
        <v>0</v>
      </c>
      <c r="P814" t="n">
        <v>0</v>
      </c>
      <c r="Q814" t="n">
        <v>0</v>
      </c>
      <c r="R814" s="2" t="inlineStr"/>
    </row>
    <row r="815" ht="15" customHeight="1">
      <c r="A815" t="inlineStr">
        <is>
          <t>A 37666-2022</t>
        </is>
      </c>
      <c r="B815" s="1" t="n">
        <v>44810</v>
      </c>
      <c r="C815" s="1" t="n">
        <v>45294</v>
      </c>
      <c r="D815" t="inlineStr">
        <is>
          <t>JÄMTLANDS LÄN</t>
        </is>
      </c>
      <c r="E815" t="inlineStr">
        <is>
          <t>HÄRJEDALEN</t>
        </is>
      </c>
      <c r="F815" t="inlineStr">
        <is>
          <t>Holmen skog AB</t>
        </is>
      </c>
      <c r="G815" t="n">
        <v>7.2</v>
      </c>
      <c r="H815" t="n">
        <v>0</v>
      </c>
      <c r="I815" t="n">
        <v>0</v>
      </c>
      <c r="J815" t="n">
        <v>0</v>
      </c>
      <c r="K815" t="n">
        <v>0</v>
      </c>
      <c r="L815" t="n">
        <v>0</v>
      </c>
      <c r="M815" t="n">
        <v>0</v>
      </c>
      <c r="N815" t="n">
        <v>0</v>
      </c>
      <c r="O815" t="n">
        <v>0</v>
      </c>
      <c r="P815" t="n">
        <v>0</v>
      </c>
      <c r="Q815" t="n">
        <v>0</v>
      </c>
      <c r="R815" s="2" t="inlineStr"/>
    </row>
    <row r="816" ht="15" customHeight="1">
      <c r="A816" t="inlineStr">
        <is>
          <t>A 37690-2022</t>
        </is>
      </c>
      <c r="B816" s="1" t="n">
        <v>44810</v>
      </c>
      <c r="C816" s="1" t="n">
        <v>45294</v>
      </c>
      <c r="D816" t="inlineStr">
        <is>
          <t>JÄMTLANDS LÄN</t>
        </is>
      </c>
      <c r="E816" t="inlineStr">
        <is>
          <t>HÄRJEDALEN</t>
        </is>
      </c>
      <c r="F816" t="inlineStr">
        <is>
          <t>Holmen skog AB</t>
        </is>
      </c>
      <c r="G816" t="n">
        <v>7.8</v>
      </c>
      <c r="H816" t="n">
        <v>0</v>
      </c>
      <c r="I816" t="n">
        <v>0</v>
      </c>
      <c r="J816" t="n">
        <v>0</v>
      </c>
      <c r="K816" t="n">
        <v>0</v>
      </c>
      <c r="L816" t="n">
        <v>0</v>
      </c>
      <c r="M816" t="n">
        <v>0</v>
      </c>
      <c r="N816" t="n">
        <v>0</v>
      </c>
      <c r="O816" t="n">
        <v>0</v>
      </c>
      <c r="P816" t="n">
        <v>0</v>
      </c>
      <c r="Q816" t="n">
        <v>0</v>
      </c>
      <c r="R816" s="2" t="inlineStr"/>
    </row>
    <row r="817" ht="15" customHeight="1">
      <c r="A817" t="inlineStr">
        <is>
          <t>A 37678-2022</t>
        </is>
      </c>
      <c r="B817" s="1" t="n">
        <v>44810</v>
      </c>
      <c r="C817" s="1" t="n">
        <v>45294</v>
      </c>
      <c r="D817" t="inlineStr">
        <is>
          <t>JÄMTLANDS LÄN</t>
        </is>
      </c>
      <c r="E817" t="inlineStr">
        <is>
          <t>HÄRJEDALEN</t>
        </is>
      </c>
      <c r="F817" t="inlineStr">
        <is>
          <t>Bergvik skog väst AB</t>
        </is>
      </c>
      <c r="G817" t="n">
        <v>4.7</v>
      </c>
      <c r="H817" t="n">
        <v>0</v>
      </c>
      <c r="I817" t="n">
        <v>0</v>
      </c>
      <c r="J817" t="n">
        <v>0</v>
      </c>
      <c r="K817" t="n">
        <v>0</v>
      </c>
      <c r="L817" t="n">
        <v>0</v>
      </c>
      <c r="M817" t="n">
        <v>0</v>
      </c>
      <c r="N817" t="n">
        <v>0</v>
      </c>
      <c r="O817" t="n">
        <v>0</v>
      </c>
      <c r="P817" t="n">
        <v>0</v>
      </c>
      <c r="Q817" t="n">
        <v>0</v>
      </c>
      <c r="R817" s="2" t="inlineStr"/>
    </row>
    <row r="818" ht="15" customHeight="1">
      <c r="A818" t="inlineStr">
        <is>
          <t>A 37873-2022</t>
        </is>
      </c>
      <c r="B818" s="1" t="n">
        <v>44811</v>
      </c>
      <c r="C818" s="1" t="n">
        <v>45294</v>
      </c>
      <c r="D818" t="inlineStr">
        <is>
          <t>JÄMTLANDS LÄN</t>
        </is>
      </c>
      <c r="E818" t="inlineStr">
        <is>
          <t>HÄRJEDALEN</t>
        </is>
      </c>
      <c r="F818" t="inlineStr">
        <is>
          <t>Bergvik skog väst AB</t>
        </is>
      </c>
      <c r="G818" t="n">
        <v>1.7</v>
      </c>
      <c r="H818" t="n">
        <v>0</v>
      </c>
      <c r="I818" t="n">
        <v>0</v>
      </c>
      <c r="J818" t="n">
        <v>0</v>
      </c>
      <c r="K818" t="n">
        <v>0</v>
      </c>
      <c r="L818" t="n">
        <v>0</v>
      </c>
      <c r="M818" t="n">
        <v>0</v>
      </c>
      <c r="N818" t="n">
        <v>0</v>
      </c>
      <c r="O818" t="n">
        <v>0</v>
      </c>
      <c r="P818" t="n">
        <v>0</v>
      </c>
      <c r="Q818" t="n">
        <v>0</v>
      </c>
      <c r="R818" s="2" t="inlineStr"/>
    </row>
    <row r="819" ht="15" customHeight="1">
      <c r="A819" t="inlineStr">
        <is>
          <t>A 37990-2022</t>
        </is>
      </c>
      <c r="B819" s="1" t="n">
        <v>44811</v>
      </c>
      <c r="C819" s="1" t="n">
        <v>45294</v>
      </c>
      <c r="D819" t="inlineStr">
        <is>
          <t>JÄMTLANDS LÄN</t>
        </is>
      </c>
      <c r="E819" t="inlineStr">
        <is>
          <t>HÄRJEDALEN</t>
        </is>
      </c>
      <c r="F819" t="inlineStr">
        <is>
          <t>Bergvik skog väst AB</t>
        </is>
      </c>
      <c r="G819" t="n">
        <v>1.6</v>
      </c>
      <c r="H819" t="n">
        <v>0</v>
      </c>
      <c r="I819" t="n">
        <v>0</v>
      </c>
      <c r="J819" t="n">
        <v>0</v>
      </c>
      <c r="K819" t="n">
        <v>0</v>
      </c>
      <c r="L819" t="n">
        <v>0</v>
      </c>
      <c r="M819" t="n">
        <v>0</v>
      </c>
      <c r="N819" t="n">
        <v>0</v>
      </c>
      <c r="O819" t="n">
        <v>0</v>
      </c>
      <c r="P819" t="n">
        <v>0</v>
      </c>
      <c r="Q819" t="n">
        <v>0</v>
      </c>
      <c r="R819" s="2" t="inlineStr"/>
    </row>
    <row r="820" ht="15" customHeight="1">
      <c r="A820" t="inlineStr">
        <is>
          <t>A 37988-2022</t>
        </is>
      </c>
      <c r="B820" s="1" t="n">
        <v>44811</v>
      </c>
      <c r="C820" s="1" t="n">
        <v>45294</v>
      </c>
      <c r="D820" t="inlineStr">
        <is>
          <t>JÄMTLANDS LÄN</t>
        </is>
      </c>
      <c r="E820" t="inlineStr">
        <is>
          <t>HÄRJEDALEN</t>
        </is>
      </c>
      <c r="F820" t="inlineStr">
        <is>
          <t>Bergvik skog väst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39396-2022</t>
        </is>
      </c>
      <c r="B821" s="1" t="n">
        <v>44818</v>
      </c>
      <c r="C821" s="1" t="n">
        <v>45294</v>
      </c>
      <c r="D821" t="inlineStr">
        <is>
          <t>JÄMTLANDS LÄN</t>
        </is>
      </c>
      <c r="E821" t="inlineStr">
        <is>
          <t>HÄRJEDALEN</t>
        </is>
      </c>
      <c r="F821" t="inlineStr">
        <is>
          <t>SCA</t>
        </is>
      </c>
      <c r="G821" t="n">
        <v>11.4</v>
      </c>
      <c r="H821" t="n">
        <v>0</v>
      </c>
      <c r="I821" t="n">
        <v>0</v>
      </c>
      <c r="J821" t="n">
        <v>0</v>
      </c>
      <c r="K821" t="n">
        <v>0</v>
      </c>
      <c r="L821" t="n">
        <v>0</v>
      </c>
      <c r="M821" t="n">
        <v>0</v>
      </c>
      <c r="N821" t="n">
        <v>0</v>
      </c>
      <c r="O821" t="n">
        <v>0</v>
      </c>
      <c r="P821" t="n">
        <v>0</v>
      </c>
      <c r="Q821" t="n">
        <v>0</v>
      </c>
      <c r="R821" s="2" t="inlineStr"/>
    </row>
    <row r="822" ht="15" customHeight="1">
      <c r="A822" t="inlineStr">
        <is>
          <t>A 39625-2022</t>
        </is>
      </c>
      <c r="B822" s="1" t="n">
        <v>44818</v>
      </c>
      <c r="C822" s="1" t="n">
        <v>45294</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39618-2022</t>
        </is>
      </c>
      <c r="B823" s="1" t="n">
        <v>44818</v>
      </c>
      <c r="C823" s="1" t="n">
        <v>45294</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39820-2022</t>
        </is>
      </c>
      <c r="B824" s="1" t="n">
        <v>44819</v>
      </c>
      <c r="C824" s="1" t="n">
        <v>45294</v>
      </c>
      <c r="D824" t="inlineStr">
        <is>
          <t>JÄMTLANDS LÄN</t>
        </is>
      </c>
      <c r="E824" t="inlineStr">
        <is>
          <t>HÄRJEDALEN</t>
        </is>
      </c>
      <c r="G824" t="n">
        <v>1.4</v>
      </c>
      <c r="H824" t="n">
        <v>0</v>
      </c>
      <c r="I824" t="n">
        <v>0</v>
      </c>
      <c r="J824" t="n">
        <v>0</v>
      </c>
      <c r="K824" t="n">
        <v>0</v>
      </c>
      <c r="L824" t="n">
        <v>0</v>
      </c>
      <c r="M824" t="n">
        <v>0</v>
      </c>
      <c r="N824" t="n">
        <v>0</v>
      </c>
      <c r="O824" t="n">
        <v>0</v>
      </c>
      <c r="P824" t="n">
        <v>0</v>
      </c>
      <c r="Q824" t="n">
        <v>0</v>
      </c>
      <c r="R824" s="2" t="inlineStr"/>
    </row>
    <row r="825" ht="15" customHeight="1">
      <c r="A825" t="inlineStr">
        <is>
          <t>A 40084-2022</t>
        </is>
      </c>
      <c r="B825" s="1" t="n">
        <v>44820</v>
      </c>
      <c r="C825" s="1" t="n">
        <v>45294</v>
      </c>
      <c r="D825" t="inlineStr">
        <is>
          <t>JÄMTLANDS LÄN</t>
        </is>
      </c>
      <c r="E825" t="inlineStr">
        <is>
          <t>HÄRJEDALEN</t>
        </is>
      </c>
      <c r="F825" t="inlineStr">
        <is>
          <t>Bergvik skog väst AB</t>
        </is>
      </c>
      <c r="G825" t="n">
        <v>6</v>
      </c>
      <c r="H825" t="n">
        <v>0</v>
      </c>
      <c r="I825" t="n">
        <v>0</v>
      </c>
      <c r="J825" t="n">
        <v>0</v>
      </c>
      <c r="K825" t="n">
        <v>0</v>
      </c>
      <c r="L825" t="n">
        <v>0</v>
      </c>
      <c r="M825" t="n">
        <v>0</v>
      </c>
      <c r="N825" t="n">
        <v>0</v>
      </c>
      <c r="O825" t="n">
        <v>0</v>
      </c>
      <c r="P825" t="n">
        <v>0</v>
      </c>
      <c r="Q825" t="n">
        <v>0</v>
      </c>
      <c r="R825" s="2" t="inlineStr"/>
    </row>
    <row r="826" ht="15" customHeight="1">
      <c r="A826" t="inlineStr">
        <is>
          <t>A 40201-2022</t>
        </is>
      </c>
      <c r="B826" s="1" t="n">
        <v>44820</v>
      </c>
      <c r="C826" s="1" t="n">
        <v>45294</v>
      </c>
      <c r="D826" t="inlineStr">
        <is>
          <t>JÄMTLANDS LÄN</t>
        </is>
      </c>
      <c r="E826" t="inlineStr">
        <is>
          <t>HÄRJEDALEN</t>
        </is>
      </c>
      <c r="F826" t="inlineStr">
        <is>
          <t>Kyrkan</t>
        </is>
      </c>
      <c r="G826" t="n">
        <v>14.6</v>
      </c>
      <c r="H826" t="n">
        <v>0</v>
      </c>
      <c r="I826" t="n">
        <v>0</v>
      </c>
      <c r="J826" t="n">
        <v>0</v>
      </c>
      <c r="K826" t="n">
        <v>0</v>
      </c>
      <c r="L826" t="n">
        <v>0</v>
      </c>
      <c r="M826" t="n">
        <v>0</v>
      </c>
      <c r="N826" t="n">
        <v>0</v>
      </c>
      <c r="O826" t="n">
        <v>0</v>
      </c>
      <c r="P826" t="n">
        <v>0</v>
      </c>
      <c r="Q826" t="n">
        <v>0</v>
      </c>
      <c r="R826" s="2" t="inlineStr"/>
    </row>
    <row r="827" ht="15" customHeight="1">
      <c r="A827" t="inlineStr">
        <is>
          <t>A 40596-2022</t>
        </is>
      </c>
      <c r="B827" s="1" t="n">
        <v>44823</v>
      </c>
      <c r="C827" s="1" t="n">
        <v>45294</v>
      </c>
      <c r="D827" t="inlineStr">
        <is>
          <t>JÄMTLANDS LÄN</t>
        </is>
      </c>
      <c r="E827" t="inlineStr">
        <is>
          <t>HÄRJEDALEN</t>
        </is>
      </c>
      <c r="G827" t="n">
        <v>2.9</v>
      </c>
      <c r="H827" t="n">
        <v>0</v>
      </c>
      <c r="I827" t="n">
        <v>0</v>
      </c>
      <c r="J827" t="n">
        <v>0</v>
      </c>
      <c r="K827" t="n">
        <v>0</v>
      </c>
      <c r="L827" t="n">
        <v>0</v>
      </c>
      <c r="M827" t="n">
        <v>0</v>
      </c>
      <c r="N827" t="n">
        <v>0</v>
      </c>
      <c r="O827" t="n">
        <v>0</v>
      </c>
      <c r="P827" t="n">
        <v>0</v>
      </c>
      <c r="Q827" t="n">
        <v>0</v>
      </c>
      <c r="R827" s="2" t="inlineStr"/>
    </row>
    <row r="828" ht="15" customHeight="1">
      <c r="A828" t="inlineStr">
        <is>
          <t>A 40561-2022</t>
        </is>
      </c>
      <c r="B828" s="1" t="n">
        <v>44823</v>
      </c>
      <c r="C828" s="1" t="n">
        <v>45294</v>
      </c>
      <c r="D828" t="inlineStr">
        <is>
          <t>JÄMTLANDS LÄN</t>
        </is>
      </c>
      <c r="E828" t="inlineStr">
        <is>
          <t>HÄRJEDALEN</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40578-2022</t>
        </is>
      </c>
      <c r="B829" s="1" t="n">
        <v>44823</v>
      </c>
      <c r="C829" s="1" t="n">
        <v>45294</v>
      </c>
      <c r="D829" t="inlineStr">
        <is>
          <t>JÄMTLANDS LÄN</t>
        </is>
      </c>
      <c r="E829" t="inlineStr">
        <is>
          <t>HÄRJEDALEN</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41080-2022</t>
        </is>
      </c>
      <c r="B830" s="1" t="n">
        <v>44825</v>
      </c>
      <c r="C830" s="1" t="n">
        <v>45294</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41164-2022</t>
        </is>
      </c>
      <c r="B831" s="1" t="n">
        <v>44825</v>
      </c>
      <c r="C831" s="1" t="n">
        <v>45294</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41209-2022</t>
        </is>
      </c>
      <c r="B832" s="1" t="n">
        <v>44825</v>
      </c>
      <c r="C832" s="1" t="n">
        <v>45294</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41293-2022</t>
        </is>
      </c>
      <c r="B833" s="1" t="n">
        <v>44826</v>
      </c>
      <c r="C833" s="1" t="n">
        <v>45294</v>
      </c>
      <c r="D833" t="inlineStr">
        <is>
          <t>JÄMTLANDS LÄN</t>
        </is>
      </c>
      <c r="E833" t="inlineStr">
        <is>
          <t>HÄRJEDALEN</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41759-2022</t>
        </is>
      </c>
      <c r="B834" s="1" t="n">
        <v>44827</v>
      </c>
      <c r="C834" s="1" t="n">
        <v>45294</v>
      </c>
      <c r="D834" t="inlineStr">
        <is>
          <t>JÄMTLANDS LÄN</t>
        </is>
      </c>
      <c r="E834" t="inlineStr">
        <is>
          <t>HÄRJEDALEN</t>
        </is>
      </c>
      <c r="G834" t="n">
        <v>20</v>
      </c>
      <c r="H834" t="n">
        <v>0</v>
      </c>
      <c r="I834" t="n">
        <v>0</v>
      </c>
      <c r="J834" t="n">
        <v>0</v>
      </c>
      <c r="K834" t="n">
        <v>0</v>
      </c>
      <c r="L834" t="n">
        <v>0</v>
      </c>
      <c r="M834" t="n">
        <v>0</v>
      </c>
      <c r="N834" t="n">
        <v>0</v>
      </c>
      <c r="O834" t="n">
        <v>0</v>
      </c>
      <c r="P834" t="n">
        <v>0</v>
      </c>
      <c r="Q834" t="n">
        <v>0</v>
      </c>
      <c r="R834" s="2" t="inlineStr"/>
    </row>
    <row r="835" ht="15" customHeight="1">
      <c r="A835" t="inlineStr">
        <is>
          <t>A 41711-2022</t>
        </is>
      </c>
      <c r="B835" s="1" t="n">
        <v>44827</v>
      </c>
      <c r="C835" s="1" t="n">
        <v>45294</v>
      </c>
      <c r="D835" t="inlineStr">
        <is>
          <t>JÄMTLANDS LÄN</t>
        </is>
      </c>
      <c r="E835" t="inlineStr">
        <is>
          <t>HÄRJEDALEN</t>
        </is>
      </c>
      <c r="G835" t="n">
        <v>18.3</v>
      </c>
      <c r="H835" t="n">
        <v>0</v>
      </c>
      <c r="I835" t="n">
        <v>0</v>
      </c>
      <c r="J835" t="n">
        <v>0</v>
      </c>
      <c r="K835" t="n">
        <v>0</v>
      </c>
      <c r="L835" t="n">
        <v>0</v>
      </c>
      <c r="M835" t="n">
        <v>0</v>
      </c>
      <c r="N835" t="n">
        <v>0</v>
      </c>
      <c r="O835" t="n">
        <v>0</v>
      </c>
      <c r="P835" t="n">
        <v>0</v>
      </c>
      <c r="Q835" t="n">
        <v>0</v>
      </c>
      <c r="R835" s="2" t="inlineStr"/>
    </row>
    <row r="836" ht="15" customHeight="1">
      <c r="A836" t="inlineStr">
        <is>
          <t>A 41771-2022</t>
        </is>
      </c>
      <c r="B836" s="1" t="n">
        <v>44827</v>
      </c>
      <c r="C836" s="1" t="n">
        <v>45294</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41766-2022</t>
        </is>
      </c>
      <c r="B837" s="1" t="n">
        <v>44827</v>
      </c>
      <c r="C837" s="1" t="n">
        <v>45294</v>
      </c>
      <c r="D837" t="inlineStr">
        <is>
          <t>JÄMTLANDS LÄN</t>
        </is>
      </c>
      <c r="E837" t="inlineStr">
        <is>
          <t>HÄRJEDALEN</t>
        </is>
      </c>
      <c r="G837" t="n">
        <v>12.5</v>
      </c>
      <c r="H837" t="n">
        <v>0</v>
      </c>
      <c r="I837" t="n">
        <v>0</v>
      </c>
      <c r="J837" t="n">
        <v>0</v>
      </c>
      <c r="K837" t="n">
        <v>0</v>
      </c>
      <c r="L837" t="n">
        <v>0</v>
      </c>
      <c r="M837" t="n">
        <v>0</v>
      </c>
      <c r="N837" t="n">
        <v>0</v>
      </c>
      <c r="O837" t="n">
        <v>0</v>
      </c>
      <c r="P837" t="n">
        <v>0</v>
      </c>
      <c r="Q837" t="n">
        <v>0</v>
      </c>
      <c r="R837" s="2" t="inlineStr"/>
    </row>
    <row r="838" ht="15" customHeight="1">
      <c r="A838" t="inlineStr">
        <is>
          <t>A 42576-2022</t>
        </is>
      </c>
      <c r="B838" s="1" t="n">
        <v>44831</v>
      </c>
      <c r="C838" s="1" t="n">
        <v>45294</v>
      </c>
      <c r="D838" t="inlineStr">
        <is>
          <t>JÄMTLANDS LÄN</t>
        </is>
      </c>
      <c r="E838" t="inlineStr">
        <is>
          <t>HÄRJEDALEN</t>
        </is>
      </c>
      <c r="F838" t="inlineStr">
        <is>
          <t>Sveaskog</t>
        </is>
      </c>
      <c r="G838" t="n">
        <v>24.4</v>
      </c>
      <c r="H838" t="n">
        <v>0</v>
      </c>
      <c r="I838" t="n">
        <v>0</v>
      </c>
      <c r="J838" t="n">
        <v>0</v>
      </c>
      <c r="K838" t="n">
        <v>0</v>
      </c>
      <c r="L838" t="n">
        <v>0</v>
      </c>
      <c r="M838" t="n">
        <v>0</v>
      </c>
      <c r="N838" t="n">
        <v>0</v>
      </c>
      <c r="O838" t="n">
        <v>0</v>
      </c>
      <c r="P838" t="n">
        <v>0</v>
      </c>
      <c r="Q838" t="n">
        <v>0</v>
      </c>
      <c r="R838" s="2" t="inlineStr"/>
    </row>
    <row r="839" ht="15" customHeight="1">
      <c r="A839" t="inlineStr">
        <is>
          <t>A 42673-2022</t>
        </is>
      </c>
      <c r="B839" s="1" t="n">
        <v>44832</v>
      </c>
      <c r="C839" s="1" t="n">
        <v>45294</v>
      </c>
      <c r="D839" t="inlineStr">
        <is>
          <t>JÄMTLANDS LÄN</t>
        </is>
      </c>
      <c r="E839" t="inlineStr">
        <is>
          <t>HÄRJEDALEN</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42916-2022</t>
        </is>
      </c>
      <c r="B840" s="1" t="n">
        <v>44833</v>
      </c>
      <c r="C840" s="1" t="n">
        <v>45294</v>
      </c>
      <c r="D840" t="inlineStr">
        <is>
          <t>JÄMTLANDS LÄN</t>
        </is>
      </c>
      <c r="E840" t="inlineStr">
        <is>
          <t>HÄRJEDALEN</t>
        </is>
      </c>
      <c r="F840" t="inlineStr">
        <is>
          <t>Bergvik skog väst AB</t>
        </is>
      </c>
      <c r="G840" t="n">
        <v>8.6</v>
      </c>
      <c r="H840" t="n">
        <v>0</v>
      </c>
      <c r="I840" t="n">
        <v>0</v>
      </c>
      <c r="J840" t="n">
        <v>0</v>
      </c>
      <c r="K840" t="n">
        <v>0</v>
      </c>
      <c r="L840" t="n">
        <v>0</v>
      </c>
      <c r="M840" t="n">
        <v>0</v>
      </c>
      <c r="N840" t="n">
        <v>0</v>
      </c>
      <c r="O840" t="n">
        <v>0</v>
      </c>
      <c r="P840" t="n">
        <v>0</v>
      </c>
      <c r="Q840" t="n">
        <v>0</v>
      </c>
      <c r="R840" s="2" t="inlineStr"/>
    </row>
    <row r="841" ht="15" customHeight="1">
      <c r="A841" t="inlineStr">
        <is>
          <t>A 43293-2022</t>
        </is>
      </c>
      <c r="B841" s="1" t="n">
        <v>44834</v>
      </c>
      <c r="C841" s="1" t="n">
        <v>45294</v>
      </c>
      <c r="D841" t="inlineStr">
        <is>
          <t>JÄMTLANDS LÄN</t>
        </is>
      </c>
      <c r="E841" t="inlineStr">
        <is>
          <t>HÄRJEDALEN</t>
        </is>
      </c>
      <c r="F841" t="inlineStr">
        <is>
          <t>Bergvik skog väst AB</t>
        </is>
      </c>
      <c r="G841" t="n">
        <v>6.7</v>
      </c>
      <c r="H841" t="n">
        <v>0</v>
      </c>
      <c r="I841" t="n">
        <v>0</v>
      </c>
      <c r="J841" t="n">
        <v>0</v>
      </c>
      <c r="K841" t="n">
        <v>0</v>
      </c>
      <c r="L841" t="n">
        <v>0</v>
      </c>
      <c r="M841" t="n">
        <v>0</v>
      </c>
      <c r="N841" t="n">
        <v>0</v>
      </c>
      <c r="O841" t="n">
        <v>0</v>
      </c>
      <c r="P841" t="n">
        <v>0</v>
      </c>
      <c r="Q841" t="n">
        <v>0</v>
      </c>
      <c r="R841" s="2" t="inlineStr"/>
    </row>
    <row r="842" ht="15" customHeight="1">
      <c r="A842" t="inlineStr">
        <is>
          <t>A 43531-2022</t>
        </is>
      </c>
      <c r="B842" s="1" t="n">
        <v>44837</v>
      </c>
      <c r="C842" s="1" t="n">
        <v>45294</v>
      </c>
      <c r="D842" t="inlineStr">
        <is>
          <t>JÄMTLANDS LÄN</t>
        </is>
      </c>
      <c r="E842" t="inlineStr">
        <is>
          <t>HÄRJEDALEN</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43552-2022</t>
        </is>
      </c>
      <c r="B843" s="1" t="n">
        <v>44837</v>
      </c>
      <c r="C843" s="1" t="n">
        <v>45294</v>
      </c>
      <c r="D843" t="inlineStr">
        <is>
          <t>JÄMTLANDS LÄN</t>
        </is>
      </c>
      <c r="E843" t="inlineStr">
        <is>
          <t>HÄRJEDALEN</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43825-2022</t>
        </is>
      </c>
      <c r="B844" s="1" t="n">
        <v>44838</v>
      </c>
      <c r="C844" s="1" t="n">
        <v>45294</v>
      </c>
      <c r="D844" t="inlineStr">
        <is>
          <t>JÄMTLANDS LÄN</t>
        </is>
      </c>
      <c r="E844" t="inlineStr">
        <is>
          <t>HÄRJEDALEN</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45017-2022</t>
        </is>
      </c>
      <c r="B845" s="1" t="n">
        <v>44841</v>
      </c>
      <c r="C845" s="1" t="n">
        <v>45294</v>
      </c>
      <c r="D845" t="inlineStr">
        <is>
          <t>JÄMTLANDS LÄN</t>
        </is>
      </c>
      <c r="E845" t="inlineStr">
        <is>
          <t>HÄRJEDALEN</t>
        </is>
      </c>
      <c r="F845" t="inlineStr">
        <is>
          <t>Bergvik skog väst AB</t>
        </is>
      </c>
      <c r="G845" t="n">
        <v>5.4</v>
      </c>
      <c r="H845" t="n">
        <v>0</v>
      </c>
      <c r="I845" t="n">
        <v>0</v>
      </c>
      <c r="J845" t="n">
        <v>0</v>
      </c>
      <c r="K845" t="n">
        <v>0</v>
      </c>
      <c r="L845" t="n">
        <v>0</v>
      </c>
      <c r="M845" t="n">
        <v>0</v>
      </c>
      <c r="N845" t="n">
        <v>0</v>
      </c>
      <c r="O845" t="n">
        <v>0</v>
      </c>
      <c r="P845" t="n">
        <v>0</v>
      </c>
      <c r="Q845" t="n">
        <v>0</v>
      </c>
      <c r="R845" s="2" t="inlineStr"/>
    </row>
    <row r="846" ht="15" customHeight="1">
      <c r="A846" t="inlineStr">
        <is>
          <t>A 47351-2022</t>
        </is>
      </c>
      <c r="B846" s="1" t="n">
        <v>44853</v>
      </c>
      <c r="C846" s="1" t="n">
        <v>45294</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47450-2022</t>
        </is>
      </c>
      <c r="B847" s="1" t="n">
        <v>44853</v>
      </c>
      <c r="C847" s="1" t="n">
        <v>45294</v>
      </c>
      <c r="D847" t="inlineStr">
        <is>
          <t>JÄMTLANDS LÄN</t>
        </is>
      </c>
      <c r="E847" t="inlineStr">
        <is>
          <t>HÄRJEDALEN</t>
        </is>
      </c>
      <c r="G847" t="n">
        <v>1.5</v>
      </c>
      <c r="H847" t="n">
        <v>0</v>
      </c>
      <c r="I847" t="n">
        <v>0</v>
      </c>
      <c r="J847" t="n">
        <v>0</v>
      </c>
      <c r="K847" t="n">
        <v>0</v>
      </c>
      <c r="L847" t="n">
        <v>0</v>
      </c>
      <c r="M847" t="n">
        <v>0</v>
      </c>
      <c r="N847" t="n">
        <v>0</v>
      </c>
      <c r="O847" t="n">
        <v>0</v>
      </c>
      <c r="P847" t="n">
        <v>0</v>
      </c>
      <c r="Q847" t="n">
        <v>0</v>
      </c>
      <c r="R847" s="2" t="inlineStr"/>
    </row>
    <row r="848" ht="15" customHeight="1">
      <c r="A848" t="inlineStr">
        <is>
          <t>A 47635-2022</t>
        </is>
      </c>
      <c r="B848" s="1" t="n">
        <v>44854</v>
      </c>
      <c r="C848" s="1" t="n">
        <v>45294</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47738-2022</t>
        </is>
      </c>
      <c r="B849" s="1" t="n">
        <v>44854</v>
      </c>
      <c r="C849" s="1" t="n">
        <v>45294</v>
      </c>
      <c r="D849" t="inlineStr">
        <is>
          <t>JÄMTLANDS LÄN</t>
        </is>
      </c>
      <c r="E849" t="inlineStr">
        <is>
          <t>HÄRJEDALEN</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47975-2022</t>
        </is>
      </c>
      <c r="B850" s="1" t="n">
        <v>44855</v>
      </c>
      <c r="C850" s="1" t="n">
        <v>45294</v>
      </c>
      <c r="D850" t="inlineStr">
        <is>
          <t>JÄMTLANDS LÄN</t>
        </is>
      </c>
      <c r="E850" t="inlineStr">
        <is>
          <t>HÄRJEDALEN</t>
        </is>
      </c>
      <c r="G850" t="n">
        <v>3</v>
      </c>
      <c r="H850" t="n">
        <v>0</v>
      </c>
      <c r="I850" t="n">
        <v>0</v>
      </c>
      <c r="J850" t="n">
        <v>0</v>
      </c>
      <c r="K850" t="n">
        <v>0</v>
      </c>
      <c r="L850" t="n">
        <v>0</v>
      </c>
      <c r="M850" t="n">
        <v>0</v>
      </c>
      <c r="N850" t="n">
        <v>0</v>
      </c>
      <c r="O850" t="n">
        <v>0</v>
      </c>
      <c r="P850" t="n">
        <v>0</v>
      </c>
      <c r="Q850" t="n">
        <v>0</v>
      </c>
      <c r="R850" s="2" t="inlineStr"/>
    </row>
    <row r="851" ht="15" customHeight="1">
      <c r="A851" t="inlineStr">
        <is>
          <t>A 48438-2022</t>
        </is>
      </c>
      <c r="B851" s="1" t="n">
        <v>44858</v>
      </c>
      <c r="C851" s="1" t="n">
        <v>45294</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48583-2022</t>
        </is>
      </c>
      <c r="B852" s="1" t="n">
        <v>44859</v>
      </c>
      <c r="C852" s="1" t="n">
        <v>45294</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49237-2022</t>
        </is>
      </c>
      <c r="B853" s="1" t="n">
        <v>44861</v>
      </c>
      <c r="C853" s="1" t="n">
        <v>45294</v>
      </c>
      <c r="D853" t="inlineStr">
        <is>
          <t>JÄMTLANDS LÄN</t>
        </is>
      </c>
      <c r="E853" t="inlineStr">
        <is>
          <t>HÄRJEDALEN</t>
        </is>
      </c>
      <c r="G853" t="n">
        <v>5.8</v>
      </c>
      <c r="H853" t="n">
        <v>0</v>
      </c>
      <c r="I853" t="n">
        <v>0</v>
      </c>
      <c r="J853" t="n">
        <v>0</v>
      </c>
      <c r="K853" t="n">
        <v>0</v>
      </c>
      <c r="L853" t="n">
        <v>0</v>
      </c>
      <c r="M853" t="n">
        <v>0</v>
      </c>
      <c r="N853" t="n">
        <v>0</v>
      </c>
      <c r="O853" t="n">
        <v>0</v>
      </c>
      <c r="P853" t="n">
        <v>0</v>
      </c>
      <c r="Q853" t="n">
        <v>0</v>
      </c>
      <c r="R853" s="2" t="inlineStr"/>
    </row>
    <row r="854" ht="15" customHeight="1">
      <c r="A854" t="inlineStr">
        <is>
          <t>A 49295-2022</t>
        </is>
      </c>
      <c r="B854" s="1" t="n">
        <v>44861</v>
      </c>
      <c r="C854" s="1" t="n">
        <v>45294</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49663-2022</t>
        </is>
      </c>
      <c r="B855" s="1" t="n">
        <v>44862</v>
      </c>
      <c r="C855" s="1" t="n">
        <v>45294</v>
      </c>
      <c r="D855" t="inlineStr">
        <is>
          <t>JÄMTLANDS LÄN</t>
        </is>
      </c>
      <c r="E855" t="inlineStr">
        <is>
          <t>HÄRJEDALEN</t>
        </is>
      </c>
      <c r="F855" t="inlineStr">
        <is>
          <t>Bergvik skog väst AB</t>
        </is>
      </c>
      <c r="G855" t="n">
        <v>17.5</v>
      </c>
      <c r="H855" t="n">
        <v>0</v>
      </c>
      <c r="I855" t="n">
        <v>0</v>
      </c>
      <c r="J855" t="n">
        <v>0</v>
      </c>
      <c r="K855" t="n">
        <v>0</v>
      </c>
      <c r="L855" t="n">
        <v>0</v>
      </c>
      <c r="M855" t="n">
        <v>0</v>
      </c>
      <c r="N855" t="n">
        <v>0</v>
      </c>
      <c r="O855" t="n">
        <v>0</v>
      </c>
      <c r="P855" t="n">
        <v>0</v>
      </c>
      <c r="Q855" t="n">
        <v>0</v>
      </c>
      <c r="R855" s="2" t="inlineStr"/>
    </row>
    <row r="856" ht="15" customHeight="1">
      <c r="A856" t="inlineStr">
        <is>
          <t>A 49689-2022</t>
        </is>
      </c>
      <c r="B856" s="1" t="n">
        <v>44862</v>
      </c>
      <c r="C856" s="1" t="n">
        <v>45294</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50145-2022</t>
        </is>
      </c>
      <c r="B857" s="1" t="n">
        <v>44865</v>
      </c>
      <c r="C857" s="1" t="n">
        <v>45294</v>
      </c>
      <c r="D857" t="inlineStr">
        <is>
          <t>JÄMTLANDS LÄN</t>
        </is>
      </c>
      <c r="E857" t="inlineStr">
        <is>
          <t>HÄRJEDALEN</t>
        </is>
      </c>
      <c r="F857" t="inlineStr">
        <is>
          <t>Bergvik skog väst AB</t>
        </is>
      </c>
      <c r="G857" t="n">
        <v>7.1</v>
      </c>
      <c r="H857" t="n">
        <v>0</v>
      </c>
      <c r="I857" t="n">
        <v>0</v>
      </c>
      <c r="J857" t="n">
        <v>0</v>
      </c>
      <c r="K857" t="n">
        <v>0</v>
      </c>
      <c r="L857" t="n">
        <v>0</v>
      </c>
      <c r="M857" t="n">
        <v>0</v>
      </c>
      <c r="N857" t="n">
        <v>0</v>
      </c>
      <c r="O857" t="n">
        <v>0</v>
      </c>
      <c r="P857" t="n">
        <v>0</v>
      </c>
      <c r="Q857" t="n">
        <v>0</v>
      </c>
      <c r="R857" s="2" t="inlineStr"/>
    </row>
    <row r="858" ht="15" customHeight="1">
      <c r="A858" t="inlineStr">
        <is>
          <t>A 49995-2022</t>
        </is>
      </c>
      <c r="B858" s="1" t="n">
        <v>44865</v>
      </c>
      <c r="C858" s="1" t="n">
        <v>45294</v>
      </c>
      <c r="D858" t="inlineStr">
        <is>
          <t>JÄMTLANDS LÄN</t>
        </is>
      </c>
      <c r="E858" t="inlineStr">
        <is>
          <t>HÄRJEDALEN</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51948-2022</t>
        </is>
      </c>
      <c r="B859" s="1" t="n">
        <v>44872</v>
      </c>
      <c r="C859" s="1" t="n">
        <v>45294</v>
      </c>
      <c r="D859" t="inlineStr">
        <is>
          <t>JÄMTLANDS LÄN</t>
        </is>
      </c>
      <c r="E859" t="inlineStr">
        <is>
          <t>HÄRJEDALEN</t>
        </is>
      </c>
      <c r="F859" t="inlineStr">
        <is>
          <t>Bergvik skog väst AB</t>
        </is>
      </c>
      <c r="G859" t="n">
        <v>3.8</v>
      </c>
      <c r="H859" t="n">
        <v>0</v>
      </c>
      <c r="I859" t="n">
        <v>0</v>
      </c>
      <c r="J859" t="n">
        <v>0</v>
      </c>
      <c r="K859" t="n">
        <v>0</v>
      </c>
      <c r="L859" t="n">
        <v>0</v>
      </c>
      <c r="M859" t="n">
        <v>0</v>
      </c>
      <c r="N859" t="n">
        <v>0</v>
      </c>
      <c r="O859" t="n">
        <v>0</v>
      </c>
      <c r="P859" t="n">
        <v>0</v>
      </c>
      <c r="Q859" t="n">
        <v>0</v>
      </c>
      <c r="R859" s="2" t="inlineStr"/>
    </row>
    <row r="860" ht="15" customHeight="1">
      <c r="A860" t="inlineStr">
        <is>
          <t>A 52852-2022</t>
        </is>
      </c>
      <c r="B860" s="1" t="n">
        <v>44872</v>
      </c>
      <c r="C860" s="1" t="n">
        <v>45294</v>
      </c>
      <c r="D860" t="inlineStr">
        <is>
          <t>JÄMTLANDS LÄN</t>
        </is>
      </c>
      <c r="E860" t="inlineStr">
        <is>
          <t>HÄRJEDALEN</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52867-2022</t>
        </is>
      </c>
      <c r="B861" s="1" t="n">
        <v>44872</v>
      </c>
      <c r="C861" s="1" t="n">
        <v>45294</v>
      </c>
      <c r="D861" t="inlineStr">
        <is>
          <t>JÄMTLANDS LÄN</t>
        </is>
      </c>
      <c r="E861" t="inlineStr">
        <is>
          <t>HÄRJEDALEN</t>
        </is>
      </c>
      <c r="G861" t="n">
        <v>0.3</v>
      </c>
      <c r="H861" t="n">
        <v>0</v>
      </c>
      <c r="I861" t="n">
        <v>0</v>
      </c>
      <c r="J861" t="n">
        <v>0</v>
      </c>
      <c r="K861" t="n">
        <v>0</v>
      </c>
      <c r="L861" t="n">
        <v>0</v>
      </c>
      <c r="M861" t="n">
        <v>0</v>
      </c>
      <c r="N861" t="n">
        <v>0</v>
      </c>
      <c r="O861" t="n">
        <v>0</v>
      </c>
      <c r="P861" t="n">
        <v>0</v>
      </c>
      <c r="Q861" t="n">
        <v>0</v>
      </c>
      <c r="R861" s="2" t="inlineStr"/>
    </row>
    <row r="862" ht="15" customHeight="1">
      <c r="A862" t="inlineStr">
        <is>
          <t>A 52339-2022</t>
        </is>
      </c>
      <c r="B862" s="1" t="n">
        <v>44873</v>
      </c>
      <c r="C862" s="1" t="n">
        <v>45294</v>
      </c>
      <c r="D862" t="inlineStr">
        <is>
          <t>JÄMTLANDS LÄN</t>
        </is>
      </c>
      <c r="E862" t="inlineStr">
        <is>
          <t>HÄRJEDALEN</t>
        </is>
      </c>
      <c r="G862" t="n">
        <v>28.1</v>
      </c>
      <c r="H862" t="n">
        <v>0</v>
      </c>
      <c r="I862" t="n">
        <v>0</v>
      </c>
      <c r="J862" t="n">
        <v>0</v>
      </c>
      <c r="K862" t="n">
        <v>0</v>
      </c>
      <c r="L862" t="n">
        <v>0</v>
      </c>
      <c r="M862" t="n">
        <v>0</v>
      </c>
      <c r="N862" t="n">
        <v>0</v>
      </c>
      <c r="O862" t="n">
        <v>0</v>
      </c>
      <c r="P862" t="n">
        <v>0</v>
      </c>
      <c r="Q862" t="n">
        <v>0</v>
      </c>
      <c r="R862" s="2" t="inlineStr"/>
    </row>
    <row r="863" ht="15" customHeight="1">
      <c r="A863" t="inlineStr">
        <is>
          <t>A 52586-2022</t>
        </is>
      </c>
      <c r="B863" s="1" t="n">
        <v>44874</v>
      </c>
      <c r="C863" s="1" t="n">
        <v>45294</v>
      </c>
      <c r="D863" t="inlineStr">
        <is>
          <t>JÄMTLANDS LÄN</t>
        </is>
      </c>
      <c r="E863" t="inlineStr">
        <is>
          <t>HÄRJEDALEN</t>
        </is>
      </c>
      <c r="F863" t="inlineStr">
        <is>
          <t>Bergvik skog väst AB</t>
        </is>
      </c>
      <c r="G863" t="n">
        <v>6.1</v>
      </c>
      <c r="H863" t="n">
        <v>0</v>
      </c>
      <c r="I863" t="n">
        <v>0</v>
      </c>
      <c r="J863" t="n">
        <v>0</v>
      </c>
      <c r="K863" t="n">
        <v>0</v>
      </c>
      <c r="L863" t="n">
        <v>0</v>
      </c>
      <c r="M863" t="n">
        <v>0</v>
      </c>
      <c r="N863" t="n">
        <v>0</v>
      </c>
      <c r="O863" t="n">
        <v>0</v>
      </c>
      <c r="P863" t="n">
        <v>0</v>
      </c>
      <c r="Q863" t="n">
        <v>0</v>
      </c>
      <c r="R863" s="2" t="inlineStr"/>
    </row>
    <row r="864" ht="15" customHeight="1">
      <c r="A864" t="inlineStr">
        <is>
          <t>A 53104-2022</t>
        </is>
      </c>
      <c r="B864" s="1" t="n">
        <v>44876</v>
      </c>
      <c r="C864" s="1" t="n">
        <v>45294</v>
      </c>
      <c r="D864" t="inlineStr">
        <is>
          <t>JÄMTLANDS LÄN</t>
        </is>
      </c>
      <c r="E864" t="inlineStr">
        <is>
          <t>HÄRJEDALEN</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53107-2022</t>
        </is>
      </c>
      <c r="B865" s="1" t="n">
        <v>44876</v>
      </c>
      <c r="C865" s="1" t="n">
        <v>45294</v>
      </c>
      <c r="D865" t="inlineStr">
        <is>
          <t>JÄMTLANDS LÄN</t>
        </is>
      </c>
      <c r="E865" t="inlineStr">
        <is>
          <t>HÄRJEDALEN</t>
        </is>
      </c>
      <c r="F865" t="inlineStr">
        <is>
          <t>Bergvik skog väst AB</t>
        </is>
      </c>
      <c r="G865" t="n">
        <v>9.1</v>
      </c>
      <c r="H865" t="n">
        <v>0</v>
      </c>
      <c r="I865" t="n">
        <v>0</v>
      </c>
      <c r="J865" t="n">
        <v>0</v>
      </c>
      <c r="K865" t="n">
        <v>0</v>
      </c>
      <c r="L865" t="n">
        <v>0</v>
      </c>
      <c r="M865" t="n">
        <v>0</v>
      </c>
      <c r="N865" t="n">
        <v>0</v>
      </c>
      <c r="O865" t="n">
        <v>0</v>
      </c>
      <c r="P865" t="n">
        <v>0</v>
      </c>
      <c r="Q865" t="n">
        <v>0</v>
      </c>
      <c r="R865" s="2" t="inlineStr"/>
    </row>
    <row r="866" ht="15" customHeight="1">
      <c r="A866" t="inlineStr">
        <is>
          <t>A 53120-2022</t>
        </is>
      </c>
      <c r="B866" s="1" t="n">
        <v>44876</v>
      </c>
      <c r="C866" s="1" t="n">
        <v>45294</v>
      </c>
      <c r="D866" t="inlineStr">
        <is>
          <t>JÄMTLANDS LÄN</t>
        </is>
      </c>
      <c r="E866" t="inlineStr">
        <is>
          <t>HÄRJEDALEN</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53563-2022</t>
        </is>
      </c>
      <c r="B867" s="1" t="n">
        <v>44879</v>
      </c>
      <c r="C867" s="1" t="n">
        <v>45294</v>
      </c>
      <c r="D867" t="inlineStr">
        <is>
          <t>JÄMTLANDS LÄN</t>
        </is>
      </c>
      <c r="E867" t="inlineStr">
        <is>
          <t>HÄRJEDALEN</t>
        </is>
      </c>
      <c r="G867" t="n">
        <v>8.6</v>
      </c>
      <c r="H867" t="n">
        <v>0</v>
      </c>
      <c r="I867" t="n">
        <v>0</v>
      </c>
      <c r="J867" t="n">
        <v>0</v>
      </c>
      <c r="K867" t="n">
        <v>0</v>
      </c>
      <c r="L867" t="n">
        <v>0</v>
      </c>
      <c r="M867" t="n">
        <v>0</v>
      </c>
      <c r="N867" t="n">
        <v>0</v>
      </c>
      <c r="O867" t="n">
        <v>0</v>
      </c>
      <c r="P867" t="n">
        <v>0</v>
      </c>
      <c r="Q867" t="n">
        <v>0</v>
      </c>
      <c r="R867" s="2" t="inlineStr"/>
    </row>
    <row r="868" ht="15" customHeight="1">
      <c r="A868" t="inlineStr">
        <is>
          <t>A 54059-2022</t>
        </is>
      </c>
      <c r="B868" s="1" t="n">
        <v>44881</v>
      </c>
      <c r="C868" s="1" t="n">
        <v>45294</v>
      </c>
      <c r="D868" t="inlineStr">
        <is>
          <t>JÄMTLANDS LÄN</t>
        </is>
      </c>
      <c r="E868" t="inlineStr">
        <is>
          <t>HÄRJEDALEN</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54065-2022</t>
        </is>
      </c>
      <c r="B869" s="1" t="n">
        <v>44881</v>
      </c>
      <c r="C869" s="1" t="n">
        <v>45294</v>
      </c>
      <c r="D869" t="inlineStr">
        <is>
          <t>JÄMTLANDS LÄN</t>
        </is>
      </c>
      <c r="E869" t="inlineStr">
        <is>
          <t>HÄRJEDALEN</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54305-2022</t>
        </is>
      </c>
      <c r="B870" s="1" t="n">
        <v>44882</v>
      </c>
      <c r="C870" s="1" t="n">
        <v>45294</v>
      </c>
      <c r="D870" t="inlineStr">
        <is>
          <t>JÄMTLANDS LÄN</t>
        </is>
      </c>
      <c r="E870" t="inlineStr">
        <is>
          <t>HÄRJEDALEN</t>
        </is>
      </c>
      <c r="G870" t="n">
        <v>2.3</v>
      </c>
      <c r="H870" t="n">
        <v>0</v>
      </c>
      <c r="I870" t="n">
        <v>0</v>
      </c>
      <c r="J870" t="n">
        <v>0</v>
      </c>
      <c r="K870" t="n">
        <v>0</v>
      </c>
      <c r="L870" t="n">
        <v>0</v>
      </c>
      <c r="M870" t="n">
        <v>0</v>
      </c>
      <c r="N870" t="n">
        <v>0</v>
      </c>
      <c r="O870" t="n">
        <v>0</v>
      </c>
      <c r="P870" t="n">
        <v>0</v>
      </c>
      <c r="Q870" t="n">
        <v>0</v>
      </c>
      <c r="R870" s="2" t="inlineStr"/>
    </row>
    <row r="871" ht="15" customHeight="1">
      <c r="A871" t="inlineStr">
        <is>
          <t>A 54661-2022</t>
        </is>
      </c>
      <c r="B871" s="1" t="n">
        <v>44883</v>
      </c>
      <c r="C871" s="1" t="n">
        <v>45294</v>
      </c>
      <c r="D871" t="inlineStr">
        <is>
          <t>JÄMTLANDS LÄN</t>
        </is>
      </c>
      <c r="E871" t="inlineStr">
        <is>
          <t>HÄRJEDALEN</t>
        </is>
      </c>
      <c r="G871" t="n">
        <v>5.9</v>
      </c>
      <c r="H871" t="n">
        <v>0</v>
      </c>
      <c r="I871" t="n">
        <v>0</v>
      </c>
      <c r="J871" t="n">
        <v>0</v>
      </c>
      <c r="K871" t="n">
        <v>0</v>
      </c>
      <c r="L871" t="n">
        <v>0</v>
      </c>
      <c r="M871" t="n">
        <v>0</v>
      </c>
      <c r="N871" t="n">
        <v>0</v>
      </c>
      <c r="O871" t="n">
        <v>0</v>
      </c>
      <c r="P871" t="n">
        <v>0</v>
      </c>
      <c r="Q871" t="n">
        <v>0</v>
      </c>
      <c r="R871" s="2" t="inlineStr"/>
    </row>
    <row r="872" ht="15" customHeight="1">
      <c r="A872" t="inlineStr">
        <is>
          <t>A 54762-2022</t>
        </is>
      </c>
      <c r="B872" s="1" t="n">
        <v>44883</v>
      </c>
      <c r="C872" s="1" t="n">
        <v>45294</v>
      </c>
      <c r="D872" t="inlineStr">
        <is>
          <t>JÄMTLANDS LÄN</t>
        </is>
      </c>
      <c r="E872" t="inlineStr">
        <is>
          <t>HÄRJEDALEN</t>
        </is>
      </c>
      <c r="G872" t="n">
        <v>1.8</v>
      </c>
      <c r="H872" t="n">
        <v>0</v>
      </c>
      <c r="I872" t="n">
        <v>0</v>
      </c>
      <c r="J872" t="n">
        <v>0</v>
      </c>
      <c r="K872" t="n">
        <v>0</v>
      </c>
      <c r="L872" t="n">
        <v>0</v>
      </c>
      <c r="M872" t="n">
        <v>0</v>
      </c>
      <c r="N872" t="n">
        <v>0</v>
      </c>
      <c r="O872" t="n">
        <v>0</v>
      </c>
      <c r="P872" t="n">
        <v>0</v>
      </c>
      <c r="Q872" t="n">
        <v>0</v>
      </c>
      <c r="R872" s="2" t="inlineStr"/>
    </row>
    <row r="873" ht="15" customHeight="1">
      <c r="A873" t="inlineStr">
        <is>
          <t>A 55100-2022</t>
        </is>
      </c>
      <c r="B873" s="1" t="n">
        <v>44886</v>
      </c>
      <c r="C873" s="1" t="n">
        <v>45294</v>
      </c>
      <c r="D873" t="inlineStr">
        <is>
          <t>JÄMTLANDS LÄN</t>
        </is>
      </c>
      <c r="E873" t="inlineStr">
        <is>
          <t>HÄRJEDALEN</t>
        </is>
      </c>
      <c r="G873" t="n">
        <v>4.4</v>
      </c>
      <c r="H873" t="n">
        <v>0</v>
      </c>
      <c r="I873" t="n">
        <v>0</v>
      </c>
      <c r="J873" t="n">
        <v>0</v>
      </c>
      <c r="K873" t="n">
        <v>0</v>
      </c>
      <c r="L873" t="n">
        <v>0</v>
      </c>
      <c r="M873" t="n">
        <v>0</v>
      </c>
      <c r="N873" t="n">
        <v>0</v>
      </c>
      <c r="O873" t="n">
        <v>0</v>
      </c>
      <c r="P873" t="n">
        <v>0</v>
      </c>
      <c r="Q873" t="n">
        <v>0</v>
      </c>
      <c r="R873" s="2" t="inlineStr"/>
    </row>
    <row r="874" ht="15" customHeight="1">
      <c r="A874" t="inlineStr">
        <is>
          <t>A 55103-2022</t>
        </is>
      </c>
      <c r="B874" s="1" t="n">
        <v>44886</v>
      </c>
      <c r="C874" s="1" t="n">
        <v>45294</v>
      </c>
      <c r="D874" t="inlineStr">
        <is>
          <t>JÄMTLANDS LÄN</t>
        </is>
      </c>
      <c r="E874" t="inlineStr">
        <is>
          <t>HÄRJEDALEN</t>
        </is>
      </c>
      <c r="G874" t="n">
        <v>1</v>
      </c>
      <c r="H874" t="n">
        <v>0</v>
      </c>
      <c r="I874" t="n">
        <v>0</v>
      </c>
      <c r="J874" t="n">
        <v>0</v>
      </c>
      <c r="K874" t="n">
        <v>0</v>
      </c>
      <c r="L874" t="n">
        <v>0</v>
      </c>
      <c r="M874" t="n">
        <v>0</v>
      </c>
      <c r="N874" t="n">
        <v>0</v>
      </c>
      <c r="O874" t="n">
        <v>0</v>
      </c>
      <c r="P874" t="n">
        <v>0</v>
      </c>
      <c r="Q874" t="n">
        <v>0</v>
      </c>
      <c r="R874" s="2" t="inlineStr"/>
    </row>
    <row r="875" ht="15" customHeight="1">
      <c r="A875" t="inlineStr">
        <is>
          <t>A 55931-2022</t>
        </is>
      </c>
      <c r="B875" s="1" t="n">
        <v>44886</v>
      </c>
      <c r="C875" s="1" t="n">
        <v>45294</v>
      </c>
      <c r="D875" t="inlineStr">
        <is>
          <t>JÄMTLANDS LÄN</t>
        </is>
      </c>
      <c r="E875" t="inlineStr">
        <is>
          <t>HÄRJEDALEN</t>
        </is>
      </c>
      <c r="F875" t="inlineStr">
        <is>
          <t>Övriga statliga verk och myndigheter</t>
        </is>
      </c>
      <c r="G875" t="n">
        <v>2.9</v>
      </c>
      <c r="H875" t="n">
        <v>0</v>
      </c>
      <c r="I875" t="n">
        <v>0</v>
      </c>
      <c r="J875" t="n">
        <v>0</v>
      </c>
      <c r="K875" t="n">
        <v>0</v>
      </c>
      <c r="L875" t="n">
        <v>0</v>
      </c>
      <c r="M875" t="n">
        <v>0</v>
      </c>
      <c r="N875" t="n">
        <v>0</v>
      </c>
      <c r="O875" t="n">
        <v>0</v>
      </c>
      <c r="P875" t="n">
        <v>0</v>
      </c>
      <c r="Q875" t="n">
        <v>0</v>
      </c>
      <c r="R875" s="2" t="inlineStr"/>
    </row>
    <row r="876" ht="15" customHeight="1">
      <c r="A876" t="inlineStr">
        <is>
          <t>A 55969-2022</t>
        </is>
      </c>
      <c r="B876" s="1" t="n">
        <v>44886</v>
      </c>
      <c r="C876" s="1" t="n">
        <v>45294</v>
      </c>
      <c r="D876" t="inlineStr">
        <is>
          <t>JÄMTLANDS LÄN</t>
        </is>
      </c>
      <c r="E876" t="inlineStr">
        <is>
          <t>HÄRJEDALEN</t>
        </is>
      </c>
      <c r="F876" t="inlineStr">
        <is>
          <t>Övriga statliga verk och myndigheter</t>
        </is>
      </c>
      <c r="G876" t="n">
        <v>1.6</v>
      </c>
      <c r="H876" t="n">
        <v>0</v>
      </c>
      <c r="I876" t="n">
        <v>0</v>
      </c>
      <c r="J876" t="n">
        <v>0</v>
      </c>
      <c r="K876" t="n">
        <v>0</v>
      </c>
      <c r="L876" t="n">
        <v>0</v>
      </c>
      <c r="M876" t="n">
        <v>0</v>
      </c>
      <c r="N876" t="n">
        <v>0</v>
      </c>
      <c r="O876" t="n">
        <v>0</v>
      </c>
      <c r="P876" t="n">
        <v>0</v>
      </c>
      <c r="Q876" t="n">
        <v>0</v>
      </c>
      <c r="R876" s="2" t="inlineStr"/>
    </row>
    <row r="877" ht="15" customHeight="1">
      <c r="A877" t="inlineStr">
        <is>
          <t>A 56043-2022</t>
        </is>
      </c>
      <c r="B877" s="1" t="n">
        <v>44889</v>
      </c>
      <c r="C877" s="1" t="n">
        <v>45294</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57223-2022</t>
        </is>
      </c>
      <c r="B878" s="1" t="n">
        <v>44889</v>
      </c>
      <c r="C878" s="1" t="n">
        <v>45294</v>
      </c>
      <c r="D878" t="inlineStr">
        <is>
          <t>JÄMTLANDS LÄN</t>
        </is>
      </c>
      <c r="E878" t="inlineStr">
        <is>
          <t>HÄRJEDALEN</t>
        </is>
      </c>
      <c r="G878" t="n">
        <v>1.4</v>
      </c>
      <c r="H878" t="n">
        <v>0</v>
      </c>
      <c r="I878" t="n">
        <v>0</v>
      </c>
      <c r="J878" t="n">
        <v>0</v>
      </c>
      <c r="K878" t="n">
        <v>0</v>
      </c>
      <c r="L878" t="n">
        <v>0</v>
      </c>
      <c r="M878" t="n">
        <v>0</v>
      </c>
      <c r="N878" t="n">
        <v>0</v>
      </c>
      <c r="O878" t="n">
        <v>0</v>
      </c>
      <c r="P878" t="n">
        <v>0</v>
      </c>
      <c r="Q878" t="n">
        <v>0</v>
      </c>
      <c r="R878" s="2" t="inlineStr"/>
    </row>
    <row r="879" ht="15" customHeight="1">
      <c r="A879" t="inlineStr">
        <is>
          <t>A 56533-2022</t>
        </is>
      </c>
      <c r="B879" s="1" t="n">
        <v>44893</v>
      </c>
      <c r="C879" s="1" t="n">
        <v>45294</v>
      </c>
      <c r="D879" t="inlineStr">
        <is>
          <t>JÄMTLANDS LÄN</t>
        </is>
      </c>
      <c r="E879" t="inlineStr">
        <is>
          <t>HÄRJEDALEN</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56992-2022</t>
        </is>
      </c>
      <c r="B880" s="1" t="n">
        <v>44894</v>
      </c>
      <c r="C880" s="1" t="n">
        <v>45294</v>
      </c>
      <c r="D880" t="inlineStr">
        <is>
          <t>JÄMTLANDS LÄN</t>
        </is>
      </c>
      <c r="E880" t="inlineStr">
        <is>
          <t>HÄRJEDALEN</t>
        </is>
      </c>
      <c r="G880" t="n">
        <v>1.2</v>
      </c>
      <c r="H880" t="n">
        <v>0</v>
      </c>
      <c r="I880" t="n">
        <v>0</v>
      </c>
      <c r="J880" t="n">
        <v>0</v>
      </c>
      <c r="K880" t="n">
        <v>0</v>
      </c>
      <c r="L880" t="n">
        <v>0</v>
      </c>
      <c r="M880" t="n">
        <v>0</v>
      </c>
      <c r="N880" t="n">
        <v>0</v>
      </c>
      <c r="O880" t="n">
        <v>0</v>
      </c>
      <c r="P880" t="n">
        <v>0</v>
      </c>
      <c r="Q880" t="n">
        <v>0</v>
      </c>
      <c r="R880" s="2" t="inlineStr"/>
    </row>
    <row r="881" ht="15" customHeight="1">
      <c r="A881" t="inlineStr">
        <is>
          <t>A 58425-2022</t>
        </is>
      </c>
      <c r="B881" s="1" t="n">
        <v>44901</v>
      </c>
      <c r="C881" s="1" t="n">
        <v>45294</v>
      </c>
      <c r="D881" t="inlineStr">
        <is>
          <t>JÄMTLANDS LÄN</t>
        </is>
      </c>
      <c r="E881" t="inlineStr">
        <is>
          <t>HÄRJEDALEN</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59094-2022</t>
        </is>
      </c>
      <c r="B882" s="1" t="n">
        <v>44904</v>
      </c>
      <c r="C882" s="1" t="n">
        <v>45294</v>
      </c>
      <c r="D882" t="inlineStr">
        <is>
          <t>JÄMTLANDS LÄN</t>
        </is>
      </c>
      <c r="E882" t="inlineStr">
        <is>
          <t>HÄRJEDALEN</t>
        </is>
      </c>
      <c r="F882" t="inlineStr">
        <is>
          <t>Bergvik skog väst AB</t>
        </is>
      </c>
      <c r="G882" t="n">
        <v>49.8</v>
      </c>
      <c r="H882" t="n">
        <v>0</v>
      </c>
      <c r="I882" t="n">
        <v>0</v>
      </c>
      <c r="J882" t="n">
        <v>0</v>
      </c>
      <c r="K882" t="n">
        <v>0</v>
      </c>
      <c r="L882" t="n">
        <v>0</v>
      </c>
      <c r="M882" t="n">
        <v>0</v>
      </c>
      <c r="N882" t="n">
        <v>0</v>
      </c>
      <c r="O882" t="n">
        <v>0</v>
      </c>
      <c r="P882" t="n">
        <v>0</v>
      </c>
      <c r="Q882" t="n">
        <v>0</v>
      </c>
      <c r="R882" s="2" t="inlineStr"/>
    </row>
    <row r="883" ht="15" customHeight="1">
      <c r="A883" t="inlineStr">
        <is>
          <t>A 59112-2022</t>
        </is>
      </c>
      <c r="B883" s="1" t="n">
        <v>44904</v>
      </c>
      <c r="C883" s="1" t="n">
        <v>45294</v>
      </c>
      <c r="D883" t="inlineStr">
        <is>
          <t>JÄMTLANDS LÄN</t>
        </is>
      </c>
      <c r="E883" t="inlineStr">
        <is>
          <t>HÄRJEDALEN</t>
        </is>
      </c>
      <c r="F883" t="inlineStr">
        <is>
          <t>Bergvik skog väst AB</t>
        </is>
      </c>
      <c r="G883" t="n">
        <v>5.7</v>
      </c>
      <c r="H883" t="n">
        <v>0</v>
      </c>
      <c r="I883" t="n">
        <v>0</v>
      </c>
      <c r="J883" t="n">
        <v>0</v>
      </c>
      <c r="K883" t="n">
        <v>0</v>
      </c>
      <c r="L883" t="n">
        <v>0</v>
      </c>
      <c r="M883" t="n">
        <v>0</v>
      </c>
      <c r="N883" t="n">
        <v>0</v>
      </c>
      <c r="O883" t="n">
        <v>0</v>
      </c>
      <c r="P883" t="n">
        <v>0</v>
      </c>
      <c r="Q883" t="n">
        <v>0</v>
      </c>
      <c r="R883" s="2" t="inlineStr"/>
    </row>
    <row r="884" ht="15" customHeight="1">
      <c r="A884" t="inlineStr">
        <is>
          <t>A 59824-2022</t>
        </is>
      </c>
      <c r="B884" s="1" t="n">
        <v>44908</v>
      </c>
      <c r="C884" s="1" t="n">
        <v>45294</v>
      </c>
      <c r="D884" t="inlineStr">
        <is>
          <t>JÄMTLANDS LÄN</t>
        </is>
      </c>
      <c r="E884" t="inlineStr">
        <is>
          <t>HÄRJEDALEN</t>
        </is>
      </c>
      <c r="G884" t="n">
        <v>4.9</v>
      </c>
      <c r="H884" t="n">
        <v>0</v>
      </c>
      <c r="I884" t="n">
        <v>0</v>
      </c>
      <c r="J884" t="n">
        <v>0</v>
      </c>
      <c r="K884" t="n">
        <v>0</v>
      </c>
      <c r="L884" t="n">
        <v>0</v>
      </c>
      <c r="M884" t="n">
        <v>0</v>
      </c>
      <c r="N884" t="n">
        <v>0</v>
      </c>
      <c r="O884" t="n">
        <v>0</v>
      </c>
      <c r="P884" t="n">
        <v>0</v>
      </c>
      <c r="Q884" t="n">
        <v>0</v>
      </c>
      <c r="R884" s="2" t="inlineStr"/>
    </row>
    <row r="885" ht="15" customHeight="1">
      <c r="A885" t="inlineStr">
        <is>
          <t>A 59851-2022</t>
        </is>
      </c>
      <c r="B885" s="1" t="n">
        <v>44908</v>
      </c>
      <c r="C885" s="1" t="n">
        <v>45294</v>
      </c>
      <c r="D885" t="inlineStr">
        <is>
          <t>JÄMTLANDS LÄN</t>
        </is>
      </c>
      <c r="E885" t="inlineStr">
        <is>
          <t>HÄRJEDALEN</t>
        </is>
      </c>
      <c r="G885" t="n">
        <v>3.2</v>
      </c>
      <c r="H885" t="n">
        <v>0</v>
      </c>
      <c r="I885" t="n">
        <v>0</v>
      </c>
      <c r="J885" t="n">
        <v>0</v>
      </c>
      <c r="K885" t="n">
        <v>0</v>
      </c>
      <c r="L885" t="n">
        <v>0</v>
      </c>
      <c r="M885" t="n">
        <v>0</v>
      </c>
      <c r="N885" t="n">
        <v>0</v>
      </c>
      <c r="O885" t="n">
        <v>0</v>
      </c>
      <c r="P885" t="n">
        <v>0</v>
      </c>
      <c r="Q885" t="n">
        <v>0</v>
      </c>
      <c r="R885" s="2" t="inlineStr"/>
    </row>
    <row r="886" ht="15" customHeight="1">
      <c r="A886" t="inlineStr">
        <is>
          <t>A 59828-2022</t>
        </is>
      </c>
      <c r="B886" s="1" t="n">
        <v>44908</v>
      </c>
      <c r="C886" s="1" t="n">
        <v>45294</v>
      </c>
      <c r="D886" t="inlineStr">
        <is>
          <t>JÄMTLANDS LÄN</t>
        </is>
      </c>
      <c r="E886" t="inlineStr">
        <is>
          <t>HÄRJEDALEN</t>
        </is>
      </c>
      <c r="G886" t="n">
        <v>7.4</v>
      </c>
      <c r="H886" t="n">
        <v>0</v>
      </c>
      <c r="I886" t="n">
        <v>0</v>
      </c>
      <c r="J886" t="n">
        <v>0</v>
      </c>
      <c r="K886" t="n">
        <v>0</v>
      </c>
      <c r="L886" t="n">
        <v>0</v>
      </c>
      <c r="M886" t="n">
        <v>0</v>
      </c>
      <c r="N886" t="n">
        <v>0</v>
      </c>
      <c r="O886" t="n">
        <v>0</v>
      </c>
      <c r="P886" t="n">
        <v>0</v>
      </c>
      <c r="Q886" t="n">
        <v>0</v>
      </c>
      <c r="R886" s="2" t="inlineStr"/>
    </row>
    <row r="887" ht="15" customHeight="1">
      <c r="A887" t="inlineStr">
        <is>
          <t>A 59818-2022</t>
        </is>
      </c>
      <c r="B887" s="1" t="n">
        <v>44908</v>
      </c>
      <c r="C887" s="1" t="n">
        <v>45294</v>
      </c>
      <c r="D887" t="inlineStr">
        <is>
          <t>JÄMTLANDS LÄN</t>
        </is>
      </c>
      <c r="E887" t="inlineStr">
        <is>
          <t>HÄRJEDALEN</t>
        </is>
      </c>
      <c r="G887" t="n">
        <v>5.3</v>
      </c>
      <c r="H887" t="n">
        <v>0</v>
      </c>
      <c r="I887" t="n">
        <v>0</v>
      </c>
      <c r="J887" t="n">
        <v>0</v>
      </c>
      <c r="K887" t="n">
        <v>0</v>
      </c>
      <c r="L887" t="n">
        <v>0</v>
      </c>
      <c r="M887" t="n">
        <v>0</v>
      </c>
      <c r="N887" t="n">
        <v>0</v>
      </c>
      <c r="O887" t="n">
        <v>0</v>
      </c>
      <c r="P887" t="n">
        <v>0</v>
      </c>
      <c r="Q887" t="n">
        <v>0</v>
      </c>
      <c r="R887" s="2" t="inlineStr"/>
    </row>
    <row r="888" ht="15" customHeight="1">
      <c r="A888" t="inlineStr">
        <is>
          <t>A 61300-2022</t>
        </is>
      </c>
      <c r="B888" s="1" t="n">
        <v>44909</v>
      </c>
      <c r="C888" s="1" t="n">
        <v>45294</v>
      </c>
      <c r="D888" t="inlineStr">
        <is>
          <t>JÄMTLANDS LÄN</t>
        </is>
      </c>
      <c r="E888" t="inlineStr">
        <is>
          <t>HÄRJEDALEN</t>
        </is>
      </c>
      <c r="F888" t="inlineStr">
        <is>
          <t>Bergvik skog väst AB</t>
        </is>
      </c>
      <c r="G888" t="n">
        <v>14.1</v>
      </c>
      <c r="H888" t="n">
        <v>0</v>
      </c>
      <c r="I888" t="n">
        <v>0</v>
      </c>
      <c r="J888" t="n">
        <v>0</v>
      </c>
      <c r="K888" t="n">
        <v>0</v>
      </c>
      <c r="L888" t="n">
        <v>0</v>
      </c>
      <c r="M888" t="n">
        <v>0</v>
      </c>
      <c r="N888" t="n">
        <v>0</v>
      </c>
      <c r="O888" t="n">
        <v>0</v>
      </c>
      <c r="P888" t="n">
        <v>0</v>
      </c>
      <c r="Q888" t="n">
        <v>0</v>
      </c>
      <c r="R888" s="2" t="inlineStr"/>
    </row>
    <row r="889" ht="15" customHeight="1">
      <c r="A889" t="inlineStr">
        <is>
          <t>A 60236-2022</t>
        </is>
      </c>
      <c r="B889" s="1" t="n">
        <v>44910</v>
      </c>
      <c r="C889" s="1" t="n">
        <v>45294</v>
      </c>
      <c r="D889" t="inlineStr">
        <is>
          <t>JÄMTLANDS LÄN</t>
        </is>
      </c>
      <c r="E889" t="inlineStr">
        <is>
          <t>HÄRJEDALEN</t>
        </is>
      </c>
      <c r="G889" t="n">
        <v>2</v>
      </c>
      <c r="H889" t="n">
        <v>0</v>
      </c>
      <c r="I889" t="n">
        <v>0</v>
      </c>
      <c r="J889" t="n">
        <v>0</v>
      </c>
      <c r="K889" t="n">
        <v>0</v>
      </c>
      <c r="L889" t="n">
        <v>0</v>
      </c>
      <c r="M889" t="n">
        <v>0</v>
      </c>
      <c r="N889" t="n">
        <v>0</v>
      </c>
      <c r="O889" t="n">
        <v>0</v>
      </c>
      <c r="P889" t="n">
        <v>0</v>
      </c>
      <c r="Q889" t="n">
        <v>0</v>
      </c>
      <c r="R889" s="2" t="inlineStr"/>
    </row>
    <row r="890" ht="15" customHeight="1">
      <c r="A890" t="inlineStr">
        <is>
          <t>A 60542-2022</t>
        </is>
      </c>
      <c r="B890" s="1" t="n">
        <v>44911</v>
      </c>
      <c r="C890" s="1" t="n">
        <v>45294</v>
      </c>
      <c r="D890" t="inlineStr">
        <is>
          <t>JÄMTLANDS LÄN</t>
        </is>
      </c>
      <c r="E890" t="inlineStr">
        <is>
          <t>HÄRJEDALEN</t>
        </is>
      </c>
      <c r="F890" t="inlineStr">
        <is>
          <t>Bergvik skog väst AB</t>
        </is>
      </c>
      <c r="G890" t="n">
        <v>1.3</v>
      </c>
      <c r="H890" t="n">
        <v>0</v>
      </c>
      <c r="I890" t="n">
        <v>0</v>
      </c>
      <c r="J890" t="n">
        <v>0</v>
      </c>
      <c r="K890" t="n">
        <v>0</v>
      </c>
      <c r="L890" t="n">
        <v>0</v>
      </c>
      <c r="M890" t="n">
        <v>0</v>
      </c>
      <c r="N890" t="n">
        <v>0</v>
      </c>
      <c r="O890" t="n">
        <v>0</v>
      </c>
      <c r="P890" t="n">
        <v>0</v>
      </c>
      <c r="Q890" t="n">
        <v>0</v>
      </c>
      <c r="R890" s="2" t="inlineStr"/>
    </row>
    <row r="891" ht="15" customHeight="1">
      <c r="A891" t="inlineStr">
        <is>
          <t>A 60887-2022</t>
        </is>
      </c>
      <c r="B891" s="1" t="n">
        <v>44914</v>
      </c>
      <c r="C891" s="1" t="n">
        <v>45294</v>
      </c>
      <c r="D891" t="inlineStr">
        <is>
          <t>JÄMTLANDS LÄN</t>
        </is>
      </c>
      <c r="E891" t="inlineStr">
        <is>
          <t>HÄRJEDALEN</t>
        </is>
      </c>
      <c r="G891" t="n">
        <v>0.9</v>
      </c>
      <c r="H891" t="n">
        <v>0</v>
      </c>
      <c r="I891" t="n">
        <v>0</v>
      </c>
      <c r="J891" t="n">
        <v>0</v>
      </c>
      <c r="K891" t="n">
        <v>0</v>
      </c>
      <c r="L891" t="n">
        <v>0</v>
      </c>
      <c r="M891" t="n">
        <v>0</v>
      </c>
      <c r="N891" t="n">
        <v>0</v>
      </c>
      <c r="O891" t="n">
        <v>0</v>
      </c>
      <c r="P891" t="n">
        <v>0</v>
      </c>
      <c r="Q891" t="n">
        <v>0</v>
      </c>
      <c r="R891" s="2" t="inlineStr"/>
    </row>
    <row r="892" ht="15" customHeight="1">
      <c r="A892" t="inlineStr">
        <is>
          <t>A 60983-2022</t>
        </is>
      </c>
      <c r="B892" s="1" t="n">
        <v>44914</v>
      </c>
      <c r="C892" s="1" t="n">
        <v>45294</v>
      </c>
      <c r="D892" t="inlineStr">
        <is>
          <t>JÄMTLANDS LÄN</t>
        </is>
      </c>
      <c r="E892" t="inlineStr">
        <is>
          <t>HÄRJEDALEN</t>
        </is>
      </c>
      <c r="G892" t="n">
        <v>44</v>
      </c>
      <c r="H892" t="n">
        <v>0</v>
      </c>
      <c r="I892" t="n">
        <v>0</v>
      </c>
      <c r="J892" t="n">
        <v>0</v>
      </c>
      <c r="K892" t="n">
        <v>0</v>
      </c>
      <c r="L892" t="n">
        <v>0</v>
      </c>
      <c r="M892" t="n">
        <v>0</v>
      </c>
      <c r="N892" t="n">
        <v>0</v>
      </c>
      <c r="O892" t="n">
        <v>0</v>
      </c>
      <c r="P892" t="n">
        <v>0</v>
      </c>
      <c r="Q892" t="n">
        <v>0</v>
      </c>
      <c r="R892" s="2" t="inlineStr"/>
    </row>
    <row r="893" ht="15" customHeight="1">
      <c r="A893" t="inlineStr">
        <is>
          <t>A 60897-2022</t>
        </is>
      </c>
      <c r="B893" s="1" t="n">
        <v>44914</v>
      </c>
      <c r="C893" s="1" t="n">
        <v>45294</v>
      </c>
      <c r="D893" t="inlineStr">
        <is>
          <t>JÄMTLANDS LÄN</t>
        </is>
      </c>
      <c r="E893" t="inlineStr">
        <is>
          <t>HÄRJEDALEN</t>
        </is>
      </c>
      <c r="F893" t="inlineStr">
        <is>
          <t>Holmen skog AB</t>
        </is>
      </c>
      <c r="G893" t="n">
        <v>0.3</v>
      </c>
      <c r="H893" t="n">
        <v>0</v>
      </c>
      <c r="I893" t="n">
        <v>0</v>
      </c>
      <c r="J893" t="n">
        <v>0</v>
      </c>
      <c r="K893" t="n">
        <v>0</v>
      </c>
      <c r="L893" t="n">
        <v>0</v>
      </c>
      <c r="M893" t="n">
        <v>0</v>
      </c>
      <c r="N893" t="n">
        <v>0</v>
      </c>
      <c r="O893" t="n">
        <v>0</v>
      </c>
      <c r="P893" t="n">
        <v>0</v>
      </c>
      <c r="Q893" t="n">
        <v>0</v>
      </c>
      <c r="R893" s="2" t="inlineStr"/>
      <c r="U893">
        <f>HYPERLINK("https://klasma.github.io/Logging_2361/knärot/A 60897-2022 karta knärot.png", "A 60897-2022")</f>
        <v/>
      </c>
      <c r="V893">
        <f>HYPERLINK("https://klasma.github.io/Logging_2361/klagomål/A 60897-2022 FSC-klagomål.docx", "A 60897-2022")</f>
        <v/>
      </c>
      <c r="W893">
        <f>HYPERLINK("https://klasma.github.io/Logging_2361/klagomålsmail/A 60897-2022 FSC-klagomål mail.docx", "A 60897-2022")</f>
        <v/>
      </c>
      <c r="X893">
        <f>HYPERLINK("https://klasma.github.io/Logging_2361/tillsyn/A 60897-2022 tillsynsbegäran.docx", "A 60897-2022")</f>
        <v/>
      </c>
      <c r="Y893">
        <f>HYPERLINK("https://klasma.github.io/Logging_2361/tillsynsmail/A 60897-2022 tillsynsbegäran mail.docx", "A 60897-2022")</f>
        <v/>
      </c>
    </row>
    <row r="894" ht="15" customHeight="1">
      <c r="A894" t="inlineStr">
        <is>
          <t>A 60933-2022</t>
        </is>
      </c>
      <c r="B894" s="1" t="n">
        <v>44914</v>
      </c>
      <c r="C894" s="1" t="n">
        <v>45294</v>
      </c>
      <c r="D894" t="inlineStr">
        <is>
          <t>JÄMTLANDS LÄN</t>
        </is>
      </c>
      <c r="E894" t="inlineStr">
        <is>
          <t>HÄRJEDALEN</t>
        </is>
      </c>
      <c r="G894" t="n">
        <v>0.7</v>
      </c>
      <c r="H894" t="n">
        <v>0</v>
      </c>
      <c r="I894" t="n">
        <v>0</v>
      </c>
      <c r="J894" t="n">
        <v>0</v>
      </c>
      <c r="K894" t="n">
        <v>0</v>
      </c>
      <c r="L894" t="n">
        <v>0</v>
      </c>
      <c r="M894" t="n">
        <v>0</v>
      </c>
      <c r="N894" t="n">
        <v>0</v>
      </c>
      <c r="O894" t="n">
        <v>0</v>
      </c>
      <c r="P894" t="n">
        <v>0</v>
      </c>
      <c r="Q894" t="n">
        <v>0</v>
      </c>
      <c r="R894" s="2" t="inlineStr"/>
    </row>
    <row r="895" ht="15" customHeight="1">
      <c r="A895" t="inlineStr">
        <is>
          <t>A 61571-2022</t>
        </is>
      </c>
      <c r="B895" s="1" t="n">
        <v>44916</v>
      </c>
      <c r="C895" s="1" t="n">
        <v>45294</v>
      </c>
      <c r="D895" t="inlineStr">
        <is>
          <t>JÄMTLANDS LÄN</t>
        </is>
      </c>
      <c r="E895" t="inlineStr">
        <is>
          <t>HÄRJEDALEN</t>
        </is>
      </c>
      <c r="G895" t="n">
        <v>3.4</v>
      </c>
      <c r="H895" t="n">
        <v>0</v>
      </c>
      <c r="I895" t="n">
        <v>0</v>
      </c>
      <c r="J895" t="n">
        <v>0</v>
      </c>
      <c r="K895" t="n">
        <v>0</v>
      </c>
      <c r="L895" t="n">
        <v>0</v>
      </c>
      <c r="M895" t="n">
        <v>0</v>
      </c>
      <c r="N895" t="n">
        <v>0</v>
      </c>
      <c r="O895" t="n">
        <v>0</v>
      </c>
      <c r="P895" t="n">
        <v>0</v>
      </c>
      <c r="Q895" t="n">
        <v>0</v>
      </c>
      <c r="R895" s="2" t="inlineStr"/>
    </row>
    <row r="896" ht="15" customHeight="1">
      <c r="A896" t="inlineStr">
        <is>
          <t>A 62500-2022</t>
        </is>
      </c>
      <c r="B896" s="1" t="n">
        <v>44924</v>
      </c>
      <c r="C896" s="1" t="n">
        <v>45294</v>
      </c>
      <c r="D896" t="inlineStr">
        <is>
          <t>JÄMTLANDS LÄN</t>
        </is>
      </c>
      <c r="E896" t="inlineStr">
        <is>
          <t>HÄRJEDALEN</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62513-2022</t>
        </is>
      </c>
      <c r="B897" s="1" t="n">
        <v>44924</v>
      </c>
      <c r="C897" s="1" t="n">
        <v>45294</v>
      </c>
      <c r="D897" t="inlineStr">
        <is>
          <t>JÄMTLANDS LÄN</t>
        </is>
      </c>
      <c r="E897" t="inlineStr">
        <is>
          <t>HÄRJEDALEN</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62535-2022</t>
        </is>
      </c>
      <c r="B898" s="1" t="n">
        <v>44924</v>
      </c>
      <c r="C898" s="1" t="n">
        <v>45294</v>
      </c>
      <c r="D898" t="inlineStr">
        <is>
          <t>JÄMTLANDS LÄN</t>
        </is>
      </c>
      <c r="E898" t="inlineStr">
        <is>
          <t>HÄRJEDALEN</t>
        </is>
      </c>
      <c r="F898" t="inlineStr">
        <is>
          <t>Holmen skog AB</t>
        </is>
      </c>
      <c r="G898" t="n">
        <v>5.9</v>
      </c>
      <c r="H898" t="n">
        <v>0</v>
      </c>
      <c r="I898" t="n">
        <v>0</v>
      </c>
      <c r="J898" t="n">
        <v>0</v>
      </c>
      <c r="K898" t="n">
        <v>0</v>
      </c>
      <c r="L898" t="n">
        <v>0</v>
      </c>
      <c r="M898" t="n">
        <v>0</v>
      </c>
      <c r="N898" t="n">
        <v>0</v>
      </c>
      <c r="O898" t="n">
        <v>0</v>
      </c>
      <c r="P898" t="n">
        <v>0</v>
      </c>
      <c r="Q898" t="n">
        <v>0</v>
      </c>
      <c r="R898" s="2" t="inlineStr"/>
    </row>
    <row r="899" ht="15" customHeight="1">
      <c r="A899" t="inlineStr">
        <is>
          <t>A 62505-2022</t>
        </is>
      </c>
      <c r="B899" s="1" t="n">
        <v>44924</v>
      </c>
      <c r="C899" s="1" t="n">
        <v>45294</v>
      </c>
      <c r="D899" t="inlineStr">
        <is>
          <t>JÄMTLANDS LÄN</t>
        </is>
      </c>
      <c r="E899" t="inlineStr">
        <is>
          <t>HÄRJEDALEN</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62533-2022</t>
        </is>
      </c>
      <c r="B900" s="1" t="n">
        <v>44924</v>
      </c>
      <c r="C900" s="1" t="n">
        <v>45294</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62639-2022</t>
        </is>
      </c>
      <c r="B901" s="1" t="n">
        <v>44925</v>
      </c>
      <c r="C901" s="1" t="n">
        <v>45294</v>
      </c>
      <c r="D901" t="inlineStr">
        <is>
          <t>JÄMTLANDS LÄN</t>
        </is>
      </c>
      <c r="E901" t="inlineStr">
        <is>
          <t>HÄRJEDALEN</t>
        </is>
      </c>
      <c r="G901" t="n">
        <v>4.3</v>
      </c>
      <c r="H901" t="n">
        <v>0</v>
      </c>
      <c r="I901" t="n">
        <v>0</v>
      </c>
      <c r="J901" t="n">
        <v>0</v>
      </c>
      <c r="K901" t="n">
        <v>0</v>
      </c>
      <c r="L901" t="n">
        <v>0</v>
      </c>
      <c r="M901" t="n">
        <v>0</v>
      </c>
      <c r="N901" t="n">
        <v>0</v>
      </c>
      <c r="O901" t="n">
        <v>0</v>
      </c>
      <c r="P901" t="n">
        <v>0</v>
      </c>
      <c r="Q901" t="n">
        <v>0</v>
      </c>
      <c r="R901" s="2" t="inlineStr"/>
    </row>
    <row r="902" ht="15" customHeight="1">
      <c r="A902" t="inlineStr">
        <is>
          <t>A 62696-2022</t>
        </is>
      </c>
      <c r="B902" s="1" t="n">
        <v>44925</v>
      </c>
      <c r="C902" s="1" t="n">
        <v>45294</v>
      </c>
      <c r="D902" t="inlineStr">
        <is>
          <t>JÄMTLANDS LÄN</t>
        </is>
      </c>
      <c r="E902" t="inlineStr">
        <is>
          <t>HÄRJEDALEN</t>
        </is>
      </c>
      <c r="F902" t="inlineStr">
        <is>
          <t>Holmen skog AB</t>
        </is>
      </c>
      <c r="G902" t="n">
        <v>2.9</v>
      </c>
      <c r="H902" t="n">
        <v>0</v>
      </c>
      <c r="I902" t="n">
        <v>0</v>
      </c>
      <c r="J902" t="n">
        <v>0</v>
      </c>
      <c r="K902" t="n">
        <v>0</v>
      </c>
      <c r="L902" t="n">
        <v>0</v>
      </c>
      <c r="M902" t="n">
        <v>0</v>
      </c>
      <c r="N902" t="n">
        <v>0</v>
      </c>
      <c r="O902" t="n">
        <v>0</v>
      </c>
      <c r="P902" t="n">
        <v>0</v>
      </c>
      <c r="Q902" t="n">
        <v>0</v>
      </c>
      <c r="R902" s="2" t="inlineStr"/>
    </row>
    <row r="903" ht="15" customHeight="1">
      <c r="A903" t="inlineStr">
        <is>
          <t>A 62702-2022</t>
        </is>
      </c>
      <c r="B903" s="1" t="n">
        <v>44925</v>
      </c>
      <c r="C903" s="1" t="n">
        <v>45294</v>
      </c>
      <c r="D903" t="inlineStr">
        <is>
          <t>JÄMTLANDS LÄN</t>
        </is>
      </c>
      <c r="E903" t="inlineStr">
        <is>
          <t>HÄRJEDALEN</t>
        </is>
      </c>
      <c r="F903" t="inlineStr">
        <is>
          <t>Holmen skog AB</t>
        </is>
      </c>
      <c r="G903" t="n">
        <v>1.4</v>
      </c>
      <c r="H903" t="n">
        <v>0</v>
      </c>
      <c r="I903" t="n">
        <v>0</v>
      </c>
      <c r="J903" t="n">
        <v>0</v>
      </c>
      <c r="K903" t="n">
        <v>0</v>
      </c>
      <c r="L903" t="n">
        <v>0</v>
      </c>
      <c r="M903" t="n">
        <v>0</v>
      </c>
      <c r="N903" t="n">
        <v>0</v>
      </c>
      <c r="O903" t="n">
        <v>0</v>
      </c>
      <c r="P903" t="n">
        <v>0</v>
      </c>
      <c r="Q903" t="n">
        <v>0</v>
      </c>
      <c r="R903" s="2" t="inlineStr"/>
    </row>
    <row r="904" ht="15" customHeight="1">
      <c r="A904" t="inlineStr">
        <is>
          <t>A 62719-2022</t>
        </is>
      </c>
      <c r="B904" s="1" t="n">
        <v>44925</v>
      </c>
      <c r="C904" s="1" t="n">
        <v>45294</v>
      </c>
      <c r="D904" t="inlineStr">
        <is>
          <t>JÄMTLANDS LÄN</t>
        </is>
      </c>
      <c r="E904" t="inlineStr">
        <is>
          <t>HÄRJEDALEN</t>
        </is>
      </c>
      <c r="F904" t="inlineStr">
        <is>
          <t>Holmen skog AB</t>
        </is>
      </c>
      <c r="G904" t="n">
        <v>3.1</v>
      </c>
      <c r="H904" t="n">
        <v>0</v>
      </c>
      <c r="I904" t="n">
        <v>0</v>
      </c>
      <c r="J904" t="n">
        <v>0</v>
      </c>
      <c r="K904" t="n">
        <v>0</v>
      </c>
      <c r="L904" t="n">
        <v>0</v>
      </c>
      <c r="M904" t="n">
        <v>0</v>
      </c>
      <c r="N904" t="n">
        <v>0</v>
      </c>
      <c r="O904" t="n">
        <v>0</v>
      </c>
      <c r="P904" t="n">
        <v>0</v>
      </c>
      <c r="Q904" t="n">
        <v>0</v>
      </c>
      <c r="R904" s="2" t="inlineStr"/>
    </row>
    <row r="905" ht="15" customHeight="1">
      <c r="A905" t="inlineStr">
        <is>
          <t>A 62724-2022</t>
        </is>
      </c>
      <c r="B905" s="1" t="n">
        <v>44925</v>
      </c>
      <c r="C905" s="1" t="n">
        <v>45294</v>
      </c>
      <c r="D905" t="inlineStr">
        <is>
          <t>JÄMTLANDS LÄN</t>
        </is>
      </c>
      <c r="E905" t="inlineStr">
        <is>
          <t>HÄRJEDALEN</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62599-2022</t>
        </is>
      </c>
      <c r="B906" s="1" t="n">
        <v>44925</v>
      </c>
      <c r="C906" s="1" t="n">
        <v>45294</v>
      </c>
      <c r="D906" t="inlineStr">
        <is>
          <t>JÄMTLANDS LÄN</t>
        </is>
      </c>
      <c r="E906" t="inlineStr">
        <is>
          <t>HÄRJEDALEN</t>
        </is>
      </c>
      <c r="F906" t="inlineStr">
        <is>
          <t>Holmen skog AB</t>
        </is>
      </c>
      <c r="G906" t="n">
        <v>8.1</v>
      </c>
      <c r="H906" t="n">
        <v>0</v>
      </c>
      <c r="I906" t="n">
        <v>0</v>
      </c>
      <c r="J906" t="n">
        <v>0</v>
      </c>
      <c r="K906" t="n">
        <v>0</v>
      </c>
      <c r="L906" t="n">
        <v>0</v>
      </c>
      <c r="M906" t="n">
        <v>0</v>
      </c>
      <c r="N906" t="n">
        <v>0</v>
      </c>
      <c r="O906" t="n">
        <v>0</v>
      </c>
      <c r="P906" t="n">
        <v>0</v>
      </c>
      <c r="Q906" t="n">
        <v>0</v>
      </c>
      <c r="R906" s="2" t="inlineStr"/>
    </row>
    <row r="907" ht="15" customHeight="1">
      <c r="A907" t="inlineStr">
        <is>
          <t>A 62641-2022</t>
        </is>
      </c>
      <c r="B907" s="1" t="n">
        <v>44925</v>
      </c>
      <c r="C907" s="1" t="n">
        <v>45294</v>
      </c>
      <c r="D907" t="inlineStr">
        <is>
          <t>JÄMTLANDS LÄN</t>
        </is>
      </c>
      <c r="E907" t="inlineStr">
        <is>
          <t>HÄRJEDALEN</t>
        </is>
      </c>
      <c r="G907" t="n">
        <v>2.7</v>
      </c>
      <c r="H907" t="n">
        <v>0</v>
      </c>
      <c r="I907" t="n">
        <v>0</v>
      </c>
      <c r="J907" t="n">
        <v>0</v>
      </c>
      <c r="K907" t="n">
        <v>0</v>
      </c>
      <c r="L907" t="n">
        <v>0</v>
      </c>
      <c r="M907" t="n">
        <v>0</v>
      </c>
      <c r="N907" t="n">
        <v>0</v>
      </c>
      <c r="O907" t="n">
        <v>0</v>
      </c>
      <c r="P907" t="n">
        <v>0</v>
      </c>
      <c r="Q907" t="n">
        <v>0</v>
      </c>
      <c r="R907" s="2" t="inlineStr"/>
    </row>
    <row r="908" ht="15" customHeight="1">
      <c r="A908" t="inlineStr">
        <is>
          <t>A 62591-2022</t>
        </is>
      </c>
      <c r="B908" s="1" t="n">
        <v>44925</v>
      </c>
      <c r="C908" s="1" t="n">
        <v>45294</v>
      </c>
      <c r="D908" t="inlineStr">
        <is>
          <t>JÄMTLANDS LÄN</t>
        </is>
      </c>
      <c r="E908" t="inlineStr">
        <is>
          <t>HÄRJEDALEN</t>
        </is>
      </c>
      <c r="G908" t="n">
        <v>32.7</v>
      </c>
      <c r="H908" t="n">
        <v>0</v>
      </c>
      <c r="I908" t="n">
        <v>0</v>
      </c>
      <c r="J908" t="n">
        <v>0</v>
      </c>
      <c r="K908" t="n">
        <v>0</v>
      </c>
      <c r="L908" t="n">
        <v>0</v>
      </c>
      <c r="M908" t="n">
        <v>0</v>
      </c>
      <c r="N908" t="n">
        <v>0</v>
      </c>
      <c r="O908" t="n">
        <v>0</v>
      </c>
      <c r="P908" t="n">
        <v>0</v>
      </c>
      <c r="Q908" t="n">
        <v>0</v>
      </c>
      <c r="R908" s="2" t="inlineStr"/>
    </row>
    <row r="909" ht="15" customHeight="1">
      <c r="A909" t="inlineStr">
        <is>
          <t>A 62653-2022</t>
        </is>
      </c>
      <c r="B909" s="1" t="n">
        <v>44925</v>
      </c>
      <c r="C909" s="1" t="n">
        <v>45294</v>
      </c>
      <c r="D909" t="inlineStr">
        <is>
          <t>JÄMTLANDS LÄN</t>
        </is>
      </c>
      <c r="E909" t="inlineStr">
        <is>
          <t>HÄRJEDALEN</t>
        </is>
      </c>
      <c r="G909" t="n">
        <v>3.8</v>
      </c>
      <c r="H909" t="n">
        <v>0</v>
      </c>
      <c r="I909" t="n">
        <v>0</v>
      </c>
      <c r="J909" t="n">
        <v>0</v>
      </c>
      <c r="K909" t="n">
        <v>0</v>
      </c>
      <c r="L909" t="n">
        <v>0</v>
      </c>
      <c r="M909" t="n">
        <v>0</v>
      </c>
      <c r="N909" t="n">
        <v>0</v>
      </c>
      <c r="O909" t="n">
        <v>0</v>
      </c>
      <c r="P909" t="n">
        <v>0</v>
      </c>
      <c r="Q909" t="n">
        <v>0</v>
      </c>
      <c r="R909" s="2" t="inlineStr"/>
    </row>
    <row r="910" ht="15" customHeight="1">
      <c r="A910" t="inlineStr">
        <is>
          <t>A 62687-2022</t>
        </is>
      </c>
      <c r="B910" s="1" t="n">
        <v>44925</v>
      </c>
      <c r="C910" s="1" t="n">
        <v>45294</v>
      </c>
      <c r="D910" t="inlineStr">
        <is>
          <t>JÄMTLANDS LÄN</t>
        </is>
      </c>
      <c r="E910" t="inlineStr">
        <is>
          <t>HÄRJEDALEN</t>
        </is>
      </c>
      <c r="F910" t="inlineStr">
        <is>
          <t>Holmen skog AB</t>
        </is>
      </c>
      <c r="G910" t="n">
        <v>5.7</v>
      </c>
      <c r="H910" t="n">
        <v>0</v>
      </c>
      <c r="I910" t="n">
        <v>0</v>
      </c>
      <c r="J910" t="n">
        <v>0</v>
      </c>
      <c r="K910" t="n">
        <v>0</v>
      </c>
      <c r="L910" t="n">
        <v>0</v>
      </c>
      <c r="M910" t="n">
        <v>0</v>
      </c>
      <c r="N910" t="n">
        <v>0</v>
      </c>
      <c r="O910" t="n">
        <v>0</v>
      </c>
      <c r="P910" t="n">
        <v>0</v>
      </c>
      <c r="Q910" t="n">
        <v>0</v>
      </c>
      <c r="R910" s="2" t="inlineStr"/>
    </row>
    <row r="911" ht="15" customHeight="1">
      <c r="A911" t="inlineStr">
        <is>
          <t>A 62694-2022</t>
        </is>
      </c>
      <c r="B911" s="1" t="n">
        <v>44925</v>
      </c>
      <c r="C911" s="1" t="n">
        <v>45294</v>
      </c>
      <c r="D911" t="inlineStr">
        <is>
          <t>JÄMTLANDS LÄN</t>
        </is>
      </c>
      <c r="E911" t="inlineStr">
        <is>
          <t>HÄRJEDALEN</t>
        </is>
      </c>
      <c r="F911" t="inlineStr">
        <is>
          <t>Holmen skog AB</t>
        </is>
      </c>
      <c r="G911" t="n">
        <v>4.5</v>
      </c>
      <c r="H911" t="n">
        <v>0</v>
      </c>
      <c r="I911" t="n">
        <v>0</v>
      </c>
      <c r="J911" t="n">
        <v>0</v>
      </c>
      <c r="K911" t="n">
        <v>0</v>
      </c>
      <c r="L911" t="n">
        <v>0</v>
      </c>
      <c r="M911" t="n">
        <v>0</v>
      </c>
      <c r="N911" t="n">
        <v>0</v>
      </c>
      <c r="O911" t="n">
        <v>0</v>
      </c>
      <c r="P911" t="n">
        <v>0</v>
      </c>
      <c r="Q911" t="n">
        <v>0</v>
      </c>
      <c r="R911" s="2" t="inlineStr"/>
    </row>
    <row r="912" ht="15" customHeight="1">
      <c r="A912" t="inlineStr">
        <is>
          <t>A 62708-2022</t>
        </is>
      </c>
      <c r="B912" s="1" t="n">
        <v>44925</v>
      </c>
      <c r="C912" s="1" t="n">
        <v>45294</v>
      </c>
      <c r="D912" t="inlineStr">
        <is>
          <t>JÄMTLANDS LÄN</t>
        </is>
      </c>
      <c r="E912" t="inlineStr">
        <is>
          <t>HÄRJEDALEN</t>
        </is>
      </c>
      <c r="F912" t="inlineStr">
        <is>
          <t>Holmen skog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62590-2022</t>
        </is>
      </c>
      <c r="B913" s="1" t="n">
        <v>44925</v>
      </c>
      <c r="C913" s="1" t="n">
        <v>45294</v>
      </c>
      <c r="D913" t="inlineStr">
        <is>
          <t>JÄMTLANDS LÄN</t>
        </is>
      </c>
      <c r="E913" t="inlineStr">
        <is>
          <t>HÄRJEDALEN</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62684-2022</t>
        </is>
      </c>
      <c r="B914" s="1" t="n">
        <v>44925</v>
      </c>
      <c r="C914" s="1" t="n">
        <v>45294</v>
      </c>
      <c r="D914" t="inlineStr">
        <is>
          <t>JÄMTLANDS LÄN</t>
        </is>
      </c>
      <c r="E914" t="inlineStr">
        <is>
          <t>HÄRJEDALEN</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62699-2022</t>
        </is>
      </c>
      <c r="B915" s="1" t="n">
        <v>44925</v>
      </c>
      <c r="C915" s="1" t="n">
        <v>45294</v>
      </c>
      <c r="D915" t="inlineStr">
        <is>
          <t>JÄMTLANDS LÄN</t>
        </is>
      </c>
      <c r="E915" t="inlineStr">
        <is>
          <t>HÄRJEDALEN</t>
        </is>
      </c>
      <c r="F915" t="inlineStr">
        <is>
          <t>Holmen skog AB</t>
        </is>
      </c>
      <c r="G915" t="n">
        <v>5</v>
      </c>
      <c r="H915" t="n">
        <v>0</v>
      </c>
      <c r="I915" t="n">
        <v>0</v>
      </c>
      <c r="J915" t="n">
        <v>0</v>
      </c>
      <c r="K915" t="n">
        <v>0</v>
      </c>
      <c r="L915" t="n">
        <v>0</v>
      </c>
      <c r="M915" t="n">
        <v>0</v>
      </c>
      <c r="N915" t="n">
        <v>0</v>
      </c>
      <c r="O915" t="n">
        <v>0</v>
      </c>
      <c r="P915" t="n">
        <v>0</v>
      </c>
      <c r="Q915" t="n">
        <v>0</v>
      </c>
      <c r="R915" s="2" t="inlineStr"/>
    </row>
    <row r="916" ht="15" customHeight="1">
      <c r="A916" t="inlineStr">
        <is>
          <t>A 62706-2022</t>
        </is>
      </c>
      <c r="B916" s="1" t="n">
        <v>44925</v>
      </c>
      <c r="C916" s="1" t="n">
        <v>45294</v>
      </c>
      <c r="D916" t="inlineStr">
        <is>
          <t>JÄMTLANDS LÄN</t>
        </is>
      </c>
      <c r="E916" t="inlineStr">
        <is>
          <t>HÄRJEDALEN</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62721-2022</t>
        </is>
      </c>
      <c r="B917" s="1" t="n">
        <v>44925</v>
      </c>
      <c r="C917" s="1" t="n">
        <v>45294</v>
      </c>
      <c r="D917" t="inlineStr">
        <is>
          <t>JÄMTLANDS LÄN</t>
        </is>
      </c>
      <c r="E917" t="inlineStr">
        <is>
          <t>HÄRJEDALEN</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105-2023</t>
        </is>
      </c>
      <c r="B918" s="1" t="n">
        <v>44928</v>
      </c>
      <c r="C918" s="1" t="n">
        <v>45294</v>
      </c>
      <c r="D918" t="inlineStr">
        <is>
          <t>JÄMTLANDS LÄN</t>
        </is>
      </c>
      <c r="E918" t="inlineStr">
        <is>
          <t>HÄRJEDALEN</t>
        </is>
      </c>
      <c r="F918" t="inlineStr">
        <is>
          <t>Holmen skog AB</t>
        </is>
      </c>
      <c r="G918" t="n">
        <v>17.5</v>
      </c>
      <c r="H918" t="n">
        <v>0</v>
      </c>
      <c r="I918" t="n">
        <v>0</v>
      </c>
      <c r="J918" t="n">
        <v>0</v>
      </c>
      <c r="K918" t="n">
        <v>0</v>
      </c>
      <c r="L918" t="n">
        <v>0</v>
      </c>
      <c r="M918" t="n">
        <v>0</v>
      </c>
      <c r="N918" t="n">
        <v>0</v>
      </c>
      <c r="O918" t="n">
        <v>0</v>
      </c>
      <c r="P918" t="n">
        <v>0</v>
      </c>
      <c r="Q918" t="n">
        <v>0</v>
      </c>
      <c r="R918" s="2" t="inlineStr"/>
    </row>
    <row r="919" ht="15" customHeight="1">
      <c r="A919" t="inlineStr">
        <is>
          <t>A 29-2023</t>
        </is>
      </c>
      <c r="B919" s="1" t="n">
        <v>44928</v>
      </c>
      <c r="C919" s="1" t="n">
        <v>45294</v>
      </c>
      <c r="D919" t="inlineStr">
        <is>
          <t>JÄMTLANDS LÄN</t>
        </is>
      </c>
      <c r="E919" t="inlineStr">
        <is>
          <t>HÄRJEDALEN</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35-2023</t>
        </is>
      </c>
      <c r="B920" s="1" t="n">
        <v>44928</v>
      </c>
      <c r="C920" s="1" t="n">
        <v>45294</v>
      </c>
      <c r="D920" t="inlineStr">
        <is>
          <t>JÄMTLANDS LÄN</t>
        </is>
      </c>
      <c r="E920" t="inlineStr">
        <is>
          <t>HÄRJEDALEN</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78-2023</t>
        </is>
      </c>
      <c r="B921" s="1" t="n">
        <v>44928</v>
      </c>
      <c r="C921" s="1" t="n">
        <v>45294</v>
      </c>
      <c r="D921" t="inlineStr">
        <is>
          <t>JÄMTLANDS LÄN</t>
        </is>
      </c>
      <c r="E921" t="inlineStr">
        <is>
          <t>HÄRJEDALEN</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103-2023</t>
        </is>
      </c>
      <c r="B922" s="1" t="n">
        <v>44928</v>
      </c>
      <c r="C922" s="1" t="n">
        <v>45294</v>
      </c>
      <c r="D922" t="inlineStr">
        <is>
          <t>JÄMTLANDS LÄN</t>
        </is>
      </c>
      <c r="E922" t="inlineStr">
        <is>
          <t>HÄRJEDALEN</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166-2023</t>
        </is>
      </c>
      <c r="B923" s="1" t="n">
        <v>44928</v>
      </c>
      <c r="C923" s="1" t="n">
        <v>45294</v>
      </c>
      <c r="D923" t="inlineStr">
        <is>
          <t>JÄMTLANDS LÄN</t>
        </is>
      </c>
      <c r="E923" t="inlineStr">
        <is>
          <t>HÄRJEDALEN</t>
        </is>
      </c>
      <c r="F923" t="inlineStr">
        <is>
          <t>Holmen skog AB</t>
        </is>
      </c>
      <c r="G923" t="n">
        <v>13.5</v>
      </c>
      <c r="H923" t="n">
        <v>0</v>
      </c>
      <c r="I923" t="n">
        <v>0</v>
      </c>
      <c r="J923" t="n">
        <v>0</v>
      </c>
      <c r="K923" t="n">
        <v>0</v>
      </c>
      <c r="L923" t="n">
        <v>0</v>
      </c>
      <c r="M923" t="n">
        <v>0</v>
      </c>
      <c r="N923" t="n">
        <v>0</v>
      </c>
      <c r="O923" t="n">
        <v>0</v>
      </c>
      <c r="P923" t="n">
        <v>0</v>
      </c>
      <c r="Q923" t="n">
        <v>0</v>
      </c>
      <c r="R923" s="2" t="inlineStr"/>
    </row>
    <row r="924" ht="15" customHeight="1">
      <c r="A924" t="inlineStr">
        <is>
          <t>A 176-2023</t>
        </is>
      </c>
      <c r="B924" s="1" t="n">
        <v>44928</v>
      </c>
      <c r="C924" s="1" t="n">
        <v>45294</v>
      </c>
      <c r="D924" t="inlineStr">
        <is>
          <t>JÄMTLANDS LÄN</t>
        </is>
      </c>
      <c r="E924" t="inlineStr">
        <is>
          <t>HÄRJEDALEN</t>
        </is>
      </c>
      <c r="F924" t="inlineStr">
        <is>
          <t>Holmen skog AB</t>
        </is>
      </c>
      <c r="G924" t="n">
        <v>5.9</v>
      </c>
      <c r="H924" t="n">
        <v>0</v>
      </c>
      <c r="I924" t="n">
        <v>0</v>
      </c>
      <c r="J924" t="n">
        <v>0</v>
      </c>
      <c r="K924" t="n">
        <v>0</v>
      </c>
      <c r="L924" t="n">
        <v>0</v>
      </c>
      <c r="M924" t="n">
        <v>0</v>
      </c>
      <c r="N924" t="n">
        <v>0</v>
      </c>
      <c r="O924" t="n">
        <v>0</v>
      </c>
      <c r="P924" t="n">
        <v>0</v>
      </c>
      <c r="Q924" t="n">
        <v>0</v>
      </c>
      <c r="R924" s="2" t="inlineStr"/>
    </row>
    <row r="925" ht="15" customHeight="1">
      <c r="A925" t="inlineStr">
        <is>
          <t>A 171-2023</t>
        </is>
      </c>
      <c r="B925" s="1" t="n">
        <v>44928</v>
      </c>
      <c r="C925" s="1" t="n">
        <v>45294</v>
      </c>
      <c r="D925" t="inlineStr">
        <is>
          <t>JÄMTLANDS LÄN</t>
        </is>
      </c>
      <c r="E925" t="inlineStr">
        <is>
          <t>HÄRJEDALEN</t>
        </is>
      </c>
      <c r="F925" t="inlineStr">
        <is>
          <t>Holmen skog AB</t>
        </is>
      </c>
      <c r="G925" t="n">
        <v>5.7</v>
      </c>
      <c r="H925" t="n">
        <v>0</v>
      </c>
      <c r="I925" t="n">
        <v>0</v>
      </c>
      <c r="J925" t="n">
        <v>0</v>
      </c>
      <c r="K925" t="n">
        <v>0</v>
      </c>
      <c r="L925" t="n">
        <v>0</v>
      </c>
      <c r="M925" t="n">
        <v>0</v>
      </c>
      <c r="N925" t="n">
        <v>0</v>
      </c>
      <c r="O925" t="n">
        <v>0</v>
      </c>
      <c r="P925" t="n">
        <v>0</v>
      </c>
      <c r="Q925" t="n">
        <v>0</v>
      </c>
      <c r="R925" s="2" t="inlineStr"/>
    </row>
    <row r="926" ht="15" customHeight="1">
      <c r="A926" t="inlineStr">
        <is>
          <t>A 1907-2023</t>
        </is>
      </c>
      <c r="B926" s="1" t="n">
        <v>44939</v>
      </c>
      <c r="C926" s="1" t="n">
        <v>45294</v>
      </c>
      <c r="D926" t="inlineStr">
        <is>
          <t>JÄMTLANDS LÄN</t>
        </is>
      </c>
      <c r="E926" t="inlineStr">
        <is>
          <t>HÄRJEDALEN</t>
        </is>
      </c>
      <c r="F926" t="inlineStr">
        <is>
          <t>Holmen skog AB</t>
        </is>
      </c>
      <c r="G926" t="n">
        <v>1</v>
      </c>
      <c r="H926" t="n">
        <v>0</v>
      </c>
      <c r="I926" t="n">
        <v>0</v>
      </c>
      <c r="J926" t="n">
        <v>0</v>
      </c>
      <c r="K926" t="n">
        <v>0</v>
      </c>
      <c r="L926" t="n">
        <v>0</v>
      </c>
      <c r="M926" t="n">
        <v>0</v>
      </c>
      <c r="N926" t="n">
        <v>0</v>
      </c>
      <c r="O926" t="n">
        <v>0</v>
      </c>
      <c r="P926" t="n">
        <v>0</v>
      </c>
      <c r="Q926" t="n">
        <v>0</v>
      </c>
      <c r="R926" s="2" t="inlineStr"/>
    </row>
    <row r="927" ht="15" customHeight="1">
      <c r="A927" t="inlineStr">
        <is>
          <t>A 1954-2023</t>
        </is>
      </c>
      <c r="B927" s="1" t="n">
        <v>44939</v>
      </c>
      <c r="C927" s="1" t="n">
        <v>45294</v>
      </c>
      <c r="D927" t="inlineStr">
        <is>
          <t>JÄMTLANDS LÄN</t>
        </is>
      </c>
      <c r="E927" t="inlineStr">
        <is>
          <t>HÄRJEDALEN</t>
        </is>
      </c>
      <c r="G927" t="n">
        <v>0.6</v>
      </c>
      <c r="H927" t="n">
        <v>0</v>
      </c>
      <c r="I927" t="n">
        <v>0</v>
      </c>
      <c r="J927" t="n">
        <v>0</v>
      </c>
      <c r="K927" t="n">
        <v>0</v>
      </c>
      <c r="L927" t="n">
        <v>0</v>
      </c>
      <c r="M927" t="n">
        <v>0</v>
      </c>
      <c r="N927" t="n">
        <v>0</v>
      </c>
      <c r="O927" t="n">
        <v>0</v>
      </c>
      <c r="P927" t="n">
        <v>0</v>
      </c>
      <c r="Q927" t="n">
        <v>0</v>
      </c>
      <c r="R927" s="2" t="inlineStr"/>
    </row>
    <row r="928" ht="15" customHeight="1">
      <c r="A928" t="inlineStr">
        <is>
          <t>A 4196-2023</t>
        </is>
      </c>
      <c r="B928" s="1" t="n">
        <v>44953</v>
      </c>
      <c r="C928" s="1" t="n">
        <v>45294</v>
      </c>
      <c r="D928" t="inlineStr">
        <is>
          <t>JÄMTLANDS LÄN</t>
        </is>
      </c>
      <c r="E928" t="inlineStr">
        <is>
          <t>HÄRJEDALEN</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4694-2023</t>
        </is>
      </c>
      <c r="B929" s="1" t="n">
        <v>44957</v>
      </c>
      <c r="C929" s="1" t="n">
        <v>45294</v>
      </c>
      <c r="D929" t="inlineStr">
        <is>
          <t>JÄMTLANDS LÄN</t>
        </is>
      </c>
      <c r="E929" t="inlineStr">
        <is>
          <t>HÄRJEDALEN</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4712-2023</t>
        </is>
      </c>
      <c r="B930" s="1" t="n">
        <v>44957</v>
      </c>
      <c r="C930" s="1" t="n">
        <v>45294</v>
      </c>
      <c r="D930" t="inlineStr">
        <is>
          <t>JÄMTLANDS LÄN</t>
        </is>
      </c>
      <c r="E930" t="inlineStr">
        <is>
          <t>HÄRJEDALEN</t>
        </is>
      </c>
      <c r="F930" t="inlineStr">
        <is>
          <t>Holmen skog AB</t>
        </is>
      </c>
      <c r="G930" t="n">
        <v>2.8</v>
      </c>
      <c r="H930" t="n">
        <v>0</v>
      </c>
      <c r="I930" t="n">
        <v>0</v>
      </c>
      <c r="J930" t="n">
        <v>0</v>
      </c>
      <c r="K930" t="n">
        <v>0</v>
      </c>
      <c r="L930" t="n">
        <v>0</v>
      </c>
      <c r="M930" t="n">
        <v>0</v>
      </c>
      <c r="N930" t="n">
        <v>0</v>
      </c>
      <c r="O930" t="n">
        <v>0</v>
      </c>
      <c r="P930" t="n">
        <v>0</v>
      </c>
      <c r="Q930" t="n">
        <v>0</v>
      </c>
      <c r="R930" s="2" t="inlineStr"/>
    </row>
    <row r="931" ht="15" customHeight="1">
      <c r="A931" t="inlineStr">
        <is>
          <t>A 4711-2023</t>
        </is>
      </c>
      <c r="B931" s="1" t="n">
        <v>44957</v>
      </c>
      <c r="C931" s="1" t="n">
        <v>45294</v>
      </c>
      <c r="D931" t="inlineStr">
        <is>
          <t>JÄMTLANDS LÄN</t>
        </is>
      </c>
      <c r="E931" t="inlineStr">
        <is>
          <t>HÄRJEDALEN</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4782-2023</t>
        </is>
      </c>
      <c r="B932" s="1" t="n">
        <v>44957</v>
      </c>
      <c r="C932" s="1" t="n">
        <v>45294</v>
      </c>
      <c r="D932" t="inlineStr">
        <is>
          <t>JÄMTLANDS LÄN</t>
        </is>
      </c>
      <c r="E932" t="inlineStr">
        <is>
          <t>HÄRJEDALEN</t>
        </is>
      </c>
      <c r="F932" t="inlineStr">
        <is>
          <t>Holmen skog AB</t>
        </is>
      </c>
      <c r="G932" t="n">
        <v>3.8</v>
      </c>
      <c r="H932" t="n">
        <v>0</v>
      </c>
      <c r="I932" t="n">
        <v>0</v>
      </c>
      <c r="J932" t="n">
        <v>0</v>
      </c>
      <c r="K932" t="n">
        <v>0</v>
      </c>
      <c r="L932" t="n">
        <v>0</v>
      </c>
      <c r="M932" t="n">
        <v>0</v>
      </c>
      <c r="N932" t="n">
        <v>0</v>
      </c>
      <c r="O932" t="n">
        <v>0</v>
      </c>
      <c r="P932" t="n">
        <v>0</v>
      </c>
      <c r="Q932" t="n">
        <v>0</v>
      </c>
      <c r="R932" s="2" t="inlineStr"/>
    </row>
    <row r="933" ht="15" customHeight="1">
      <c r="A933" t="inlineStr">
        <is>
          <t>A 5013-2023</t>
        </is>
      </c>
      <c r="B933" s="1" t="n">
        <v>44958</v>
      </c>
      <c r="C933" s="1" t="n">
        <v>45294</v>
      </c>
      <c r="D933" t="inlineStr">
        <is>
          <t>JÄMTLANDS LÄN</t>
        </is>
      </c>
      <c r="E933" t="inlineStr">
        <is>
          <t>HÄRJEDALEN</t>
        </is>
      </c>
      <c r="F933" t="inlineStr">
        <is>
          <t>Bergvik skog väst AB</t>
        </is>
      </c>
      <c r="G933" t="n">
        <v>0.2</v>
      </c>
      <c r="H933" t="n">
        <v>0</v>
      </c>
      <c r="I933" t="n">
        <v>0</v>
      </c>
      <c r="J933" t="n">
        <v>0</v>
      </c>
      <c r="K933" t="n">
        <v>0</v>
      </c>
      <c r="L933" t="n">
        <v>0</v>
      </c>
      <c r="M933" t="n">
        <v>0</v>
      </c>
      <c r="N933" t="n">
        <v>0</v>
      </c>
      <c r="O933" t="n">
        <v>0</v>
      </c>
      <c r="P933" t="n">
        <v>0</v>
      </c>
      <c r="Q933" t="n">
        <v>0</v>
      </c>
      <c r="R933" s="2" t="inlineStr"/>
    </row>
    <row r="934" ht="15" customHeight="1">
      <c r="A934" t="inlineStr">
        <is>
          <t>A 5640-2023</t>
        </is>
      </c>
      <c r="B934" s="1" t="n">
        <v>44960</v>
      </c>
      <c r="C934" s="1" t="n">
        <v>45294</v>
      </c>
      <c r="D934" t="inlineStr">
        <is>
          <t>JÄMTLANDS LÄN</t>
        </is>
      </c>
      <c r="E934" t="inlineStr">
        <is>
          <t>HÄRJEDALEN</t>
        </is>
      </c>
      <c r="G934" t="n">
        <v>8.4</v>
      </c>
      <c r="H934" t="n">
        <v>0</v>
      </c>
      <c r="I934" t="n">
        <v>0</v>
      </c>
      <c r="J934" t="n">
        <v>0</v>
      </c>
      <c r="K934" t="n">
        <v>0</v>
      </c>
      <c r="L934" t="n">
        <v>0</v>
      </c>
      <c r="M934" t="n">
        <v>0</v>
      </c>
      <c r="N934" t="n">
        <v>0</v>
      </c>
      <c r="O934" t="n">
        <v>0</v>
      </c>
      <c r="P934" t="n">
        <v>0</v>
      </c>
      <c r="Q934" t="n">
        <v>0</v>
      </c>
      <c r="R934" s="2" t="inlineStr"/>
    </row>
    <row r="935" ht="15" customHeight="1">
      <c r="A935" t="inlineStr">
        <is>
          <t>A 6001-2023</t>
        </is>
      </c>
      <c r="B935" s="1" t="n">
        <v>44964</v>
      </c>
      <c r="C935" s="1" t="n">
        <v>45294</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6124-2023</t>
        </is>
      </c>
      <c r="B936" s="1" t="n">
        <v>44964</v>
      </c>
      <c r="C936" s="1" t="n">
        <v>45294</v>
      </c>
      <c r="D936" t="inlineStr">
        <is>
          <t>JÄMTLANDS LÄN</t>
        </is>
      </c>
      <c r="E936" t="inlineStr">
        <is>
          <t>HÄRJEDALEN</t>
        </is>
      </c>
      <c r="G936" t="n">
        <v>20</v>
      </c>
      <c r="H936" t="n">
        <v>0</v>
      </c>
      <c r="I936" t="n">
        <v>0</v>
      </c>
      <c r="J936" t="n">
        <v>0</v>
      </c>
      <c r="K936" t="n">
        <v>0</v>
      </c>
      <c r="L936" t="n">
        <v>0</v>
      </c>
      <c r="M936" t="n">
        <v>0</v>
      </c>
      <c r="N936" t="n">
        <v>0</v>
      </c>
      <c r="O936" t="n">
        <v>0</v>
      </c>
      <c r="P936" t="n">
        <v>0</v>
      </c>
      <c r="Q936" t="n">
        <v>0</v>
      </c>
      <c r="R936" s="2" t="inlineStr"/>
    </row>
    <row r="937" ht="15" customHeight="1">
      <c r="A937" t="inlineStr">
        <is>
          <t>A 7636-2023</t>
        </is>
      </c>
      <c r="B937" s="1" t="n">
        <v>44972</v>
      </c>
      <c r="C937" s="1" t="n">
        <v>45294</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8365-2023</t>
        </is>
      </c>
      <c r="B938" s="1" t="n">
        <v>44977</v>
      </c>
      <c r="C938" s="1" t="n">
        <v>45294</v>
      </c>
      <c r="D938" t="inlineStr">
        <is>
          <t>JÄMTLANDS LÄN</t>
        </is>
      </c>
      <c r="E938" t="inlineStr">
        <is>
          <t>HÄRJEDALEN</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8420-2023</t>
        </is>
      </c>
      <c r="B939" s="1" t="n">
        <v>44977</v>
      </c>
      <c r="C939" s="1" t="n">
        <v>45294</v>
      </c>
      <c r="D939" t="inlineStr">
        <is>
          <t>JÄMTLANDS LÄN</t>
        </is>
      </c>
      <c r="E939" t="inlineStr">
        <is>
          <t>HÄRJEDALEN</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8577-2023</t>
        </is>
      </c>
      <c r="B940" s="1" t="n">
        <v>44977</v>
      </c>
      <c r="C940" s="1" t="n">
        <v>45294</v>
      </c>
      <c r="D940" t="inlineStr">
        <is>
          <t>JÄMTLANDS LÄN</t>
        </is>
      </c>
      <c r="E940" t="inlineStr">
        <is>
          <t>HÄRJEDALEN</t>
        </is>
      </c>
      <c r="G940" t="n">
        <v>19.6</v>
      </c>
      <c r="H940" t="n">
        <v>0</v>
      </c>
      <c r="I940" t="n">
        <v>0</v>
      </c>
      <c r="J940" t="n">
        <v>0</v>
      </c>
      <c r="K940" t="n">
        <v>0</v>
      </c>
      <c r="L940" t="n">
        <v>0</v>
      </c>
      <c r="M940" t="n">
        <v>0</v>
      </c>
      <c r="N940" t="n">
        <v>0</v>
      </c>
      <c r="O940" t="n">
        <v>0</v>
      </c>
      <c r="P940" t="n">
        <v>0</v>
      </c>
      <c r="Q940" t="n">
        <v>0</v>
      </c>
      <c r="R940" s="2" t="inlineStr"/>
    </row>
    <row r="941" ht="15" customHeight="1">
      <c r="A941" t="inlineStr">
        <is>
          <t>A 8804-2023</t>
        </is>
      </c>
      <c r="B941" s="1" t="n">
        <v>44978</v>
      </c>
      <c r="C941" s="1" t="n">
        <v>45294</v>
      </c>
      <c r="D941" t="inlineStr">
        <is>
          <t>JÄMTLANDS LÄN</t>
        </is>
      </c>
      <c r="E941" t="inlineStr">
        <is>
          <t>HÄRJEDALEN</t>
        </is>
      </c>
      <c r="G941" t="n">
        <v>14</v>
      </c>
      <c r="H941" t="n">
        <v>0</v>
      </c>
      <c r="I941" t="n">
        <v>0</v>
      </c>
      <c r="J941" t="n">
        <v>0</v>
      </c>
      <c r="K941" t="n">
        <v>0</v>
      </c>
      <c r="L941" t="n">
        <v>0</v>
      </c>
      <c r="M941" t="n">
        <v>0</v>
      </c>
      <c r="N941" t="n">
        <v>0</v>
      </c>
      <c r="O941" t="n">
        <v>0</v>
      </c>
      <c r="P941" t="n">
        <v>0</v>
      </c>
      <c r="Q941" t="n">
        <v>0</v>
      </c>
      <c r="R941" s="2" t="inlineStr"/>
    </row>
    <row r="942" ht="15" customHeight="1">
      <c r="A942" t="inlineStr">
        <is>
          <t>A 9188-2023</t>
        </is>
      </c>
      <c r="B942" s="1" t="n">
        <v>44980</v>
      </c>
      <c r="C942" s="1" t="n">
        <v>45294</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9998-2023</t>
        </is>
      </c>
      <c r="B943" s="1" t="n">
        <v>44985</v>
      </c>
      <c r="C943" s="1" t="n">
        <v>45294</v>
      </c>
      <c r="D943" t="inlineStr">
        <is>
          <t>JÄMTLANDS LÄN</t>
        </is>
      </c>
      <c r="E943" t="inlineStr">
        <is>
          <t>HÄRJEDALEN</t>
        </is>
      </c>
      <c r="F943" t="inlineStr">
        <is>
          <t>Holmen skog AB</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10002-2023</t>
        </is>
      </c>
      <c r="B944" s="1" t="n">
        <v>44985</v>
      </c>
      <c r="C944" s="1" t="n">
        <v>45294</v>
      </c>
      <c r="D944" t="inlineStr">
        <is>
          <t>JÄMTLANDS LÄN</t>
        </is>
      </c>
      <c r="E944" t="inlineStr">
        <is>
          <t>HÄRJEDALEN</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10006-2023</t>
        </is>
      </c>
      <c r="B945" s="1" t="n">
        <v>44985</v>
      </c>
      <c r="C945" s="1" t="n">
        <v>45294</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10000-2023</t>
        </is>
      </c>
      <c r="B946" s="1" t="n">
        <v>44985</v>
      </c>
      <c r="C946" s="1" t="n">
        <v>45294</v>
      </c>
      <c r="D946" t="inlineStr">
        <is>
          <t>JÄMTLANDS LÄN</t>
        </is>
      </c>
      <c r="E946" t="inlineStr">
        <is>
          <t>HÄRJEDALEN</t>
        </is>
      </c>
      <c r="F946" t="inlineStr">
        <is>
          <t>Holmen skog AB</t>
        </is>
      </c>
      <c r="G946" t="n">
        <v>12.6</v>
      </c>
      <c r="H946" t="n">
        <v>0</v>
      </c>
      <c r="I946" t="n">
        <v>0</v>
      </c>
      <c r="J946" t="n">
        <v>0</v>
      </c>
      <c r="K946" t="n">
        <v>0</v>
      </c>
      <c r="L946" t="n">
        <v>0</v>
      </c>
      <c r="M946" t="n">
        <v>0</v>
      </c>
      <c r="N946" t="n">
        <v>0</v>
      </c>
      <c r="O946" t="n">
        <v>0</v>
      </c>
      <c r="P946" t="n">
        <v>0</v>
      </c>
      <c r="Q946" t="n">
        <v>0</v>
      </c>
      <c r="R946" s="2" t="inlineStr"/>
    </row>
    <row r="947" ht="15" customHeight="1">
      <c r="A947" t="inlineStr">
        <is>
          <t>A 9997-2023</t>
        </is>
      </c>
      <c r="B947" s="1" t="n">
        <v>44985</v>
      </c>
      <c r="C947" s="1" t="n">
        <v>45294</v>
      </c>
      <c r="D947" t="inlineStr">
        <is>
          <t>JÄMTLANDS LÄN</t>
        </is>
      </c>
      <c r="E947" t="inlineStr">
        <is>
          <t>HÄRJEDALEN</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10014-2023</t>
        </is>
      </c>
      <c r="B948" s="1" t="n">
        <v>44985</v>
      </c>
      <c r="C948" s="1" t="n">
        <v>45294</v>
      </c>
      <c r="D948" t="inlineStr">
        <is>
          <t>JÄMTLANDS LÄN</t>
        </is>
      </c>
      <c r="E948" t="inlineStr">
        <is>
          <t>HÄRJEDALEN</t>
        </is>
      </c>
      <c r="F948" t="inlineStr">
        <is>
          <t>Holmen skog AB</t>
        </is>
      </c>
      <c r="G948" t="n">
        <v>2.5</v>
      </c>
      <c r="H948" t="n">
        <v>0</v>
      </c>
      <c r="I948" t="n">
        <v>0</v>
      </c>
      <c r="J948" t="n">
        <v>0</v>
      </c>
      <c r="K948" t="n">
        <v>0</v>
      </c>
      <c r="L948" t="n">
        <v>0</v>
      </c>
      <c r="M948" t="n">
        <v>0</v>
      </c>
      <c r="N948" t="n">
        <v>0</v>
      </c>
      <c r="O948" t="n">
        <v>0</v>
      </c>
      <c r="P948" t="n">
        <v>0</v>
      </c>
      <c r="Q948" t="n">
        <v>0</v>
      </c>
      <c r="R948" s="2" t="inlineStr"/>
    </row>
    <row r="949" ht="15" customHeight="1">
      <c r="A949" t="inlineStr">
        <is>
          <t>A 10008-2023</t>
        </is>
      </c>
      <c r="B949" s="1" t="n">
        <v>44985</v>
      </c>
      <c r="C949" s="1" t="n">
        <v>45294</v>
      </c>
      <c r="D949" t="inlineStr">
        <is>
          <t>JÄMTLANDS LÄN</t>
        </is>
      </c>
      <c r="E949" t="inlineStr">
        <is>
          <t>HÄRJEDALEN</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10046-2023</t>
        </is>
      </c>
      <c r="B950" s="1" t="n">
        <v>44985</v>
      </c>
      <c r="C950" s="1" t="n">
        <v>45294</v>
      </c>
      <c r="D950" t="inlineStr">
        <is>
          <t>JÄMTLANDS LÄN</t>
        </is>
      </c>
      <c r="E950" t="inlineStr">
        <is>
          <t>HÄRJEDALEN</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10015-2023</t>
        </is>
      </c>
      <c r="B951" s="1" t="n">
        <v>44985</v>
      </c>
      <c r="C951" s="1" t="n">
        <v>45294</v>
      </c>
      <c r="D951" t="inlineStr">
        <is>
          <t>JÄMTLANDS LÄN</t>
        </is>
      </c>
      <c r="E951" t="inlineStr">
        <is>
          <t>HÄRJEDALEN</t>
        </is>
      </c>
      <c r="F951" t="inlineStr">
        <is>
          <t>Holmen skog AB</t>
        </is>
      </c>
      <c r="G951" t="n">
        <v>3.2</v>
      </c>
      <c r="H951" t="n">
        <v>0</v>
      </c>
      <c r="I951" t="n">
        <v>0</v>
      </c>
      <c r="J951" t="n">
        <v>0</v>
      </c>
      <c r="K951" t="n">
        <v>0</v>
      </c>
      <c r="L951" t="n">
        <v>0</v>
      </c>
      <c r="M951" t="n">
        <v>0</v>
      </c>
      <c r="N951" t="n">
        <v>0</v>
      </c>
      <c r="O951" t="n">
        <v>0</v>
      </c>
      <c r="P951" t="n">
        <v>0</v>
      </c>
      <c r="Q951" t="n">
        <v>0</v>
      </c>
      <c r="R951" s="2" t="inlineStr"/>
    </row>
    <row r="952" ht="15" customHeight="1">
      <c r="A952" t="inlineStr">
        <is>
          <t>A 10043-2023</t>
        </is>
      </c>
      <c r="B952" s="1" t="n">
        <v>44985</v>
      </c>
      <c r="C952" s="1" t="n">
        <v>45294</v>
      </c>
      <c r="D952" t="inlineStr">
        <is>
          <t>JÄMTLANDS LÄN</t>
        </is>
      </c>
      <c r="E952" t="inlineStr">
        <is>
          <t>HÄRJEDALEN</t>
        </is>
      </c>
      <c r="F952" t="inlineStr">
        <is>
          <t>Holmen skog AB</t>
        </is>
      </c>
      <c r="G952" t="n">
        <v>1</v>
      </c>
      <c r="H952" t="n">
        <v>0</v>
      </c>
      <c r="I952" t="n">
        <v>0</v>
      </c>
      <c r="J952" t="n">
        <v>0</v>
      </c>
      <c r="K952" t="n">
        <v>0</v>
      </c>
      <c r="L952" t="n">
        <v>0</v>
      </c>
      <c r="M952" t="n">
        <v>0</v>
      </c>
      <c r="N952" t="n">
        <v>0</v>
      </c>
      <c r="O952" t="n">
        <v>0</v>
      </c>
      <c r="P952" t="n">
        <v>0</v>
      </c>
      <c r="Q952" t="n">
        <v>0</v>
      </c>
      <c r="R952" s="2" t="inlineStr"/>
    </row>
    <row r="953" ht="15" customHeight="1">
      <c r="A953" t="inlineStr">
        <is>
          <t>A 9993-2023</t>
        </is>
      </c>
      <c r="B953" s="1" t="n">
        <v>44985</v>
      </c>
      <c r="C953" s="1" t="n">
        <v>45294</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10003-2023</t>
        </is>
      </c>
      <c r="B954" s="1" t="n">
        <v>44985</v>
      </c>
      <c r="C954" s="1" t="n">
        <v>45294</v>
      </c>
      <c r="D954" t="inlineStr">
        <is>
          <t>JÄMTLANDS LÄN</t>
        </is>
      </c>
      <c r="E954" t="inlineStr">
        <is>
          <t>HÄRJEDALEN</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10007-2023</t>
        </is>
      </c>
      <c r="B955" s="1" t="n">
        <v>44985</v>
      </c>
      <c r="C955" s="1" t="n">
        <v>45294</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10012-2023</t>
        </is>
      </c>
      <c r="B956" s="1" t="n">
        <v>44985</v>
      </c>
      <c r="C956" s="1" t="n">
        <v>45294</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10040-2023</t>
        </is>
      </c>
      <c r="B957" s="1" t="n">
        <v>44985</v>
      </c>
      <c r="C957" s="1" t="n">
        <v>45294</v>
      </c>
      <c r="D957" t="inlineStr">
        <is>
          <t>JÄMTLANDS LÄN</t>
        </is>
      </c>
      <c r="E957" t="inlineStr">
        <is>
          <t>HÄRJEDALEN</t>
        </is>
      </c>
      <c r="F957" t="inlineStr">
        <is>
          <t>Holmen skog AB</t>
        </is>
      </c>
      <c r="G957" t="n">
        <v>2.2</v>
      </c>
      <c r="H957" t="n">
        <v>0</v>
      </c>
      <c r="I957" t="n">
        <v>0</v>
      </c>
      <c r="J957" t="n">
        <v>0</v>
      </c>
      <c r="K957" t="n">
        <v>0</v>
      </c>
      <c r="L957" t="n">
        <v>0</v>
      </c>
      <c r="M957" t="n">
        <v>0</v>
      </c>
      <c r="N957" t="n">
        <v>0</v>
      </c>
      <c r="O957" t="n">
        <v>0</v>
      </c>
      <c r="P957" t="n">
        <v>0</v>
      </c>
      <c r="Q957" t="n">
        <v>0</v>
      </c>
      <c r="R957" s="2" t="inlineStr"/>
    </row>
    <row r="958" ht="15" customHeight="1">
      <c r="A958" t="inlineStr">
        <is>
          <t>A 10329-2023</t>
        </is>
      </c>
      <c r="B958" s="1" t="n">
        <v>44987</v>
      </c>
      <c r="C958" s="1" t="n">
        <v>45294</v>
      </c>
      <c r="D958" t="inlineStr">
        <is>
          <t>JÄMTLANDS LÄN</t>
        </is>
      </c>
      <c r="E958" t="inlineStr">
        <is>
          <t>HÄRJEDALEN</t>
        </is>
      </c>
      <c r="F958" t="inlineStr">
        <is>
          <t>Holmen skog AB</t>
        </is>
      </c>
      <c r="G958" t="n">
        <v>4.7</v>
      </c>
      <c r="H958" t="n">
        <v>0</v>
      </c>
      <c r="I958" t="n">
        <v>0</v>
      </c>
      <c r="J958" t="n">
        <v>0</v>
      </c>
      <c r="K958" t="n">
        <v>0</v>
      </c>
      <c r="L958" t="n">
        <v>0</v>
      </c>
      <c r="M958" t="n">
        <v>0</v>
      </c>
      <c r="N958" t="n">
        <v>0</v>
      </c>
      <c r="O958" t="n">
        <v>0</v>
      </c>
      <c r="P958" t="n">
        <v>0</v>
      </c>
      <c r="Q958" t="n">
        <v>0</v>
      </c>
      <c r="R958" s="2" t="inlineStr"/>
    </row>
    <row r="959" ht="15" customHeight="1">
      <c r="A959" t="inlineStr">
        <is>
          <t>A 10353-2023</t>
        </is>
      </c>
      <c r="B959" s="1" t="n">
        <v>44987</v>
      </c>
      <c r="C959" s="1" t="n">
        <v>45294</v>
      </c>
      <c r="D959" t="inlineStr">
        <is>
          <t>JÄMTLANDS LÄN</t>
        </is>
      </c>
      <c r="E959" t="inlineStr">
        <is>
          <t>HÄRJEDALEN</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10342-2023</t>
        </is>
      </c>
      <c r="B960" s="1" t="n">
        <v>44987</v>
      </c>
      <c r="C960" s="1" t="n">
        <v>45294</v>
      </c>
      <c r="D960" t="inlineStr">
        <is>
          <t>JÄMTLANDS LÄN</t>
        </is>
      </c>
      <c r="E960" t="inlineStr">
        <is>
          <t>HÄRJEDALEN</t>
        </is>
      </c>
      <c r="F960" t="inlineStr">
        <is>
          <t>Holmen skog AB</t>
        </is>
      </c>
      <c r="G960" t="n">
        <v>32.6</v>
      </c>
      <c r="H960" t="n">
        <v>0</v>
      </c>
      <c r="I960" t="n">
        <v>0</v>
      </c>
      <c r="J960" t="n">
        <v>0</v>
      </c>
      <c r="K960" t="n">
        <v>0</v>
      </c>
      <c r="L960" t="n">
        <v>0</v>
      </c>
      <c r="M960" t="n">
        <v>0</v>
      </c>
      <c r="N960" t="n">
        <v>0</v>
      </c>
      <c r="O960" t="n">
        <v>0</v>
      </c>
      <c r="P960" t="n">
        <v>0</v>
      </c>
      <c r="Q960" t="n">
        <v>0</v>
      </c>
      <c r="R960" s="2" t="inlineStr"/>
    </row>
    <row r="961" ht="15" customHeight="1">
      <c r="A961" t="inlineStr">
        <is>
          <t>A 10340-2023</t>
        </is>
      </c>
      <c r="B961" s="1" t="n">
        <v>44987</v>
      </c>
      <c r="C961" s="1" t="n">
        <v>45294</v>
      </c>
      <c r="D961" t="inlineStr">
        <is>
          <t>JÄMTLANDS LÄN</t>
        </is>
      </c>
      <c r="E961" t="inlineStr">
        <is>
          <t>HÄRJEDALEN</t>
        </is>
      </c>
      <c r="F961" t="inlineStr">
        <is>
          <t>Holmen skog AB</t>
        </is>
      </c>
      <c r="G961" t="n">
        <v>5.7</v>
      </c>
      <c r="H961" t="n">
        <v>0</v>
      </c>
      <c r="I961" t="n">
        <v>0</v>
      </c>
      <c r="J961" t="n">
        <v>0</v>
      </c>
      <c r="K961" t="n">
        <v>0</v>
      </c>
      <c r="L961" t="n">
        <v>0</v>
      </c>
      <c r="M961" t="n">
        <v>0</v>
      </c>
      <c r="N961" t="n">
        <v>0</v>
      </c>
      <c r="O961" t="n">
        <v>0</v>
      </c>
      <c r="P961" t="n">
        <v>0</v>
      </c>
      <c r="Q961" t="n">
        <v>0</v>
      </c>
      <c r="R961" s="2" t="inlineStr"/>
    </row>
    <row r="962" ht="15" customHeight="1">
      <c r="A962" t="inlineStr">
        <is>
          <t>A 10348-2023</t>
        </is>
      </c>
      <c r="B962" s="1" t="n">
        <v>44987</v>
      </c>
      <c r="C962" s="1" t="n">
        <v>45294</v>
      </c>
      <c r="D962" t="inlineStr">
        <is>
          <t>JÄMTLANDS LÄN</t>
        </is>
      </c>
      <c r="E962" t="inlineStr">
        <is>
          <t>HÄRJEDALEN</t>
        </is>
      </c>
      <c r="F962" t="inlineStr">
        <is>
          <t>Holmen skog AB</t>
        </is>
      </c>
      <c r="G962" t="n">
        <v>17.8</v>
      </c>
      <c r="H962" t="n">
        <v>0</v>
      </c>
      <c r="I962" t="n">
        <v>0</v>
      </c>
      <c r="J962" t="n">
        <v>0</v>
      </c>
      <c r="K962" t="n">
        <v>0</v>
      </c>
      <c r="L962" t="n">
        <v>0</v>
      </c>
      <c r="M962" t="n">
        <v>0</v>
      </c>
      <c r="N962" t="n">
        <v>0</v>
      </c>
      <c r="O962" t="n">
        <v>0</v>
      </c>
      <c r="P962" t="n">
        <v>0</v>
      </c>
      <c r="Q962" t="n">
        <v>0</v>
      </c>
      <c r="R962" s="2" t="inlineStr"/>
    </row>
    <row r="963" ht="15" customHeight="1">
      <c r="A963" t="inlineStr">
        <is>
          <t>A 10338-2023</t>
        </is>
      </c>
      <c r="B963" s="1" t="n">
        <v>44987</v>
      </c>
      <c r="C963" s="1" t="n">
        <v>45294</v>
      </c>
      <c r="D963" t="inlineStr">
        <is>
          <t>JÄMTLANDS LÄN</t>
        </is>
      </c>
      <c r="E963" t="inlineStr">
        <is>
          <t>HÄRJEDALEN</t>
        </is>
      </c>
      <c r="F963" t="inlineStr">
        <is>
          <t>Holmen skog AB</t>
        </is>
      </c>
      <c r="G963" t="n">
        <v>11.8</v>
      </c>
      <c r="H963" t="n">
        <v>0</v>
      </c>
      <c r="I963" t="n">
        <v>0</v>
      </c>
      <c r="J963" t="n">
        <v>0</v>
      </c>
      <c r="K963" t="n">
        <v>0</v>
      </c>
      <c r="L963" t="n">
        <v>0</v>
      </c>
      <c r="M963" t="n">
        <v>0</v>
      </c>
      <c r="N963" t="n">
        <v>0</v>
      </c>
      <c r="O963" t="n">
        <v>0</v>
      </c>
      <c r="P963" t="n">
        <v>0</v>
      </c>
      <c r="Q963" t="n">
        <v>0</v>
      </c>
      <c r="R963" s="2" t="inlineStr"/>
    </row>
    <row r="964" ht="15" customHeight="1">
      <c r="A964" t="inlineStr">
        <is>
          <t>A 11448-2023</t>
        </is>
      </c>
      <c r="B964" s="1" t="n">
        <v>44993</v>
      </c>
      <c r="C964" s="1" t="n">
        <v>45294</v>
      </c>
      <c r="D964" t="inlineStr">
        <is>
          <t>JÄMTLANDS LÄN</t>
        </is>
      </c>
      <c r="E964" t="inlineStr">
        <is>
          <t>HÄRJEDALEN</t>
        </is>
      </c>
      <c r="G964" t="n">
        <v>12.1</v>
      </c>
      <c r="H964" t="n">
        <v>0</v>
      </c>
      <c r="I964" t="n">
        <v>0</v>
      </c>
      <c r="J964" t="n">
        <v>0</v>
      </c>
      <c r="K964" t="n">
        <v>0</v>
      </c>
      <c r="L964" t="n">
        <v>0</v>
      </c>
      <c r="M964" t="n">
        <v>0</v>
      </c>
      <c r="N964" t="n">
        <v>0</v>
      </c>
      <c r="O964" t="n">
        <v>0</v>
      </c>
      <c r="P964" t="n">
        <v>0</v>
      </c>
      <c r="Q964" t="n">
        <v>0</v>
      </c>
      <c r="R964" s="2" t="inlineStr"/>
    </row>
    <row r="965" ht="15" customHeight="1">
      <c r="A965" t="inlineStr">
        <is>
          <t>A 11818-2023</t>
        </is>
      </c>
      <c r="B965" s="1" t="n">
        <v>44994</v>
      </c>
      <c r="C965" s="1" t="n">
        <v>45294</v>
      </c>
      <c r="D965" t="inlineStr">
        <is>
          <t>JÄMTLANDS LÄN</t>
        </is>
      </c>
      <c r="E965" t="inlineStr">
        <is>
          <t>HÄRJEDALEN</t>
        </is>
      </c>
      <c r="G965" t="n">
        <v>8.9</v>
      </c>
      <c r="H965" t="n">
        <v>0</v>
      </c>
      <c r="I965" t="n">
        <v>0</v>
      </c>
      <c r="J965" t="n">
        <v>0</v>
      </c>
      <c r="K965" t="n">
        <v>0</v>
      </c>
      <c r="L965" t="n">
        <v>0</v>
      </c>
      <c r="M965" t="n">
        <v>0</v>
      </c>
      <c r="N965" t="n">
        <v>0</v>
      </c>
      <c r="O965" t="n">
        <v>0</v>
      </c>
      <c r="P965" t="n">
        <v>0</v>
      </c>
      <c r="Q965" t="n">
        <v>0</v>
      </c>
      <c r="R965" s="2" t="inlineStr"/>
    </row>
    <row r="966" ht="15" customHeight="1">
      <c r="A966" t="inlineStr">
        <is>
          <t>A 12484-2023</t>
        </is>
      </c>
      <c r="B966" s="1" t="n">
        <v>44998</v>
      </c>
      <c r="C966" s="1" t="n">
        <v>45294</v>
      </c>
      <c r="D966" t="inlineStr">
        <is>
          <t>JÄMTLANDS LÄN</t>
        </is>
      </c>
      <c r="E966" t="inlineStr">
        <is>
          <t>HÄRJEDALEN</t>
        </is>
      </c>
      <c r="G966" t="n">
        <v>43.1</v>
      </c>
      <c r="H966" t="n">
        <v>0</v>
      </c>
      <c r="I966" t="n">
        <v>0</v>
      </c>
      <c r="J966" t="n">
        <v>0</v>
      </c>
      <c r="K966" t="n">
        <v>0</v>
      </c>
      <c r="L966" t="n">
        <v>0</v>
      </c>
      <c r="M966" t="n">
        <v>0</v>
      </c>
      <c r="N966" t="n">
        <v>0</v>
      </c>
      <c r="O966" t="n">
        <v>0</v>
      </c>
      <c r="P966" t="n">
        <v>0</v>
      </c>
      <c r="Q966" t="n">
        <v>0</v>
      </c>
      <c r="R966" s="2" t="inlineStr"/>
    </row>
    <row r="967" ht="15" customHeight="1">
      <c r="A967" t="inlineStr">
        <is>
          <t>A 12462-2023</t>
        </is>
      </c>
      <c r="B967" s="1" t="n">
        <v>44999</v>
      </c>
      <c r="C967" s="1" t="n">
        <v>45294</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12625-2023</t>
        </is>
      </c>
      <c r="B968" s="1" t="n">
        <v>45000</v>
      </c>
      <c r="C968" s="1" t="n">
        <v>45294</v>
      </c>
      <c r="D968" t="inlineStr">
        <is>
          <t>JÄMTLANDS LÄN</t>
        </is>
      </c>
      <c r="E968" t="inlineStr">
        <is>
          <t>HÄRJEDALEN</t>
        </is>
      </c>
      <c r="G968" t="n">
        <v>0.6</v>
      </c>
      <c r="H968" t="n">
        <v>0</v>
      </c>
      <c r="I968" t="n">
        <v>0</v>
      </c>
      <c r="J968" t="n">
        <v>0</v>
      </c>
      <c r="K968" t="n">
        <v>0</v>
      </c>
      <c r="L968" t="n">
        <v>0</v>
      </c>
      <c r="M968" t="n">
        <v>0</v>
      </c>
      <c r="N968" t="n">
        <v>0</v>
      </c>
      <c r="O968" t="n">
        <v>0</v>
      </c>
      <c r="P968" t="n">
        <v>0</v>
      </c>
      <c r="Q968" t="n">
        <v>0</v>
      </c>
      <c r="R968" s="2" t="inlineStr"/>
    </row>
    <row r="969" ht="15" customHeight="1">
      <c r="A969" t="inlineStr">
        <is>
          <t>A 12921-2023</t>
        </is>
      </c>
      <c r="B969" s="1" t="n">
        <v>45001</v>
      </c>
      <c r="C969" s="1" t="n">
        <v>45294</v>
      </c>
      <c r="D969" t="inlineStr">
        <is>
          <t>JÄMTLANDS LÄN</t>
        </is>
      </c>
      <c r="E969" t="inlineStr">
        <is>
          <t>HÄRJEDALEN</t>
        </is>
      </c>
      <c r="G969" t="n">
        <v>13.9</v>
      </c>
      <c r="H969" t="n">
        <v>0</v>
      </c>
      <c r="I969" t="n">
        <v>0</v>
      </c>
      <c r="J969" t="n">
        <v>0</v>
      </c>
      <c r="K969" t="n">
        <v>0</v>
      </c>
      <c r="L969" t="n">
        <v>0</v>
      </c>
      <c r="M969" t="n">
        <v>0</v>
      </c>
      <c r="N969" t="n">
        <v>0</v>
      </c>
      <c r="O969" t="n">
        <v>0</v>
      </c>
      <c r="P969" t="n">
        <v>0</v>
      </c>
      <c r="Q969" t="n">
        <v>0</v>
      </c>
      <c r="R969" s="2" t="inlineStr"/>
    </row>
    <row r="970" ht="15" customHeight="1">
      <c r="A970" t="inlineStr">
        <is>
          <t>A 13774-2023</t>
        </is>
      </c>
      <c r="B970" s="1" t="n">
        <v>45007</v>
      </c>
      <c r="C970" s="1" t="n">
        <v>45294</v>
      </c>
      <c r="D970" t="inlineStr">
        <is>
          <t>JÄMTLANDS LÄN</t>
        </is>
      </c>
      <c r="E970" t="inlineStr">
        <is>
          <t>HÄRJEDALEN</t>
        </is>
      </c>
      <c r="G970" t="n">
        <v>0.7</v>
      </c>
      <c r="H970" t="n">
        <v>0</v>
      </c>
      <c r="I970" t="n">
        <v>0</v>
      </c>
      <c r="J970" t="n">
        <v>0</v>
      </c>
      <c r="K970" t="n">
        <v>0</v>
      </c>
      <c r="L970" t="n">
        <v>0</v>
      </c>
      <c r="M970" t="n">
        <v>0</v>
      </c>
      <c r="N970" t="n">
        <v>0</v>
      </c>
      <c r="O970" t="n">
        <v>0</v>
      </c>
      <c r="P970" t="n">
        <v>0</v>
      </c>
      <c r="Q970" t="n">
        <v>0</v>
      </c>
      <c r="R970" s="2" t="inlineStr"/>
    </row>
    <row r="971" ht="15" customHeight="1">
      <c r="A971" t="inlineStr">
        <is>
          <t>A 14631-2023</t>
        </is>
      </c>
      <c r="B971" s="1" t="n">
        <v>45012</v>
      </c>
      <c r="C971" s="1" t="n">
        <v>45294</v>
      </c>
      <c r="D971" t="inlineStr">
        <is>
          <t>JÄMTLANDS LÄN</t>
        </is>
      </c>
      <c r="E971" t="inlineStr">
        <is>
          <t>HÄRJEDALEN</t>
        </is>
      </c>
      <c r="F971" t="inlineStr">
        <is>
          <t>Bergvik skog väst AB</t>
        </is>
      </c>
      <c r="G971" t="n">
        <v>14.2</v>
      </c>
      <c r="H971" t="n">
        <v>0</v>
      </c>
      <c r="I971" t="n">
        <v>0</v>
      </c>
      <c r="J971" t="n">
        <v>0</v>
      </c>
      <c r="K971" t="n">
        <v>0</v>
      </c>
      <c r="L971" t="n">
        <v>0</v>
      </c>
      <c r="M971" t="n">
        <v>0</v>
      </c>
      <c r="N971" t="n">
        <v>0</v>
      </c>
      <c r="O971" t="n">
        <v>0</v>
      </c>
      <c r="P971" t="n">
        <v>0</v>
      </c>
      <c r="Q971" t="n">
        <v>0</v>
      </c>
      <c r="R971" s="2" t="inlineStr"/>
    </row>
    <row r="972" ht="15" customHeight="1">
      <c r="A972" t="inlineStr">
        <is>
          <t>A 15511-2023</t>
        </is>
      </c>
      <c r="B972" s="1" t="n">
        <v>45020</v>
      </c>
      <c r="C972" s="1" t="n">
        <v>45294</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15747-2023</t>
        </is>
      </c>
      <c r="B973" s="1" t="n">
        <v>45020</v>
      </c>
      <c r="C973" s="1" t="n">
        <v>45294</v>
      </c>
      <c r="D973" t="inlineStr">
        <is>
          <t>JÄMTLANDS LÄN</t>
        </is>
      </c>
      <c r="E973" t="inlineStr">
        <is>
          <t>HÄRJEDALEN</t>
        </is>
      </c>
      <c r="G973" t="n">
        <v>0.1</v>
      </c>
      <c r="H973" t="n">
        <v>0</v>
      </c>
      <c r="I973" t="n">
        <v>0</v>
      </c>
      <c r="J973" t="n">
        <v>0</v>
      </c>
      <c r="K973" t="n">
        <v>0</v>
      </c>
      <c r="L973" t="n">
        <v>0</v>
      </c>
      <c r="M973" t="n">
        <v>0</v>
      </c>
      <c r="N973" t="n">
        <v>0</v>
      </c>
      <c r="O973" t="n">
        <v>0</v>
      </c>
      <c r="P973" t="n">
        <v>0</v>
      </c>
      <c r="Q973" t="n">
        <v>0</v>
      </c>
      <c r="R973" s="2" t="inlineStr"/>
    </row>
    <row r="974" ht="15" customHeight="1">
      <c r="A974" t="inlineStr">
        <is>
          <t>A 16115-2023</t>
        </is>
      </c>
      <c r="B974" s="1" t="n">
        <v>45027</v>
      </c>
      <c r="C974" s="1" t="n">
        <v>45294</v>
      </c>
      <c r="D974" t="inlineStr">
        <is>
          <t>JÄMTLANDS LÄN</t>
        </is>
      </c>
      <c r="E974" t="inlineStr">
        <is>
          <t>HÄRJEDALEN</t>
        </is>
      </c>
      <c r="G974" t="n">
        <v>26</v>
      </c>
      <c r="H974" t="n">
        <v>0</v>
      </c>
      <c r="I974" t="n">
        <v>0</v>
      </c>
      <c r="J974" t="n">
        <v>0</v>
      </c>
      <c r="K974" t="n">
        <v>0</v>
      </c>
      <c r="L974" t="n">
        <v>0</v>
      </c>
      <c r="M974" t="n">
        <v>0</v>
      </c>
      <c r="N974" t="n">
        <v>0</v>
      </c>
      <c r="O974" t="n">
        <v>0</v>
      </c>
      <c r="P974" t="n">
        <v>0</v>
      </c>
      <c r="Q974" t="n">
        <v>0</v>
      </c>
      <c r="R974" s="2" t="inlineStr"/>
    </row>
    <row r="975" ht="15" customHeight="1">
      <c r="A975" t="inlineStr">
        <is>
          <t>A 16468-2023</t>
        </is>
      </c>
      <c r="B975" s="1" t="n">
        <v>45029</v>
      </c>
      <c r="C975" s="1" t="n">
        <v>45294</v>
      </c>
      <c r="D975" t="inlineStr">
        <is>
          <t>JÄMTLANDS LÄN</t>
        </is>
      </c>
      <c r="E975" t="inlineStr">
        <is>
          <t>HÄRJEDALEN</t>
        </is>
      </c>
      <c r="G975" t="n">
        <v>6.7</v>
      </c>
      <c r="H975" t="n">
        <v>0</v>
      </c>
      <c r="I975" t="n">
        <v>0</v>
      </c>
      <c r="J975" t="n">
        <v>0</v>
      </c>
      <c r="K975" t="n">
        <v>0</v>
      </c>
      <c r="L975" t="n">
        <v>0</v>
      </c>
      <c r="M975" t="n">
        <v>0</v>
      </c>
      <c r="N975" t="n">
        <v>0</v>
      </c>
      <c r="O975" t="n">
        <v>0</v>
      </c>
      <c r="P975" t="n">
        <v>0</v>
      </c>
      <c r="Q975" t="n">
        <v>0</v>
      </c>
      <c r="R975" s="2" t="inlineStr"/>
    </row>
    <row r="976" ht="15" customHeight="1">
      <c r="A976" t="inlineStr">
        <is>
          <t>A 17121-2023</t>
        </is>
      </c>
      <c r="B976" s="1" t="n">
        <v>45034</v>
      </c>
      <c r="C976" s="1" t="n">
        <v>45294</v>
      </c>
      <c r="D976" t="inlineStr">
        <is>
          <t>JÄMTLANDS LÄN</t>
        </is>
      </c>
      <c r="E976" t="inlineStr">
        <is>
          <t>HÄRJEDALEN</t>
        </is>
      </c>
      <c r="G976" t="n">
        <v>6.4</v>
      </c>
      <c r="H976" t="n">
        <v>0</v>
      </c>
      <c r="I976" t="n">
        <v>0</v>
      </c>
      <c r="J976" t="n">
        <v>0</v>
      </c>
      <c r="K976" t="n">
        <v>0</v>
      </c>
      <c r="L976" t="n">
        <v>0</v>
      </c>
      <c r="M976" t="n">
        <v>0</v>
      </c>
      <c r="N976" t="n">
        <v>0</v>
      </c>
      <c r="O976" t="n">
        <v>0</v>
      </c>
      <c r="P976" t="n">
        <v>0</v>
      </c>
      <c r="Q976" t="n">
        <v>0</v>
      </c>
      <c r="R976" s="2" t="inlineStr"/>
    </row>
    <row r="977" ht="15" customHeight="1">
      <c r="A977" t="inlineStr">
        <is>
          <t>A 17105-2023</t>
        </is>
      </c>
      <c r="B977" s="1" t="n">
        <v>45034</v>
      </c>
      <c r="C977" s="1" t="n">
        <v>45294</v>
      </c>
      <c r="D977" t="inlineStr">
        <is>
          <t>JÄMTLANDS LÄN</t>
        </is>
      </c>
      <c r="E977" t="inlineStr">
        <is>
          <t>HÄRJEDALEN</t>
        </is>
      </c>
      <c r="G977" t="n">
        <v>1.2</v>
      </c>
      <c r="H977" t="n">
        <v>0</v>
      </c>
      <c r="I977" t="n">
        <v>0</v>
      </c>
      <c r="J977" t="n">
        <v>0</v>
      </c>
      <c r="K977" t="n">
        <v>0</v>
      </c>
      <c r="L977" t="n">
        <v>0</v>
      </c>
      <c r="M977" t="n">
        <v>0</v>
      </c>
      <c r="N977" t="n">
        <v>0</v>
      </c>
      <c r="O977" t="n">
        <v>0</v>
      </c>
      <c r="P977" t="n">
        <v>0</v>
      </c>
      <c r="Q977" t="n">
        <v>0</v>
      </c>
      <c r="R977" s="2" t="inlineStr"/>
    </row>
    <row r="978" ht="15" customHeight="1">
      <c r="A978" t="inlineStr">
        <is>
          <t>A 17122-2023</t>
        </is>
      </c>
      <c r="B978" s="1" t="n">
        <v>45034</v>
      </c>
      <c r="C978" s="1" t="n">
        <v>45294</v>
      </c>
      <c r="D978" t="inlineStr">
        <is>
          <t>JÄMTLANDS LÄN</t>
        </is>
      </c>
      <c r="E978" t="inlineStr">
        <is>
          <t>HÄRJEDALEN</t>
        </is>
      </c>
      <c r="G978" t="n">
        <v>3.8</v>
      </c>
      <c r="H978" t="n">
        <v>0</v>
      </c>
      <c r="I978" t="n">
        <v>0</v>
      </c>
      <c r="J978" t="n">
        <v>0</v>
      </c>
      <c r="K978" t="n">
        <v>0</v>
      </c>
      <c r="L978" t="n">
        <v>0</v>
      </c>
      <c r="M978" t="n">
        <v>0</v>
      </c>
      <c r="N978" t="n">
        <v>0</v>
      </c>
      <c r="O978" t="n">
        <v>0</v>
      </c>
      <c r="P978" t="n">
        <v>0</v>
      </c>
      <c r="Q978" t="n">
        <v>0</v>
      </c>
      <c r="R978" s="2" t="inlineStr"/>
    </row>
    <row r="979" ht="15" customHeight="1">
      <c r="A979" t="inlineStr">
        <is>
          <t>A 17153-2023</t>
        </is>
      </c>
      <c r="B979" s="1" t="n">
        <v>45034</v>
      </c>
      <c r="C979" s="1" t="n">
        <v>45294</v>
      </c>
      <c r="D979" t="inlineStr">
        <is>
          <t>JÄMTLANDS LÄN</t>
        </is>
      </c>
      <c r="E979" t="inlineStr">
        <is>
          <t>HÄRJEDALEN</t>
        </is>
      </c>
      <c r="G979" t="n">
        <v>5.6</v>
      </c>
      <c r="H979" t="n">
        <v>0</v>
      </c>
      <c r="I979" t="n">
        <v>0</v>
      </c>
      <c r="J979" t="n">
        <v>0</v>
      </c>
      <c r="K979" t="n">
        <v>0</v>
      </c>
      <c r="L979" t="n">
        <v>0</v>
      </c>
      <c r="M979" t="n">
        <v>0</v>
      </c>
      <c r="N979" t="n">
        <v>0</v>
      </c>
      <c r="O979" t="n">
        <v>0</v>
      </c>
      <c r="P979" t="n">
        <v>0</v>
      </c>
      <c r="Q979" t="n">
        <v>0</v>
      </c>
      <c r="R979" s="2" t="inlineStr"/>
    </row>
    <row r="980" ht="15" customHeight="1">
      <c r="A980" t="inlineStr">
        <is>
          <t>A 17118-2023</t>
        </is>
      </c>
      <c r="B980" s="1" t="n">
        <v>45034</v>
      </c>
      <c r="C980" s="1" t="n">
        <v>45294</v>
      </c>
      <c r="D980" t="inlineStr">
        <is>
          <t>JÄMTLANDS LÄN</t>
        </is>
      </c>
      <c r="E980" t="inlineStr">
        <is>
          <t>HÄRJEDALEN</t>
        </is>
      </c>
      <c r="G980" t="n">
        <v>0.6</v>
      </c>
      <c r="H980" t="n">
        <v>0</v>
      </c>
      <c r="I980" t="n">
        <v>0</v>
      </c>
      <c r="J980" t="n">
        <v>0</v>
      </c>
      <c r="K980" t="n">
        <v>0</v>
      </c>
      <c r="L980" t="n">
        <v>0</v>
      </c>
      <c r="M980" t="n">
        <v>0</v>
      </c>
      <c r="N980" t="n">
        <v>0</v>
      </c>
      <c r="O980" t="n">
        <v>0</v>
      </c>
      <c r="P980" t="n">
        <v>0</v>
      </c>
      <c r="Q980" t="n">
        <v>0</v>
      </c>
      <c r="R980" s="2" t="inlineStr"/>
    </row>
    <row r="981" ht="15" customHeight="1">
      <c r="A981" t="inlineStr">
        <is>
          <t>A 17238-2023</t>
        </is>
      </c>
      <c r="B981" s="1" t="n">
        <v>45035</v>
      </c>
      <c r="C981" s="1" t="n">
        <v>45294</v>
      </c>
      <c r="D981" t="inlineStr">
        <is>
          <t>JÄMTLANDS LÄN</t>
        </is>
      </c>
      <c r="E981" t="inlineStr">
        <is>
          <t>HÄRJEDALEN</t>
        </is>
      </c>
      <c r="G981" t="n">
        <v>3.1</v>
      </c>
      <c r="H981" t="n">
        <v>0</v>
      </c>
      <c r="I981" t="n">
        <v>0</v>
      </c>
      <c r="J981" t="n">
        <v>0</v>
      </c>
      <c r="K981" t="n">
        <v>0</v>
      </c>
      <c r="L981" t="n">
        <v>0</v>
      </c>
      <c r="M981" t="n">
        <v>0</v>
      </c>
      <c r="N981" t="n">
        <v>0</v>
      </c>
      <c r="O981" t="n">
        <v>0</v>
      </c>
      <c r="P981" t="n">
        <v>0</v>
      </c>
      <c r="Q981" t="n">
        <v>0</v>
      </c>
      <c r="R981" s="2" t="inlineStr"/>
    </row>
    <row r="982" ht="15" customHeight="1">
      <c r="A982" t="inlineStr">
        <is>
          <t>A 17246-2023</t>
        </is>
      </c>
      <c r="B982" s="1" t="n">
        <v>45035</v>
      </c>
      <c r="C982" s="1" t="n">
        <v>45294</v>
      </c>
      <c r="D982" t="inlineStr">
        <is>
          <t>JÄMTLANDS LÄN</t>
        </is>
      </c>
      <c r="E982" t="inlineStr">
        <is>
          <t>HÄRJEDALEN</t>
        </is>
      </c>
      <c r="G982" t="n">
        <v>2.4</v>
      </c>
      <c r="H982" t="n">
        <v>0</v>
      </c>
      <c r="I982" t="n">
        <v>0</v>
      </c>
      <c r="J982" t="n">
        <v>0</v>
      </c>
      <c r="K982" t="n">
        <v>0</v>
      </c>
      <c r="L982" t="n">
        <v>0</v>
      </c>
      <c r="M982" t="n">
        <v>0</v>
      </c>
      <c r="N982" t="n">
        <v>0</v>
      </c>
      <c r="O982" t="n">
        <v>0</v>
      </c>
      <c r="P982" t="n">
        <v>0</v>
      </c>
      <c r="Q982" t="n">
        <v>0</v>
      </c>
      <c r="R982" s="2" t="inlineStr"/>
    </row>
    <row r="983" ht="15" customHeight="1">
      <c r="A983" t="inlineStr">
        <is>
          <t>A 17232-2023</t>
        </is>
      </c>
      <c r="B983" s="1" t="n">
        <v>45035</v>
      </c>
      <c r="C983" s="1" t="n">
        <v>45294</v>
      </c>
      <c r="D983" t="inlineStr">
        <is>
          <t>JÄMTLANDS LÄN</t>
        </is>
      </c>
      <c r="E983" t="inlineStr">
        <is>
          <t>HÄRJEDALEN</t>
        </is>
      </c>
      <c r="G983" t="n">
        <v>6.9</v>
      </c>
      <c r="H983" t="n">
        <v>0</v>
      </c>
      <c r="I983" t="n">
        <v>0</v>
      </c>
      <c r="J983" t="n">
        <v>0</v>
      </c>
      <c r="K983" t="n">
        <v>0</v>
      </c>
      <c r="L983" t="n">
        <v>0</v>
      </c>
      <c r="M983" t="n">
        <v>0</v>
      </c>
      <c r="N983" t="n">
        <v>0</v>
      </c>
      <c r="O983" t="n">
        <v>0</v>
      </c>
      <c r="P983" t="n">
        <v>0</v>
      </c>
      <c r="Q983" t="n">
        <v>0</v>
      </c>
      <c r="R983" s="2" t="inlineStr"/>
    </row>
    <row r="984" ht="15" customHeight="1">
      <c r="A984" t="inlineStr">
        <is>
          <t>A 17368-2023</t>
        </is>
      </c>
      <c r="B984" s="1" t="n">
        <v>45035</v>
      </c>
      <c r="C984" s="1" t="n">
        <v>45294</v>
      </c>
      <c r="D984" t="inlineStr">
        <is>
          <t>JÄMTLANDS LÄN</t>
        </is>
      </c>
      <c r="E984" t="inlineStr">
        <is>
          <t>HÄRJEDALEN</t>
        </is>
      </c>
      <c r="F984" t="inlineStr">
        <is>
          <t>Kyrkan</t>
        </is>
      </c>
      <c r="G984" t="n">
        <v>1.3</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45294</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45294</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45294</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45294</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45294</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45294</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45294</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45294</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45294</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45294</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45294</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45294</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45294</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45294</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45294</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45294</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45294</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45294</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45294</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45294</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45294</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45294</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45294</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45294</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45294</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45294</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45294</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45294</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45294</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45294</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45294</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45294</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45294</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45294</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45294</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45294</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45294</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45294</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45294</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45294</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45294</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45294</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45294</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45294</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45294</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45294</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45294</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45294</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45294</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45294</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45294</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45294</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45294</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45294</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45294</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45294</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45294</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45294</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45294</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45294</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45294</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45294</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45294</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45294</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45294</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45294</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45294</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45294</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45294</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45294</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45294</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45294</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45294</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45294</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45294</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45294</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45294</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45294</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45294</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45294</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45294</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45294</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45294</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45294</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45294</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45294</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45294</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45294</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45294</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45294</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45294</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45294</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45294</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45294</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45294</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45294</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45294</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45294</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45294</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45294</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45294</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45294</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45294</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45294</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45294</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45294</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45294</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45294</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45294</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45294</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45294</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45294</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45294</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45294</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45294</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45294</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45294</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45294</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45294</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45294</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45294</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45294</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45294</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45294</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45294</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45294</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45294</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45294</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45294</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45294</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row>
    <row r="1115" ht="15" customHeight="1">
      <c r="A1115" t="inlineStr">
        <is>
          <t>A 40215-2023</t>
        </is>
      </c>
      <c r="B1115" s="1" t="n">
        <v>45169</v>
      </c>
      <c r="C1115" s="1" t="n">
        <v>45294</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45294</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45294</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45294</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45294</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45294</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45294</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45294</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45294</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45294</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45294</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45294</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45294</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41555-2023</t>
        </is>
      </c>
      <c r="B1128" s="1" t="n">
        <v>45175</v>
      </c>
      <c r="C1128" s="1" t="n">
        <v>45294</v>
      </c>
      <c r="D1128" t="inlineStr">
        <is>
          <t>JÄMTLANDS LÄN</t>
        </is>
      </c>
      <c r="E1128" t="inlineStr">
        <is>
          <t>HÄRJEDALEN</t>
        </is>
      </c>
      <c r="F1128" t="inlineStr">
        <is>
          <t>Bergvik skog väst AB</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42146-2023</t>
        </is>
      </c>
      <c r="B1129" s="1" t="n">
        <v>45178</v>
      </c>
      <c r="C1129" s="1" t="n">
        <v>45294</v>
      </c>
      <c r="D1129" t="inlineStr">
        <is>
          <t>JÄMTLANDS LÄN</t>
        </is>
      </c>
      <c r="E1129" t="inlineStr">
        <is>
          <t>HÄRJEDALEN</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42143-2023</t>
        </is>
      </c>
      <c r="B1130" s="1" t="n">
        <v>45178</v>
      </c>
      <c r="C1130" s="1" t="n">
        <v>45294</v>
      </c>
      <c r="D1130" t="inlineStr">
        <is>
          <t>JÄMTLANDS LÄN</t>
        </is>
      </c>
      <c r="E1130" t="inlineStr">
        <is>
          <t>HÄRJEDALEN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43192-2023</t>
        </is>
      </c>
      <c r="B1131" s="1" t="n">
        <v>45180</v>
      </c>
      <c r="C1131" s="1" t="n">
        <v>45294</v>
      </c>
      <c r="D1131" t="inlineStr">
        <is>
          <t>JÄMTLANDS LÄN</t>
        </is>
      </c>
      <c r="E1131" t="inlineStr">
        <is>
          <t>HÄRJEDALEN</t>
        </is>
      </c>
      <c r="F1131" t="inlineStr">
        <is>
          <t>Övriga Aktiebolag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43211-2023</t>
        </is>
      </c>
      <c r="B1132" s="1" t="n">
        <v>45180</v>
      </c>
      <c r="C1132" s="1" t="n">
        <v>45294</v>
      </c>
      <c r="D1132" t="inlineStr">
        <is>
          <t>JÄMTLANDS LÄN</t>
        </is>
      </c>
      <c r="E1132" t="inlineStr">
        <is>
          <t>HÄRJEDALEN</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42720-2023</t>
        </is>
      </c>
      <c r="B1133" s="1" t="n">
        <v>45181</v>
      </c>
      <c r="C1133" s="1" t="n">
        <v>45294</v>
      </c>
      <c r="D1133" t="inlineStr">
        <is>
          <t>JÄMTLANDS LÄN</t>
        </is>
      </c>
      <c r="E1133" t="inlineStr">
        <is>
          <t>HÄRJEDALEN</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43503-2023</t>
        </is>
      </c>
      <c r="B1134" s="1" t="n">
        <v>45184</v>
      </c>
      <c r="C1134" s="1" t="n">
        <v>45294</v>
      </c>
      <c r="D1134" t="inlineStr">
        <is>
          <t>JÄMTLANDS LÄN</t>
        </is>
      </c>
      <c r="E1134" t="inlineStr">
        <is>
          <t>HÄRJEDALEN</t>
        </is>
      </c>
      <c r="F1134" t="inlineStr">
        <is>
          <t>Bergvik skog väst AB</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43481-2023</t>
        </is>
      </c>
      <c r="B1135" s="1" t="n">
        <v>45184</v>
      </c>
      <c r="C1135" s="1" t="n">
        <v>45294</v>
      </c>
      <c r="D1135" t="inlineStr">
        <is>
          <t>JÄMTLANDS LÄN</t>
        </is>
      </c>
      <c r="E1135" t="inlineStr">
        <is>
          <t>HÄRJEDALEN</t>
        </is>
      </c>
      <c r="F1135" t="inlineStr">
        <is>
          <t>Bergvik skog väst AB</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43870-2023</t>
        </is>
      </c>
      <c r="B1136" s="1" t="n">
        <v>45187</v>
      </c>
      <c r="C1136" s="1" t="n">
        <v>45294</v>
      </c>
      <c r="D1136" t="inlineStr">
        <is>
          <t>JÄMTLANDS LÄN</t>
        </is>
      </c>
      <c r="E1136" t="inlineStr">
        <is>
          <t>HÄRJEDALEN</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43804-2023</t>
        </is>
      </c>
      <c r="B1137" s="1" t="n">
        <v>45187</v>
      </c>
      <c r="C1137" s="1" t="n">
        <v>45294</v>
      </c>
      <c r="D1137" t="inlineStr">
        <is>
          <t>JÄMTLANDS LÄN</t>
        </is>
      </c>
      <c r="E1137" t="inlineStr">
        <is>
          <t>HÄRJEDALEN</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43811-2023</t>
        </is>
      </c>
      <c r="B1138" s="1" t="n">
        <v>45187</v>
      </c>
      <c r="C1138" s="1" t="n">
        <v>45294</v>
      </c>
      <c r="D1138" t="inlineStr">
        <is>
          <t>JÄMTLANDS LÄN</t>
        </is>
      </c>
      <c r="E1138" t="inlineStr">
        <is>
          <t>HÄRJEDALEN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43820-2023</t>
        </is>
      </c>
      <c r="B1139" s="1" t="n">
        <v>45187</v>
      </c>
      <c r="C1139" s="1" t="n">
        <v>45294</v>
      </c>
      <c r="D1139" t="inlineStr">
        <is>
          <t>JÄMTLANDS LÄN</t>
        </is>
      </c>
      <c r="E1139" t="inlineStr">
        <is>
          <t>HÄRJEDALEN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44102-2023</t>
        </is>
      </c>
      <c r="B1140" s="1" t="n">
        <v>45188</v>
      </c>
      <c r="C1140" s="1" t="n">
        <v>45294</v>
      </c>
      <c r="D1140" t="inlineStr">
        <is>
          <t>JÄMTLANDS LÄN</t>
        </is>
      </c>
      <c r="E1140" t="inlineStr">
        <is>
          <t>HÄRJEDALEN</t>
        </is>
      </c>
      <c r="F1140" t="inlineStr">
        <is>
          <t>Bergvik skog väst AB</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44270-2023</t>
        </is>
      </c>
      <c r="B1141" s="1" t="n">
        <v>45188</v>
      </c>
      <c r="C1141" s="1" t="n">
        <v>45294</v>
      </c>
      <c r="D1141" t="inlineStr">
        <is>
          <t>JÄMTLANDS LÄN</t>
        </is>
      </c>
      <c r="E1141" t="inlineStr">
        <is>
          <t>HÄRJEDALEN</t>
        </is>
      </c>
      <c r="G1141" t="n">
        <v>15.6</v>
      </c>
      <c r="H1141" t="n">
        <v>0</v>
      </c>
      <c r="I1141" t="n">
        <v>0</v>
      </c>
      <c r="J1141" t="n">
        <v>0</v>
      </c>
      <c r="K1141" t="n">
        <v>0</v>
      </c>
      <c r="L1141" t="n">
        <v>0</v>
      </c>
      <c r="M1141" t="n">
        <v>0</v>
      </c>
      <c r="N1141" t="n">
        <v>0</v>
      </c>
      <c r="O1141" t="n">
        <v>0</v>
      </c>
      <c r="P1141" t="n">
        <v>0</v>
      </c>
      <c r="Q1141" t="n">
        <v>0</v>
      </c>
      <c r="R1141" s="2" t="inlineStr"/>
    </row>
    <row r="1142" ht="15" customHeight="1">
      <c r="A1142" t="inlineStr">
        <is>
          <t>A 45640-2023</t>
        </is>
      </c>
      <c r="B1142" s="1" t="n">
        <v>45188</v>
      </c>
      <c r="C1142" s="1" t="n">
        <v>45294</v>
      </c>
      <c r="D1142" t="inlineStr">
        <is>
          <t>JÄMTLANDS LÄN</t>
        </is>
      </c>
      <c r="E1142" t="inlineStr">
        <is>
          <t>HÄRJEDALEN</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45179-2023</t>
        </is>
      </c>
      <c r="B1143" s="1" t="n">
        <v>45191</v>
      </c>
      <c r="C1143" s="1" t="n">
        <v>45294</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45143-2023</t>
        </is>
      </c>
      <c r="B1144" s="1" t="n">
        <v>45191</v>
      </c>
      <c r="C1144" s="1" t="n">
        <v>45294</v>
      </c>
      <c r="D1144" t="inlineStr">
        <is>
          <t>JÄMTLANDS LÄN</t>
        </is>
      </c>
      <c r="E1144" t="inlineStr">
        <is>
          <t>HÄRJEDALEN</t>
        </is>
      </c>
      <c r="G1144" t="n">
        <v>24.8</v>
      </c>
      <c r="H1144" t="n">
        <v>0</v>
      </c>
      <c r="I1144" t="n">
        <v>0</v>
      </c>
      <c r="J1144" t="n">
        <v>0</v>
      </c>
      <c r="K1144" t="n">
        <v>0</v>
      </c>
      <c r="L1144" t="n">
        <v>0</v>
      </c>
      <c r="M1144" t="n">
        <v>0</v>
      </c>
      <c r="N1144" t="n">
        <v>0</v>
      </c>
      <c r="O1144" t="n">
        <v>0</v>
      </c>
      <c r="P1144" t="n">
        <v>0</v>
      </c>
      <c r="Q1144" t="n">
        <v>0</v>
      </c>
      <c r="R1144" s="2" t="inlineStr"/>
    </row>
    <row r="1145" ht="15" customHeight="1">
      <c r="A1145" t="inlineStr">
        <is>
          <t>A 45274-2023</t>
        </is>
      </c>
      <c r="B1145" s="1" t="n">
        <v>45191</v>
      </c>
      <c r="C1145" s="1" t="n">
        <v>45294</v>
      </c>
      <c r="D1145" t="inlineStr">
        <is>
          <t>JÄMTLANDS LÄN</t>
        </is>
      </c>
      <c r="E1145" t="inlineStr">
        <is>
          <t>HÄRJEDALEN</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45191-2023</t>
        </is>
      </c>
      <c r="B1146" s="1" t="n">
        <v>45191</v>
      </c>
      <c r="C1146" s="1" t="n">
        <v>45294</v>
      </c>
      <c r="D1146" t="inlineStr">
        <is>
          <t>JÄMTLANDS LÄN</t>
        </is>
      </c>
      <c r="E1146" t="inlineStr">
        <is>
          <t>HÄRJEDALEN</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45491-2023</t>
        </is>
      </c>
      <c r="B1147" s="1" t="n">
        <v>45194</v>
      </c>
      <c r="C1147" s="1" t="n">
        <v>45294</v>
      </c>
      <c r="D1147" t="inlineStr">
        <is>
          <t>JÄMTLANDS LÄN</t>
        </is>
      </c>
      <c r="E1147" t="inlineStr">
        <is>
          <t>HÄRJEDALEN</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45495-2023</t>
        </is>
      </c>
      <c r="B1148" s="1" t="n">
        <v>45194</v>
      </c>
      <c r="C1148" s="1" t="n">
        <v>45294</v>
      </c>
      <c r="D1148" t="inlineStr">
        <is>
          <t>JÄMTLANDS LÄN</t>
        </is>
      </c>
      <c r="E1148" t="inlineStr">
        <is>
          <t>HÄRJEDALEN</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45613-2023</t>
        </is>
      </c>
      <c r="B1149" s="1" t="n">
        <v>45194</v>
      </c>
      <c r="C1149" s="1" t="n">
        <v>45294</v>
      </c>
      <c r="D1149" t="inlineStr">
        <is>
          <t>JÄMTLANDS LÄN</t>
        </is>
      </c>
      <c r="E1149" t="inlineStr">
        <is>
          <t>HÄRJEDALEN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45636-2023</t>
        </is>
      </c>
      <c r="B1150" s="1" t="n">
        <v>45194</v>
      </c>
      <c r="C1150" s="1" t="n">
        <v>45294</v>
      </c>
      <c r="D1150" t="inlineStr">
        <is>
          <t>JÄMTLANDS LÄN</t>
        </is>
      </c>
      <c r="E1150" t="inlineStr">
        <is>
          <t>HÄRJEDALEN</t>
        </is>
      </c>
      <c r="F1150" t="inlineStr">
        <is>
          <t>Bergvik skog väst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45616-2023</t>
        </is>
      </c>
      <c r="B1151" s="1" t="n">
        <v>45194</v>
      </c>
      <c r="C1151" s="1" t="n">
        <v>45294</v>
      </c>
      <c r="D1151" t="inlineStr">
        <is>
          <t>JÄMTLANDS LÄN</t>
        </is>
      </c>
      <c r="E1151" t="inlineStr">
        <is>
          <t>HÄRJEDALEN</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45684-2023</t>
        </is>
      </c>
      <c r="B1152" s="1" t="n">
        <v>45195</v>
      </c>
      <c r="C1152" s="1" t="n">
        <v>45294</v>
      </c>
      <c r="D1152" t="inlineStr">
        <is>
          <t>JÄMTLANDS LÄN</t>
        </is>
      </c>
      <c r="E1152" t="inlineStr">
        <is>
          <t>HÄRJEDALEN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45716-2023</t>
        </is>
      </c>
      <c r="B1153" s="1" t="n">
        <v>45195</v>
      </c>
      <c r="C1153" s="1" t="n">
        <v>45294</v>
      </c>
      <c r="D1153" t="inlineStr">
        <is>
          <t>JÄMTLANDS LÄN</t>
        </is>
      </c>
      <c r="E1153" t="inlineStr">
        <is>
          <t>HÄRJEDALEN</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45720-2023</t>
        </is>
      </c>
      <c r="B1154" s="1" t="n">
        <v>45195</v>
      </c>
      <c r="C1154" s="1" t="n">
        <v>45294</v>
      </c>
      <c r="D1154" t="inlineStr">
        <is>
          <t>JÄMTLANDS LÄN</t>
        </is>
      </c>
      <c r="E1154" t="inlineStr">
        <is>
          <t>HÄRJEDALEN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45747-2023</t>
        </is>
      </c>
      <c r="B1155" s="1" t="n">
        <v>45195</v>
      </c>
      <c r="C1155" s="1" t="n">
        <v>45294</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45864-2023</t>
        </is>
      </c>
      <c r="B1156" s="1" t="n">
        <v>45195</v>
      </c>
      <c r="C1156" s="1" t="n">
        <v>45294</v>
      </c>
      <c r="D1156" t="inlineStr">
        <is>
          <t>JÄMTLANDS LÄN</t>
        </is>
      </c>
      <c r="E1156" t="inlineStr">
        <is>
          <t>HÄRJEDALEN</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45843-2023</t>
        </is>
      </c>
      <c r="B1157" s="1" t="n">
        <v>45195</v>
      </c>
      <c r="C1157" s="1" t="n">
        <v>45294</v>
      </c>
      <c r="D1157" t="inlineStr">
        <is>
          <t>JÄMTLANDS LÄN</t>
        </is>
      </c>
      <c r="E1157" t="inlineStr">
        <is>
          <t>HÄRJEDALEN</t>
        </is>
      </c>
      <c r="G1157" t="n">
        <v>19.5</v>
      </c>
      <c r="H1157" t="n">
        <v>0</v>
      </c>
      <c r="I1157" t="n">
        <v>0</v>
      </c>
      <c r="J1157" t="n">
        <v>0</v>
      </c>
      <c r="K1157" t="n">
        <v>0</v>
      </c>
      <c r="L1157" t="n">
        <v>0</v>
      </c>
      <c r="M1157" t="n">
        <v>0</v>
      </c>
      <c r="N1157" t="n">
        <v>0</v>
      </c>
      <c r="O1157" t="n">
        <v>0</v>
      </c>
      <c r="P1157" t="n">
        <v>0</v>
      </c>
      <c r="Q1157" t="n">
        <v>0</v>
      </c>
      <c r="R1157" s="2" t="inlineStr"/>
    </row>
    <row r="1158" ht="15" customHeight="1">
      <c r="A1158" t="inlineStr">
        <is>
          <t>A 45999-2023</t>
        </is>
      </c>
      <c r="B1158" s="1" t="n">
        <v>45196</v>
      </c>
      <c r="C1158" s="1" t="n">
        <v>45294</v>
      </c>
      <c r="D1158" t="inlineStr">
        <is>
          <t>JÄMTLANDS LÄN</t>
        </is>
      </c>
      <c r="E1158" t="inlineStr">
        <is>
          <t>HÄRJEDALEN</t>
        </is>
      </c>
      <c r="F1158" t="inlineStr">
        <is>
          <t>Bergvik skog väst AB</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46230-2023</t>
        </is>
      </c>
      <c r="B1159" s="1" t="n">
        <v>45196</v>
      </c>
      <c r="C1159" s="1" t="n">
        <v>45294</v>
      </c>
      <c r="D1159" t="inlineStr">
        <is>
          <t>JÄMTLANDS LÄN</t>
        </is>
      </c>
      <c r="E1159" t="inlineStr">
        <is>
          <t>HÄRJEDALEN</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46383-2023</t>
        </is>
      </c>
      <c r="B1160" s="1" t="n">
        <v>45197</v>
      </c>
      <c r="C1160" s="1" t="n">
        <v>45294</v>
      </c>
      <c r="D1160" t="inlineStr">
        <is>
          <t>JÄMTLANDS LÄN</t>
        </is>
      </c>
      <c r="E1160" t="inlineStr">
        <is>
          <t>HÄRJEDALEN</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46394-2023</t>
        </is>
      </c>
      <c r="B1161" s="1" t="n">
        <v>45197</v>
      </c>
      <c r="C1161" s="1" t="n">
        <v>45294</v>
      </c>
      <c r="D1161" t="inlineStr">
        <is>
          <t>JÄMTLANDS LÄN</t>
        </is>
      </c>
      <c r="E1161" t="inlineStr">
        <is>
          <t>HÄRJEDALEN</t>
        </is>
      </c>
      <c r="F1161" t="inlineStr">
        <is>
          <t>Bergvik skog väst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46633-2023</t>
        </is>
      </c>
      <c r="B1162" s="1" t="n">
        <v>45198</v>
      </c>
      <c r="C1162" s="1" t="n">
        <v>45294</v>
      </c>
      <c r="D1162" t="inlineStr">
        <is>
          <t>JÄMTLANDS LÄN</t>
        </is>
      </c>
      <c r="E1162" t="inlineStr">
        <is>
          <t>HÄRJEDALEN</t>
        </is>
      </c>
      <c r="F1162" t="inlineStr">
        <is>
          <t>Bergvik skog väst AB</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46977-2023</t>
        </is>
      </c>
      <c r="B1163" s="1" t="n">
        <v>45201</v>
      </c>
      <c r="C1163" s="1" t="n">
        <v>45294</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46993-2023</t>
        </is>
      </c>
      <c r="B1164" s="1" t="n">
        <v>45201</v>
      </c>
      <c r="C1164" s="1" t="n">
        <v>45294</v>
      </c>
      <c r="D1164" t="inlineStr">
        <is>
          <t>JÄMTLANDS LÄN</t>
        </is>
      </c>
      <c r="E1164" t="inlineStr">
        <is>
          <t>HÄRJEDALEN</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47095-2023</t>
        </is>
      </c>
      <c r="B1165" s="1" t="n">
        <v>45201</v>
      </c>
      <c r="C1165" s="1" t="n">
        <v>45294</v>
      </c>
      <c r="D1165" t="inlineStr">
        <is>
          <t>JÄMTLANDS LÄN</t>
        </is>
      </c>
      <c r="E1165" t="inlineStr">
        <is>
          <t>HÄRJEDALEN</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47244-2023</t>
        </is>
      </c>
      <c r="B1166" s="1" t="n">
        <v>45202</v>
      </c>
      <c r="C1166" s="1" t="n">
        <v>45294</v>
      </c>
      <c r="D1166" t="inlineStr">
        <is>
          <t>JÄMTLANDS LÄN</t>
        </is>
      </c>
      <c r="E1166" t="inlineStr">
        <is>
          <t>HÄRJEDALEN</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47546-2023</t>
        </is>
      </c>
      <c r="B1167" s="1" t="n">
        <v>45203</v>
      </c>
      <c r="C1167" s="1" t="n">
        <v>45294</v>
      </c>
      <c r="D1167" t="inlineStr">
        <is>
          <t>JÄMTLANDS LÄN</t>
        </is>
      </c>
      <c r="E1167" t="inlineStr">
        <is>
          <t>HÄRJEDALEN</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47705-2023</t>
        </is>
      </c>
      <c r="B1168" s="1" t="n">
        <v>45203</v>
      </c>
      <c r="C1168" s="1" t="n">
        <v>45294</v>
      </c>
      <c r="D1168" t="inlineStr">
        <is>
          <t>JÄMTLANDS LÄN</t>
        </is>
      </c>
      <c r="E1168" t="inlineStr">
        <is>
          <t>HÄRJEDALEN</t>
        </is>
      </c>
      <c r="F1168" t="inlineStr">
        <is>
          <t>Bergvik skog väst AB</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47510-2023</t>
        </is>
      </c>
      <c r="B1169" s="1" t="n">
        <v>45203</v>
      </c>
      <c r="C1169" s="1" t="n">
        <v>45294</v>
      </c>
      <c r="D1169" t="inlineStr">
        <is>
          <t>JÄMTLANDS LÄN</t>
        </is>
      </c>
      <c r="E1169" t="inlineStr">
        <is>
          <t>HÄRJEDALEN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47795-2023</t>
        </is>
      </c>
      <c r="B1170" s="1" t="n">
        <v>45204</v>
      </c>
      <c r="C1170" s="1" t="n">
        <v>45294</v>
      </c>
      <c r="D1170" t="inlineStr">
        <is>
          <t>JÄMTLANDS LÄN</t>
        </is>
      </c>
      <c r="E1170" t="inlineStr">
        <is>
          <t>HÄRJEDALEN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48669-2023</t>
        </is>
      </c>
      <c r="B1171" s="1" t="n">
        <v>45203</v>
      </c>
      <c r="C1171" s="1" t="n">
        <v>45294</v>
      </c>
      <c r="D1171" t="inlineStr">
        <is>
          <t>JÄMTLANDS LÄN</t>
        </is>
      </c>
      <c r="E1171" t="inlineStr">
        <is>
          <t>HÄRJEDALEN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47955-2023</t>
        </is>
      </c>
      <c r="B1172" s="1" t="n">
        <v>45204</v>
      </c>
      <c r="C1172" s="1" t="n">
        <v>45294</v>
      </c>
      <c r="D1172" t="inlineStr">
        <is>
          <t>JÄMTLANDS LÄN</t>
        </is>
      </c>
      <c r="E1172" t="inlineStr">
        <is>
          <t>HÄRJEDALEN</t>
        </is>
      </c>
      <c r="F1172" t="inlineStr">
        <is>
          <t>Bergvik skog väst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48051-2023</t>
        </is>
      </c>
      <c r="B1173" s="1" t="n">
        <v>45204</v>
      </c>
      <c r="C1173" s="1" t="n">
        <v>45294</v>
      </c>
      <c r="D1173" t="inlineStr">
        <is>
          <t>JÄMTLANDS LÄN</t>
        </is>
      </c>
      <c r="E1173" t="inlineStr">
        <is>
          <t>HÄRJEDALEN</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48050-2023</t>
        </is>
      </c>
      <c r="B1174" s="1" t="n">
        <v>45204</v>
      </c>
      <c r="C1174" s="1" t="n">
        <v>45294</v>
      </c>
      <c r="D1174" t="inlineStr">
        <is>
          <t>JÄMTLANDS LÄN</t>
        </is>
      </c>
      <c r="E1174" t="inlineStr">
        <is>
          <t>HÄRJEDALEN</t>
        </is>
      </c>
      <c r="G1174" t="n">
        <v>19.2</v>
      </c>
      <c r="H1174" t="n">
        <v>0</v>
      </c>
      <c r="I1174" t="n">
        <v>0</v>
      </c>
      <c r="J1174" t="n">
        <v>0</v>
      </c>
      <c r="K1174" t="n">
        <v>0</v>
      </c>
      <c r="L1174" t="n">
        <v>0</v>
      </c>
      <c r="M1174" t="n">
        <v>0</v>
      </c>
      <c r="N1174" t="n">
        <v>0</v>
      </c>
      <c r="O1174" t="n">
        <v>0</v>
      </c>
      <c r="P1174" t="n">
        <v>0</v>
      </c>
      <c r="Q1174" t="n">
        <v>0</v>
      </c>
      <c r="R1174" s="2" t="inlineStr"/>
    </row>
    <row r="1175" ht="15" customHeight="1">
      <c r="A1175" t="inlineStr">
        <is>
          <t>A 48048-2023</t>
        </is>
      </c>
      <c r="B1175" s="1" t="n">
        <v>45204</v>
      </c>
      <c r="C1175" s="1" t="n">
        <v>45294</v>
      </c>
      <c r="D1175" t="inlineStr">
        <is>
          <t>JÄMTLANDS LÄN</t>
        </is>
      </c>
      <c r="E1175" t="inlineStr">
        <is>
          <t>HÄRJEDALEN</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48100-2023</t>
        </is>
      </c>
      <c r="B1176" s="1" t="n">
        <v>45205</v>
      </c>
      <c r="C1176" s="1" t="n">
        <v>45294</v>
      </c>
      <c r="D1176" t="inlineStr">
        <is>
          <t>JÄMTLANDS LÄN</t>
        </is>
      </c>
      <c r="E1176" t="inlineStr">
        <is>
          <t>HÄRJEDALEN</t>
        </is>
      </c>
      <c r="F1176" t="inlineStr">
        <is>
          <t>Bergvik skog väst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48213-2023</t>
        </is>
      </c>
      <c r="B1177" s="1" t="n">
        <v>45205</v>
      </c>
      <c r="C1177" s="1" t="n">
        <v>45294</v>
      </c>
      <c r="D1177" t="inlineStr">
        <is>
          <t>JÄMTLANDS LÄN</t>
        </is>
      </c>
      <c r="E1177" t="inlineStr">
        <is>
          <t>HÄRJEDALEN</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48179-2023</t>
        </is>
      </c>
      <c r="B1178" s="1" t="n">
        <v>45205</v>
      </c>
      <c r="C1178" s="1" t="n">
        <v>45294</v>
      </c>
      <c r="D1178" t="inlineStr">
        <is>
          <t>JÄMTLANDS LÄN</t>
        </is>
      </c>
      <c r="E1178" t="inlineStr">
        <is>
          <t>HÄRJEDALEN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48299-2023</t>
        </is>
      </c>
      <c r="B1179" s="1" t="n">
        <v>45205</v>
      </c>
      <c r="C1179" s="1" t="n">
        <v>45294</v>
      </c>
      <c r="D1179" t="inlineStr">
        <is>
          <t>JÄMTLANDS LÄN</t>
        </is>
      </c>
      <c r="E1179" t="inlineStr">
        <is>
          <t>HÄRJEDALEN</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48318-2023</t>
        </is>
      </c>
      <c r="B1180" s="1" t="n">
        <v>45205</v>
      </c>
      <c r="C1180" s="1" t="n">
        <v>45294</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48226-2023</t>
        </is>
      </c>
      <c r="B1181" s="1" t="n">
        <v>45205</v>
      </c>
      <c r="C1181" s="1" t="n">
        <v>45294</v>
      </c>
      <c r="D1181" t="inlineStr">
        <is>
          <t>JÄMTLANDS LÄN</t>
        </is>
      </c>
      <c r="E1181" t="inlineStr">
        <is>
          <t>HÄRJEDALEN</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48364-2023</t>
        </is>
      </c>
      <c r="B1182" s="1" t="n">
        <v>45205</v>
      </c>
      <c r="C1182" s="1" t="n">
        <v>45294</v>
      </c>
      <c r="D1182" t="inlineStr">
        <is>
          <t>JÄMTLANDS LÄN</t>
        </is>
      </c>
      <c r="E1182" t="inlineStr">
        <is>
          <t>HÄRJEDALEN</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48438-2023</t>
        </is>
      </c>
      <c r="B1183" s="1" t="n">
        <v>45205</v>
      </c>
      <c r="C1183" s="1" t="n">
        <v>45294</v>
      </c>
      <c r="D1183" t="inlineStr">
        <is>
          <t>JÄMTLANDS LÄN</t>
        </is>
      </c>
      <c r="E1183" t="inlineStr">
        <is>
          <t>HÄRJEDALEN</t>
        </is>
      </c>
      <c r="F1183" t="inlineStr">
        <is>
          <t>SCA</t>
        </is>
      </c>
      <c r="G1183" t="n">
        <v>23.3</v>
      </c>
      <c r="H1183" t="n">
        <v>0</v>
      </c>
      <c r="I1183" t="n">
        <v>0</v>
      </c>
      <c r="J1183" t="n">
        <v>0</v>
      </c>
      <c r="K1183" t="n">
        <v>0</v>
      </c>
      <c r="L1183" t="n">
        <v>0</v>
      </c>
      <c r="M1183" t="n">
        <v>0</v>
      </c>
      <c r="N1183" t="n">
        <v>0</v>
      </c>
      <c r="O1183" t="n">
        <v>0</v>
      </c>
      <c r="P1183" t="n">
        <v>0</v>
      </c>
      <c r="Q1183" t="n">
        <v>0</v>
      </c>
      <c r="R1183" s="2" t="inlineStr"/>
    </row>
    <row r="1184" ht="15" customHeight="1">
      <c r="A1184" t="inlineStr">
        <is>
          <t>A 48201-2023</t>
        </is>
      </c>
      <c r="B1184" s="1" t="n">
        <v>45205</v>
      </c>
      <c r="C1184" s="1" t="n">
        <v>45294</v>
      </c>
      <c r="D1184" t="inlineStr">
        <is>
          <t>JÄMTLANDS LÄN</t>
        </is>
      </c>
      <c r="E1184" t="inlineStr">
        <is>
          <t>HÄRJEDALEN</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48485-2023</t>
        </is>
      </c>
      <c r="B1185" s="1" t="n">
        <v>45206</v>
      </c>
      <c r="C1185" s="1" t="n">
        <v>45294</v>
      </c>
      <c r="D1185" t="inlineStr">
        <is>
          <t>JÄMTLANDS LÄN</t>
        </is>
      </c>
      <c r="E1185" t="inlineStr">
        <is>
          <t>HÄRJEDALEN</t>
        </is>
      </c>
      <c r="F1185" t="inlineStr">
        <is>
          <t>SCA</t>
        </is>
      </c>
      <c r="G1185" t="n">
        <v>23.3</v>
      </c>
      <c r="H1185" t="n">
        <v>0</v>
      </c>
      <c r="I1185" t="n">
        <v>0</v>
      </c>
      <c r="J1185" t="n">
        <v>0</v>
      </c>
      <c r="K1185" t="n">
        <v>0</v>
      </c>
      <c r="L1185" t="n">
        <v>0</v>
      </c>
      <c r="M1185" t="n">
        <v>0</v>
      </c>
      <c r="N1185" t="n">
        <v>0</v>
      </c>
      <c r="O1185" t="n">
        <v>0</v>
      </c>
      <c r="P1185" t="n">
        <v>0</v>
      </c>
      <c r="Q1185" t="n">
        <v>0</v>
      </c>
      <c r="R1185" s="2" t="inlineStr"/>
    </row>
    <row r="1186" ht="15" customHeight="1">
      <c r="A1186" t="inlineStr">
        <is>
          <t>A 48583-2023</t>
        </is>
      </c>
      <c r="B1186" s="1" t="n">
        <v>45208</v>
      </c>
      <c r="C1186" s="1" t="n">
        <v>45294</v>
      </c>
      <c r="D1186" t="inlineStr">
        <is>
          <t>JÄMTLANDS LÄN</t>
        </is>
      </c>
      <c r="E1186" t="inlineStr">
        <is>
          <t>HÄRJEDALEN</t>
        </is>
      </c>
      <c r="F1186" t="inlineStr">
        <is>
          <t>Holmen skog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48675-2023</t>
        </is>
      </c>
      <c r="B1187" s="1" t="n">
        <v>45208</v>
      </c>
      <c r="C1187" s="1" t="n">
        <v>45294</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48689-2023</t>
        </is>
      </c>
      <c r="B1188" s="1" t="n">
        <v>45208</v>
      </c>
      <c r="C1188" s="1" t="n">
        <v>45294</v>
      </c>
      <c r="D1188" t="inlineStr">
        <is>
          <t>JÄMTLANDS LÄN</t>
        </is>
      </c>
      <c r="E1188" t="inlineStr">
        <is>
          <t>HÄRJEDALEN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48708-2023</t>
        </is>
      </c>
      <c r="B1189" s="1" t="n">
        <v>45208</v>
      </c>
      <c r="C1189" s="1" t="n">
        <v>45294</v>
      </c>
      <c r="D1189" t="inlineStr">
        <is>
          <t>JÄMTLANDS LÄN</t>
        </is>
      </c>
      <c r="E1189" t="inlineStr">
        <is>
          <t>HÄRJEDALEN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48854-2023</t>
        </is>
      </c>
      <c r="B1190" s="1" t="n">
        <v>45209</v>
      </c>
      <c r="C1190" s="1" t="n">
        <v>45294</v>
      </c>
      <c r="D1190" t="inlineStr">
        <is>
          <t>JÄMTLANDS LÄN</t>
        </is>
      </c>
      <c r="E1190" t="inlineStr">
        <is>
          <t>HÄRJEDALEN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48867-2023</t>
        </is>
      </c>
      <c r="B1191" s="1" t="n">
        <v>45209</v>
      </c>
      <c r="C1191" s="1" t="n">
        <v>45294</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49120-2023</t>
        </is>
      </c>
      <c r="B1192" s="1" t="n">
        <v>45210</v>
      </c>
      <c r="C1192" s="1" t="n">
        <v>45294</v>
      </c>
      <c r="D1192" t="inlineStr">
        <is>
          <t>JÄMTLANDS LÄN</t>
        </is>
      </c>
      <c r="E1192" t="inlineStr">
        <is>
          <t>HÄRJEDALEN</t>
        </is>
      </c>
      <c r="G1192" t="n">
        <v>38.2</v>
      </c>
      <c r="H1192" t="n">
        <v>0</v>
      </c>
      <c r="I1192" t="n">
        <v>0</v>
      </c>
      <c r="J1192" t="n">
        <v>0</v>
      </c>
      <c r="K1192" t="n">
        <v>0</v>
      </c>
      <c r="L1192" t="n">
        <v>0</v>
      </c>
      <c r="M1192" t="n">
        <v>0</v>
      </c>
      <c r="N1192" t="n">
        <v>0</v>
      </c>
      <c r="O1192" t="n">
        <v>0</v>
      </c>
      <c r="P1192" t="n">
        <v>0</v>
      </c>
      <c r="Q1192" t="n">
        <v>0</v>
      </c>
      <c r="R1192" s="2" t="inlineStr"/>
    </row>
    <row r="1193" ht="15" customHeight="1">
      <c r="A1193" t="inlineStr">
        <is>
          <t>A 49134-2023</t>
        </is>
      </c>
      <c r="B1193" s="1" t="n">
        <v>45210</v>
      </c>
      <c r="C1193" s="1" t="n">
        <v>45294</v>
      </c>
      <c r="D1193" t="inlineStr">
        <is>
          <t>JÄMTLANDS LÄN</t>
        </is>
      </c>
      <c r="E1193" t="inlineStr">
        <is>
          <t>HÄRJEDALEN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49712-2023</t>
        </is>
      </c>
      <c r="B1194" s="1" t="n">
        <v>45212</v>
      </c>
      <c r="C1194" s="1" t="n">
        <v>45294</v>
      </c>
      <c r="D1194" t="inlineStr">
        <is>
          <t>JÄMTLANDS LÄN</t>
        </is>
      </c>
      <c r="E1194" t="inlineStr">
        <is>
          <t>HÄRJEDALEN</t>
        </is>
      </c>
      <c r="G1194" t="n">
        <v>42.9</v>
      </c>
      <c r="H1194" t="n">
        <v>0</v>
      </c>
      <c r="I1194" t="n">
        <v>0</v>
      </c>
      <c r="J1194" t="n">
        <v>0</v>
      </c>
      <c r="K1194" t="n">
        <v>0</v>
      </c>
      <c r="L1194" t="n">
        <v>0</v>
      </c>
      <c r="M1194" t="n">
        <v>0</v>
      </c>
      <c r="N1194" t="n">
        <v>0</v>
      </c>
      <c r="O1194" t="n">
        <v>0</v>
      </c>
      <c r="P1194" t="n">
        <v>0</v>
      </c>
      <c r="Q1194" t="n">
        <v>0</v>
      </c>
      <c r="R1194" s="2" t="inlineStr"/>
    </row>
    <row r="1195" ht="15" customHeight="1">
      <c r="A1195" t="inlineStr">
        <is>
          <t>A 49792-2023</t>
        </is>
      </c>
      <c r="B1195" s="1" t="n">
        <v>45212</v>
      </c>
      <c r="C1195" s="1" t="n">
        <v>45294</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49969-2023</t>
        </is>
      </c>
      <c r="B1196" s="1" t="n">
        <v>45215</v>
      </c>
      <c r="C1196" s="1" t="n">
        <v>45294</v>
      </c>
      <c r="D1196" t="inlineStr">
        <is>
          <t>JÄMTLANDS LÄN</t>
        </is>
      </c>
      <c r="E1196" t="inlineStr">
        <is>
          <t>HÄRJEDALEN</t>
        </is>
      </c>
      <c r="G1196" t="n">
        <v>43.7</v>
      </c>
      <c r="H1196" t="n">
        <v>0</v>
      </c>
      <c r="I1196" t="n">
        <v>0</v>
      </c>
      <c r="J1196" t="n">
        <v>0</v>
      </c>
      <c r="K1196" t="n">
        <v>0</v>
      </c>
      <c r="L1196" t="n">
        <v>0</v>
      </c>
      <c r="M1196" t="n">
        <v>0</v>
      </c>
      <c r="N1196" t="n">
        <v>0</v>
      </c>
      <c r="O1196" t="n">
        <v>0</v>
      </c>
      <c r="P1196" t="n">
        <v>0</v>
      </c>
      <c r="Q1196" t="n">
        <v>0</v>
      </c>
      <c r="R1196" s="2" t="inlineStr"/>
    </row>
    <row r="1197" ht="15" customHeight="1">
      <c r="A1197" t="inlineStr">
        <is>
          <t>A 50470-2023</t>
        </is>
      </c>
      <c r="B1197" s="1" t="n">
        <v>45216</v>
      </c>
      <c r="C1197" s="1" t="n">
        <v>45294</v>
      </c>
      <c r="D1197" t="inlineStr">
        <is>
          <t>JÄMTLANDS LÄN</t>
        </is>
      </c>
      <c r="E1197" t="inlineStr">
        <is>
          <t>HÄRJEDALEN</t>
        </is>
      </c>
      <c r="F1197" t="inlineStr">
        <is>
          <t>Sveaskog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50360-2023</t>
        </is>
      </c>
      <c r="B1198" s="1" t="n">
        <v>45216</v>
      </c>
      <c r="C1198" s="1" t="n">
        <v>45294</v>
      </c>
      <c r="D1198" t="inlineStr">
        <is>
          <t>JÄMTLANDS LÄN</t>
        </is>
      </c>
      <c r="E1198" t="inlineStr">
        <is>
          <t>HÄRJEDALEN</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50331-2023</t>
        </is>
      </c>
      <c r="B1199" s="1" t="n">
        <v>45216</v>
      </c>
      <c r="C1199" s="1" t="n">
        <v>45294</v>
      </c>
      <c r="D1199" t="inlineStr">
        <is>
          <t>JÄMTLANDS LÄN</t>
        </is>
      </c>
      <c r="E1199" t="inlineStr">
        <is>
          <t>HÄRJEDALEN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50291-2023</t>
        </is>
      </c>
      <c r="B1200" s="1" t="n">
        <v>45216</v>
      </c>
      <c r="C1200" s="1" t="n">
        <v>45294</v>
      </c>
      <c r="D1200" t="inlineStr">
        <is>
          <t>JÄMTLANDS LÄN</t>
        </is>
      </c>
      <c r="E1200" t="inlineStr">
        <is>
          <t>HÄRJEDALEN</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50424-2023</t>
        </is>
      </c>
      <c r="B1201" s="1" t="n">
        <v>45216</v>
      </c>
      <c r="C1201" s="1" t="n">
        <v>45294</v>
      </c>
      <c r="D1201" t="inlineStr">
        <is>
          <t>JÄMTLANDS LÄN</t>
        </is>
      </c>
      <c r="E1201" t="inlineStr">
        <is>
          <t>HÄRJEDALEN</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50328-2023</t>
        </is>
      </c>
      <c r="B1202" s="1" t="n">
        <v>45216</v>
      </c>
      <c r="C1202" s="1" t="n">
        <v>45294</v>
      </c>
      <c r="D1202" t="inlineStr">
        <is>
          <t>JÄMTLANDS LÄN</t>
        </is>
      </c>
      <c r="E1202" t="inlineStr">
        <is>
          <t>HÄRJEDALEN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50539-2023</t>
        </is>
      </c>
      <c r="B1203" s="1" t="n">
        <v>45217</v>
      </c>
      <c r="C1203" s="1" t="n">
        <v>45294</v>
      </c>
      <c r="D1203" t="inlineStr">
        <is>
          <t>JÄMTLANDS LÄN</t>
        </is>
      </c>
      <c r="E1203" t="inlineStr">
        <is>
          <t>HÄRJEDALEN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51017-2023</t>
        </is>
      </c>
      <c r="B1204" s="1" t="n">
        <v>45218</v>
      </c>
      <c r="C1204" s="1" t="n">
        <v>45294</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51414-2023</t>
        </is>
      </c>
      <c r="B1205" s="1" t="n">
        <v>45219</v>
      </c>
      <c r="C1205" s="1" t="n">
        <v>45294</v>
      </c>
      <c r="D1205" t="inlineStr">
        <is>
          <t>JÄMTLANDS LÄN</t>
        </is>
      </c>
      <c r="E1205" t="inlineStr">
        <is>
          <t>HÄRJEDALEN</t>
        </is>
      </c>
      <c r="F1205" t="inlineStr">
        <is>
          <t>Sveaskog</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51351-2023</t>
        </is>
      </c>
      <c r="B1206" s="1" t="n">
        <v>45219</v>
      </c>
      <c r="C1206" s="1" t="n">
        <v>45294</v>
      </c>
      <c r="D1206" t="inlineStr">
        <is>
          <t>JÄMTLANDS LÄN</t>
        </is>
      </c>
      <c r="E1206" t="inlineStr">
        <is>
          <t>HÄRJEDALEN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51898-2023</t>
        </is>
      </c>
      <c r="B1207" s="1" t="n">
        <v>45223</v>
      </c>
      <c r="C1207" s="1" t="n">
        <v>45294</v>
      </c>
      <c r="D1207" t="inlineStr">
        <is>
          <t>JÄMTLANDS LÄN</t>
        </is>
      </c>
      <c r="E1207" t="inlineStr">
        <is>
          <t>HÄRJEDALEN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52565-2023</t>
        </is>
      </c>
      <c r="B1208" s="1" t="n">
        <v>45225</v>
      </c>
      <c r="C1208" s="1" t="n">
        <v>45294</v>
      </c>
      <c r="D1208" t="inlineStr">
        <is>
          <t>JÄMTLANDS LÄN</t>
        </is>
      </c>
      <c r="E1208" t="inlineStr">
        <is>
          <t>HÄRJEDALEN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52554-2023</t>
        </is>
      </c>
      <c r="B1209" s="1" t="n">
        <v>45225</v>
      </c>
      <c r="C1209" s="1" t="n">
        <v>45294</v>
      </c>
      <c r="D1209" t="inlineStr">
        <is>
          <t>JÄMTLANDS LÄN</t>
        </is>
      </c>
      <c r="E1209" t="inlineStr">
        <is>
          <t>HÄRJEDALEN</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52567-2023</t>
        </is>
      </c>
      <c r="B1210" s="1" t="n">
        <v>45225</v>
      </c>
      <c r="C1210" s="1" t="n">
        <v>45294</v>
      </c>
      <c r="D1210" t="inlineStr">
        <is>
          <t>JÄMTLANDS LÄN</t>
        </is>
      </c>
      <c r="E1210" t="inlineStr">
        <is>
          <t>HÄRJEDALEN</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52683-2023</t>
        </is>
      </c>
      <c r="B1211" s="1" t="n">
        <v>45225</v>
      </c>
      <c r="C1211" s="1" t="n">
        <v>45294</v>
      </c>
      <c r="D1211" t="inlineStr">
        <is>
          <t>JÄMTLANDS LÄN</t>
        </is>
      </c>
      <c r="E1211" t="inlineStr">
        <is>
          <t>HÄRJEDALEN</t>
        </is>
      </c>
      <c r="F1211" t="inlineStr">
        <is>
          <t>Bergvik skog väst AB</t>
        </is>
      </c>
      <c r="G1211" t="n">
        <v>19.3</v>
      </c>
      <c r="H1211" t="n">
        <v>0</v>
      </c>
      <c r="I1211" t="n">
        <v>0</v>
      </c>
      <c r="J1211" t="n">
        <v>0</v>
      </c>
      <c r="K1211" t="n">
        <v>0</v>
      </c>
      <c r="L1211" t="n">
        <v>0</v>
      </c>
      <c r="M1211" t="n">
        <v>0</v>
      </c>
      <c r="N1211" t="n">
        <v>0</v>
      </c>
      <c r="O1211" t="n">
        <v>0</v>
      </c>
      <c r="P1211" t="n">
        <v>0</v>
      </c>
      <c r="Q1211" t="n">
        <v>0</v>
      </c>
      <c r="R1211" s="2" t="inlineStr"/>
    </row>
    <row r="1212" ht="15" customHeight="1">
      <c r="A1212" t="inlineStr">
        <is>
          <t>A 52741-2023</t>
        </is>
      </c>
      <c r="B1212" s="1" t="n">
        <v>45225</v>
      </c>
      <c r="C1212" s="1" t="n">
        <v>45294</v>
      </c>
      <c r="D1212" t="inlineStr">
        <is>
          <t>JÄMTLANDS LÄN</t>
        </is>
      </c>
      <c r="E1212" t="inlineStr">
        <is>
          <t>HÄRJEDALEN</t>
        </is>
      </c>
      <c r="F1212" t="inlineStr">
        <is>
          <t>SCA</t>
        </is>
      </c>
      <c r="G1212" t="n">
        <v>75.40000000000001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53003-2023</t>
        </is>
      </c>
      <c r="B1213" s="1" t="n">
        <v>45226</v>
      </c>
      <c r="C1213" s="1" t="n">
        <v>45294</v>
      </c>
      <c r="D1213" t="inlineStr">
        <is>
          <t>JÄMTLANDS LÄN</t>
        </is>
      </c>
      <c r="E1213" t="inlineStr">
        <is>
          <t>HÄRJEDALEN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53431-2023</t>
        </is>
      </c>
      <c r="B1214" s="1" t="n">
        <v>45229</v>
      </c>
      <c r="C1214" s="1" t="n">
        <v>45294</v>
      </c>
      <c r="D1214" t="inlineStr">
        <is>
          <t>JÄMTLANDS LÄN</t>
        </is>
      </c>
      <c r="E1214" t="inlineStr">
        <is>
          <t>HÄRJEDALEN</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53432-2023</t>
        </is>
      </c>
      <c r="B1215" s="1" t="n">
        <v>45229</v>
      </c>
      <c r="C1215" s="1" t="n">
        <v>45294</v>
      </c>
      <c r="D1215" t="inlineStr">
        <is>
          <t>JÄMTLANDS LÄN</t>
        </is>
      </c>
      <c r="E1215" t="inlineStr">
        <is>
          <t>HÄRJEDALEN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53681-2023</t>
        </is>
      </c>
      <c r="B1216" s="1" t="n">
        <v>45230</v>
      </c>
      <c r="C1216" s="1" t="n">
        <v>45294</v>
      </c>
      <c r="D1216" t="inlineStr">
        <is>
          <t>JÄMTLANDS LÄN</t>
        </is>
      </c>
      <c r="E1216" t="inlineStr">
        <is>
          <t>HÄRJEDALEN</t>
        </is>
      </c>
      <c r="G1216" t="n">
        <v>13.6</v>
      </c>
      <c r="H1216" t="n">
        <v>0</v>
      </c>
      <c r="I1216" t="n">
        <v>0</v>
      </c>
      <c r="J1216" t="n">
        <v>0</v>
      </c>
      <c r="K1216" t="n">
        <v>0</v>
      </c>
      <c r="L1216" t="n">
        <v>0</v>
      </c>
      <c r="M1216" t="n">
        <v>0</v>
      </c>
      <c r="N1216" t="n">
        <v>0</v>
      </c>
      <c r="O1216" t="n">
        <v>0</v>
      </c>
      <c r="P1216" t="n">
        <v>0</v>
      </c>
      <c r="Q1216" t="n">
        <v>0</v>
      </c>
      <c r="R1216" s="2" t="inlineStr"/>
    </row>
    <row r="1217" ht="15" customHeight="1">
      <c r="A1217" t="inlineStr">
        <is>
          <t>A 53804-2023</t>
        </is>
      </c>
      <c r="B1217" s="1" t="n">
        <v>45231</v>
      </c>
      <c r="C1217" s="1" t="n">
        <v>45294</v>
      </c>
      <c r="D1217" t="inlineStr">
        <is>
          <t>JÄMTLANDS LÄN</t>
        </is>
      </c>
      <c r="E1217" t="inlineStr">
        <is>
          <t>HÄRJEDALEN</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53993-2023</t>
        </is>
      </c>
      <c r="B1218" s="1" t="n">
        <v>45231</v>
      </c>
      <c r="C1218" s="1" t="n">
        <v>45294</v>
      </c>
      <c r="D1218" t="inlineStr">
        <is>
          <t>JÄMTLANDS LÄN</t>
        </is>
      </c>
      <c r="E1218" t="inlineStr">
        <is>
          <t>HÄRJEDALEN</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54382-2023</t>
        </is>
      </c>
      <c r="B1219" s="1" t="n">
        <v>45233</v>
      </c>
      <c r="C1219" s="1" t="n">
        <v>45294</v>
      </c>
      <c r="D1219" t="inlineStr">
        <is>
          <t>JÄMTLANDS LÄN</t>
        </is>
      </c>
      <c r="E1219" t="inlineStr">
        <is>
          <t>HÄRJEDALEN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55127-2023</t>
        </is>
      </c>
      <c r="B1220" s="1" t="n">
        <v>45237</v>
      </c>
      <c r="C1220" s="1" t="n">
        <v>45294</v>
      </c>
      <c r="D1220" t="inlineStr">
        <is>
          <t>JÄMTLANDS LÄN</t>
        </is>
      </c>
      <c r="E1220" t="inlineStr">
        <is>
          <t>HÄRJEDALEN</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55150-2023</t>
        </is>
      </c>
      <c r="B1221" s="1" t="n">
        <v>45237</v>
      </c>
      <c r="C1221" s="1" t="n">
        <v>45294</v>
      </c>
      <c r="D1221" t="inlineStr">
        <is>
          <t>JÄMTLANDS LÄN</t>
        </is>
      </c>
      <c r="E1221" t="inlineStr">
        <is>
          <t>HÄRJEDALEN</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55183-2023</t>
        </is>
      </c>
      <c r="B1222" s="1" t="n">
        <v>45237</v>
      </c>
      <c r="C1222" s="1" t="n">
        <v>45294</v>
      </c>
      <c r="D1222" t="inlineStr">
        <is>
          <t>JÄMTLANDS LÄN</t>
        </is>
      </c>
      <c r="E1222" t="inlineStr">
        <is>
          <t>HÄRJEDALEN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55195-2023</t>
        </is>
      </c>
      <c r="B1223" s="1" t="n">
        <v>45237</v>
      </c>
      <c r="C1223" s="1" t="n">
        <v>45294</v>
      </c>
      <c r="D1223" t="inlineStr">
        <is>
          <t>JÄMTLANDS LÄN</t>
        </is>
      </c>
      <c r="E1223" t="inlineStr">
        <is>
          <t>HÄRJEDALEN</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55220-2023</t>
        </is>
      </c>
      <c r="B1224" s="1" t="n">
        <v>45237</v>
      </c>
      <c r="C1224" s="1" t="n">
        <v>45294</v>
      </c>
      <c r="D1224" t="inlineStr">
        <is>
          <t>JÄMTLANDS LÄN</t>
        </is>
      </c>
      <c r="E1224" t="inlineStr">
        <is>
          <t>HÄRJEDALEN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55180-2023</t>
        </is>
      </c>
      <c r="B1225" s="1" t="n">
        <v>45237</v>
      </c>
      <c r="C1225" s="1" t="n">
        <v>45294</v>
      </c>
      <c r="D1225" t="inlineStr">
        <is>
          <t>JÄMTLANDS LÄN</t>
        </is>
      </c>
      <c r="E1225" t="inlineStr">
        <is>
          <t>HÄRJEDALEN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55185-2023</t>
        </is>
      </c>
      <c r="B1226" s="1" t="n">
        <v>45237</v>
      </c>
      <c r="C1226" s="1" t="n">
        <v>45294</v>
      </c>
      <c r="D1226" t="inlineStr">
        <is>
          <t>JÄMTLANDS LÄN</t>
        </is>
      </c>
      <c r="E1226" t="inlineStr">
        <is>
          <t>HÄRJEDALEN</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55189-2023</t>
        </is>
      </c>
      <c r="B1227" s="1" t="n">
        <v>45237</v>
      </c>
      <c r="C1227" s="1" t="n">
        <v>45294</v>
      </c>
      <c r="D1227" t="inlineStr">
        <is>
          <t>JÄMTLANDS LÄN</t>
        </is>
      </c>
      <c r="E1227" t="inlineStr">
        <is>
          <t>HÄRJEDALEN</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55193-2023</t>
        </is>
      </c>
      <c r="B1228" s="1" t="n">
        <v>45237</v>
      </c>
      <c r="C1228" s="1" t="n">
        <v>45294</v>
      </c>
      <c r="D1228" t="inlineStr">
        <is>
          <t>JÄMTLANDS LÄN</t>
        </is>
      </c>
      <c r="E1228" t="inlineStr">
        <is>
          <t>HÄRJEDALEN</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55500-2023</t>
        </is>
      </c>
      <c r="B1229" s="1" t="n">
        <v>45238</v>
      </c>
      <c r="C1229" s="1" t="n">
        <v>45294</v>
      </c>
      <c r="D1229" t="inlineStr">
        <is>
          <t>JÄMTLANDS LÄN</t>
        </is>
      </c>
      <c r="E1229" t="inlineStr">
        <is>
          <t>HÄRJEDALEN</t>
        </is>
      </c>
      <c r="F1229" t="inlineStr">
        <is>
          <t>Kyrkan</t>
        </is>
      </c>
      <c r="G1229" t="n">
        <v>81.2</v>
      </c>
      <c r="H1229" t="n">
        <v>0</v>
      </c>
      <c r="I1229" t="n">
        <v>0</v>
      </c>
      <c r="J1229" t="n">
        <v>0</v>
      </c>
      <c r="K1229" t="n">
        <v>0</v>
      </c>
      <c r="L1229" t="n">
        <v>0</v>
      </c>
      <c r="M1229" t="n">
        <v>0</v>
      </c>
      <c r="N1229" t="n">
        <v>0</v>
      </c>
      <c r="O1229" t="n">
        <v>0</v>
      </c>
      <c r="P1229" t="n">
        <v>0</v>
      </c>
      <c r="Q1229" t="n">
        <v>0</v>
      </c>
      <c r="R1229" s="2" t="inlineStr"/>
    </row>
    <row r="1230" ht="15" customHeight="1">
      <c r="A1230" t="inlineStr">
        <is>
          <t>A 55562-2023</t>
        </is>
      </c>
      <c r="B1230" s="1" t="n">
        <v>45238</v>
      </c>
      <c r="C1230" s="1" t="n">
        <v>45294</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55463-2023</t>
        </is>
      </c>
      <c r="B1231" s="1" t="n">
        <v>45238</v>
      </c>
      <c r="C1231" s="1" t="n">
        <v>45294</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55555-2023</t>
        </is>
      </c>
      <c r="B1232" s="1" t="n">
        <v>45238</v>
      </c>
      <c r="C1232" s="1" t="n">
        <v>45294</v>
      </c>
      <c r="D1232" t="inlineStr">
        <is>
          <t>JÄMTLANDS LÄN</t>
        </is>
      </c>
      <c r="E1232" t="inlineStr">
        <is>
          <t>HÄRJEDALEN</t>
        </is>
      </c>
      <c r="G1232" t="n">
        <v>11.6</v>
      </c>
      <c r="H1232" t="n">
        <v>0</v>
      </c>
      <c r="I1232" t="n">
        <v>0</v>
      </c>
      <c r="J1232" t="n">
        <v>0</v>
      </c>
      <c r="K1232" t="n">
        <v>0</v>
      </c>
      <c r="L1232" t="n">
        <v>0</v>
      </c>
      <c r="M1232" t="n">
        <v>0</v>
      </c>
      <c r="N1232" t="n">
        <v>0</v>
      </c>
      <c r="O1232" t="n">
        <v>0</v>
      </c>
      <c r="P1232" t="n">
        <v>0</v>
      </c>
      <c r="Q1232" t="n">
        <v>0</v>
      </c>
      <c r="R1232" s="2" t="inlineStr"/>
    </row>
    <row r="1233" ht="15" customHeight="1">
      <c r="A1233" t="inlineStr">
        <is>
          <t>A 55566-2023</t>
        </is>
      </c>
      <c r="B1233" s="1" t="n">
        <v>45238</v>
      </c>
      <c r="C1233" s="1" t="n">
        <v>45294</v>
      </c>
      <c r="D1233" t="inlineStr">
        <is>
          <t>JÄMTLANDS LÄN</t>
        </is>
      </c>
      <c r="E1233" t="inlineStr">
        <is>
          <t>HÄRJEDALEN</t>
        </is>
      </c>
      <c r="F1233" t="inlineStr">
        <is>
          <t>Bergvik skog väst AB</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55844-2023</t>
        </is>
      </c>
      <c r="B1234" s="1" t="n">
        <v>45239</v>
      </c>
      <c r="C1234" s="1" t="n">
        <v>45294</v>
      </c>
      <c r="D1234" t="inlineStr">
        <is>
          <t>JÄMTLANDS LÄN</t>
        </is>
      </c>
      <c r="E1234" t="inlineStr">
        <is>
          <t>HÄRJEDALEN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55736-2023</t>
        </is>
      </c>
      <c r="B1235" s="1" t="n">
        <v>45239</v>
      </c>
      <c r="C1235" s="1" t="n">
        <v>45294</v>
      </c>
      <c r="D1235" t="inlineStr">
        <is>
          <t>JÄMTLANDS LÄN</t>
        </is>
      </c>
      <c r="E1235" t="inlineStr">
        <is>
          <t>HÄRJEDALEN</t>
        </is>
      </c>
      <c r="F1235" t="inlineStr">
        <is>
          <t>Holmen skog AB</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55766-2023</t>
        </is>
      </c>
      <c r="B1236" s="1" t="n">
        <v>45239</v>
      </c>
      <c r="C1236" s="1" t="n">
        <v>45294</v>
      </c>
      <c r="D1236" t="inlineStr">
        <is>
          <t>JÄMTLANDS LÄN</t>
        </is>
      </c>
      <c r="E1236" t="inlineStr">
        <is>
          <t>HÄRJEDALEN</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55834-2023</t>
        </is>
      </c>
      <c r="B1237" s="1" t="n">
        <v>45239</v>
      </c>
      <c r="C1237" s="1" t="n">
        <v>45294</v>
      </c>
      <c r="D1237" t="inlineStr">
        <is>
          <t>JÄMTLANDS LÄN</t>
        </is>
      </c>
      <c r="E1237" t="inlineStr">
        <is>
          <t>HÄRJEDALEN</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56013-2023</t>
        </is>
      </c>
      <c r="B1238" s="1" t="n">
        <v>45240</v>
      </c>
      <c r="C1238" s="1" t="n">
        <v>45294</v>
      </c>
      <c r="D1238" t="inlineStr">
        <is>
          <t>JÄMTLANDS LÄN</t>
        </is>
      </c>
      <c r="E1238" t="inlineStr">
        <is>
          <t>HÄRJEDALEN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56483-2023</t>
        </is>
      </c>
      <c r="B1239" s="1" t="n">
        <v>45243</v>
      </c>
      <c r="C1239" s="1" t="n">
        <v>45294</v>
      </c>
      <c r="D1239" t="inlineStr">
        <is>
          <t>JÄMTLANDS LÄN</t>
        </is>
      </c>
      <c r="E1239" t="inlineStr">
        <is>
          <t>HÄRJEDALEN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56512-2023</t>
        </is>
      </c>
      <c r="B1240" s="1" t="n">
        <v>45243</v>
      </c>
      <c r="C1240" s="1" t="n">
        <v>45294</v>
      </c>
      <c r="D1240" t="inlineStr">
        <is>
          <t>JÄMTLANDS LÄN</t>
        </is>
      </c>
      <c r="E1240" t="inlineStr">
        <is>
          <t>HÄRJEDALEN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56587-2023</t>
        </is>
      </c>
      <c r="B1241" s="1" t="n">
        <v>45243</v>
      </c>
      <c r="C1241" s="1" t="n">
        <v>45294</v>
      </c>
      <c r="D1241" t="inlineStr">
        <is>
          <t>JÄMTLANDS LÄN</t>
        </is>
      </c>
      <c r="E1241" t="inlineStr">
        <is>
          <t>HÄRJEDALEN</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56909-2023</t>
        </is>
      </c>
      <c r="B1242" s="1" t="n">
        <v>45244</v>
      </c>
      <c r="C1242" s="1" t="n">
        <v>45294</v>
      </c>
      <c r="D1242" t="inlineStr">
        <is>
          <t>JÄMTLANDS LÄN</t>
        </is>
      </c>
      <c r="E1242" t="inlineStr">
        <is>
          <t>HÄRJEDALEN</t>
        </is>
      </c>
      <c r="F1242" t="inlineStr">
        <is>
          <t>Bergvik skog väst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56912-2023</t>
        </is>
      </c>
      <c r="B1243" s="1" t="n">
        <v>45244</v>
      </c>
      <c r="C1243" s="1" t="n">
        <v>45294</v>
      </c>
      <c r="D1243" t="inlineStr">
        <is>
          <t>JÄMTLANDS LÄN</t>
        </is>
      </c>
      <c r="E1243" t="inlineStr">
        <is>
          <t>HÄRJEDALEN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56906-2023</t>
        </is>
      </c>
      <c r="B1244" s="1" t="n">
        <v>45244</v>
      </c>
      <c r="C1244" s="1" t="n">
        <v>45294</v>
      </c>
      <c r="D1244" t="inlineStr">
        <is>
          <t>JÄMTLANDS LÄN</t>
        </is>
      </c>
      <c r="E1244" t="inlineStr">
        <is>
          <t>HÄRJEDALEN</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57313-2023</t>
        </is>
      </c>
      <c r="B1245" s="1" t="n">
        <v>45245</v>
      </c>
      <c r="C1245" s="1" t="n">
        <v>45294</v>
      </c>
      <c r="D1245" t="inlineStr">
        <is>
          <t>JÄMTLANDS LÄN</t>
        </is>
      </c>
      <c r="E1245" t="inlineStr">
        <is>
          <t>HÄRJEDALEN</t>
        </is>
      </c>
      <c r="F1245" t="inlineStr">
        <is>
          <t>Bergvik skog väst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57099-2023</t>
        </is>
      </c>
      <c r="B1246" s="1" t="n">
        <v>45245</v>
      </c>
      <c r="C1246" s="1" t="n">
        <v>45294</v>
      </c>
      <c r="D1246" t="inlineStr">
        <is>
          <t>JÄMTLANDS LÄN</t>
        </is>
      </c>
      <c r="E1246" t="inlineStr">
        <is>
          <t>HÄRJEDALEN</t>
        </is>
      </c>
      <c r="F1246" t="inlineStr">
        <is>
          <t>Bergvik skog väst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57181-2023</t>
        </is>
      </c>
      <c r="B1247" s="1" t="n">
        <v>45245</v>
      </c>
      <c r="C1247" s="1" t="n">
        <v>45294</v>
      </c>
      <c r="D1247" t="inlineStr">
        <is>
          <t>JÄMTLANDS LÄN</t>
        </is>
      </c>
      <c r="E1247" t="inlineStr">
        <is>
          <t>HÄRJEDALEN</t>
        </is>
      </c>
      <c r="F1247" t="inlineStr">
        <is>
          <t>Bergvik skog väst AB</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57202-2023</t>
        </is>
      </c>
      <c r="B1248" s="1" t="n">
        <v>45245</v>
      </c>
      <c r="C1248" s="1" t="n">
        <v>45294</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57140-2023</t>
        </is>
      </c>
      <c r="B1249" s="1" t="n">
        <v>45245</v>
      </c>
      <c r="C1249" s="1" t="n">
        <v>45294</v>
      </c>
      <c r="D1249" t="inlineStr">
        <is>
          <t>JÄMTLANDS LÄN</t>
        </is>
      </c>
      <c r="E1249" t="inlineStr">
        <is>
          <t>HÄRJEDALEN</t>
        </is>
      </c>
      <c r="F1249" t="inlineStr">
        <is>
          <t>Bergvik skog väst AB</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57281-2023</t>
        </is>
      </c>
      <c r="B1250" s="1" t="n">
        <v>45245</v>
      </c>
      <c r="C1250" s="1" t="n">
        <v>45294</v>
      </c>
      <c r="D1250" t="inlineStr">
        <is>
          <t>JÄMTLANDS LÄN</t>
        </is>
      </c>
      <c r="E1250" t="inlineStr">
        <is>
          <t>HÄRJEDALEN</t>
        </is>
      </c>
      <c r="F1250" t="inlineStr">
        <is>
          <t>Bergvik skog väst AB</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57661-2023</t>
        </is>
      </c>
      <c r="B1251" s="1" t="n">
        <v>45246</v>
      </c>
      <c r="C1251" s="1" t="n">
        <v>45294</v>
      </c>
      <c r="D1251" t="inlineStr">
        <is>
          <t>JÄMTLANDS LÄN</t>
        </is>
      </c>
      <c r="E1251" t="inlineStr">
        <is>
          <t>HÄRJEDALEN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58146-2023</t>
        </is>
      </c>
      <c r="B1252" s="1" t="n">
        <v>45250</v>
      </c>
      <c r="C1252" s="1" t="n">
        <v>45294</v>
      </c>
      <c r="D1252" t="inlineStr">
        <is>
          <t>JÄMTLANDS LÄN</t>
        </is>
      </c>
      <c r="E1252" t="inlineStr">
        <is>
          <t>HÄRJEDALEN</t>
        </is>
      </c>
      <c r="F1252" t="inlineStr">
        <is>
          <t>Bergvik skog väst AB</t>
        </is>
      </c>
      <c r="G1252" t="n">
        <v>15.9</v>
      </c>
      <c r="H1252" t="n">
        <v>0</v>
      </c>
      <c r="I1252" t="n">
        <v>0</v>
      </c>
      <c r="J1252" t="n">
        <v>0</v>
      </c>
      <c r="K1252" t="n">
        <v>0</v>
      </c>
      <c r="L1252" t="n">
        <v>0</v>
      </c>
      <c r="M1252" t="n">
        <v>0</v>
      </c>
      <c r="N1252" t="n">
        <v>0</v>
      </c>
      <c r="O1252" t="n">
        <v>0</v>
      </c>
      <c r="P1252" t="n">
        <v>0</v>
      </c>
      <c r="Q1252" t="n">
        <v>0</v>
      </c>
      <c r="R1252" s="2" t="inlineStr"/>
    </row>
    <row r="1253" ht="15" customHeight="1">
      <c r="A1253" t="inlineStr">
        <is>
          <t>A 58144-2023</t>
        </is>
      </c>
      <c r="B1253" s="1" t="n">
        <v>45250</v>
      </c>
      <c r="C1253" s="1" t="n">
        <v>45294</v>
      </c>
      <c r="D1253" t="inlineStr">
        <is>
          <t>JÄMTLANDS LÄN</t>
        </is>
      </c>
      <c r="E1253" t="inlineStr">
        <is>
          <t>HÄRJEDALEN</t>
        </is>
      </c>
      <c r="F1253" t="inlineStr">
        <is>
          <t>Bergvik skog väst AB</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58890-2023</t>
        </is>
      </c>
      <c r="B1254" s="1" t="n">
        <v>45252</v>
      </c>
      <c r="C1254" s="1" t="n">
        <v>45294</v>
      </c>
      <c r="D1254" t="inlineStr">
        <is>
          <t>JÄMTLANDS LÄN</t>
        </is>
      </c>
      <c r="E1254" t="inlineStr">
        <is>
          <t>HÄRJEDALEN</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58930-2023</t>
        </is>
      </c>
      <c r="B1255" s="1" t="n">
        <v>45252</v>
      </c>
      <c r="C1255" s="1" t="n">
        <v>45294</v>
      </c>
      <c r="D1255" t="inlineStr">
        <is>
          <t>JÄMTLANDS LÄN</t>
        </is>
      </c>
      <c r="E1255" t="inlineStr">
        <is>
          <t>HÄRJEDALEN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58866-2023</t>
        </is>
      </c>
      <c r="B1256" s="1" t="n">
        <v>45252</v>
      </c>
      <c r="C1256" s="1" t="n">
        <v>45294</v>
      </c>
      <c r="D1256" t="inlineStr">
        <is>
          <t>JÄMTLANDS LÄN</t>
        </is>
      </c>
      <c r="E1256" t="inlineStr">
        <is>
          <t>HÄRJEDALEN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59092-2023</t>
        </is>
      </c>
      <c r="B1257" s="1" t="n">
        <v>45253</v>
      </c>
      <c r="C1257" s="1" t="n">
        <v>45294</v>
      </c>
      <c r="D1257" t="inlineStr">
        <is>
          <t>JÄMTLANDS LÄN</t>
        </is>
      </c>
      <c r="E1257" t="inlineStr">
        <is>
          <t>HÄRJEDALEN</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59279-2023</t>
        </is>
      </c>
      <c r="B1258" s="1" t="n">
        <v>45253</v>
      </c>
      <c r="C1258" s="1" t="n">
        <v>45294</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59424-2023</t>
        </is>
      </c>
      <c r="B1259" s="1" t="n">
        <v>45254</v>
      </c>
      <c r="C1259" s="1" t="n">
        <v>45294</v>
      </c>
      <c r="D1259" t="inlineStr">
        <is>
          <t>JÄMTLANDS LÄN</t>
        </is>
      </c>
      <c r="E1259" t="inlineStr">
        <is>
          <t>HÄRJEDALEN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59577-2023</t>
        </is>
      </c>
      <c r="B1260" s="1" t="n">
        <v>45254</v>
      </c>
      <c r="C1260" s="1" t="n">
        <v>45294</v>
      </c>
      <c r="D1260" t="inlineStr">
        <is>
          <t>JÄMTLANDS LÄN</t>
        </is>
      </c>
      <c r="E1260" t="inlineStr">
        <is>
          <t>HÄRJEDALEN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59594-2023</t>
        </is>
      </c>
      <c r="B1261" s="1" t="n">
        <v>45254</v>
      </c>
      <c r="C1261" s="1" t="n">
        <v>45294</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59620-2023</t>
        </is>
      </c>
      <c r="B1262" s="1" t="n">
        <v>45254</v>
      </c>
      <c r="C1262" s="1" t="n">
        <v>45294</v>
      </c>
      <c r="D1262" t="inlineStr">
        <is>
          <t>JÄMTLANDS LÄN</t>
        </is>
      </c>
      <c r="E1262" t="inlineStr">
        <is>
          <t>HÄRJEDALEN</t>
        </is>
      </c>
      <c r="G1262" t="n">
        <v>14.9</v>
      </c>
      <c r="H1262" t="n">
        <v>0</v>
      </c>
      <c r="I1262" t="n">
        <v>0</v>
      </c>
      <c r="J1262" t="n">
        <v>0</v>
      </c>
      <c r="K1262" t="n">
        <v>0</v>
      </c>
      <c r="L1262" t="n">
        <v>0</v>
      </c>
      <c r="M1262" t="n">
        <v>0</v>
      </c>
      <c r="N1262" t="n">
        <v>0</v>
      </c>
      <c r="O1262" t="n">
        <v>0</v>
      </c>
      <c r="P1262" t="n">
        <v>0</v>
      </c>
      <c r="Q1262" t="n">
        <v>0</v>
      </c>
      <c r="R1262" s="2" t="inlineStr"/>
    </row>
    <row r="1263" ht="15" customHeight="1">
      <c r="A1263" t="inlineStr">
        <is>
          <t>A 59738-2023</t>
        </is>
      </c>
      <c r="B1263" s="1" t="n">
        <v>45257</v>
      </c>
      <c r="C1263" s="1" t="n">
        <v>45294</v>
      </c>
      <c r="D1263" t="inlineStr">
        <is>
          <t>JÄMTLANDS LÄN</t>
        </is>
      </c>
      <c r="E1263" t="inlineStr">
        <is>
          <t>HÄRJEDALEN</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60062-2023</t>
        </is>
      </c>
      <c r="B1264" s="1" t="n">
        <v>45257</v>
      </c>
      <c r="C1264" s="1" t="n">
        <v>45294</v>
      </c>
      <c r="D1264" t="inlineStr">
        <is>
          <t>JÄMTLANDS LÄN</t>
        </is>
      </c>
      <c r="E1264" t="inlineStr">
        <is>
          <t>HÄRJEDALEN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59750-2023</t>
        </is>
      </c>
      <c r="B1265" s="1" t="n">
        <v>45257</v>
      </c>
      <c r="C1265" s="1" t="n">
        <v>45294</v>
      </c>
      <c r="D1265" t="inlineStr">
        <is>
          <t>JÄMTLANDS LÄN</t>
        </is>
      </c>
      <c r="E1265" t="inlineStr">
        <is>
          <t>HÄRJEDALEN</t>
        </is>
      </c>
      <c r="F1265" t="inlineStr">
        <is>
          <t>Bergvik skog väst AB</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60521-2023</t>
        </is>
      </c>
      <c r="B1266" s="1" t="n">
        <v>45259</v>
      </c>
      <c r="C1266" s="1" t="n">
        <v>45294</v>
      </c>
      <c r="D1266" t="inlineStr">
        <is>
          <t>JÄMTLANDS LÄN</t>
        </is>
      </c>
      <c r="E1266" t="inlineStr">
        <is>
          <t>HÄRJEDALEN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60611-2023</t>
        </is>
      </c>
      <c r="B1267" s="1" t="n">
        <v>45260</v>
      </c>
      <c r="C1267" s="1" t="n">
        <v>45294</v>
      </c>
      <c r="D1267" t="inlineStr">
        <is>
          <t>JÄMTLANDS LÄN</t>
        </is>
      </c>
      <c r="E1267" t="inlineStr">
        <is>
          <t>HÄRJEDALEN</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60749-2023</t>
        </is>
      </c>
      <c r="B1268" s="1" t="n">
        <v>45260</v>
      </c>
      <c r="C1268" s="1" t="n">
        <v>45294</v>
      </c>
      <c r="D1268" t="inlineStr">
        <is>
          <t>JÄMTLANDS LÄN</t>
        </is>
      </c>
      <c r="E1268" t="inlineStr">
        <is>
          <t>HÄRJEDALEN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61465-2023</t>
        </is>
      </c>
      <c r="B1269" s="1" t="n">
        <v>45264</v>
      </c>
      <c r="C1269" s="1" t="n">
        <v>45294</v>
      </c>
      <c r="D1269" t="inlineStr">
        <is>
          <t>JÄMTLANDS LÄN</t>
        </is>
      </c>
      <c r="E1269" t="inlineStr">
        <is>
          <t>HÄRJEDALEN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61751-2023</t>
        </is>
      </c>
      <c r="B1270" s="1" t="n">
        <v>45265</v>
      </c>
      <c r="C1270" s="1" t="n">
        <v>45294</v>
      </c>
      <c r="D1270" t="inlineStr">
        <is>
          <t>JÄMTLANDS LÄN</t>
        </is>
      </c>
      <c r="E1270" t="inlineStr">
        <is>
          <t>HÄRJEDALEN</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62482-2023</t>
        </is>
      </c>
      <c r="B1271" s="1" t="n">
        <v>45268</v>
      </c>
      <c r="C1271" s="1" t="n">
        <v>45294</v>
      </c>
      <c r="D1271" t="inlineStr">
        <is>
          <t>JÄMTLANDS LÄN</t>
        </is>
      </c>
      <c r="E1271" t="inlineStr">
        <is>
          <t>HÄRJEDALEN</t>
        </is>
      </c>
      <c r="G1271" t="n">
        <v>15.2</v>
      </c>
      <c r="H1271" t="n">
        <v>0</v>
      </c>
      <c r="I1271" t="n">
        <v>0</v>
      </c>
      <c r="J1271" t="n">
        <v>0</v>
      </c>
      <c r="K1271" t="n">
        <v>0</v>
      </c>
      <c r="L1271" t="n">
        <v>0</v>
      </c>
      <c r="M1271" t="n">
        <v>0</v>
      </c>
      <c r="N1271" t="n">
        <v>0</v>
      </c>
      <c r="O1271" t="n">
        <v>0</v>
      </c>
      <c r="P1271" t="n">
        <v>0</v>
      </c>
      <c r="Q1271" t="n">
        <v>0</v>
      </c>
      <c r="R1271" s="2" t="inlineStr"/>
    </row>
    <row r="1272" ht="15" customHeight="1">
      <c r="A1272" t="inlineStr">
        <is>
          <t>A 62539-2023</t>
        </is>
      </c>
      <c r="B1272" s="1" t="n">
        <v>45268</v>
      </c>
      <c r="C1272" s="1" t="n">
        <v>45294</v>
      </c>
      <c r="D1272" t="inlineStr">
        <is>
          <t>JÄMTLANDS LÄN</t>
        </is>
      </c>
      <c r="E1272" t="inlineStr">
        <is>
          <t>HÄRJEDALEN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45294</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45294</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45294</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45294</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63802-2023</t>
        </is>
      </c>
      <c r="B1277" s="1" t="n">
        <v>45278</v>
      </c>
      <c r="C1277" s="1" t="n">
        <v>45294</v>
      </c>
      <c r="D1277" t="inlineStr">
        <is>
          <t>JÄMTLANDS LÄN</t>
        </is>
      </c>
      <c r="E1277" t="inlineStr">
        <is>
          <t>HÄRJEDALEN</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63934-2023</t>
        </is>
      </c>
      <c r="B1278" s="1" t="n">
        <v>45278</v>
      </c>
      <c r="C1278" s="1" t="n">
        <v>45294</v>
      </c>
      <c r="D1278" t="inlineStr">
        <is>
          <t>JÄMTLANDS LÄN</t>
        </is>
      </c>
      <c r="E1278" t="inlineStr">
        <is>
          <t>HÄRJEDALEN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45294</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45294</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45294</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45294</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45294</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45294</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64648-2023</t>
        </is>
      </c>
      <c r="B1285" s="1" t="n">
        <v>45281</v>
      </c>
      <c r="C1285" s="1" t="n">
        <v>45294</v>
      </c>
      <c r="D1285" t="inlineStr">
        <is>
          <t>JÄMTLANDS LÄN</t>
        </is>
      </c>
      <c r="E1285" t="inlineStr">
        <is>
          <t>HÄRJEDALEN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64645-2023</t>
        </is>
      </c>
      <c r="B1286" s="1" t="n">
        <v>45281</v>
      </c>
      <c r="C1286" s="1" t="n">
        <v>45294</v>
      </c>
      <c r="D1286" t="inlineStr">
        <is>
          <t>JÄMTLANDS LÄN</t>
        </is>
      </c>
      <c r="E1286" t="inlineStr">
        <is>
          <t>HÄRJEDALEN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45294</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45294</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45294</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45294</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45294</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45294</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45294</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40-2024</t>
        </is>
      </c>
      <c r="B1294" s="1" t="n">
        <v>45293</v>
      </c>
      <c r="C1294" s="1" t="n">
        <v>45294</v>
      </c>
      <c r="D1294" t="inlineStr">
        <is>
          <t>JÄMTLANDS LÄN</t>
        </is>
      </c>
      <c r="E1294" t="inlineStr">
        <is>
          <t>HÄRJEDALEN</t>
        </is>
      </c>
      <c r="G1294" t="n">
        <v>24.2</v>
      </c>
      <c r="H1294" t="n">
        <v>0</v>
      </c>
      <c r="I1294" t="n">
        <v>0</v>
      </c>
      <c r="J1294" t="n">
        <v>0</v>
      </c>
      <c r="K1294" t="n">
        <v>0</v>
      </c>
      <c r="L1294" t="n">
        <v>0</v>
      </c>
      <c r="M1294" t="n">
        <v>0</v>
      </c>
      <c r="N1294" t="n">
        <v>0</v>
      </c>
      <c r="O1294" t="n">
        <v>0</v>
      </c>
      <c r="P1294" t="n">
        <v>0</v>
      </c>
      <c r="Q1294" t="n">
        <v>0</v>
      </c>
      <c r="R1294" s="2" t="inlineStr"/>
    </row>
    <row r="1295">
      <c r="A1295" t="inlineStr">
        <is>
          <t>A 54-2024</t>
        </is>
      </c>
      <c r="B1295" s="1" t="n">
        <v>45293</v>
      </c>
      <c r="C1295" s="1" t="n">
        <v>45294</v>
      </c>
      <c r="D1295" t="inlineStr">
        <is>
          <t>JÄMTLANDS LÄN</t>
        </is>
      </c>
      <c r="E1295" t="inlineStr">
        <is>
          <t>HÄRJEDALEN</t>
        </is>
      </c>
      <c r="G1295" t="n">
        <v>6</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2024-01-03T10:03:41Z</dcterms:created>
  <dcterms:modified xmlns:dcterms="http://purl.org/dc/terms/" xmlns:xsi="http://www.w3.org/2001/XMLSchema-instance" xsi:type="dcterms:W3CDTF">2024-01-03T10:03:42Z</dcterms:modified>
</cp:coreProperties>
</file>